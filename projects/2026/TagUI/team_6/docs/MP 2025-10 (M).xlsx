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ckup\SOLIDO\Usuario\Mis documentos\CERVEZA TRACTOR SRL\AÑO 2025\Bancos\MERCADO PAGO\"/>
    </mc:Choice>
  </mc:AlternateContent>
  <bookViews>
    <workbookView xWindow="0" yWindow="0" windowWidth="20400" windowHeight="7755" activeTab="6"/>
  </bookViews>
  <sheets>
    <sheet name="sheet0" sheetId="1" r:id="rId1"/>
    <sheet name="Detallado" sheetId="7" r:id="rId2"/>
    <sheet name="TR" sheetId="8" r:id="rId3"/>
    <sheet name="Tabla Resumen" sheetId="2" r:id="rId4"/>
    <sheet name="SIRCUPA" sheetId="4" r:id="rId5"/>
    <sheet name="SIRTAC" sheetId="5" r:id="rId6"/>
    <sheet name="Gastos" sheetId="6" r:id="rId7"/>
    <sheet name="IDC" sheetId="3" r:id="rId8"/>
  </sheets>
  <definedNames>
    <definedName name="_xlnm._FilterDatabase" localSheetId="1" hidden="1">Detallado!$A$4:$I$1806</definedName>
    <definedName name="_xlnm._FilterDatabase" localSheetId="6" hidden="1">Gastos!$B$8:$T$8</definedName>
    <definedName name="_xlnm._FilterDatabase" localSheetId="7" hidden="1">IDC!$B$19:$H$19</definedName>
    <definedName name="_xlnm._FilterDatabase" localSheetId="0" hidden="1">sheet0!$A$4:$O$1806</definedName>
    <definedName name="_xlnm._FilterDatabase" localSheetId="4" hidden="1">SIRCUPA!$A$20:$H$20</definedName>
    <definedName name="_xlnm._FilterDatabase" localSheetId="5" hidden="1">SIRTAC!$A$15:$H$15</definedName>
  </definedNames>
  <calcPr calcId="162913"/>
  <pivotCaches>
    <pivotCache cacheId="16" r:id="rId9"/>
    <pivotCache cacheId="17" r:id="rId10"/>
  </pivotCaches>
</workbook>
</file>

<file path=xl/calcChain.xml><?xml version="1.0" encoding="utf-8"?>
<calcChain xmlns="http://schemas.openxmlformats.org/spreadsheetml/2006/main">
  <c r="J1610" i="6" l="1"/>
  <c r="J1609" i="6"/>
  <c r="L9" i="8" l="1"/>
  <c r="L8" i="8" l="1"/>
  <c r="L14" i="8"/>
  <c r="L11" i="8"/>
  <c r="M1766" i="1" l="1"/>
  <c r="M1764" i="1"/>
  <c r="M1759" i="1"/>
  <c r="M1635" i="1"/>
  <c r="M1623" i="1"/>
  <c r="M1621" i="1"/>
  <c r="M1600" i="1"/>
  <c r="M1598" i="1"/>
  <c r="M1595" i="1"/>
  <c r="M1593" i="1"/>
  <c r="M1591" i="1"/>
  <c r="M1588" i="1"/>
  <c r="M1583" i="1"/>
  <c r="M1479" i="1"/>
  <c r="M1483" i="1"/>
  <c r="M1445" i="1"/>
  <c r="M1443" i="1"/>
  <c r="M1301" i="1"/>
  <c r="M1299" i="1"/>
  <c r="M1244" i="1"/>
  <c r="M1251" i="1"/>
  <c r="M1248" i="1"/>
  <c r="M1247" i="1"/>
  <c r="M1243" i="1"/>
  <c r="M1241" i="1"/>
  <c r="M1239" i="1"/>
  <c r="M1237" i="1"/>
  <c r="M1235" i="1"/>
  <c r="M1232" i="1"/>
  <c r="M938" i="1"/>
  <c r="M931" i="1"/>
  <c r="M928" i="1"/>
  <c r="M925" i="1"/>
  <c r="M892" i="1"/>
  <c r="M889" i="1"/>
  <c r="M884" i="1"/>
  <c r="M493" i="1"/>
  <c r="M490" i="1"/>
  <c r="M487" i="1"/>
  <c r="M485" i="1"/>
  <c r="M482" i="1"/>
  <c r="M422" i="1"/>
  <c r="M418" i="1"/>
  <c r="M414" i="1"/>
  <c r="M412" i="1"/>
  <c r="M410" i="1"/>
  <c r="M408" i="1"/>
  <c r="M406" i="1"/>
  <c r="M404" i="1"/>
  <c r="M159" i="1"/>
  <c r="M35" i="1"/>
  <c r="M38" i="1"/>
  <c r="M40" i="1"/>
  <c r="M43" i="1"/>
  <c r="M1634" i="1"/>
  <c r="M1601" i="1"/>
  <c r="M1599" i="1"/>
  <c r="M1622" i="1"/>
  <c r="M1597" i="1"/>
  <c r="M1765" i="1"/>
  <c r="M1763" i="1"/>
  <c r="M1590" i="1"/>
  <c r="M1587" i="1"/>
  <c r="M1758" i="1"/>
  <c r="M1444" i="1"/>
  <c r="M1442" i="1"/>
  <c r="M1298" i="1"/>
  <c r="M1300" i="1"/>
  <c r="M1594" i="1"/>
  <c r="M1592" i="1"/>
  <c r="M1242" i="1"/>
  <c r="M1240" i="1"/>
  <c r="M1482" i="1"/>
  <c r="M1582" i="1"/>
  <c r="M1238" i="1"/>
  <c r="M1478" i="1"/>
  <c r="M1236" i="1"/>
  <c r="M1234" i="1"/>
  <c r="M1231" i="1"/>
  <c r="M1250" i="1"/>
  <c r="M1249" i="1"/>
  <c r="M1246" i="1"/>
  <c r="M1245" i="1"/>
  <c r="M937" i="1"/>
  <c r="M927" i="1"/>
  <c r="M930" i="1"/>
  <c r="M891" i="1"/>
  <c r="M888" i="1"/>
  <c r="M924" i="1"/>
  <c r="M489" i="1"/>
  <c r="M678" i="1"/>
  <c r="M492" i="1"/>
  <c r="M417" i="1"/>
  <c r="M486" i="1"/>
  <c r="M413" i="1"/>
  <c r="M411" i="1"/>
  <c r="M409" i="1"/>
  <c r="M484" i="1"/>
  <c r="M158" i="1"/>
  <c r="M42" i="1"/>
  <c r="M481" i="1"/>
  <c r="M421" i="1"/>
  <c r="M407" i="1"/>
  <c r="M37" i="1"/>
  <c r="M405" i="1"/>
  <c r="M39" i="1"/>
  <c r="M34" i="1"/>
  <c r="M403" i="1"/>
  <c r="I1821" i="1"/>
  <c r="I1813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6" i="1"/>
  <c r="L887" i="1"/>
  <c r="L935" i="1"/>
  <c r="L920" i="1"/>
  <c r="L1048" i="1"/>
  <c r="L1480" i="1"/>
  <c r="L1584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412" i="1"/>
  <c r="L414" i="1"/>
  <c r="L889" i="1"/>
  <c r="L1235" i="1"/>
  <c r="L1237" i="1"/>
  <c r="L482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766" i="1"/>
  <c r="L43" i="1"/>
  <c r="L1479" i="1"/>
  <c r="L1764" i="1"/>
  <c r="L490" i="1"/>
  <c r="L1598" i="1"/>
  <c r="L1588" i="1"/>
  <c r="L485" i="1"/>
  <c r="L1241" i="1"/>
  <c r="L1591" i="1"/>
  <c r="L1583" i="1"/>
  <c r="L1483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404" i="1"/>
  <c r="L35" i="1"/>
  <c r="L925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593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40" i="1"/>
  <c r="L406" i="1"/>
  <c r="L38" i="1"/>
  <c r="L418" i="1"/>
  <c r="L49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884" i="1"/>
  <c r="L892" i="1"/>
  <c r="L931" i="1"/>
  <c r="L928" i="1"/>
  <c r="L1301" i="1"/>
  <c r="L1299" i="1"/>
  <c r="L1443" i="1"/>
  <c r="L1623" i="1"/>
  <c r="L1600" i="1"/>
  <c r="L1621" i="1"/>
  <c r="L1232" i="1"/>
  <c r="L159" i="1"/>
  <c r="L1445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239" i="1"/>
  <c r="L1625" i="1"/>
  <c r="L1626" i="1"/>
  <c r="L1627" i="1"/>
  <c r="L1628" i="1"/>
  <c r="L1629" i="1"/>
  <c r="L1630" i="1"/>
  <c r="L1631" i="1"/>
  <c r="L1632" i="1"/>
  <c r="L1633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243" i="1"/>
  <c r="L1759" i="1"/>
  <c r="L410" i="1"/>
  <c r="L487" i="1"/>
  <c r="L1595" i="1"/>
  <c r="L938" i="1"/>
  <c r="L1635" i="1"/>
  <c r="L422" i="1"/>
  <c r="L40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5" i="1"/>
  <c r="K887" i="1"/>
  <c r="K935" i="1"/>
  <c r="K920" i="1"/>
  <c r="K1048" i="1"/>
  <c r="K1480" i="1"/>
  <c r="K1584" i="1"/>
  <c r="K33" i="1"/>
  <c r="K921" i="1"/>
  <c r="K936" i="1"/>
  <c r="K1244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248" i="1"/>
  <c r="K403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34" i="1"/>
  <c r="K39" i="1"/>
  <c r="K405" i="1"/>
  <c r="K37" i="1"/>
  <c r="K407" i="1"/>
  <c r="K421" i="1"/>
  <c r="K481" i="1"/>
  <c r="K42" i="1"/>
  <c r="K158" i="1"/>
  <c r="K484" i="1"/>
  <c r="K409" i="1"/>
  <c r="K411" i="1"/>
  <c r="K413" i="1"/>
  <c r="K486" i="1"/>
  <c r="K417" i="1"/>
  <c r="K492" i="1"/>
  <c r="K678" i="1"/>
  <c r="K489" i="1"/>
  <c r="K924" i="1"/>
  <c r="K888" i="1"/>
  <c r="K891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930" i="1"/>
  <c r="K927" i="1"/>
  <c r="K937" i="1"/>
  <c r="K1245" i="1"/>
  <c r="K1246" i="1"/>
  <c r="K1249" i="1"/>
  <c r="K1250" i="1"/>
  <c r="K1231" i="1"/>
  <c r="K1234" i="1"/>
  <c r="K1236" i="1"/>
  <c r="K1478" i="1"/>
  <c r="K1238" i="1"/>
  <c r="K1582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1482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1240" i="1"/>
  <c r="K1242" i="1"/>
  <c r="K1592" i="1"/>
  <c r="K1594" i="1"/>
  <c r="K1300" i="1"/>
  <c r="K1298" i="1"/>
  <c r="K1442" i="1"/>
  <c r="K1444" i="1"/>
  <c r="K1758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1587" i="1"/>
  <c r="K1590" i="1"/>
  <c r="K1763" i="1"/>
  <c r="K1765" i="1"/>
  <c r="K1597" i="1"/>
  <c r="K1622" i="1"/>
  <c r="K1599" i="1"/>
  <c r="K1601" i="1"/>
  <c r="K1634" i="1"/>
  <c r="K412" i="1"/>
  <c r="K414" i="1"/>
  <c r="K889" i="1"/>
  <c r="K1235" i="1"/>
  <c r="K1237" i="1"/>
  <c r="K482" i="1"/>
  <c r="K1247" i="1"/>
  <c r="K1251" i="1"/>
  <c r="K483" i="1"/>
  <c r="K1233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402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890" i="1"/>
  <c r="K1585" i="1"/>
  <c r="K1767" i="1"/>
  <c r="K1766" i="1"/>
  <c r="K43" i="1"/>
  <c r="K1479" i="1"/>
  <c r="K1764" i="1"/>
  <c r="K490" i="1"/>
  <c r="K1598" i="1"/>
  <c r="K1588" i="1"/>
  <c r="K485" i="1"/>
  <c r="K1241" i="1"/>
  <c r="K885" i="1"/>
  <c r="K933" i="1"/>
  <c r="K934" i="1"/>
  <c r="K1481" i="1"/>
  <c r="K1760" i="1"/>
  <c r="K1591" i="1"/>
  <c r="K1583" i="1"/>
  <c r="K1483" i="1"/>
  <c r="K886" i="1"/>
  <c r="K488" i="1"/>
  <c r="K922" i="1"/>
  <c r="K1253" i="1"/>
  <c r="K1254" i="1"/>
  <c r="K1255" i="1"/>
  <c r="K1256" i="1"/>
  <c r="K92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761" i="1"/>
  <c r="K1589" i="1"/>
  <c r="K404" i="1"/>
  <c r="K35" i="1"/>
  <c r="K925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593" i="1"/>
  <c r="K41" i="1"/>
  <c r="K923" i="1"/>
  <c r="K1252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586" i="1"/>
  <c r="K40" i="1"/>
  <c r="K406" i="1"/>
  <c r="K38" i="1"/>
  <c r="K418" i="1"/>
  <c r="K49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884" i="1"/>
  <c r="K892" i="1"/>
  <c r="K931" i="1"/>
  <c r="K928" i="1"/>
  <c r="K1301" i="1"/>
  <c r="K1299" i="1"/>
  <c r="K1443" i="1"/>
  <c r="K1623" i="1"/>
  <c r="K1600" i="1"/>
  <c r="K1621" i="1"/>
  <c r="K1232" i="1"/>
  <c r="K1624" i="1"/>
  <c r="K1768" i="1"/>
  <c r="K159" i="1"/>
  <c r="K1445" i="1"/>
  <c r="K491" i="1"/>
  <c r="K415" i="1"/>
  <c r="K416" i="1"/>
  <c r="K1229" i="1"/>
  <c r="K1230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297" i="1"/>
  <c r="K1596" i="1"/>
  <c r="K420" i="1"/>
  <c r="K1239" i="1"/>
  <c r="K1625" i="1"/>
  <c r="K1626" i="1"/>
  <c r="K1627" i="1"/>
  <c r="K1628" i="1"/>
  <c r="K1629" i="1"/>
  <c r="K1630" i="1"/>
  <c r="K1631" i="1"/>
  <c r="K1632" i="1"/>
  <c r="K1633" i="1"/>
  <c r="K419" i="1"/>
  <c r="K929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932" i="1"/>
  <c r="K1762" i="1"/>
  <c r="K1243" i="1"/>
  <c r="K1759" i="1"/>
  <c r="K410" i="1"/>
  <c r="K487" i="1"/>
  <c r="K1595" i="1"/>
  <c r="K938" i="1"/>
  <c r="K1635" i="1"/>
  <c r="K422" i="1"/>
  <c r="K40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6" i="1"/>
  <c r="J887" i="1"/>
  <c r="J935" i="1"/>
  <c r="J920" i="1"/>
  <c r="J1048" i="1"/>
  <c r="J1480" i="1"/>
  <c r="J1584" i="1"/>
  <c r="J33" i="1"/>
  <c r="J921" i="1"/>
  <c r="J936" i="1"/>
  <c r="J1244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248" i="1"/>
  <c r="J403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34" i="1"/>
  <c r="J39" i="1"/>
  <c r="J405" i="1"/>
  <c r="J37" i="1"/>
  <c r="J407" i="1"/>
  <c r="J421" i="1"/>
  <c r="J481" i="1"/>
  <c r="J42" i="1"/>
  <c r="J158" i="1"/>
  <c r="J484" i="1"/>
  <c r="J409" i="1"/>
  <c r="J411" i="1"/>
  <c r="J413" i="1"/>
  <c r="J486" i="1"/>
  <c r="J417" i="1"/>
  <c r="J492" i="1"/>
  <c r="J678" i="1"/>
  <c r="J489" i="1"/>
  <c r="J924" i="1"/>
  <c r="J888" i="1"/>
  <c r="J891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930" i="1"/>
  <c r="J927" i="1"/>
  <c r="J937" i="1"/>
  <c r="J1245" i="1"/>
  <c r="J1246" i="1"/>
  <c r="J1249" i="1"/>
  <c r="J1250" i="1"/>
  <c r="J1231" i="1"/>
  <c r="J1234" i="1"/>
  <c r="J1236" i="1"/>
  <c r="J1478" i="1"/>
  <c r="J1238" i="1"/>
  <c r="J1582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1482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1240" i="1"/>
  <c r="J1242" i="1"/>
  <c r="J1592" i="1"/>
  <c r="J1594" i="1"/>
  <c r="J1300" i="1"/>
  <c r="J1298" i="1"/>
  <c r="J1442" i="1"/>
  <c r="J1444" i="1"/>
  <c r="J1758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1587" i="1"/>
  <c r="J1590" i="1"/>
  <c r="J1763" i="1"/>
  <c r="J1765" i="1"/>
  <c r="J1597" i="1"/>
  <c r="J1622" i="1"/>
  <c r="J1599" i="1"/>
  <c r="J1601" i="1"/>
  <c r="J1634" i="1"/>
  <c r="J412" i="1"/>
  <c r="J414" i="1"/>
  <c r="J889" i="1"/>
  <c r="J1235" i="1"/>
  <c r="J1237" i="1"/>
  <c r="J482" i="1"/>
  <c r="J1247" i="1"/>
  <c r="J1251" i="1"/>
  <c r="J483" i="1"/>
  <c r="J1233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402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890" i="1"/>
  <c r="J1585" i="1"/>
  <c r="J1767" i="1"/>
  <c r="J1766" i="1"/>
  <c r="J43" i="1"/>
  <c r="J1479" i="1"/>
  <c r="J1764" i="1"/>
  <c r="J490" i="1"/>
  <c r="J1598" i="1"/>
  <c r="J1588" i="1"/>
  <c r="J485" i="1"/>
  <c r="J1241" i="1"/>
  <c r="J885" i="1"/>
  <c r="J933" i="1"/>
  <c r="J934" i="1"/>
  <c r="J1481" i="1"/>
  <c r="J1760" i="1"/>
  <c r="J1591" i="1"/>
  <c r="J1583" i="1"/>
  <c r="J1483" i="1"/>
  <c r="J886" i="1"/>
  <c r="J488" i="1"/>
  <c r="J922" i="1"/>
  <c r="J1253" i="1"/>
  <c r="J1254" i="1"/>
  <c r="J1255" i="1"/>
  <c r="J1256" i="1"/>
  <c r="J92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761" i="1"/>
  <c r="J1589" i="1"/>
  <c r="J404" i="1"/>
  <c r="J35" i="1"/>
  <c r="J925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593" i="1"/>
  <c r="J41" i="1"/>
  <c r="J923" i="1"/>
  <c r="J1252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586" i="1"/>
  <c r="J40" i="1"/>
  <c r="J406" i="1"/>
  <c r="J38" i="1"/>
  <c r="J418" i="1"/>
  <c r="J49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884" i="1"/>
  <c r="J892" i="1"/>
  <c r="J931" i="1"/>
  <c r="J928" i="1"/>
  <c r="J1301" i="1"/>
  <c r="J1299" i="1"/>
  <c r="J1443" i="1"/>
  <c r="J1623" i="1"/>
  <c r="J1600" i="1"/>
  <c r="J1621" i="1"/>
  <c r="J1232" i="1"/>
  <c r="J1624" i="1"/>
  <c r="J1768" i="1"/>
  <c r="J159" i="1"/>
  <c r="J1445" i="1"/>
  <c r="J491" i="1"/>
  <c r="J415" i="1"/>
  <c r="J416" i="1"/>
  <c r="J1229" i="1"/>
  <c r="J1230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297" i="1"/>
  <c r="J1596" i="1"/>
  <c r="J420" i="1"/>
  <c r="J1239" i="1"/>
  <c r="J1625" i="1"/>
  <c r="J1626" i="1"/>
  <c r="J1627" i="1"/>
  <c r="J1628" i="1"/>
  <c r="J1629" i="1"/>
  <c r="J1630" i="1"/>
  <c r="J1631" i="1"/>
  <c r="J1632" i="1"/>
  <c r="J1633" i="1"/>
  <c r="J419" i="1"/>
  <c r="J929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932" i="1"/>
  <c r="J1762" i="1"/>
  <c r="J1243" i="1"/>
  <c r="J1759" i="1"/>
  <c r="J410" i="1"/>
  <c r="J487" i="1"/>
  <c r="J1595" i="1"/>
  <c r="J938" i="1"/>
  <c r="J1635" i="1"/>
  <c r="J422" i="1"/>
  <c r="J40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6" i="1"/>
  <c r="E1808" i="1"/>
  <c r="F1808" i="1"/>
  <c r="N1808" i="1"/>
  <c r="O1808" i="1"/>
  <c r="D1808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932" i="1"/>
  <c r="I1762" i="1"/>
  <c r="I1243" i="1"/>
  <c r="I1759" i="1"/>
  <c r="I410" i="1"/>
  <c r="I487" i="1"/>
  <c r="I1595" i="1"/>
  <c r="I938" i="1"/>
  <c r="I1635" i="1"/>
  <c r="I422" i="1"/>
  <c r="I408" i="1"/>
  <c r="I1769" i="1"/>
  <c r="I1770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297" i="1"/>
  <c r="I1596" i="1"/>
  <c r="I420" i="1"/>
  <c r="I1239" i="1"/>
  <c r="I1625" i="1"/>
  <c r="I1626" i="1"/>
  <c r="I1627" i="1"/>
  <c r="I1628" i="1"/>
  <c r="I1629" i="1"/>
  <c r="I1630" i="1"/>
  <c r="I1631" i="1"/>
  <c r="I1632" i="1"/>
  <c r="I1633" i="1"/>
  <c r="I419" i="1"/>
  <c r="I929" i="1"/>
  <c r="I1636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884" i="1"/>
  <c r="I892" i="1"/>
  <c r="I931" i="1"/>
  <c r="I928" i="1"/>
  <c r="I1301" i="1"/>
  <c r="I1299" i="1"/>
  <c r="I1443" i="1"/>
  <c r="I1623" i="1"/>
  <c r="I1600" i="1"/>
  <c r="I1621" i="1"/>
  <c r="I1232" i="1"/>
  <c r="I1624" i="1"/>
  <c r="I1768" i="1"/>
  <c r="I159" i="1"/>
  <c r="I1445" i="1"/>
  <c r="I491" i="1"/>
  <c r="I415" i="1"/>
  <c r="I416" i="1"/>
  <c r="I1229" i="1"/>
  <c r="I1230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6" i="1"/>
  <c r="I40" i="1"/>
  <c r="I406" i="1"/>
  <c r="I38" i="1"/>
  <c r="I418" i="1"/>
  <c r="I493" i="1"/>
  <c r="I1484" i="1"/>
  <c r="I1485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248" i="1"/>
  <c r="I403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M190" i="1" s="1"/>
  <c r="I191" i="1"/>
  <c r="I192" i="1"/>
  <c r="I193" i="1"/>
  <c r="I194" i="1"/>
  <c r="I195" i="1"/>
  <c r="I196" i="1"/>
  <c r="M196" i="1" s="1"/>
  <c r="I197" i="1"/>
  <c r="I198" i="1"/>
  <c r="I199" i="1"/>
  <c r="I200" i="1"/>
  <c r="M200" i="1" s="1"/>
  <c r="I201" i="1"/>
  <c r="I202" i="1"/>
  <c r="I203" i="1"/>
  <c r="I204" i="1"/>
  <c r="I205" i="1"/>
  <c r="I206" i="1"/>
  <c r="I207" i="1"/>
  <c r="I208" i="1"/>
  <c r="I209" i="1"/>
  <c r="M209" i="1" s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34" i="1"/>
  <c r="I39" i="1"/>
  <c r="I405" i="1"/>
  <c r="I37" i="1"/>
  <c r="I407" i="1"/>
  <c r="I421" i="1"/>
  <c r="I481" i="1"/>
  <c r="I42" i="1"/>
  <c r="I158" i="1"/>
  <c r="I484" i="1"/>
  <c r="I409" i="1"/>
  <c r="I411" i="1"/>
  <c r="I413" i="1"/>
  <c r="I486" i="1"/>
  <c r="I417" i="1"/>
  <c r="I492" i="1"/>
  <c r="I678" i="1"/>
  <c r="I489" i="1"/>
  <c r="I924" i="1"/>
  <c r="I888" i="1"/>
  <c r="I891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M472" i="1" s="1"/>
  <c r="I473" i="1"/>
  <c r="I474" i="1"/>
  <c r="I475" i="1"/>
  <c r="I476" i="1"/>
  <c r="I477" i="1"/>
  <c r="I478" i="1"/>
  <c r="I479" i="1"/>
  <c r="I480" i="1"/>
  <c r="I930" i="1"/>
  <c r="I927" i="1"/>
  <c r="I937" i="1"/>
  <c r="I1245" i="1"/>
  <c r="I1246" i="1"/>
  <c r="I1249" i="1"/>
  <c r="I1250" i="1"/>
  <c r="I1231" i="1"/>
  <c r="I1234" i="1"/>
  <c r="I1236" i="1"/>
  <c r="I1478" i="1"/>
  <c r="I1238" i="1"/>
  <c r="I1582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M600" i="1" s="1"/>
  <c r="I601" i="1"/>
  <c r="I602" i="1"/>
  <c r="I603" i="1"/>
  <c r="I604" i="1"/>
  <c r="I605" i="1"/>
  <c r="I606" i="1"/>
  <c r="I607" i="1"/>
  <c r="I608" i="1"/>
  <c r="I609" i="1"/>
  <c r="M609" i="1" s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M625" i="1" s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M664" i="1" s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1482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M760" i="1" s="1"/>
  <c r="I761" i="1"/>
  <c r="I762" i="1"/>
  <c r="I763" i="1"/>
  <c r="I764" i="1"/>
  <c r="I765" i="1"/>
  <c r="I766" i="1"/>
  <c r="I767" i="1"/>
  <c r="I768" i="1"/>
  <c r="I769" i="1"/>
  <c r="M769" i="1" s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M881" i="1" s="1"/>
  <c r="I882" i="1"/>
  <c r="I883" i="1"/>
  <c r="I1240" i="1"/>
  <c r="I1242" i="1"/>
  <c r="I1592" i="1"/>
  <c r="I1594" i="1"/>
  <c r="I1300" i="1"/>
  <c r="I1298" i="1"/>
  <c r="I1442" i="1"/>
  <c r="I1444" i="1"/>
  <c r="I1758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1587" i="1"/>
  <c r="I1590" i="1"/>
  <c r="I1763" i="1"/>
  <c r="I1765" i="1"/>
  <c r="I1597" i="1"/>
  <c r="I1622" i="1"/>
  <c r="I1599" i="1"/>
  <c r="I1601" i="1"/>
  <c r="I1634" i="1"/>
  <c r="I412" i="1"/>
  <c r="I414" i="1"/>
  <c r="I889" i="1"/>
  <c r="I1235" i="1"/>
  <c r="I1237" i="1"/>
  <c r="I482" i="1"/>
  <c r="I1247" i="1"/>
  <c r="I1251" i="1"/>
  <c r="I483" i="1"/>
  <c r="I1233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M1020" i="1" s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402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890" i="1"/>
  <c r="I1585" i="1"/>
  <c r="I1767" i="1"/>
  <c r="I1766" i="1"/>
  <c r="I43" i="1"/>
  <c r="I1479" i="1"/>
  <c r="I1764" i="1"/>
  <c r="I490" i="1"/>
  <c r="I1598" i="1"/>
  <c r="I1588" i="1"/>
  <c r="I485" i="1"/>
  <c r="I1241" i="1"/>
  <c r="I885" i="1"/>
  <c r="I933" i="1"/>
  <c r="I934" i="1"/>
  <c r="I1481" i="1"/>
  <c r="I1760" i="1"/>
  <c r="I1591" i="1"/>
  <c r="I1583" i="1"/>
  <c r="I1483" i="1"/>
  <c r="I886" i="1"/>
  <c r="I488" i="1"/>
  <c r="I922" i="1"/>
  <c r="I1253" i="1"/>
  <c r="I1254" i="1"/>
  <c r="I1255" i="1"/>
  <c r="I1256" i="1"/>
  <c r="I92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761" i="1"/>
  <c r="I1589" i="1"/>
  <c r="I404" i="1"/>
  <c r="I35" i="1"/>
  <c r="I925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593" i="1"/>
  <c r="I41" i="1"/>
  <c r="I923" i="1"/>
  <c r="I1252" i="1"/>
  <c r="I1446" i="1"/>
  <c r="I1447" i="1"/>
  <c r="I1448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M112" i="1" s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244" i="1"/>
  <c r="I936" i="1"/>
  <c r="M936" i="1" s="1"/>
  <c r="I921" i="1"/>
  <c r="M921" i="1" s="1"/>
  <c r="I33" i="1"/>
  <c r="I1584" i="1"/>
  <c r="I1480" i="1"/>
  <c r="M1480" i="1" s="1"/>
  <c r="I1048" i="1"/>
  <c r="M1048" i="1" s="1"/>
  <c r="I920" i="1"/>
  <c r="M920" i="1" s="1"/>
  <c r="I935" i="1"/>
  <c r="I887" i="1"/>
  <c r="M887" i="1" s="1"/>
  <c r="I36" i="1"/>
  <c r="Q1453" i="6"/>
  <c r="J1453" i="6"/>
  <c r="K1809" i="1" s="1"/>
  <c r="G1634" i="1"/>
  <c r="G1601" i="1"/>
  <c r="G1599" i="1"/>
  <c r="G1622" i="1"/>
  <c r="G1597" i="1"/>
  <c r="G1765" i="1"/>
  <c r="G1763" i="1"/>
  <c r="G1590" i="1"/>
  <c r="G1587" i="1"/>
  <c r="G1758" i="1"/>
  <c r="G1444" i="1"/>
  <c r="G1442" i="1"/>
  <c r="G1298" i="1"/>
  <c r="G1300" i="1"/>
  <c r="G1594" i="1"/>
  <c r="G1592" i="1"/>
  <c r="G1242" i="1"/>
  <c r="G1240" i="1"/>
  <c r="G1482" i="1"/>
  <c r="G1582" i="1"/>
  <c r="G1238" i="1"/>
  <c r="G1478" i="1"/>
  <c r="G1236" i="1"/>
  <c r="G1234" i="1"/>
  <c r="G1231" i="1"/>
  <c r="G1250" i="1"/>
  <c r="G1249" i="1"/>
  <c r="G1246" i="1"/>
  <c r="G1245" i="1"/>
  <c r="G937" i="1"/>
  <c r="G927" i="1"/>
  <c r="G930" i="1"/>
  <c r="G891" i="1"/>
  <c r="G888" i="1"/>
  <c r="G924" i="1"/>
  <c r="G489" i="1"/>
  <c r="G678" i="1"/>
  <c r="G492" i="1"/>
  <c r="G417" i="1"/>
  <c r="G486" i="1"/>
  <c r="G413" i="1"/>
  <c r="G411" i="1"/>
  <c r="G409" i="1"/>
  <c r="G484" i="1"/>
  <c r="G158" i="1"/>
  <c r="G42" i="1"/>
  <c r="G481" i="1"/>
  <c r="G421" i="1"/>
  <c r="G407" i="1"/>
  <c r="G37" i="1"/>
  <c r="G405" i="1"/>
  <c r="G39" i="1"/>
  <c r="G34" i="1"/>
  <c r="G412" i="1"/>
  <c r="H412" i="1" s="1"/>
  <c r="G414" i="1"/>
  <c r="H414" i="1" s="1"/>
  <c r="G889" i="1"/>
  <c r="H889" i="1" s="1"/>
  <c r="G1235" i="1"/>
  <c r="H1235" i="1" s="1"/>
  <c r="G1237" i="1"/>
  <c r="H1237" i="1" s="1"/>
  <c r="G482" i="1"/>
  <c r="H482" i="1" s="1"/>
  <c r="G1247" i="1"/>
  <c r="H1247" i="1" s="1"/>
  <c r="G1251" i="1"/>
  <c r="H1251" i="1" s="1"/>
  <c r="G483" i="1"/>
  <c r="H483" i="1" s="1"/>
  <c r="G1233" i="1"/>
  <c r="H1233" i="1" s="1"/>
  <c r="G402" i="1"/>
  <c r="H402" i="1" s="1"/>
  <c r="G890" i="1"/>
  <c r="H890" i="1" s="1"/>
  <c r="G1585" i="1"/>
  <c r="H1585" i="1" s="1"/>
  <c r="G1767" i="1"/>
  <c r="H1767" i="1" s="1"/>
  <c r="G1766" i="1"/>
  <c r="H1766" i="1" s="1"/>
  <c r="G43" i="1"/>
  <c r="H43" i="1" s="1"/>
  <c r="G1479" i="1"/>
  <c r="H1479" i="1" s="1"/>
  <c r="G1764" i="1"/>
  <c r="H1764" i="1" s="1"/>
  <c r="G490" i="1"/>
  <c r="H490" i="1" s="1"/>
  <c r="G1598" i="1"/>
  <c r="H1598" i="1" s="1"/>
  <c r="G1588" i="1"/>
  <c r="H1588" i="1" s="1"/>
  <c r="G485" i="1"/>
  <c r="H485" i="1" s="1"/>
  <c r="G1241" i="1"/>
  <c r="H1241" i="1" s="1"/>
  <c r="G885" i="1"/>
  <c r="H885" i="1" s="1"/>
  <c r="G933" i="1"/>
  <c r="H933" i="1" s="1"/>
  <c r="G934" i="1"/>
  <c r="H934" i="1" s="1"/>
  <c r="G1481" i="1"/>
  <c r="H1481" i="1" s="1"/>
  <c r="G1760" i="1"/>
  <c r="H1760" i="1" s="1"/>
  <c r="G1591" i="1"/>
  <c r="H1591" i="1" s="1"/>
  <c r="G1583" i="1"/>
  <c r="H1583" i="1" s="1"/>
  <c r="G1483" i="1"/>
  <c r="H1483" i="1" s="1"/>
  <c r="G886" i="1"/>
  <c r="H886" i="1" s="1"/>
  <c r="G488" i="1"/>
  <c r="H488" i="1" s="1"/>
  <c r="G922" i="1"/>
  <c r="L922" i="1" s="1"/>
  <c r="G1253" i="1"/>
  <c r="H1253" i="1" s="1"/>
  <c r="G1254" i="1"/>
  <c r="H1254" i="1" s="1"/>
  <c r="G1255" i="1"/>
  <c r="H1255" i="1" s="1"/>
  <c r="G1256" i="1"/>
  <c r="H1256" i="1" s="1"/>
  <c r="G926" i="1"/>
  <c r="H926" i="1" s="1"/>
  <c r="G1296" i="1"/>
  <c r="H1296" i="1" s="1"/>
  <c r="G1761" i="1"/>
  <c r="H1761" i="1" s="1"/>
  <c r="G1589" i="1"/>
  <c r="H1589" i="1" s="1"/>
  <c r="G404" i="1"/>
  <c r="H404" i="1" s="1"/>
  <c r="G35" i="1"/>
  <c r="H35" i="1" s="1"/>
  <c r="G925" i="1"/>
  <c r="H925" i="1" s="1"/>
  <c r="G1593" i="1"/>
  <c r="H1593" i="1" s="1"/>
  <c r="G41" i="1"/>
  <c r="H41" i="1" s="1"/>
  <c r="G923" i="1"/>
  <c r="H923" i="1" s="1"/>
  <c r="G1252" i="1"/>
  <c r="H1252" i="1" s="1"/>
  <c r="G1586" i="1"/>
  <c r="H1586" i="1" s="1"/>
  <c r="G40" i="1"/>
  <c r="H40" i="1" s="1"/>
  <c r="G406" i="1"/>
  <c r="H406" i="1" s="1"/>
  <c r="G38" i="1"/>
  <c r="H38" i="1" s="1"/>
  <c r="G418" i="1"/>
  <c r="H418" i="1" s="1"/>
  <c r="G493" i="1"/>
  <c r="H493" i="1" s="1"/>
  <c r="G884" i="1"/>
  <c r="H884" i="1" s="1"/>
  <c r="G892" i="1"/>
  <c r="H892" i="1" s="1"/>
  <c r="G931" i="1"/>
  <c r="H931" i="1" s="1"/>
  <c r="G928" i="1"/>
  <c r="H928" i="1" s="1"/>
  <c r="G1301" i="1"/>
  <c r="H1301" i="1" s="1"/>
  <c r="G1299" i="1"/>
  <c r="H1299" i="1" s="1"/>
  <c r="G1443" i="1"/>
  <c r="H1443" i="1" s="1"/>
  <c r="G1623" i="1"/>
  <c r="H1623" i="1" s="1"/>
  <c r="G1600" i="1"/>
  <c r="H1600" i="1" s="1"/>
  <c r="G1621" i="1"/>
  <c r="H1621" i="1" s="1"/>
  <c r="G1232" i="1"/>
  <c r="H1232" i="1" s="1"/>
  <c r="G1624" i="1"/>
  <c r="H1624" i="1" s="1"/>
  <c r="G1768" i="1"/>
  <c r="H1768" i="1" s="1"/>
  <c r="G159" i="1"/>
  <c r="H159" i="1" s="1"/>
  <c r="G1445" i="1"/>
  <c r="H1445" i="1" s="1"/>
  <c r="G403" i="1"/>
  <c r="G408" i="1"/>
  <c r="H408" i="1" s="1"/>
  <c r="G422" i="1"/>
  <c r="H422" i="1" s="1"/>
  <c r="G1635" i="1"/>
  <c r="H1635" i="1" s="1"/>
  <c r="G938" i="1"/>
  <c r="H938" i="1" s="1"/>
  <c r="G1595" i="1"/>
  <c r="H1595" i="1" s="1"/>
  <c r="G487" i="1"/>
  <c r="H487" i="1" s="1"/>
  <c r="G410" i="1"/>
  <c r="H410" i="1" s="1"/>
  <c r="G1759" i="1"/>
  <c r="H1759" i="1" s="1"/>
  <c r="G1243" i="1"/>
  <c r="H1243" i="1" s="1"/>
  <c r="G1762" i="1"/>
  <c r="H1762" i="1" s="1"/>
  <c r="G932" i="1"/>
  <c r="H932" i="1" s="1"/>
  <c r="G929" i="1"/>
  <c r="H929" i="1" s="1"/>
  <c r="G419" i="1"/>
  <c r="H419" i="1" s="1"/>
  <c r="G1239" i="1"/>
  <c r="H1239" i="1" s="1"/>
  <c r="G420" i="1"/>
  <c r="H420" i="1" s="1"/>
  <c r="G1596" i="1"/>
  <c r="H1596" i="1" s="1"/>
  <c r="G1297" i="1"/>
  <c r="H1297" i="1" s="1"/>
  <c r="G1230" i="1"/>
  <c r="H1230" i="1" s="1"/>
  <c r="G1229" i="1"/>
  <c r="H1229" i="1" s="1"/>
  <c r="G416" i="1"/>
  <c r="H416" i="1" s="1"/>
  <c r="G415" i="1"/>
  <c r="H415" i="1" s="1"/>
  <c r="G491" i="1"/>
  <c r="H491" i="1" s="1"/>
  <c r="G1248" i="1"/>
  <c r="H1248" i="1" s="1"/>
  <c r="G1244" i="1"/>
  <c r="H1244" i="1" s="1"/>
  <c r="G936" i="1"/>
  <c r="H936" i="1" s="1"/>
  <c r="G921" i="1"/>
  <c r="H921" i="1" s="1"/>
  <c r="G33" i="1"/>
  <c r="H33" i="1" s="1"/>
  <c r="G1584" i="1"/>
  <c r="H1584" i="1" s="1"/>
  <c r="G1480" i="1"/>
  <c r="H1480" i="1" s="1"/>
  <c r="G1048" i="1"/>
  <c r="H1048" i="1" s="1"/>
  <c r="G920" i="1"/>
  <c r="H920" i="1" s="1"/>
  <c r="G935" i="1"/>
  <c r="H935" i="1" s="1"/>
  <c r="G887" i="1"/>
  <c r="H887" i="1" s="1"/>
  <c r="G36" i="1"/>
  <c r="H36" i="1" s="1"/>
  <c r="M825" i="1" l="1"/>
  <c r="M697" i="1"/>
  <c r="M569" i="1"/>
  <c r="M441" i="1"/>
  <c r="M36" i="1"/>
  <c r="M922" i="1"/>
  <c r="M191" i="1"/>
  <c r="M95" i="1"/>
  <c r="M79" i="1"/>
  <c r="M47" i="1"/>
  <c r="M192" i="1"/>
  <c r="M935" i="1"/>
  <c r="M1584" i="1"/>
  <c r="M1210" i="1"/>
  <c r="M1050" i="1"/>
  <c r="M1289" i="1"/>
  <c r="M1065" i="1"/>
  <c r="M15" i="1"/>
  <c r="M1122" i="1"/>
  <c r="M1106" i="1"/>
  <c r="M834" i="1"/>
  <c r="M802" i="1"/>
  <c r="M738" i="1"/>
  <c r="M546" i="1"/>
  <c r="M514" i="1"/>
  <c r="M466" i="1"/>
  <c r="M1411" i="1"/>
  <c r="M1315" i="1"/>
  <c r="M113" i="1"/>
  <c r="M459" i="1"/>
  <c r="M427" i="1"/>
  <c r="M57" i="1"/>
  <c r="M1131" i="1"/>
  <c r="M539" i="1"/>
  <c r="M1115" i="1"/>
  <c r="M954" i="1"/>
  <c r="M874" i="1"/>
  <c r="M778" i="1"/>
  <c r="M329" i="1"/>
  <c r="M249" i="1"/>
  <c r="M587" i="1"/>
  <c r="M17" i="1"/>
  <c r="M1163" i="1"/>
  <c r="M1563" i="1"/>
  <c r="M820" i="1"/>
  <c r="M740" i="1"/>
  <c r="M708" i="1"/>
  <c r="M388" i="1"/>
  <c r="M179" i="1"/>
  <c r="M163" i="1"/>
  <c r="M147" i="1"/>
  <c r="M131" i="1"/>
  <c r="M1723" i="1"/>
  <c r="M994" i="1"/>
  <c r="M171" i="1"/>
  <c r="M247" i="1"/>
  <c r="M166" i="1"/>
  <c r="M263" i="1"/>
  <c r="M1201" i="1"/>
  <c r="M433" i="1"/>
  <c r="M912" i="1"/>
  <c r="M816" i="1"/>
  <c r="M768" i="1"/>
  <c r="M752" i="1"/>
  <c r="M592" i="1"/>
  <c r="M576" i="1"/>
  <c r="M496" i="1"/>
  <c r="M368" i="1"/>
  <c r="M336" i="1"/>
  <c r="M240" i="1"/>
  <c r="M1706" i="1"/>
  <c r="M1409" i="1"/>
  <c r="M1553" i="1"/>
  <c r="M1489" i="1"/>
  <c r="M983" i="1"/>
  <c r="M767" i="1"/>
  <c r="M703" i="1"/>
  <c r="M543" i="1"/>
  <c r="M255" i="1"/>
  <c r="M1477" i="1"/>
  <c r="M1721" i="1"/>
  <c r="M379" i="1"/>
  <c r="M283" i="1"/>
  <c r="M267" i="1"/>
  <c r="M203" i="1"/>
  <c r="M109" i="1"/>
  <c r="M1385" i="1"/>
  <c r="M1353" i="1"/>
  <c r="M1305" i="1"/>
  <c r="M1448" i="1"/>
  <c r="M919" i="1"/>
  <c r="M903" i="1"/>
  <c r="M806" i="1"/>
  <c r="M630" i="1"/>
  <c r="M518" i="1"/>
  <c r="M470" i="1"/>
  <c r="M390" i="1"/>
  <c r="M342" i="1"/>
  <c r="M326" i="1"/>
  <c r="M1560" i="1"/>
  <c r="M1512" i="1"/>
  <c r="M1104" i="1"/>
  <c r="M1056" i="1"/>
  <c r="M464" i="1"/>
  <c r="M958" i="1"/>
  <c r="M878" i="1"/>
  <c r="M750" i="1"/>
  <c r="M622" i="1"/>
  <c r="M430" i="1"/>
  <c r="M286" i="1"/>
  <c r="M222" i="1"/>
  <c r="M157" i="1"/>
  <c r="M394" i="1"/>
  <c r="M92" i="1"/>
  <c r="M1733" i="1"/>
  <c r="M1685" i="1"/>
  <c r="M60" i="1"/>
  <c r="M1432" i="1"/>
  <c r="M1548" i="1"/>
  <c r="M1046" i="1"/>
  <c r="M1606" i="1"/>
  <c r="M1285" i="1"/>
  <c r="M1061" i="1"/>
  <c r="M981" i="1"/>
  <c r="M869" i="1"/>
  <c r="M757" i="1"/>
  <c r="M693" i="1"/>
  <c r="M613" i="1"/>
  <c r="M437" i="1"/>
  <c r="M357" i="1"/>
  <c r="M293" i="1"/>
  <c r="M277" i="1"/>
  <c r="M245" i="1"/>
  <c r="M151" i="1"/>
  <c r="M135" i="1"/>
  <c r="M119" i="1"/>
  <c r="M54" i="1"/>
  <c r="M1451" i="1"/>
  <c r="M1603" i="1"/>
  <c r="M28" i="1"/>
  <c r="M11" i="1"/>
  <c r="M1510" i="1"/>
  <c r="M1087" i="1"/>
  <c r="M447" i="1"/>
  <c r="M1712" i="1"/>
  <c r="M1680" i="1"/>
  <c r="M29" i="1"/>
  <c r="M1743" i="1"/>
  <c r="M1727" i="1"/>
  <c r="M133" i="1"/>
  <c r="M354" i="1"/>
  <c r="M338" i="1"/>
  <c r="M322" i="1"/>
  <c r="M1575" i="1"/>
  <c r="M1527" i="1"/>
  <c r="M1646" i="1"/>
  <c r="M68" i="1"/>
  <c r="M1328" i="1"/>
  <c r="M1391" i="1"/>
  <c r="M1327" i="1"/>
  <c r="M1311" i="1"/>
  <c r="M1279" i="1"/>
  <c r="M1262" i="1"/>
  <c r="M1150" i="1"/>
  <c r="M910" i="1"/>
  <c r="M797" i="1"/>
  <c r="M317" i="1"/>
  <c r="M1776" i="1"/>
  <c r="M127" i="1"/>
  <c r="M111" i="1"/>
  <c r="M172" i="1"/>
  <c r="M78" i="1"/>
  <c r="M46" i="1"/>
  <c r="M1003" i="1"/>
  <c r="M1630" i="1"/>
  <c r="M1687" i="1"/>
  <c r="M291" i="1"/>
  <c r="M1197" i="1"/>
  <c r="M108" i="1"/>
  <c r="M91" i="1"/>
  <c r="M1271" i="1"/>
  <c r="M1191" i="1"/>
  <c r="M1127" i="1"/>
  <c r="M1471" i="1"/>
  <c r="M139" i="1"/>
  <c r="M280" i="1"/>
  <c r="M1652" i="1"/>
  <c r="M1770" i="1"/>
  <c r="M1628" i="1"/>
  <c r="M183" i="1"/>
  <c r="M1334" i="1"/>
  <c r="M1746" i="1"/>
  <c r="M1638" i="1"/>
  <c r="M1784" i="1"/>
  <c r="M1380" i="1"/>
  <c r="M1092" i="1"/>
  <c r="M916" i="1"/>
  <c r="M275" i="1"/>
  <c r="M10" i="1"/>
  <c r="M1485" i="1"/>
  <c r="M1740" i="1"/>
  <c r="M1644" i="1"/>
  <c r="M1572" i="1"/>
  <c r="M1778" i="1"/>
  <c r="M1283" i="1"/>
  <c r="M1155" i="1"/>
  <c r="M867" i="1"/>
  <c r="M49" i="1"/>
  <c r="M1309" i="1"/>
  <c r="M1165" i="1"/>
  <c r="M1101" i="1"/>
  <c r="M461" i="1"/>
  <c r="M1260" i="1"/>
  <c r="M1228" i="1"/>
  <c r="M1180" i="1"/>
  <c r="M844" i="1"/>
  <c r="M748" i="1"/>
  <c r="M684" i="1"/>
  <c r="M572" i="1"/>
  <c r="M252" i="1"/>
  <c r="M1752" i="1"/>
  <c r="M1736" i="1"/>
  <c r="M1656" i="1"/>
  <c r="M658" i="1"/>
  <c r="M370" i="1"/>
  <c r="M210" i="1"/>
  <c r="M656" i="1"/>
  <c r="M1557" i="1"/>
  <c r="M624" i="1"/>
  <c r="M9" i="1"/>
  <c r="M1054" i="1"/>
  <c r="M765" i="1"/>
  <c r="M621" i="1"/>
  <c r="M269" i="1"/>
  <c r="M173" i="1"/>
  <c r="M1324" i="1"/>
  <c r="M1434" i="1"/>
  <c r="M1226" i="1"/>
  <c r="M841" i="1"/>
  <c r="M585" i="1"/>
  <c r="M313" i="1"/>
  <c r="M1802" i="1"/>
  <c r="M152" i="1"/>
  <c r="M1381" i="1"/>
  <c r="M1173" i="1"/>
  <c r="M804" i="1"/>
  <c r="M516" i="1"/>
  <c r="M244" i="1"/>
  <c r="M228" i="1"/>
  <c r="M337" i="1"/>
  <c r="M335" i="1"/>
  <c r="M96" i="1"/>
  <c r="M1005" i="1"/>
  <c r="M126" i="1"/>
  <c r="M93" i="1"/>
  <c r="M77" i="1"/>
  <c r="M61" i="1"/>
  <c r="M45" i="1"/>
  <c r="M425" i="1"/>
  <c r="M24" i="1"/>
  <c r="M8" i="1"/>
  <c r="M1730" i="1"/>
  <c r="M1714" i="1"/>
  <c r="M1698" i="1"/>
  <c r="M1682" i="1"/>
  <c r="M1666" i="1"/>
  <c r="M1650" i="1"/>
  <c r="M1618" i="1"/>
  <c r="M1602" i="1"/>
  <c r="M1570" i="1"/>
  <c r="M1554" i="1"/>
  <c r="M1538" i="1"/>
  <c r="M1522" i="1"/>
  <c r="M1506" i="1"/>
  <c r="M1490" i="1"/>
  <c r="M1474" i="1"/>
  <c r="M1458" i="1"/>
  <c r="M1426" i="1"/>
  <c r="M1410" i="1"/>
  <c r="M1394" i="1"/>
  <c r="M1362" i="1"/>
  <c r="M1346" i="1"/>
  <c r="M1330" i="1"/>
  <c r="M1314" i="1"/>
  <c r="M1282" i="1"/>
  <c r="M1266" i="1"/>
  <c r="M1218" i="1"/>
  <c r="M1202" i="1"/>
  <c r="M1186" i="1"/>
  <c r="M1154" i="1"/>
  <c r="M1138" i="1"/>
  <c r="M1090" i="1"/>
  <c r="M1074" i="1"/>
  <c r="M1058" i="1"/>
  <c r="M1042" i="1"/>
  <c r="M1026" i="1"/>
  <c r="M1009" i="1"/>
  <c r="M993" i="1"/>
  <c r="M977" i="1"/>
  <c r="M961" i="1"/>
  <c r="M945" i="1"/>
  <c r="M913" i="1"/>
  <c r="M897" i="1"/>
  <c r="M865" i="1"/>
  <c r="M849" i="1"/>
  <c r="M833" i="1"/>
  <c r="M817" i="1"/>
  <c r="M785" i="1"/>
  <c r="M753" i="1"/>
  <c r="M737" i="1"/>
  <c r="M721" i="1"/>
  <c r="M705" i="1"/>
  <c r="M689" i="1"/>
  <c r="M673" i="1"/>
  <c r="M657" i="1"/>
  <c r="M641" i="1"/>
  <c r="M593" i="1"/>
  <c r="M577" i="1"/>
  <c r="M561" i="1"/>
  <c r="M545" i="1"/>
  <c r="M529" i="1"/>
  <c r="M497" i="1"/>
  <c r="M130" i="1"/>
  <c r="M22" i="1"/>
  <c r="M6" i="1"/>
  <c r="M1792" i="1"/>
  <c r="M1744" i="1"/>
  <c r="M1728" i="1"/>
  <c r="M1696" i="1"/>
  <c r="M1664" i="1"/>
  <c r="M1648" i="1"/>
  <c r="M1632" i="1"/>
  <c r="M1568" i="1"/>
  <c r="M1552" i="1"/>
  <c r="M1536" i="1"/>
  <c r="M1520" i="1"/>
  <c r="M1488" i="1"/>
  <c r="M1437" i="1"/>
  <c r="M876" i="1"/>
  <c r="M1501" i="1"/>
  <c r="M947" i="1"/>
  <c r="M691" i="1"/>
  <c r="M467" i="1"/>
  <c r="M227" i="1"/>
  <c r="M211" i="1"/>
  <c r="M1797" i="1"/>
  <c r="M1645" i="1"/>
  <c r="M1794" i="1"/>
  <c r="M1616" i="1"/>
  <c r="M1472" i="1"/>
  <c r="M1456" i="1"/>
  <c r="M1440" i="1"/>
  <c r="M1424" i="1"/>
  <c r="M1408" i="1"/>
  <c r="M1392" i="1"/>
  <c r="M1376" i="1"/>
  <c r="M1360" i="1"/>
  <c r="M1344" i="1"/>
  <c r="M1312" i="1"/>
  <c r="M1280" i="1"/>
  <c r="M1264" i="1"/>
  <c r="M1216" i="1"/>
  <c r="M1200" i="1"/>
  <c r="M1184" i="1"/>
  <c r="M1168" i="1"/>
  <c r="M1152" i="1"/>
  <c r="M1136" i="1"/>
  <c r="M1120" i="1"/>
  <c r="M1088" i="1"/>
  <c r="M1072" i="1"/>
  <c r="M1040" i="1"/>
  <c r="M1024" i="1"/>
  <c r="M1007" i="1"/>
  <c r="M991" i="1"/>
  <c r="M975" i="1"/>
  <c r="M959" i="1"/>
  <c r="M943" i="1"/>
  <c r="M21" i="1"/>
  <c r="M5" i="1"/>
  <c r="M1791" i="1"/>
  <c r="M1775" i="1"/>
  <c r="M1711" i="1"/>
  <c r="M1504" i="1"/>
  <c r="M1702" i="1"/>
  <c r="M32" i="1"/>
  <c r="M16" i="1"/>
  <c r="M1786" i="1"/>
  <c r="M1754" i="1"/>
  <c r="M1738" i="1"/>
  <c r="M1722" i="1"/>
  <c r="M1690" i="1"/>
  <c r="M1674" i="1"/>
  <c r="M1658" i="1"/>
  <c r="M1642" i="1"/>
  <c r="M1626" i="1"/>
  <c r="M1610" i="1"/>
  <c r="M1578" i="1"/>
  <c r="M1562" i="1"/>
  <c r="M1546" i="1"/>
  <c r="M1530" i="1"/>
  <c r="M1514" i="1"/>
  <c r="M1498" i="1"/>
  <c r="M1466" i="1"/>
  <c r="M1450" i="1"/>
  <c r="M1418" i="1"/>
  <c r="M1402" i="1"/>
  <c r="M1386" i="1"/>
  <c r="M1370" i="1"/>
  <c r="M1354" i="1"/>
  <c r="M1338" i="1"/>
  <c r="M1322" i="1"/>
  <c r="M1306" i="1"/>
  <c r="M1290" i="1"/>
  <c r="M1274" i="1"/>
  <c r="M1258" i="1"/>
  <c r="M1194" i="1"/>
  <c r="M1178" i="1"/>
  <c r="M1162" i="1"/>
  <c r="M1146" i="1"/>
  <c r="M1130" i="1"/>
  <c r="M1114" i="1"/>
  <c r="M1098" i="1"/>
  <c r="M1082" i="1"/>
  <c r="M1066" i="1"/>
  <c r="M1034" i="1"/>
  <c r="M1017" i="1"/>
  <c r="M1001" i="1"/>
  <c r="M985" i="1"/>
  <c r="M969" i="1"/>
  <c r="M953" i="1"/>
  <c r="M950" i="1"/>
  <c r="M726" i="1"/>
  <c r="M550" i="1"/>
  <c r="M294" i="1"/>
  <c r="M246" i="1"/>
  <c r="M30" i="1"/>
  <c r="M14" i="1"/>
  <c r="M1649" i="1"/>
  <c r="M1378" i="1"/>
  <c r="M1170" i="1"/>
  <c r="M1057" i="1"/>
  <c r="M801" i="1"/>
  <c r="M513" i="1"/>
  <c r="M23" i="1"/>
  <c r="M7" i="1"/>
  <c r="M1793" i="1"/>
  <c r="M1777" i="1"/>
  <c r="M1745" i="1"/>
  <c r="M1729" i="1"/>
  <c r="M1713" i="1"/>
  <c r="M1697" i="1"/>
  <c r="M1681" i="1"/>
  <c r="M1665" i="1"/>
  <c r="M1633" i="1"/>
  <c r="M1617" i="1"/>
  <c r="M1569" i="1"/>
  <c r="M1537" i="1"/>
  <c r="M1521" i="1"/>
  <c r="M1505" i="1"/>
  <c r="M1473" i="1"/>
  <c r="M1457" i="1"/>
  <c r="M1441" i="1"/>
  <c r="M1425" i="1"/>
  <c r="M1393" i="1"/>
  <c r="M1377" i="1"/>
  <c r="M1361" i="1"/>
  <c r="M1345" i="1"/>
  <c r="M1329" i="1"/>
  <c r="M1313" i="1"/>
  <c r="M1281" i="1"/>
  <c r="M1265" i="1"/>
  <c r="M1217" i="1"/>
  <c r="M1185" i="1"/>
  <c r="M1169" i="1"/>
  <c r="M1153" i="1"/>
  <c r="M1137" i="1"/>
  <c r="M1121" i="1"/>
  <c r="M1105" i="1"/>
  <c r="M1089" i="1"/>
  <c r="M1073" i="1"/>
  <c r="M1041" i="1"/>
  <c r="M1025" i="1"/>
  <c r="M1008" i="1"/>
  <c r="M992" i="1"/>
  <c r="M976" i="1"/>
  <c r="M960" i="1"/>
  <c r="M944" i="1"/>
  <c r="M896" i="1"/>
  <c r="M880" i="1"/>
  <c r="M864" i="1"/>
  <c r="M848" i="1"/>
  <c r="M832" i="1"/>
  <c r="M800" i="1"/>
  <c r="M784" i="1"/>
  <c r="M736" i="1"/>
  <c r="M720" i="1"/>
  <c r="M704" i="1"/>
  <c r="M688" i="1"/>
  <c r="M672" i="1"/>
  <c r="M640" i="1"/>
  <c r="M608" i="1"/>
  <c r="M560" i="1"/>
  <c r="M544" i="1"/>
  <c r="M528" i="1"/>
  <c r="M512" i="1"/>
  <c r="M911" i="1"/>
  <c r="M895" i="1"/>
  <c r="M879" i="1"/>
  <c r="M863" i="1"/>
  <c r="M847" i="1"/>
  <c r="M831" i="1"/>
  <c r="M815" i="1"/>
  <c r="M799" i="1"/>
  <c r="M783" i="1"/>
  <c r="M751" i="1"/>
  <c r="M735" i="1"/>
  <c r="M719" i="1"/>
  <c r="M687" i="1"/>
  <c r="M671" i="1"/>
  <c r="M655" i="1"/>
  <c r="M639" i="1"/>
  <c r="M623" i="1"/>
  <c r="M607" i="1"/>
  <c r="M591" i="1"/>
  <c r="M575" i="1"/>
  <c r="M559" i="1"/>
  <c r="M527" i="1"/>
  <c r="M511" i="1"/>
  <c r="M495" i="1"/>
  <c r="M479" i="1"/>
  <c r="M463" i="1"/>
  <c r="M431" i="1"/>
  <c r="M399" i="1"/>
  <c r="M383" i="1"/>
  <c r="M367" i="1"/>
  <c r="M351" i="1"/>
  <c r="M319" i="1"/>
  <c r="M303" i="1"/>
  <c r="M287" i="1"/>
  <c r="M271" i="1"/>
  <c r="M239" i="1"/>
  <c r="M223" i="1"/>
  <c r="M207" i="1"/>
  <c r="M174" i="1"/>
  <c r="M142" i="1"/>
  <c r="M1695" i="1"/>
  <c r="M1679" i="1"/>
  <c r="M1663" i="1"/>
  <c r="M1647" i="1"/>
  <c r="M1631" i="1"/>
  <c r="M1615" i="1"/>
  <c r="M1567" i="1"/>
  <c r="M1551" i="1"/>
  <c r="M1535" i="1"/>
  <c r="M1519" i="1"/>
  <c r="M1503" i="1"/>
  <c r="M1487" i="1"/>
  <c r="M1455" i="1"/>
  <c r="M1439" i="1"/>
  <c r="M1423" i="1"/>
  <c r="M1407" i="1"/>
  <c r="M1375" i="1"/>
  <c r="M1359" i="1"/>
  <c r="M1343" i="1"/>
  <c r="M1295" i="1"/>
  <c r="M1263" i="1"/>
  <c r="M1215" i="1"/>
  <c r="M1199" i="1"/>
  <c r="M1183" i="1"/>
  <c r="M1167" i="1"/>
  <c r="M1151" i="1"/>
  <c r="M1135" i="1"/>
  <c r="M1119" i="1"/>
  <c r="M1103" i="1"/>
  <c r="M1071" i="1"/>
  <c r="M1055" i="1"/>
  <c r="M1039" i="1"/>
  <c r="M1023" i="1"/>
  <c r="M1006" i="1"/>
  <c r="M990" i="1"/>
  <c r="M974" i="1"/>
  <c r="M942" i="1"/>
  <c r="M894" i="1"/>
  <c r="M862" i="1"/>
  <c r="M846" i="1"/>
  <c r="M830" i="1"/>
  <c r="M814" i="1"/>
  <c r="M798" i="1"/>
  <c r="M782" i="1"/>
  <c r="M766" i="1"/>
  <c r="M734" i="1"/>
  <c r="M718" i="1"/>
  <c r="M702" i="1"/>
  <c r="M686" i="1"/>
  <c r="M670" i="1"/>
  <c r="M654" i="1"/>
  <c r="M638" i="1"/>
  <c r="M606" i="1"/>
  <c r="M590" i="1"/>
  <c r="M574" i="1"/>
  <c r="M558" i="1"/>
  <c r="M542" i="1"/>
  <c r="M526" i="1"/>
  <c r="M510" i="1"/>
  <c r="M494" i="1"/>
  <c r="M478" i="1"/>
  <c r="M462" i="1"/>
  <c r="M446" i="1"/>
  <c r="M398" i="1"/>
  <c r="M382" i="1"/>
  <c r="M366" i="1"/>
  <c r="M350" i="1"/>
  <c r="M334" i="1"/>
  <c r="M318" i="1"/>
  <c r="M302" i="1"/>
  <c r="M270" i="1"/>
  <c r="M254" i="1"/>
  <c r="M238" i="1"/>
  <c r="M206" i="1"/>
  <c r="M189" i="1"/>
  <c r="M141" i="1"/>
  <c r="M125" i="1"/>
  <c r="M76" i="1"/>
  <c r="M44" i="1"/>
  <c r="M20" i="1"/>
  <c r="M1806" i="1"/>
  <c r="M1790" i="1"/>
  <c r="M1774" i="1"/>
  <c r="M1742" i="1"/>
  <c r="M1726" i="1"/>
  <c r="M1710" i="1"/>
  <c r="M1694" i="1"/>
  <c r="M1678" i="1"/>
  <c r="M1662" i="1"/>
  <c r="M1614" i="1"/>
  <c r="M1566" i="1"/>
  <c r="M1550" i="1"/>
  <c r="M1534" i="1"/>
  <c r="M1518" i="1"/>
  <c r="M1502" i="1"/>
  <c r="M1486" i="1"/>
  <c r="M1470" i="1"/>
  <c r="M1454" i="1"/>
  <c r="M1438" i="1"/>
  <c r="M1422" i="1"/>
  <c r="M1406" i="1"/>
  <c r="M1390" i="1"/>
  <c r="M1374" i="1"/>
  <c r="M1358" i="1"/>
  <c r="M1342" i="1"/>
  <c r="M1326" i="1"/>
  <c r="M1310" i="1"/>
  <c r="M1294" i="1"/>
  <c r="M1278" i="1"/>
  <c r="M1214" i="1"/>
  <c r="M1198" i="1"/>
  <c r="M1182" i="1"/>
  <c r="M1166" i="1"/>
  <c r="M1134" i="1"/>
  <c r="M1118" i="1"/>
  <c r="M1102" i="1"/>
  <c r="M1086" i="1"/>
  <c r="M1070" i="1"/>
  <c r="M1038" i="1"/>
  <c r="M1022" i="1"/>
  <c r="M989" i="1"/>
  <c r="M973" i="1"/>
  <c r="M957" i="1"/>
  <c r="M941" i="1"/>
  <c r="M909" i="1"/>
  <c r="M893" i="1"/>
  <c r="M877" i="1"/>
  <c r="M861" i="1"/>
  <c r="M845" i="1"/>
  <c r="M829" i="1"/>
  <c r="M813" i="1"/>
  <c r="M781" i="1"/>
  <c r="M749" i="1"/>
  <c r="M733" i="1"/>
  <c r="M717" i="1"/>
  <c r="M701" i="1"/>
  <c r="M685" i="1"/>
  <c r="M669" i="1"/>
  <c r="M653" i="1"/>
  <c r="M637" i="1"/>
  <c r="M605" i="1"/>
  <c r="M589" i="1"/>
  <c r="M573" i="1"/>
  <c r="M557" i="1"/>
  <c r="M541" i="1"/>
  <c r="M525" i="1"/>
  <c r="M509" i="1"/>
  <c r="M19" i="1"/>
  <c r="M1805" i="1"/>
  <c r="M1789" i="1"/>
  <c r="M1773" i="1"/>
  <c r="M1757" i="1"/>
  <c r="M1741" i="1"/>
  <c r="M1725" i="1"/>
  <c r="M1709" i="1"/>
  <c r="M1693" i="1"/>
  <c r="M1677" i="1"/>
  <c r="M1661" i="1"/>
  <c r="M1629" i="1"/>
  <c r="M1613" i="1"/>
  <c r="M1581" i="1"/>
  <c r="M1565" i="1"/>
  <c r="M1549" i="1"/>
  <c r="M1533" i="1"/>
  <c r="M1517" i="1"/>
  <c r="M1469" i="1"/>
  <c r="M1453" i="1"/>
  <c r="M1421" i="1"/>
  <c r="M1405" i="1"/>
  <c r="M1389" i="1"/>
  <c r="M1373" i="1"/>
  <c r="M1357" i="1"/>
  <c r="M1341" i="1"/>
  <c r="M1325" i="1"/>
  <c r="M1293" i="1"/>
  <c r="M1277" i="1"/>
  <c r="M1261" i="1"/>
  <c r="M1213" i="1"/>
  <c r="M1181" i="1"/>
  <c r="M1149" i="1"/>
  <c r="M1133" i="1"/>
  <c r="M1117" i="1"/>
  <c r="M1085" i="1"/>
  <c r="M1069" i="1"/>
  <c r="M1053" i="1"/>
  <c r="M1037" i="1"/>
  <c r="M1021" i="1"/>
  <c r="M1004" i="1"/>
  <c r="M988" i="1"/>
  <c r="M972" i="1"/>
  <c r="M956" i="1"/>
  <c r="M940" i="1"/>
  <c r="M908" i="1"/>
  <c r="M860" i="1"/>
  <c r="M828" i="1"/>
  <c r="M812" i="1"/>
  <c r="M796" i="1"/>
  <c r="M780" i="1"/>
  <c r="M764" i="1"/>
  <c r="M732" i="1"/>
  <c r="M716" i="1"/>
  <c r="M700" i="1"/>
  <c r="M668" i="1"/>
  <c r="M652" i="1"/>
  <c r="M636" i="1"/>
  <c r="M620" i="1"/>
  <c r="M604" i="1"/>
  <c r="M588" i="1"/>
  <c r="M556" i="1"/>
  <c r="M540" i="1"/>
  <c r="M524" i="1"/>
  <c r="M18" i="1"/>
  <c r="M1804" i="1"/>
  <c r="M1788" i="1"/>
  <c r="M1772" i="1"/>
  <c r="M1756" i="1"/>
  <c r="M1724" i="1"/>
  <c r="M1708" i="1"/>
  <c r="M1692" i="1"/>
  <c r="M1676" i="1"/>
  <c r="M1660" i="1"/>
  <c r="M1612" i="1"/>
  <c r="M1580" i="1"/>
  <c r="M1564" i="1"/>
  <c r="M1532" i="1"/>
  <c r="M1516" i="1"/>
  <c r="M1500" i="1"/>
  <c r="M1484" i="1"/>
  <c r="M1468" i="1"/>
  <c r="M1452" i="1"/>
  <c r="M1436" i="1"/>
  <c r="M1420" i="1"/>
  <c r="M1404" i="1"/>
  <c r="M1388" i="1"/>
  <c r="M1372" i="1"/>
  <c r="M1356" i="1"/>
  <c r="M1340" i="1"/>
  <c r="M1308" i="1"/>
  <c r="M1292" i="1"/>
  <c r="M1276" i="1"/>
  <c r="M1212" i="1"/>
  <c r="M1196" i="1"/>
  <c r="M1164" i="1"/>
  <c r="M1148" i="1"/>
  <c r="M1132" i="1"/>
  <c r="M1116" i="1"/>
  <c r="M1100" i="1"/>
  <c r="M1084" i="1"/>
  <c r="M1068" i="1"/>
  <c r="M1052" i="1"/>
  <c r="M1036" i="1"/>
  <c r="M1019" i="1"/>
  <c r="M987" i="1"/>
  <c r="M971" i="1"/>
  <c r="M955" i="1"/>
  <c r="M939" i="1"/>
  <c r="M907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71" i="1"/>
  <c r="M555" i="1"/>
  <c r="M523" i="1"/>
  <c r="M507" i="1"/>
  <c r="M475" i="1"/>
  <c r="M1803" i="1"/>
  <c r="M1787" i="1"/>
  <c r="M1771" i="1"/>
  <c r="M1755" i="1"/>
  <c r="M1739" i="1"/>
  <c r="M1707" i="1"/>
  <c r="M1691" i="1"/>
  <c r="M1675" i="1"/>
  <c r="M1659" i="1"/>
  <c r="M1643" i="1"/>
  <c r="M1627" i="1"/>
  <c r="M1611" i="1"/>
  <c r="M1579" i="1"/>
  <c r="M1547" i="1"/>
  <c r="M1531" i="1"/>
  <c r="M1515" i="1"/>
  <c r="M1499" i="1"/>
  <c r="M1467" i="1"/>
  <c r="M1435" i="1"/>
  <c r="M1419" i="1"/>
  <c r="M1403" i="1"/>
  <c r="M1387" i="1"/>
  <c r="M1371" i="1"/>
  <c r="M1355" i="1"/>
  <c r="M1339" i="1"/>
  <c r="M1323" i="1"/>
  <c r="M1307" i="1"/>
  <c r="M1291" i="1"/>
  <c r="M1275" i="1"/>
  <c r="M1259" i="1"/>
  <c r="M1227" i="1"/>
  <c r="M1211" i="1"/>
  <c r="M1195" i="1"/>
  <c r="M1179" i="1"/>
  <c r="M1147" i="1"/>
  <c r="M1099" i="1"/>
  <c r="M1083" i="1"/>
  <c r="M1067" i="1"/>
  <c r="M1051" i="1"/>
  <c r="M1035" i="1"/>
  <c r="M1018" i="1"/>
  <c r="M1002" i="1"/>
  <c r="M986" i="1"/>
  <c r="M970" i="1"/>
  <c r="M906" i="1"/>
  <c r="M858" i="1"/>
  <c r="M842" i="1"/>
  <c r="M826" i="1"/>
  <c r="M810" i="1"/>
  <c r="M794" i="1"/>
  <c r="M762" i="1"/>
  <c r="M746" i="1"/>
  <c r="M730" i="1"/>
  <c r="M714" i="1"/>
  <c r="M698" i="1"/>
  <c r="M682" i="1"/>
  <c r="M666" i="1"/>
  <c r="M650" i="1"/>
  <c r="M634" i="1"/>
  <c r="M618" i="1"/>
  <c r="M602" i="1"/>
  <c r="M586" i="1"/>
  <c r="M570" i="1"/>
  <c r="M905" i="1"/>
  <c r="M873" i="1"/>
  <c r="M857" i="1"/>
  <c r="M809" i="1"/>
  <c r="M793" i="1"/>
  <c r="M777" i="1"/>
  <c r="M761" i="1"/>
  <c r="M745" i="1"/>
  <c r="M729" i="1"/>
  <c r="M713" i="1"/>
  <c r="M681" i="1"/>
  <c r="M665" i="1"/>
  <c r="M649" i="1"/>
  <c r="M633" i="1"/>
  <c r="M617" i="1"/>
  <c r="M601" i="1"/>
  <c r="M553" i="1"/>
  <c r="M537" i="1"/>
  <c r="M521" i="1"/>
  <c r="M505" i="1"/>
  <c r="M473" i="1"/>
  <c r="M457" i="1"/>
  <c r="M393" i="1"/>
  <c r="M377" i="1"/>
  <c r="M361" i="1"/>
  <c r="M345" i="1"/>
  <c r="M297" i="1"/>
  <c r="M281" i="1"/>
  <c r="M265" i="1"/>
  <c r="M233" i="1"/>
  <c r="M217" i="1"/>
  <c r="M201" i="1"/>
  <c r="M184" i="1"/>
  <c r="M168" i="1"/>
  <c r="M136" i="1"/>
  <c r="M120" i="1"/>
  <c r="M103" i="1"/>
  <c r="M87" i="1"/>
  <c r="M71" i="1"/>
  <c r="M55" i="1"/>
  <c r="M31" i="1"/>
  <c r="M1801" i="1"/>
  <c r="M1785" i="1"/>
  <c r="M1769" i="1"/>
  <c r="M1753" i="1"/>
  <c r="M1737" i="1"/>
  <c r="M1705" i="1"/>
  <c r="M1689" i="1"/>
  <c r="M1673" i="1"/>
  <c r="M1657" i="1"/>
  <c r="M1641" i="1"/>
  <c r="M1625" i="1"/>
  <c r="M1609" i="1"/>
  <c r="M1577" i="1"/>
  <c r="M1561" i="1"/>
  <c r="M1545" i="1"/>
  <c r="M1529" i="1"/>
  <c r="M1513" i="1"/>
  <c r="M1497" i="1"/>
  <c r="M1465" i="1"/>
  <c r="M1449" i="1"/>
  <c r="M1433" i="1"/>
  <c r="M1417" i="1"/>
  <c r="M1401" i="1"/>
  <c r="M1369" i="1"/>
  <c r="M1337" i="1"/>
  <c r="M1321" i="1"/>
  <c r="M1273" i="1"/>
  <c r="M1257" i="1"/>
  <c r="M1225" i="1"/>
  <c r="M1209" i="1"/>
  <c r="M1193" i="1"/>
  <c r="M1177" i="1"/>
  <c r="M1161" i="1"/>
  <c r="M1145" i="1"/>
  <c r="M1129" i="1"/>
  <c r="M1113" i="1"/>
  <c r="M1097" i="1"/>
  <c r="M1081" i="1"/>
  <c r="M1049" i="1"/>
  <c r="M1033" i="1"/>
  <c r="M1016" i="1"/>
  <c r="M1000" i="1"/>
  <c r="M984" i="1"/>
  <c r="M968" i="1"/>
  <c r="M952" i="1"/>
  <c r="M904" i="1"/>
  <c r="M872" i="1"/>
  <c r="M856" i="1"/>
  <c r="M840" i="1"/>
  <c r="M824" i="1"/>
  <c r="M808" i="1"/>
  <c r="M792" i="1"/>
  <c r="M776" i="1"/>
  <c r="M744" i="1"/>
  <c r="M728" i="1"/>
  <c r="M712" i="1"/>
  <c r="M696" i="1"/>
  <c r="M680" i="1"/>
  <c r="M648" i="1"/>
  <c r="M632" i="1"/>
  <c r="M616" i="1"/>
  <c r="M584" i="1"/>
  <c r="M568" i="1"/>
  <c r="M552" i="1"/>
  <c r="M536" i="1"/>
  <c r="M520" i="1"/>
  <c r="M504" i="1"/>
  <c r="M456" i="1"/>
  <c r="M440" i="1"/>
  <c r="M424" i="1"/>
  <c r="M1800" i="1"/>
  <c r="M1720" i="1"/>
  <c r="M1704" i="1"/>
  <c r="M1688" i="1"/>
  <c r="M1672" i="1"/>
  <c r="M1640" i="1"/>
  <c r="M1608" i="1"/>
  <c r="M1576" i="1"/>
  <c r="M1544" i="1"/>
  <c r="M1528" i="1"/>
  <c r="M1496" i="1"/>
  <c r="M1464" i="1"/>
  <c r="M1416" i="1"/>
  <c r="M1400" i="1"/>
  <c r="M1384" i="1"/>
  <c r="M1368" i="1"/>
  <c r="M1352" i="1"/>
  <c r="M1336" i="1"/>
  <c r="M1320" i="1"/>
  <c r="M1304" i="1"/>
  <c r="M1288" i="1"/>
  <c r="M1272" i="1"/>
  <c r="M1224" i="1"/>
  <c r="M1208" i="1"/>
  <c r="M1192" i="1"/>
  <c r="M1176" i="1"/>
  <c r="M1160" i="1"/>
  <c r="M1144" i="1"/>
  <c r="M1128" i="1"/>
  <c r="M1112" i="1"/>
  <c r="M1096" i="1"/>
  <c r="M1080" i="1"/>
  <c r="M1064" i="1"/>
  <c r="M1032" i="1"/>
  <c r="M1015" i="1"/>
  <c r="M999" i="1"/>
  <c r="M967" i="1"/>
  <c r="M951" i="1"/>
  <c r="M871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71" i="1"/>
  <c r="M455" i="1"/>
  <c r="M439" i="1"/>
  <c r="M423" i="1"/>
  <c r="M391" i="1"/>
  <c r="M375" i="1"/>
  <c r="M359" i="1"/>
  <c r="M343" i="1"/>
  <c r="M327" i="1"/>
  <c r="M311" i="1"/>
  <c r="M295" i="1"/>
  <c r="M279" i="1"/>
  <c r="M231" i="1"/>
  <c r="M215" i="1"/>
  <c r="M199" i="1"/>
  <c r="M182" i="1"/>
  <c r="M150" i="1"/>
  <c r="M134" i="1"/>
  <c r="M118" i="1"/>
  <c r="M101" i="1"/>
  <c r="M85" i="1"/>
  <c r="M69" i="1"/>
  <c r="M53" i="1"/>
  <c r="M13" i="1"/>
  <c r="M1799" i="1"/>
  <c r="M1783" i="1"/>
  <c r="M1751" i="1"/>
  <c r="M1735" i="1"/>
  <c r="M1719" i="1"/>
  <c r="M1703" i="1"/>
  <c r="M1671" i="1"/>
  <c r="M1655" i="1"/>
  <c r="M1639" i="1"/>
  <c r="M1607" i="1"/>
  <c r="M1559" i="1"/>
  <c r="M1543" i="1"/>
  <c r="M1511" i="1"/>
  <c r="M1495" i="1"/>
  <c r="M1463" i="1"/>
  <c r="M1447" i="1"/>
  <c r="M1431" i="1"/>
  <c r="M1415" i="1"/>
  <c r="M1399" i="1"/>
  <c r="M1383" i="1"/>
  <c r="M1367" i="1"/>
  <c r="M1351" i="1"/>
  <c r="M1335" i="1"/>
  <c r="M1319" i="1"/>
  <c r="M1303" i="1"/>
  <c r="M1287" i="1"/>
  <c r="M1223" i="1"/>
  <c r="M1207" i="1"/>
  <c r="M1175" i="1"/>
  <c r="M1159" i="1"/>
  <c r="M1143" i="1"/>
  <c r="M1111" i="1"/>
  <c r="M1095" i="1"/>
  <c r="M1079" i="1"/>
  <c r="M1063" i="1"/>
  <c r="M1047" i="1"/>
  <c r="M1031" i="1"/>
  <c r="M1014" i="1"/>
  <c r="M998" i="1"/>
  <c r="M982" i="1"/>
  <c r="M966" i="1"/>
  <c r="M918" i="1"/>
  <c r="M902" i="1"/>
  <c r="M870" i="1"/>
  <c r="M854" i="1"/>
  <c r="M838" i="1"/>
  <c r="M822" i="1"/>
  <c r="M790" i="1"/>
  <c r="M774" i="1"/>
  <c r="M758" i="1"/>
  <c r="M742" i="1"/>
  <c r="M710" i="1"/>
  <c r="M694" i="1"/>
  <c r="M662" i="1"/>
  <c r="M646" i="1"/>
  <c r="M614" i="1"/>
  <c r="M598" i="1"/>
  <c r="M582" i="1"/>
  <c r="M566" i="1"/>
  <c r="M534" i="1"/>
  <c r="M502" i="1"/>
  <c r="M454" i="1"/>
  <c r="M438" i="1"/>
  <c r="M12" i="1"/>
  <c r="M1798" i="1"/>
  <c r="M1782" i="1"/>
  <c r="M1750" i="1"/>
  <c r="M1734" i="1"/>
  <c r="M1718" i="1"/>
  <c r="M1686" i="1"/>
  <c r="M1670" i="1"/>
  <c r="M1654" i="1"/>
  <c r="M1574" i="1"/>
  <c r="M1558" i="1"/>
  <c r="M1542" i="1"/>
  <c r="M1526" i="1"/>
  <c r="M1494" i="1"/>
  <c r="M1462" i="1"/>
  <c r="M1446" i="1"/>
  <c r="M1430" i="1"/>
  <c r="M1414" i="1"/>
  <c r="M1398" i="1"/>
  <c r="M1382" i="1"/>
  <c r="M1366" i="1"/>
  <c r="M1350" i="1"/>
  <c r="M1318" i="1"/>
  <c r="M1302" i="1"/>
  <c r="M1286" i="1"/>
  <c r="M1270" i="1"/>
  <c r="M1222" i="1"/>
  <c r="M1206" i="1"/>
  <c r="M1190" i="1"/>
  <c r="M1174" i="1"/>
  <c r="M1158" i="1"/>
  <c r="M1142" i="1"/>
  <c r="M1126" i="1"/>
  <c r="M1110" i="1"/>
  <c r="M1094" i="1"/>
  <c r="M1078" i="1"/>
  <c r="M1062" i="1"/>
  <c r="M1030" i="1"/>
  <c r="M1013" i="1"/>
  <c r="M997" i="1"/>
  <c r="M965" i="1"/>
  <c r="M949" i="1"/>
  <c r="M917" i="1"/>
  <c r="M901" i="1"/>
  <c r="M853" i="1"/>
  <c r="M837" i="1"/>
  <c r="M821" i="1"/>
  <c r="M805" i="1"/>
  <c r="M789" i="1"/>
  <c r="M773" i="1"/>
  <c r="M741" i="1"/>
  <c r="M725" i="1"/>
  <c r="M709" i="1"/>
  <c r="M677" i="1"/>
  <c r="M661" i="1"/>
  <c r="M645" i="1"/>
  <c r="M629" i="1"/>
  <c r="M597" i="1"/>
  <c r="M581" i="1"/>
  <c r="M565" i="1"/>
  <c r="M549" i="1"/>
  <c r="M533" i="1"/>
  <c r="M517" i="1"/>
  <c r="M501" i="1"/>
  <c r="M469" i="1"/>
  <c r="M453" i="1"/>
  <c r="M27" i="1"/>
  <c r="M1781" i="1"/>
  <c r="M1749" i="1"/>
  <c r="M1717" i="1"/>
  <c r="M1701" i="1"/>
  <c r="M1669" i="1"/>
  <c r="M1653" i="1"/>
  <c r="M1637" i="1"/>
  <c r="M1605" i="1"/>
  <c r="M1573" i="1"/>
  <c r="M1541" i="1"/>
  <c r="M1525" i="1"/>
  <c r="M1509" i="1"/>
  <c r="M1493" i="1"/>
  <c r="M1461" i="1"/>
  <c r="M1429" i="1"/>
  <c r="M1413" i="1"/>
  <c r="M1397" i="1"/>
  <c r="M1365" i="1"/>
  <c r="M1349" i="1"/>
  <c r="M1333" i="1"/>
  <c r="M1317" i="1"/>
  <c r="M1269" i="1"/>
  <c r="M1221" i="1"/>
  <c r="M1205" i="1"/>
  <c r="M1189" i="1"/>
  <c r="M1157" i="1"/>
  <c r="M1141" i="1"/>
  <c r="M1125" i="1"/>
  <c r="M1109" i="1"/>
  <c r="M1093" i="1"/>
  <c r="M1077" i="1"/>
  <c r="M1045" i="1"/>
  <c r="M1029" i="1"/>
  <c r="M1012" i="1"/>
  <c r="M996" i="1"/>
  <c r="M980" i="1"/>
  <c r="M964" i="1"/>
  <c r="M948" i="1"/>
  <c r="M900" i="1"/>
  <c r="M868" i="1"/>
  <c r="M852" i="1"/>
  <c r="M836" i="1"/>
  <c r="M788" i="1"/>
  <c r="M772" i="1"/>
  <c r="M756" i="1"/>
  <c r="M724" i="1"/>
  <c r="M692" i="1"/>
  <c r="M676" i="1"/>
  <c r="M660" i="1"/>
  <c r="M644" i="1"/>
  <c r="M628" i="1"/>
  <c r="M612" i="1"/>
  <c r="M596" i="1"/>
  <c r="M580" i="1"/>
  <c r="M564" i="1"/>
  <c r="M548" i="1"/>
  <c r="M532" i="1"/>
  <c r="M500" i="1"/>
  <c r="M26" i="1"/>
  <c r="M1796" i="1"/>
  <c r="M1780" i="1"/>
  <c r="M1748" i="1"/>
  <c r="M1732" i="1"/>
  <c r="M1716" i="1"/>
  <c r="M1700" i="1"/>
  <c r="M1684" i="1"/>
  <c r="M1668" i="1"/>
  <c r="M1636" i="1"/>
  <c r="M1620" i="1"/>
  <c r="M1604" i="1"/>
  <c r="M1556" i="1"/>
  <c r="M1540" i="1"/>
  <c r="M1524" i="1"/>
  <c r="M1508" i="1"/>
  <c r="M1492" i="1"/>
  <c r="M1476" i="1"/>
  <c r="M1460" i="1"/>
  <c r="M1428" i="1"/>
  <c r="M1412" i="1"/>
  <c r="M1396" i="1"/>
  <c r="M1364" i="1"/>
  <c r="M1348" i="1"/>
  <c r="M1332" i="1"/>
  <c r="M1316" i="1"/>
  <c r="M1284" i="1"/>
  <c r="M1268" i="1"/>
  <c r="M1220" i="1"/>
  <c r="M1204" i="1"/>
  <c r="M1188" i="1"/>
  <c r="M1172" i="1"/>
  <c r="M1156" i="1"/>
  <c r="M1140" i="1"/>
  <c r="M1124" i="1"/>
  <c r="M1108" i="1"/>
  <c r="M1076" i="1"/>
  <c r="M1060" i="1"/>
  <c r="M1044" i="1"/>
  <c r="M1028" i="1"/>
  <c r="M1011" i="1"/>
  <c r="M995" i="1"/>
  <c r="M979" i="1"/>
  <c r="M963" i="1"/>
  <c r="M915" i="1"/>
  <c r="M899" i="1"/>
  <c r="M883" i="1"/>
  <c r="M851" i="1"/>
  <c r="M835" i="1"/>
  <c r="M819" i="1"/>
  <c r="M803" i="1"/>
  <c r="M787" i="1"/>
  <c r="M771" i="1"/>
  <c r="M755" i="1"/>
  <c r="M739" i="1"/>
  <c r="M723" i="1"/>
  <c r="M707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25" i="1"/>
  <c r="M1795" i="1"/>
  <c r="M1779" i="1"/>
  <c r="M1747" i="1"/>
  <c r="M1731" i="1"/>
  <c r="M1715" i="1"/>
  <c r="M1699" i="1"/>
  <c r="M1683" i="1"/>
  <c r="M1667" i="1"/>
  <c r="M1651" i="1"/>
  <c r="M1619" i="1"/>
  <c r="M1571" i="1"/>
  <c r="M1555" i="1"/>
  <c r="M1539" i="1"/>
  <c r="M1523" i="1"/>
  <c r="M1507" i="1"/>
  <c r="M1491" i="1"/>
  <c r="M1475" i="1"/>
  <c r="M1459" i="1"/>
  <c r="M1427" i="1"/>
  <c r="M1395" i="1"/>
  <c r="M1379" i="1"/>
  <c r="M1363" i="1"/>
  <c r="M1347" i="1"/>
  <c r="M1331" i="1"/>
  <c r="M1267" i="1"/>
  <c r="M1219" i="1"/>
  <c r="M1203" i="1"/>
  <c r="M1187" i="1"/>
  <c r="M1171" i="1"/>
  <c r="M1139" i="1"/>
  <c r="M1123" i="1"/>
  <c r="M1107" i="1"/>
  <c r="M1091" i="1"/>
  <c r="M1075" i="1"/>
  <c r="M1059" i="1"/>
  <c r="M1043" i="1"/>
  <c r="M1027" i="1"/>
  <c r="M1010" i="1"/>
  <c r="M978" i="1"/>
  <c r="M962" i="1"/>
  <c r="M946" i="1"/>
  <c r="M914" i="1"/>
  <c r="M898" i="1"/>
  <c r="M882" i="1"/>
  <c r="M866" i="1"/>
  <c r="M850" i="1"/>
  <c r="M818" i="1"/>
  <c r="M786" i="1"/>
  <c r="M770" i="1"/>
  <c r="M754" i="1"/>
  <c r="M722" i="1"/>
  <c r="M706" i="1"/>
  <c r="M690" i="1"/>
  <c r="M674" i="1"/>
  <c r="M642" i="1"/>
  <c r="M626" i="1"/>
  <c r="M610" i="1"/>
  <c r="M594" i="1"/>
  <c r="M578" i="1"/>
  <c r="M562" i="1"/>
  <c r="M530" i="1"/>
  <c r="M498" i="1"/>
  <c r="M477" i="1"/>
  <c r="M445" i="1"/>
  <c r="M429" i="1"/>
  <c r="M397" i="1"/>
  <c r="M381" i="1"/>
  <c r="M365" i="1"/>
  <c r="M349" i="1"/>
  <c r="M333" i="1"/>
  <c r="M301" i="1"/>
  <c r="M285" i="1"/>
  <c r="M253" i="1"/>
  <c r="M237" i="1"/>
  <c r="M221" i="1"/>
  <c r="M205" i="1"/>
  <c r="M188" i="1"/>
  <c r="M156" i="1"/>
  <c r="M140" i="1"/>
  <c r="M124" i="1"/>
  <c r="M107" i="1"/>
  <c r="M75" i="1"/>
  <c r="M59" i="1"/>
  <c r="M508" i="1"/>
  <c r="M476" i="1"/>
  <c r="M460" i="1"/>
  <c r="M444" i="1"/>
  <c r="M428" i="1"/>
  <c r="M396" i="1"/>
  <c r="M380" i="1"/>
  <c r="M364" i="1"/>
  <c r="M348" i="1"/>
  <c r="M332" i="1"/>
  <c r="M316" i="1"/>
  <c r="M300" i="1"/>
  <c r="M284" i="1"/>
  <c r="M268" i="1"/>
  <c r="M236" i="1"/>
  <c r="M220" i="1"/>
  <c r="M204" i="1"/>
  <c r="M187" i="1"/>
  <c r="M155" i="1"/>
  <c r="M123" i="1"/>
  <c r="M106" i="1"/>
  <c r="M90" i="1"/>
  <c r="M74" i="1"/>
  <c r="M58" i="1"/>
  <c r="M443" i="1"/>
  <c r="M395" i="1"/>
  <c r="M363" i="1"/>
  <c r="M347" i="1"/>
  <c r="M331" i="1"/>
  <c r="M315" i="1"/>
  <c r="M299" i="1"/>
  <c r="M251" i="1"/>
  <c r="M235" i="1"/>
  <c r="M219" i="1"/>
  <c r="M186" i="1"/>
  <c r="M170" i="1"/>
  <c r="M154" i="1"/>
  <c r="M138" i="1"/>
  <c r="M122" i="1"/>
  <c r="M105" i="1"/>
  <c r="M89" i="1"/>
  <c r="M73" i="1"/>
  <c r="M554" i="1"/>
  <c r="M538" i="1"/>
  <c r="M522" i="1"/>
  <c r="M506" i="1"/>
  <c r="M474" i="1"/>
  <c r="M458" i="1"/>
  <c r="M442" i="1"/>
  <c r="M426" i="1"/>
  <c r="M378" i="1"/>
  <c r="M362" i="1"/>
  <c r="M346" i="1"/>
  <c r="M330" i="1"/>
  <c r="M314" i="1"/>
  <c r="M298" i="1"/>
  <c r="M282" i="1"/>
  <c r="M266" i="1"/>
  <c r="M250" i="1"/>
  <c r="M234" i="1"/>
  <c r="M218" i="1"/>
  <c r="M202" i="1"/>
  <c r="M185" i="1"/>
  <c r="M169" i="1"/>
  <c r="M153" i="1"/>
  <c r="M137" i="1"/>
  <c r="M121" i="1"/>
  <c r="M104" i="1"/>
  <c r="M88" i="1"/>
  <c r="M72" i="1"/>
  <c r="M56" i="1"/>
  <c r="M392" i="1"/>
  <c r="M376" i="1"/>
  <c r="M360" i="1"/>
  <c r="M344" i="1"/>
  <c r="M328" i="1"/>
  <c r="M312" i="1"/>
  <c r="M296" i="1"/>
  <c r="M264" i="1"/>
  <c r="M248" i="1"/>
  <c r="M232" i="1"/>
  <c r="M216" i="1"/>
  <c r="M167" i="1"/>
  <c r="M102" i="1"/>
  <c r="M86" i="1"/>
  <c r="M70" i="1"/>
  <c r="M374" i="1"/>
  <c r="M358" i="1"/>
  <c r="M310" i="1"/>
  <c r="M278" i="1"/>
  <c r="M262" i="1"/>
  <c r="M230" i="1"/>
  <c r="M214" i="1"/>
  <c r="M198" i="1"/>
  <c r="M181" i="1"/>
  <c r="M165" i="1"/>
  <c r="M149" i="1"/>
  <c r="M117" i="1"/>
  <c r="M100" i="1"/>
  <c r="M84" i="1"/>
  <c r="M52" i="1"/>
  <c r="M389" i="1"/>
  <c r="M373" i="1"/>
  <c r="M341" i="1"/>
  <c r="M325" i="1"/>
  <c r="M309" i="1"/>
  <c r="M261" i="1"/>
  <c r="M229" i="1"/>
  <c r="M213" i="1"/>
  <c r="M197" i="1"/>
  <c r="M180" i="1"/>
  <c r="M164" i="1"/>
  <c r="M148" i="1"/>
  <c r="M132" i="1"/>
  <c r="M116" i="1"/>
  <c r="M99" i="1"/>
  <c r="M83" i="1"/>
  <c r="M67" i="1"/>
  <c r="M51" i="1"/>
  <c r="M468" i="1"/>
  <c r="M452" i="1"/>
  <c r="M436" i="1"/>
  <c r="M372" i="1"/>
  <c r="M356" i="1"/>
  <c r="M340" i="1"/>
  <c r="M324" i="1"/>
  <c r="M308" i="1"/>
  <c r="M292" i="1"/>
  <c r="M276" i="1"/>
  <c r="M260" i="1"/>
  <c r="M212" i="1"/>
  <c r="M195" i="1"/>
  <c r="M115" i="1"/>
  <c r="M98" i="1"/>
  <c r="M82" i="1"/>
  <c r="M66" i="1"/>
  <c r="M50" i="1"/>
  <c r="M451" i="1"/>
  <c r="M435" i="1"/>
  <c r="M387" i="1"/>
  <c r="M371" i="1"/>
  <c r="M355" i="1"/>
  <c r="M339" i="1"/>
  <c r="M323" i="1"/>
  <c r="M307" i="1"/>
  <c r="M259" i="1"/>
  <c r="M243" i="1"/>
  <c r="M194" i="1"/>
  <c r="M178" i="1"/>
  <c r="M162" i="1"/>
  <c r="M146" i="1"/>
  <c r="M114" i="1"/>
  <c r="M97" i="1"/>
  <c r="M81" i="1"/>
  <c r="M65" i="1"/>
  <c r="M450" i="1"/>
  <c r="M434" i="1"/>
  <c r="M386" i="1"/>
  <c r="M306" i="1"/>
  <c r="M290" i="1"/>
  <c r="M274" i="1"/>
  <c r="M258" i="1"/>
  <c r="M242" i="1"/>
  <c r="M226" i="1"/>
  <c r="M193" i="1"/>
  <c r="M177" i="1"/>
  <c r="M161" i="1"/>
  <c r="M145" i="1"/>
  <c r="M129" i="1"/>
  <c r="M80" i="1"/>
  <c r="M64" i="1"/>
  <c r="M48" i="1"/>
  <c r="M465" i="1"/>
  <c r="M449" i="1"/>
  <c r="M401" i="1"/>
  <c r="M385" i="1"/>
  <c r="M369" i="1"/>
  <c r="M353" i="1"/>
  <c r="M321" i="1"/>
  <c r="M305" i="1"/>
  <c r="M289" i="1"/>
  <c r="M273" i="1"/>
  <c r="M257" i="1"/>
  <c r="M241" i="1"/>
  <c r="M225" i="1"/>
  <c r="M176" i="1"/>
  <c r="M160" i="1"/>
  <c r="M144" i="1"/>
  <c r="M128" i="1"/>
  <c r="M63" i="1"/>
  <c r="M480" i="1"/>
  <c r="M448" i="1"/>
  <c r="M432" i="1"/>
  <c r="M400" i="1"/>
  <c r="M384" i="1"/>
  <c r="M352" i="1"/>
  <c r="M320" i="1"/>
  <c r="M304" i="1"/>
  <c r="M288" i="1"/>
  <c r="M272" i="1"/>
  <c r="M256" i="1"/>
  <c r="M224" i="1"/>
  <c r="M208" i="1"/>
  <c r="M175" i="1"/>
  <c r="M143" i="1"/>
  <c r="M110" i="1"/>
  <c r="M94" i="1"/>
  <c r="M62" i="1"/>
  <c r="L885" i="1"/>
  <c r="M885" i="1" s="1"/>
  <c r="L41" i="1"/>
  <c r="M41" i="1" s="1"/>
  <c r="L33" i="1"/>
  <c r="M33" i="1" s="1"/>
  <c r="L933" i="1"/>
  <c r="M933" i="1" s="1"/>
  <c r="L923" i="1"/>
  <c r="M923" i="1" s="1"/>
  <c r="L1244" i="1"/>
  <c r="L934" i="1"/>
  <c r="M934" i="1" s="1"/>
  <c r="L1252" i="1"/>
  <c r="M1252" i="1" s="1"/>
  <c r="L1248" i="1"/>
  <c r="L1481" i="1"/>
  <c r="M1481" i="1" s="1"/>
  <c r="L1586" i="1"/>
  <c r="M1586" i="1" s="1"/>
  <c r="L1760" i="1"/>
  <c r="M1760" i="1" s="1"/>
  <c r="L1624" i="1"/>
  <c r="M1624" i="1" s="1"/>
  <c r="H922" i="1"/>
  <c r="H1808" i="1" s="1"/>
  <c r="L886" i="1"/>
  <c r="M886" i="1" s="1"/>
  <c r="L1768" i="1"/>
  <c r="M1768" i="1" s="1"/>
  <c r="L488" i="1"/>
  <c r="M488" i="1" s="1"/>
  <c r="L491" i="1"/>
  <c r="M491" i="1" s="1"/>
  <c r="L415" i="1"/>
  <c r="M415" i="1" s="1"/>
  <c r="L1247" i="1"/>
  <c r="L1253" i="1"/>
  <c r="M1253" i="1" s="1"/>
  <c r="L416" i="1"/>
  <c r="M416" i="1" s="1"/>
  <c r="L1251" i="1"/>
  <c r="L1254" i="1"/>
  <c r="M1254" i="1" s="1"/>
  <c r="L1229" i="1"/>
  <c r="M1229" i="1" s="1"/>
  <c r="L483" i="1"/>
  <c r="M483" i="1" s="1"/>
  <c r="L1255" i="1"/>
  <c r="M1255" i="1" s="1"/>
  <c r="L1230" i="1"/>
  <c r="M1230" i="1" s="1"/>
  <c r="L1233" i="1"/>
  <c r="M1233" i="1" s="1"/>
  <c r="L1256" i="1"/>
  <c r="M1256" i="1" s="1"/>
  <c r="L1297" i="1"/>
  <c r="M1297" i="1" s="1"/>
  <c r="L402" i="1"/>
  <c r="M402" i="1" s="1"/>
  <c r="L926" i="1"/>
  <c r="M926" i="1" s="1"/>
  <c r="L1596" i="1"/>
  <c r="M1596" i="1" s="1"/>
  <c r="L890" i="1"/>
  <c r="M890" i="1" s="1"/>
  <c r="L1296" i="1"/>
  <c r="M1296" i="1" s="1"/>
  <c r="L420" i="1"/>
  <c r="M420" i="1" s="1"/>
  <c r="L1585" i="1"/>
  <c r="M1585" i="1" s="1"/>
  <c r="L1761" i="1"/>
  <c r="M1761" i="1" s="1"/>
  <c r="L419" i="1"/>
  <c r="M419" i="1" s="1"/>
  <c r="L1767" i="1"/>
  <c r="M1767" i="1" s="1"/>
  <c r="L1589" i="1"/>
  <c r="M1589" i="1" s="1"/>
  <c r="L929" i="1"/>
  <c r="M929" i="1" s="1"/>
  <c r="L932" i="1"/>
  <c r="M932" i="1" s="1"/>
  <c r="L1762" i="1"/>
  <c r="M1762" i="1" s="1"/>
  <c r="I1808" i="1"/>
  <c r="G1808" i="1"/>
  <c r="K1808" i="1"/>
  <c r="J1808" i="1"/>
  <c r="I1816" i="1" l="1"/>
  <c r="K1810" i="1"/>
  <c r="I1817" i="1"/>
  <c r="I1815" i="1"/>
  <c r="L1808" i="1"/>
  <c r="M1808" i="1" l="1"/>
  <c r="I1814" i="1" s="1"/>
  <c r="I1818" i="1"/>
  <c r="I1820" i="1" l="1"/>
  <c r="I1822" i="1" s="1"/>
  <c r="I1824" i="1" s="1"/>
  <c r="H1460" i="5" l="1"/>
  <c r="J1809" i="1" s="1"/>
  <c r="J1810" i="1" s="1"/>
  <c r="G1460" i="5"/>
  <c r="H1768" i="3" s="1"/>
  <c r="H223" i="4"/>
  <c r="I1809" i="1" s="1"/>
  <c r="I1810" i="1" s="1"/>
  <c r="G223" i="4"/>
  <c r="H1767" i="3" s="1"/>
  <c r="H1765" i="3"/>
  <c r="L1809" i="1" s="1"/>
  <c r="L1810" i="1" s="1"/>
  <c r="G1765" i="3"/>
  <c r="H1769" i="3" l="1"/>
  <c r="H1770" i="3" s="1"/>
  <c r="H1771" i="3" s="1"/>
  <c r="G1812" i="7" s="1"/>
  <c r="K20" i="3"/>
  <c r="H1584" i="7"/>
  <c r="H1478" i="7"/>
  <c r="H1296" i="7"/>
  <c r="H1240" i="7"/>
  <c r="H411" i="7"/>
  <c r="H407" i="7"/>
  <c r="H403" i="7"/>
  <c r="G1767" i="7"/>
  <c r="H1767" i="7" s="1"/>
  <c r="G1766" i="7"/>
  <c r="H1766" i="7" s="1"/>
  <c r="G1765" i="7"/>
  <c r="H1765" i="7" s="1"/>
  <c r="G1763" i="7"/>
  <c r="H1763" i="7" s="1"/>
  <c r="G1761" i="7"/>
  <c r="H1761" i="7" s="1"/>
  <c r="G1759" i="7"/>
  <c r="H1759" i="7" s="1"/>
  <c r="G1758" i="7"/>
  <c r="H1758" i="7" s="1"/>
  <c r="G1634" i="7"/>
  <c r="H1634" i="7" s="1"/>
  <c r="G1623" i="7"/>
  <c r="H1623" i="7" s="1"/>
  <c r="G1621" i="7"/>
  <c r="H1621" i="7" s="1"/>
  <c r="G1600" i="7"/>
  <c r="H1600" i="7" s="1"/>
  <c r="G1599" i="7"/>
  <c r="H1599" i="7" s="1"/>
  <c r="G1598" i="7"/>
  <c r="H1598" i="7" s="1"/>
  <c r="G1597" i="7"/>
  <c r="H1597" i="7" s="1"/>
  <c r="G1595" i="7"/>
  <c r="H1595" i="7" s="1"/>
  <c r="G1594" i="7"/>
  <c r="H1594" i="7" s="1"/>
  <c r="G1593" i="7"/>
  <c r="H1593" i="7" s="1"/>
  <c r="G1592" i="7"/>
  <c r="H1592" i="7" s="1"/>
  <c r="G1590" i="7"/>
  <c r="H1590" i="7" s="1"/>
  <c r="G1588" i="7"/>
  <c r="H1588" i="7" s="1"/>
  <c r="G1586" i="7"/>
  <c r="H1586" i="7" s="1"/>
  <c r="G1584" i="7"/>
  <c r="G1582" i="7"/>
  <c r="H1582" i="7" s="1"/>
  <c r="G1483" i="7"/>
  <c r="H1483" i="7" s="1"/>
  <c r="G1482" i="7"/>
  <c r="H1482" i="7" s="1"/>
  <c r="G1480" i="7"/>
  <c r="H1480" i="7" s="1"/>
  <c r="G1478" i="7"/>
  <c r="G1444" i="7"/>
  <c r="H1444" i="7" s="1"/>
  <c r="G1442" i="7"/>
  <c r="H1442" i="7" s="1"/>
  <c r="G1301" i="7"/>
  <c r="H1301" i="7" s="1"/>
  <c r="G1298" i="7"/>
  <c r="H1298" i="7" s="1"/>
  <c r="G1296" i="7"/>
  <c r="G1254" i="7"/>
  <c r="H1254" i="7" s="1"/>
  <c r="G1252" i="7"/>
  <c r="H1252" i="7" s="1"/>
  <c r="G1245" i="7"/>
  <c r="H1245" i="7" s="1"/>
  <c r="G1244" i="7"/>
  <c r="H1244" i="7" s="1"/>
  <c r="G1243" i="7"/>
  <c r="H1243" i="7" s="1"/>
  <c r="G1242" i="7"/>
  <c r="H1242" i="7" s="1"/>
  <c r="G1241" i="7"/>
  <c r="H1241" i="7" s="1"/>
  <c r="G1240" i="7"/>
  <c r="G1239" i="7"/>
  <c r="H1239" i="7" s="1"/>
  <c r="G1238" i="7"/>
  <c r="H1238" i="7" s="1"/>
  <c r="G1233" i="7"/>
  <c r="H1233" i="7" s="1"/>
  <c r="G1048" i="7"/>
  <c r="H1048" i="7" s="1"/>
  <c r="G938" i="7"/>
  <c r="H938" i="7" s="1"/>
  <c r="G937" i="7"/>
  <c r="H937" i="7" s="1"/>
  <c r="G933" i="7"/>
  <c r="H933" i="7" s="1"/>
  <c r="G929" i="7"/>
  <c r="H929" i="7" s="1"/>
  <c r="G928" i="7"/>
  <c r="H928" i="7" s="1"/>
  <c r="G926" i="7"/>
  <c r="H926" i="7" s="1"/>
  <c r="G924" i="7"/>
  <c r="H924" i="7" s="1"/>
  <c r="G922" i="7"/>
  <c r="H922" i="7" s="1"/>
  <c r="G921" i="7"/>
  <c r="H921" i="7" s="1"/>
  <c r="G920" i="7"/>
  <c r="H920" i="7" s="1"/>
  <c r="G889" i="7"/>
  <c r="H889" i="7" s="1"/>
  <c r="G886" i="7"/>
  <c r="H886" i="7" s="1"/>
  <c r="G885" i="7"/>
  <c r="H885" i="7" s="1"/>
  <c r="G884" i="7"/>
  <c r="H884" i="7" s="1"/>
  <c r="G493" i="7"/>
  <c r="H493" i="7" s="1"/>
  <c r="G492" i="7"/>
  <c r="H492" i="7" s="1"/>
  <c r="G491" i="7"/>
  <c r="H491" i="7" s="1"/>
  <c r="G490" i="7"/>
  <c r="H490" i="7" s="1"/>
  <c r="G488" i="7"/>
  <c r="H488" i="7" s="1"/>
  <c r="G486" i="7"/>
  <c r="H486" i="7" s="1"/>
  <c r="G484" i="7"/>
  <c r="H484" i="7" s="1"/>
  <c r="G483" i="7"/>
  <c r="H483" i="7" s="1"/>
  <c r="G482" i="7"/>
  <c r="H482" i="7" s="1"/>
  <c r="G481" i="7"/>
  <c r="H481" i="7" s="1"/>
  <c r="G421" i="7"/>
  <c r="H421" i="7" s="1"/>
  <c r="G415" i="7"/>
  <c r="H415" i="7" s="1"/>
  <c r="G413" i="7"/>
  <c r="H413" i="7" s="1"/>
  <c r="G411" i="7"/>
  <c r="G409" i="7"/>
  <c r="H409" i="7" s="1"/>
  <c r="G407" i="7"/>
  <c r="G403" i="7"/>
  <c r="G402" i="7"/>
  <c r="H402" i="7" s="1"/>
  <c r="G42" i="7"/>
  <c r="H42" i="7" s="1"/>
  <c r="G40" i="7"/>
  <c r="H40" i="7" s="1"/>
  <c r="G38" i="7"/>
  <c r="H38" i="7" s="1"/>
  <c r="G35" i="7"/>
  <c r="H35" i="7" s="1"/>
  <c r="G33" i="7"/>
  <c r="H33" i="7" s="1"/>
  <c r="G1809" i="7"/>
  <c r="G1806" i="7"/>
  <c r="G1805" i="7"/>
  <c r="G1804" i="7"/>
  <c r="G1803" i="7"/>
  <c r="G1802" i="7"/>
  <c r="G1801" i="7"/>
  <c r="G1800" i="7"/>
  <c r="G1799" i="7"/>
  <c r="G1798" i="7"/>
  <c r="G1797" i="7"/>
  <c r="G1796" i="7"/>
  <c r="G1795" i="7"/>
  <c r="G1794" i="7"/>
  <c r="G1793" i="7"/>
  <c r="G1792" i="7"/>
  <c r="G1791" i="7"/>
  <c r="G1790" i="7"/>
  <c r="G1789" i="7"/>
  <c r="G1788" i="7"/>
  <c r="G1787" i="7"/>
  <c r="G1786" i="7"/>
  <c r="G1785" i="7"/>
  <c r="G1784" i="7"/>
  <c r="G1783" i="7"/>
  <c r="G1782" i="7"/>
  <c r="G1781" i="7"/>
  <c r="G1780" i="7"/>
  <c r="G1779" i="7"/>
  <c r="G1778" i="7"/>
  <c r="G1777" i="7"/>
  <c r="G1776" i="7"/>
  <c r="G1775" i="7"/>
  <c r="G1774" i="7"/>
  <c r="G1773" i="7"/>
  <c r="G1772" i="7"/>
  <c r="G1771" i="7"/>
  <c r="G1770" i="7"/>
  <c r="G1769" i="7"/>
  <c r="G1768" i="7"/>
  <c r="G1764" i="7"/>
  <c r="G1762" i="7"/>
  <c r="G1760" i="7"/>
  <c r="G1757" i="7"/>
  <c r="G1756" i="7"/>
  <c r="G1755" i="7"/>
  <c r="G1754" i="7"/>
  <c r="G1753" i="7"/>
  <c r="G1752" i="7"/>
  <c r="G1751" i="7"/>
  <c r="G1750" i="7"/>
  <c r="G1749" i="7"/>
  <c r="G1748" i="7"/>
  <c r="G1747" i="7"/>
  <c r="G1746" i="7"/>
  <c r="G1745" i="7"/>
  <c r="G1744" i="7"/>
  <c r="G1743" i="7"/>
  <c r="G1742" i="7"/>
  <c r="G1741" i="7"/>
  <c r="G1740" i="7"/>
  <c r="G1739" i="7"/>
  <c r="G1738" i="7"/>
  <c r="G1737" i="7"/>
  <c r="G1736" i="7"/>
  <c r="G1735" i="7"/>
  <c r="G1734" i="7"/>
  <c r="G1733" i="7"/>
  <c r="G1732" i="7"/>
  <c r="G1731" i="7"/>
  <c r="G1730" i="7"/>
  <c r="G1729" i="7"/>
  <c r="G1728" i="7"/>
  <c r="G1727" i="7"/>
  <c r="G1726" i="7"/>
  <c r="G1725" i="7"/>
  <c r="G1724" i="7"/>
  <c r="G1723" i="7"/>
  <c r="G1722" i="7"/>
  <c r="G1721" i="7"/>
  <c r="G1720" i="7"/>
  <c r="G1719" i="7"/>
  <c r="G1718" i="7"/>
  <c r="G1717" i="7"/>
  <c r="G1716" i="7"/>
  <c r="G1715" i="7"/>
  <c r="G1714" i="7"/>
  <c r="G1713" i="7"/>
  <c r="G1712" i="7"/>
  <c r="G1711" i="7"/>
  <c r="G1710" i="7"/>
  <c r="G1709" i="7"/>
  <c r="G1708" i="7"/>
  <c r="G1707" i="7"/>
  <c r="G1706" i="7"/>
  <c r="G1705" i="7"/>
  <c r="G1704" i="7"/>
  <c r="G1703" i="7"/>
  <c r="G1702" i="7"/>
  <c r="G1701" i="7"/>
  <c r="G1700" i="7"/>
  <c r="G1699" i="7"/>
  <c r="G1698" i="7"/>
  <c r="G1697" i="7"/>
  <c r="G1696" i="7"/>
  <c r="G1695" i="7"/>
  <c r="G1694" i="7"/>
  <c r="G1693" i="7"/>
  <c r="G1692" i="7"/>
  <c r="G1691" i="7"/>
  <c r="G1690" i="7"/>
  <c r="G1689" i="7"/>
  <c r="G1688" i="7"/>
  <c r="G1687" i="7"/>
  <c r="G1686" i="7"/>
  <c r="G1685" i="7"/>
  <c r="G1684" i="7"/>
  <c r="G1683" i="7"/>
  <c r="G1682" i="7"/>
  <c r="G1681" i="7"/>
  <c r="G1680" i="7"/>
  <c r="G1679" i="7"/>
  <c r="G1678" i="7"/>
  <c r="G1677" i="7"/>
  <c r="G1676" i="7"/>
  <c r="G1675" i="7"/>
  <c r="G1674" i="7"/>
  <c r="G1673" i="7"/>
  <c r="G1672" i="7"/>
  <c r="G1671" i="7"/>
  <c r="G1670" i="7"/>
  <c r="G1669" i="7"/>
  <c r="G1668" i="7"/>
  <c r="G1667" i="7"/>
  <c r="G1666" i="7"/>
  <c r="G1665" i="7"/>
  <c r="G1664" i="7"/>
  <c r="G1663" i="7"/>
  <c r="G1662" i="7"/>
  <c r="G1661" i="7"/>
  <c r="G1660" i="7"/>
  <c r="G1659" i="7"/>
  <c r="G1658" i="7"/>
  <c r="G1657" i="7"/>
  <c r="G1656" i="7"/>
  <c r="G1655" i="7"/>
  <c r="G1654" i="7"/>
  <c r="G1653" i="7"/>
  <c r="G1652" i="7"/>
  <c r="G1651" i="7"/>
  <c r="G1650" i="7"/>
  <c r="G1649" i="7"/>
  <c r="G1648" i="7"/>
  <c r="G1647" i="7"/>
  <c r="G1646" i="7"/>
  <c r="G1645" i="7"/>
  <c r="G1644" i="7"/>
  <c r="G1643" i="7"/>
  <c r="G1642" i="7"/>
  <c r="G1641" i="7"/>
  <c r="G1640" i="7"/>
  <c r="G1639" i="7"/>
  <c r="G1638" i="7"/>
  <c r="G1637" i="7"/>
  <c r="G1636" i="7"/>
  <c r="G1635" i="7"/>
  <c r="G1633" i="7"/>
  <c r="G1632" i="7"/>
  <c r="G1631" i="7"/>
  <c r="G1630" i="7"/>
  <c r="G1629" i="7"/>
  <c r="G1628" i="7"/>
  <c r="G1627" i="7"/>
  <c r="G1626" i="7"/>
  <c r="G1625" i="7"/>
  <c r="G1624" i="7"/>
  <c r="G1622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596" i="7"/>
  <c r="G1591" i="7"/>
  <c r="G1589" i="7"/>
  <c r="G1587" i="7"/>
  <c r="G1585" i="7"/>
  <c r="G1583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1" i="7"/>
  <c r="G1479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3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0" i="7"/>
  <c r="G1299" i="7"/>
  <c r="G1297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3" i="7"/>
  <c r="G1251" i="7"/>
  <c r="G1250" i="7"/>
  <c r="G1249" i="7"/>
  <c r="G1248" i="7"/>
  <c r="G1247" i="7"/>
  <c r="G1246" i="7"/>
  <c r="G1237" i="7"/>
  <c r="G1236" i="7"/>
  <c r="G1235" i="7"/>
  <c r="G1234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6" i="7"/>
  <c r="G935" i="7"/>
  <c r="G934" i="7"/>
  <c r="G932" i="7"/>
  <c r="G931" i="7"/>
  <c r="G930" i="7"/>
  <c r="G927" i="7"/>
  <c r="G925" i="7"/>
  <c r="G923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8" i="7"/>
  <c r="G887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89" i="7"/>
  <c r="G487" i="7"/>
  <c r="G485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29" i="7"/>
  <c r="G428" i="7"/>
  <c r="G427" i="7"/>
  <c r="G426" i="7"/>
  <c r="G425" i="7"/>
  <c r="G424" i="7"/>
  <c r="G423" i="7"/>
  <c r="G401" i="7"/>
  <c r="G400" i="7"/>
  <c r="G399" i="7"/>
  <c r="G398" i="7"/>
  <c r="G397" i="7"/>
  <c r="G396" i="7"/>
  <c r="G395" i="7"/>
  <c r="G393" i="7"/>
  <c r="G392" i="7"/>
  <c r="G391" i="7"/>
  <c r="G389" i="7"/>
  <c r="G387" i="7"/>
  <c r="G386" i="7"/>
  <c r="G385" i="7"/>
  <c r="G384" i="7"/>
  <c r="G383" i="7"/>
  <c r="G382" i="7"/>
  <c r="G381" i="7"/>
  <c r="G380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6" i="7"/>
  <c r="G355" i="7"/>
  <c r="G353" i="7"/>
  <c r="G352" i="7"/>
  <c r="G351" i="7"/>
  <c r="G350" i="7"/>
  <c r="G349" i="7"/>
  <c r="G348" i="7"/>
  <c r="G347" i="7"/>
  <c r="G346" i="7"/>
  <c r="G345" i="7"/>
  <c r="G344" i="7"/>
  <c r="G343" i="7"/>
  <c r="G341" i="7"/>
  <c r="G340" i="7"/>
  <c r="G339" i="7"/>
  <c r="G337" i="7"/>
  <c r="G335" i="7"/>
  <c r="G334" i="7"/>
  <c r="G333" i="7"/>
  <c r="G332" i="7"/>
  <c r="G331" i="7"/>
  <c r="G330" i="7"/>
  <c r="G328" i="7"/>
  <c r="G327" i="7"/>
  <c r="G325" i="7"/>
  <c r="G324" i="7"/>
  <c r="G323" i="7"/>
  <c r="G321" i="7"/>
  <c r="G320" i="7"/>
  <c r="G319" i="7"/>
  <c r="G318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0" i="7"/>
  <c r="G289" i="7"/>
  <c r="G288" i="7"/>
  <c r="G287" i="7"/>
  <c r="G285" i="7"/>
  <c r="G284" i="7"/>
  <c r="G282" i="7"/>
  <c r="G281" i="7"/>
  <c r="G279" i="7"/>
  <c r="G278" i="7"/>
  <c r="G276" i="7"/>
  <c r="G274" i="7"/>
  <c r="G273" i="7"/>
  <c r="G272" i="7"/>
  <c r="G271" i="7"/>
  <c r="G270" i="7"/>
  <c r="G269" i="7"/>
  <c r="G268" i="7"/>
  <c r="G267" i="7"/>
  <c r="G266" i="7"/>
  <c r="G265" i="7"/>
  <c r="G264" i="7"/>
  <c r="G262" i="7"/>
  <c r="G261" i="7"/>
  <c r="G260" i="7"/>
  <c r="G259" i="7"/>
  <c r="G258" i="7"/>
  <c r="G257" i="7"/>
  <c r="G256" i="7"/>
  <c r="G254" i="7"/>
  <c r="G253" i="7"/>
  <c r="G251" i="7"/>
  <c r="G250" i="7"/>
  <c r="G248" i="7"/>
  <c r="G246" i="7"/>
  <c r="G244" i="7"/>
  <c r="G243" i="7"/>
  <c r="G242" i="7"/>
  <c r="G241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8" i="7"/>
  <c r="G207" i="7"/>
  <c r="G206" i="7"/>
  <c r="G205" i="7"/>
  <c r="G204" i="7"/>
  <c r="G202" i="7"/>
  <c r="G201" i="7"/>
  <c r="G199" i="7"/>
  <c r="G198" i="7"/>
  <c r="G197" i="7"/>
  <c r="G196" i="7"/>
  <c r="G195" i="7"/>
  <c r="G194" i="7"/>
  <c r="G193" i="7"/>
  <c r="G192" i="7"/>
  <c r="G191" i="7"/>
  <c r="G189" i="7"/>
  <c r="G188" i="7"/>
  <c r="G187" i="7"/>
  <c r="G186" i="7"/>
  <c r="G185" i="7"/>
  <c r="G184" i="7"/>
  <c r="G182" i="7"/>
  <c r="G181" i="7"/>
  <c r="G180" i="7"/>
  <c r="G178" i="7"/>
  <c r="G177" i="7"/>
  <c r="G176" i="7"/>
  <c r="G175" i="7"/>
  <c r="G174" i="7"/>
  <c r="G173" i="7"/>
  <c r="G172" i="7"/>
  <c r="G170" i="7"/>
  <c r="G169" i="7"/>
  <c r="G168" i="7"/>
  <c r="G167" i="7"/>
  <c r="G165" i="7"/>
  <c r="G164" i="7"/>
  <c r="G162" i="7"/>
  <c r="G161" i="7"/>
  <c r="G160" i="7"/>
  <c r="G157" i="7"/>
  <c r="G156" i="7"/>
  <c r="G155" i="7"/>
  <c r="G154" i="7"/>
  <c r="G153" i="7"/>
  <c r="G152" i="7"/>
  <c r="G150" i="7"/>
  <c r="G149" i="7"/>
  <c r="G148" i="7"/>
  <c r="G146" i="7"/>
  <c r="G145" i="7"/>
  <c r="G144" i="7"/>
  <c r="G143" i="7"/>
  <c r="G142" i="7"/>
  <c r="G141" i="7"/>
  <c r="G140" i="7"/>
  <c r="G138" i="7"/>
  <c r="G137" i="7"/>
  <c r="G136" i="7"/>
  <c r="G134" i="7"/>
  <c r="G132" i="7"/>
  <c r="G131" i="7"/>
  <c r="G130" i="7"/>
  <c r="G129" i="7"/>
  <c r="G128" i="7"/>
  <c r="G126" i="7"/>
  <c r="G125" i="7"/>
  <c r="G124" i="7"/>
  <c r="G123" i="7"/>
  <c r="G122" i="7"/>
  <c r="G121" i="7"/>
  <c r="G120" i="7"/>
  <c r="G118" i="7"/>
  <c r="G117" i="7"/>
  <c r="G116" i="7"/>
  <c r="G115" i="7"/>
  <c r="G114" i="7"/>
  <c r="G113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0" i="7"/>
  <c r="G89" i="7"/>
  <c r="G88" i="7"/>
  <c r="G87" i="7"/>
  <c r="G86" i="7"/>
  <c r="G85" i="7"/>
  <c r="G84" i="7"/>
  <c r="G83" i="7"/>
  <c r="G82" i="7"/>
  <c r="G81" i="7"/>
  <c r="G80" i="7"/>
  <c r="G79" i="7"/>
  <c r="G77" i="7"/>
  <c r="G76" i="7"/>
  <c r="G75" i="7"/>
  <c r="G74" i="7"/>
  <c r="G73" i="7"/>
  <c r="G72" i="7"/>
  <c r="G71" i="7"/>
  <c r="G70" i="7"/>
  <c r="G69" i="7"/>
  <c r="G67" i="7"/>
  <c r="G66" i="7"/>
  <c r="G65" i="7"/>
  <c r="G64" i="7"/>
  <c r="G63" i="7"/>
  <c r="G62" i="7"/>
  <c r="G61" i="7"/>
  <c r="G60" i="7"/>
  <c r="G59" i="7"/>
  <c r="G58" i="7"/>
  <c r="G56" i="7"/>
  <c r="G55" i="7"/>
  <c r="G53" i="7"/>
  <c r="G52" i="7"/>
  <c r="G51" i="7"/>
  <c r="G50" i="7"/>
  <c r="G48" i="7"/>
  <c r="G46" i="7"/>
  <c r="G45" i="7"/>
  <c r="G44" i="7"/>
  <c r="G32" i="7"/>
  <c r="G31" i="7"/>
  <c r="G30" i="7"/>
  <c r="G28" i="7"/>
  <c r="G27" i="7"/>
  <c r="G26" i="7"/>
  <c r="G25" i="7"/>
  <c r="G24" i="7"/>
  <c r="G23" i="7"/>
  <c r="G22" i="7"/>
  <c r="G21" i="7"/>
  <c r="G20" i="7"/>
  <c r="G19" i="7"/>
  <c r="G18" i="7"/>
  <c r="G16" i="7"/>
  <c r="G14" i="7"/>
  <c r="G13" i="7"/>
  <c r="G12" i="7"/>
  <c r="G11" i="7"/>
  <c r="G9" i="7"/>
  <c r="G8" i="7"/>
  <c r="G7" i="7"/>
  <c r="G6" i="7"/>
  <c r="G5" i="7"/>
  <c r="G1808" i="7" s="1"/>
  <c r="G406" i="7"/>
  <c r="H406" i="7" s="1"/>
  <c r="G405" i="7"/>
  <c r="H405" i="7" s="1"/>
  <c r="G404" i="7"/>
  <c r="H404" i="7" s="1"/>
  <c r="G394" i="7"/>
  <c r="H394" i="7" s="1"/>
  <c r="G390" i="7"/>
  <c r="H390" i="7" s="1"/>
  <c r="G388" i="7"/>
  <c r="H388" i="7" s="1"/>
  <c r="G379" i="7"/>
  <c r="H379" i="7" s="1"/>
  <c r="G357" i="7"/>
  <c r="H357" i="7" s="1"/>
  <c r="G354" i="7"/>
  <c r="H354" i="7" s="1"/>
  <c r="G342" i="7"/>
  <c r="H342" i="7" s="1"/>
  <c r="G338" i="7"/>
  <c r="H338" i="7" s="1"/>
  <c r="G336" i="7"/>
  <c r="H336" i="7" s="1"/>
  <c r="G329" i="7"/>
  <c r="H329" i="7" s="1"/>
  <c r="G326" i="7"/>
  <c r="H326" i="7" s="1"/>
  <c r="G322" i="7"/>
  <c r="H322" i="7" s="1"/>
  <c r="G317" i="7"/>
  <c r="H317" i="7" s="1"/>
  <c r="G291" i="7"/>
  <c r="H291" i="7" s="1"/>
  <c r="G286" i="7"/>
  <c r="H286" i="7" s="1"/>
  <c r="G283" i="7"/>
  <c r="H283" i="7" s="1"/>
  <c r="G280" i="7"/>
  <c r="H280" i="7" s="1"/>
  <c r="G277" i="7"/>
  <c r="H277" i="7" s="1"/>
  <c r="G275" i="7"/>
  <c r="H275" i="7" s="1"/>
  <c r="G263" i="7"/>
  <c r="H263" i="7" s="1"/>
  <c r="G255" i="7"/>
  <c r="H255" i="7" s="1"/>
  <c r="G252" i="7"/>
  <c r="H252" i="7" s="1"/>
  <c r="G249" i="7"/>
  <c r="H249" i="7" s="1"/>
  <c r="G247" i="7"/>
  <c r="H247" i="7" s="1"/>
  <c r="G245" i="7"/>
  <c r="H245" i="7" s="1"/>
  <c r="G240" i="7"/>
  <c r="H240" i="7" s="1"/>
  <c r="G222" i="7"/>
  <c r="H222" i="7" s="1"/>
  <c r="G209" i="7"/>
  <c r="H209" i="7" s="1"/>
  <c r="G203" i="7"/>
  <c r="H203" i="7" s="1"/>
  <c r="G200" i="7"/>
  <c r="H200" i="7" s="1"/>
  <c r="G190" i="7"/>
  <c r="H190" i="7" s="1"/>
  <c r="G183" i="7"/>
  <c r="H183" i="7" s="1"/>
  <c r="G179" i="7"/>
  <c r="H179" i="7" s="1"/>
  <c r="G171" i="7"/>
  <c r="H171" i="7" s="1"/>
  <c r="G166" i="7"/>
  <c r="H166" i="7" s="1"/>
  <c r="G163" i="7"/>
  <c r="H163" i="7" s="1"/>
  <c r="G159" i="7"/>
  <c r="H159" i="7" s="1"/>
  <c r="G158" i="7"/>
  <c r="H158" i="7" s="1"/>
  <c r="G151" i="7"/>
  <c r="H151" i="7" s="1"/>
  <c r="G147" i="7"/>
  <c r="H147" i="7" s="1"/>
  <c r="G139" i="7"/>
  <c r="H139" i="7" s="1"/>
  <c r="G135" i="7"/>
  <c r="H135" i="7" s="1"/>
  <c r="G133" i="7"/>
  <c r="H133" i="7" s="1"/>
  <c r="G127" i="7"/>
  <c r="H127" i="7" s="1"/>
  <c r="G119" i="7"/>
  <c r="H119" i="7" s="1"/>
  <c r="G112" i="7"/>
  <c r="H112" i="7" s="1"/>
  <c r="G91" i="7"/>
  <c r="H91" i="7" s="1"/>
  <c r="G78" i="7"/>
  <c r="H78" i="7" s="1"/>
  <c r="G68" i="7"/>
  <c r="H68" i="7" s="1"/>
  <c r="G57" i="7"/>
  <c r="H57" i="7" s="1"/>
  <c r="G54" i="7"/>
  <c r="H54" i="7" s="1"/>
  <c r="G430" i="7"/>
  <c r="H430" i="7" s="1"/>
  <c r="G422" i="7"/>
  <c r="H422" i="7" s="1"/>
  <c r="G420" i="7"/>
  <c r="H420" i="7" s="1"/>
  <c r="G419" i="7"/>
  <c r="H419" i="7" s="1"/>
  <c r="G418" i="7"/>
  <c r="H418" i="7" s="1"/>
  <c r="G417" i="7"/>
  <c r="H417" i="7" s="1"/>
  <c r="G416" i="7"/>
  <c r="H416" i="7" s="1"/>
  <c r="G414" i="7"/>
  <c r="H414" i="7" s="1"/>
  <c r="G412" i="7"/>
  <c r="H412" i="7" s="1"/>
  <c r="G410" i="7"/>
  <c r="H410" i="7" s="1"/>
  <c r="G408" i="7"/>
  <c r="H408" i="7" s="1"/>
  <c r="G49" i="7"/>
  <c r="H49" i="7" s="1"/>
  <c r="G47" i="7"/>
  <c r="H47" i="7" s="1"/>
  <c r="G43" i="7"/>
  <c r="H43" i="7" s="1"/>
  <c r="G41" i="7"/>
  <c r="H41" i="7" s="1"/>
  <c r="G39" i="7"/>
  <c r="H39" i="7" s="1"/>
  <c r="G37" i="7"/>
  <c r="H37" i="7" s="1"/>
  <c r="G36" i="7"/>
  <c r="H36" i="7" s="1"/>
  <c r="G34" i="7"/>
  <c r="H34" i="7" s="1"/>
  <c r="G29" i="7"/>
  <c r="H29" i="7" s="1"/>
  <c r="G17" i="7"/>
  <c r="H17" i="7" s="1"/>
  <c r="G15" i="7"/>
  <c r="H15" i="7" s="1"/>
  <c r="G10" i="7"/>
  <c r="H10" i="7" s="1"/>
  <c r="D1809" i="7"/>
  <c r="D1808" i="7"/>
  <c r="H1808" i="7" l="1"/>
  <c r="G1810" i="7"/>
  <c r="D1810" i="7"/>
  <c r="G1811" i="7" l="1"/>
  <c r="G1813" i="7" s="1"/>
  <c r="G1814" i="7" s="1"/>
  <c r="H5" i="2" l="1"/>
  <c r="H4" i="2" l="1"/>
  <c r="H7" i="2"/>
</calcChain>
</file>

<file path=xl/sharedStrings.xml><?xml version="1.0" encoding="utf-8"?>
<sst xmlns="http://schemas.openxmlformats.org/spreadsheetml/2006/main" count="52358" uniqueCount="3186">
  <si>
    <t>INITIAL_BALANCE</t>
  </si>
  <si>
    <t>CREDITS</t>
  </si>
  <si>
    <t>DEBITS</t>
  </si>
  <si>
    <t>FINAL_BALANCE</t>
  </si>
  <si>
    <t>10.882.608,51</t>
  </si>
  <si>
    <t>36.455.184,88</t>
  </si>
  <si>
    <t>-36.709.247,69</t>
  </si>
  <si>
    <t>10.628.545,70</t>
  </si>
  <si>
    <t/>
  </si>
  <si>
    <t>RELEASE_DATE</t>
  </si>
  <si>
    <t>TRANSACTION_TYPE</t>
  </si>
  <si>
    <t>REFERENCE_ID</t>
  </si>
  <si>
    <t>TRANSACTION_NET_AMOUNT</t>
  </si>
  <si>
    <t>PARTIAL_BALANCE</t>
  </si>
  <si>
    <t>01-10-2025</t>
  </si>
  <si>
    <t>Liquidación de dinero</t>
  </si>
  <si>
    <t>127694553001</t>
  </si>
  <si>
    <t>127706300651</t>
  </si>
  <si>
    <t>127707346037</t>
  </si>
  <si>
    <t>128274716662</t>
  </si>
  <si>
    <t>128275855374</t>
  </si>
  <si>
    <t>Transferencia recibida Rodolfo Juan Saldarelli</t>
  </si>
  <si>
    <t>128275829832</t>
  </si>
  <si>
    <t>127713602167</t>
  </si>
  <si>
    <t>127715107443</t>
  </si>
  <si>
    <t>127715769581</t>
  </si>
  <si>
    <t>128281546618</t>
  </si>
  <si>
    <t>Transferencia recibida Nahuel Zalazar Miño</t>
  </si>
  <si>
    <t>128281517156</t>
  </si>
  <si>
    <t>128281806306</t>
  </si>
  <si>
    <t>Transferencia recibida Noelia Vanesa Matzke</t>
  </si>
  <si>
    <t>128281760842</t>
  </si>
  <si>
    <t>128282615258</t>
  </si>
  <si>
    <t>127717828761</t>
  </si>
  <si>
    <t>127719464653</t>
  </si>
  <si>
    <t>127719431701</t>
  </si>
  <si>
    <t>128285003346</t>
  </si>
  <si>
    <t>127719758089</t>
  </si>
  <si>
    <t>128285683510</t>
  </si>
  <si>
    <t>127720557799</t>
  </si>
  <si>
    <t>128286715036</t>
  </si>
  <si>
    <t>02-10-2025</t>
  </si>
  <si>
    <t>128287489024</t>
  </si>
  <si>
    <t>128287673862</t>
  </si>
  <si>
    <t>Transferencia recibida Mariano Javier Garcia</t>
  </si>
  <si>
    <t>128287834208</t>
  </si>
  <si>
    <t>127722493817</t>
  </si>
  <si>
    <t>128288249068</t>
  </si>
  <si>
    <t>127724766231</t>
  </si>
  <si>
    <t>Transferencia enviada EMBOTELLADORA DEL ATLANTICO SA</t>
  </si>
  <si>
    <t>128313425810</t>
  </si>
  <si>
    <t>Impuesto por extracción</t>
  </si>
  <si>
    <t>127751261829</t>
  </si>
  <si>
    <t>Compra Mercado Libre</t>
  </si>
  <si>
    <t>127758769693</t>
  </si>
  <si>
    <t>Transferencia enviada FRUVECO S R L</t>
  </si>
  <si>
    <t>127775364243</t>
  </si>
  <si>
    <t>128340094018</t>
  </si>
  <si>
    <t>127775080827</t>
  </si>
  <si>
    <t>127826757701</t>
  </si>
  <si>
    <t>128398739964</t>
  </si>
  <si>
    <t>127834309851</t>
  </si>
  <si>
    <t>Transferencia recibida Argentina Segura e Higienica</t>
  </si>
  <si>
    <t>127834303877</t>
  </si>
  <si>
    <t>128402388274</t>
  </si>
  <si>
    <t>Transferencia recibida Facundo Lonardi</t>
  </si>
  <si>
    <t>128402325040</t>
  </si>
  <si>
    <t>127836305261</t>
  </si>
  <si>
    <t>128408491342</t>
  </si>
  <si>
    <t>128408853332</t>
  </si>
  <si>
    <t>127843829541</t>
  </si>
  <si>
    <t>Transferencia recibida Pablo Oscar Ardaiz</t>
  </si>
  <si>
    <t>128410134666</t>
  </si>
  <si>
    <t>127845010923</t>
  </si>
  <si>
    <t>127845412065</t>
  </si>
  <si>
    <t>Transferencia recibida Iris Mailen Meriano</t>
  </si>
  <si>
    <t>128411521730</t>
  </si>
  <si>
    <t>127845621093</t>
  </si>
  <si>
    <t>127846108405</t>
  </si>
  <si>
    <t>127846250789</t>
  </si>
  <si>
    <t>128412427806</t>
  </si>
  <si>
    <t>127847014705</t>
  </si>
  <si>
    <t>128413285526</t>
  </si>
  <si>
    <t>127847143045</t>
  </si>
  <si>
    <t>128413748622</t>
  </si>
  <si>
    <t>127847979869</t>
  </si>
  <si>
    <t>127848195943</t>
  </si>
  <si>
    <t>128414396282</t>
  </si>
  <si>
    <t>128414602122</t>
  </si>
  <si>
    <t>127848730441</t>
  </si>
  <si>
    <t>127849129705</t>
  </si>
  <si>
    <t>128415782272</t>
  </si>
  <si>
    <t>127850379377</t>
  </si>
  <si>
    <t>127850602909</t>
  </si>
  <si>
    <t>127850717607</t>
  </si>
  <si>
    <t>128416983560</t>
  </si>
  <si>
    <t>128417090472</t>
  </si>
  <si>
    <t>Transferencia recibida Yo</t>
  </si>
  <si>
    <t>128417023642</t>
  </si>
  <si>
    <t>128417478168</t>
  </si>
  <si>
    <t>127851297553</t>
  </si>
  <si>
    <t>127851529137</t>
  </si>
  <si>
    <t>127852042311</t>
  </si>
  <si>
    <t>127852662327</t>
  </si>
  <si>
    <t>128418794938</t>
  </si>
  <si>
    <t>127852972373</t>
  </si>
  <si>
    <t>128419226662</t>
  </si>
  <si>
    <t>128419350310</t>
  </si>
  <si>
    <t>128419431770</t>
  </si>
  <si>
    <t>128419732970</t>
  </si>
  <si>
    <t>127853704713</t>
  </si>
  <si>
    <t>Transferencia recibida Valentina Inés Dominguez Lezcano</t>
  </si>
  <si>
    <t>127853669293</t>
  </si>
  <si>
    <t>127853815447</t>
  </si>
  <si>
    <t>128420232980</t>
  </si>
  <si>
    <t>127854076319</t>
  </si>
  <si>
    <t>128420407042</t>
  </si>
  <si>
    <t>127854278121</t>
  </si>
  <si>
    <t>128420454022</t>
  </si>
  <si>
    <t>127854437157</t>
  </si>
  <si>
    <t>128420793726</t>
  </si>
  <si>
    <t>03-10-2025</t>
  </si>
  <si>
    <t>127854884711</t>
  </si>
  <si>
    <t>127854922579</t>
  </si>
  <si>
    <t>127854974679</t>
  </si>
  <si>
    <t>128421075828</t>
  </si>
  <si>
    <t>128421266626</t>
  </si>
  <si>
    <t>128421434434</t>
  </si>
  <si>
    <t>128421490336</t>
  </si>
  <si>
    <t>128421501412</t>
  </si>
  <si>
    <t>127855461023</t>
  </si>
  <si>
    <t>127855560075</t>
  </si>
  <si>
    <t>127855916129</t>
  </si>
  <si>
    <t>128422197004</t>
  </si>
  <si>
    <t>Transferencia recibida Juan Angel Juvenal</t>
  </si>
  <si>
    <t>128422276166</t>
  </si>
  <si>
    <t>Liquidación de dinero cancelada Venta cancelada</t>
  </si>
  <si>
    <t>127856005159</t>
  </si>
  <si>
    <t>127856064757</t>
  </si>
  <si>
    <t>127856418189</t>
  </si>
  <si>
    <t>127856497497</t>
  </si>
  <si>
    <t>128422949584</t>
  </si>
  <si>
    <t>Transferencia recibida Carolina Ailen Rodriguez</t>
  </si>
  <si>
    <t>128423104492</t>
  </si>
  <si>
    <t>127856899443</t>
  </si>
  <si>
    <t>128423208738</t>
  </si>
  <si>
    <t>128423356546</t>
  </si>
  <si>
    <t>127857063969</t>
  </si>
  <si>
    <t>127857363213</t>
  </si>
  <si>
    <t>128423642872</t>
  </si>
  <si>
    <t>128423577732</t>
  </si>
  <si>
    <t>Transferencia recibida Luana Mariela Chabeuf</t>
  </si>
  <si>
    <t>127857497901</t>
  </si>
  <si>
    <t>127857712847</t>
  </si>
  <si>
    <t>127857862671</t>
  </si>
  <si>
    <t>127857973671</t>
  </si>
  <si>
    <t>128424504454</t>
  </si>
  <si>
    <t>127858454489</t>
  </si>
  <si>
    <t>Transferencia recibida Benjamín Villaud</t>
  </si>
  <si>
    <t>127858371983</t>
  </si>
  <si>
    <t>128424874738</t>
  </si>
  <si>
    <t>127858708227</t>
  </si>
  <si>
    <t>127858844639</t>
  </si>
  <si>
    <t>127859163129</t>
  </si>
  <si>
    <t>128425421186</t>
  </si>
  <si>
    <t>Transferencia recibida Camila Sanchez</t>
  </si>
  <si>
    <t>127859153755</t>
  </si>
  <si>
    <t>128425586550</t>
  </si>
  <si>
    <t>127859446439</t>
  </si>
  <si>
    <t>127859588493</t>
  </si>
  <si>
    <t>128425881632</t>
  </si>
  <si>
    <t>128425855926</t>
  </si>
  <si>
    <t>127859910765</t>
  </si>
  <si>
    <t>128426216768</t>
  </si>
  <si>
    <t>Transferencia recibida Mildelicias</t>
  </si>
  <si>
    <t>128426232602</t>
  </si>
  <si>
    <t>128426358946</t>
  </si>
  <si>
    <t>127860445179</t>
  </si>
  <si>
    <t>128426740974</t>
  </si>
  <si>
    <t>Transferencia recibida Tomas Juricevic</t>
  </si>
  <si>
    <t>128426752832</t>
  </si>
  <si>
    <t>128426737424</t>
  </si>
  <si>
    <t>128426964542</t>
  </si>
  <si>
    <t>128426857870</t>
  </si>
  <si>
    <t>127860773495</t>
  </si>
  <si>
    <t>128427183126</t>
  </si>
  <si>
    <t>128427296372</t>
  </si>
  <si>
    <t>Transferencia programada PORCOMAGRO SRL</t>
  </si>
  <si>
    <t>128497382094</t>
  </si>
  <si>
    <t>128532328060</t>
  </si>
  <si>
    <t>128538963780</t>
  </si>
  <si>
    <t>128541606502</t>
  </si>
  <si>
    <t>Transferencia recibida Joaquin Pedro Schenone</t>
  </si>
  <si>
    <t>127974511167</t>
  </si>
  <si>
    <t>127975227343</t>
  </si>
  <si>
    <t>127975543977</t>
  </si>
  <si>
    <t>Transferencia recibida Agustin Rivero</t>
  </si>
  <si>
    <t>128542794370</t>
  </si>
  <si>
    <t>128544354086</t>
  </si>
  <si>
    <t>127978785635</t>
  </si>
  <si>
    <t>127978952503</t>
  </si>
  <si>
    <t>128546191150</t>
  </si>
  <si>
    <t>Transferencia recibida Gala Store</t>
  </si>
  <si>
    <t>128546254534</t>
  </si>
  <si>
    <t>127979226453</t>
  </si>
  <si>
    <t>128552186160</t>
  </si>
  <si>
    <t>128553170088</t>
  </si>
  <si>
    <t>127987036961</t>
  </si>
  <si>
    <t>128554292288</t>
  </si>
  <si>
    <t>127988026707</t>
  </si>
  <si>
    <t>128557855134</t>
  </si>
  <si>
    <t>Transferencia recibida Florencia Antonella Dodera</t>
  </si>
  <si>
    <t>128557902440</t>
  </si>
  <si>
    <t>128557987022</t>
  </si>
  <si>
    <t>128558595664</t>
  </si>
  <si>
    <t>128558731210</t>
  </si>
  <si>
    <t>Transferencia recibida Martin Edgardo Godoy Vespa</t>
  </si>
  <si>
    <t>127991620827</t>
  </si>
  <si>
    <t>127994543007</t>
  </si>
  <si>
    <t>127995227521</t>
  </si>
  <si>
    <t>127996004657</t>
  </si>
  <si>
    <t>127996122285</t>
  </si>
  <si>
    <t>128563250040</t>
  </si>
  <si>
    <t>127996361007</t>
  </si>
  <si>
    <t>Transferencia recibida Federico Joel Fernandez</t>
  </si>
  <si>
    <t>127996301839</t>
  </si>
  <si>
    <t>127996450215</t>
  </si>
  <si>
    <t>128563797988</t>
  </si>
  <si>
    <t>128564070590</t>
  </si>
  <si>
    <t>128564105462</t>
  </si>
  <si>
    <t>127997252239</t>
  </si>
  <si>
    <t>127997540269</t>
  </si>
  <si>
    <t>128564579028</t>
  </si>
  <si>
    <t>128564877302</t>
  </si>
  <si>
    <t>Transferencia recibida Yamil Jose Ale</t>
  </si>
  <si>
    <t>127997962901</t>
  </si>
  <si>
    <t>127998034681</t>
  </si>
  <si>
    <t>127998422719</t>
  </si>
  <si>
    <t>Transferencia recibida Aldana Victoria Popov Lusardi</t>
  </si>
  <si>
    <t>128565546884</t>
  </si>
  <si>
    <t>127998530233</t>
  </si>
  <si>
    <t>127998690249</t>
  </si>
  <si>
    <t>127998715475</t>
  </si>
  <si>
    <t>127998789467</t>
  </si>
  <si>
    <t>127998958295</t>
  </si>
  <si>
    <t>Transferencia recibida Paula Dabadia</t>
  </si>
  <si>
    <t>127998900895</t>
  </si>
  <si>
    <t>127999228319</t>
  </si>
  <si>
    <t>128566674792</t>
  </si>
  <si>
    <t>128566760368</t>
  </si>
  <si>
    <t>128567047402</t>
  </si>
  <si>
    <t>128000200419</t>
  </si>
  <si>
    <t>128000430537</t>
  </si>
  <si>
    <t>04-10-2025</t>
  </si>
  <si>
    <t>128000465631</t>
  </si>
  <si>
    <t>128568081896</t>
  </si>
  <si>
    <t>128001058955</t>
  </si>
  <si>
    <t>128001109327</t>
  </si>
  <si>
    <t>128001440707</t>
  </si>
  <si>
    <t>128001644287</t>
  </si>
  <si>
    <t>Transferencia recibida Ps Lemos Milagros</t>
  </si>
  <si>
    <t>128568561564</t>
  </si>
  <si>
    <t>128569096724</t>
  </si>
  <si>
    <t>128569194344</t>
  </si>
  <si>
    <t>128569976332</t>
  </si>
  <si>
    <t>128570461436</t>
  </si>
  <si>
    <t>128571344170</t>
  </si>
  <si>
    <t>128571825428</t>
  </si>
  <si>
    <t>128005151107</t>
  </si>
  <si>
    <t>128572165456</t>
  </si>
  <si>
    <t>128572181400</t>
  </si>
  <si>
    <t>128005159549</t>
  </si>
  <si>
    <t>128005247119</t>
  </si>
  <si>
    <t>128005725859</t>
  </si>
  <si>
    <t>128005944893</t>
  </si>
  <si>
    <t>128005948841</t>
  </si>
  <si>
    <t>128006056141</t>
  </si>
  <si>
    <t>128006270955</t>
  </si>
  <si>
    <t>128573428634</t>
  </si>
  <si>
    <t>Transferencia recibida Georgina Magali Viganoni</t>
  </si>
  <si>
    <t>128573422760</t>
  </si>
  <si>
    <t>128006450347</t>
  </si>
  <si>
    <t>128006450901</t>
  </si>
  <si>
    <t>128006790639</t>
  </si>
  <si>
    <t>128574660704</t>
  </si>
  <si>
    <t>Transferencia recibida Gervasio Guelache</t>
  </si>
  <si>
    <t>128007519843</t>
  </si>
  <si>
    <t>128007866123</t>
  </si>
  <si>
    <t>128574803388</t>
  </si>
  <si>
    <t>128008144261</t>
  </si>
  <si>
    <t>Transferencia recibida Cristian Guillermo Seguel</t>
  </si>
  <si>
    <t>128008101027</t>
  </si>
  <si>
    <t>128008194223</t>
  </si>
  <si>
    <t>128094716841</t>
  </si>
  <si>
    <t>Transferencia recibida Exequiel Tomillo</t>
  </si>
  <si>
    <t>128662203164</t>
  </si>
  <si>
    <t>128099061791</t>
  </si>
  <si>
    <t>128100123265</t>
  </si>
  <si>
    <t>Transferencia recibida Silvia Lorena Fernandez</t>
  </si>
  <si>
    <t>128667988688</t>
  </si>
  <si>
    <t>128668277384</t>
  </si>
  <si>
    <t>128668834886</t>
  </si>
  <si>
    <t>128102652299</t>
  </si>
  <si>
    <t>128104746523</t>
  </si>
  <si>
    <t>128106052243</t>
  </si>
  <si>
    <t>128106623785</t>
  </si>
  <si>
    <t>128106812525</t>
  </si>
  <si>
    <t>Transferencia recibida Eduardo German Cabrera</t>
  </si>
  <si>
    <t>128674686368</t>
  </si>
  <si>
    <t>128676006318</t>
  </si>
  <si>
    <t>128676549330</t>
  </si>
  <si>
    <t>128678113052</t>
  </si>
  <si>
    <t>128111836609</t>
  </si>
  <si>
    <t>128680689872</t>
  </si>
  <si>
    <t>128113046995</t>
  </si>
  <si>
    <t>128113199157</t>
  </si>
  <si>
    <t>128114015675</t>
  </si>
  <si>
    <t>128682354308</t>
  </si>
  <si>
    <t>128682536902</t>
  </si>
  <si>
    <t>128682595192</t>
  </si>
  <si>
    <t>Transferencia recibida Lautaro Larrosa</t>
  </si>
  <si>
    <t>128682541576</t>
  </si>
  <si>
    <t>128683315144</t>
  </si>
  <si>
    <t>128683261902</t>
  </si>
  <si>
    <t>128115571549</t>
  </si>
  <si>
    <t>128683578206</t>
  </si>
  <si>
    <t>128115764455</t>
  </si>
  <si>
    <t>128115776901</t>
  </si>
  <si>
    <t>128683947738</t>
  </si>
  <si>
    <t>Transferencia recibida Angela Jesica Burton</t>
  </si>
  <si>
    <t>128683933752</t>
  </si>
  <si>
    <t>128116626371</t>
  </si>
  <si>
    <t>128117082133</t>
  </si>
  <si>
    <t>Transferencia recibida Maria Cecilia Pocco</t>
  </si>
  <si>
    <t>128684580182</t>
  </si>
  <si>
    <t>128118062595</t>
  </si>
  <si>
    <t>128118169295</t>
  </si>
  <si>
    <t>128118353155</t>
  </si>
  <si>
    <t>128687029470</t>
  </si>
  <si>
    <t>Transferencia recibida Francisco Exequiel Zegaib</t>
  </si>
  <si>
    <t>128687148252</t>
  </si>
  <si>
    <t>128119642609</t>
  </si>
  <si>
    <t>128120103931</t>
  </si>
  <si>
    <t>128120410601</t>
  </si>
  <si>
    <t>128689106092</t>
  </si>
  <si>
    <t>128689516614</t>
  </si>
  <si>
    <t>128122214151</t>
  </si>
  <si>
    <t>128690050246</t>
  </si>
  <si>
    <t>128122283721</t>
  </si>
  <si>
    <t>128690199068</t>
  </si>
  <si>
    <t>128690444386</t>
  </si>
  <si>
    <t>128123405379</t>
  </si>
  <si>
    <t>128691126746</t>
  </si>
  <si>
    <t>128123744661</t>
  </si>
  <si>
    <t>128691506480</t>
  </si>
  <si>
    <t>128691509296</t>
  </si>
  <si>
    <t>128124030985</t>
  </si>
  <si>
    <t>128691751928</t>
  </si>
  <si>
    <t>128692018414</t>
  </si>
  <si>
    <t>128692041006</t>
  </si>
  <si>
    <t>05-10-2025</t>
  </si>
  <si>
    <t>128124351663</t>
  </si>
  <si>
    <t>128692668536</t>
  </si>
  <si>
    <t>128125043391</t>
  </si>
  <si>
    <t>128692773100</t>
  </si>
  <si>
    <t>128125341977</t>
  </si>
  <si>
    <t>128125660361</t>
  </si>
  <si>
    <t>Transferencia recibida Lucila Marlene Corvalan</t>
  </si>
  <si>
    <t>128125627213</t>
  </si>
  <si>
    <t>128693181950</t>
  </si>
  <si>
    <t>128694134194</t>
  </si>
  <si>
    <t>128694166558</t>
  </si>
  <si>
    <t>128126371521</t>
  </si>
  <si>
    <t>Transferencia recibida Delfina Cafferata</t>
  </si>
  <si>
    <t>128694203212</t>
  </si>
  <si>
    <t>128126531575</t>
  </si>
  <si>
    <t>128694438198</t>
  </si>
  <si>
    <t>128126798957</t>
  </si>
  <si>
    <t>Transferencia recibida Luciana Florencia Baranao</t>
  </si>
  <si>
    <t>128694389708</t>
  </si>
  <si>
    <t>128694674936</t>
  </si>
  <si>
    <t>128694718052</t>
  </si>
  <si>
    <t>Transferencia recibida Pablo Sebastian Leineker</t>
  </si>
  <si>
    <t>128127278911</t>
  </si>
  <si>
    <t>128127401801</t>
  </si>
  <si>
    <t>128127545875</t>
  </si>
  <si>
    <t>128695678908</t>
  </si>
  <si>
    <t>128695784506</t>
  </si>
  <si>
    <t>128695856532</t>
  </si>
  <si>
    <t>128128083733</t>
  </si>
  <si>
    <t>Transferencia recibida Leonardo Raul Galvan</t>
  </si>
  <si>
    <t>128695902536</t>
  </si>
  <si>
    <t>128696084622</t>
  </si>
  <si>
    <t>Transferencia recibida Nerea Arlettaz</t>
  </si>
  <si>
    <t>128128469831</t>
  </si>
  <si>
    <t>128128642373</t>
  </si>
  <si>
    <t>128696182418</t>
  </si>
  <si>
    <t>128696455684</t>
  </si>
  <si>
    <t>Transferencia recibida Luis Eduardo Avanzini</t>
  </si>
  <si>
    <t>128696457632</t>
  </si>
  <si>
    <t>128128996829</t>
  </si>
  <si>
    <t>128696800288</t>
  </si>
  <si>
    <t>128128980033</t>
  </si>
  <si>
    <t>128129163917</t>
  </si>
  <si>
    <t>128129860457</t>
  </si>
  <si>
    <t>128697427892</t>
  </si>
  <si>
    <t>128129968953</t>
  </si>
  <si>
    <t>128129982957</t>
  </si>
  <si>
    <t>128697505462</t>
  </si>
  <si>
    <t>128129983705</t>
  </si>
  <si>
    <t>128130086803</t>
  </si>
  <si>
    <t>Transferencia recibida Analia Barrios Diaz</t>
  </si>
  <si>
    <t>128697662950</t>
  </si>
  <si>
    <t>128697707428</t>
  </si>
  <si>
    <t>128698164204</t>
  </si>
  <si>
    <t>Transferencia recibida Mario Nicolás Angelini</t>
  </si>
  <si>
    <t>128698035700</t>
  </si>
  <si>
    <t>128698205804</t>
  </si>
  <si>
    <t>128130535797</t>
  </si>
  <si>
    <t>128130627097</t>
  </si>
  <si>
    <t>128130687417</t>
  </si>
  <si>
    <t>128698509452</t>
  </si>
  <si>
    <t>128698656838</t>
  </si>
  <si>
    <t>128131119009</t>
  </si>
  <si>
    <t>128698830486</t>
  </si>
  <si>
    <t>128131338741</t>
  </si>
  <si>
    <t>128699142146</t>
  </si>
  <si>
    <t>128131671691</t>
  </si>
  <si>
    <t>128131837387</t>
  </si>
  <si>
    <t>128699839998</t>
  </si>
  <si>
    <t>128132363197</t>
  </si>
  <si>
    <t>128201339295</t>
  </si>
  <si>
    <t>128771504152</t>
  </si>
  <si>
    <t>128205853491</t>
  </si>
  <si>
    <t>128206530723</t>
  </si>
  <si>
    <t>128775011128</t>
  </si>
  <si>
    <t>128775661428</t>
  </si>
  <si>
    <t>128208989895</t>
  </si>
  <si>
    <t>Transferencia recibida Leonardo Guillermo Carbone</t>
  </si>
  <si>
    <t>128777177860</t>
  </si>
  <si>
    <t>128210325155</t>
  </si>
  <si>
    <t>128210631029</t>
  </si>
  <si>
    <t>128779285828</t>
  </si>
  <si>
    <t>128211723845</t>
  </si>
  <si>
    <t>128780279488</t>
  </si>
  <si>
    <t>128212250343</t>
  </si>
  <si>
    <t>128212590833</t>
  </si>
  <si>
    <t>128213127005</t>
  </si>
  <si>
    <t>Transferencia recibida Rodrigo Lorenzo Cruz</t>
  </si>
  <si>
    <t>128213125083</t>
  </si>
  <si>
    <t>128213687353</t>
  </si>
  <si>
    <t>128213740763</t>
  </si>
  <si>
    <t>128782344294</t>
  </si>
  <si>
    <t>128215264657</t>
  </si>
  <si>
    <t>128783583224</t>
  </si>
  <si>
    <t>Transferencia recibida Rita Milagros Juvenal</t>
  </si>
  <si>
    <t>128783575336</t>
  </si>
  <si>
    <t>128216639471</t>
  </si>
  <si>
    <t>128785272946</t>
  </si>
  <si>
    <t>128217976781</t>
  </si>
  <si>
    <t>128218880657</t>
  </si>
  <si>
    <t>06-10-2025</t>
  </si>
  <si>
    <t>128220831145</t>
  </si>
  <si>
    <t>128221923389</t>
  </si>
  <si>
    <t>128222367735</t>
  </si>
  <si>
    <t>Transferencia enviada ERPEN JULIO C. Y PONZONI ANTONELLA P. SOCIEDAD SIMPLE</t>
  </si>
  <si>
    <t>128258988637</t>
  </si>
  <si>
    <t>Transferencia enviada TRES ORILLAS SRL</t>
  </si>
  <si>
    <t>128840577700</t>
  </si>
  <si>
    <t>Pago con QR FEPASA</t>
  </si>
  <si>
    <t>128841429022</t>
  </si>
  <si>
    <t>Transferencia enviada BACO DE LOS ANDES SA</t>
  </si>
  <si>
    <t>128290347795</t>
  </si>
  <si>
    <t>Transferencia enviada LAGUNA CAPRI SAS</t>
  </si>
  <si>
    <t>128302630577</t>
  </si>
  <si>
    <t>Transferencia enviada</t>
  </si>
  <si>
    <t>128307872905</t>
  </si>
  <si>
    <t>08-10-2025</t>
  </si>
  <si>
    <t>Pago de servicios ARCA</t>
  </si>
  <si>
    <t>129102877500</t>
  </si>
  <si>
    <t>Transferencia enviada CDG SRL</t>
  </si>
  <si>
    <t>129122901498</t>
  </si>
  <si>
    <t>Transferencia enviada SUCESION DE SATTO</t>
  </si>
  <si>
    <t>128552409491</t>
  </si>
  <si>
    <t>Pago con QR Coca-Cola ANDINA</t>
  </si>
  <si>
    <t>128573746367</t>
  </si>
  <si>
    <t>128574320803</t>
  </si>
  <si>
    <t>129164900834</t>
  </si>
  <si>
    <t>129181979010</t>
  </si>
  <si>
    <t>129185058794</t>
  </si>
  <si>
    <t>129187574742</t>
  </si>
  <si>
    <t>128623220757</t>
  </si>
  <si>
    <t>129194128550</t>
  </si>
  <si>
    <t>129195133392</t>
  </si>
  <si>
    <t>128624814139</t>
  </si>
  <si>
    <t>Transferencia recibida Luisina Lovatto</t>
  </si>
  <si>
    <t>128624750885</t>
  </si>
  <si>
    <t>129197916964</t>
  </si>
  <si>
    <t>128628824137</t>
  </si>
  <si>
    <t>Transferencia recibida Celina Blanc</t>
  </si>
  <si>
    <t>129199375094</t>
  </si>
  <si>
    <t>128628953665</t>
  </si>
  <si>
    <t>129201065142</t>
  </si>
  <si>
    <t>129201225626</t>
  </si>
  <si>
    <t>Transferencia recibida Santiago Daniel Viollaz</t>
  </si>
  <si>
    <t>128630547191</t>
  </si>
  <si>
    <t>128630753069</t>
  </si>
  <si>
    <t>128631028957</t>
  </si>
  <si>
    <t>129201952360</t>
  </si>
  <si>
    <t>Transferencia recibida Valeria Natalia Mercado</t>
  </si>
  <si>
    <t>128631129561</t>
  </si>
  <si>
    <t>128631398585</t>
  </si>
  <si>
    <t>128632421311</t>
  </si>
  <si>
    <t>129203149610</t>
  </si>
  <si>
    <t>129204840076</t>
  </si>
  <si>
    <t>129205192540</t>
  </si>
  <si>
    <t>Transferencia recibida Melanie Georgina Pesenti</t>
  </si>
  <si>
    <t>128634472533</t>
  </si>
  <si>
    <t>129205482260</t>
  </si>
  <si>
    <t>129205653322</t>
  </si>
  <si>
    <t>128636419289</t>
  </si>
  <si>
    <t>128636662801</t>
  </si>
  <si>
    <t>128637622361</t>
  </si>
  <si>
    <t>129208894410</t>
  </si>
  <si>
    <t>128639452327</t>
  </si>
  <si>
    <t>128639945425</t>
  </si>
  <si>
    <t>128640132077</t>
  </si>
  <si>
    <t>129211094160</t>
  </si>
  <si>
    <t>128640479035</t>
  </si>
  <si>
    <t>Transferencia recibida Jeronimo Bonus</t>
  </si>
  <si>
    <t>129211186642</t>
  </si>
  <si>
    <t>129211293332</t>
  </si>
  <si>
    <t>Transferencia recibida Eduardo Samuel Klimczuk</t>
  </si>
  <si>
    <t>129211364496</t>
  </si>
  <si>
    <t>129211696806</t>
  </si>
  <si>
    <t>128641318431</t>
  </si>
  <si>
    <t>129214442224</t>
  </si>
  <si>
    <t>128643965667</t>
  </si>
  <si>
    <t>Transferencia recibida Josefina Ines Sanchez</t>
  </si>
  <si>
    <t>129214683158</t>
  </si>
  <si>
    <t>129214866634</t>
  </si>
  <si>
    <t>128644211883</t>
  </si>
  <si>
    <t>128644890325</t>
  </si>
  <si>
    <t>Transferencia recibida Sergio Matias Carlotte</t>
  </si>
  <si>
    <t>129215473972</t>
  </si>
  <si>
    <t>129215579718</t>
  </si>
  <si>
    <t>Transferencia recibida Matias Peralta</t>
  </si>
  <si>
    <t>128644903387</t>
  </si>
  <si>
    <t>09-10-2025</t>
  </si>
  <si>
    <t>128645459167</t>
  </si>
  <si>
    <t>129217039132</t>
  </si>
  <si>
    <t>129217612156</t>
  </si>
  <si>
    <t>129217652034</t>
  </si>
  <si>
    <t>129217833188</t>
  </si>
  <si>
    <t>128647665951</t>
  </si>
  <si>
    <t>128648656617</t>
  </si>
  <si>
    <t>128649386055</t>
  </si>
  <si>
    <t>Transferencia enviada Mariano Pedro Rebord Palazzo</t>
  </si>
  <si>
    <t>129255536474</t>
  </si>
  <si>
    <t>128684825641</t>
  </si>
  <si>
    <t>128685024639</t>
  </si>
  <si>
    <t>128685805823</t>
  </si>
  <si>
    <t>129257679194</t>
  </si>
  <si>
    <t>129258131166</t>
  </si>
  <si>
    <t>Transferencia enviada Rodolfo Oscar Bidal</t>
  </si>
  <si>
    <t>128688655297</t>
  </si>
  <si>
    <t>Transferencia enviada Cerveza Tractor</t>
  </si>
  <si>
    <t>129262467630</t>
  </si>
  <si>
    <t>Transferencia enviada Distribuidora Doña Dora</t>
  </si>
  <si>
    <t>129264424592</t>
  </si>
  <si>
    <t>Transferencia enviada Norberto David Dolcet</t>
  </si>
  <si>
    <t>128707476349</t>
  </si>
  <si>
    <t>128752625367</t>
  </si>
  <si>
    <t>129331762974</t>
  </si>
  <si>
    <t>Transferencia recibida Roberto Eladio Sanabria</t>
  </si>
  <si>
    <t>129331802456</t>
  </si>
  <si>
    <t>129337187158</t>
  </si>
  <si>
    <t>128765691223</t>
  </si>
  <si>
    <t>128769499515</t>
  </si>
  <si>
    <t>129342703028</t>
  </si>
  <si>
    <t>129342704022</t>
  </si>
  <si>
    <t>128771413605</t>
  </si>
  <si>
    <t>129342935088</t>
  </si>
  <si>
    <t>128771982633</t>
  </si>
  <si>
    <t>128772013963</t>
  </si>
  <si>
    <t>129343775616</t>
  </si>
  <si>
    <t>128774456603</t>
  </si>
  <si>
    <t>128774562893</t>
  </si>
  <si>
    <t>128774751883</t>
  </si>
  <si>
    <t>128775176401</t>
  </si>
  <si>
    <t>128775151897</t>
  </si>
  <si>
    <t>129347015590</t>
  </si>
  <si>
    <t>128775704947</t>
  </si>
  <si>
    <t>Transferencia recibida Ayrton Jesus Miño</t>
  </si>
  <si>
    <t>128775620005</t>
  </si>
  <si>
    <t>129347413210</t>
  </si>
  <si>
    <t>129348090922</t>
  </si>
  <si>
    <t>128776692003</t>
  </si>
  <si>
    <t>Transferencia recibida Karen Magali Logiuratto</t>
  </si>
  <si>
    <t>128776800907</t>
  </si>
  <si>
    <t>128777868789</t>
  </si>
  <si>
    <t>129349865056</t>
  </si>
  <si>
    <t>128778387735</t>
  </si>
  <si>
    <t>129351184458</t>
  </si>
  <si>
    <t>129351342590</t>
  </si>
  <si>
    <t>129351319166</t>
  </si>
  <si>
    <t>129351544106</t>
  </si>
  <si>
    <t>128779755299</t>
  </si>
  <si>
    <t>128779823515</t>
  </si>
  <si>
    <t>129351615426</t>
  </si>
  <si>
    <t>128780337091</t>
  </si>
  <si>
    <t>129352021290</t>
  </si>
  <si>
    <t>129352179438</t>
  </si>
  <si>
    <t>128780754643</t>
  </si>
  <si>
    <t>128780927843</t>
  </si>
  <si>
    <t>128781427399</t>
  </si>
  <si>
    <t>128781810467</t>
  </si>
  <si>
    <t>128782418285</t>
  </si>
  <si>
    <t>128782524989</t>
  </si>
  <si>
    <t>129354374886</t>
  </si>
  <si>
    <t>Transferencia recibida Facundo Agustin Roude</t>
  </si>
  <si>
    <t>129354544482</t>
  </si>
  <si>
    <t>128782887399</t>
  </si>
  <si>
    <t>128782949597</t>
  </si>
  <si>
    <t>129354954934</t>
  </si>
  <si>
    <t>Transferencia recibida Abigail Burguez</t>
  </si>
  <si>
    <t>129355026808</t>
  </si>
  <si>
    <t>129354903714</t>
  </si>
  <si>
    <t>129355508304</t>
  </si>
  <si>
    <t>Transferencia recibida Joaquin Cabrera</t>
  </si>
  <si>
    <t>128783650099</t>
  </si>
  <si>
    <t>129355425330</t>
  </si>
  <si>
    <t>128784178315</t>
  </si>
  <si>
    <t>128784830517</t>
  </si>
  <si>
    <t>128785545873</t>
  </si>
  <si>
    <t>129357668936</t>
  </si>
  <si>
    <t>10-10-2025</t>
  </si>
  <si>
    <t>128786337459</t>
  </si>
  <si>
    <t>129358276472</t>
  </si>
  <si>
    <t>128786584557</t>
  </si>
  <si>
    <t>128786717157</t>
  </si>
  <si>
    <t>129358860160</t>
  </si>
  <si>
    <t>129358822738</t>
  </si>
  <si>
    <t>129359324040</t>
  </si>
  <si>
    <t>128787883001</t>
  </si>
  <si>
    <t>129359661112</t>
  </si>
  <si>
    <t>128788061399</t>
  </si>
  <si>
    <t>129359893986</t>
  </si>
  <si>
    <t>129360081230</t>
  </si>
  <si>
    <t>129360210616</t>
  </si>
  <si>
    <t>129360246626</t>
  </si>
  <si>
    <t>128788563757</t>
  </si>
  <si>
    <t>129360446764</t>
  </si>
  <si>
    <t>128788905379</t>
  </si>
  <si>
    <t>Transferencia recibida Amina Alfonso</t>
  </si>
  <si>
    <t>128789062463</t>
  </si>
  <si>
    <t>128788985481</t>
  </si>
  <si>
    <t>129360713754</t>
  </si>
  <si>
    <t>Transferencia recibida María Carla Nievas</t>
  </si>
  <si>
    <t>129360677968</t>
  </si>
  <si>
    <t>128789258661</t>
  </si>
  <si>
    <t>128789235121</t>
  </si>
  <si>
    <t>128789281509</t>
  </si>
  <si>
    <t>Transferencia recibida Milagros Melisa Rojas</t>
  </si>
  <si>
    <t>128789297363</t>
  </si>
  <si>
    <t>128789469169</t>
  </si>
  <si>
    <t>128789583003</t>
  </si>
  <si>
    <t>129361253914</t>
  </si>
  <si>
    <t>129361803564</t>
  </si>
  <si>
    <t>129361895776</t>
  </si>
  <si>
    <t>128790136019</t>
  </si>
  <si>
    <t>129362011648</t>
  </si>
  <si>
    <t>129362129768</t>
  </si>
  <si>
    <t>129362203494</t>
  </si>
  <si>
    <t>128790376827</t>
  </si>
  <si>
    <t>128790311633</t>
  </si>
  <si>
    <t>128790427367</t>
  </si>
  <si>
    <t>129362542858</t>
  </si>
  <si>
    <t>128790671665</t>
  </si>
  <si>
    <t>128790802443</t>
  </si>
  <si>
    <t>Transferencia recibida Melanie Catalina Baes</t>
  </si>
  <si>
    <t>128790713267</t>
  </si>
  <si>
    <t>129362629610</t>
  </si>
  <si>
    <t>128791038125</t>
  </si>
  <si>
    <t>128790813097</t>
  </si>
  <si>
    <t>129362779056</t>
  </si>
  <si>
    <t>128791039201</t>
  </si>
  <si>
    <t>128790975673</t>
  </si>
  <si>
    <t>129362926804</t>
  </si>
  <si>
    <t>Transferencia recibida Gina Veronica Poos</t>
  </si>
  <si>
    <t>129363038238</t>
  </si>
  <si>
    <t>129363235724</t>
  </si>
  <si>
    <t>129363422332</t>
  </si>
  <si>
    <t>129363361660</t>
  </si>
  <si>
    <t>128791843481</t>
  </si>
  <si>
    <t>128791965351</t>
  </si>
  <si>
    <t>128792088431</t>
  </si>
  <si>
    <t>129363795578</t>
  </si>
  <si>
    <t>128792091581</t>
  </si>
  <si>
    <t>Transferencia recibida Maria Guadalupe Perdomo</t>
  </si>
  <si>
    <t>128792036011</t>
  </si>
  <si>
    <t>128792133789</t>
  </si>
  <si>
    <t>129364048342</t>
  </si>
  <si>
    <t>128792488121</t>
  </si>
  <si>
    <t>Transferencia recibida Rocio Micaela Debrabandere</t>
  </si>
  <si>
    <t>128792386801</t>
  </si>
  <si>
    <t>128792450817</t>
  </si>
  <si>
    <t>129364171508</t>
  </si>
  <si>
    <t>129364305216</t>
  </si>
  <si>
    <t>128792696797</t>
  </si>
  <si>
    <t>129457594142</t>
  </si>
  <si>
    <t>128887204983</t>
  </si>
  <si>
    <t>129461153768</t>
  </si>
  <si>
    <t>129462582556</t>
  </si>
  <si>
    <t>Transferencia recibida Ricardo Benjamín Tognoli</t>
  </si>
  <si>
    <t>129462536948</t>
  </si>
  <si>
    <t>128892698657</t>
  </si>
  <si>
    <t>129466450092</t>
  </si>
  <si>
    <t>128893710093</t>
  </si>
  <si>
    <t>128896844399</t>
  </si>
  <si>
    <t>129470560460</t>
  </si>
  <si>
    <t>128897966025</t>
  </si>
  <si>
    <t>129475831332</t>
  </si>
  <si>
    <t>Transferencia recibida Marcelo Gabriel Porta</t>
  </si>
  <si>
    <t>129475789772</t>
  </si>
  <si>
    <t>129476370902</t>
  </si>
  <si>
    <t>128906379869</t>
  </si>
  <si>
    <t>128907134521</t>
  </si>
  <si>
    <t>128907143061</t>
  </si>
  <si>
    <t>129481762152</t>
  </si>
  <si>
    <t>129483019148</t>
  </si>
  <si>
    <t>128910094011</t>
  </si>
  <si>
    <t>128913553137</t>
  </si>
  <si>
    <t>128913776569</t>
  </si>
  <si>
    <t>129486752692</t>
  </si>
  <si>
    <t>129486918346</t>
  </si>
  <si>
    <t>128915102153</t>
  </si>
  <si>
    <t>129487356030</t>
  </si>
  <si>
    <t>129487550932</t>
  </si>
  <si>
    <t>129488848480</t>
  </si>
  <si>
    <t>129489074570</t>
  </si>
  <si>
    <t>128916581093</t>
  </si>
  <si>
    <t>129489255208</t>
  </si>
  <si>
    <t>128916762757</t>
  </si>
  <si>
    <t>128917530747</t>
  </si>
  <si>
    <t>128917593137</t>
  </si>
  <si>
    <t>128917687725</t>
  </si>
  <si>
    <t>129490400868</t>
  </si>
  <si>
    <t>128919083425</t>
  </si>
  <si>
    <t>128919574591</t>
  </si>
  <si>
    <t>129492088316</t>
  </si>
  <si>
    <t>129492181546</t>
  </si>
  <si>
    <t>129492203894</t>
  </si>
  <si>
    <t>129492338552</t>
  </si>
  <si>
    <t>129492476708</t>
  </si>
  <si>
    <t>129492602114</t>
  </si>
  <si>
    <t>129492654176</t>
  </si>
  <si>
    <t>128920484187</t>
  </si>
  <si>
    <t>128920403673</t>
  </si>
  <si>
    <t>129493185740</t>
  </si>
  <si>
    <t>129493359646</t>
  </si>
  <si>
    <t>11-10-2025</t>
  </si>
  <si>
    <t>128921310181</t>
  </si>
  <si>
    <t>128922302919</t>
  </si>
  <si>
    <t>128922474729</t>
  </si>
  <si>
    <t>129495024752</t>
  </si>
  <si>
    <t>129495145126</t>
  </si>
  <si>
    <t>128922682971</t>
  </si>
  <si>
    <t>129495185528</t>
  </si>
  <si>
    <t>129495380726</t>
  </si>
  <si>
    <t>129495617158</t>
  </si>
  <si>
    <t>129495780212</t>
  </si>
  <si>
    <t>129495728004</t>
  </si>
  <si>
    <t>Débito por deuda Facturas vencidas de Mercado Libre</t>
  </si>
  <si>
    <t>2430883946</t>
  </si>
  <si>
    <t>129495961410</t>
  </si>
  <si>
    <t>128923606311</t>
  </si>
  <si>
    <t>129496190454</t>
  </si>
  <si>
    <t>128923725051</t>
  </si>
  <si>
    <t>129496252230</t>
  </si>
  <si>
    <t>Transferencia recibida Ornella Agustina Busson</t>
  </si>
  <si>
    <t>129496220702</t>
  </si>
  <si>
    <t>128923886243</t>
  </si>
  <si>
    <t>128923983439</t>
  </si>
  <si>
    <t>128924146425</t>
  </si>
  <si>
    <t>128924489675</t>
  </si>
  <si>
    <t>128924615147</t>
  </si>
  <si>
    <t>128924745117</t>
  </si>
  <si>
    <t>128925028115</t>
  </si>
  <si>
    <t>128925124795</t>
  </si>
  <si>
    <t>129497682076</t>
  </si>
  <si>
    <t>129497757396</t>
  </si>
  <si>
    <t>128925323397</t>
  </si>
  <si>
    <t>128925850887</t>
  </si>
  <si>
    <t>Transferencia recibida Johanna Paola Pilmaiquen Brizuela</t>
  </si>
  <si>
    <t>129498298984</t>
  </si>
  <si>
    <t>129498257936</t>
  </si>
  <si>
    <t>128926011103</t>
  </si>
  <si>
    <t>129498617424</t>
  </si>
  <si>
    <t>129498761266</t>
  </si>
  <si>
    <t>129499008366</t>
  </si>
  <si>
    <t>Transferencia recibida Francisco Luis Serpa</t>
  </si>
  <si>
    <t>128926303123</t>
  </si>
  <si>
    <t>129498994698</t>
  </si>
  <si>
    <t>129499208348</t>
  </si>
  <si>
    <t>129499227386</t>
  </si>
  <si>
    <t>129499287010</t>
  </si>
  <si>
    <t>Transferencia recibida Ana Paula Orsingher</t>
  </si>
  <si>
    <t>128926832933</t>
  </si>
  <si>
    <t>129499309216</t>
  </si>
  <si>
    <t>128927187489</t>
  </si>
  <si>
    <t>128927240081</t>
  </si>
  <si>
    <t>128927347565</t>
  </si>
  <si>
    <t>129500372322</t>
  </si>
  <si>
    <t>129500491858</t>
  </si>
  <si>
    <t>128928139243</t>
  </si>
  <si>
    <t>128928251957</t>
  </si>
  <si>
    <t>129500767252</t>
  </si>
  <si>
    <t>128928488341</t>
  </si>
  <si>
    <t>129500923562</t>
  </si>
  <si>
    <t>129500992922</t>
  </si>
  <si>
    <t>129501096404</t>
  </si>
  <si>
    <t>128928561231</t>
  </si>
  <si>
    <t>129586128048</t>
  </si>
  <si>
    <t>129017128399</t>
  </si>
  <si>
    <t>129018427613</t>
  </si>
  <si>
    <t>129592679060</t>
  </si>
  <si>
    <t>129593690834</t>
  </si>
  <si>
    <t>129594827970</t>
  </si>
  <si>
    <t>129022677169</t>
  </si>
  <si>
    <t>129023931579</t>
  </si>
  <si>
    <t>129596975966</t>
  </si>
  <si>
    <t>129024231633</t>
  </si>
  <si>
    <t>129024994181</t>
  </si>
  <si>
    <t>129598052900</t>
  </si>
  <si>
    <t>129025880623</t>
  </si>
  <si>
    <t>129025992691</t>
  </si>
  <si>
    <t>129599378422</t>
  </si>
  <si>
    <t>Transferencia recibida Martin Derudder</t>
  </si>
  <si>
    <t>129599239718</t>
  </si>
  <si>
    <t>129599307758</t>
  </si>
  <si>
    <t>Transferencia recibida Dolores Richard</t>
  </si>
  <si>
    <t>129026510653</t>
  </si>
  <si>
    <t>129026897081</t>
  </si>
  <si>
    <t>129027124435</t>
  </si>
  <si>
    <t>129601578702</t>
  </si>
  <si>
    <t>129028884505</t>
  </si>
  <si>
    <t>129029037517</t>
  </si>
  <si>
    <t>129602058662</t>
  </si>
  <si>
    <t>129029166013</t>
  </si>
  <si>
    <t>Transferencia recibida Milagros Martinez</t>
  </si>
  <si>
    <t>129602059464</t>
  </si>
  <si>
    <t>129603583714</t>
  </si>
  <si>
    <t>Transferencia recibida Raquel Ana Geijo</t>
  </si>
  <si>
    <t>129603670366</t>
  </si>
  <si>
    <t>129030713857</t>
  </si>
  <si>
    <t>Transferencia recibida Alberto Jesus Lucarni</t>
  </si>
  <si>
    <t>129030721859</t>
  </si>
  <si>
    <t>129031186867</t>
  </si>
  <si>
    <t>129031118031</t>
  </si>
  <si>
    <t>129031727651</t>
  </si>
  <si>
    <t>129606428966</t>
  </si>
  <si>
    <t>Transferencia recibida Gustavo Marcos Fabian Kees</t>
  </si>
  <si>
    <t>129033517789</t>
  </si>
  <si>
    <t>129034163043</t>
  </si>
  <si>
    <t>129034274459</t>
  </si>
  <si>
    <t>Transferencia recibida Don Garin Carniceria</t>
  </si>
  <si>
    <t>129607130142</t>
  </si>
  <si>
    <t>129607232380</t>
  </si>
  <si>
    <t>129607601758</t>
  </si>
  <si>
    <t>129608485214</t>
  </si>
  <si>
    <t>129608565554</t>
  </si>
  <si>
    <t>129035729183</t>
  </si>
  <si>
    <t>129036090355</t>
  </si>
  <si>
    <t>Transferencia recibida Natasha Michelle Grasso</t>
  </si>
  <si>
    <t>129608793634</t>
  </si>
  <si>
    <t>129609138584</t>
  </si>
  <si>
    <t>Transferencia recibida Sol Bulay Atan</t>
  </si>
  <si>
    <t>129609093236</t>
  </si>
  <si>
    <t>129036637851</t>
  </si>
  <si>
    <t>129609804684</t>
  </si>
  <si>
    <t>129610020300</t>
  </si>
  <si>
    <t>129610390102</t>
  </si>
  <si>
    <t>129610361428</t>
  </si>
  <si>
    <t>129038067875</t>
  </si>
  <si>
    <t>129038255279</t>
  </si>
  <si>
    <t>129611198742</t>
  </si>
  <si>
    <t>Transferencia recibida Nahuel Hernan Delaloye</t>
  </si>
  <si>
    <t>129611119996</t>
  </si>
  <si>
    <t>129611514822</t>
  </si>
  <si>
    <t>129611461620</t>
  </si>
  <si>
    <t>129611760024</t>
  </si>
  <si>
    <t>129039009389</t>
  </si>
  <si>
    <t>129612039128</t>
  </si>
  <si>
    <t>129039190217</t>
  </si>
  <si>
    <t>129039242257</t>
  </si>
  <si>
    <t>129612215634</t>
  </si>
  <si>
    <t>129613344728</t>
  </si>
  <si>
    <t>129040565267</t>
  </si>
  <si>
    <t>129040694001</t>
  </si>
  <si>
    <t>129613766564</t>
  </si>
  <si>
    <t>129040868883</t>
  </si>
  <si>
    <t>129613900400</t>
  </si>
  <si>
    <t>129613950886</t>
  </si>
  <si>
    <t>12-10-2025</t>
  </si>
  <si>
    <t>129041040795</t>
  </si>
  <si>
    <t>129041177509</t>
  </si>
  <si>
    <t>129041338131</t>
  </si>
  <si>
    <t>Transferencia recibida Maria Gabriela Mazzaferri</t>
  </si>
  <si>
    <t>129041249333</t>
  </si>
  <si>
    <t>129041378905</t>
  </si>
  <si>
    <t>129041401037</t>
  </si>
  <si>
    <t>129614386934</t>
  </si>
  <si>
    <t>129614525496</t>
  </si>
  <si>
    <t>Transferencia recibida Agustin Manuel Ortolani</t>
  </si>
  <si>
    <t>129041627863</t>
  </si>
  <si>
    <t>129614515948</t>
  </si>
  <si>
    <t>129041884973</t>
  </si>
  <si>
    <t>129042046381</t>
  </si>
  <si>
    <t>Transferencia recibida Anabella Butteri</t>
  </si>
  <si>
    <t>129042018715</t>
  </si>
  <si>
    <t>129042140311</t>
  </si>
  <si>
    <t>129614959172</t>
  </si>
  <si>
    <t>129615274552</t>
  </si>
  <si>
    <t>129615263844</t>
  </si>
  <si>
    <t>129042467745</t>
  </si>
  <si>
    <t>129043240467</t>
  </si>
  <si>
    <t>129043316565</t>
  </si>
  <si>
    <t>129043313181</t>
  </si>
  <si>
    <t>129043545109</t>
  </si>
  <si>
    <t>Transferencia recibida Mumi librería</t>
  </si>
  <si>
    <t>129616337706</t>
  </si>
  <si>
    <t>129043666455</t>
  </si>
  <si>
    <t>129043708273</t>
  </si>
  <si>
    <t>129043974077</t>
  </si>
  <si>
    <t>Transferencia recibida Micaela Palop</t>
  </si>
  <si>
    <t>129044011245</t>
  </si>
  <si>
    <t>129044065429</t>
  </si>
  <si>
    <t>129617259534</t>
  </si>
  <si>
    <t>129044322707</t>
  </si>
  <si>
    <t>129044360883</t>
  </si>
  <si>
    <t>129044329247</t>
  </si>
  <si>
    <t>129044603083</t>
  </si>
  <si>
    <t>129045120785</t>
  </si>
  <si>
    <t>129045122761</t>
  </si>
  <si>
    <t>129617996694</t>
  </si>
  <si>
    <t>129045288133</t>
  </si>
  <si>
    <t>129045319317</t>
  </si>
  <si>
    <t>129045423297</t>
  </si>
  <si>
    <t>129618551002</t>
  </si>
  <si>
    <t>Transferencia recibida Facundo Leonardo Duarte</t>
  </si>
  <si>
    <t>129045547407</t>
  </si>
  <si>
    <t>129618619096</t>
  </si>
  <si>
    <t>129045868221</t>
  </si>
  <si>
    <t>129046696415</t>
  </si>
  <si>
    <t>129046863069</t>
  </si>
  <si>
    <t>129047014463</t>
  </si>
  <si>
    <t>129620006666</t>
  </si>
  <si>
    <t>129046984055</t>
  </si>
  <si>
    <t>129047335457</t>
  </si>
  <si>
    <t>129047936471</t>
  </si>
  <si>
    <t>Transferencia recibida Brenda Natali Vaja</t>
  </si>
  <si>
    <t>129620763756</t>
  </si>
  <si>
    <t>129620916788</t>
  </si>
  <si>
    <t>129621107146</t>
  </si>
  <si>
    <t>129621143792</t>
  </si>
  <si>
    <t>129621179894</t>
  </si>
  <si>
    <t>129048368871</t>
  </si>
  <si>
    <t>129048444225</t>
  </si>
  <si>
    <t>129621259702</t>
  </si>
  <si>
    <t>129621293638</t>
  </si>
  <si>
    <t>129621414226</t>
  </si>
  <si>
    <t>129621426704</t>
  </si>
  <si>
    <t>129048678585</t>
  </si>
  <si>
    <t>129621447690</t>
  </si>
  <si>
    <t>129686309290</t>
  </si>
  <si>
    <t>129117110511</t>
  </si>
  <si>
    <t>129117741955</t>
  </si>
  <si>
    <t>129694991650</t>
  </si>
  <si>
    <t>129696609972</t>
  </si>
  <si>
    <t>129698242386</t>
  </si>
  <si>
    <t>129700170344</t>
  </si>
  <si>
    <t>129127283837</t>
  </si>
  <si>
    <t>129127816699</t>
  </si>
  <si>
    <t>129131320825</t>
  </si>
  <si>
    <t>Transferencia recibida Santiago</t>
  </si>
  <si>
    <t>129131291041</t>
  </si>
  <si>
    <t>129131301899</t>
  </si>
  <si>
    <t>Transferencia recibida Taqueria mono gordo</t>
  </si>
  <si>
    <t>129704501978</t>
  </si>
  <si>
    <t>129131482843</t>
  </si>
  <si>
    <t>129131696927</t>
  </si>
  <si>
    <t>129705455082</t>
  </si>
  <si>
    <t>129705486752</t>
  </si>
  <si>
    <t>129705584190</t>
  </si>
  <si>
    <t>129132489041</t>
  </si>
  <si>
    <t>129705741726</t>
  </si>
  <si>
    <t>129705904234</t>
  </si>
  <si>
    <t>Transferencia recibida Camila Leonela Leyes</t>
  </si>
  <si>
    <t>129132696737</t>
  </si>
  <si>
    <t>13-10-2025</t>
  </si>
  <si>
    <t>129707362676</t>
  </si>
  <si>
    <t>129709148788</t>
  </si>
  <si>
    <t>Transferencia recibida Maria Carla Rossi</t>
  </si>
  <si>
    <t>129709073862</t>
  </si>
  <si>
    <t>129710895224</t>
  </si>
  <si>
    <t>129710939716</t>
  </si>
  <si>
    <t>129739120808</t>
  </si>
  <si>
    <t>129170702311</t>
  </si>
  <si>
    <t>Transferencia enviada BASSO REPRESENT SRL</t>
  </si>
  <si>
    <t>129188524455</t>
  </si>
  <si>
    <t>14-10-2025</t>
  </si>
  <si>
    <t>129327674841</t>
  </si>
  <si>
    <t>15-10-2025</t>
  </si>
  <si>
    <t>130014131238</t>
  </si>
  <si>
    <t>129462587231</t>
  </si>
  <si>
    <t>129500898477</t>
  </si>
  <si>
    <t>129509437895</t>
  </si>
  <si>
    <t>130086288874</t>
  </si>
  <si>
    <t>130091108900</t>
  </si>
  <si>
    <t>129516329095</t>
  </si>
  <si>
    <t>129518900805</t>
  </si>
  <si>
    <t>129520478821</t>
  </si>
  <si>
    <t>130098735448</t>
  </si>
  <si>
    <t>129524072583</t>
  </si>
  <si>
    <t>129524869951</t>
  </si>
  <si>
    <t>Transferencia recibida Alexis Maximiliano Dominguez</t>
  </si>
  <si>
    <t>129524992737</t>
  </si>
  <si>
    <t>130101335936</t>
  </si>
  <si>
    <t>130101623544</t>
  </si>
  <si>
    <t>129527828423</t>
  </si>
  <si>
    <t>130104043986</t>
  </si>
  <si>
    <t>129528484869</t>
  </si>
  <si>
    <t>130104586288</t>
  </si>
  <si>
    <t>Transferencia recibida Rodrigo Alberto Romero Oliva</t>
  </si>
  <si>
    <t>129528646145</t>
  </si>
  <si>
    <t>130104527794</t>
  </si>
  <si>
    <t>Transferencia recibida Juan Sebastian Canova</t>
  </si>
  <si>
    <t>130104581222</t>
  </si>
  <si>
    <t>16-10-2025</t>
  </si>
  <si>
    <t>130106124388</t>
  </si>
  <si>
    <t>130106306538</t>
  </si>
  <si>
    <t>130106413210</t>
  </si>
  <si>
    <t>Transferencia recibida Maria Antonela Iglesias</t>
  </si>
  <si>
    <t>129530476693</t>
  </si>
  <si>
    <t>130106746606</t>
  </si>
  <si>
    <t>129530844735</t>
  </si>
  <si>
    <t>Transferencia recibida Maria Gisela Fabre</t>
  </si>
  <si>
    <t>129530882263</t>
  </si>
  <si>
    <t>129567351075</t>
  </si>
  <si>
    <t>130144971598</t>
  </si>
  <si>
    <t>129568085939</t>
  </si>
  <si>
    <t>130145198838</t>
  </si>
  <si>
    <t>130144715934</t>
  </si>
  <si>
    <t>130169079748</t>
  </si>
  <si>
    <t>130169143516</t>
  </si>
  <si>
    <t>130176556044</t>
  </si>
  <si>
    <t>129600289573</t>
  </si>
  <si>
    <t>130177050648</t>
  </si>
  <si>
    <t>Transferencia enviada SUCESION LAPORTA FRANCISCO AN</t>
  </si>
  <si>
    <t>130176737204</t>
  </si>
  <si>
    <t>Devolución de dinero Compra de Lampara Led Classic Filamento 6w Cálida Glowlux - E...</t>
  </si>
  <si>
    <t>130184307466</t>
  </si>
  <si>
    <t>130186041276</t>
  </si>
  <si>
    <t>129646290259</t>
  </si>
  <si>
    <t>129648915079</t>
  </si>
  <si>
    <t>129649848031</t>
  </si>
  <si>
    <t>129650617159</t>
  </si>
  <si>
    <t>129650775843</t>
  </si>
  <si>
    <t>129651219591</t>
  </si>
  <si>
    <t>129653680393</t>
  </si>
  <si>
    <t>130231645538</t>
  </si>
  <si>
    <t>129655379537</t>
  </si>
  <si>
    <t>129656006133</t>
  </si>
  <si>
    <t>130233045784</t>
  </si>
  <si>
    <t>129656171055</t>
  </si>
  <si>
    <t>129656635025</t>
  </si>
  <si>
    <t>130235052390</t>
  </si>
  <si>
    <t>130235241138</t>
  </si>
  <si>
    <t>Transferencia recibida Alan Bochatay</t>
  </si>
  <si>
    <t>130235248998</t>
  </si>
  <si>
    <t>129658725887</t>
  </si>
  <si>
    <t>129658736007</t>
  </si>
  <si>
    <t>129658824099</t>
  </si>
  <si>
    <t>Transferencia recibida Iris Mercedes Salas</t>
  </si>
  <si>
    <t>130235811274</t>
  </si>
  <si>
    <t>129658992507</t>
  </si>
  <si>
    <t>130236213438</t>
  </si>
  <si>
    <t>130236432300</t>
  </si>
  <si>
    <t>130236527594</t>
  </si>
  <si>
    <t>129659852815</t>
  </si>
  <si>
    <t>130237082714</t>
  </si>
  <si>
    <t>130237347830</t>
  </si>
  <si>
    <t>130237685842</t>
  </si>
  <si>
    <t>130238444232</t>
  </si>
  <si>
    <t>129661557617</t>
  </si>
  <si>
    <t>129661707693</t>
  </si>
  <si>
    <t>129661865619</t>
  </si>
  <si>
    <t>130238857554</t>
  </si>
  <si>
    <t>130238877698</t>
  </si>
  <si>
    <t>129662268807</t>
  </si>
  <si>
    <t>130239526198</t>
  </si>
  <si>
    <t>130239601260</t>
  </si>
  <si>
    <t>129662993211</t>
  </si>
  <si>
    <t>129663216957</t>
  </si>
  <si>
    <t>129663343489</t>
  </si>
  <si>
    <t>130240464046</t>
  </si>
  <si>
    <t>129663918113</t>
  </si>
  <si>
    <t>Transferencia recibida Lucas Bre</t>
  </si>
  <si>
    <t>129663813559</t>
  </si>
  <si>
    <t>129663962379</t>
  </si>
  <si>
    <t>Transferencia recibida BARRACA 72</t>
  </si>
  <si>
    <t>130240793762</t>
  </si>
  <si>
    <t>130240900046</t>
  </si>
  <si>
    <t>129664222459</t>
  </si>
  <si>
    <t>130241438654</t>
  </si>
  <si>
    <t>130241731324</t>
  </si>
  <si>
    <t>129664922167</t>
  </si>
  <si>
    <t>17-10-2025</t>
  </si>
  <si>
    <t>129665013047</t>
  </si>
  <si>
    <t>130242353180</t>
  </si>
  <si>
    <t>129665646917</t>
  </si>
  <si>
    <t>129665679145</t>
  </si>
  <si>
    <t>130242682206</t>
  </si>
  <si>
    <t>Transferencia recibida Maria Antonella Otamendi</t>
  </si>
  <si>
    <t>129665744315</t>
  </si>
  <si>
    <t>129665788341</t>
  </si>
  <si>
    <t>130242872800</t>
  </si>
  <si>
    <t>130243088256</t>
  </si>
  <si>
    <t>130243178826</t>
  </si>
  <si>
    <t>130243259208</t>
  </si>
  <si>
    <t>130243432840</t>
  </si>
  <si>
    <t>130243580586</t>
  </si>
  <si>
    <t>129666703035</t>
  </si>
  <si>
    <t>129666911033</t>
  </si>
  <si>
    <t>129667056931</t>
  </si>
  <si>
    <t>129667302525</t>
  </si>
  <si>
    <t>130244117942</t>
  </si>
  <si>
    <t>129667297475</t>
  </si>
  <si>
    <t>130244627434</t>
  </si>
  <si>
    <t>129667759013</t>
  </si>
  <si>
    <t>130245490130</t>
  </si>
  <si>
    <t>130245537370</t>
  </si>
  <si>
    <t>129668822791</t>
  </si>
  <si>
    <t>130245840846</t>
  </si>
  <si>
    <t>129668875591</t>
  </si>
  <si>
    <t>129669344853</t>
  </si>
  <si>
    <t>129669379157</t>
  </si>
  <si>
    <t>130246425270</t>
  </si>
  <si>
    <t>130246469118</t>
  </si>
  <si>
    <t>129669964271</t>
  </si>
  <si>
    <t>129669927047</t>
  </si>
  <si>
    <t>130247086718</t>
  </si>
  <si>
    <t>130247030066</t>
  </si>
  <si>
    <t>130247117566</t>
  </si>
  <si>
    <t>129670229407</t>
  </si>
  <si>
    <t>130247304740</t>
  </si>
  <si>
    <t>130247329100</t>
  </si>
  <si>
    <t>130247568172</t>
  </si>
  <si>
    <t>129670391921</t>
  </si>
  <si>
    <t>129670591855</t>
  </si>
  <si>
    <t>130247812692</t>
  </si>
  <si>
    <t>130247751270</t>
  </si>
  <si>
    <t>130248036304</t>
  </si>
  <si>
    <t>129670937377</t>
  </si>
  <si>
    <t>130248023924</t>
  </si>
  <si>
    <t>129671157781</t>
  </si>
  <si>
    <t>130248316942</t>
  </si>
  <si>
    <t>129671797275</t>
  </si>
  <si>
    <t>130248763394</t>
  </si>
  <si>
    <t>129671936945</t>
  </si>
  <si>
    <t>129671929721</t>
  </si>
  <si>
    <t>130249595876</t>
  </si>
  <si>
    <t>129672790911</t>
  </si>
  <si>
    <t>130249957450</t>
  </si>
  <si>
    <t>129673252193</t>
  </si>
  <si>
    <t>Transferencia recibida Juan Cruz Lissa</t>
  </si>
  <si>
    <t>130250135054</t>
  </si>
  <si>
    <t>129673278321</t>
  </si>
  <si>
    <t>129710340317</t>
  </si>
  <si>
    <t>130353705012</t>
  </si>
  <si>
    <t>Transferencia recibida Juan Carlos Martin</t>
  </si>
  <si>
    <t>130353760104</t>
  </si>
  <si>
    <t>129778116759</t>
  </si>
  <si>
    <t>130358126868</t>
  </si>
  <si>
    <t>130361293554</t>
  </si>
  <si>
    <t>129784003071</t>
  </si>
  <si>
    <t>130361946326</t>
  </si>
  <si>
    <t>Transferencia recibida Mariana Araceli Eichhorst</t>
  </si>
  <si>
    <t>130361845382</t>
  </si>
  <si>
    <t>129785020933</t>
  </si>
  <si>
    <t>129785087831</t>
  </si>
  <si>
    <t>130364127788</t>
  </si>
  <si>
    <t>129786974609</t>
  </si>
  <si>
    <t>Transferencia recibida María Celeste Olmos</t>
  </si>
  <si>
    <t>130364682784</t>
  </si>
  <si>
    <t>130366746476</t>
  </si>
  <si>
    <t>129790304621</t>
  </si>
  <si>
    <t>129792971801</t>
  </si>
  <si>
    <t>Transferencia recibida Gabriela Otero</t>
  </si>
  <si>
    <t>129793044845</t>
  </si>
  <si>
    <t>129794619261</t>
  </si>
  <si>
    <t>129796256297</t>
  </si>
  <si>
    <t>129796310089</t>
  </si>
  <si>
    <t>129796727397</t>
  </si>
  <si>
    <t>130375704532</t>
  </si>
  <si>
    <t>129798660403</t>
  </si>
  <si>
    <t>130377596540</t>
  </si>
  <si>
    <t>130377732924</t>
  </si>
  <si>
    <t>130380979778</t>
  </si>
  <si>
    <t>129803748097</t>
  </si>
  <si>
    <t>130381748326</t>
  </si>
  <si>
    <t>129804183645</t>
  </si>
  <si>
    <t>18-10-2025</t>
  </si>
  <si>
    <t>130383628858</t>
  </si>
  <si>
    <t>130384067958</t>
  </si>
  <si>
    <t>130385114790</t>
  </si>
  <si>
    <t>129807437845</t>
  </si>
  <si>
    <t>130386044450</t>
  </si>
  <si>
    <t>130386204302</t>
  </si>
  <si>
    <t>130386612836</t>
  </si>
  <si>
    <t>129808985283</t>
  </si>
  <si>
    <t>129809631405</t>
  </si>
  <si>
    <t>Transferencia recibida Guillermo René Pastorini Rivas</t>
  </si>
  <si>
    <t>129809613779</t>
  </si>
  <si>
    <t>130388020290</t>
  </si>
  <si>
    <t>130388212390</t>
  </si>
  <si>
    <t>129810423309</t>
  </si>
  <si>
    <t>129810631191</t>
  </si>
  <si>
    <t>Transferencia recibida Tahiel Heredia</t>
  </si>
  <si>
    <t>130388477312</t>
  </si>
  <si>
    <t>129810790437</t>
  </si>
  <si>
    <t>129811436587</t>
  </si>
  <si>
    <t>130476617200</t>
  </si>
  <si>
    <t>129900664129</t>
  </si>
  <si>
    <t>129905597543</t>
  </si>
  <si>
    <t>129911222493</t>
  </si>
  <si>
    <t>130491851554</t>
  </si>
  <si>
    <t>130493803330</t>
  </si>
  <si>
    <t>Transferencia recibida Claudia Daniela Padilla</t>
  </si>
  <si>
    <t>129915570871</t>
  </si>
  <si>
    <t>129915579909</t>
  </si>
  <si>
    <t>129915872555</t>
  </si>
  <si>
    <t>Transferencia recibida Innovare 3D</t>
  </si>
  <si>
    <t>129915894155</t>
  </si>
  <si>
    <t>129916914361</t>
  </si>
  <si>
    <t>Transferencia recibida Gabriela Alejandra Buriano</t>
  </si>
  <si>
    <t>130495143130</t>
  </si>
  <si>
    <t>130495195432</t>
  </si>
  <si>
    <t>129917003437</t>
  </si>
  <si>
    <t>129917640259</t>
  </si>
  <si>
    <t>130495964660</t>
  </si>
  <si>
    <t>129918023175</t>
  </si>
  <si>
    <t>129918822439</t>
  </si>
  <si>
    <t>129920053775</t>
  </si>
  <si>
    <t>129920811303</t>
  </si>
  <si>
    <t>129921270221</t>
  </si>
  <si>
    <t>129921550313</t>
  </si>
  <si>
    <t>129922194191</t>
  </si>
  <si>
    <t>130500339498</t>
  </si>
  <si>
    <t>129922802979</t>
  </si>
  <si>
    <t>129922827431</t>
  </si>
  <si>
    <t>130501619064</t>
  </si>
  <si>
    <t>Transferencia recibida Leandro Larrechart Torresan</t>
  </si>
  <si>
    <t>130501601308</t>
  </si>
  <si>
    <t>130501741454</t>
  </si>
  <si>
    <t>130501959538</t>
  </si>
  <si>
    <t>129923967495</t>
  </si>
  <si>
    <t>129924104257</t>
  </si>
  <si>
    <t>Transferencia recibida Dylan Nahuel Del Valle</t>
  </si>
  <si>
    <t>129924012099</t>
  </si>
  <si>
    <t>130502314456</t>
  </si>
  <si>
    <t>129924592831</t>
  </si>
  <si>
    <t>130503035948</t>
  </si>
  <si>
    <t>Transferencia recibida Tomas Adrian Turin</t>
  </si>
  <si>
    <t>129924599633</t>
  </si>
  <si>
    <t>130503149626</t>
  </si>
  <si>
    <t>130503293264</t>
  </si>
  <si>
    <t>129924883769</t>
  </si>
  <si>
    <t>130503399266</t>
  </si>
  <si>
    <t>130503401764</t>
  </si>
  <si>
    <t>129925367229</t>
  </si>
  <si>
    <t>130503681142</t>
  </si>
  <si>
    <t>130503796692</t>
  </si>
  <si>
    <t>130503823030</t>
  </si>
  <si>
    <t>130503831700</t>
  </si>
  <si>
    <t>19-10-2025</t>
  </si>
  <si>
    <t>130503865664</t>
  </si>
  <si>
    <t>130504119406</t>
  </si>
  <si>
    <t>129925965239</t>
  </si>
  <si>
    <t>129926108389</t>
  </si>
  <si>
    <t>130504725754</t>
  </si>
  <si>
    <t>129926554953</t>
  </si>
  <si>
    <t>130505063064</t>
  </si>
  <si>
    <t>130505213634</t>
  </si>
  <si>
    <t>Transferencia recibida Giuliana Eloisa Martinez</t>
  </si>
  <si>
    <t>130505259044</t>
  </si>
  <si>
    <t>130505348210</t>
  </si>
  <si>
    <t>129927348607</t>
  </si>
  <si>
    <t>130505521438</t>
  </si>
  <si>
    <t>129927337673</t>
  </si>
  <si>
    <t>Transferencia recibida Esteban Julián Ferrazzi</t>
  </si>
  <si>
    <t>130505561424</t>
  </si>
  <si>
    <t>130505652570</t>
  </si>
  <si>
    <t>129927618037</t>
  </si>
  <si>
    <t>129927699555</t>
  </si>
  <si>
    <t>130506186280</t>
  </si>
  <si>
    <t>129928026307</t>
  </si>
  <si>
    <t>129928378923</t>
  </si>
  <si>
    <t>129928917523</t>
  </si>
  <si>
    <t>129928888001</t>
  </si>
  <si>
    <t>130507433134</t>
  </si>
  <si>
    <t>Transferencia recibida Catalina Degregori</t>
  </si>
  <si>
    <t>130507377794</t>
  </si>
  <si>
    <t>129929271469</t>
  </si>
  <si>
    <t>130507908182</t>
  </si>
  <si>
    <t>129929732379</t>
  </si>
  <si>
    <t>129929852927</t>
  </si>
  <si>
    <t>130508497912</t>
  </si>
  <si>
    <t>130508636164</t>
  </si>
  <si>
    <t>130508789716</t>
  </si>
  <si>
    <t>130509146786</t>
  </si>
  <si>
    <t>130509116046</t>
  </si>
  <si>
    <t>129930974625</t>
  </si>
  <si>
    <t>130509564908</t>
  </si>
  <si>
    <t>130509770750</t>
  </si>
  <si>
    <t>130509852208</t>
  </si>
  <si>
    <t>130509962534</t>
  </si>
  <si>
    <t>Transferencia recibida Martin Alejandro Mazzarello</t>
  </si>
  <si>
    <t>130509841798</t>
  </si>
  <si>
    <t>129931670223</t>
  </si>
  <si>
    <t>129932222123</t>
  </si>
  <si>
    <t>130510447150</t>
  </si>
  <si>
    <t>129932270371</t>
  </si>
  <si>
    <t>129932193821</t>
  </si>
  <si>
    <t>129932363147</t>
  </si>
  <si>
    <t>129932452525</t>
  </si>
  <si>
    <t>129932460795</t>
  </si>
  <si>
    <t>129932493309</t>
  </si>
  <si>
    <t>130510871960</t>
  </si>
  <si>
    <t>Transferencia recibida Lara Selene Palma</t>
  </si>
  <si>
    <t>129932531979</t>
  </si>
  <si>
    <t>129932563723</t>
  </si>
  <si>
    <t>130510890048</t>
  </si>
  <si>
    <t>130511004854</t>
  </si>
  <si>
    <t>130510983586</t>
  </si>
  <si>
    <t>129932719263</t>
  </si>
  <si>
    <t>Transferencia recibida Karen Nair Rodriguez Arce</t>
  </si>
  <si>
    <t>130511170496</t>
  </si>
  <si>
    <t>129995987851</t>
  </si>
  <si>
    <t>129998477397</t>
  </si>
  <si>
    <t>130001228701</t>
  </si>
  <si>
    <t>Transferencia recibida Micaela Richard</t>
  </si>
  <si>
    <t>130001228715</t>
  </si>
  <si>
    <t>130001899155</t>
  </si>
  <si>
    <t>130002820299</t>
  </si>
  <si>
    <t>130582654102</t>
  </si>
  <si>
    <t>130583209284</t>
  </si>
  <si>
    <t>130004895803</t>
  </si>
  <si>
    <t>130583515842</t>
  </si>
  <si>
    <t>130005830393</t>
  </si>
  <si>
    <t>130584728334</t>
  </si>
  <si>
    <t>Transferencia recibida Silvana Soledad Telo</t>
  </si>
  <si>
    <t>130006028927</t>
  </si>
  <si>
    <t>130585080512</t>
  </si>
  <si>
    <t>130586021122</t>
  </si>
  <si>
    <t>130007731191</t>
  </si>
  <si>
    <t>130586314610</t>
  </si>
  <si>
    <t>130009827557</t>
  </si>
  <si>
    <t>130589344658</t>
  </si>
  <si>
    <t>130589453826</t>
  </si>
  <si>
    <t>130589989308</t>
  </si>
  <si>
    <t>130013338171</t>
  </si>
  <si>
    <t>130592036332</t>
  </si>
  <si>
    <t>130013489481</t>
  </si>
  <si>
    <t>130592091772</t>
  </si>
  <si>
    <t>130592612508</t>
  </si>
  <si>
    <t>20-10-2025</t>
  </si>
  <si>
    <t>130594025244</t>
  </si>
  <si>
    <t>130594391886</t>
  </si>
  <si>
    <t>130595730634</t>
  </si>
  <si>
    <t>130596512394</t>
  </si>
  <si>
    <t>Transferencia recibida Manuel Galvan</t>
  </si>
  <si>
    <t>130017719079</t>
  </si>
  <si>
    <t>130619610184</t>
  </si>
  <si>
    <t>Devolución de dinero FEPASA</t>
  </si>
  <si>
    <t>130620588576</t>
  </si>
  <si>
    <t>130619613726</t>
  </si>
  <si>
    <t>Transferencia enviada DOÑA DORA</t>
  </si>
  <si>
    <t>130657203582</t>
  </si>
  <si>
    <t>130657431704</t>
  </si>
  <si>
    <t>130657597610</t>
  </si>
  <si>
    <t>130657817644</t>
  </si>
  <si>
    <t>130079298437</t>
  </si>
  <si>
    <t>130658026006</t>
  </si>
  <si>
    <t>21-10-2025</t>
  </si>
  <si>
    <t>130164356911</t>
  </si>
  <si>
    <t>Transferencia enviada GONZALES SILVIA NOEMI</t>
  </si>
  <si>
    <t>130189219979</t>
  </si>
  <si>
    <t>130209375191</t>
  </si>
  <si>
    <t>22-10-2025</t>
  </si>
  <si>
    <t>130291816163</t>
  </si>
  <si>
    <t>130292370337</t>
  </si>
  <si>
    <t>130885539658</t>
  </si>
  <si>
    <t>Transferencia enviada PORCOMAGRO SRL</t>
  </si>
  <si>
    <t>130305376427</t>
  </si>
  <si>
    <t>130909261908</t>
  </si>
  <si>
    <t>130362900393</t>
  </si>
  <si>
    <t>130362869487</t>
  </si>
  <si>
    <t>130363959471</t>
  </si>
  <si>
    <t>130950649594</t>
  </si>
  <si>
    <t>130951377050</t>
  </si>
  <si>
    <t>Transferencia recibida Juan Felipe Folmer Dondena</t>
  </si>
  <si>
    <t>130367507575</t>
  </si>
  <si>
    <t>130953076190</t>
  </si>
  <si>
    <t>130953551734</t>
  </si>
  <si>
    <t>130372082339</t>
  </si>
  <si>
    <t>130372023691</t>
  </si>
  <si>
    <t>130958785182</t>
  </si>
  <si>
    <t>130959127036</t>
  </si>
  <si>
    <t>130961561984</t>
  </si>
  <si>
    <t>130378510101</t>
  </si>
  <si>
    <t>Transferencia recibida Maria Cecilia Azario</t>
  </si>
  <si>
    <t>130378434449</t>
  </si>
  <si>
    <t>130378665767</t>
  </si>
  <si>
    <t>130379169891</t>
  </si>
  <si>
    <t>130380339005</t>
  </si>
  <si>
    <t>130964053848</t>
  </si>
  <si>
    <t>23-10-2025</t>
  </si>
  <si>
    <t>130965083356</t>
  </si>
  <si>
    <t>130381087993</t>
  </si>
  <si>
    <t>130381219961</t>
  </si>
  <si>
    <t>Transferencia recibida Jeremias Gomez</t>
  </si>
  <si>
    <t>130965241174</t>
  </si>
  <si>
    <t>130966019066</t>
  </si>
  <si>
    <t>130382217225</t>
  </si>
  <si>
    <t>130968142248</t>
  </si>
  <si>
    <t>Transferencia recibida Juan Antonio Nicolas Trotta</t>
  </si>
  <si>
    <t>130384192759</t>
  </si>
  <si>
    <t>130968200228</t>
  </si>
  <si>
    <t>Transferencia recibida Melany Luciana Vargas</t>
  </si>
  <si>
    <t>130968218136</t>
  </si>
  <si>
    <t>130968159374</t>
  </si>
  <si>
    <t>130968346258</t>
  </si>
  <si>
    <t>130384388375</t>
  </si>
  <si>
    <t>Transferencia recibida Lucas Agustin Larrea</t>
  </si>
  <si>
    <t>130384388377</t>
  </si>
  <si>
    <t>130384380875</t>
  </si>
  <si>
    <t>130384308007</t>
  </si>
  <si>
    <t>130385473309</t>
  </si>
  <si>
    <t>130385616989</t>
  </si>
  <si>
    <t>130385762611</t>
  </si>
  <si>
    <t>130385928447</t>
  </si>
  <si>
    <t>Transferencia enviada DE BRABAND AGUSTIN</t>
  </si>
  <si>
    <t>131007744612</t>
  </si>
  <si>
    <t>131007519350</t>
  </si>
  <si>
    <t>131021496516</t>
  </si>
  <si>
    <t>131024553804</t>
  </si>
  <si>
    <t>131071540454</t>
  </si>
  <si>
    <t>130485510525</t>
  </si>
  <si>
    <t>130487069719</t>
  </si>
  <si>
    <t>130487394525</t>
  </si>
  <si>
    <t>131074278650</t>
  </si>
  <si>
    <t>131076012574</t>
  </si>
  <si>
    <t>130491825175</t>
  </si>
  <si>
    <t>130491895093</t>
  </si>
  <si>
    <t>131078679332</t>
  </si>
  <si>
    <t>Transferencia recibida Gonzalo Maximiliano Morales</t>
  </si>
  <si>
    <t>131078727208</t>
  </si>
  <si>
    <t>130492403155</t>
  </si>
  <si>
    <t>131079257414</t>
  </si>
  <si>
    <t>131080816358</t>
  </si>
  <si>
    <t>Transferencia recibida Sebastian Bertolini</t>
  </si>
  <si>
    <t>131080543782</t>
  </si>
  <si>
    <t>130494768229</t>
  </si>
  <si>
    <t>130494783229</t>
  </si>
  <si>
    <t>131082125710</t>
  </si>
  <si>
    <t>130495738913</t>
  </si>
  <si>
    <t>130496329581</t>
  </si>
  <si>
    <t>130496869105</t>
  </si>
  <si>
    <t>130497206277</t>
  </si>
  <si>
    <t>130497161841</t>
  </si>
  <si>
    <t>131084083926</t>
  </si>
  <si>
    <t>131084512264</t>
  </si>
  <si>
    <t>131084590632</t>
  </si>
  <si>
    <t>131084662508</t>
  </si>
  <si>
    <t>Transferencia recibida MacArena Abigail Rapallo</t>
  </si>
  <si>
    <t>130498159109</t>
  </si>
  <si>
    <t>131084747440</t>
  </si>
  <si>
    <t>130498345131</t>
  </si>
  <si>
    <t>130498487107</t>
  </si>
  <si>
    <t>131086009404</t>
  </si>
  <si>
    <t>130499575511</t>
  </si>
  <si>
    <t>Transferencia recibida Adrian Nicolas Arroyo</t>
  </si>
  <si>
    <t>130499718765</t>
  </si>
  <si>
    <t>131086304876</t>
  </si>
  <si>
    <t>131086444340</t>
  </si>
  <si>
    <t>131086501014</t>
  </si>
  <si>
    <t>131086678184</t>
  </si>
  <si>
    <t>131087257486</t>
  </si>
  <si>
    <t>131088135338</t>
  </si>
  <si>
    <t>131088197646</t>
  </si>
  <si>
    <t>131088652378</t>
  </si>
  <si>
    <t>130502296115</t>
  </si>
  <si>
    <t>131089296298</t>
  </si>
  <si>
    <t>131089712824</t>
  </si>
  <si>
    <t>131089749914</t>
  </si>
  <si>
    <t>130503293867</t>
  </si>
  <si>
    <t>130503430043</t>
  </si>
  <si>
    <t>130503902335</t>
  </si>
  <si>
    <t>131090503118</t>
  </si>
  <si>
    <t>130504284429</t>
  </si>
  <si>
    <t>130504289461</t>
  </si>
  <si>
    <t>Transferencia recibida Laura Ines Maher</t>
  </si>
  <si>
    <t>131090844954</t>
  </si>
  <si>
    <t>131091206920</t>
  </si>
  <si>
    <t>130505110651</t>
  </si>
  <si>
    <t>131091722710</t>
  </si>
  <si>
    <t>130505317979</t>
  </si>
  <si>
    <t>131092165922</t>
  </si>
  <si>
    <t>130505544007</t>
  </si>
  <si>
    <t>131092388010</t>
  </si>
  <si>
    <t>131092700948</t>
  </si>
  <si>
    <t>24-10-2025</t>
  </si>
  <si>
    <t>130506540145</t>
  </si>
  <si>
    <t>131093035938</t>
  </si>
  <si>
    <t>130506520857</t>
  </si>
  <si>
    <t>130506636747</t>
  </si>
  <si>
    <t>130506543981</t>
  </si>
  <si>
    <t>131093307644</t>
  </si>
  <si>
    <t>130506875805</t>
  </si>
  <si>
    <t>131093488060</t>
  </si>
  <si>
    <t>131093724984</t>
  </si>
  <si>
    <t>130507452383</t>
  </si>
  <si>
    <t>131093866884</t>
  </si>
  <si>
    <t>131094045138</t>
  </si>
  <si>
    <t>130507633683</t>
  </si>
  <si>
    <t>131094372322</t>
  </si>
  <si>
    <t>131094378520</t>
  </si>
  <si>
    <t>130508048215</t>
  </si>
  <si>
    <t>130507917861</t>
  </si>
  <si>
    <t>131094616418</t>
  </si>
  <si>
    <t>Transferencia recibida Constanza Tugnarelli</t>
  </si>
  <si>
    <t>130508136391</t>
  </si>
  <si>
    <t>130508269613</t>
  </si>
  <si>
    <t>130508474545</t>
  </si>
  <si>
    <t>130508519393</t>
  </si>
  <si>
    <t>130508644291</t>
  </si>
  <si>
    <t>Transferencia recibida Celta</t>
  </si>
  <si>
    <t>130508600809</t>
  </si>
  <si>
    <t>130508658823</t>
  </si>
  <si>
    <t>130508778187</t>
  </si>
  <si>
    <t>131095221900</t>
  </si>
  <si>
    <t>131095368770</t>
  </si>
  <si>
    <t>130508847989</t>
  </si>
  <si>
    <t>Transferencia recibida Agustin Ferrari</t>
  </si>
  <si>
    <t>131095516238</t>
  </si>
  <si>
    <t>131095375852</t>
  </si>
  <si>
    <t>130509236797</t>
  </si>
  <si>
    <t>131095647968</t>
  </si>
  <si>
    <t>131095954450</t>
  </si>
  <si>
    <t>130509464861</t>
  </si>
  <si>
    <t>130509481677</t>
  </si>
  <si>
    <t>131096089826</t>
  </si>
  <si>
    <t>131096174768</t>
  </si>
  <si>
    <t>131096234866</t>
  </si>
  <si>
    <t>130509962431</t>
  </si>
  <si>
    <t>131096447346</t>
  </si>
  <si>
    <t>130510019279</t>
  </si>
  <si>
    <t>131096730214</t>
  </si>
  <si>
    <t>131096867212</t>
  </si>
  <si>
    <t>131097041416</t>
  </si>
  <si>
    <t>131097201364</t>
  </si>
  <si>
    <t>130510711625</t>
  </si>
  <si>
    <t>130510892843</t>
  </si>
  <si>
    <t>130510713801</t>
  </si>
  <si>
    <t>130510701953</t>
  </si>
  <si>
    <t>130511034159</t>
  </si>
  <si>
    <t>130511024259</t>
  </si>
  <si>
    <t>131097471030</t>
  </si>
  <si>
    <t>130510939873</t>
  </si>
  <si>
    <t>130510987923</t>
  </si>
  <si>
    <t>130511115179</t>
  </si>
  <si>
    <t>130511316897</t>
  </si>
  <si>
    <t>131097846962</t>
  </si>
  <si>
    <t>130511698427</t>
  </si>
  <si>
    <t>131098306232</t>
  </si>
  <si>
    <t>131098312446</t>
  </si>
  <si>
    <t>130511872803</t>
  </si>
  <si>
    <t>131098450400</t>
  </si>
  <si>
    <t>131098620974</t>
  </si>
  <si>
    <t>131098699670</t>
  </si>
  <si>
    <t>130512338739</t>
  </si>
  <si>
    <t>130512335019</t>
  </si>
  <si>
    <t>131099034366</t>
  </si>
  <si>
    <t>131098837484</t>
  </si>
  <si>
    <t>130512369709</t>
  </si>
  <si>
    <t>Transferencia recibida Tobias Nicolas Broggi</t>
  </si>
  <si>
    <t>130512480681</t>
  </si>
  <si>
    <t>130512724637</t>
  </si>
  <si>
    <t>131099256710</t>
  </si>
  <si>
    <t>130512786585</t>
  </si>
  <si>
    <t>131099366712</t>
  </si>
  <si>
    <t>131099538364</t>
  </si>
  <si>
    <t>131099810152</t>
  </si>
  <si>
    <t>131099852998</t>
  </si>
  <si>
    <t>131099953892</t>
  </si>
  <si>
    <t>130513557473</t>
  </si>
  <si>
    <t>130556988889</t>
  </si>
  <si>
    <t>Transferencia enviada ROPELATO S R L A. ROPELATO S R</t>
  </si>
  <si>
    <t>130562398759</t>
  </si>
  <si>
    <t>131188487220</t>
  </si>
  <si>
    <t>131204235834</t>
  </si>
  <si>
    <t>Transferencia recibida Paulina Eugenia Di Pretoro</t>
  </si>
  <si>
    <t>130617378717</t>
  </si>
  <si>
    <t>131207745972</t>
  </si>
  <si>
    <t>131207941346</t>
  </si>
  <si>
    <t>131207877872</t>
  </si>
  <si>
    <t>130623777749</t>
  </si>
  <si>
    <t>130624176389</t>
  </si>
  <si>
    <t>130624345861</t>
  </si>
  <si>
    <t>131212377844</t>
  </si>
  <si>
    <t>131213004572</t>
  </si>
  <si>
    <t>130626395735</t>
  </si>
  <si>
    <t>130626570147</t>
  </si>
  <si>
    <t>131215483074</t>
  </si>
  <si>
    <t>131220424334</t>
  </si>
  <si>
    <t>131222097832</t>
  </si>
  <si>
    <t>130635351707</t>
  </si>
  <si>
    <t>130635780689</t>
  </si>
  <si>
    <t>25-10-2025</t>
  </si>
  <si>
    <t>131223611256</t>
  </si>
  <si>
    <t>131224705868</t>
  </si>
  <si>
    <t>131224829468</t>
  </si>
  <si>
    <t>130637902867</t>
  </si>
  <si>
    <t>130639275959</t>
  </si>
  <si>
    <t>130640359985</t>
  </si>
  <si>
    <t>130640958813</t>
  </si>
  <si>
    <t>130640843819</t>
  </si>
  <si>
    <t>130641673553</t>
  </si>
  <si>
    <t>131229100860</t>
  </si>
  <si>
    <t>131229851002</t>
  </si>
  <si>
    <t>130642704973</t>
  </si>
  <si>
    <t>130642807553</t>
  </si>
  <si>
    <t>Transferencia recibida Clear bunny</t>
  </si>
  <si>
    <t>130642851035</t>
  </si>
  <si>
    <t>131259089018</t>
  </si>
  <si>
    <t>131265070110</t>
  </si>
  <si>
    <t>130711943539</t>
  </si>
  <si>
    <t>131300098174</t>
  </si>
  <si>
    <t>130719097737</t>
  </si>
  <si>
    <t>Transferencia recibida Leonardo David Francou</t>
  </si>
  <si>
    <t>130719190771</t>
  </si>
  <si>
    <t>130724478645</t>
  </si>
  <si>
    <t>130725052849</t>
  </si>
  <si>
    <t>130725248729</t>
  </si>
  <si>
    <t>130725169621</t>
  </si>
  <si>
    <t>130725213917</t>
  </si>
  <si>
    <t>131314622960</t>
  </si>
  <si>
    <t>130727892081</t>
  </si>
  <si>
    <t>131315931076</t>
  </si>
  <si>
    <t>131316106848</t>
  </si>
  <si>
    <t>130728828519</t>
  </si>
  <si>
    <t>131317335230</t>
  </si>
  <si>
    <t>130729893207</t>
  </si>
  <si>
    <t>131319128256</t>
  </si>
  <si>
    <t>130732522431</t>
  </si>
  <si>
    <t>130733187221</t>
  </si>
  <si>
    <t>131322059578</t>
  </si>
  <si>
    <t>131323046338</t>
  </si>
  <si>
    <t>130735353251</t>
  </si>
  <si>
    <t>130735485837</t>
  </si>
  <si>
    <t>131324787042</t>
  </si>
  <si>
    <t>131325048714</t>
  </si>
  <si>
    <t>131325856646</t>
  </si>
  <si>
    <t>131328664518</t>
  </si>
  <si>
    <t>130741580317</t>
  </si>
  <si>
    <t>Transferencia recibida Ceferino Nahuel Cristani Claret</t>
  </si>
  <si>
    <t>130741586205</t>
  </si>
  <si>
    <t>130743027301</t>
  </si>
  <si>
    <t>Transferencia recibida Patricia Viviana Mangioli</t>
  </si>
  <si>
    <t>130743033185</t>
  </si>
  <si>
    <t>131330704286</t>
  </si>
  <si>
    <t>131331474758</t>
  </si>
  <si>
    <t>131332537164</t>
  </si>
  <si>
    <t>131332603236</t>
  </si>
  <si>
    <t>130745117635</t>
  </si>
  <si>
    <t>130745183261</t>
  </si>
  <si>
    <t>130745282565</t>
  </si>
  <si>
    <t>131333075890</t>
  </si>
  <si>
    <t>131334393716</t>
  </si>
  <si>
    <t>130746971109</t>
  </si>
  <si>
    <t>131334683124</t>
  </si>
  <si>
    <t>26-10-2025</t>
  </si>
  <si>
    <t>131334827174</t>
  </si>
  <si>
    <t>131334970938</t>
  </si>
  <si>
    <t>130747270087</t>
  </si>
  <si>
    <t>Transferencia recibida Magdalena Victorio</t>
  </si>
  <si>
    <t>130747324947</t>
  </si>
  <si>
    <t>131335191102</t>
  </si>
  <si>
    <t>131335286100</t>
  </si>
  <si>
    <t>131406329738</t>
  </si>
  <si>
    <t>130819415363</t>
  </si>
  <si>
    <t>130820163603</t>
  </si>
  <si>
    <t>131408840112</t>
  </si>
  <si>
    <t>131409048748</t>
  </si>
  <si>
    <t>130822112395</t>
  </si>
  <si>
    <t>130822354383</t>
  </si>
  <si>
    <t>131410397354</t>
  </si>
  <si>
    <t>131411820276</t>
  </si>
  <si>
    <t>131412096670</t>
  </si>
  <si>
    <t>130824133399</t>
  </si>
  <si>
    <t>130824222455</t>
  </si>
  <si>
    <t>130824828049</t>
  </si>
  <si>
    <t>130826569483</t>
  </si>
  <si>
    <t>131414928320</t>
  </si>
  <si>
    <t>130826888049</t>
  </si>
  <si>
    <t>131415465152</t>
  </si>
  <si>
    <t>131415773332</t>
  </si>
  <si>
    <t>Transferencia recibida Jonathan Jon Rosochacki</t>
  </si>
  <si>
    <t>131415785166</t>
  </si>
  <si>
    <t>131416326220</t>
  </si>
  <si>
    <t>130829133981</t>
  </si>
  <si>
    <t>131417185922</t>
  </si>
  <si>
    <t>131417419112</t>
  </si>
  <si>
    <t>130829417965</t>
  </si>
  <si>
    <t>130829609829</t>
  </si>
  <si>
    <t>130829896373</t>
  </si>
  <si>
    <t>131418186586</t>
  </si>
  <si>
    <t>130830174093</t>
  </si>
  <si>
    <t>131419481488</t>
  </si>
  <si>
    <t>131419980308</t>
  </si>
  <si>
    <t>Transferencia recibida Ivan Jose Romero</t>
  </si>
  <si>
    <t>130832024389</t>
  </si>
  <si>
    <t>131420014070</t>
  </si>
  <si>
    <t>130832190117</t>
  </si>
  <si>
    <t>131420396454</t>
  </si>
  <si>
    <t>130832438629</t>
  </si>
  <si>
    <t>131420714572</t>
  </si>
  <si>
    <t>131420822362</t>
  </si>
  <si>
    <t>130832886979</t>
  </si>
  <si>
    <t>130833236173</t>
  </si>
  <si>
    <t>27-10-2025</t>
  </si>
  <si>
    <t>131421083902</t>
  </si>
  <si>
    <t>130833658261</t>
  </si>
  <si>
    <t>131422078742</t>
  </si>
  <si>
    <t>Transferencia recibida Andres Quintar Riboli</t>
  </si>
  <si>
    <t>130833937323</t>
  </si>
  <si>
    <t>131422130626</t>
  </si>
  <si>
    <t>130835123143</t>
  </si>
  <si>
    <t>Transferencia recibida Facundo Favre Novella</t>
  </si>
  <si>
    <t>130835087415</t>
  </si>
  <si>
    <t>130835214777</t>
  </si>
  <si>
    <t>131423917348</t>
  </si>
  <si>
    <t>130836071205</t>
  </si>
  <si>
    <t>131424102768</t>
  </si>
  <si>
    <t>131425827694</t>
  </si>
  <si>
    <t>130837987485</t>
  </si>
  <si>
    <t>130866282799</t>
  </si>
  <si>
    <t>130865941389</t>
  </si>
  <si>
    <t>130866917027</t>
  </si>
  <si>
    <t>Transferencia enviada LOS DOS HERMANOS SH</t>
  </si>
  <si>
    <t>130874468153</t>
  </si>
  <si>
    <t>131465299312</t>
  </si>
  <si>
    <t>28-10-2025</t>
  </si>
  <si>
    <t>130992012699</t>
  </si>
  <si>
    <t>131604351324</t>
  </si>
  <si>
    <t>131044883445</t>
  </si>
  <si>
    <t>29-10-2025</t>
  </si>
  <si>
    <t>Transferencia enviada CAMILA SCARDINO</t>
  </si>
  <si>
    <t>131115803725</t>
  </si>
  <si>
    <t>131709692626</t>
  </si>
  <si>
    <t>131710063412</t>
  </si>
  <si>
    <t>131118655135</t>
  </si>
  <si>
    <t>Transferencia enviada CERVEZA TRACTOR</t>
  </si>
  <si>
    <t>131129710683</t>
  </si>
  <si>
    <t>131769417760</t>
  </si>
  <si>
    <t>Transferencia recibida Federico Agustin Rezzano Vinkers</t>
  </si>
  <si>
    <t>131769443928</t>
  </si>
  <si>
    <t>131772095336</t>
  </si>
  <si>
    <t>131774856988</t>
  </si>
  <si>
    <t>Transferencia recibida Agustina Lorena Aste</t>
  </si>
  <si>
    <t>131180187819</t>
  </si>
  <si>
    <t>131181171991</t>
  </si>
  <si>
    <t>131777732222</t>
  </si>
  <si>
    <t>131778003664</t>
  </si>
  <si>
    <t>131778463862</t>
  </si>
  <si>
    <t>131184379239</t>
  </si>
  <si>
    <t>131778914868</t>
  </si>
  <si>
    <t>131185425007</t>
  </si>
  <si>
    <t>131781695512</t>
  </si>
  <si>
    <t>131782498642</t>
  </si>
  <si>
    <t>131783903282</t>
  </si>
  <si>
    <t>30-10-2025</t>
  </si>
  <si>
    <t>131190834783</t>
  </si>
  <si>
    <t>131786100454</t>
  </si>
  <si>
    <t>131786628190</t>
  </si>
  <si>
    <t>131789264688</t>
  </si>
  <si>
    <t>131814061112</t>
  </si>
  <si>
    <t>Transferencia enviada ACERO JEKLO SAS</t>
  </si>
  <si>
    <t>131845873060</t>
  </si>
  <si>
    <t>131286438671</t>
  </si>
  <si>
    <t>131885222868</t>
  </si>
  <si>
    <t>131293843097</t>
  </si>
  <si>
    <t>Transferencia recibida Carina Elizabeth Cabrera</t>
  </si>
  <si>
    <t>131293868791</t>
  </si>
  <si>
    <t>131890487764</t>
  </si>
  <si>
    <t>131890471796</t>
  </si>
  <si>
    <t>131890761018</t>
  </si>
  <si>
    <t>131298223245</t>
  </si>
  <si>
    <t>131896819466</t>
  </si>
  <si>
    <t>131300148317</t>
  </si>
  <si>
    <t>131901497916</t>
  </si>
  <si>
    <t>131901950294</t>
  </si>
  <si>
    <t>Transferencia recibida Georgia Marlene Arbelo</t>
  </si>
  <si>
    <t>131901914752</t>
  </si>
  <si>
    <t>131305593613</t>
  </si>
  <si>
    <t>131305925337</t>
  </si>
  <si>
    <t>131902908484</t>
  </si>
  <si>
    <t>131902863112</t>
  </si>
  <si>
    <t>131903448136</t>
  </si>
  <si>
    <t>131306274905</t>
  </si>
  <si>
    <t>131306395943</t>
  </si>
  <si>
    <t>131306413635</t>
  </si>
  <si>
    <t>131903795584</t>
  </si>
  <si>
    <t>131306924489</t>
  </si>
  <si>
    <t>131904338486</t>
  </si>
  <si>
    <t>131904438130</t>
  </si>
  <si>
    <t>131307691391</t>
  </si>
  <si>
    <t>Transferencia recibida Juliano Matias Francia</t>
  </si>
  <si>
    <t>131307866811</t>
  </si>
  <si>
    <t>131308959291</t>
  </si>
  <si>
    <t>131905568532</t>
  </si>
  <si>
    <t>131905809004</t>
  </si>
  <si>
    <t>131905932386</t>
  </si>
  <si>
    <t>131309391639</t>
  </si>
  <si>
    <t>131309712763</t>
  </si>
  <si>
    <t>131906789090</t>
  </si>
  <si>
    <t>131907151016</t>
  </si>
  <si>
    <t>131907151510</t>
  </si>
  <si>
    <t>131907367616</t>
  </si>
  <si>
    <t>131310426325</t>
  </si>
  <si>
    <t>131310354047</t>
  </si>
  <si>
    <t>131310713093</t>
  </si>
  <si>
    <t>131310863993</t>
  </si>
  <si>
    <t>131908282314</t>
  </si>
  <si>
    <t>131311356653</t>
  </si>
  <si>
    <t>131908241628</t>
  </si>
  <si>
    <t>131311443397</t>
  </si>
  <si>
    <t>131311573781</t>
  </si>
  <si>
    <t>131311969845</t>
  </si>
  <si>
    <t>131312518579</t>
  </si>
  <si>
    <t>131312521617</t>
  </si>
  <si>
    <t>131312526083</t>
  </si>
  <si>
    <t>131312741747</t>
  </si>
  <si>
    <t>131312947683</t>
  </si>
  <si>
    <t>131909518870</t>
  </si>
  <si>
    <t>131313176875</t>
  </si>
  <si>
    <t>Transferencia recibida Gino Oddone Dutria</t>
  </si>
  <si>
    <t>131909574080</t>
  </si>
  <si>
    <t>131910008744</t>
  </si>
  <si>
    <t>131910231374</t>
  </si>
  <si>
    <t>131910426998</t>
  </si>
  <si>
    <t>131313630355</t>
  </si>
  <si>
    <t>Transferencia recibida Milagros Rocio Caristi</t>
  </si>
  <si>
    <t>131910726814</t>
  </si>
  <si>
    <t>131313557783</t>
  </si>
  <si>
    <t>131313734591</t>
  </si>
  <si>
    <t>131313650019</t>
  </si>
  <si>
    <t>131910955522</t>
  </si>
  <si>
    <t>131314138549</t>
  </si>
  <si>
    <t>31-10-2025</t>
  </si>
  <si>
    <t>131314279823</t>
  </si>
  <si>
    <t>131911569716</t>
  </si>
  <si>
    <t>131911758332</t>
  </si>
  <si>
    <t>131911994644</t>
  </si>
  <si>
    <t>131911831956</t>
  </si>
  <si>
    <t>131315445485</t>
  </si>
  <si>
    <t>131315798133</t>
  </si>
  <si>
    <t>131315537649</t>
  </si>
  <si>
    <t>131912442132</t>
  </si>
  <si>
    <t>131315987293</t>
  </si>
  <si>
    <t>131316170617</t>
  </si>
  <si>
    <t>131316233559</t>
  </si>
  <si>
    <t>131316259873</t>
  </si>
  <si>
    <t>131913233904</t>
  </si>
  <si>
    <t>131913625570</t>
  </si>
  <si>
    <t>131913722710</t>
  </si>
  <si>
    <t>131913776076</t>
  </si>
  <si>
    <t>131914000620</t>
  </si>
  <si>
    <t>131317503951</t>
  </si>
  <si>
    <t>131317701455</t>
  </si>
  <si>
    <t>131317789095</t>
  </si>
  <si>
    <t>131914675008</t>
  </si>
  <si>
    <t>131914746862</t>
  </si>
  <si>
    <t>131317780025</t>
  </si>
  <si>
    <t>131318108529</t>
  </si>
  <si>
    <t>131914914580</t>
  </si>
  <si>
    <t>131318226099</t>
  </si>
  <si>
    <t>131915208972</t>
  </si>
  <si>
    <t>131915245194</t>
  </si>
  <si>
    <t>131915199812</t>
  </si>
  <si>
    <t>131915191964</t>
  </si>
  <si>
    <t>131318475295</t>
  </si>
  <si>
    <t>131915273768</t>
  </si>
  <si>
    <t>131318639651</t>
  </si>
  <si>
    <t>131915750288</t>
  </si>
  <si>
    <t>131915932200</t>
  </si>
  <si>
    <t>Transferencia recibida Maria Cecilia Castro</t>
  </si>
  <si>
    <t>131319123549</t>
  </si>
  <si>
    <t>131319369569</t>
  </si>
  <si>
    <t>131319428755</t>
  </si>
  <si>
    <t>131916032026</t>
  </si>
  <si>
    <t>131916342834</t>
  </si>
  <si>
    <t>131916342992</t>
  </si>
  <si>
    <t>Transferencia recibida Lisandro Edgardo Hartwig</t>
  </si>
  <si>
    <t>131319469609</t>
  </si>
  <si>
    <t>131916546200</t>
  </si>
  <si>
    <t>131319845291</t>
  </si>
  <si>
    <t>Transferencia recibida Valentina Abril Maidana Waigel</t>
  </si>
  <si>
    <t>131916458918</t>
  </si>
  <si>
    <t>131916575874</t>
  </si>
  <si>
    <t>131320133169</t>
  </si>
  <si>
    <t>131319977785</t>
  </si>
  <si>
    <t>131320260817</t>
  </si>
  <si>
    <t>131320310663</t>
  </si>
  <si>
    <t>131320327125</t>
  </si>
  <si>
    <t>Transferencia recibida Maximo Valentino Gerosa</t>
  </si>
  <si>
    <t>131917132592</t>
  </si>
  <si>
    <t>131917265204</t>
  </si>
  <si>
    <t>131917283282</t>
  </si>
  <si>
    <t>Transferencia recibida Valentin Nicolas Garcia</t>
  </si>
  <si>
    <t>131320680825</t>
  </si>
  <si>
    <t>131320695005</t>
  </si>
  <si>
    <t>131320643815</t>
  </si>
  <si>
    <t>131320786849</t>
  </si>
  <si>
    <t>131917566708</t>
  </si>
  <si>
    <t>131917577150</t>
  </si>
  <si>
    <t>Transferencia recibida Iara Nahir Lizzi Klug</t>
  </si>
  <si>
    <t>131917606846</t>
  </si>
  <si>
    <t>131320829761</t>
  </si>
  <si>
    <t>131917714840</t>
  </si>
  <si>
    <t>131917669410</t>
  </si>
  <si>
    <t>131321198139</t>
  </si>
  <si>
    <t>131918000406</t>
  </si>
  <si>
    <t>131958297698</t>
  </si>
  <si>
    <t>131361361133</t>
  </si>
  <si>
    <t>131360969785</t>
  </si>
  <si>
    <t>131361245633</t>
  </si>
  <si>
    <t>Transferencia enviada Gustavo Eugenio Gatter</t>
  </si>
  <si>
    <t>131372254051</t>
  </si>
  <si>
    <t>131969974252</t>
  </si>
  <si>
    <t>Transferencia enviada TICKET BAND SRL</t>
  </si>
  <si>
    <t>131421618225</t>
  </si>
  <si>
    <t>131426444169</t>
  </si>
  <si>
    <t>Transferencia recibida Brian Ramon Coronel</t>
  </si>
  <si>
    <t>131426410673</t>
  </si>
  <si>
    <t>132024371420</t>
  </si>
  <si>
    <t>132026588886</t>
  </si>
  <si>
    <t>131431493777</t>
  </si>
  <si>
    <t>132032843916</t>
  </si>
  <si>
    <t>132033280404</t>
  </si>
  <si>
    <t>Transferencia recibida Cristian Jorge Bulay</t>
  </si>
  <si>
    <t>132033306284</t>
  </si>
  <si>
    <t>131437180631</t>
  </si>
  <si>
    <t>131437083607</t>
  </si>
  <si>
    <t>132035156628</t>
  </si>
  <si>
    <t>131438131109</t>
  </si>
  <si>
    <t>132035989400</t>
  </si>
  <si>
    <t>131440599777</t>
  </si>
  <si>
    <t>131440703545</t>
  </si>
  <si>
    <t>Transferencia recibida Terapia Floral</t>
  </si>
  <si>
    <t>132038062836</t>
  </si>
  <si>
    <t>132038856812</t>
  </si>
  <si>
    <t>131442369167</t>
  </si>
  <si>
    <t>132040086204</t>
  </si>
  <si>
    <t>131442820443</t>
  </si>
  <si>
    <t>131442949423</t>
  </si>
  <si>
    <t>131443126827</t>
  </si>
  <si>
    <t>132040871854</t>
  </si>
  <si>
    <t>132042598568</t>
  </si>
  <si>
    <t>131445281177</t>
  </si>
  <si>
    <t>131446697595</t>
  </si>
  <si>
    <t>131447307481</t>
  </si>
  <si>
    <t>131449789851</t>
  </si>
  <si>
    <t>131450205625</t>
  </si>
  <si>
    <t>131450361471</t>
  </si>
  <si>
    <t>131450649595</t>
  </si>
  <si>
    <t>132048145386</t>
  </si>
  <si>
    <t>131450909125</t>
  </si>
  <si>
    <t>132048712642</t>
  </si>
  <si>
    <t>131451440131</t>
  </si>
  <si>
    <t>132049026310</t>
  </si>
  <si>
    <t>132051231038</t>
  </si>
  <si>
    <t>131454294961</t>
  </si>
  <si>
    <t>Etiquetas de fila</t>
  </si>
  <si>
    <t>Total general</t>
  </si>
  <si>
    <t>Suma de TRANSACTION_NET_AMOUNT</t>
  </si>
  <si>
    <t>COBRO DS X VENTA</t>
  </si>
  <si>
    <t>PAGO PROVEEDORES</t>
  </si>
  <si>
    <t xml:space="preserve">VER SI HAY COMPRA </t>
  </si>
  <si>
    <t>VER SI CONCILIA CON IMPUESTOS</t>
  </si>
  <si>
    <t xml:space="preserve">VER QUE ES </t>
  </si>
  <si>
    <t>CERVEZA TRACTOR</t>
  </si>
  <si>
    <t xml:space="preserve">CAJA </t>
  </si>
  <si>
    <t>devolución compra mercado libre</t>
  </si>
  <si>
    <t xml:space="preserve">Contab. </t>
  </si>
  <si>
    <t xml:space="preserve">Corresponde IDyC ya contabilizados globalmente </t>
  </si>
  <si>
    <t xml:space="preserve">ASIENTO 90 B </t>
  </si>
  <si>
    <t>Percepción factura MP + IDyC (contab. Globalmente)</t>
  </si>
  <si>
    <t>Va a proveedores / Hay facturas</t>
  </si>
  <si>
    <t>BRODE</t>
  </si>
  <si>
    <t xml:space="preserve">BRODE </t>
  </si>
  <si>
    <t>PROVEEDORES / Brode Hermanos x $110400 + IDyC (contabilizado globalmente)</t>
  </si>
  <si>
    <t xml:space="preserve">NO HAY FACTURA / CAJA </t>
  </si>
  <si>
    <t xml:space="preserve">ASIENTO 91 B </t>
  </si>
  <si>
    <t xml:space="preserve">ASIENTO 92 B </t>
  </si>
  <si>
    <t xml:space="preserve">CAJA NO IDENTIFIQUE FACTURA </t>
  </si>
  <si>
    <t xml:space="preserve">se devolvio / SIN FACTURA </t>
  </si>
  <si>
    <t xml:space="preserve">DEVOLUCION DEL DINERO </t>
  </si>
  <si>
    <t>BARONETTI ALEJANDRO DARIO x$22000 + envio x $ 14612,39</t>
  </si>
  <si>
    <t xml:space="preserve">FILOVALEN SRL </t>
  </si>
  <si>
    <t>GALANSINO JORGE ALBERTO X $ 88200</t>
  </si>
  <si>
    <t xml:space="preserve">EMELINT SRL. </t>
  </si>
  <si>
    <t xml:space="preserve">PAGO RECHAZADO, SE DEVOLVIO EL DINERO </t>
  </si>
  <si>
    <t>PROVEEDORES X $253900,45 - DEVOLUCION DEL DINERO POR LA DIFERENCIA $698961,08</t>
  </si>
  <si>
    <t>Reporte-Retención-Impuesto-sobre-los-Créditos-y-Débitos-Octubre-CC20250609171159-MercadoPago</t>
  </si>
  <si>
    <t>Usuario:</t>
  </si>
  <si>
    <t>CC20250609171159</t>
  </si>
  <si>
    <t>Impuesto:</t>
  </si>
  <si>
    <t>Impuesto sobre los Créditos y Débitos</t>
  </si>
  <si>
    <t>Fecha de descarga:</t>
  </si>
  <si>
    <t>18/03/2026</t>
  </si>
  <si>
    <t>Intervalo de fechas consultadas:</t>
  </si>
  <si>
    <t>01/10/2025 a 01/11/2025</t>
  </si>
  <si>
    <t>Total</t>
  </si>
  <si>
    <t>Monto</t>
  </si>
  <si>
    <t>Base imponible</t>
  </si>
  <si>
    <t>$72.256.708,51</t>
  </si>
  <si>
    <t>Importe retenido</t>
  </si>
  <si>
    <t>$433.540,21</t>
  </si>
  <si>
    <t>Importe devuelto</t>
  </si>
  <si>
    <t>$2.501,52</t>
  </si>
  <si>
    <t>Encuentra los movimientos de dinero en tu cuenta de Mercado Pago, en informes de balance.</t>
  </si>
  <si>
    <t>Este impuesto se aplica cada vez que hagas operaciones con terceros.</t>
  </si>
  <si>
    <t>Operación</t>
  </si>
  <si>
    <t>Impuesto</t>
  </si>
  <si>
    <t>Número de venta - Referencia externa</t>
  </si>
  <si>
    <t>Fecha de operación</t>
  </si>
  <si>
    <t>Tipo</t>
  </si>
  <si>
    <t>Número de operación</t>
  </si>
  <si>
    <t>Fecha de retención</t>
  </si>
  <si>
    <t>Alícuota</t>
  </si>
  <si>
    <t>Podrás conciliar la información con otros reportes 
de Mercado Libre.</t>
  </si>
  <si>
    <t>Podrás buscar el detalle de lo retenido 
en tu operación en la sección Actividad.</t>
  </si>
  <si>
    <t>Venta presencial</t>
  </si>
  <si>
    <t>01/10/2025</t>
  </si>
  <si>
    <t>Transacción</t>
  </si>
  <si>
    <t>0,60 %</t>
  </si>
  <si>
    <t>tips-128275855374</t>
  </si>
  <si>
    <t>02/10/2025</t>
  </si>
  <si>
    <t>tips-128287673862</t>
  </si>
  <si>
    <t>tips-128281546618</t>
  </si>
  <si>
    <t>tips-128281806306</t>
  </si>
  <si>
    <t>2000009426923883</t>
  </si>
  <si>
    <t>tips-127834309851</t>
  </si>
  <si>
    <t>tips-128402388274</t>
  </si>
  <si>
    <t>tips-127848195943</t>
  </si>
  <si>
    <t>tips-127843829541</t>
  </si>
  <si>
    <t>tips-127853704713</t>
  </si>
  <si>
    <t>tips-127845412065</t>
  </si>
  <si>
    <t>03/10/2025</t>
  </si>
  <si>
    <t>tips-128422197004</t>
  </si>
  <si>
    <t>Devolución</t>
  </si>
  <si>
    <t>tips-128422949584</t>
  </si>
  <si>
    <t>tips-128424874738</t>
  </si>
  <si>
    <t>tips-128417090472</t>
  </si>
  <si>
    <t>tips-128426216768</t>
  </si>
  <si>
    <t>tips-128423577732</t>
  </si>
  <si>
    <t>tips-127858454489</t>
  </si>
  <si>
    <t>tips-128425421186</t>
  </si>
  <si>
    <t>tips-128426740974</t>
  </si>
  <si>
    <t>tips-128546191150</t>
  </si>
  <si>
    <t>tips-128541606502</t>
  </si>
  <si>
    <t>tips-127975543977</t>
  </si>
  <si>
    <t>tips-127996361007</t>
  </si>
  <si>
    <t>tips-127998422719</t>
  </si>
  <si>
    <t>tips-128557855134</t>
  </si>
  <si>
    <t>tips-128558731210</t>
  </si>
  <si>
    <t>04/10/2025</t>
  </si>
  <si>
    <t>tips-128573428634</t>
  </si>
  <si>
    <t>tips-128564877302</t>
  </si>
  <si>
    <t>tips-128574660704</t>
  </si>
  <si>
    <t>tips-128007866123</t>
  </si>
  <si>
    <t>tips-127998958295</t>
  </si>
  <si>
    <t>tips-128008144261</t>
  </si>
  <si>
    <t>tips-128001644287</t>
  </si>
  <si>
    <t>tips-128100123265</t>
  </si>
  <si>
    <t>tips-128094716841</t>
  </si>
  <si>
    <t>tips-128106812525</t>
  </si>
  <si>
    <t>tips-128687029470</t>
  </si>
  <si>
    <t>05/10/2025</t>
  </si>
  <si>
    <t>tips-128682595192</t>
  </si>
  <si>
    <t>tips-128125660361</t>
  </si>
  <si>
    <t>tips-128683315144</t>
  </si>
  <si>
    <t>tips-128683578206</t>
  </si>
  <si>
    <t>tips-128126371521</t>
  </si>
  <si>
    <t>tips-128683947738</t>
  </si>
  <si>
    <t>tips-128694718052</t>
  </si>
  <si>
    <t>tips-128117082133</t>
  </si>
  <si>
    <t>tips-128128083733</t>
  </si>
  <si>
    <t>tips-128696455684</t>
  </si>
  <si>
    <t>tips-128130086803</t>
  </si>
  <si>
    <t>tips-128126798957</t>
  </si>
  <si>
    <t>tips-128696084622</t>
  </si>
  <si>
    <t>tips-128698164204</t>
  </si>
  <si>
    <t>tips-128208989895</t>
  </si>
  <si>
    <t>tips-128213127005</t>
  </si>
  <si>
    <t>06/10/2025</t>
  </si>
  <si>
    <t>tips-128213687353</t>
  </si>
  <si>
    <t>tips-128783583224</t>
  </si>
  <si>
    <t>00061n9ef5</t>
  </si>
  <si>
    <t>00061zy5k7</t>
  </si>
  <si>
    <t>08/10/2025</t>
  </si>
  <si>
    <t>00063e8gjl</t>
  </si>
  <si>
    <t>tips-129201225626</t>
  </si>
  <si>
    <t>tips-128624814139</t>
  </si>
  <si>
    <t>tips-128628824137</t>
  </si>
  <si>
    <t>tips-129201952360</t>
  </si>
  <si>
    <t>tips-129205192540</t>
  </si>
  <si>
    <t>tips-128644890325</t>
  </si>
  <si>
    <t>09/10/2025</t>
  </si>
  <si>
    <t>tips-128640479035</t>
  </si>
  <si>
    <t>tips-129211293332</t>
  </si>
  <si>
    <t>tips-128643965667</t>
  </si>
  <si>
    <t>tips-129215579718</t>
  </si>
  <si>
    <t>00064di1uh</t>
  </si>
  <si>
    <t>0006400zkk</t>
  </si>
  <si>
    <t>00063zzm88</t>
  </si>
  <si>
    <t>0006410kfg</t>
  </si>
  <si>
    <t>00064fft1d</t>
  </si>
  <si>
    <t>0006427t94</t>
  </si>
  <si>
    <t>000646059k</t>
  </si>
  <si>
    <t>tips-129331762974</t>
  </si>
  <si>
    <t>tips-128775704947</t>
  </si>
  <si>
    <t>tips-128776692003</t>
  </si>
  <si>
    <t>tips-129354954934</t>
  </si>
  <si>
    <t>10/10/2025</t>
  </si>
  <si>
    <t>tips-129360713754</t>
  </si>
  <si>
    <t>tips-128789281509</t>
  </si>
  <si>
    <t>tips-129354374886</t>
  </si>
  <si>
    <t>tips-128792091581</t>
  </si>
  <si>
    <t>tips-129355508304</t>
  </si>
  <si>
    <t>tips-128792488121</t>
  </si>
  <si>
    <t>tips-128788905379</t>
  </si>
  <si>
    <t>tips-128790802443</t>
  </si>
  <si>
    <t>tips-129362926804</t>
  </si>
  <si>
    <t>tips-129466450092</t>
  </si>
  <si>
    <t>tips-129462582556</t>
  </si>
  <si>
    <t>tips-129475831332</t>
  </si>
  <si>
    <t>tips-128920484187</t>
  </si>
  <si>
    <t>11/10/2025</t>
  </si>
  <si>
    <t>tips-129496252230</t>
  </si>
  <si>
    <t>tips-129499287010</t>
  </si>
  <si>
    <t>MELIPAYMENTS-COLLECTIONATTEMPT-24886498202025-10-05T03:04:01.153044778</t>
  </si>
  <si>
    <t>000661q0lz</t>
  </si>
  <si>
    <t>tips-128925850887</t>
  </si>
  <si>
    <t>tips-129499008366</t>
  </si>
  <si>
    <t>tips-129599378422</t>
  </si>
  <si>
    <t>tips-129599307758</t>
  </si>
  <si>
    <t>tips-129036090355</t>
  </si>
  <si>
    <t>tips-129609138584</t>
  </si>
  <si>
    <t>tips-129611198742</t>
  </si>
  <si>
    <t>tips-129029166013</t>
  </si>
  <si>
    <t>12/10/2025</t>
  </si>
  <si>
    <t>tips-129603583714</t>
  </si>
  <si>
    <t>tips-129030713857</t>
  </si>
  <si>
    <t>tips-129043974077</t>
  </si>
  <si>
    <t>tips-129606428966</t>
  </si>
  <si>
    <t>tips-129034274459</t>
  </si>
  <si>
    <t>tips-129618551002</t>
  </si>
  <si>
    <t>tips-129041338131</t>
  </si>
  <si>
    <t>tips-129614525496</t>
  </si>
  <si>
    <t>tips-129042046381</t>
  </si>
  <si>
    <t>tips-129043545109</t>
  </si>
  <si>
    <t>tips-129044360883</t>
  </si>
  <si>
    <t>tips-129047936471</t>
  </si>
  <si>
    <t>tips-129705904234</t>
  </si>
  <si>
    <t>13/10/2025</t>
  </si>
  <si>
    <t>tips-129131320825</t>
  </si>
  <si>
    <t>tips-129131301899</t>
  </si>
  <si>
    <t>tips-129709148788</t>
  </si>
  <si>
    <t>00067lb9sz</t>
  </si>
  <si>
    <t>000678pglc</t>
  </si>
  <si>
    <t>2000009602385507</t>
  </si>
  <si>
    <t>14/10/2025</t>
  </si>
  <si>
    <t>15/10/2025</t>
  </si>
  <si>
    <t>16/10/2025</t>
  </si>
  <si>
    <t>tips-129524869951</t>
  </si>
  <si>
    <t>tips-130104586288</t>
  </si>
  <si>
    <t>tips-130104527794</t>
  </si>
  <si>
    <t>tips-130106413210</t>
  </si>
  <si>
    <t>tips-129530844735</t>
  </si>
  <si>
    <t>0006a41kxr</t>
  </si>
  <si>
    <t>00069qjt7o</t>
  </si>
  <si>
    <t>00069wk1au</t>
  </si>
  <si>
    <t>2000009631984125</t>
  </si>
  <si>
    <t>0006aaeo75</t>
  </si>
  <si>
    <t>0006ae1hcp</t>
  </si>
  <si>
    <t>2000009632013399</t>
  </si>
  <si>
    <t>2000009632030793</t>
  </si>
  <si>
    <t>0006aeg15l</t>
  </si>
  <si>
    <t>tips-130235241138</t>
  </si>
  <si>
    <t>tips-129658824099</t>
  </si>
  <si>
    <t>tips-129663962379</t>
  </si>
  <si>
    <t>17/10/2025</t>
  </si>
  <si>
    <t>tips-130242682206</t>
  </si>
  <si>
    <t>tips-129663918113</t>
  </si>
  <si>
    <t>tips-129673252193</t>
  </si>
  <si>
    <t>0006azaczr</t>
  </si>
  <si>
    <t>tips-130353705012</t>
  </si>
  <si>
    <t>tips-130361946326</t>
  </si>
  <si>
    <t>tips-129786974609</t>
  </si>
  <si>
    <t>tips-129792971801</t>
  </si>
  <si>
    <t>18/10/2025</t>
  </si>
  <si>
    <t>tips-129810631191</t>
  </si>
  <si>
    <t>tips-129809631405</t>
  </si>
  <si>
    <t>tips-129916914361</t>
  </si>
  <si>
    <t>tips-130501619064</t>
  </si>
  <si>
    <t>tips-130503035948</t>
  </si>
  <si>
    <t>19/10/2025</t>
  </si>
  <si>
    <t>tips-130505213634</t>
  </si>
  <si>
    <t>tips-129927337673</t>
  </si>
  <si>
    <t>tips-130493803330</t>
  </si>
  <si>
    <t>tips-129915872555</t>
  </si>
  <si>
    <t>tips-129928917523</t>
  </si>
  <si>
    <t>tips-130509962534</t>
  </si>
  <si>
    <t>tips-129932719263</t>
  </si>
  <si>
    <t>tips-129924104257</t>
  </si>
  <si>
    <t>tips-130507433134</t>
  </si>
  <si>
    <t>tips-130510871960</t>
  </si>
  <si>
    <t>tips-130584728334</t>
  </si>
  <si>
    <t>tips-130001228701</t>
  </si>
  <si>
    <t>20/10/2025</t>
  </si>
  <si>
    <t>tips-130596512394</t>
  </si>
  <si>
    <t>0006cspi3m</t>
  </si>
  <si>
    <t>0006d2xbl0</t>
  </si>
  <si>
    <t>0006dgxgs5</t>
  </si>
  <si>
    <t>0006d33zqy</t>
  </si>
  <si>
    <t>0006dh44f3</t>
  </si>
  <si>
    <t>0006dh4wqt</t>
  </si>
  <si>
    <t>0006d317pc</t>
  </si>
  <si>
    <t>21/10/2025</t>
  </si>
  <si>
    <t>0006dwijhz</t>
  </si>
  <si>
    <t>0006dtmhz0</t>
  </si>
  <si>
    <t>22/10/2025</t>
  </si>
  <si>
    <t>2000009693093297</t>
  </si>
  <si>
    <t>tips-130951377050</t>
  </si>
  <si>
    <t>23/10/2025</t>
  </si>
  <si>
    <t>tips-130381219961</t>
  </si>
  <si>
    <t>tips-130968200228</t>
  </si>
  <si>
    <t>tips-130384388375</t>
  </si>
  <si>
    <t>tips-130378510101</t>
  </si>
  <si>
    <t>tips-130968142248</t>
  </si>
  <si>
    <t>0006fkwqpl</t>
  </si>
  <si>
    <t>2000009702870487</t>
  </si>
  <si>
    <t>tips-130491825175</t>
  </si>
  <si>
    <t>tips-131080816358</t>
  </si>
  <si>
    <t>tips-131084662508</t>
  </si>
  <si>
    <t>tips-130487069719</t>
  </si>
  <si>
    <t>tips-131078679332</t>
  </si>
  <si>
    <t>24/10/2025</t>
  </si>
  <si>
    <t>tips-130499575511</t>
  </si>
  <si>
    <t>tips-130510711625</t>
  </si>
  <si>
    <t>tips-130510713801</t>
  </si>
  <si>
    <t>tips-130504289461</t>
  </si>
  <si>
    <t>tips-131094616418</t>
  </si>
  <si>
    <t>tips-130508644291</t>
  </si>
  <si>
    <t>tips-130508847989</t>
  </si>
  <si>
    <t>tips-130512369709</t>
  </si>
  <si>
    <t>tips-131204235834</t>
  </si>
  <si>
    <t>tips-131207941346</t>
  </si>
  <si>
    <t>25/10/2025</t>
  </si>
  <si>
    <t>tips-130640958813</t>
  </si>
  <si>
    <t>tips-130642807553</t>
  </si>
  <si>
    <t>0006haks4h</t>
  </si>
  <si>
    <t>tips-130725248729</t>
  </si>
  <si>
    <t>0006hanioh</t>
  </si>
  <si>
    <t>tips-130719097737</t>
  </si>
  <si>
    <t>tips-130741580317</t>
  </si>
  <si>
    <t>26/10/2025</t>
  </si>
  <si>
    <t>tips-130747270087</t>
  </si>
  <si>
    <t>tips-130743027301</t>
  </si>
  <si>
    <t>tips-131415773332</t>
  </si>
  <si>
    <t>tips-131422078742</t>
  </si>
  <si>
    <t>27/10/2025</t>
  </si>
  <si>
    <t>tips-131417419112</t>
  </si>
  <si>
    <t>tips-131419980308</t>
  </si>
  <si>
    <t>tips-130835123143</t>
  </si>
  <si>
    <t>28/10/2025</t>
  </si>
  <si>
    <t>0006ixqjw3</t>
  </si>
  <si>
    <t>0006iopi0s</t>
  </si>
  <si>
    <t>0006iw4ljg</t>
  </si>
  <si>
    <t>29/10/2025</t>
  </si>
  <si>
    <t>0006ja0edo</t>
  </si>
  <si>
    <t>0006jab1gg</t>
  </si>
  <si>
    <t>0006ja4gz4</t>
  </si>
  <si>
    <t>tips-131769417760</t>
  </si>
  <si>
    <t>30/10/2025</t>
  </si>
  <si>
    <t>tips-131774856988</t>
  </si>
  <si>
    <t>tips-131293843097</t>
  </si>
  <si>
    <t>tips-131890487764</t>
  </si>
  <si>
    <t>tips-131307691391</t>
  </si>
  <si>
    <t>tips-131905809004</t>
  </si>
  <si>
    <t>tips-131313630355</t>
  </si>
  <si>
    <t>tips-131313557783</t>
  </si>
  <si>
    <t>31/10/2025</t>
  </si>
  <si>
    <t>tips-131901950294</t>
  </si>
  <si>
    <t>tips-131913625570</t>
  </si>
  <si>
    <t>tips-131903448136</t>
  </si>
  <si>
    <t>tips-131306395943</t>
  </si>
  <si>
    <t>tips-131317789095</t>
  </si>
  <si>
    <t>tips-131915199812</t>
  </si>
  <si>
    <t>tips-131318475295</t>
  </si>
  <si>
    <t>tips-131915932200</t>
  </si>
  <si>
    <t>tips-131319977785</t>
  </si>
  <si>
    <t>tips-131320327125</t>
  </si>
  <si>
    <t>tips-131917577150</t>
  </si>
  <si>
    <t>tips-131313176875</t>
  </si>
  <si>
    <t>tips-131916342992</t>
  </si>
  <si>
    <t>tips-131319845291</t>
  </si>
  <si>
    <t>tips-131917283282</t>
  </si>
  <si>
    <t>0006kqbv6g</t>
  </si>
  <si>
    <t>0006kt5qzk</t>
  </si>
  <si>
    <t>0006kt788q</t>
  </si>
  <si>
    <t>tips-132033280404</t>
  </si>
  <si>
    <t>tips-131437180631</t>
  </si>
  <si>
    <t>tips-131440703545</t>
  </si>
  <si>
    <t>tips-131426444169</t>
  </si>
  <si>
    <t>Reporte-Retención-SIRCUPA-Octubre-CC20250609171159-MercadoPago</t>
  </si>
  <si>
    <t>Retención SIRCUPA</t>
  </si>
  <si>
    <t>$382.419,00</t>
  </si>
  <si>
    <t>Tramo 1 - retenido del 01/10 al 10/10</t>
  </si>
  <si>
    <t>$2.320,83</t>
  </si>
  <si>
    <t>Tramo 2 - retenido del 11/10 al 20/10</t>
  </si>
  <si>
    <t>$2.161,32</t>
  </si>
  <si>
    <t>Tramo 3 - retenido del 21/10 al 31/10</t>
  </si>
  <si>
    <t>$1.254,38</t>
  </si>
  <si>
    <t>$5.736,53</t>
  </si>
  <si>
    <t>$0,00</t>
  </si>
  <si>
    <t>Podrás utilizar este reporte para conciliar lo que retuvimos.</t>
  </si>
  <si>
    <t>Monto de transferencia</t>
  </si>
  <si>
    <t>Transferencia</t>
  </si>
  <si>
    <t>1,50 %</t>
  </si>
  <si>
    <t>Reporte-Retención-SIRTAC-inscripto-1ra-quincena-Octubre-CC20250609171159-MercadoPago</t>
  </si>
  <si>
    <t>Retención SIRTAC</t>
  </si>
  <si>
    <t>01/10/2025 a 16/10/2025</t>
  </si>
  <si>
    <t>$19.033.940,00</t>
  </si>
  <si>
    <t>$190.339,40</t>
  </si>
  <si>
    <t>$1.576,00</t>
  </si>
  <si>
    <t>Venta</t>
  </si>
  <si>
    <t>1,00 %</t>
  </si>
  <si>
    <t>Fecha de actualización</t>
  </si>
  <si>
    <t>Sumamos nuevas columnas a tu reporte:
Trabajamos para brindarte más detalle sobre los cargos por utilizar Mercado Pago. Por eso, a partir de ahora, en "Información sobre cargos" incluiremos las siguientes columnas:
- Número del cargo: para que puedas cruzar la información con otros reportes.
 - Cobrado en la operación: para saber si un cargo fue cobrado en la operación o no. 
- Estado del cargo y Cargo que anula: para entender más sobre los cargos anulados.</t>
  </si>
  <si>
    <t>Información sobre cargos</t>
  </si>
  <si>
    <t>Información de la operación sobre la que se aplica</t>
  </si>
  <si>
    <t>Información sobre percepciones</t>
  </si>
  <si>
    <t>Accesos</t>
  </si>
  <si>
    <t>N° de factura fiscal</t>
  </si>
  <si>
    <t>Fecha del cargo</t>
  </si>
  <si>
    <t>Número del cargo</t>
  </si>
  <si>
    <t>Número del movimiento</t>
  </si>
  <si>
    <t>Detalle</t>
  </si>
  <si>
    <t>Cobrado en la operacion</t>
  </si>
  <si>
    <t>Estado del cargo</t>
  </si>
  <si>
    <t>Cargo que anula</t>
  </si>
  <si>
    <t>Valor del cargo</t>
  </si>
  <si>
    <t>Tipo de operación</t>
  </si>
  <si>
    <t>Operación relacionada</t>
  </si>
  <si>
    <t>Tipo de pago</t>
  </si>
  <si>
    <t>Número de sucursal</t>
  </si>
  <si>
    <t>Nombre de sucursal</t>
  </si>
  <si>
    <t>Referencia externa</t>
  </si>
  <si>
    <t>Cliente</t>
  </si>
  <si>
    <t>Valor de la operación</t>
  </si>
  <si>
    <t>Sección de Mercado libre y de Mercado Pago</t>
  </si>
  <si>
    <t>0070A00444640</t>
  </si>
  <si>
    <t>Cargo por cobrar con código QR</t>
  </si>
  <si>
    <t>Si</t>
  </si>
  <si>
    <t>Pago</t>
  </si>
  <si>
    <t>QR</t>
  </si>
  <si>
    <t>71465208</t>
  </si>
  <si>
    <t>Cerveza Träctor</t>
  </si>
  <si>
    <t>TUTO468990</t>
  </si>
  <si>
    <t>Ir al Detalle de la operación en Mercado Pago</t>
  </si>
  <si>
    <t>DIEGOLAUTAROAMARILLO</t>
  </si>
  <si>
    <t>CATALINAANACLARABELBEYRAMRE</t>
  </si>
  <si>
    <t>MICAELAGELABERTPIEIRO</t>
  </si>
  <si>
    <t>LALIBARR</t>
  </si>
  <si>
    <t>CORVALANLUCILA20220117120912</t>
  </si>
  <si>
    <t>GBONGGIO</t>
  </si>
  <si>
    <t>Cargo por cobrar con Point</t>
  </si>
  <si>
    <t>Point</t>
  </si>
  <si>
    <t>VENTASPRESENCIAL</t>
  </si>
  <si>
    <t>HAIDARMAILLEN20220221031209</t>
  </si>
  <si>
    <t>CAFFERATADELFINA20230707173934</t>
  </si>
  <si>
    <t>AILINIRUNGARAY</t>
  </si>
  <si>
    <t>BARAÑAOLUCIANA20230523182046</t>
  </si>
  <si>
    <t>SILVIMONROY_69</t>
  </si>
  <si>
    <t>PABLETE8</t>
  </si>
  <si>
    <t>RIEX1689392</t>
  </si>
  <si>
    <t>Cargo por uso de QR - Pagos Interoperables</t>
  </si>
  <si>
    <t>@2489718921</t>
  </si>
  <si>
    <t>LEORAUL2001</t>
  </si>
  <si>
    <t>ARNE20240222211358</t>
  </si>
  <si>
    <t>FRANPERDO21</t>
  </si>
  <si>
    <t>MARABENAY</t>
  </si>
  <si>
    <t>AVANZINILUIS1022</t>
  </si>
  <si>
    <t>LETICIABONIN</t>
  </si>
  <si>
    <t>CAMOZZICANDELA20220221131103</t>
  </si>
  <si>
    <t>ROSARIOVELLO2</t>
  </si>
  <si>
    <t>ALDICONTENTI</t>
  </si>
  <si>
    <t>HECTORIVANPRIM</t>
  </si>
  <si>
    <t>ANALIABARRIOSDIAZ</t>
  </si>
  <si>
    <t>EMI_KPO_ROJO</t>
  </si>
  <si>
    <t>BAMA20240404172219</t>
  </si>
  <si>
    <t>ANTONIODODERA</t>
  </si>
  <si>
    <t>PIPO19820</t>
  </si>
  <si>
    <t>JULIOCSARSOTO</t>
  </si>
  <si>
    <t>SEGOVIAFRANCESCA20231109204829</t>
  </si>
  <si>
    <t>ASMA8708205</t>
  </si>
  <si>
    <t>MARIAPAZDELACRUZ312</t>
  </si>
  <si>
    <t>JUANFOLMERD1</t>
  </si>
  <si>
    <t>MARCHE31</t>
  </si>
  <si>
    <t>BRIANMARTEN</t>
  </si>
  <si>
    <t>JOAQUINEF32</t>
  </si>
  <si>
    <t>PEAG379199</t>
  </si>
  <si>
    <t>CALE1959276</t>
  </si>
  <si>
    <t>GUILLERASURE</t>
  </si>
  <si>
    <t>FACUNDOBUTHAY</t>
  </si>
  <si>
    <t>MINATTAENZO20230524223344</t>
  </si>
  <si>
    <t>LAUTAROBALDO123</t>
  </si>
  <si>
    <t>CARABALLOMATIAS20221101124943</t>
  </si>
  <si>
    <t>RODRIGOLORENZOCRUZ</t>
  </si>
  <si>
    <t>MARIOELBARBA</t>
  </si>
  <si>
    <t>RITAJUVENAL</t>
  </si>
  <si>
    <t>LAMA20240214032758</t>
  </si>
  <si>
    <t>PRISCILA HERMANN</t>
  </si>
  <si>
    <t>LUISINALOVATTO</t>
  </si>
  <si>
    <t>BLANCCELINA20230706095544</t>
  </si>
  <si>
    <t>DANIELSANTIAGO20220212200630</t>
  </si>
  <si>
    <t>NADIA_31_92</t>
  </si>
  <si>
    <t>MERCADOVALERIA35</t>
  </si>
  <si>
    <t>MATEOLP92</t>
  </si>
  <si>
    <t>PESENTIMELANIE20230425022248</t>
  </si>
  <si>
    <t>FELLAYIVAN20230501053700</t>
  </si>
  <si>
    <t>SEBASTINFAURE</t>
  </si>
  <si>
    <t>KLOSTERCAROLINA20230812092838</t>
  </si>
  <si>
    <t>TOMPERITO</t>
  </si>
  <si>
    <t>RAMA20240520193117</t>
  </si>
  <si>
    <t>JERNIMOBONUS</t>
  </si>
  <si>
    <t>KLIMCZUKEDUARDO20220621071405</t>
  </si>
  <si>
    <t>VICTORIASABOREDO</t>
  </si>
  <si>
    <t>JOSEFINAINESSANCHEZ</t>
  </si>
  <si>
    <t>MANOLEIRAO</t>
  </si>
  <si>
    <t>SMCTA</t>
  </si>
  <si>
    <t>MATIAS PERALTA10</t>
  </si>
  <si>
    <t>ENZOGABRIELERPEN</t>
  </si>
  <si>
    <t>RODA8846966</t>
  </si>
  <si>
    <t>YAIRMAYORAZ1</t>
  </si>
  <si>
    <t>PINGETSOL</t>
  </si>
  <si>
    <t>DIEGOOLIVER75</t>
  </si>
  <si>
    <t>ROBERTOELADIOSANABRIA</t>
  </si>
  <si>
    <t>LOFA9894463</t>
  </si>
  <si>
    <t>ALBIZZATTINAHUEL20211221181330</t>
  </si>
  <si>
    <t>Cargo por cobrar con Mercado Pago</t>
  </si>
  <si>
    <t>@2113574232</t>
  </si>
  <si>
    <t>@1785701758</t>
  </si>
  <si>
    <t>JOSEFINAMOIX</t>
  </si>
  <si>
    <t>ARIADNACOTTET</t>
  </si>
  <si>
    <t>JESUSAYRTON20231129131953</t>
  </si>
  <si>
    <t>BEMI7554017</t>
  </si>
  <si>
    <t>ROCIOCABILLA</t>
  </si>
  <si>
    <t>LOGKAREN3</t>
  </si>
  <si>
    <t>JAVIEROLG</t>
  </si>
  <si>
    <t>SIANDRAAXEL</t>
  </si>
  <si>
    <t>NEUWITMARTINA20211015005230</t>
  </si>
  <si>
    <t>LUISINACERRUDO</t>
  </si>
  <si>
    <t>ELIANAVERSA</t>
  </si>
  <si>
    <t>CARLITA_N</t>
  </si>
  <si>
    <t>MARIAPAZMOSER</t>
  </si>
  <si>
    <t>CAMIPESENTI</t>
  </si>
  <si>
    <t>BB20250320121324</t>
  </si>
  <si>
    <t>MERCEDESPEREZELIZALDE</t>
  </si>
  <si>
    <t>FACUNDOROUDE751</t>
  </si>
  <si>
    <t>REYFRANCISCO20211012230854</t>
  </si>
  <si>
    <t>ORLANDOBURGUEZ</t>
  </si>
  <si>
    <t>JOACOCABRERA63</t>
  </si>
  <si>
    <t>AZCA2536909</t>
  </si>
  <si>
    <t>LEDESMACARLOS20210620212859</t>
  </si>
  <si>
    <t>LEANDRODPORTILLOLEANDRODPORTIL</t>
  </si>
  <si>
    <t>ANDRILINICOLAS</t>
  </si>
  <si>
    <t>JULIANANEUVIRTH</t>
  </si>
  <si>
    <t>NICOLASMACHADO946</t>
  </si>
  <si>
    <t>PISE4132978</t>
  </si>
  <si>
    <t>ALFONSOAMINA20220105150517</t>
  </si>
  <si>
    <t>PAMELISHA2009</t>
  </si>
  <si>
    <t>FIOROTTOLUCIANA</t>
  </si>
  <si>
    <t>ROJASMILI25</t>
  </si>
  <si>
    <t>TIAGOCHABEUF</t>
  </si>
  <si>
    <t>TOLEDOEVA20230612205759</t>
  </si>
  <si>
    <t>VALENTIFERNNDEZ</t>
  </si>
  <si>
    <t>RODRIGUEZMALENA20220518134630</t>
  </si>
  <si>
    <t>JUANREZETT</t>
  </si>
  <si>
    <t>GUTIERREZCARINA20221017182011</t>
  </si>
  <si>
    <t>BAESMELANIE20210508135208</t>
  </si>
  <si>
    <t>MARCHANDNAHUEL</t>
  </si>
  <si>
    <t>MAURODABADIA</t>
  </si>
  <si>
    <t>VERONICAGINA20220623231048</t>
  </si>
  <si>
    <t>REGUEYRAMORA547</t>
  </si>
  <si>
    <t>MARIAPERDOMO20211115030450</t>
  </si>
  <si>
    <t>ROCODEBRABANDERE</t>
  </si>
  <si>
    <t>RODRIGUEZCATALINA2022110222345</t>
  </si>
  <si>
    <t>GONZLEZVANESA14</t>
  </si>
  <si>
    <t>NICOLSFERNANDOTONELOTTO</t>
  </si>
  <si>
    <t>TOGNOLIRICARDO</t>
  </si>
  <si>
    <t>DENISEFLORENCIAEGEL</t>
  </si>
  <si>
    <t>JOAQUINSCHENONE</t>
  </si>
  <si>
    <t>MATASMARSAUDN</t>
  </si>
  <si>
    <t>MARCEPORTA</t>
  </si>
  <si>
    <t>RODRIGUEZANA20220308195838</t>
  </si>
  <si>
    <t>HCTORLORANT</t>
  </si>
  <si>
    <t>FRANCISCOETCHEPARE</t>
  </si>
  <si>
    <t>POETTOANA</t>
  </si>
  <si>
    <t>VINZONMILAGROS20221110104940</t>
  </si>
  <si>
    <t>MIRSOFIA80</t>
  </si>
  <si>
    <t>@2027641910</t>
  </si>
  <si>
    <t>ABRILCASTANEDA17081807</t>
  </si>
  <si>
    <t>LIAMALENAANDR</t>
  </si>
  <si>
    <t>PERERABERNARDA</t>
  </si>
  <si>
    <t>ROMEROFRANCO20230831112320</t>
  </si>
  <si>
    <t>GM20240629203531</t>
  </si>
  <si>
    <t>ORZUZALOURDES20210508160023</t>
  </si>
  <si>
    <t>GIANLUCALOVATTO</t>
  </si>
  <si>
    <t>DONOZOFLORENCIA</t>
  </si>
  <si>
    <t>DAPA6057551</t>
  </si>
  <si>
    <t>GAG4107290</t>
  </si>
  <si>
    <t>TINCHODIAZCOLODRERO</t>
  </si>
  <si>
    <t>FOLU346425</t>
  </si>
  <si>
    <t>CATALINALOCASTRO</t>
  </si>
  <si>
    <t>LARALEIVA0714</t>
  </si>
  <si>
    <t>FRANCISCOHERRERA29</t>
  </si>
  <si>
    <t>ANAHIQUINODOZ</t>
  </si>
  <si>
    <t>CAVA4705768</t>
  </si>
  <si>
    <t>MANGIOLIPATRICIA20220719185514</t>
  </si>
  <si>
    <t>BUSSONORNELLA</t>
  </si>
  <si>
    <t>MARISOLBLANC</t>
  </si>
  <si>
    <t>FRACHIAKARENFERNANDA</t>
  </si>
  <si>
    <t>DANARICHARD</t>
  </si>
  <si>
    <t>GAYJULIETA</t>
  </si>
  <si>
    <t>SOFIAFORNASARI</t>
  </si>
  <si>
    <t>PIETROBONIRUBEN20211028171843</t>
  </si>
  <si>
    <t>TRONCOSOMELISA97</t>
  </si>
  <si>
    <t>ENCR7148897</t>
  </si>
  <si>
    <t>BRIZUELAP996</t>
  </si>
  <si>
    <t>MARCOSMASSUH</t>
  </si>
  <si>
    <t>BOUJONCAMILA20220607171026</t>
  </si>
  <si>
    <t>FRASERPA</t>
  </si>
  <si>
    <t>JAMARCÓ</t>
  </si>
  <si>
    <t>ORSINGHERANA20230929184651</t>
  </si>
  <si>
    <t>LAFI8577557</t>
  </si>
  <si>
    <t>CABRERAMATEO95</t>
  </si>
  <si>
    <t>BARRETOTATIANA20231019195005</t>
  </si>
  <si>
    <t>GIULIANAGUIFFREY</t>
  </si>
  <si>
    <t>CI20241205152851</t>
  </si>
  <si>
    <t>MIÑOLORUDES20220514133318</t>
  </si>
  <si>
    <t>PEDROJOAQUINLORUSSO</t>
  </si>
  <si>
    <t>TAHIELORCELLET</t>
  </si>
  <si>
    <t>PRIPARLATTO</t>
  </si>
  <si>
    <t>LUCHI_ALDAZ</t>
  </si>
  <si>
    <t>MARIAPAULABOZZOLO</t>
  </si>
  <si>
    <t>VAZQUEZRAUL19</t>
  </si>
  <si>
    <t>LUCIANORUHL</t>
  </si>
  <si>
    <t>MIGLIACCIOCELESTE</t>
  </si>
  <si>
    <t>MORENDAIANA20210706000336</t>
  </si>
  <si>
    <t>MARTINDERR</t>
  </si>
  <si>
    <t>RICHARDDOLORES20230818142003</t>
  </si>
  <si>
    <t>VALENTINAMORAYVIERA</t>
  </si>
  <si>
    <t>SL20240530165841</t>
  </si>
  <si>
    <t>ANTONALBACRISTINA</t>
  </si>
  <si>
    <t>MARTINEZMILAGROS20210810132417</t>
  </si>
  <si>
    <t>RACHELGEIJO</t>
  </si>
  <si>
    <t>LUCARNIALBERTO20220508204651</t>
  </si>
  <si>
    <t>IANPAOLI</t>
  </si>
  <si>
    <t>KEGU8935058</t>
  </si>
  <si>
    <t>GAFA7321400</t>
  </si>
  <si>
    <t>LEONARDOMARTINPUTALLAZ</t>
  </si>
  <si>
    <t>MOJU3400483</t>
  </si>
  <si>
    <t>GRASSONATASHA20210830140557</t>
  </si>
  <si>
    <t>SOLBULAY</t>
  </si>
  <si>
    <t>JARACANDELA20230112195954</t>
  </si>
  <si>
    <t>SERGIOALMIRON98</t>
  </si>
  <si>
    <t>NAHUELHERNANDELALOYE</t>
  </si>
  <si>
    <t>TALIBAN1976</t>
  </si>
  <si>
    <t>IARADAVRIEUX</t>
  </si>
  <si>
    <t>MOSO3158630</t>
  </si>
  <si>
    <t>GUIDOGIACCHINO</t>
  </si>
  <si>
    <t>LUMA20240102144730</t>
  </si>
  <si>
    <t>BLANCCONSTANZA20230902201348</t>
  </si>
  <si>
    <t>GABRIELAMAZZAFERRI</t>
  </si>
  <si>
    <t>ILEANAPOLITO</t>
  </si>
  <si>
    <t>TINOBOCA</t>
  </si>
  <si>
    <t>BUAN5157349</t>
  </si>
  <si>
    <t>OLIVERCHRISTIAN20221222201322</t>
  </si>
  <si>
    <t>ALEXIS FEIJOO</t>
  </si>
  <si>
    <t>ALLAUDGONZALO20220827192154</t>
  </si>
  <si>
    <t>MALDONADOLARA20220901105808</t>
  </si>
  <si>
    <t>CASPEROVICZGABRIEL202310041233</t>
  </si>
  <si>
    <t>ARDAIZLUCIANO20220318111519</t>
  </si>
  <si>
    <t>VEAR1064815</t>
  </si>
  <si>
    <t>BS20250320091910</t>
  </si>
  <si>
    <t>MICAPALOP</t>
  </si>
  <si>
    <t>MATTIAUDATOMAS20230831170350</t>
  </si>
  <si>
    <t>NATALYROCIO20231129223111</t>
  </si>
  <si>
    <t>MILOPENA</t>
  </si>
  <si>
    <t>DUFA5949265</t>
  </si>
  <si>
    <t>CM20250130112345</t>
  </si>
  <si>
    <t>LAUTARODONATI</t>
  </si>
  <si>
    <t>COLONESSEMAXIMILIANO2022021221</t>
  </si>
  <si>
    <t>BRENDAVAJA</t>
  </si>
  <si>
    <t>VIIR4136896</t>
  </si>
  <si>
    <t>VERAENZO20210404183823</t>
  </si>
  <si>
    <t>ELIANA RETAMAR</t>
  </si>
  <si>
    <t>SAENZJUAN20220907183419</t>
  </si>
  <si>
    <t>@2027635388</t>
  </si>
  <si>
    <t>SOLJEANDET</t>
  </si>
  <si>
    <t>VELAZQUEZPRISCILA2023050623465</t>
  </si>
  <si>
    <t>MATIASGABRIELRESPAUD</t>
  </si>
  <si>
    <t>VOTOPOPULAR777</t>
  </si>
  <si>
    <t>RUAG4604869</t>
  </si>
  <si>
    <t>SSEBA_22</t>
  </si>
  <si>
    <t>ARPA9736072</t>
  </si>
  <si>
    <t>SANTIPEREYRA85</t>
  </si>
  <si>
    <t>MAXI_VITALI_97</t>
  </si>
  <si>
    <t>AGUILARCLARA20230217143528</t>
  </si>
  <si>
    <t>SIENRADELFINA</t>
  </si>
  <si>
    <t>MEJU4054392</t>
  </si>
  <si>
    <t>MOFE8073706</t>
  </si>
  <si>
    <t>LECA8939638</t>
  </si>
  <si>
    <t>DORSCHKEVIN20230207161921</t>
  </si>
  <si>
    <t>ROSSIMARIA20220816081709</t>
  </si>
  <si>
    <t>MARTINEZSOFIA20230919201158</t>
  </si>
  <si>
    <t>PETA982</t>
  </si>
  <si>
    <t>VILLANUEVA NAHUEL</t>
  </si>
  <si>
    <t>LUCASTRIBELHORN</t>
  </si>
  <si>
    <t>NAHUELDEPARDON</t>
  </si>
  <si>
    <t>TOAL7661024</t>
  </si>
  <si>
    <t>RODRIGOROMERO01</t>
  </si>
  <si>
    <t>JUANCANOVA20211222050126</t>
  </si>
  <si>
    <t>SALDARELLIRODOLFO</t>
  </si>
  <si>
    <t>ANTONELAIGLESIAS</t>
  </si>
  <si>
    <t>MARIAGFABRE</t>
  </si>
  <si>
    <t>MARIALUZALMADA</t>
  </si>
  <si>
    <t>AARONIVANGARNIER</t>
  </si>
  <si>
    <t>ALVAREZCRISTIANMARTIN</t>
  </si>
  <si>
    <t>ARAUJO_NICOLAS</t>
  </si>
  <si>
    <t>ALLU6531034</t>
  </si>
  <si>
    <t>RIQUELMEALDO81</t>
  </si>
  <si>
    <t>EMILIANO471194</t>
  </si>
  <si>
    <t>ALANBOCHATAY</t>
  </si>
  <si>
    <t>BECKERMARIA20220428142739</t>
  </si>
  <si>
    <t>FIORELLAMAQUIAVELO</t>
  </si>
  <si>
    <t>SAIR4674446</t>
  </si>
  <si>
    <t>FRANCISCOCOLOMBO5</t>
  </si>
  <si>
    <t>VALENRABOSTO</t>
  </si>
  <si>
    <t>AYBE2768980</t>
  </si>
  <si>
    <t>GIRO20240201211023</t>
  </si>
  <si>
    <t>CATAFRANZOLINI</t>
  </si>
  <si>
    <t>DANIELEMARIA20220215211222</t>
  </si>
  <si>
    <t>RODRIGUEZAGUSTINA2022101800384</t>
  </si>
  <si>
    <t>GALLICETLUISINA20210710211948</t>
  </si>
  <si>
    <t>MARTINARUBEL</t>
  </si>
  <si>
    <t>BRIANREISSENVEBER</t>
  </si>
  <si>
    <t>GONZALEZORIANA20230224142409</t>
  </si>
  <si>
    <t>BRELUCAS20220524105342</t>
  </si>
  <si>
    <t>FRANCASCELZIFRANCASCELZI</t>
  </si>
  <si>
    <t>VALENVALLZZ</t>
  </si>
  <si>
    <t>MORENKIARA20230612173641</t>
  </si>
  <si>
    <t>GATH1551551</t>
  </si>
  <si>
    <t>AGUSTINA CORTE</t>
  </si>
  <si>
    <t>OTAMENDIMARIA20230224105845</t>
  </si>
  <si>
    <t>ROCCAFRANCISCO</t>
  </si>
  <si>
    <t>RODRIGUEZVALENTINA202301291156</t>
  </si>
  <si>
    <t>SANTIAGOMANUELALLAUD</t>
  </si>
  <si>
    <t>THIAGO BARCOS</t>
  </si>
  <si>
    <t>DALCOLPAULINA20211102032439</t>
  </si>
  <si>
    <t>RUDAZNICO20221024092610</t>
  </si>
  <si>
    <t>ALANPUSCH</t>
  </si>
  <si>
    <t>CAMILASABATHIER</t>
  </si>
  <si>
    <t>CIBELLI_DRA</t>
  </si>
  <si>
    <t>RIOSMAXIMO20220806150943</t>
  </si>
  <si>
    <t>No aplica</t>
  </si>
  <si>
    <t>Anulado en factura</t>
  </si>
  <si>
    <t>CERRUDOJULIAN20220323184638</t>
  </si>
  <si>
    <t>Anulación del cargo por cobrar con código QR</t>
  </si>
  <si>
    <t>BF20240808191259</t>
  </si>
  <si>
    <t>SIEGRISTCORINA20230113104155</t>
  </si>
  <si>
    <t>MIGUELESLISANDRO20220712105311</t>
  </si>
  <si>
    <t>ALZAMARTINA20230501130216</t>
  </si>
  <si>
    <t>MOLA7014917</t>
  </si>
  <si>
    <t>MANUELGIGNONE</t>
  </si>
  <si>
    <t>ARIANACHATELAIN2005</t>
  </si>
  <si>
    <t>VICA20240307104728</t>
  </si>
  <si>
    <t>IZJO3961013</t>
  </si>
  <si>
    <t>PILEPICHNAILA20230328224520</t>
  </si>
  <si>
    <t>LISSAJUANCRUZ</t>
  </si>
  <si>
    <t>JUANCKA_215</t>
  </si>
  <si>
    <t>MILCATATIANA</t>
  </si>
  <si>
    <t>TEJU9814265</t>
  </si>
  <si>
    <t>MARIANAARACELIEICHHORST</t>
  </si>
  <si>
    <t>TM20250208112149</t>
  </si>
  <si>
    <t>CELESTEOLMOS96</t>
  </si>
  <si>
    <t>OTGA3735836</t>
  </si>
  <si>
    <t>TORNADO_2015</t>
  </si>
  <si>
    <t>ARIANAMOLINA52</t>
  </si>
  <si>
    <t>DRAN3436874</t>
  </si>
  <si>
    <t>ETPA5016889</t>
  </si>
  <si>
    <t>GUER3396342</t>
  </si>
  <si>
    <t>CFGADEBHFCBGEAHD</t>
  </si>
  <si>
    <t>FEIN20231216165412</t>
  </si>
  <si>
    <t>GUILLE.PASTORINI</t>
  </si>
  <si>
    <t>HEINAIXA20230122020323</t>
  </si>
  <si>
    <t>SOLSPOMER</t>
  </si>
  <si>
    <t>HT20240903004220</t>
  </si>
  <si>
    <t>LUCAS281286</t>
  </si>
  <si>
    <t>PEREPEPESTI</t>
  </si>
  <si>
    <t>PADILLACLAUDIA20210601204559</t>
  </si>
  <si>
    <t>MARIA.AGNESE</t>
  </si>
  <si>
    <t>DANIMAR6</t>
  </si>
  <si>
    <t>GABRIELABURIANO</t>
  </si>
  <si>
    <t>COTS21</t>
  </si>
  <si>
    <t>PATH_STORE</t>
  </si>
  <si>
    <t>FILIPUZZIJUAN202</t>
  </si>
  <si>
    <t>TINCHO-ELECTRO</t>
  </si>
  <si>
    <t>RALRMAZZARELLO</t>
  </si>
  <si>
    <t>FIRULAIS70</t>
  </si>
  <si>
    <t>VIESKYERIC</t>
  </si>
  <si>
    <t>CARPINTERO834</t>
  </si>
  <si>
    <t>MARTNMAZZARELLO</t>
  </si>
  <si>
    <t>LEANDROLARRECHART</t>
  </si>
  <si>
    <t>DELVALLEDYLAN</t>
  </si>
  <si>
    <t>TOMAST01</t>
  </si>
  <si>
    <t>NNVAZQUEZ</t>
  </si>
  <si>
    <t>CUFE1269833</t>
  </si>
  <si>
    <t>MARUBORGET51</t>
  </si>
  <si>
    <t>ALDY4064966</t>
  </si>
  <si>
    <t>LAZZAALEXANDER20230724213150</t>
  </si>
  <si>
    <t>JOSARREJORIA</t>
  </si>
  <si>
    <t>GUERREROAXEL20221031112550</t>
  </si>
  <si>
    <t>MEROPB</t>
  </si>
  <si>
    <t>GIULIANAELI98</t>
  </si>
  <si>
    <t>FEES20240429230118</t>
  </si>
  <si>
    <t>AGUSBELENNN</t>
  </si>
  <si>
    <t>CATALINADEGREGORI</t>
  </si>
  <si>
    <t>JULIANQUINTARRIBOLI</t>
  </si>
  <si>
    <t>LUDMILAZ667</t>
  </si>
  <si>
    <t>NICOLASDIOTI</t>
  </si>
  <si>
    <t>LUCIARICHARD</t>
  </si>
  <si>
    <t>ALEJOGONZALEZ15</t>
  </si>
  <si>
    <t>MENESCAARTON</t>
  </si>
  <si>
    <t>FEMA6212064</t>
  </si>
  <si>
    <t>TEVESROLANDO</t>
  </si>
  <si>
    <t>CARBALLOMARIA20221205110102</t>
  </si>
  <si>
    <t>ALDAWV</t>
  </si>
  <si>
    <t>EGUAYA</t>
  </si>
  <si>
    <t>PASELENE</t>
  </si>
  <si>
    <t>ROLU8828416</t>
  </si>
  <si>
    <t>BRUNOSBENITEZ</t>
  </si>
  <si>
    <t>RODRIGUEZKAREN20211208194412</t>
  </si>
  <si>
    <t>COJU5822793</t>
  </si>
  <si>
    <t>RIMI209527</t>
  </si>
  <si>
    <t>SRODN</t>
  </si>
  <si>
    <t>SIL_TELO</t>
  </si>
  <si>
    <t>PAMELAGARCIAF</t>
  </si>
  <si>
    <t>ZANA617907</t>
  </si>
  <si>
    <t>MENDEZGONZALO20210515234247</t>
  </si>
  <si>
    <t>JONAPSAND2</t>
  </si>
  <si>
    <t>RODRIGOJULIANBILLALBA</t>
  </si>
  <si>
    <t>VAYADILEMA</t>
  </si>
  <si>
    <t>BOJU4782477</t>
  </si>
  <si>
    <t>AZARIOCECII</t>
  </si>
  <si>
    <t>GUILOYARTE</t>
  </si>
  <si>
    <t>MARTIMARTINEZ2019</t>
  </si>
  <si>
    <t>ALJU6086722</t>
  </si>
  <si>
    <t>JEREMIASGO04</t>
  </si>
  <si>
    <t>CAMILABONVIN</t>
  </si>
  <si>
    <t>MOLA1336713</t>
  </si>
  <si>
    <t>JUANTROTTA14</t>
  </si>
  <si>
    <t>VAME4129155</t>
  </si>
  <si>
    <t>FASE20240514104541</t>
  </si>
  <si>
    <t>LUCAS_LARREA_</t>
  </si>
  <si>
    <t>LEVE3450825</t>
  </si>
  <si>
    <t>MALEMELGAREJO12</t>
  </si>
  <si>
    <t>ADRIANPAULO20220611150612</t>
  </si>
  <si>
    <t>MARIAINESBOGGIANO</t>
  </si>
  <si>
    <t>DARIOZANETTI7</t>
  </si>
  <si>
    <t>MORA_3589</t>
  </si>
  <si>
    <t>SEBABERTOLINI</t>
  </si>
  <si>
    <t>MARISASLONDRA</t>
  </si>
  <si>
    <t>AGUSTNSANTIAGOLANDI</t>
  </si>
  <si>
    <t>LUCÍA PREISS</t>
  </si>
  <si>
    <t>PETELINABIGAIL</t>
  </si>
  <si>
    <t>CAMILATERENZIO</t>
  </si>
  <si>
    <t>RAPALLOMACARENA</t>
  </si>
  <si>
    <t>ALEMFACUNDO20230902115832</t>
  </si>
  <si>
    <t>ROAN3114421</t>
  </si>
  <si>
    <t>NACHO.RECABARREN</t>
  </si>
  <si>
    <t>ABRILSOTTO</t>
  </si>
  <si>
    <t>ARNI1362077</t>
  </si>
  <si>
    <t>ZALU1458954</t>
  </si>
  <si>
    <t>SANZBERROGUADALUPE202210131924</t>
  </si>
  <si>
    <t>EZEQUIELBONNIN</t>
  </si>
  <si>
    <t>SILVANAPAOLADOMANICO</t>
  </si>
  <si>
    <t>JUANIFIOREN</t>
  </si>
  <si>
    <t>IMMA9507842</t>
  </si>
  <si>
    <t>JL20240529132649</t>
  </si>
  <si>
    <t>JUANI_FLORES</t>
  </si>
  <si>
    <t>MAHERLAURA20230114115826</t>
  </si>
  <si>
    <t>CARBALLOABRIL20220526224307</t>
  </si>
  <si>
    <t>ERZEKIEL</t>
  </si>
  <si>
    <t>CANDESCHAUMAN</t>
  </si>
  <si>
    <t>GIULIANA FRANCES</t>
  </si>
  <si>
    <t>AIMONEMIGUEL20210127223808</t>
  </si>
  <si>
    <t>PIERILESCANO</t>
  </si>
  <si>
    <t>ORNEPASS</t>
  </si>
  <si>
    <t>CONSTANZATUGNARELLI</t>
  </si>
  <si>
    <t>MORANMACARENA20231109222029</t>
  </si>
  <si>
    <t>SANTITREBU</t>
  </si>
  <si>
    <t>1FRANCOGARAY</t>
  </si>
  <si>
    <t>BACA20240404194000</t>
  </si>
  <si>
    <t>MEDINAMARTINA20230714212753</t>
  </si>
  <si>
    <t>NITROX405</t>
  </si>
  <si>
    <t>MATEODAVICO785</t>
  </si>
  <si>
    <t>TOBIASBROGGI</t>
  </si>
  <si>
    <t>JUANCRUZLM</t>
  </si>
  <si>
    <t>ZURMUHLEIGNACIO20210611014735</t>
  </si>
  <si>
    <t>G20250813211951</t>
  </si>
  <si>
    <t>PIREVALENTINA20230726211447</t>
  </si>
  <si>
    <t>DAIANASOFIA20211120024743</t>
  </si>
  <si>
    <t>ALBORNOZAGUSTINA20230710214716</t>
  </si>
  <si>
    <t>BENJAMIKROLLS</t>
  </si>
  <si>
    <t>LUCALUGRIN</t>
  </si>
  <si>
    <t>ELOLAMAGDALENA20221214211110</t>
  </si>
  <si>
    <t>MARUDRI58</t>
  </si>
  <si>
    <t>CARRANZAMARTINA20231019205626</t>
  </si>
  <si>
    <t>ARECOSANTIAGO20230212204836</t>
  </si>
  <si>
    <t>BENTANCURFRANCO20210907224950</t>
  </si>
  <si>
    <t>MONTAÑANAJUAN20220913054242</t>
  </si>
  <si>
    <t>NTVGPAULI</t>
  </si>
  <si>
    <t>PAULINAEUGENIADIPRETORO</t>
  </si>
  <si>
    <t>CARLI 0701</t>
  </si>
  <si>
    <t>GAGA3180317</t>
  </si>
  <si>
    <t>NATALIAELIZABETHL85</t>
  </si>
  <si>
    <t>JLBENZI</t>
  </si>
  <si>
    <t>ANTONELLAECHEVESTE</t>
  </si>
  <si>
    <t>ALONSOMIA20220511235621</t>
  </si>
  <si>
    <t>PRISCILAGUADALUPEPION</t>
  </si>
  <si>
    <t>MAGALITRABA</t>
  </si>
  <si>
    <t>JAZURANGA</t>
  </si>
  <si>
    <t>DIEGORECHES</t>
  </si>
  <si>
    <t>BLANCSOFIA20211123150333</t>
  </si>
  <si>
    <t>LEO_DEIVID</t>
  </si>
  <si>
    <t>VICKYMARTEN</t>
  </si>
  <si>
    <t>AGUSTRIULZI</t>
  </si>
  <si>
    <t>EMIBONNET</t>
  </si>
  <si>
    <t>HORACIOSOBRAL</t>
  </si>
  <si>
    <t>SOSALUCIO20231023225928</t>
  </si>
  <si>
    <t>OJGE8553342</t>
  </si>
  <si>
    <t>MARIANABARTHELEMY</t>
  </si>
  <si>
    <t>PARALELASVINTAGE</t>
  </si>
  <si>
    <t>CRISTANICEFERINO20230419034841</t>
  </si>
  <si>
    <t>VALESRICARDO20231118153511</t>
  </si>
  <si>
    <t>RAPALLINI1501</t>
  </si>
  <si>
    <t>MOBE1733506</t>
  </si>
  <si>
    <t>ORIIVILLAVICENCIO</t>
  </si>
  <si>
    <t>GRASFACUNDO1999</t>
  </si>
  <si>
    <t>GONELAMARIA20230205195918</t>
  </si>
  <si>
    <t>RICARD011</t>
  </si>
  <si>
    <t>LUCIOBUBALMA</t>
  </si>
  <si>
    <t>DIEGO.IZQUIERDO</t>
  </si>
  <si>
    <t>MAGDALENAVICTORIO</t>
  </si>
  <si>
    <t>FELU3110995</t>
  </si>
  <si>
    <t>LEFL2900826</t>
  </si>
  <si>
    <t>LUGRINNANCY20230214181444</t>
  </si>
  <si>
    <t>JONAROSOCHACKI</t>
  </si>
  <si>
    <t>JG20240716120626</t>
  </si>
  <si>
    <t>GETTEAGUSTIN20220902122111</t>
  </si>
  <si>
    <t>MJ20250219192615</t>
  </si>
  <si>
    <t>GUTIERREZANALIA_2008</t>
  </si>
  <si>
    <t>PABLOADRIANT</t>
  </si>
  <si>
    <t>LUCKYCLA</t>
  </si>
  <si>
    <t>JAVIERMANSILLA</t>
  </si>
  <si>
    <t>IVAANROOMERO</t>
  </si>
  <si>
    <t>MALA5063313</t>
  </si>
  <si>
    <t>MAEUGENIASABOREDO</t>
  </si>
  <si>
    <t>LUCIAMARCHIORI01</t>
  </si>
  <si>
    <t>VIAL2895933</t>
  </si>
  <si>
    <t>MATIASNATAL</t>
  </si>
  <si>
    <t>ARGUSER</t>
  </si>
  <si>
    <t>ANDRSQUINTAR</t>
  </si>
  <si>
    <t>RENATOTALAMO</t>
  </si>
  <si>
    <t>FAFA20240113122706</t>
  </si>
  <si>
    <t>GANGALEFRANCESCA20210320171121</t>
  </si>
  <si>
    <t>NICOLASFNDZ</t>
  </si>
  <si>
    <t>FEDERICOREZZANO</t>
  </si>
  <si>
    <t>ASTEAGUSTINA20210812010153</t>
  </si>
  <si>
    <t>PORCUNICOLAS20231018214402</t>
  </si>
  <si>
    <t>BRUSHU</t>
  </si>
  <si>
    <t>TLENCINA8</t>
  </si>
  <si>
    <t>CHAMA_4407</t>
  </si>
  <si>
    <t>GODOYTOMAS20230831203247</t>
  </si>
  <si>
    <t>JORGEGABRIELSCHENFELD</t>
  </si>
  <si>
    <t>CABRECARITO20230313105942</t>
  </si>
  <si>
    <t>ARBELOGEORGIA20221213175256</t>
  </si>
  <si>
    <t>SERGIOROBN</t>
  </si>
  <si>
    <t>JMF_</t>
  </si>
  <si>
    <t>BLANCFACUNDO</t>
  </si>
  <si>
    <t>OLIVERACIRO20220407220352</t>
  </si>
  <si>
    <t>SOLA6998249</t>
  </si>
  <si>
    <t>LUCIORAPALLO</t>
  </si>
  <si>
    <t>LAUTAMARTINEZ4</t>
  </si>
  <si>
    <t>FACUNDOGORDIOLA</t>
  </si>
  <si>
    <t>PIÑONNICOLAS20230228184832</t>
  </si>
  <si>
    <t>JULI LALOSA</t>
  </si>
  <si>
    <t>FERRECAMILLA</t>
  </si>
  <si>
    <t>PABLOMARTINSPEKTOR</t>
  </si>
  <si>
    <t>GINOODDONEDUTRIA</t>
  </si>
  <si>
    <t>LICHICABJ</t>
  </si>
  <si>
    <t>FLORJOSEFINA</t>
  </si>
  <si>
    <t>CARISTIMILAGROS</t>
  </si>
  <si>
    <t>GARCIALARA20230925173421</t>
  </si>
  <si>
    <t>SANTANAISAAC20230918123754</t>
  </si>
  <si>
    <t>AGAG1285817</t>
  </si>
  <si>
    <t>BARDISAAGUSTINA20230601114330</t>
  </si>
  <si>
    <t>LARREALUZ20210315224315</t>
  </si>
  <si>
    <t>KINDERNECHLUCAS</t>
  </si>
  <si>
    <t>ARAG9865153</t>
  </si>
  <si>
    <t>PAULACARLES87</t>
  </si>
  <si>
    <t>CISTIANMONZN</t>
  </si>
  <si>
    <t>RIQUELMEHEBER</t>
  </si>
  <si>
    <t>CUIG7936805</t>
  </si>
  <si>
    <t>CECICASTROMOVIL</t>
  </si>
  <si>
    <t>AUGUSTOHPEREZP</t>
  </si>
  <si>
    <t>GOMEZJONATAN20221217233613</t>
  </si>
  <si>
    <t>MAIDANAVALENTINA20220817091609</t>
  </si>
  <si>
    <t>MOSO3793694</t>
  </si>
  <si>
    <t>HORMAIZTEGUIMARTINA20230130223</t>
  </si>
  <si>
    <t>MAXIMOGEROSA</t>
  </si>
  <si>
    <t>MONESMAXIMO20230825140419</t>
  </si>
  <si>
    <t>GARCIAVALEN20221024231423</t>
  </si>
  <si>
    <t>SERRAJESUS20220225194705</t>
  </si>
  <si>
    <t>LIZZIIARA</t>
  </si>
  <si>
    <t>MAXIMILIANO1658</t>
  </si>
  <si>
    <t>LIKAYBENJAMIN20220310013105</t>
  </si>
  <si>
    <t>ACEVEDONICOLAS20230720184254</t>
  </si>
  <si>
    <t>COBR6408532</t>
  </si>
  <si>
    <t>CACR20240407191855</t>
  </si>
  <si>
    <t>CINTHIAJANETBRUCHEZ</t>
  </si>
  <si>
    <t>BUCR20240310123545</t>
  </si>
  <si>
    <t>SCCA20240320234400</t>
  </si>
  <si>
    <t>SCHULTHEISETEL20230712145219</t>
  </si>
  <si>
    <t>FNGONZA1</t>
  </si>
  <si>
    <t>JOACKOFELLAY</t>
  </si>
  <si>
    <t>GONZALO.C</t>
  </si>
  <si>
    <t>ANDEREGGENLOANA20220828100046</t>
  </si>
  <si>
    <t>GRETELBACH</t>
  </si>
  <si>
    <t>MATITE05</t>
  </si>
  <si>
    <t>VICOMOYANO12</t>
  </si>
  <si>
    <t>GIQUEAUXLUCAS</t>
  </si>
  <si>
    <t>MANUELADALMAO</t>
  </si>
  <si>
    <t>CRUZJUAN20220216082934</t>
  </si>
  <si>
    <t>FEMA857225</t>
  </si>
  <si>
    <t>CAMILAVIDONI</t>
  </si>
  <si>
    <t>MANSUTTIJUANJOSE</t>
  </si>
  <si>
    <t>OCAMPOABRIL20221212164041</t>
  </si>
  <si>
    <t>BIAGIVALENTINO20230912160040</t>
  </si>
  <si>
    <t>GOMEZCORINA20230620184144</t>
  </si>
  <si>
    <t>BRIZUELA FACUNDO</t>
  </si>
  <si>
    <t>ALEJOCHALLIO</t>
  </si>
  <si>
    <t>CRISGONZALEZCABRAL</t>
  </si>
  <si>
    <t>XIMENABUSSON</t>
  </si>
  <si>
    <t>TROYA INDUSPORT</t>
  </si>
  <si>
    <t>BARRIOSLISANDRO20220730073524</t>
  </si>
  <si>
    <t>JBOZZOLO04</t>
  </si>
  <si>
    <t>GM20241028114504</t>
  </si>
  <si>
    <t>CABRALMAN2009</t>
  </si>
  <si>
    <t>SILVIA LILIANA2006</t>
  </si>
  <si>
    <t>NARDO G.</t>
  </si>
  <si>
    <t>FACUMARQUEZ91</t>
  </si>
  <si>
    <t>BRIANBORDET</t>
  </si>
  <si>
    <t>EGGSIGNACIO20220729093605</t>
  </si>
  <si>
    <t>SOFIAVA4701</t>
  </si>
  <si>
    <t>OM20250604134738</t>
  </si>
  <si>
    <t>ENTREHOGARSJ</t>
  </si>
  <si>
    <t>DEGRAFDAIANA20230805175922</t>
  </si>
  <si>
    <t>SALEBLEILA20230705150743</t>
  </si>
  <si>
    <t>TOFOLONMAITE20221213120326</t>
  </si>
  <si>
    <t>VALEBERNARDI</t>
  </si>
  <si>
    <t>BRUJAX5</t>
  </si>
  <si>
    <t>PREISZLUISINA20221102165907</t>
  </si>
  <si>
    <t>DIFR9572450</t>
  </si>
  <si>
    <t>GIMA2953986</t>
  </si>
  <si>
    <t>TOURNOUDZAIRA</t>
  </si>
  <si>
    <t>CAMILAGONZLEZBAUER</t>
  </si>
  <si>
    <t>PAMA7080338</t>
  </si>
  <si>
    <t>RODRIGUEZSANTINO20220219204257</t>
  </si>
  <si>
    <t>JULIANABECHIR</t>
  </si>
  <si>
    <t>ARSA9230729</t>
  </si>
  <si>
    <t>DR20240731165014</t>
  </si>
  <si>
    <t>TEOLUISESTEVES</t>
  </si>
  <si>
    <t>MATEOPIEDRABUENABURGOS</t>
  </si>
  <si>
    <t>DALZOTTOAGOSTINA20220105212735</t>
  </si>
  <si>
    <t>CISLAGHIGIANFRANCO</t>
  </si>
  <si>
    <t>DAMINTARQUINI</t>
  </si>
  <si>
    <t>VALEENBARRETO</t>
  </si>
  <si>
    <t>BELLOLUCA20211010234657</t>
  </si>
  <si>
    <t>STRACKRENZOMARTIN</t>
  </si>
  <si>
    <t>MICAELACARRIXO</t>
  </si>
  <si>
    <t>MURIEGADAMIAN20230913161202</t>
  </si>
  <si>
    <t>MAAG3393891</t>
  </si>
  <si>
    <t>BURKHARDTLUNA</t>
  </si>
  <si>
    <t>RODASCINTIA20230621174242</t>
  </si>
  <si>
    <t>ALEJOSANTACRUZ2001</t>
  </si>
  <si>
    <t>Cargo por percepción de IVA del régimen general</t>
  </si>
  <si>
    <t>No</t>
  </si>
  <si>
    <t>Pago de Factura</t>
  </si>
  <si>
    <t>MELIPAYMENTS-COLLECTIONATTEMPT-24886498202025-11-05T03:13:22.708367987</t>
  </si>
  <si>
    <t>Cargo por percepción de IIBB del régimen general para Entre Ríos</t>
  </si>
  <si>
    <t>VARIOS</t>
  </si>
  <si>
    <t>TRANSACTION_TOTAL_AMOUNT</t>
  </si>
  <si>
    <t>IDC COMPRAS</t>
  </si>
  <si>
    <t>Neto Mov. 07-2025</t>
  </si>
  <si>
    <t>Sdo al 30/06/2025</t>
  </si>
  <si>
    <t>Sdo al 31/07/2025</t>
  </si>
  <si>
    <t>Diferencia</t>
  </si>
  <si>
    <t>IDC Compras</t>
  </si>
  <si>
    <t>Dif IDC</t>
  </si>
  <si>
    <t>Dif IDC / 0,006</t>
  </si>
  <si>
    <t>VENTA</t>
  </si>
  <si>
    <t>OBSERVACION</t>
  </si>
  <si>
    <t>|</t>
  </si>
  <si>
    <t>GALANSINO JORGE ALBERTO X $ 88200 DESCUENTO DE 4410</t>
  </si>
  <si>
    <t>EMELINT SRL. - 365706</t>
  </si>
  <si>
    <t>FILOVALEN SRL - 372000</t>
  </si>
  <si>
    <t>CAJA NO IDENTIFIQUE FACTURA - 51072</t>
  </si>
  <si>
    <t>Vtas Sircupa</t>
  </si>
  <si>
    <t>Vtas Sirtac</t>
  </si>
  <si>
    <t>Total Vtas</t>
  </si>
  <si>
    <t>IDC Vtas</t>
  </si>
  <si>
    <t>SIRCUPA</t>
  </si>
  <si>
    <t>SIRTAC</t>
  </si>
  <si>
    <t>Gastos</t>
  </si>
  <si>
    <t>IDC</t>
  </si>
  <si>
    <t>MOV TOTAL</t>
  </si>
  <si>
    <t>OBSERV</t>
  </si>
  <si>
    <t>COBRO</t>
  </si>
  <si>
    <t>PAGO PROVEEDOR</t>
  </si>
  <si>
    <t>PAGO PROVEEDOR / DEVOL</t>
  </si>
  <si>
    <t>ARCA</t>
  </si>
  <si>
    <t>RETIRO / PROV</t>
  </si>
  <si>
    <t>0025A03281832</t>
  </si>
  <si>
    <t>SOLANGEHAGEDORN</t>
  </si>
  <si>
    <t>GONZALOGON2000</t>
  </si>
  <si>
    <t>AGUSTINAFORNASARI</t>
  </si>
  <si>
    <t>JONIIANTUNEZ</t>
  </si>
  <si>
    <t>ESTEFANIARENIERO20220811162002</t>
  </si>
  <si>
    <t>LALY.M</t>
  </si>
  <si>
    <t>SANCHEZCARMIN2</t>
  </si>
  <si>
    <t>SANTIAGOPEREIRAMAGUNA</t>
  </si>
  <si>
    <t>VALI4649926</t>
  </si>
  <si>
    <t>FELIXMARCELONAVARRO</t>
  </si>
  <si>
    <t>LONFACU</t>
  </si>
  <si>
    <t>IRINAMEICHTRY</t>
  </si>
  <si>
    <t>ARDAIZPABLO</t>
  </si>
  <si>
    <t>CARLSSONLAUTARO20221224163039</t>
  </si>
  <si>
    <t>MERIANOIRIS20220126150046</t>
  </si>
  <si>
    <t>QUIIMEY</t>
  </si>
  <si>
    <t>DELFINAIZAURRALDE</t>
  </si>
  <si>
    <t>RODRI_ESP</t>
  </si>
  <si>
    <t>WOOFIE.MANEE</t>
  </si>
  <si>
    <t>DEGANOSOFIA1</t>
  </si>
  <si>
    <t>GP20240729142131</t>
  </si>
  <si>
    <t>MARA.V</t>
  </si>
  <si>
    <t>MARIANOEBARRETO</t>
  </si>
  <si>
    <t>DOMINGUEZVALENTINA202205031321</t>
  </si>
  <si>
    <t>NACHOBOUJON07</t>
  </si>
  <si>
    <t>RESPAUDMARIA20230106123150</t>
  </si>
  <si>
    <t>BOAL2059999</t>
  </si>
  <si>
    <t>JUVENALJUAN20230708121409</t>
  </si>
  <si>
    <t>Anulación del cargo por cobrar con Point</t>
  </si>
  <si>
    <t>JOAQUINBORTAGARAY</t>
  </si>
  <si>
    <t>CAROOR16</t>
  </si>
  <si>
    <t>ANGELESLAPALMA</t>
  </si>
  <si>
    <t>LUANACHABEUF</t>
  </si>
  <si>
    <t>PAULINAKINDERNECH</t>
  </si>
  <si>
    <t>LAZZARONIEMI20220630185513</t>
  </si>
  <si>
    <t>GUADALUPESITTNER</t>
  </si>
  <si>
    <t>SANCHEZANAPAULA9</t>
  </si>
  <si>
    <t>PIME20240109100957</t>
  </si>
  <si>
    <t>CAMI.SANCHEZ2</t>
  </si>
  <si>
    <t>SCCA20240401212219</t>
  </si>
  <si>
    <t>FRANZ324</t>
  </si>
  <si>
    <t>JURICEVICTOMAS20220531155059</t>
  </si>
  <si>
    <t>LARABALASTEGUI</t>
  </si>
  <si>
    <t>LEONBAUTISTAHIDALGOFUENTES</t>
  </si>
  <si>
    <t>VILLALVAARACELI20220703104257</t>
  </si>
  <si>
    <t>MAXIMOGOROSTEGUI4</t>
  </si>
  <si>
    <t>SEBISTOCKER1</t>
  </si>
  <si>
    <t>ARAR6827461</t>
  </si>
  <si>
    <t>SIOMARAPAULINADIAZ</t>
  </si>
  <si>
    <t>DDAIANNA</t>
  </si>
  <si>
    <t>MELINABELNNAPPE</t>
  </si>
  <si>
    <t>PAFA3353123</t>
  </si>
  <si>
    <t>FLORDODERAA</t>
  </si>
  <si>
    <t>PAULA CAMINOS</t>
  </si>
  <si>
    <t>BUETEDUARDO</t>
  </si>
  <si>
    <t>MAARTINGV</t>
  </si>
  <si>
    <t>NESROEL</t>
  </si>
  <si>
    <t>FEDERICOF661</t>
  </si>
  <si>
    <t>AGUSOLIVER</t>
  </si>
  <si>
    <t>NOMA5886241</t>
  </si>
  <si>
    <t>CAMINOSMAITÉ20230106102804</t>
  </si>
  <si>
    <t>MARALUJNGABIOUD</t>
  </si>
  <si>
    <t>FORDRANCHERO</t>
  </si>
  <si>
    <t>VIKYPOPOV</t>
  </si>
  <si>
    <t>ESTEFANAROH</t>
  </si>
  <si>
    <t>DABADIAPAULA</t>
  </si>
  <si>
    <t>GONZALEZMELANIE20220912134244</t>
  </si>
  <si>
    <t>LU5JCL</t>
  </si>
  <si>
    <t>AGUSTNMORARD</t>
  </si>
  <si>
    <t>TOTON1010</t>
  </si>
  <si>
    <t>LEMOSMILAGROS20230207081837</t>
  </si>
  <si>
    <t>BELENMOSER</t>
  </si>
  <si>
    <t>VIDALJESICA95</t>
  </si>
  <si>
    <t>GALLAYCAMILA</t>
  </si>
  <si>
    <t>SAYASRAMIRO20230202201557</t>
  </si>
  <si>
    <t>ARLU6333667</t>
  </si>
  <si>
    <t>MILAGROSFERREROLIMA2003</t>
  </si>
  <si>
    <t>MV20250609213446</t>
  </si>
  <si>
    <t>KINDERNECHFLAVIO20210825152321</t>
  </si>
  <si>
    <t>ACERODRINK</t>
  </si>
  <si>
    <t>LEANLUJAN05</t>
  </si>
  <si>
    <t>GUELACHEGERVASIO</t>
  </si>
  <si>
    <t>CGSEGUEL95</t>
  </si>
  <si>
    <t>PIPOTOMI2006</t>
  </si>
  <si>
    <t>SILVIALORENAFERNANDEZ</t>
  </si>
  <si>
    <t>MILAGROSLANER</t>
  </si>
  <si>
    <t>GERMAN16_DRA</t>
  </si>
  <si>
    <t>MONICAG_M</t>
  </si>
  <si>
    <t>JULIANBALTORE</t>
  </si>
  <si>
    <t>HEYDEVICTORIA</t>
  </si>
  <si>
    <t>LAUTA11_86</t>
  </si>
  <si>
    <t>BURTONANGELA20220204184249</t>
  </si>
  <si>
    <t>GUSTAVOVIGNALE</t>
  </si>
  <si>
    <t>MI2022</t>
  </si>
  <si>
    <t>VALENTINAHEYDE</t>
  </si>
  <si>
    <t>NOLOSE111</t>
  </si>
  <si>
    <t>CUENOSYAMILA</t>
  </si>
  <si>
    <t>MALAVALMICAELA20211222031039</t>
  </si>
  <si>
    <t>PIDA1023502</t>
  </si>
  <si>
    <t>ORTIZFEDERICO20230204004048</t>
  </si>
  <si>
    <t>saldo inicio</t>
  </si>
  <si>
    <t>mov brutos</t>
  </si>
  <si>
    <t>sircupa</t>
  </si>
  <si>
    <t>sirtac</t>
  </si>
  <si>
    <t>gastos</t>
  </si>
  <si>
    <t>idc</t>
  </si>
  <si>
    <t>idc discriminado</t>
  </si>
  <si>
    <t>resultado</t>
  </si>
  <si>
    <t>saldo cierre</t>
  </si>
  <si>
    <t>control</t>
  </si>
  <si>
    <t>Etiquetas de columna</t>
  </si>
  <si>
    <t>Suma de MOV TOTAL</t>
  </si>
  <si>
    <t xml:space="preserve">IMPUESTOS </t>
  </si>
  <si>
    <t>modificado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</si>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</sst>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###"/>
    <numFmt numFmtId="165" formatCode="_-* #,##0.000_-;\-* #,##0.000_-;_-* &quot;-&quot;??_-;_-@_-"/>
  </numFmts>
  <fonts count="18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EE"/>
      <name val="Arial"/>
      <family val="2"/>
    </font>
    <font>
      <sz val="9"/>
      <color rgb="FF000000"/>
      <name val="Arial"/>
      <family val="2"/>
    </font>
    <font>
      <sz val="8"/>
      <color rgb="FF000000"/>
      <name val="Proxima Nova"/>
    </font>
    <font>
      <b/>
      <sz val="10"/>
      <color rgb="FF000000"/>
      <name val="Proxima Nova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color indexed="8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5E5E5"/>
      </patternFill>
    </fill>
    <fill>
      <patternFill patternType="solid">
        <fgColor rgb="FFD9D9D9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rgb="FF1976D2"/>
      </left>
      <right/>
      <top/>
      <bottom/>
      <diagonal/>
    </border>
    <border>
      <left style="thick">
        <color rgb="FF9E9E9E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/>
    <xf numFmtId="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/>
    <xf numFmtId="43" fontId="0" fillId="0" borderId="0" xfId="1" applyFont="1"/>
    <xf numFmtId="43" fontId="0" fillId="4" borderId="0" xfId="1" applyFont="1" applyFill="1"/>
    <xf numFmtId="43" fontId="0" fillId="6" borderId="0" xfId="1" applyFont="1" applyFill="1"/>
    <xf numFmtId="43" fontId="0" fillId="2" borderId="0" xfId="1" applyFont="1" applyFill="1"/>
    <xf numFmtId="43" fontId="0" fillId="3" borderId="0" xfId="1" applyFont="1" applyFill="1"/>
    <xf numFmtId="43" fontId="0" fillId="5" borderId="0" xfId="1" applyFont="1" applyFill="1"/>
    <xf numFmtId="43" fontId="0" fillId="7" borderId="0" xfId="1" applyFont="1" applyFill="1"/>
    <xf numFmtId="43" fontId="0" fillId="3" borderId="0" xfId="0" applyNumberFormat="1" applyFill="1"/>
    <xf numFmtId="43" fontId="0" fillId="2" borderId="0" xfId="0" applyNumberFormat="1" applyFill="1"/>
    <xf numFmtId="0" fontId="0" fillId="8" borderId="0" xfId="0" applyFill="1" applyAlignment="1">
      <alignment horizontal="left"/>
    </xf>
    <xf numFmtId="43" fontId="0" fillId="8" borderId="0" xfId="1" applyFont="1" applyFill="1"/>
    <xf numFmtId="0" fontId="2" fillId="0" borderId="0" xfId="0" applyFont="1"/>
    <xf numFmtId="4" fontId="0" fillId="2" borderId="0" xfId="0" applyNumberFormat="1" applyFill="1"/>
    <xf numFmtId="0" fontId="0" fillId="0" borderId="0" xfId="0" applyFill="1"/>
    <xf numFmtId="4" fontId="0" fillId="0" borderId="0" xfId="0" applyNumberFormat="1" applyFill="1"/>
    <xf numFmtId="0" fontId="3" fillId="2" borderId="0" xfId="0" applyFont="1" applyFill="1"/>
    <xf numFmtId="4" fontId="3" fillId="2" borderId="0" xfId="0" applyNumberFormat="1" applyFont="1" applyFill="1"/>
    <xf numFmtId="0" fontId="0" fillId="0" borderId="0" xfId="0"/>
    <xf numFmtId="0" fontId="6" fillId="0" borderId="0" xfId="0" applyFont="1"/>
    <xf numFmtId="0" fontId="0" fillId="0" borderId="0" xfId="0" applyAlignment="1">
      <alignment horizontal="right"/>
    </xf>
    <xf numFmtId="0" fontId="6" fillId="9" borderId="0" xfId="0" applyFont="1" applyFill="1"/>
    <xf numFmtId="0" fontId="6" fillId="9" borderId="0" xfId="0" applyFont="1" applyFill="1" applyAlignment="1">
      <alignment horizontal="right"/>
    </xf>
    <xf numFmtId="0" fontId="6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6" fillId="9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10" fillId="9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11" fillId="0" borderId="0" xfId="0" applyFont="1" applyAlignment="1">
      <alignment horizontal="left" vertical="center"/>
    </xf>
    <xf numFmtId="0" fontId="6" fillId="1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4" fontId="12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43" fontId="0" fillId="0" borderId="3" xfId="1" applyFont="1" applyBorder="1"/>
    <xf numFmtId="43" fontId="0" fillId="0" borderId="3" xfId="1" applyFont="1" applyBorder="1" applyAlignment="1">
      <alignment horizontal="right"/>
    </xf>
    <xf numFmtId="43" fontId="0" fillId="2" borderId="3" xfId="1" applyFont="1" applyFill="1" applyBorder="1"/>
    <xf numFmtId="43" fontId="0" fillId="4" borderId="3" xfId="1" applyFont="1" applyFill="1" applyBorder="1"/>
    <xf numFmtId="0" fontId="0" fillId="0" borderId="3" xfId="0" applyBorder="1"/>
    <xf numFmtId="43" fontId="0" fillId="0" borderId="3" xfId="1" applyFont="1" applyFill="1" applyBorder="1"/>
    <xf numFmtId="0" fontId="0" fillId="0" borderId="3" xfId="0" applyFill="1" applyBorder="1"/>
    <xf numFmtId="4" fontId="13" fillId="13" borderId="3" xfId="0" applyNumberFormat="1" applyFont="1" applyFill="1" applyBorder="1"/>
    <xf numFmtId="0" fontId="4" fillId="0" borderId="0" xfId="0" applyFont="1"/>
    <xf numFmtId="4" fontId="4" fillId="0" borderId="0" xfId="0" applyNumberFormat="1" applyFont="1"/>
    <xf numFmtId="43" fontId="4" fillId="0" borderId="0" xfId="1" applyFont="1"/>
    <xf numFmtId="0" fontId="4" fillId="0" borderId="0" xfId="0" applyNumberFormat="1" applyFont="1"/>
    <xf numFmtId="1" fontId="0" fillId="0" borderId="0" xfId="0" applyNumberFormat="1"/>
    <xf numFmtId="1" fontId="0" fillId="0" borderId="0" xfId="0" applyNumberFormat="1" applyFill="1"/>
    <xf numFmtId="1" fontId="3" fillId="2" borderId="0" xfId="0" applyNumberFormat="1" applyFont="1" applyFill="1"/>
    <xf numFmtId="1" fontId="0" fillId="2" borderId="0" xfId="0" applyNumberFormat="1" applyFill="1"/>
    <xf numFmtId="1" fontId="4" fillId="0" borderId="0" xfId="0" applyNumberFormat="1" applyFont="1"/>
    <xf numFmtId="1" fontId="10" fillId="9" borderId="0" xfId="0" applyNumberFormat="1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" fontId="14" fillId="13" borderId="3" xfId="0" applyNumberFormat="1" applyFont="1" applyFill="1" applyBorder="1" applyAlignment="1">
      <alignment horizontal="right"/>
    </xf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10" fontId="15" fillId="0" borderId="0" xfId="0" applyNumberFormat="1" applyFont="1" applyAlignment="1">
      <alignment horizontal="right"/>
    </xf>
    <xf numFmtId="43" fontId="2" fillId="0" borderId="0" xfId="1" applyFont="1"/>
    <xf numFmtId="43" fontId="2" fillId="2" borderId="0" xfId="1" applyFont="1" applyFill="1"/>
    <xf numFmtId="43" fontId="17" fillId="0" borderId="3" xfId="1" applyFont="1" applyBorder="1"/>
    <xf numFmtId="0" fontId="17" fillId="0" borderId="3" xfId="0" applyFont="1" applyBorder="1"/>
    <xf numFmtId="43" fontId="4" fillId="0" borderId="3" xfId="1" applyFont="1" applyBorder="1"/>
    <xf numFmtId="0" fontId="4" fillId="2" borderId="0" xfId="0" applyFont="1" applyFill="1"/>
    <xf numFmtId="1" fontId="4" fillId="2" borderId="0" xfId="0" applyNumberFormat="1" applyFont="1" applyFill="1"/>
    <xf numFmtId="4" fontId="4" fillId="2" borderId="0" xfId="0" applyNumberFormat="1" applyFont="1" applyFill="1"/>
    <xf numFmtId="43" fontId="0" fillId="13" borderId="0" xfId="1" applyFont="1" applyFill="1"/>
    <xf numFmtId="43" fontId="0" fillId="13" borderId="0" xfId="0" applyNumberFormat="1" applyFill="1"/>
    <xf numFmtId="43" fontId="4" fillId="13" borderId="0" xfId="1" applyFont="1" applyFill="1"/>
    <xf numFmtId="165" fontId="0" fillId="0" borderId="0" xfId="1" applyNumberFormat="1" applyFont="1"/>
    <xf numFmtId="43" fontId="0" fillId="0" borderId="0" xfId="1" pivotButton="1" applyFont="1"/>
    <xf numFmtId="0" fontId="5" fillId="0" borderId="0" xfId="0" applyFont="1"/>
    <xf numFmtId="0" fontId="0" fillId="0" borderId="0" xfId="0"/>
    <xf numFmtId="0" fontId="8" fillId="10" borderId="1" xfId="0" applyFont="1" applyFill="1" applyBorder="1"/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1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22" fontId="12" fillId="0" borderId="0" xfId="0" applyNumberFormat="1" applyFont="1" applyAlignment="1">
      <alignment horizontal="left" vertical="center"/>
    </xf>
    <xf numFmtId="0" fontId="12" fillId="9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center" vertical="center" wrapText="1"/>
    </xf>
    <xf numFmtId="0" fontId="7" fillId="10" borderId="1" xfId="0" applyFont="1" applyFill="1" applyBorder="1"/>
  </cellXfs>
  <cellStyles count="2">
    <cellStyle name="Millares" xfId="1" builtinId="3"/>
    <cellStyle name="Normal" xfId="0" builtinId="0"/>
  </cellStyles>
  <dxfs count="7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t.Bechir" refreshedDate="46101.490755671293" createdVersion="5" refreshedVersion="5" minRefreshableVersion="3" recordCount="1802">
  <cacheSource type="worksheet">
    <worksheetSource ref="A4:E1806" sheet="sheet0"/>
  </cacheSource>
  <cacheFields count="5">
    <cacheField name="RELEASE_DATE" numFmtId="0">
      <sharedItems/>
    </cacheField>
    <cacheField name="TRANSACTION_TYPE" numFmtId="0">
      <sharedItems count="209">
        <s v="Liquidación de dinero"/>
        <s v="Transferencia recibida Rodolfo Juan Saldarelli"/>
        <s v="Transferencia recibida Nahuel Zalazar Miño"/>
        <s v="Transferencia recibida Noelia Vanesa Matzke"/>
        <s v="Transferencia recibida Mariano Javier Garcia"/>
        <s v="Transferencia enviada EMBOTELLADORA DEL ATLANTICO SA"/>
        <s v="Impuesto por extracción"/>
        <s v="Compra Mercado Libre"/>
        <s v="Transferencia enviada FRUVECO S R L"/>
        <s v="Transferencia recibida Argentina Segura e Higienica"/>
        <s v="Transferencia recibida Facundo Lonardi"/>
        <s v="Transferencia recibida Pablo Oscar Ardaiz"/>
        <s v="Transferencia recibida Iris Mailen Meriano"/>
        <s v="Transferencia recibida Yo"/>
        <s v="Transferencia recibida Valentina Inés Dominguez Lezcano"/>
        <s v="Transferencia recibida Juan Angel Juvenal"/>
        <s v="Liquidación de dinero cancelada Venta cancelada"/>
        <s v="Transferencia recibida Carolina Ailen Rodriguez"/>
        <s v="Transferencia recibida Luana Mariela Chabeuf"/>
        <s v="Transferencia recibida Benjamín Villaud"/>
        <s v="Transferencia recibida Camila Sanchez"/>
        <s v="Transferencia recibida Mildelicias"/>
        <s v="Transferencia recibida Tomas Juricevic"/>
        <s v="Transferencia programada PORCOMAGRO SRL"/>
        <s v="Transferencia recibida Joaquin Pedro Schenone"/>
        <s v="Transferencia recibida Agustin Rivero"/>
        <s v="Transferencia recibida Gala Store"/>
        <s v="Transferencia recibida Florencia Antonella Dodera"/>
        <s v="Transferencia recibida Martin Edgardo Godoy Vespa"/>
        <s v="Transferencia recibida Federico Joel Fernandez"/>
        <s v="Transferencia recibida Yamil Jose Ale"/>
        <s v="Transferencia recibida Aldana Victoria Popov Lusardi"/>
        <s v="Transferencia recibida Paula Dabadia"/>
        <s v="Transferencia recibida Ps Lemos Milagros"/>
        <s v="Transferencia recibida Georgina Magali Viganoni"/>
        <s v="Transferencia recibida Gervasio Guelache"/>
        <s v="Transferencia recibida Cristian Guillermo Seguel"/>
        <s v="Transferencia recibida Exequiel Tomillo"/>
        <s v="Transferencia recibida Silvia Lorena Fernandez"/>
        <s v="Transferencia recibida Eduardo German Cabrera"/>
        <s v="Transferencia recibida Lautaro Larrosa"/>
        <s v="Transferencia recibida Angela Jesica Burton"/>
        <s v="Transferencia recibida Maria Cecilia Pocco"/>
        <s v="Transferencia recibida Francisco Exequiel Zegaib"/>
        <s v="Transferencia recibida Lucila Marlene Corvalan"/>
        <s v="Transferencia recibida Delfina Cafferata"/>
        <s v="Transferencia recibida Luciana Florencia Baranao"/>
        <s v="Transferencia recibida Pablo Sebastian Leineker"/>
        <s v="Transferencia recibida Leonardo Raul Galvan"/>
        <s v="Transferencia recibida Nerea Arlettaz"/>
        <s v="Transferencia recibida Luis Eduardo Avanzini"/>
        <s v="Transferencia recibida Analia Barrios Diaz"/>
        <s v="Transferencia recibida Mario Nicolás Angelini"/>
        <s v="Transferencia recibida Leonardo Guillermo Carbone"/>
        <s v="Transferencia recibida Rodrigo Lorenzo Cruz"/>
        <s v="Transferencia recibida Rita Milagros Juvenal"/>
        <s v="Transferencia enviada ERPEN JULIO C. Y PONZONI ANTONELLA P. SOCIEDAD SIMPLE"/>
        <s v="Transferencia enviada TRES ORILLAS SRL"/>
        <s v="Pago con QR FEPASA"/>
        <s v="Transferencia enviada BACO DE LOS ANDES SA"/>
        <s v="Transferencia enviada LAGUNA CAPRI SAS"/>
        <s v="Transferencia enviada"/>
        <s v="Pago de servicios ARCA"/>
        <s v="Transferencia enviada CDG SRL"/>
        <s v="Transferencia enviada SUCESION DE SATTO"/>
        <s v="Pago con QR Coca-Cola ANDINA"/>
        <s v="Transferencia recibida Luisina Lovatto"/>
        <s v="Transferencia recibida Celina Blanc"/>
        <s v="Transferencia recibida Santiago Daniel Viollaz"/>
        <s v="Transferencia recibida Valeria Natalia Mercado"/>
        <s v="Transferencia recibida Melanie Georgina Pesenti"/>
        <s v="Transferencia recibida Jeronimo Bonus"/>
        <s v="Transferencia recibida Eduardo Samuel Klimczuk"/>
        <s v="Transferencia recibida Josefina Ines Sanchez"/>
        <s v="Transferencia recibida Sergio Matias Carlotte"/>
        <s v="Transferencia recibida Matias Peralta"/>
        <s v="Transferencia enviada Mariano Pedro Rebord Palazzo"/>
        <s v="Transferencia enviada Rodolfo Oscar Bidal"/>
        <s v="Transferencia enviada Cerveza Tractor"/>
        <s v="Transferencia enviada Distribuidora Doña Dora"/>
        <s v="Transferencia enviada Norberto David Dolcet"/>
        <s v="Transferencia recibida Roberto Eladio Sanabria"/>
        <s v="Transferencia recibida Ayrton Jesus Miño"/>
        <s v="Transferencia recibida Karen Magali Logiuratto"/>
        <s v="Transferencia recibida Facundo Agustin Roude"/>
        <s v="Transferencia recibida Abigail Burguez"/>
        <s v="Transferencia recibida Joaquin Cabrera"/>
        <s v="Transferencia recibida Amina Alfonso"/>
        <s v="Transferencia recibida María Carla Nievas"/>
        <s v="Transferencia recibida Milagros Melisa Rojas"/>
        <s v="Transferencia recibida Melanie Catalina Baes"/>
        <s v="Transferencia recibida Gina Veronica Poos"/>
        <s v="Transferencia recibida Maria Guadalupe Perdomo"/>
        <s v="Transferencia recibida Rocio Micaela Debrabandere"/>
        <s v="Transferencia recibida Ricardo Benjamín Tognoli"/>
        <s v="Transferencia recibida Marcelo Gabriel Porta"/>
        <s v="Débito por deuda Facturas vencidas de Mercado Libre"/>
        <s v="Transferencia recibida Ornella Agustina Busson"/>
        <s v="Transferencia recibida Johanna Paola Pilmaiquen Brizuela"/>
        <s v="Transferencia recibida Francisco Luis Serpa"/>
        <s v="Transferencia recibida Ana Paula Orsingher"/>
        <s v="Transferencia recibida Martin Derudder"/>
        <s v="Transferencia recibida Dolores Richard"/>
        <s v="Transferencia recibida Milagros Martinez"/>
        <s v="Transferencia recibida Raquel Ana Geijo"/>
        <s v="Transferencia recibida Alberto Jesus Lucarni"/>
        <s v="Transferencia recibida Gustavo Marcos Fabian Kees"/>
        <s v="Transferencia recibida Don Garin Carniceria"/>
        <s v="Transferencia recibida Natasha Michelle Grasso"/>
        <s v="Transferencia recibida Sol Bulay Atan"/>
        <s v="Transferencia recibida Nahuel Hernan Delaloye"/>
        <s v="Transferencia recibida Maria Gabriela Mazzaferri"/>
        <s v="Transferencia recibida Agustin Manuel Ortolani"/>
        <s v="Transferencia recibida Anabella Butteri"/>
        <s v="Transferencia recibida Mumi librería"/>
        <s v="Transferencia recibida Micaela Palop"/>
        <s v="Transferencia recibida Facundo Leonardo Duarte"/>
        <s v="Transferencia recibida Brenda Natali Vaja"/>
        <s v="Transferencia recibida Santiago"/>
        <s v="Transferencia recibida Taqueria mono gordo"/>
        <s v="Transferencia recibida Camila Leonela Leyes"/>
        <s v="Transferencia recibida Maria Carla Rossi"/>
        <s v="Transferencia enviada BASSO REPRESENT SRL"/>
        <s v="Transferencia recibida Alexis Maximiliano Dominguez"/>
        <s v="Transferencia recibida Rodrigo Alberto Romero Oliva"/>
        <s v="Transferencia recibida Juan Sebastian Canova"/>
        <s v="Transferencia recibida Maria Antonela Iglesias"/>
        <s v="Transferencia recibida Maria Gisela Fabre"/>
        <s v="Transferencia enviada SUCESION LAPORTA FRANCISCO AN"/>
        <s v="Devolución de dinero Compra de Lampara Led Classic Filamento 6w Cálida Glowlux - E..."/>
        <s v="Transferencia recibida Alan Bochatay"/>
        <s v="Transferencia recibida Iris Mercedes Salas"/>
        <s v="Transferencia recibida Lucas Bre"/>
        <s v="Transferencia recibida BARRACA 72"/>
        <s v="Transferencia recibida Maria Antonella Otamendi"/>
        <s v="Transferencia recibida Juan Cruz Lissa"/>
        <s v="Transferencia recibida Juan Carlos Martin"/>
        <s v="Transferencia recibida Mariana Araceli Eichhorst"/>
        <s v="Transferencia recibida María Celeste Olmos"/>
        <s v="Transferencia recibida Gabriela Otero"/>
        <s v="Transferencia recibida Guillermo René Pastorini Rivas"/>
        <s v="Transferencia recibida Tahiel Heredia"/>
        <s v="Transferencia recibida Claudia Daniela Padilla"/>
        <s v="Transferencia recibida Innovare 3D"/>
        <s v="Transferencia recibida Gabriela Alejandra Buriano"/>
        <s v="Transferencia recibida Leandro Larrechart Torresan"/>
        <s v="Transferencia recibida Dylan Nahuel Del Valle"/>
        <s v="Transferencia recibida Tomas Adrian Turin"/>
        <s v="Transferencia recibida Giuliana Eloisa Martinez"/>
        <s v="Transferencia recibida Esteban Julián Ferrazzi"/>
        <s v="Transferencia recibida Catalina Degregori"/>
        <s v="Transferencia recibida Martin Alejandro Mazzarello"/>
        <s v="Transferencia recibida Lara Selene Palma"/>
        <s v="Transferencia recibida Karen Nair Rodriguez Arce"/>
        <s v="Transferencia recibida Micaela Richard"/>
        <s v="Transferencia recibida Silvana Soledad Telo"/>
        <s v="Transferencia recibida Manuel Galvan"/>
        <s v="Devolución de dinero FEPASA"/>
        <s v="Transferencia enviada DOÑA DORA"/>
        <s v="Transferencia enviada GONZALES SILVIA NOEMI"/>
        <s v="Transferencia enviada PORCOMAGRO SRL"/>
        <s v="Transferencia recibida Juan Felipe Folmer Dondena"/>
        <s v="Transferencia recibida Maria Cecilia Azario"/>
        <s v="Transferencia recibida Jeremias Gomez"/>
        <s v="Transferencia recibida Juan Antonio Nicolas Trotta"/>
        <s v="Transferencia recibida Melany Luciana Vargas"/>
        <s v="Transferencia recibida Lucas Agustin Larrea"/>
        <s v="Transferencia enviada DE BRABAND AGUSTIN"/>
        <s v="Transferencia recibida Gonzalo Maximiliano Morales"/>
        <s v="Transferencia recibida Sebastian Bertolini"/>
        <s v="Transferencia recibida MacArena Abigail Rapallo"/>
        <s v="Transferencia recibida Adrian Nicolas Arroyo"/>
        <s v="Transferencia recibida Laura Ines Maher"/>
        <s v="Transferencia recibida Constanza Tugnarelli"/>
        <s v="Transferencia recibida Celta"/>
        <s v="Transferencia recibida Agustin Ferrari"/>
        <s v="Transferencia recibida Tobias Nicolas Broggi"/>
        <s v="Transferencia enviada ROPELATO S R L A. ROPELATO S R"/>
        <s v="Transferencia recibida Paulina Eugenia Di Pretoro"/>
        <s v="Transferencia recibida Clear bunny"/>
        <s v="Transferencia recibida Leonardo David Francou"/>
        <s v="Transferencia recibida Ceferino Nahuel Cristani Claret"/>
        <s v="Transferencia recibida Patricia Viviana Mangioli"/>
        <s v="Transferencia recibida Magdalena Victorio"/>
        <s v="Transferencia recibida Jonathan Jon Rosochacki"/>
        <s v="Transferencia recibida Ivan Jose Romero"/>
        <s v="Transferencia recibida Andres Quintar Riboli"/>
        <s v="Transferencia recibida Facundo Favre Novella"/>
        <s v="Transferencia enviada LOS DOS HERMANOS SH"/>
        <s v="Transferencia enviada CAMILA SCARDINO"/>
        <s v="Transferencia recibida Federico Agustin Rezzano Vinkers"/>
        <s v="Transferencia recibida Agustina Lorena Aste"/>
        <s v="Transferencia enviada ACERO JEKLO SAS"/>
        <s v="Transferencia recibida Carina Elizabeth Cabrera"/>
        <s v="Transferencia recibida Georgia Marlene Arbelo"/>
        <s v="Transferencia recibida Juliano Matias Francia"/>
        <s v="Transferencia recibida Gino Oddone Dutria"/>
        <s v="Transferencia recibida Milagros Rocio Caristi"/>
        <s v="Transferencia recibida Maria Cecilia Castro"/>
        <s v="Transferencia recibida Lisandro Edgardo Hartwig"/>
        <s v="Transferencia recibida Valentina Abril Maidana Waigel"/>
        <s v="Transferencia recibida Maximo Valentino Gerosa"/>
        <s v="Transferencia recibida Valentin Nicolas Garcia"/>
        <s v="Transferencia recibida Iara Nahir Lizzi Klug"/>
        <s v="Transferencia enviada Gustavo Eugenio Gatter"/>
        <s v="Transferencia enviada TICKET BAND SRL"/>
        <s v="Transferencia recibida Brian Ramon Coronel"/>
        <s v="Transferencia recibida Cristian Jorge Bulay"/>
        <s v="Transferencia recibida Terapia Floral"/>
      </sharedItems>
    </cacheField>
    <cacheField name="REFERENCE_ID" numFmtId="0">
      <sharedItems/>
    </cacheField>
    <cacheField name="TRANSACTION_NET_AMOUNT" numFmtId="0">
      <sharedItems containsSemiMixedTypes="0" containsString="0" containsNumber="1" minValue="-2180467.7200000002" maxValue="349480.54"/>
    </cacheField>
    <cacheField name="PARTIAL_BALANCE" numFmtId="4">
      <sharedItems containsSemiMixedTypes="0" containsString="0" containsNumber="1" minValue="7581502.9400000004" maxValue="16878007.6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st.Bechir" refreshedDate="46132.613741319445" createdVersion="5" refreshedVersion="5" minRefreshableVersion="3" recordCount="1802">
  <cacheSource type="worksheet">
    <worksheetSource ref="A4:M1806" sheet="sheet0"/>
  </cacheSource>
  <cacheFields count="13">
    <cacheField name="RELEASE_DATE" numFmtId="0">
      <sharedItems count="30">
        <s v="01-10-2025"/>
        <s v="02-10-2025"/>
        <s v="11-10-2025"/>
        <s v="06-10-2025"/>
        <s v="03-10-2025"/>
        <s v="04-10-2025"/>
        <s v="05-10-2025"/>
        <s v="08-10-2025"/>
        <s v="09-10-2025"/>
        <s v="13-10-2025"/>
        <s v="10-10-2025"/>
        <s v="12-10-2025"/>
        <s v="14-10-2025"/>
        <s v="15-10-2025"/>
        <s v="16-10-2025"/>
        <s v="17-10-2025"/>
        <s v="20-10-2025"/>
        <s v="21-10-2025"/>
        <s v="18-10-2025"/>
        <s v="19-10-2025"/>
        <s v="22-10-2025"/>
        <s v="24-10-2025"/>
        <s v="23-10-2025"/>
        <s v="25-10-2025"/>
        <s v="27-10-2025"/>
        <s v="28-10-2025"/>
        <s v="26-10-2025"/>
        <s v="29-10-2025"/>
        <s v="30-10-2025"/>
        <s v="31-10-2025"/>
      </sharedItems>
    </cacheField>
    <cacheField name="TRANSACTION_TYPE" numFmtId="0">
      <sharedItems count="209">
        <s v="Liquidación de dinero"/>
        <s v="Transferencia recibida Rodolfo Juan Saldarelli"/>
        <s v="Transferencia recibida Nahuel Zalazar Miño"/>
        <s v="Transferencia recibida Noelia Vanesa Matzke"/>
        <s v="Transferencia recibida Mariano Javier Garcia"/>
        <s v="Débito por deuda Facturas vencidas de Mercado Libre"/>
        <s v="Impuesto por extracción"/>
        <s v="Transferencia enviada EMBOTELLADORA DEL ATLANTICO SA"/>
        <s v="Compra Mercado Libre"/>
        <s v="Transferencia enviada FRUVECO S R L"/>
        <s v="Transferencia enviada ERPEN JULIO C. Y PONZONI ANTONELLA P. SOCIEDAD SIMPLE"/>
        <s v="Transferencia enviada BACO DE LOS ANDES SA"/>
        <s v="Transferencia recibida Argentina Segura e Higienica"/>
        <s v="Transferencia recibida Facundo Lonardi"/>
        <s v="Transferencia recibida Pablo Oscar Ardaiz"/>
        <s v="Transferencia recibida Iris Mailen Meriano"/>
        <s v="Transferencia recibida Yo"/>
        <s v="Transferencia recibida Valentina Inés Dominguez Lezcano"/>
        <s v="Transferencia recibida Juan Angel Juvenal"/>
        <s v="Liquidación de dinero cancelada Venta cancelada"/>
        <s v="Transferencia recibida Carolina Ailen Rodriguez"/>
        <s v="Transferencia recibida Luana Mariela Chabeuf"/>
        <s v="Transferencia recibida Benjamín Villaud"/>
        <s v="Transferencia recibida Camila Sanchez"/>
        <s v="Transferencia recibida Mildelicias"/>
        <s v="Transferencia recibida Tomas Juricevic"/>
        <s v="Transferencia enviada LAGUNA CAPRI SAS"/>
        <s v="Transferencia recibida Joaquin Pedro Schenone"/>
        <s v="Transferencia recibida Agustin Rivero"/>
        <s v="Transferencia recibida Gala Store"/>
        <s v="Transferencia recibida Florencia Antonella Dodera"/>
        <s v="Transferencia recibida Martin Edgardo Godoy Vespa"/>
        <s v="Transferencia recibida Federico Joel Fernandez"/>
        <s v="Transferencia recibida Yamil Jose Ale"/>
        <s v="Transferencia recibida Aldana Victoria Popov Lusardi"/>
        <s v="Transferencia recibida Paula Dabadia"/>
        <s v="Transferencia recibida Ps Lemos Milagros"/>
        <s v="Transferencia recibida Georgina Magali Viganoni"/>
        <s v="Transferencia recibida Gervasio Guelache"/>
        <s v="Transferencia recibida Cristian Guillermo Seguel"/>
        <s v="Transferencia recibida Exequiel Tomillo"/>
        <s v="Transferencia recibida Silvia Lorena Fernandez"/>
        <s v="Transferencia recibida Eduardo German Cabrera"/>
        <s v="Transferencia recibida Lautaro Larrosa"/>
        <s v="Transferencia recibida Angela Jesica Burton"/>
        <s v="Transferencia recibida Maria Cecilia Pocco"/>
        <s v="Transferencia recibida Francisco Exequiel Zegaib"/>
        <s v="Transferencia recibida Lucila Marlene Corvalan"/>
        <s v="Transferencia recibida Delfina Cafferata"/>
        <s v="Transferencia recibida Luciana Florencia Baranao"/>
        <s v="Transferencia recibida Pablo Sebastian Leineker"/>
        <s v="Transferencia recibida Leonardo Raul Galvan"/>
        <s v="Transferencia recibida Nerea Arlettaz"/>
        <s v="Transferencia recibida Luis Eduardo Avanzini"/>
        <s v="Transferencia recibida Analia Barrios Diaz"/>
        <s v="Transferencia recibida Mario Nicolás Angelini"/>
        <s v="Transferencia recibida Leonardo Guillermo Carbone"/>
        <s v="Transferencia recibida Rodrigo Lorenzo Cruz"/>
        <s v="Transferencia recibida Rita Milagros Juvenal"/>
        <s v="Transferencia enviada"/>
        <s v="Transferencia programada PORCOMAGRO SRL"/>
        <s v="Transferencia enviada SUCESION DE SATTO"/>
        <s v="Pago con QR Coca-Cola ANDINA"/>
        <s v="Transferencia enviada Mariano Pedro Rebord Palazzo"/>
        <s v="Transferencia enviada Rodolfo Oscar Bidal"/>
        <s v="Transferencia enviada Norberto David Dolcet"/>
        <s v="Transferencia enviada TRES ORILLAS SRL"/>
        <s v="Transferencia recibida Luisina Lovatto"/>
        <s v="Transferencia recibida Celina Blanc"/>
        <s v="Transferencia recibida Santiago Daniel Viollaz"/>
        <s v="Transferencia recibida Valeria Natalia Mercado"/>
        <s v="Transferencia recibida Melanie Georgina Pesenti"/>
        <s v="Transferencia recibida Jeronimo Bonus"/>
        <s v="Transferencia recibida Eduardo Samuel Klimczuk"/>
        <s v="Transferencia recibida Josefina Ines Sanchez"/>
        <s v="Transferencia recibida Sergio Matias Carlotte"/>
        <s v="Transferencia recibida Matias Peralta"/>
        <s v="Pago con QR FEPASA"/>
        <s v="Pago de servicios ARCA"/>
        <s v="Transferencia enviada CDG SRL"/>
        <s v="Transferencia enviada Distribuidora Doña Dora"/>
        <s v="Transferencia enviada BASSO REPRESENT SRL"/>
        <s v="Transferencia recibida Roberto Eladio Sanabria"/>
        <s v="Transferencia recibida Ayrton Jesus Miño"/>
        <s v="Transferencia recibida Karen Magali Logiuratto"/>
        <s v="Transferencia recibida Facundo Agustin Roude"/>
        <s v="Transferencia recibida Abigail Burguez"/>
        <s v="Transferencia recibida Joaquin Cabrera"/>
        <s v="Transferencia recibida Amina Alfonso"/>
        <s v="Transferencia recibida María Carla Nievas"/>
        <s v="Transferencia recibida Milagros Melisa Rojas"/>
        <s v="Transferencia recibida Melanie Catalina Baes"/>
        <s v="Transferencia recibida Gina Veronica Poos"/>
        <s v="Transferencia recibida Maria Guadalupe Perdomo"/>
        <s v="Transferencia recibida Rocio Micaela Debrabandere"/>
        <s v="Transferencia recibida Ricardo Benjamín Tognoli"/>
        <s v="Transferencia recibida Marcelo Gabriel Porta"/>
        <s v="Transferencia recibida Ornella Agustina Busson"/>
        <s v="Transferencia recibida Johanna Paola Pilmaiquen Brizuela"/>
        <s v="Transferencia recibida Francisco Luis Serpa"/>
        <s v="Transferencia recibida Ana Paula Orsingher"/>
        <s v="Transferencia recibida Martin Derudder"/>
        <s v="Transferencia recibida Dolores Richard"/>
        <s v="Transferencia recibida Milagros Martinez"/>
        <s v="Transferencia recibida Raquel Ana Geijo"/>
        <s v="Transferencia recibida Alberto Jesus Lucarni"/>
        <s v="Transferencia recibida Gustavo Marcos Fabian Kees"/>
        <s v="Transferencia recibida Don Garin Carniceria"/>
        <s v="Transferencia recibida Natasha Michelle Grasso"/>
        <s v="Transferencia recibida Sol Bulay Atan"/>
        <s v="Transferencia recibida Nahuel Hernan Delaloye"/>
        <s v="Transferencia recibida Maria Gabriela Mazzaferri"/>
        <s v="Transferencia recibida Agustin Manuel Ortolani"/>
        <s v="Transferencia recibida Anabella Butteri"/>
        <s v="Transferencia recibida Mumi librería"/>
        <s v="Transferencia recibida Micaela Palop"/>
        <s v="Transferencia recibida Facundo Leonardo Duarte"/>
        <s v="Transferencia recibida Brenda Natali Vaja"/>
        <s v="Transferencia recibida Santiago"/>
        <s v="Transferencia recibida Taqueria mono gordo"/>
        <s v="Transferencia recibida Camila Leonela Leyes"/>
        <s v="Transferencia recibida Maria Carla Rossi"/>
        <s v="Transferencia enviada Cerveza Tractor"/>
        <s v="Transferencia recibida Alexis Maximiliano Dominguez"/>
        <s v="Transferencia recibida Rodrigo Alberto Romero Oliva"/>
        <s v="Transferencia recibida Juan Sebastian Canova"/>
        <s v="Transferencia recibida Maria Antonela Iglesias"/>
        <s v="Transferencia recibida Maria Gisela Fabre"/>
        <s v="Devolución de dinero Compra de Lampara Led Classic Filamento 6w Cálida Glowlux - E..."/>
        <s v="Transferencia enviada DOÑA DORA"/>
        <s v="Transferencia enviada SUCESION LAPORTA FRANCISCO AN"/>
        <s v="Transferencia recibida Alan Bochatay"/>
        <s v="Transferencia recibida Iris Mercedes Salas"/>
        <s v="Transferencia recibida Lucas Bre"/>
        <s v="Transferencia recibida BARRACA 72"/>
        <s v="Transferencia recibida Maria Antonella Otamendi"/>
        <s v="Transferencia recibida Juan Cruz Lissa"/>
        <s v="Transferencia recibida Juan Carlos Martin"/>
        <s v="Transferencia recibida Mariana Araceli Eichhorst"/>
        <s v="Transferencia recibida María Celeste Olmos"/>
        <s v="Transferencia recibida Gabriela Otero"/>
        <s v="Transferencia recibida Guillermo René Pastorini Rivas"/>
        <s v="Transferencia recibida Tahiel Heredia"/>
        <s v="Transferencia recibida Claudia Daniela Padilla"/>
        <s v="Transferencia recibida Innovare 3D"/>
        <s v="Transferencia recibida Gabriela Alejandra Buriano"/>
        <s v="Transferencia recibida Leandro Larrechart Torresan"/>
        <s v="Transferencia recibida Dylan Nahuel Del Valle"/>
        <s v="Transferencia recibida Tomas Adrian Turin"/>
        <s v="Transferencia recibida Giuliana Eloisa Martinez"/>
        <s v="Transferencia recibida Esteban Julián Ferrazzi"/>
        <s v="Transferencia recibida Catalina Degregori"/>
        <s v="Transferencia recibida Martin Alejandro Mazzarello"/>
        <s v="Transferencia recibida Lara Selene Palma"/>
        <s v="Transferencia recibida Karen Nair Rodriguez Arce"/>
        <s v="Transferencia recibida Micaela Richard"/>
        <s v="Transferencia recibida Silvana Soledad Telo"/>
        <s v="Transferencia recibida Manuel Galvan"/>
        <s v="Transferencia enviada GONZALES SILVIA NOEMI"/>
        <s v="Transferencia enviada PORCOMAGRO SRL"/>
        <s v="Transferencia enviada ROPELATO S R L A. ROPELATO S R"/>
        <s v="Devolución de dinero FEPASA"/>
        <s v="Transferencia recibida Juan Felipe Folmer Dondena"/>
        <s v="Transferencia recibida Maria Cecilia Azario"/>
        <s v="Transferencia recibida Jeremias Gomez"/>
        <s v="Transferencia recibida Juan Antonio Nicolas Trotta"/>
        <s v="Transferencia recibida Melany Luciana Vargas"/>
        <s v="Transferencia recibida Lucas Agustin Larrea"/>
        <s v="Transferencia recibida Gonzalo Maximiliano Morales"/>
        <s v="Transferencia recibida Sebastian Bertolini"/>
        <s v="Transferencia recibida MacArena Abigail Rapallo"/>
        <s v="Transferencia recibida Adrian Nicolas Arroyo"/>
        <s v="Transferencia recibida Laura Ines Maher"/>
        <s v="Transferencia recibida Constanza Tugnarelli"/>
        <s v="Transferencia recibida Celta"/>
        <s v="Transferencia recibida Agustin Ferrari"/>
        <s v="Transferencia recibida Tobias Nicolas Broggi"/>
        <s v="Transferencia enviada LOS DOS HERMANOS SH"/>
        <s v="Transferencia recibida Paulina Eugenia Di Pretoro"/>
        <s v="Transferencia recibida Clear bunny"/>
        <s v="Transferencia enviada DE BRABAND AGUSTIN"/>
        <s v="Transferencia recibida Leonardo David Francou"/>
        <s v="Transferencia recibida Ceferino Nahuel Cristani Claret"/>
        <s v="Transferencia recibida Patricia Viviana Mangioli"/>
        <s v="Transferencia recibida Magdalena Victorio"/>
        <s v="Transferencia recibida Jonathan Jon Rosochacki"/>
        <s v="Transferencia recibida Ivan Jose Romero"/>
        <s v="Transferencia recibida Andres Quintar Riboli"/>
        <s v="Transferencia recibida Facundo Favre Novella"/>
        <s v="Transferencia enviada CAMILA SCARDINO"/>
        <s v="Transferencia recibida Federico Agustin Rezzano Vinkers"/>
        <s v="Transferencia recibida Agustina Lorena Aste"/>
        <s v="Transferencia enviada Gustavo Eugenio Gatter"/>
        <s v="Transferencia recibida Carina Elizabeth Cabrera"/>
        <s v="Transferencia enviada TICKET BAND SRL"/>
        <s v="Transferencia recibida Georgia Marlene Arbelo"/>
        <s v="Transferencia recibida Juliano Matias Francia"/>
        <s v="Transferencia recibida Gino Oddone Dutria"/>
        <s v="Transferencia recibida Milagros Rocio Caristi"/>
        <s v="Transferencia recibida Maria Cecilia Castro"/>
        <s v="Transferencia recibida Lisandro Edgardo Hartwig"/>
        <s v="Transferencia recibida Valentina Abril Maidana Waigel"/>
        <s v="Transferencia recibida Maximo Valentino Gerosa"/>
        <s v="Transferencia recibida Valentin Nicolas Garcia"/>
        <s v="Transferencia recibida Iara Nahir Lizzi Klug"/>
        <s v="Transferencia enviada ACERO JEKLO SAS"/>
        <s v="Transferencia recibida Brian Ramon Coronel"/>
        <s v="Transferencia recibida Cristian Jorge Bulay"/>
        <s v="Transferencia recibida Terapia Floral"/>
      </sharedItems>
    </cacheField>
    <cacheField name="REFERENCE_ID" numFmtId="1">
      <sharedItems containsSemiMixedTypes="0" containsString="0" containsNumber="1" containsInteger="1" minValue="2430883946" maxValue="132051231038"/>
    </cacheField>
    <cacheField name="TRANSACTION_NET_AMOUNT" numFmtId="0">
      <sharedItems containsSemiMixedTypes="0" containsString="0" containsNumber="1" minValue="-2180467.7200000002" maxValue="349480.54"/>
    </cacheField>
    <cacheField name="PARTIAL_BALANCE" numFmtId="4">
      <sharedItems containsSemiMixedTypes="0" containsString="0" containsNumber="1" minValue="7581502.9400000004" maxValue="16878007.699999999"/>
    </cacheField>
    <cacheField name="VARIOS" numFmtId="0">
      <sharedItems count="6">
        <s v="COBRO"/>
        <s v="PAGO PROVEEDOR"/>
        <s v="IDC"/>
        <s v="ARCA"/>
        <s v="RETIRO / PROV"/>
        <s v="PAGO PROVEEDOR / DEVOL"/>
      </sharedItems>
    </cacheField>
    <cacheField name="TRANSACTION_TOTAL_AMOUNT" numFmtId="0">
      <sharedItems containsString="0" containsBlank="1" containsNumber="1" minValue="-2167462.9423459247" maxValue="349480"/>
    </cacheField>
    <cacheField name="IDC COMPRAS" numFmtId="0">
      <sharedItems containsString="0" containsBlank="1" containsNumber="1" minValue="-13004.777654075529" maxValue="2084.3769781311858"/>
    </cacheField>
    <cacheField name="SIRCUPA" numFmtId="43">
      <sharedItems containsSemiMixedTypes="0" containsString="0" containsNumber="1" minValue="-182.25" maxValue="0"/>
    </cacheField>
    <cacheField name="SIRTAC" numFmtId="43">
      <sharedItems containsSemiMixedTypes="0" containsString="0" containsNumber="1" minValue="-2241" maxValue="1137"/>
    </cacheField>
    <cacheField name="Gastos" numFmtId="43">
      <sharedItems containsSemiMixedTypes="0" containsString="0" containsNumber="1" minValue="-15813.58" maxValue="5161.9799999999996"/>
    </cacheField>
    <cacheField name="IDC" numFmtId="43">
      <sharedItems containsString="0" containsBlank="1" containsNumber="1" minValue="-13004.777654075529" maxValue="2084.3769781311858"/>
    </cacheField>
    <cacheField name="MOV TOTAL" numFmtId="43">
      <sharedItems containsSemiMixedTypes="0" containsString="0" containsNumber="1" minValue="-2167462.9423459247" maxValue="349480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2">
  <r>
    <s v="01-10-2025"/>
    <x v="0"/>
    <s v="127694553001"/>
    <n v="8502.2999999999993"/>
    <n v="10891110.810000001"/>
  </r>
  <r>
    <s v="01-10-2025"/>
    <x v="0"/>
    <s v="127706300651"/>
    <n v="7794.4"/>
    <n v="10898905.210000001"/>
  </r>
  <r>
    <s v="01-10-2025"/>
    <x v="0"/>
    <s v="127707346037"/>
    <n v="8768.7000000000007"/>
    <n v="10907673.91"/>
  </r>
  <r>
    <s v="01-10-2025"/>
    <x v="0"/>
    <s v="128274716662"/>
    <n v="10912.16"/>
    <n v="10918586.07"/>
  </r>
  <r>
    <s v="01-10-2025"/>
    <x v="0"/>
    <s v="128275855374"/>
    <n v="44131.89"/>
    <n v="10962717.960000001"/>
  </r>
  <r>
    <s v="01-10-2025"/>
    <x v="1"/>
    <s v="128275829832"/>
    <n v="2216.46"/>
    <n v="10964934.42"/>
  </r>
  <r>
    <s v="01-10-2025"/>
    <x v="0"/>
    <s v="127713602167"/>
    <n v="487.15"/>
    <n v="10965421.57"/>
  </r>
  <r>
    <s v="01-10-2025"/>
    <x v="0"/>
    <s v="127715107443"/>
    <n v="30103.919999999998"/>
    <n v="10995525.49"/>
  </r>
  <r>
    <s v="01-10-2025"/>
    <x v="0"/>
    <s v="127715769581"/>
    <n v="38704.129999999997"/>
    <n v="11034229.619999999"/>
  </r>
  <r>
    <s v="01-10-2025"/>
    <x v="0"/>
    <s v="128281546618"/>
    <n v="25721.52"/>
    <n v="11059951.140000001"/>
  </r>
  <r>
    <s v="01-10-2025"/>
    <x v="2"/>
    <s v="128281517156"/>
    <n v="2584.56"/>
    <n v="11062535.699999999"/>
  </r>
  <r>
    <s v="01-10-2025"/>
    <x v="0"/>
    <s v="128281806306"/>
    <n v="12665.9"/>
    <n v="11075201.6"/>
  </r>
  <r>
    <s v="01-10-2025"/>
    <x v="3"/>
    <s v="128281760842"/>
    <n v="636.35"/>
    <n v="11075837.949999999"/>
  </r>
  <r>
    <s v="01-10-2025"/>
    <x v="0"/>
    <s v="128282615258"/>
    <n v="20215.64"/>
    <n v="11096053.59"/>
  </r>
  <r>
    <s v="01-10-2025"/>
    <x v="0"/>
    <s v="127717828761"/>
    <n v="28761.05"/>
    <n v="11124814.640000001"/>
  </r>
  <r>
    <s v="01-10-2025"/>
    <x v="0"/>
    <s v="127719464653"/>
    <n v="13160.72"/>
    <n v="11137975.359999999"/>
  </r>
  <r>
    <s v="01-10-2025"/>
    <x v="0"/>
    <s v="127719431701"/>
    <n v="19484.05"/>
    <n v="11157459.41"/>
  </r>
  <r>
    <s v="01-10-2025"/>
    <x v="0"/>
    <s v="128285003346"/>
    <n v="24747.22"/>
    <n v="11182206.630000001"/>
  </r>
  <r>
    <s v="01-10-2025"/>
    <x v="0"/>
    <s v="127719758089"/>
    <n v="73459.3"/>
    <n v="11255665.93"/>
  </r>
  <r>
    <s v="01-10-2025"/>
    <x v="0"/>
    <s v="128285683510"/>
    <n v="38972"/>
    <n v="11294637.93"/>
  </r>
  <r>
    <s v="01-10-2025"/>
    <x v="0"/>
    <s v="127720557799"/>
    <n v="29226.080000000002"/>
    <n v="11323864.01"/>
  </r>
  <r>
    <s v="01-10-2025"/>
    <x v="0"/>
    <s v="128286715036"/>
    <n v="17050.25"/>
    <n v="11340914.26"/>
  </r>
  <r>
    <s v="02-10-2025"/>
    <x v="0"/>
    <s v="128287489024"/>
    <n v="9645.57"/>
    <n v="11350559.83"/>
  </r>
  <r>
    <s v="02-10-2025"/>
    <x v="0"/>
    <s v="128287673862"/>
    <n v="14321.24"/>
    <n v="11364881.07"/>
  </r>
  <r>
    <s v="02-10-2025"/>
    <x v="4"/>
    <s v="128287834208"/>
    <n v="2157.7199999999998"/>
    <n v="11367038.789999999"/>
  </r>
  <r>
    <s v="02-10-2025"/>
    <x v="0"/>
    <s v="127722493817"/>
    <n v="32970.03"/>
    <n v="11400008.82"/>
  </r>
  <r>
    <s v="02-10-2025"/>
    <x v="0"/>
    <s v="128288249068"/>
    <n v="33192.11"/>
    <n v="11433200.93"/>
  </r>
  <r>
    <s v="02-10-2025"/>
    <x v="0"/>
    <s v="127724766231"/>
    <n v="4354.6499999999996"/>
    <n v="11437555.58"/>
  </r>
  <r>
    <s v="02-10-2025"/>
    <x v="5"/>
    <s v="128313425810"/>
    <n v="-193742.33"/>
    <n v="11243813.25"/>
  </r>
  <r>
    <s v="02-10-2025"/>
    <x v="6"/>
    <s v="128313425810"/>
    <n v="-1162.45"/>
    <n v="11242650.800000001"/>
  </r>
  <r>
    <s v="02-10-2025"/>
    <x v="5"/>
    <s v="127751261829"/>
    <n v="-293293.89"/>
    <n v="10949356.91"/>
  </r>
  <r>
    <s v="02-10-2025"/>
    <x v="6"/>
    <s v="127751261829"/>
    <n v="-1759.76"/>
    <n v="10947597.15"/>
  </r>
  <r>
    <s v="02-10-2025"/>
    <x v="7"/>
    <s v="127758769693"/>
    <n v="-84292.74"/>
    <n v="10863304.41"/>
  </r>
  <r>
    <s v="02-10-2025"/>
    <x v="8"/>
    <s v="127775364243"/>
    <n v="-203693.9"/>
    <n v="10659610.51"/>
  </r>
  <r>
    <s v="02-10-2025"/>
    <x v="6"/>
    <s v="127775364243"/>
    <n v="-1222.1600000000001"/>
    <n v="10658388.35"/>
  </r>
  <r>
    <s v="02-10-2025"/>
    <x v="8"/>
    <s v="128340094018"/>
    <n v="-54034.239999999998"/>
    <n v="10604354.109999999"/>
  </r>
  <r>
    <s v="02-10-2025"/>
    <x v="6"/>
    <s v="128340094018"/>
    <n v="-324.20999999999998"/>
    <n v="10604029.9"/>
  </r>
  <r>
    <s v="02-10-2025"/>
    <x v="8"/>
    <s v="127775080827"/>
    <n v="-217667.97"/>
    <n v="10386361.93"/>
  </r>
  <r>
    <s v="02-10-2025"/>
    <x v="6"/>
    <s v="127775080827"/>
    <n v="-1306.01"/>
    <n v="10385055.92"/>
  </r>
  <r>
    <s v="02-10-2025"/>
    <x v="0"/>
    <s v="127826757701"/>
    <n v="9548.14"/>
    <n v="10394604.060000001"/>
  </r>
  <r>
    <s v="02-10-2025"/>
    <x v="0"/>
    <s v="128398739964"/>
    <n v="9353.2800000000007"/>
    <n v="10403957.34"/>
  </r>
  <r>
    <s v="02-10-2025"/>
    <x v="0"/>
    <s v="127834309851"/>
    <n v="13932.49"/>
    <n v="10417889.83"/>
  </r>
  <r>
    <s v="02-10-2025"/>
    <x v="9"/>
    <s v="127834303877"/>
    <n v="2099.9499999999998"/>
    <n v="10419989.779999999"/>
  </r>
  <r>
    <s v="02-10-2025"/>
    <x v="0"/>
    <s v="128402388274"/>
    <n v="12958.19"/>
    <n v="10432947.970000001"/>
  </r>
  <r>
    <s v="02-10-2025"/>
    <x v="10"/>
    <s v="128402325040"/>
    <n v="1302.07"/>
    <n v="10434250.039999999"/>
  </r>
  <r>
    <s v="02-10-2025"/>
    <x v="0"/>
    <s v="127836305261"/>
    <n v="30598.36"/>
    <n v="10464848.4"/>
  </r>
  <r>
    <s v="02-10-2025"/>
    <x v="0"/>
    <s v="128408491342"/>
    <n v="4676.6400000000003"/>
    <n v="10469525.039999999"/>
  </r>
  <r>
    <s v="02-10-2025"/>
    <x v="0"/>
    <s v="128408853332"/>
    <n v="4534.5600000000004"/>
    <n v="10474059.6"/>
  </r>
  <r>
    <s v="02-10-2025"/>
    <x v="0"/>
    <s v="127843829541"/>
    <n v="37705.410000000003"/>
    <n v="10511765.01"/>
  </r>
  <r>
    <s v="02-10-2025"/>
    <x v="11"/>
    <s v="128410134666"/>
    <n v="1894.36"/>
    <n v="10513659.369999999"/>
  </r>
  <r>
    <s v="02-10-2025"/>
    <x v="0"/>
    <s v="127845010923"/>
    <n v="8768.7000000000007"/>
    <n v="10522428.07"/>
  </r>
  <r>
    <s v="02-10-2025"/>
    <x v="0"/>
    <s v="127845412065"/>
    <n v="4676.6400000000003"/>
    <n v="10527104.710000001"/>
  </r>
  <r>
    <s v="02-10-2025"/>
    <x v="12"/>
    <s v="128411521730"/>
    <n v="469.92"/>
    <n v="10527574.630000001"/>
  </r>
  <r>
    <s v="02-10-2025"/>
    <x v="0"/>
    <s v="127845621093"/>
    <n v="4286.92"/>
    <n v="10531861.550000001"/>
  </r>
  <r>
    <s v="02-10-2025"/>
    <x v="0"/>
    <s v="127846108405"/>
    <n v="3967.74"/>
    <n v="10535829.289999999"/>
  </r>
  <r>
    <s v="02-10-2025"/>
    <x v="0"/>
    <s v="127846250789"/>
    <n v="3967.74"/>
    <n v="10539797.029999999"/>
  </r>
  <r>
    <s v="02-10-2025"/>
    <x v="0"/>
    <s v="128412427806"/>
    <n v="25342.2"/>
    <n v="10565139.23"/>
  </r>
  <r>
    <s v="02-10-2025"/>
    <x v="0"/>
    <s v="127847014705"/>
    <n v="14322.21"/>
    <n v="10579461.439999999"/>
  </r>
  <r>
    <s v="02-10-2025"/>
    <x v="0"/>
    <s v="128413285526"/>
    <n v="4534.5600000000004"/>
    <n v="10583996"/>
  </r>
  <r>
    <s v="02-10-2025"/>
    <x v="0"/>
    <s v="127847143045"/>
    <n v="4676.6400000000003"/>
    <n v="10588672.640000001"/>
  </r>
  <r>
    <s v="02-10-2025"/>
    <x v="0"/>
    <s v="128413748622"/>
    <n v="9743"/>
    <n v="10598415.640000001"/>
  </r>
  <r>
    <s v="02-10-2025"/>
    <x v="0"/>
    <s v="127847979869"/>
    <n v="29234.38"/>
    <n v="10627650.02"/>
  </r>
  <r>
    <s v="02-10-2025"/>
    <x v="0"/>
    <s v="127848195943"/>
    <n v="33905.64"/>
    <n v="10661555.66"/>
  </r>
  <r>
    <s v="02-10-2025"/>
    <x v="4"/>
    <s v="128414396282"/>
    <n v="5110.38"/>
    <n v="10666666.039999999"/>
  </r>
  <r>
    <s v="02-10-2025"/>
    <x v="0"/>
    <s v="128414602122"/>
    <n v="5628.98"/>
    <n v="10672295.02"/>
  </r>
  <r>
    <s v="02-10-2025"/>
    <x v="0"/>
    <s v="127848730441"/>
    <n v="8768.7000000000007"/>
    <n v="10681063.720000001"/>
  </r>
  <r>
    <s v="02-10-2025"/>
    <x v="0"/>
    <s v="127849129705"/>
    <n v="4676.6400000000003"/>
    <n v="10685740.359999999"/>
  </r>
  <r>
    <s v="02-10-2025"/>
    <x v="0"/>
    <s v="128415782272"/>
    <n v="3897.2"/>
    <n v="10689637.560000001"/>
  </r>
  <r>
    <s v="02-10-2025"/>
    <x v="0"/>
    <s v="127850379377"/>
    <n v="11301.88"/>
    <n v="10700939.439999999"/>
  </r>
  <r>
    <s v="02-10-2025"/>
    <x v="0"/>
    <s v="127850602909"/>
    <n v="3897.2"/>
    <n v="10704836.640000001"/>
  </r>
  <r>
    <s v="02-10-2025"/>
    <x v="0"/>
    <s v="127850717607"/>
    <n v="11169.34"/>
    <n v="10716005.98"/>
  </r>
  <r>
    <s v="02-10-2025"/>
    <x v="0"/>
    <s v="128416983560"/>
    <n v="7404.68"/>
    <n v="10723410.66"/>
  </r>
  <r>
    <s v="02-10-2025"/>
    <x v="0"/>
    <s v="128417090472"/>
    <n v="33955.46"/>
    <n v="10757366.119999999"/>
  </r>
  <r>
    <s v="02-10-2025"/>
    <x v="13"/>
    <s v="128417023642"/>
    <n v="3661.46"/>
    <n v="10761027.58"/>
  </r>
  <r>
    <s v="02-10-2025"/>
    <x v="0"/>
    <s v="128417478168"/>
    <n v="4384.3500000000004"/>
    <n v="10765411.93"/>
  </r>
  <r>
    <s v="02-10-2025"/>
    <x v="0"/>
    <s v="127851297553"/>
    <n v="3967.74"/>
    <n v="10769379.67"/>
  </r>
  <r>
    <s v="02-10-2025"/>
    <x v="0"/>
    <s v="127851529137"/>
    <n v="9743"/>
    <n v="10779122.67"/>
  </r>
  <r>
    <s v="02-10-2025"/>
    <x v="0"/>
    <s v="127852042311"/>
    <n v="2338.3200000000002"/>
    <n v="10781460.99"/>
  </r>
  <r>
    <s v="02-10-2025"/>
    <x v="0"/>
    <s v="127852662327"/>
    <n v="29911.01"/>
    <n v="10811372"/>
  </r>
  <r>
    <s v="02-10-2025"/>
    <x v="0"/>
    <s v="128418794938"/>
    <n v="3897.2"/>
    <n v="10815269.199999999"/>
  </r>
  <r>
    <s v="02-10-2025"/>
    <x v="0"/>
    <s v="127852972373"/>
    <n v="4676.6400000000003"/>
    <n v="10819945.84"/>
  </r>
  <r>
    <s v="02-10-2025"/>
    <x v="0"/>
    <s v="128419226662"/>
    <n v="3967.74"/>
    <n v="10823913.58"/>
  </r>
  <r>
    <s v="02-10-2025"/>
    <x v="0"/>
    <s v="128419350310"/>
    <n v="93825.09"/>
    <n v="10917738.67"/>
  </r>
  <r>
    <s v="02-10-2025"/>
    <x v="0"/>
    <s v="128419431770"/>
    <n v="23772.92"/>
    <n v="10941511.59"/>
  </r>
  <r>
    <s v="02-10-2025"/>
    <x v="0"/>
    <s v="128419732970"/>
    <n v="4676.6400000000003"/>
    <n v="10946188.23"/>
  </r>
  <r>
    <s v="02-10-2025"/>
    <x v="0"/>
    <s v="127853704713"/>
    <n v="9743"/>
    <n v="10955931.23"/>
  </r>
  <r>
    <s v="02-10-2025"/>
    <x v="14"/>
    <s v="127853669293"/>
    <n v="489.5"/>
    <n v="10956420.73"/>
  </r>
  <r>
    <s v="02-10-2025"/>
    <x v="0"/>
    <s v="127853815447"/>
    <n v="18121.98"/>
    <n v="10974542.710000001"/>
  </r>
  <r>
    <s v="02-10-2025"/>
    <x v="0"/>
    <s v="128420232980"/>
    <n v="41661.269999999997"/>
    <n v="11016203.98"/>
  </r>
  <r>
    <s v="02-10-2025"/>
    <x v="0"/>
    <s v="127854076319"/>
    <n v="6138.09"/>
    <n v="11022342.07"/>
  </r>
  <r>
    <s v="02-10-2025"/>
    <x v="0"/>
    <s v="128420407042"/>
    <n v="210340.26"/>
    <n v="11232682.33"/>
  </r>
  <r>
    <s v="02-10-2025"/>
    <x v="0"/>
    <s v="127854278121"/>
    <n v="6138.09"/>
    <n v="11238820.42"/>
  </r>
  <r>
    <s v="02-10-2025"/>
    <x v="0"/>
    <s v="128420454022"/>
    <n v="9743"/>
    <n v="11248563.42"/>
  </r>
  <r>
    <s v="02-10-2025"/>
    <x v="0"/>
    <s v="127854437157"/>
    <n v="46376.68"/>
    <n v="11294940.1"/>
  </r>
  <r>
    <s v="02-10-2025"/>
    <x v="0"/>
    <s v="128420793726"/>
    <n v="7112.39"/>
    <n v="11302052.49"/>
  </r>
  <r>
    <s v="03-10-2025"/>
    <x v="0"/>
    <s v="127854884711"/>
    <n v="4871.5"/>
    <n v="11306923.99"/>
  </r>
  <r>
    <s v="03-10-2025"/>
    <x v="0"/>
    <s v="127854922579"/>
    <n v="29597.54"/>
    <n v="11336521.529999999"/>
  </r>
  <r>
    <s v="03-10-2025"/>
    <x v="0"/>
    <s v="127854974679"/>
    <n v="18316.84"/>
    <n v="11354838.369999999"/>
  </r>
  <r>
    <s v="03-10-2025"/>
    <x v="0"/>
    <s v="128421075828"/>
    <n v="106718.82"/>
    <n v="11461557.189999999"/>
  </r>
  <r>
    <s v="03-10-2025"/>
    <x v="0"/>
    <s v="128421266626"/>
    <n v="4189.49"/>
    <n v="11465746.68"/>
  </r>
  <r>
    <s v="03-10-2025"/>
    <x v="0"/>
    <s v="128421434434"/>
    <n v="9353.2800000000007"/>
    <n v="11475099.960000001"/>
  </r>
  <r>
    <s v="03-10-2025"/>
    <x v="0"/>
    <s v="128421490336"/>
    <n v="13250.48"/>
    <n v="11488350.439999999"/>
  </r>
  <r>
    <s v="03-10-2025"/>
    <x v="0"/>
    <s v="128421501412"/>
    <n v="154252.21"/>
    <n v="11642602.65"/>
  </r>
  <r>
    <s v="03-10-2025"/>
    <x v="0"/>
    <s v="127855461023"/>
    <n v="15209.67"/>
    <n v="11657812.32"/>
  </r>
  <r>
    <s v="03-10-2025"/>
    <x v="0"/>
    <s v="127855560075"/>
    <n v="25154.48"/>
    <n v="11682966.800000001"/>
  </r>
  <r>
    <s v="03-10-2025"/>
    <x v="0"/>
    <s v="127855916129"/>
    <n v="7502.11"/>
    <n v="11690468.91"/>
  </r>
  <r>
    <s v="03-10-2025"/>
    <x v="0"/>
    <s v="128422197004"/>
    <n v="3897.2"/>
    <n v="11694366.109999999"/>
  </r>
  <r>
    <s v="03-10-2025"/>
    <x v="15"/>
    <s v="128422276166"/>
    <n v="587.4"/>
    <n v="11694953.51"/>
  </r>
  <r>
    <s v="03-10-2025"/>
    <x v="16"/>
    <s v="128421075828"/>
    <n v="-106718.82"/>
    <n v="11588234.689999999"/>
  </r>
  <r>
    <s v="03-10-2025"/>
    <x v="0"/>
    <s v="127856005159"/>
    <n v="9353.2800000000007"/>
    <n v="11597587.970000001"/>
  </r>
  <r>
    <s v="03-10-2025"/>
    <x v="0"/>
    <s v="127856064757"/>
    <n v="34352.76"/>
    <n v="11631940.73"/>
  </r>
  <r>
    <s v="03-10-2025"/>
    <x v="0"/>
    <s v="127856418189"/>
    <n v="6820.1"/>
    <n v="11638760.83"/>
  </r>
  <r>
    <s v="03-10-2025"/>
    <x v="0"/>
    <s v="127856497497"/>
    <n v="4092.06"/>
    <n v="11642852.890000001"/>
  </r>
  <r>
    <s v="03-10-2025"/>
    <x v="0"/>
    <s v="128422949584"/>
    <n v="58263.14"/>
    <n v="11701116.029999999"/>
  </r>
  <r>
    <s v="03-10-2025"/>
    <x v="17"/>
    <s v="128423104492"/>
    <n v="2927.21"/>
    <n v="11704043.24"/>
  </r>
  <r>
    <s v="03-10-2025"/>
    <x v="0"/>
    <s v="127856899443"/>
    <n v="8259.68"/>
    <n v="11712302.92"/>
  </r>
  <r>
    <s v="03-10-2025"/>
    <x v="0"/>
    <s v="128423208738"/>
    <n v="4534.5600000000004"/>
    <n v="11716837.48"/>
  </r>
  <r>
    <s v="03-10-2025"/>
    <x v="0"/>
    <s v="128423356546"/>
    <n v="12665.9"/>
    <n v="11729503.380000001"/>
  </r>
  <r>
    <s v="03-10-2025"/>
    <x v="0"/>
    <s v="127857063969"/>
    <n v="10035.290000000001"/>
    <n v="11739538.67"/>
  </r>
  <r>
    <s v="03-10-2025"/>
    <x v="0"/>
    <s v="127857363213"/>
    <n v="5163.79"/>
    <n v="11744702.460000001"/>
  </r>
  <r>
    <s v="03-10-2025"/>
    <x v="0"/>
    <s v="128423642872"/>
    <n v="51248.18"/>
    <n v="11795950.640000001"/>
  </r>
  <r>
    <s v="03-10-2025"/>
    <x v="0"/>
    <s v="128423577732"/>
    <n v="68883.009999999995"/>
    <n v="11864833.65"/>
  </r>
  <r>
    <s v="03-10-2025"/>
    <x v="18"/>
    <s v="127857497901"/>
    <n v="3460.76"/>
    <n v="11868294.41"/>
  </r>
  <r>
    <s v="03-10-2025"/>
    <x v="0"/>
    <s v="127857712847"/>
    <n v="4676.6400000000003"/>
    <n v="11872971.050000001"/>
  </r>
  <r>
    <s v="03-10-2025"/>
    <x v="0"/>
    <s v="127857862671"/>
    <n v="16270.81"/>
    <n v="11889241.859999999"/>
  </r>
  <r>
    <s v="03-10-2025"/>
    <x v="0"/>
    <s v="127857973671"/>
    <n v="9743"/>
    <n v="11898984.859999999"/>
  </r>
  <r>
    <s v="03-10-2025"/>
    <x v="0"/>
    <s v="128424504454"/>
    <n v="12471.04"/>
    <n v="11911455.9"/>
  </r>
  <r>
    <s v="03-10-2025"/>
    <x v="0"/>
    <s v="127858454489"/>
    <n v="4676.6400000000003"/>
    <n v="11916132.539999999"/>
  </r>
  <r>
    <s v="03-10-2025"/>
    <x v="19"/>
    <s v="127858371983"/>
    <n v="469.92"/>
    <n v="11916602.460000001"/>
  </r>
  <r>
    <s v="03-10-2025"/>
    <x v="0"/>
    <s v="128424874738"/>
    <n v="20168.009999999998"/>
    <n v="11936770.470000001"/>
  </r>
  <r>
    <s v="03-10-2025"/>
    <x v="12"/>
    <s v="127858708227"/>
    <n v="1013.26"/>
    <n v="11937783.73"/>
  </r>
  <r>
    <s v="03-10-2025"/>
    <x v="0"/>
    <s v="127858844639"/>
    <n v="43356.35"/>
    <n v="11981140.08"/>
  </r>
  <r>
    <s v="03-10-2025"/>
    <x v="0"/>
    <s v="127859163129"/>
    <n v="4092.06"/>
    <n v="11985232.140000001"/>
  </r>
  <r>
    <s v="03-10-2025"/>
    <x v="0"/>
    <s v="128425421186"/>
    <n v="2338.3200000000002"/>
    <n v="11987570.460000001"/>
  </r>
  <r>
    <s v="03-10-2025"/>
    <x v="20"/>
    <s v="127859153755"/>
    <n v="352.44"/>
    <n v="11987922.9"/>
  </r>
  <r>
    <s v="03-10-2025"/>
    <x v="0"/>
    <s v="128425586550"/>
    <n v="32569.42"/>
    <n v="12020492.32"/>
  </r>
  <r>
    <s v="03-10-2025"/>
    <x v="0"/>
    <s v="127859446439"/>
    <n v="12568.47"/>
    <n v="12033060.789999999"/>
  </r>
  <r>
    <s v="03-10-2025"/>
    <x v="0"/>
    <s v="127859588493"/>
    <n v="156375.15"/>
    <n v="12189435.939999999"/>
  </r>
  <r>
    <s v="03-10-2025"/>
    <x v="0"/>
    <s v="128425881632"/>
    <n v="14614.5"/>
    <n v="12204050.439999999"/>
  </r>
  <r>
    <s v="03-10-2025"/>
    <x v="0"/>
    <s v="128425855926"/>
    <n v="4251.1499999999996"/>
    <n v="12208301.59"/>
  </r>
  <r>
    <s v="03-10-2025"/>
    <x v="0"/>
    <s v="127859910765"/>
    <n v="4384.3500000000004"/>
    <n v="12212685.939999999"/>
  </r>
  <r>
    <s v="03-10-2025"/>
    <x v="0"/>
    <s v="128426216768"/>
    <n v="4676.6400000000003"/>
    <n v="12217362.58"/>
  </r>
  <r>
    <s v="03-10-2025"/>
    <x v="21"/>
    <s v="128426232602"/>
    <n v="469.92"/>
    <n v="12217832.5"/>
  </r>
  <r>
    <s v="03-10-2025"/>
    <x v="0"/>
    <s v="128426358946"/>
    <n v="19792.22"/>
    <n v="12237624.720000001"/>
  </r>
  <r>
    <s v="03-10-2025"/>
    <x v="0"/>
    <s v="127860445179"/>
    <n v="22798.62"/>
    <n v="12260423.34"/>
  </r>
  <r>
    <s v="03-10-2025"/>
    <x v="0"/>
    <s v="128426740974"/>
    <n v="13640.2"/>
    <n v="12274063.539999999"/>
  </r>
  <r>
    <s v="03-10-2025"/>
    <x v="22"/>
    <s v="128426752832"/>
    <n v="685.3"/>
    <n v="12274748.84"/>
  </r>
  <r>
    <s v="03-10-2025"/>
    <x v="0"/>
    <s v="128426737424"/>
    <n v="9079"/>
    <n v="12283827.84"/>
  </r>
  <r>
    <s v="03-10-2025"/>
    <x v="0"/>
    <s v="128426964542"/>
    <n v="18901.419999999998"/>
    <n v="12302729.26"/>
  </r>
  <r>
    <s v="03-10-2025"/>
    <x v="0"/>
    <s v="128426857870"/>
    <n v="14127.35"/>
    <n v="12316856.609999999"/>
  </r>
  <r>
    <s v="03-10-2025"/>
    <x v="0"/>
    <s v="127860773495"/>
    <n v="4092.06"/>
    <n v="12320948.67"/>
  </r>
  <r>
    <s v="03-10-2025"/>
    <x v="0"/>
    <s v="128427183126"/>
    <n v="37997.699999999997"/>
    <n v="12358946.369999999"/>
  </r>
  <r>
    <s v="03-10-2025"/>
    <x v="0"/>
    <s v="128427296372"/>
    <n v="27280.400000000001"/>
    <n v="12386226.77"/>
  </r>
  <r>
    <s v="03-10-2025"/>
    <x v="23"/>
    <s v="128497382094"/>
    <n v="-752944"/>
    <n v="11633282.77"/>
  </r>
  <r>
    <s v="03-10-2025"/>
    <x v="6"/>
    <s v="128497382094"/>
    <n v="-4517.66"/>
    <n v="11628765.109999999"/>
  </r>
  <r>
    <s v="03-10-2025"/>
    <x v="0"/>
    <s v="128532328060"/>
    <n v="34953.9"/>
    <n v="11663719.01"/>
  </r>
  <r>
    <s v="03-10-2025"/>
    <x v="0"/>
    <s v="128538963780"/>
    <n v="9353.2800000000007"/>
    <n v="11673072.289999999"/>
  </r>
  <r>
    <s v="03-10-2025"/>
    <x v="0"/>
    <s v="128541606502"/>
    <n v="38585.75"/>
    <n v="11711658.039999999"/>
  </r>
  <r>
    <s v="03-10-2025"/>
    <x v="24"/>
    <s v="127974511167"/>
    <n v="2080.37"/>
    <n v="11713738.41"/>
  </r>
  <r>
    <s v="03-10-2025"/>
    <x v="0"/>
    <s v="127975227343"/>
    <n v="9548.14"/>
    <n v="11723286.550000001"/>
  </r>
  <r>
    <s v="03-10-2025"/>
    <x v="0"/>
    <s v="127975543977"/>
    <n v="12958.19"/>
    <n v="11736244.74"/>
  </r>
  <r>
    <s v="03-10-2025"/>
    <x v="25"/>
    <s v="128542794370"/>
    <n v="1953.1"/>
    <n v="11738197.84"/>
  </r>
  <r>
    <s v="03-10-2025"/>
    <x v="0"/>
    <s v="128544354086"/>
    <n v="27112.89"/>
    <n v="11765310.73"/>
  </r>
  <r>
    <s v="03-10-2025"/>
    <x v="0"/>
    <s v="127978785635"/>
    <n v="7794.4"/>
    <n v="11773105.130000001"/>
  </r>
  <r>
    <s v="03-10-2025"/>
    <x v="0"/>
    <s v="127978952503"/>
    <n v="15004.22"/>
    <n v="11788109.35"/>
  </r>
  <r>
    <s v="03-10-2025"/>
    <x v="0"/>
    <s v="128546191150"/>
    <n v="9353.2800000000007"/>
    <n v="11797462.630000001"/>
  </r>
  <r>
    <s v="03-10-2025"/>
    <x v="26"/>
    <s v="128546254534"/>
    <n v="469.92"/>
    <n v="11797932.550000001"/>
  </r>
  <r>
    <s v="03-10-2025"/>
    <x v="0"/>
    <s v="127979226453"/>
    <n v="7935.48"/>
    <n v="11805868.029999999"/>
  </r>
  <r>
    <s v="03-10-2025"/>
    <x v="0"/>
    <s v="128552186160"/>
    <n v="2240.89"/>
    <n v="11808108.92"/>
  </r>
  <r>
    <s v="03-10-2025"/>
    <x v="0"/>
    <s v="128553170088"/>
    <n v="9743"/>
    <n v="11817851.92"/>
  </r>
  <r>
    <s v="03-10-2025"/>
    <x v="0"/>
    <s v="127987036961"/>
    <n v="7884.24"/>
    <n v="11825736.16"/>
  </r>
  <r>
    <s v="03-10-2025"/>
    <x v="0"/>
    <s v="128554292288"/>
    <n v="4774.07"/>
    <n v="11830510.23"/>
  </r>
  <r>
    <s v="03-10-2025"/>
    <x v="0"/>
    <s v="127988026707"/>
    <n v="41417.56"/>
    <n v="11871927.789999999"/>
  </r>
  <r>
    <s v="03-10-2025"/>
    <x v="0"/>
    <s v="128557855134"/>
    <n v="33613.35"/>
    <n v="11905541.140000001"/>
  </r>
  <r>
    <s v="03-10-2025"/>
    <x v="27"/>
    <s v="128557902440"/>
    <n v="3377.55"/>
    <n v="11908918.689999999"/>
  </r>
  <r>
    <s v="03-10-2025"/>
    <x v="0"/>
    <s v="128557987022"/>
    <n v="4676.6400000000003"/>
    <n v="11913595.33"/>
  </r>
  <r>
    <s v="03-10-2025"/>
    <x v="0"/>
    <s v="128558595664"/>
    <n v="19096.28"/>
    <n v="11932691.609999999"/>
  </r>
  <r>
    <s v="03-10-2025"/>
    <x v="0"/>
    <s v="128558731210"/>
    <n v="43064.06"/>
    <n v="11975755.67"/>
  </r>
  <r>
    <s v="03-10-2025"/>
    <x v="28"/>
    <s v="127991620827"/>
    <n v="2163.59"/>
    <n v="11977919.26"/>
  </r>
  <r>
    <s v="03-10-2025"/>
    <x v="0"/>
    <s v="127994543007"/>
    <n v="62744.92"/>
    <n v="12040664.18"/>
  </r>
  <r>
    <s v="03-10-2025"/>
    <x v="0"/>
    <s v="127995227521"/>
    <n v="50919.33"/>
    <n v="12091583.51"/>
  </r>
  <r>
    <s v="03-10-2025"/>
    <x v="0"/>
    <s v="127996004657"/>
    <n v="40811.040000000001"/>
    <n v="12132394.550000001"/>
  </r>
  <r>
    <s v="03-10-2025"/>
    <x v="0"/>
    <s v="127996122285"/>
    <n v="8768.7000000000007"/>
    <n v="12141163.25"/>
  </r>
  <r>
    <s v="03-10-2025"/>
    <x v="0"/>
    <s v="128563250040"/>
    <n v="4838.5"/>
    <n v="12146001.75"/>
  </r>
  <r>
    <s v="03-10-2025"/>
    <x v="0"/>
    <s v="127996361007"/>
    <n v="66349.83"/>
    <n v="12212351.58"/>
  </r>
  <r>
    <s v="03-10-2025"/>
    <x v="29"/>
    <s v="127996301839"/>
    <n v="3333.49"/>
    <n v="12215685.07"/>
  </r>
  <r>
    <s v="03-10-2025"/>
    <x v="0"/>
    <s v="127996450215"/>
    <n v="5128.8100000000004"/>
    <n v="12220813.880000001"/>
  </r>
  <r>
    <s v="03-10-2025"/>
    <x v="0"/>
    <s v="128563797988"/>
    <n v="16270.81"/>
    <n v="12237084.689999999"/>
  </r>
  <r>
    <s v="03-10-2025"/>
    <x v="0"/>
    <s v="128564070590"/>
    <n v="42771.77"/>
    <n v="12279856.460000001"/>
  </r>
  <r>
    <s v="03-10-2025"/>
    <x v="0"/>
    <s v="128564105462"/>
    <n v="8768.7000000000007"/>
    <n v="12288625.16"/>
  </r>
  <r>
    <s v="03-10-2025"/>
    <x v="0"/>
    <s v="127997252239"/>
    <n v="9104.42"/>
    <n v="12297729.58"/>
  </r>
  <r>
    <s v="03-10-2025"/>
    <x v="16"/>
    <s v="128564070590"/>
    <n v="-42771.77"/>
    <n v="12254957.810000001"/>
  </r>
  <r>
    <s v="03-10-2025"/>
    <x v="0"/>
    <s v="127997540269"/>
    <n v="33808.21"/>
    <n v="12288766.02"/>
  </r>
  <r>
    <s v="03-10-2025"/>
    <x v="0"/>
    <s v="128564579028"/>
    <n v="29618.720000000001"/>
    <n v="12318384.74"/>
  </r>
  <r>
    <s v="03-10-2025"/>
    <x v="0"/>
    <s v="128564877302"/>
    <n v="28839.279999999999"/>
    <n v="12347224.02"/>
  </r>
  <r>
    <s v="03-10-2025"/>
    <x v="30"/>
    <s v="127997962901"/>
    <n v="1448.92"/>
    <n v="12348672.939999999"/>
  </r>
  <r>
    <s v="03-10-2025"/>
    <x v="0"/>
    <s v="127998034681"/>
    <n v="31567.32"/>
    <n v="12380240.26"/>
  </r>
  <r>
    <s v="03-10-2025"/>
    <x v="0"/>
    <s v="127998422719"/>
    <n v="39848.870000000003"/>
    <n v="12420089.130000001"/>
  </r>
  <r>
    <s v="03-10-2025"/>
    <x v="31"/>
    <s v="128565546884"/>
    <n v="2002.05"/>
    <n v="12422091.18"/>
  </r>
  <r>
    <s v="03-10-2025"/>
    <x v="0"/>
    <s v="127998530233"/>
    <n v="23285.77"/>
    <n v="12445376.949999999"/>
  </r>
  <r>
    <s v="03-10-2025"/>
    <x v="0"/>
    <s v="127998690249"/>
    <n v="8573.84"/>
    <n v="12453950.789999999"/>
  </r>
  <r>
    <s v="03-10-2025"/>
    <x v="0"/>
    <s v="127998715475"/>
    <n v="86030.69"/>
    <n v="12539981.48"/>
  </r>
  <r>
    <s v="03-10-2025"/>
    <x v="0"/>
    <s v="127998789467"/>
    <n v="77559.87"/>
    <n v="12617541.35"/>
  </r>
  <r>
    <s v="03-10-2025"/>
    <x v="0"/>
    <s v="127998958295"/>
    <n v="73267.360000000001"/>
    <n v="12690808.710000001"/>
  </r>
  <r>
    <s v="03-10-2025"/>
    <x v="32"/>
    <s v="127998900895"/>
    <n v="3681.04"/>
    <n v="12694489.75"/>
  </r>
  <r>
    <s v="03-10-2025"/>
    <x v="0"/>
    <s v="127999228319"/>
    <n v="61868.05"/>
    <n v="12756357.800000001"/>
  </r>
  <r>
    <s v="03-10-2025"/>
    <x v="0"/>
    <s v="128566674792"/>
    <n v="4774.07"/>
    <n v="12761131.869999999"/>
  </r>
  <r>
    <s v="03-10-2025"/>
    <x v="0"/>
    <s v="128566760368"/>
    <n v="101619.49"/>
    <n v="12862751.359999999"/>
  </r>
  <r>
    <s v="03-10-2025"/>
    <x v="0"/>
    <s v="128567047402"/>
    <n v="12860.76"/>
    <n v="12875612.119999999"/>
  </r>
  <r>
    <s v="03-10-2025"/>
    <x v="0"/>
    <s v="128000200419"/>
    <n v="39556.58"/>
    <n v="12915168.699999999"/>
  </r>
  <r>
    <s v="03-10-2025"/>
    <x v="0"/>
    <s v="128000430537"/>
    <n v="18490.419999999998"/>
    <n v="12933659.119999999"/>
  </r>
  <r>
    <s v="04-10-2025"/>
    <x v="0"/>
    <s v="128000465631"/>
    <n v="57248.82"/>
    <n v="12990907.939999999"/>
  </r>
  <r>
    <s v="04-10-2025"/>
    <x v="0"/>
    <s v="128568081896"/>
    <n v="8573.84"/>
    <n v="12999481.779999999"/>
  </r>
  <r>
    <s v="04-10-2025"/>
    <x v="0"/>
    <s v="128001058955"/>
    <n v="37900.269999999997"/>
    <n v="13037382.050000001"/>
  </r>
  <r>
    <s v="04-10-2025"/>
    <x v="0"/>
    <s v="128001109327"/>
    <n v="38387.42"/>
    <n v="13075769.470000001"/>
  </r>
  <r>
    <s v="04-10-2025"/>
    <x v="0"/>
    <s v="128001440707"/>
    <n v="36225.21"/>
    <n v="13111994.68"/>
  </r>
  <r>
    <s v="04-10-2025"/>
    <x v="0"/>
    <s v="128001644287"/>
    <n v="33613.35"/>
    <n v="13145608.029999999"/>
  </r>
  <r>
    <s v="04-10-2025"/>
    <x v="33"/>
    <s v="128568561564"/>
    <n v="1958"/>
    <n v="13147566.029999999"/>
  </r>
  <r>
    <s v="04-10-2025"/>
    <x v="0"/>
    <s v="128569096724"/>
    <n v="17147.68"/>
    <n v="13164713.710000001"/>
  </r>
  <r>
    <s v="04-10-2025"/>
    <x v="0"/>
    <s v="128569194344"/>
    <n v="31469.89"/>
    <n v="13196183.6"/>
  </r>
  <r>
    <s v="04-10-2025"/>
    <x v="0"/>
    <s v="128569976332"/>
    <n v="24467.73"/>
    <n v="13220651.33"/>
  </r>
  <r>
    <s v="04-10-2025"/>
    <x v="0"/>
    <s v="128570461436"/>
    <n v="10327.58"/>
    <n v="13230978.91"/>
  </r>
  <r>
    <s v="04-10-2025"/>
    <x v="0"/>
    <s v="128571344170"/>
    <n v="22603.759999999998"/>
    <n v="13253582.67"/>
  </r>
  <r>
    <s v="04-10-2025"/>
    <x v="0"/>
    <s v="128571825428"/>
    <n v="37510.550000000003"/>
    <n v="13291093.220000001"/>
  </r>
  <r>
    <s v="04-10-2025"/>
    <x v="0"/>
    <s v="128005151107"/>
    <n v="75508.25"/>
    <n v="13366601.470000001"/>
  </r>
  <r>
    <s v="04-10-2025"/>
    <x v="0"/>
    <s v="128572165456"/>
    <n v="7746.54"/>
    <n v="13374348.01"/>
  </r>
  <r>
    <s v="04-10-2025"/>
    <x v="0"/>
    <s v="128572181400"/>
    <n v="22200.45"/>
    <n v="13396548.460000001"/>
  </r>
  <r>
    <s v="04-10-2025"/>
    <x v="0"/>
    <s v="128005159549"/>
    <n v="96747.99"/>
    <n v="13493296.449999999"/>
  </r>
  <r>
    <s v="04-10-2025"/>
    <x v="0"/>
    <s v="128005247119"/>
    <n v="39960.81"/>
    <n v="13533257.26"/>
  </r>
  <r>
    <s v="04-10-2025"/>
    <x v="0"/>
    <s v="128005725859"/>
    <n v="38095.129999999997"/>
    <n v="13571352.390000001"/>
  </r>
  <r>
    <s v="04-10-2025"/>
    <x v="0"/>
    <s v="128005944893"/>
    <n v="4534.5600000000004"/>
    <n v="13575886.949999999"/>
  </r>
  <r>
    <s v="04-10-2025"/>
    <x v="0"/>
    <s v="128005948841"/>
    <n v="35659.379999999997"/>
    <n v="13611546.33"/>
  </r>
  <r>
    <s v="04-10-2025"/>
    <x v="0"/>
    <s v="128006056141"/>
    <n v="14805.81"/>
    <n v="13626352.140000001"/>
  </r>
  <r>
    <s v="04-10-2025"/>
    <x v="0"/>
    <s v="128006270955"/>
    <n v="25721.52"/>
    <n v="13652073.66"/>
  </r>
  <r>
    <s v="04-10-2025"/>
    <x v="0"/>
    <s v="128573428634"/>
    <n v="9353.2800000000007"/>
    <n v="13661426.939999999"/>
  </r>
  <r>
    <s v="04-10-2025"/>
    <x v="34"/>
    <s v="128573422760"/>
    <n v="939.84"/>
    <n v="13662366.779999999"/>
  </r>
  <r>
    <s v="04-10-2025"/>
    <x v="0"/>
    <s v="128006450347"/>
    <n v="36633.68"/>
    <n v="13699000.460000001"/>
  </r>
  <r>
    <s v="04-10-2025"/>
    <x v="0"/>
    <s v="128006450901"/>
    <n v="11999.48"/>
    <n v="13710999.939999999"/>
  </r>
  <r>
    <s v="04-10-2025"/>
    <x v="0"/>
    <s v="128006790639"/>
    <n v="8573.84"/>
    <n v="13719573.779999999"/>
  </r>
  <r>
    <s v="04-10-2025"/>
    <x v="0"/>
    <s v="128574660704"/>
    <n v="25234.37"/>
    <n v="13744808.15"/>
  </r>
  <r>
    <s v="04-10-2025"/>
    <x v="35"/>
    <s v="128007519843"/>
    <n v="1267.8"/>
    <n v="13746075.949999999"/>
  </r>
  <r>
    <s v="04-10-2025"/>
    <x v="0"/>
    <s v="128007866123"/>
    <n v="9353.2800000000007"/>
    <n v="13755429.23"/>
  </r>
  <r>
    <s v="04-10-2025"/>
    <x v="34"/>
    <s v="128574803388"/>
    <n v="939.84"/>
    <n v="13756369.07"/>
  </r>
  <r>
    <s v="04-10-2025"/>
    <x v="0"/>
    <s v="128008144261"/>
    <n v="56606.83"/>
    <n v="13812975.9"/>
  </r>
  <r>
    <s v="04-10-2025"/>
    <x v="36"/>
    <s v="128008101027"/>
    <n v="2843.99"/>
    <n v="13815819.890000001"/>
  </r>
  <r>
    <s v="04-10-2025"/>
    <x v="0"/>
    <s v="128008194223"/>
    <n v="8322.2199999999993"/>
    <n v="13824142.109999999"/>
  </r>
  <r>
    <s v="04-10-2025"/>
    <x v="0"/>
    <s v="128094716841"/>
    <n v="4189.49"/>
    <n v="13828331.6"/>
  </r>
  <r>
    <s v="04-10-2025"/>
    <x v="37"/>
    <s v="128662203164"/>
    <n v="420.97"/>
    <n v="13828752.57"/>
  </r>
  <r>
    <s v="04-10-2025"/>
    <x v="0"/>
    <s v="128099061791"/>
    <n v="9353.2800000000007"/>
    <n v="13838105.85"/>
  </r>
  <r>
    <s v="04-10-2025"/>
    <x v="0"/>
    <s v="128100123265"/>
    <n v="4774.07"/>
    <n v="13842879.92"/>
  </r>
  <r>
    <s v="04-10-2025"/>
    <x v="38"/>
    <s v="128667988688"/>
    <n v="239.85"/>
    <n v="13843119.77"/>
  </r>
  <r>
    <s v="04-10-2025"/>
    <x v="0"/>
    <s v="128668277384"/>
    <n v="5650.94"/>
    <n v="13848770.710000001"/>
  </r>
  <r>
    <s v="04-10-2025"/>
    <x v="0"/>
    <s v="128668834886"/>
    <n v="9548.14"/>
    <n v="13858318.85"/>
  </r>
  <r>
    <s v="04-10-2025"/>
    <x v="0"/>
    <s v="128102652299"/>
    <n v="16952.82"/>
    <n v="13875271.67"/>
  </r>
  <r>
    <s v="04-10-2025"/>
    <x v="0"/>
    <s v="128104746523"/>
    <n v="44778.78"/>
    <n v="13920050.449999999"/>
  </r>
  <r>
    <s v="04-10-2025"/>
    <x v="0"/>
    <s v="128106052243"/>
    <n v="30885.31"/>
    <n v="13950935.76"/>
  </r>
  <r>
    <s v="04-10-2025"/>
    <x v="0"/>
    <s v="128106623785"/>
    <n v="4629.03"/>
    <n v="13955564.789999999"/>
  </r>
  <r>
    <s v="04-10-2025"/>
    <x v="0"/>
    <s v="128106812525"/>
    <n v="9548.14"/>
    <n v="13965112.93"/>
  </r>
  <r>
    <s v="04-10-2025"/>
    <x v="39"/>
    <s v="128674686368"/>
    <n v="1439.13"/>
    <n v="13966552.060000001"/>
  </r>
  <r>
    <s v="04-10-2025"/>
    <x v="0"/>
    <s v="128676006318"/>
    <n v="62019.55"/>
    <n v="14028571.609999999"/>
  </r>
  <r>
    <s v="04-10-2025"/>
    <x v="0"/>
    <s v="128676549330"/>
    <n v="15393.94"/>
    <n v="14043965.550000001"/>
  </r>
  <r>
    <s v="04-10-2025"/>
    <x v="0"/>
    <s v="128678113052"/>
    <n v="25234.37"/>
    <n v="14069199.92"/>
  </r>
  <r>
    <s v="04-10-2025"/>
    <x v="0"/>
    <s v="128111836609"/>
    <n v="10522.44"/>
    <n v="14079722.359999999"/>
  </r>
  <r>
    <s v="04-10-2025"/>
    <x v="0"/>
    <s v="128680689872"/>
    <n v="13542.77"/>
    <n v="14093265.130000001"/>
  </r>
  <r>
    <s v="04-10-2025"/>
    <x v="0"/>
    <s v="128113046995"/>
    <n v="12564.51"/>
    <n v="14105829.640000001"/>
  </r>
  <r>
    <s v="04-10-2025"/>
    <x v="0"/>
    <s v="128113199157"/>
    <n v="35331.78"/>
    <n v="14141161.42"/>
  </r>
  <r>
    <s v="04-10-2025"/>
    <x v="0"/>
    <s v="128114015675"/>
    <n v="52052.97"/>
    <n v="14193214.390000001"/>
  </r>
  <r>
    <s v="04-10-2025"/>
    <x v="0"/>
    <s v="128682354308"/>
    <n v="34100.5"/>
    <n v="14227314.890000001"/>
  </r>
  <r>
    <s v="04-10-2025"/>
    <x v="0"/>
    <s v="128682536902"/>
    <n v="14322.21"/>
    <n v="14241637.1"/>
  </r>
  <r>
    <s v="04-10-2025"/>
    <x v="0"/>
    <s v="128682595192"/>
    <n v="99183.74"/>
    <n v="14340820.84"/>
  </r>
  <r>
    <s v="04-10-2025"/>
    <x v="40"/>
    <s v="128682541576"/>
    <n v="9966.2199999999993"/>
    <n v="14350787.060000001"/>
  </r>
  <r>
    <s v="04-10-2025"/>
    <x v="0"/>
    <s v="128683315144"/>
    <n v="32321.18"/>
    <n v="14383108.24"/>
  </r>
  <r>
    <s v="04-10-2025"/>
    <x v="4"/>
    <s v="128683261902"/>
    <n v="1634.93"/>
    <n v="14384743.17"/>
  </r>
  <r>
    <s v="04-10-2025"/>
    <x v="0"/>
    <s v="128115571549"/>
    <n v="25693.57"/>
    <n v="14410436.74"/>
  </r>
  <r>
    <s v="04-10-2025"/>
    <x v="0"/>
    <s v="128683578206"/>
    <n v="9548.14"/>
    <n v="14419984.880000001"/>
  </r>
  <r>
    <s v="04-10-2025"/>
    <x v="39"/>
    <s v="128115764455"/>
    <n v="1439.13"/>
    <n v="14421424.01"/>
  </r>
  <r>
    <s v="04-10-2025"/>
    <x v="0"/>
    <s v="128115776901"/>
    <n v="32592.15"/>
    <n v="14454016.16"/>
  </r>
  <r>
    <s v="04-10-2025"/>
    <x v="0"/>
    <s v="128683947738"/>
    <n v="17708.91"/>
    <n v="14471725.07"/>
  </r>
  <r>
    <s v="04-10-2025"/>
    <x v="41"/>
    <s v="128683933752"/>
    <n v="895.78"/>
    <n v="14472620.85"/>
  </r>
  <r>
    <s v="04-10-2025"/>
    <x v="0"/>
    <s v="128116626371"/>
    <n v="33515.919999999998"/>
    <n v="14506136.77"/>
  </r>
  <r>
    <s v="04-10-2025"/>
    <x v="0"/>
    <s v="128117082133"/>
    <n v="33418.49"/>
    <n v="14539555.26"/>
  </r>
  <r>
    <s v="04-10-2025"/>
    <x v="42"/>
    <s v="128684580182"/>
    <n v="1678.98"/>
    <n v="14541234.24"/>
  </r>
  <r>
    <s v="04-10-2025"/>
    <x v="0"/>
    <s v="128118062595"/>
    <n v="21824.32"/>
    <n v="14563058.560000001"/>
  </r>
  <r>
    <s v="04-10-2025"/>
    <x v="0"/>
    <s v="128118169295"/>
    <n v="5748.37"/>
    <n v="14568806.93"/>
  </r>
  <r>
    <s v="04-10-2025"/>
    <x v="0"/>
    <s v="128118353155"/>
    <n v="15304.14"/>
    <n v="14584111.07"/>
  </r>
  <r>
    <s v="04-10-2025"/>
    <x v="0"/>
    <s v="128687029470"/>
    <n v="37023.4"/>
    <n v="14621134.470000001"/>
  </r>
  <r>
    <s v="04-10-2025"/>
    <x v="43"/>
    <s v="128687148252"/>
    <n v="1860.1"/>
    <n v="14622994.57"/>
  </r>
  <r>
    <s v="04-10-2025"/>
    <x v="0"/>
    <s v="128119642609"/>
    <n v="12942.39"/>
    <n v="14635936.960000001"/>
  </r>
  <r>
    <s v="04-10-2025"/>
    <x v="0"/>
    <s v="128120103931"/>
    <n v="9353.2800000000007"/>
    <n v="14645290.24"/>
  </r>
  <r>
    <s v="04-10-2025"/>
    <x v="0"/>
    <s v="128120410601"/>
    <n v="49745.8"/>
    <n v="14695036.039999999"/>
  </r>
  <r>
    <s v="04-10-2025"/>
    <x v="0"/>
    <s v="128689106092"/>
    <n v="4693"/>
    <n v="14699729.039999999"/>
  </r>
  <r>
    <s v="04-10-2025"/>
    <x v="0"/>
    <s v="128689516614"/>
    <n v="52467.74"/>
    <n v="14752196.779999999"/>
  </r>
  <r>
    <s v="04-10-2025"/>
    <x v="0"/>
    <s v="128122214151"/>
    <n v="3702.34"/>
    <n v="14755899.119999999"/>
  </r>
  <r>
    <s v="04-10-2025"/>
    <x v="0"/>
    <s v="128690050246"/>
    <n v="4092.06"/>
    <n v="14759991.18"/>
  </r>
  <r>
    <s v="04-10-2025"/>
    <x v="0"/>
    <s v="128122283721"/>
    <n v="4871.5"/>
    <n v="14764862.68"/>
  </r>
  <r>
    <s v="04-10-2025"/>
    <x v="0"/>
    <s v="128690199068"/>
    <n v="9353.2800000000007"/>
    <n v="14774215.960000001"/>
  </r>
  <r>
    <s v="04-10-2025"/>
    <x v="0"/>
    <s v="128690444386"/>
    <n v="36438.82"/>
    <n v="14810654.779999999"/>
  </r>
  <r>
    <s v="04-10-2025"/>
    <x v="0"/>
    <s v="128123405379"/>
    <n v="9353.2800000000007"/>
    <n v="14820008.060000001"/>
  </r>
  <r>
    <s v="04-10-2025"/>
    <x v="0"/>
    <s v="128691126746"/>
    <n v="8963.56"/>
    <n v="14828971.619999999"/>
  </r>
  <r>
    <s v="04-10-2025"/>
    <x v="0"/>
    <s v="128123744661"/>
    <n v="34009.199999999997"/>
    <n v="14862980.82"/>
  </r>
  <r>
    <s v="04-10-2025"/>
    <x v="0"/>
    <s v="128691506480"/>
    <n v="50707.48"/>
    <n v="14913688.300000001"/>
  </r>
  <r>
    <s v="04-10-2025"/>
    <x v="0"/>
    <s v="128691509296"/>
    <n v="50858.46"/>
    <n v="14964546.76"/>
  </r>
  <r>
    <s v="04-10-2025"/>
    <x v="0"/>
    <s v="128124030985"/>
    <n v="95383.97"/>
    <n v="15059930.73"/>
  </r>
  <r>
    <s v="04-10-2025"/>
    <x v="0"/>
    <s v="128691751928"/>
    <n v="7794.4"/>
    <n v="15067725.130000001"/>
  </r>
  <r>
    <s v="04-10-2025"/>
    <x v="0"/>
    <s v="128692018414"/>
    <n v="19616.740000000002"/>
    <n v="15087341.869999999"/>
  </r>
  <r>
    <s v="04-10-2025"/>
    <x v="0"/>
    <s v="128692041006"/>
    <n v="4871.5"/>
    <n v="15092213.369999999"/>
  </r>
  <r>
    <s v="05-10-2025"/>
    <x v="0"/>
    <s v="128124351663"/>
    <n v="14614.5"/>
    <n v="15106827.869999999"/>
  </r>
  <r>
    <s v="05-10-2025"/>
    <x v="0"/>
    <s v="128692668536"/>
    <n v="67275.39"/>
    <n v="15174103.26"/>
  </r>
  <r>
    <s v="05-10-2025"/>
    <x v="0"/>
    <s v="128125043391"/>
    <n v="4539.5"/>
    <n v="15178642.76"/>
  </r>
  <r>
    <s v="05-10-2025"/>
    <x v="0"/>
    <s v="128692773100"/>
    <n v="4871.5"/>
    <n v="15183514.26"/>
  </r>
  <r>
    <s v="05-10-2025"/>
    <x v="0"/>
    <s v="128125341977"/>
    <n v="3897.2"/>
    <n v="15187411.460000001"/>
  </r>
  <r>
    <s v="05-10-2025"/>
    <x v="0"/>
    <s v="128125660361"/>
    <n v="4871.5"/>
    <n v="15192282.960000001"/>
  </r>
  <r>
    <s v="05-10-2025"/>
    <x v="44"/>
    <s v="128125627213"/>
    <n v="244.75"/>
    <n v="15192527.710000001"/>
  </r>
  <r>
    <s v="05-10-2025"/>
    <x v="0"/>
    <s v="128693181950"/>
    <n v="7794.4"/>
    <n v="15200322.109999999"/>
  </r>
  <r>
    <s v="05-10-2025"/>
    <x v="0"/>
    <s v="128694134194"/>
    <n v="15004.22"/>
    <n v="15215326.33"/>
  </r>
  <r>
    <s v="05-10-2025"/>
    <x v="0"/>
    <s v="128694166558"/>
    <n v="57059.88"/>
    <n v="15272386.210000001"/>
  </r>
  <r>
    <s v="05-10-2025"/>
    <x v="0"/>
    <s v="128126371521"/>
    <n v="42382.05"/>
    <n v="15314768.26"/>
  </r>
  <r>
    <s v="05-10-2025"/>
    <x v="45"/>
    <s v="128694203212"/>
    <n v="2129.3200000000002"/>
    <n v="15316897.58"/>
  </r>
  <r>
    <s v="05-10-2025"/>
    <x v="0"/>
    <s v="128126531575"/>
    <n v="37510.550000000003"/>
    <n v="15354408.130000001"/>
  </r>
  <r>
    <s v="05-10-2025"/>
    <x v="0"/>
    <s v="128694438198"/>
    <n v="36654.36"/>
    <n v="15391062.49"/>
  </r>
  <r>
    <s v="05-10-2025"/>
    <x v="0"/>
    <s v="128126798957"/>
    <n v="56606.83"/>
    <n v="15447669.32"/>
  </r>
  <r>
    <s v="05-10-2025"/>
    <x v="46"/>
    <s v="128694389708"/>
    <n v="5687.99"/>
    <n v="15453357.310000001"/>
  </r>
  <r>
    <s v="05-10-2025"/>
    <x v="0"/>
    <s v="128694674936"/>
    <n v="15004.22"/>
    <n v="15468361.529999999"/>
  </r>
  <r>
    <s v="05-10-2025"/>
    <x v="0"/>
    <s v="128694718052"/>
    <n v="41700.04"/>
    <n v="15510061.57"/>
  </r>
  <r>
    <s v="05-10-2025"/>
    <x v="47"/>
    <s v="128127278911"/>
    <n v="4190.12"/>
    <n v="15514251.689999999"/>
  </r>
  <r>
    <s v="05-10-2025"/>
    <x v="0"/>
    <s v="128127401801"/>
    <n v="7935.48"/>
    <n v="15522187.17"/>
  </r>
  <r>
    <s v="05-10-2025"/>
    <x v="0"/>
    <s v="128127545875"/>
    <n v="9353.2800000000007"/>
    <n v="15531540.449999999"/>
  </r>
  <r>
    <s v="05-10-2025"/>
    <x v="0"/>
    <s v="128695678908"/>
    <n v="5163.79"/>
    <n v="15536704.24"/>
  </r>
  <r>
    <s v="05-10-2025"/>
    <x v="0"/>
    <s v="128695784506"/>
    <n v="9386"/>
    <n v="15546090.24"/>
  </r>
  <r>
    <s v="05-10-2025"/>
    <x v="0"/>
    <s v="128695856532"/>
    <n v="61770.62"/>
    <n v="15607860.859999999"/>
  </r>
  <r>
    <s v="05-10-2025"/>
    <x v="0"/>
    <s v="128128083733"/>
    <n v="8573.84"/>
    <n v="15616434.699999999"/>
  </r>
  <r>
    <s v="05-10-2025"/>
    <x v="48"/>
    <s v="128695902536"/>
    <n v="861.52"/>
    <n v="15617296.220000001"/>
  </r>
  <r>
    <s v="05-10-2025"/>
    <x v="0"/>
    <s v="128696084622"/>
    <n v="24942.080000000002"/>
    <n v="15642238.300000001"/>
  </r>
  <r>
    <s v="05-10-2025"/>
    <x v="49"/>
    <s v="128128469831"/>
    <n v="1253.1199999999999"/>
    <n v="15643491.42"/>
  </r>
  <r>
    <s v="05-10-2025"/>
    <x v="0"/>
    <s v="128128642373"/>
    <n v="21434.6"/>
    <n v="15664926.02"/>
  </r>
  <r>
    <s v="05-10-2025"/>
    <x v="0"/>
    <s v="128696182418"/>
    <n v="38972"/>
    <n v="15703898.02"/>
  </r>
  <r>
    <s v="05-10-2025"/>
    <x v="0"/>
    <s v="128696455684"/>
    <n v="95968.55"/>
    <n v="15799866.57"/>
  </r>
  <r>
    <s v="05-10-2025"/>
    <x v="50"/>
    <s v="128696457632"/>
    <n v="4821.57"/>
    <n v="15804688.140000001"/>
  </r>
  <r>
    <s v="05-10-2025"/>
    <x v="0"/>
    <s v="128128996829"/>
    <n v="11983.89"/>
    <n v="15816672.029999999"/>
  </r>
  <r>
    <s v="05-10-2025"/>
    <x v="0"/>
    <s v="128696800288"/>
    <n v="38095.129999999997"/>
    <n v="15854767.16"/>
  </r>
  <r>
    <s v="05-10-2025"/>
    <x v="0"/>
    <s v="128128980033"/>
    <n v="52147.44"/>
    <n v="15906914.6"/>
  </r>
  <r>
    <s v="05-10-2025"/>
    <x v="0"/>
    <s v="128129163917"/>
    <n v="3702.34"/>
    <n v="15910616.939999999"/>
  </r>
  <r>
    <s v="05-10-2025"/>
    <x v="0"/>
    <s v="128129860457"/>
    <n v="47707.35"/>
    <n v="15958324.289999999"/>
  </r>
  <r>
    <s v="05-10-2025"/>
    <x v="0"/>
    <s v="128697427892"/>
    <n v="15491.37"/>
    <n v="15973815.66"/>
  </r>
  <r>
    <s v="05-10-2025"/>
    <x v="0"/>
    <s v="128129968953"/>
    <n v="21773.25"/>
    <n v="15995588.91"/>
  </r>
  <r>
    <s v="05-10-2025"/>
    <x v="0"/>
    <s v="128129982957"/>
    <n v="30135.93"/>
    <n v="16025724.84"/>
  </r>
  <r>
    <s v="05-10-2025"/>
    <x v="0"/>
    <s v="128697505462"/>
    <n v="14224.78"/>
    <n v="16039949.619999999"/>
  </r>
  <r>
    <s v="05-10-2025"/>
    <x v="0"/>
    <s v="128129983705"/>
    <n v="26890.68"/>
    <n v="16066840.300000001"/>
  </r>
  <r>
    <s v="05-10-2025"/>
    <x v="0"/>
    <s v="128130086803"/>
    <n v="28157.27"/>
    <n v="16094997.57"/>
  </r>
  <r>
    <s v="05-10-2025"/>
    <x v="51"/>
    <s v="128697662950"/>
    <n v="1414.65"/>
    <n v="16096412.220000001"/>
  </r>
  <r>
    <s v="05-10-2025"/>
    <x v="0"/>
    <s v="128697707428"/>
    <n v="16368.24"/>
    <n v="16112780.460000001"/>
  </r>
  <r>
    <s v="05-10-2025"/>
    <x v="0"/>
    <s v="128698164204"/>
    <n v="27280.400000000001"/>
    <n v="16140060.859999999"/>
  </r>
  <r>
    <s v="05-10-2025"/>
    <x v="52"/>
    <s v="128698035700"/>
    <n v="1370.6"/>
    <n v="16141431.460000001"/>
  </r>
  <r>
    <s v="05-10-2025"/>
    <x v="0"/>
    <s v="128698205804"/>
    <n v="12081.32"/>
    <n v="16153512.779999999"/>
  </r>
  <r>
    <s v="05-10-2025"/>
    <x v="0"/>
    <s v="128130535797"/>
    <n v="8313.36"/>
    <n v="16161826.140000001"/>
  </r>
  <r>
    <s v="05-10-2025"/>
    <x v="0"/>
    <s v="128130627097"/>
    <n v="7557.6"/>
    <n v="16169383.74"/>
  </r>
  <r>
    <s v="05-10-2025"/>
    <x v="0"/>
    <s v="128130687417"/>
    <n v="17382.48"/>
    <n v="16186766.220000001"/>
  </r>
  <r>
    <s v="05-10-2025"/>
    <x v="0"/>
    <s v="128698509452"/>
    <n v="21400.080000000002"/>
    <n v="16208166.300000001"/>
  </r>
  <r>
    <s v="05-10-2025"/>
    <x v="0"/>
    <s v="128698656838"/>
    <n v="18884.32"/>
    <n v="16227050.619999999"/>
  </r>
  <r>
    <s v="05-10-2025"/>
    <x v="0"/>
    <s v="128131119009"/>
    <n v="17854.830000000002"/>
    <n v="16244905.449999999"/>
  </r>
  <r>
    <s v="05-10-2025"/>
    <x v="0"/>
    <s v="128698830486"/>
    <n v="21044.880000000001"/>
    <n v="16265950.33"/>
  </r>
  <r>
    <s v="05-10-2025"/>
    <x v="0"/>
    <s v="128131338741"/>
    <n v="16626.72"/>
    <n v="16282577.050000001"/>
  </r>
  <r>
    <s v="05-10-2025"/>
    <x v="0"/>
    <s v="128699142146"/>
    <n v="3967.74"/>
    <n v="16286544.789999999"/>
  </r>
  <r>
    <s v="05-10-2025"/>
    <x v="0"/>
    <s v="128131671691"/>
    <n v="17439.97"/>
    <n v="16303984.76"/>
  </r>
  <r>
    <s v="05-10-2025"/>
    <x v="0"/>
    <s v="128131837387"/>
    <n v="15491.37"/>
    <n v="16319476.130000001"/>
  </r>
  <r>
    <s v="05-10-2025"/>
    <x v="0"/>
    <s v="128699839998"/>
    <n v="16069.83"/>
    <n v="16335545.960000001"/>
  </r>
  <r>
    <s v="05-10-2025"/>
    <x v="0"/>
    <s v="128132363197"/>
    <n v="9743"/>
    <n v="16345288.960000001"/>
  </r>
  <r>
    <s v="05-10-2025"/>
    <x v="0"/>
    <s v="128201339295"/>
    <n v="13509.21"/>
    <n v="16358798.17"/>
  </r>
  <r>
    <s v="05-10-2025"/>
    <x v="0"/>
    <s v="128771504152"/>
    <n v="4774.07"/>
    <n v="16363572.24"/>
  </r>
  <r>
    <s v="05-10-2025"/>
    <x v="0"/>
    <s v="128205853491"/>
    <n v="4286.92"/>
    <n v="16367859.16"/>
  </r>
  <r>
    <s v="05-10-2025"/>
    <x v="0"/>
    <s v="128206530723"/>
    <n v="4774.07"/>
    <n v="16372633.23"/>
  </r>
  <r>
    <s v="05-10-2025"/>
    <x v="0"/>
    <s v="128775011128"/>
    <n v="17004.599999999999"/>
    <n v="16389637.83"/>
  </r>
  <r>
    <s v="05-10-2025"/>
    <x v="0"/>
    <s v="128775661428"/>
    <n v="13737.63"/>
    <n v="16403375.460000001"/>
  </r>
  <r>
    <s v="05-10-2025"/>
    <x v="0"/>
    <s v="128208989895"/>
    <n v="25136.94"/>
    <n v="16428512.4"/>
  </r>
  <r>
    <s v="05-10-2025"/>
    <x v="53"/>
    <s v="128777177860"/>
    <n v="2525.8200000000002"/>
    <n v="16431038.220000001"/>
  </r>
  <r>
    <s v="05-10-2025"/>
    <x v="0"/>
    <s v="128210325155"/>
    <n v="16251.41"/>
    <n v="16447289.630000001"/>
  </r>
  <r>
    <s v="05-10-2025"/>
    <x v="0"/>
    <s v="128210631029"/>
    <n v="15493.08"/>
    <n v="16462782.710000001"/>
  </r>
  <r>
    <s v="05-10-2025"/>
    <x v="0"/>
    <s v="128779285828"/>
    <n v="31762.18"/>
    <n v="16494544.890000001"/>
  </r>
  <r>
    <s v="05-10-2025"/>
    <x v="0"/>
    <s v="128211723845"/>
    <n v="25916.38"/>
    <n v="16520461.27"/>
  </r>
  <r>
    <s v="05-10-2025"/>
    <x v="0"/>
    <s v="128780279488"/>
    <n v="38874.57"/>
    <n v="16559335.84"/>
  </r>
  <r>
    <s v="05-10-2025"/>
    <x v="0"/>
    <s v="128212250343"/>
    <n v="9353.2800000000007"/>
    <n v="16568689.119999999"/>
  </r>
  <r>
    <s v="05-10-2025"/>
    <x v="0"/>
    <s v="128212590833"/>
    <n v="34295.360000000001"/>
    <n v="16602984.48"/>
  </r>
  <r>
    <s v="05-10-2025"/>
    <x v="0"/>
    <s v="128213127005"/>
    <n v="4676.6400000000003"/>
    <n v="16607661.119999999"/>
  </r>
  <r>
    <s v="05-10-2025"/>
    <x v="54"/>
    <s v="128213125083"/>
    <n v="469.92"/>
    <n v="16608131.039999999"/>
  </r>
  <r>
    <s v="05-10-2025"/>
    <x v="0"/>
    <s v="128213687353"/>
    <n v="28740.69"/>
    <n v="16636871.73"/>
  </r>
  <r>
    <s v="05-10-2025"/>
    <x v="4"/>
    <s v="128213740763"/>
    <n v="2907.63"/>
    <n v="16639779.359999999"/>
  </r>
  <r>
    <s v="05-10-2025"/>
    <x v="0"/>
    <s v="128782344294"/>
    <n v="23900.91"/>
    <n v="16663680.27"/>
  </r>
  <r>
    <s v="05-10-2025"/>
    <x v="0"/>
    <s v="128215264657"/>
    <n v="13603.68"/>
    <n v="16677283.949999999"/>
  </r>
  <r>
    <s v="05-10-2025"/>
    <x v="0"/>
    <s v="128783583224"/>
    <n v="17050.25"/>
    <n v="16694334.199999999"/>
  </r>
  <r>
    <s v="05-10-2025"/>
    <x v="55"/>
    <s v="128783575336"/>
    <n v="1713.25"/>
    <n v="16696047.449999999"/>
  </r>
  <r>
    <s v="05-10-2025"/>
    <x v="0"/>
    <s v="128216639471"/>
    <n v="30203.3"/>
    <n v="16726250.75"/>
  </r>
  <r>
    <s v="05-10-2025"/>
    <x v="0"/>
    <s v="128785272946"/>
    <n v="42284.62"/>
    <n v="16768535.369999999"/>
  </r>
  <r>
    <s v="05-10-2025"/>
    <x v="0"/>
    <s v="128217976781"/>
    <n v="15115.2"/>
    <n v="16783650.57"/>
  </r>
  <r>
    <s v="05-10-2025"/>
    <x v="0"/>
    <s v="128218880657"/>
    <n v="29423.86"/>
    <n v="16813074.43"/>
  </r>
  <r>
    <s v="06-10-2025"/>
    <x v="0"/>
    <s v="128220831145"/>
    <n v="7741.6"/>
    <n v="16820816.030000001"/>
  </r>
  <r>
    <s v="06-10-2025"/>
    <x v="0"/>
    <s v="128221923389"/>
    <n v="49202.15"/>
    <n v="16870018.18"/>
  </r>
  <r>
    <s v="06-10-2025"/>
    <x v="0"/>
    <s v="128222367735"/>
    <n v="7989.52"/>
    <n v="16878007.699999999"/>
  </r>
  <r>
    <s v="06-10-2025"/>
    <x v="56"/>
    <s v="128258988637"/>
    <n v="-960111.31"/>
    <n v="15917896.390000001"/>
  </r>
  <r>
    <s v="06-10-2025"/>
    <x v="57"/>
    <s v="128840577700"/>
    <n v="-1049664"/>
    <n v="14868232.390000001"/>
  </r>
  <r>
    <s v="06-10-2025"/>
    <x v="6"/>
    <s v="128840577700"/>
    <n v="-6297.98"/>
    <n v="14861934.41"/>
  </r>
  <r>
    <s v="06-10-2025"/>
    <x v="58"/>
    <s v="128841429022"/>
    <n v="-253900.45"/>
    <n v="14608033.960000001"/>
  </r>
  <r>
    <s v="06-10-2025"/>
    <x v="6"/>
    <s v="128841429022"/>
    <n v="-1523.4"/>
    <n v="14606510.560000001"/>
  </r>
  <r>
    <s v="06-10-2025"/>
    <x v="59"/>
    <s v="128290347795"/>
    <n v="-1538720.7"/>
    <n v="13067789.859999999"/>
  </r>
  <r>
    <s v="06-10-2025"/>
    <x v="6"/>
    <s v="128290347795"/>
    <n v="-9232.32"/>
    <n v="13058557.539999999"/>
  </r>
  <r>
    <s v="06-10-2025"/>
    <x v="60"/>
    <s v="128302630577"/>
    <n v="-1281400.02"/>
    <n v="11777157.52"/>
  </r>
  <r>
    <s v="06-10-2025"/>
    <x v="6"/>
    <s v="128302630577"/>
    <n v="-7688.4"/>
    <n v="11769469.119999999"/>
  </r>
  <r>
    <s v="06-10-2025"/>
    <x v="61"/>
    <s v="128307872905"/>
    <n v="-21729.59"/>
    <n v="11747739.529999999"/>
  </r>
  <r>
    <s v="08-10-2025"/>
    <x v="62"/>
    <s v="129102877500"/>
    <n v="-2180467.7200000002"/>
    <n v="9567271.8100000005"/>
  </r>
  <r>
    <s v="08-10-2025"/>
    <x v="63"/>
    <s v="129122901498"/>
    <n v="-98444.31"/>
    <n v="9468827.5"/>
  </r>
  <r>
    <s v="08-10-2025"/>
    <x v="6"/>
    <s v="129122901498"/>
    <n v="-590.66999999999996"/>
    <n v="9468236.8300000001"/>
  </r>
  <r>
    <s v="08-10-2025"/>
    <x v="64"/>
    <s v="128552409491"/>
    <n v="-69800.13"/>
    <n v="9398436.6999999993"/>
  </r>
  <r>
    <s v="08-10-2025"/>
    <x v="6"/>
    <s v="128552409491"/>
    <n v="-418.8"/>
    <n v="9398017.9000000004"/>
  </r>
  <r>
    <s v="08-10-2025"/>
    <x v="65"/>
    <s v="128573746367"/>
    <n v="-360356.33"/>
    <n v="9037661.5700000003"/>
  </r>
  <r>
    <s v="08-10-2025"/>
    <x v="6"/>
    <s v="128573746367"/>
    <n v="-2162.14"/>
    <n v="9035499.4299999997"/>
  </r>
  <r>
    <s v="08-10-2025"/>
    <x v="65"/>
    <s v="128574320803"/>
    <n v="-264533.21999999997"/>
    <n v="8770966.2100000009"/>
  </r>
  <r>
    <s v="08-10-2025"/>
    <x v="6"/>
    <s v="128574320803"/>
    <n v="-1587.2"/>
    <n v="8769379.0099999998"/>
  </r>
  <r>
    <s v="08-10-2025"/>
    <x v="64"/>
    <s v="129164900834"/>
    <n v="-59340"/>
    <n v="8710039.0099999998"/>
  </r>
  <r>
    <s v="08-10-2025"/>
    <x v="6"/>
    <s v="129164900834"/>
    <n v="-356.04"/>
    <n v="8709682.9700000007"/>
  </r>
  <r>
    <s v="08-10-2025"/>
    <x v="0"/>
    <s v="129181979010"/>
    <n v="4534.5600000000004"/>
    <n v="8714217.5299999993"/>
  </r>
  <r>
    <s v="08-10-2025"/>
    <x v="0"/>
    <s v="129185058794"/>
    <n v="12529.02"/>
    <n v="8726746.5500000007"/>
  </r>
  <r>
    <s v="08-10-2025"/>
    <x v="0"/>
    <s v="129187574742"/>
    <n v="15870.96"/>
    <n v="8742617.5099999998"/>
  </r>
  <r>
    <s v="08-10-2025"/>
    <x v="0"/>
    <s v="128623220757"/>
    <n v="5668.2"/>
    <n v="8748285.7100000009"/>
  </r>
  <r>
    <s v="08-10-2025"/>
    <x v="0"/>
    <s v="129194128550"/>
    <n v="2922.9"/>
    <n v="8751208.6099999994"/>
  </r>
  <r>
    <s v="08-10-2025"/>
    <x v="0"/>
    <s v="129195133392"/>
    <n v="5845.8"/>
    <n v="8757054.4100000001"/>
  </r>
  <r>
    <s v="08-10-2025"/>
    <x v="0"/>
    <s v="128624814139"/>
    <n v="2922.9"/>
    <n v="8759977.3100000005"/>
  </r>
  <r>
    <s v="08-10-2025"/>
    <x v="66"/>
    <s v="128624750885"/>
    <n v="146.85"/>
    <n v="8760124.1600000001"/>
  </r>
  <r>
    <s v="08-10-2025"/>
    <x v="0"/>
    <s v="129197916964"/>
    <n v="5668.2"/>
    <n v="8765792.3599999994"/>
  </r>
  <r>
    <s v="08-10-2025"/>
    <x v="0"/>
    <s v="128628824137"/>
    <n v="4676.6400000000003"/>
    <n v="8770469"/>
  </r>
  <r>
    <s v="08-10-2025"/>
    <x v="67"/>
    <s v="129199375094"/>
    <n v="234.96"/>
    <n v="8770703.9600000009"/>
  </r>
  <r>
    <s v="08-10-2025"/>
    <x v="0"/>
    <s v="128628953665"/>
    <n v="2922.9"/>
    <n v="8773626.8599999994"/>
  </r>
  <r>
    <s v="08-10-2025"/>
    <x v="0"/>
    <s v="129201065142"/>
    <n v="27868.65"/>
    <n v="8801495.5099999998"/>
  </r>
  <r>
    <s v="08-10-2025"/>
    <x v="0"/>
    <s v="129201225626"/>
    <n v="9743"/>
    <n v="8811238.5099999998"/>
  </r>
  <r>
    <s v="08-10-2025"/>
    <x v="68"/>
    <s v="128630547191"/>
    <n v="489.5"/>
    <n v="8811728.0099999998"/>
  </r>
  <r>
    <s v="08-10-2025"/>
    <x v="0"/>
    <s v="128630753069"/>
    <n v="38387.42"/>
    <n v="8850115.4299999997"/>
  </r>
  <r>
    <s v="08-10-2025"/>
    <x v="0"/>
    <s v="128631028957"/>
    <n v="24467.73"/>
    <n v="8874583.1600000001"/>
  </r>
  <r>
    <s v="08-10-2025"/>
    <x v="0"/>
    <s v="129201952360"/>
    <n v="3702.34"/>
    <n v="8878285.5"/>
  </r>
  <r>
    <s v="08-10-2025"/>
    <x v="69"/>
    <s v="128631129561"/>
    <n v="186.01"/>
    <n v="8878471.5099999998"/>
  </r>
  <r>
    <s v="08-10-2025"/>
    <x v="0"/>
    <s v="128631398585"/>
    <n v="9353.2800000000007"/>
    <n v="8887824.7899999991"/>
  </r>
  <r>
    <s v="08-10-2025"/>
    <x v="0"/>
    <s v="128632421311"/>
    <n v="3589.86"/>
    <n v="8891414.6500000004"/>
  </r>
  <r>
    <s v="08-10-2025"/>
    <x v="0"/>
    <s v="129203149610"/>
    <n v="9069.1200000000008"/>
    <n v="8900483.7699999996"/>
  </r>
  <r>
    <s v="08-10-2025"/>
    <x v="0"/>
    <s v="129204840076"/>
    <n v="4534.5600000000004"/>
    <n v="8905018.3300000001"/>
  </r>
  <r>
    <s v="08-10-2025"/>
    <x v="0"/>
    <s v="129205192540"/>
    <n v="27280.400000000001"/>
    <n v="8932298.7300000004"/>
  </r>
  <r>
    <s v="08-10-2025"/>
    <x v="70"/>
    <s v="128634472533"/>
    <n v="1370.6"/>
    <n v="8933669.3300000001"/>
  </r>
  <r>
    <s v="08-10-2025"/>
    <x v="0"/>
    <s v="129205482260"/>
    <n v="26562.38"/>
    <n v="8960231.7100000009"/>
  </r>
  <r>
    <s v="08-10-2025"/>
    <x v="0"/>
    <s v="129205653322"/>
    <n v="5650.94"/>
    <n v="8965882.6500000004"/>
  </r>
  <r>
    <s v="08-10-2025"/>
    <x v="0"/>
    <s v="128636419289"/>
    <n v="3702.34"/>
    <n v="8969584.9900000002"/>
  </r>
  <r>
    <s v="08-10-2025"/>
    <x v="0"/>
    <s v="128636662801"/>
    <n v="30322.98"/>
    <n v="8999907.9700000007"/>
  </r>
  <r>
    <s v="08-10-2025"/>
    <x v="0"/>
    <s v="128637622361"/>
    <n v="34781.54"/>
    <n v="9034689.5099999998"/>
  </r>
  <r>
    <s v="08-10-2025"/>
    <x v="0"/>
    <s v="129208894410"/>
    <n v="35048.370000000003"/>
    <n v="9069737.8800000008"/>
  </r>
  <r>
    <s v="08-10-2025"/>
    <x v="0"/>
    <s v="128639452327"/>
    <n v="109506.45"/>
    <n v="9179244.3300000001"/>
  </r>
  <r>
    <s v="08-10-2025"/>
    <x v="0"/>
    <s v="128639945425"/>
    <n v="31175.65"/>
    <n v="9210419.9800000004"/>
  </r>
  <r>
    <s v="08-10-2025"/>
    <x v="0"/>
    <s v="128640132077"/>
    <n v="24162.639999999999"/>
    <n v="9234582.6199999992"/>
  </r>
  <r>
    <s v="08-10-2025"/>
    <x v="0"/>
    <s v="129211094160"/>
    <n v="41018.03"/>
    <n v="9275600.6500000004"/>
  </r>
  <r>
    <s v="08-10-2025"/>
    <x v="0"/>
    <s v="128640479035"/>
    <n v="36242.99"/>
    <n v="9311843.6400000006"/>
  </r>
  <r>
    <s v="08-10-2025"/>
    <x v="71"/>
    <s v="129211186642"/>
    <n v="3640.9"/>
    <n v="9315484.5399999991"/>
  </r>
  <r>
    <s v="08-10-2025"/>
    <x v="0"/>
    <s v="129211293332"/>
    <n v="17926.150000000001"/>
    <n v="9333410.6899999995"/>
  </r>
  <r>
    <s v="08-10-2025"/>
    <x v="72"/>
    <s v="129211364496"/>
    <n v="1800.38"/>
    <n v="9335211.0700000003"/>
  </r>
  <r>
    <s v="08-10-2025"/>
    <x v="0"/>
    <s v="129211696806"/>
    <n v="54036.84"/>
    <n v="9389247.9100000001"/>
  </r>
  <r>
    <s v="08-10-2025"/>
    <x v="0"/>
    <s v="128641318431"/>
    <n v="25063.43"/>
    <n v="9414311.3399999999"/>
  </r>
  <r>
    <s v="08-10-2025"/>
    <x v="0"/>
    <s v="129214442224"/>
    <n v="74430.98"/>
    <n v="9488742.3200000003"/>
  </r>
  <r>
    <s v="08-10-2025"/>
    <x v="0"/>
    <s v="128643965667"/>
    <n v="55632.53"/>
    <n v="9544374.8499999996"/>
  </r>
  <r>
    <s v="08-10-2025"/>
    <x v="73"/>
    <s v="129214683158"/>
    <n v="2795.04"/>
    <n v="9547169.8900000006"/>
  </r>
  <r>
    <s v="08-10-2025"/>
    <x v="0"/>
    <s v="129214866634"/>
    <n v="63226.23"/>
    <n v="9610396.1199999992"/>
  </r>
  <r>
    <s v="08-10-2025"/>
    <x v="0"/>
    <s v="128644211883"/>
    <n v="9010.56"/>
    <n v="9619406.6799999997"/>
  </r>
  <r>
    <s v="08-10-2025"/>
    <x v="0"/>
    <s v="128644890325"/>
    <n v="47643.27"/>
    <n v="9667049.9499999993"/>
  </r>
  <r>
    <s v="08-10-2025"/>
    <x v="74"/>
    <s v="129215473972"/>
    <n v="4787.3100000000004"/>
    <n v="9671837.2599999998"/>
  </r>
  <r>
    <s v="08-10-2025"/>
    <x v="0"/>
    <s v="129215579718"/>
    <n v="38968.1"/>
    <n v="9710805.3599999994"/>
  </r>
  <r>
    <s v="08-10-2025"/>
    <x v="75"/>
    <s v="128644903387"/>
    <n v="3915.02"/>
    <n v="9714720.3800000008"/>
  </r>
  <r>
    <s v="09-10-2025"/>
    <x v="0"/>
    <s v="128645459167"/>
    <n v="36825.620000000003"/>
    <n v="9751546"/>
  </r>
  <r>
    <s v="09-10-2025"/>
    <x v="0"/>
    <s v="129217039132"/>
    <n v="7989.26"/>
    <n v="9759535.2599999998"/>
  </r>
  <r>
    <s v="09-10-2025"/>
    <x v="0"/>
    <s v="129217612156"/>
    <n v="8715.84"/>
    <n v="9768251.0999999996"/>
  </r>
  <r>
    <s v="09-10-2025"/>
    <x v="0"/>
    <s v="129217652034"/>
    <n v="40530.879999999997"/>
    <n v="9808781.9800000004"/>
  </r>
  <r>
    <s v="09-10-2025"/>
    <x v="0"/>
    <s v="129217833188"/>
    <n v="61573.81"/>
    <n v="9870355.7899999991"/>
  </r>
  <r>
    <s v="09-10-2025"/>
    <x v="0"/>
    <s v="128647665951"/>
    <n v="18893.060000000001"/>
    <n v="9889248.8499999996"/>
  </r>
  <r>
    <s v="09-10-2025"/>
    <x v="0"/>
    <s v="128648656617"/>
    <n v="8378.98"/>
    <n v="9897627.8300000001"/>
  </r>
  <r>
    <s v="09-10-2025"/>
    <x v="0"/>
    <s v="128649386055"/>
    <n v="30300.73"/>
    <n v="9927928.5600000005"/>
  </r>
  <r>
    <s v="09-10-2025"/>
    <x v="76"/>
    <s v="129255536474"/>
    <n v="-11556.53"/>
    <n v="9916372.0299999993"/>
  </r>
  <r>
    <s v="09-10-2025"/>
    <x v="76"/>
    <s v="128684825641"/>
    <n v="-186039.58"/>
    <n v="9730332.4499999993"/>
  </r>
  <r>
    <s v="09-10-2025"/>
    <x v="76"/>
    <s v="128685024639"/>
    <n v="-95972.4"/>
    <n v="9634360.0500000007"/>
  </r>
  <r>
    <s v="09-10-2025"/>
    <x v="8"/>
    <s v="128685805823"/>
    <n v="-110392.11"/>
    <n v="9523967.9399999995"/>
  </r>
  <r>
    <s v="09-10-2025"/>
    <x v="6"/>
    <s v="128685805823"/>
    <n v="-662.35"/>
    <n v="9523305.5899999999"/>
  </r>
  <r>
    <s v="09-10-2025"/>
    <x v="8"/>
    <s v="129257679194"/>
    <n v="-106901.1"/>
    <n v="9416404.4900000002"/>
  </r>
  <r>
    <s v="09-10-2025"/>
    <x v="6"/>
    <s v="129257679194"/>
    <n v="-641.41"/>
    <n v="9415763.0800000001"/>
  </r>
  <r>
    <s v="09-10-2025"/>
    <x v="8"/>
    <s v="129258131166"/>
    <n v="-197879.97"/>
    <n v="9217883.1099999994"/>
  </r>
  <r>
    <s v="09-10-2025"/>
    <x v="6"/>
    <s v="129258131166"/>
    <n v="-1187.28"/>
    <n v="9216695.8300000001"/>
  </r>
  <r>
    <s v="09-10-2025"/>
    <x v="77"/>
    <s v="128688655297"/>
    <n v="-66184.740000000005"/>
    <n v="9150511.0899999999"/>
  </r>
  <r>
    <s v="09-10-2025"/>
    <x v="78"/>
    <s v="129262467630"/>
    <n v="-857112"/>
    <n v="8293399.0899999999"/>
  </r>
  <r>
    <s v="09-10-2025"/>
    <x v="79"/>
    <s v="129264424592"/>
    <n v="-333798.15000000002"/>
    <n v="7959600.9400000004"/>
  </r>
  <r>
    <s v="09-10-2025"/>
    <x v="80"/>
    <s v="128707476349"/>
    <n v="-378098"/>
    <n v="7581502.9400000004"/>
  </r>
  <r>
    <s v="09-10-2025"/>
    <x v="0"/>
    <s v="128752625367"/>
    <n v="9548.14"/>
    <n v="7591051.0800000001"/>
  </r>
  <r>
    <s v="09-10-2025"/>
    <x v="0"/>
    <s v="129331762974"/>
    <n v="15978.52"/>
    <n v="7607029.5999999996"/>
  </r>
  <r>
    <s v="09-10-2025"/>
    <x v="81"/>
    <s v="129331802456"/>
    <n v="1605.56"/>
    <n v="7608635.1600000001"/>
  </r>
  <r>
    <s v="09-10-2025"/>
    <x v="0"/>
    <s v="129337187158"/>
    <n v="4676.6400000000003"/>
    <n v="7613311.7999999998"/>
  </r>
  <r>
    <s v="09-10-2025"/>
    <x v="0"/>
    <s v="128765691223"/>
    <n v="4384.3500000000004"/>
    <n v="7617696.1500000004"/>
  </r>
  <r>
    <s v="09-10-2025"/>
    <x v="0"/>
    <s v="128769499515"/>
    <n v="10522.44"/>
    <n v="7628218.5899999999"/>
  </r>
  <r>
    <s v="09-10-2025"/>
    <x v="0"/>
    <s v="129342703028"/>
    <n v="35898.6"/>
    <n v="7664117.1900000004"/>
  </r>
  <r>
    <s v="09-10-2025"/>
    <x v="0"/>
    <s v="129342704022"/>
    <n v="10622.43"/>
    <n v="7674739.6200000001"/>
  </r>
  <r>
    <s v="09-10-2025"/>
    <x v="0"/>
    <s v="128771413605"/>
    <n v="28059.84"/>
    <n v="7702799.46"/>
  </r>
  <r>
    <s v="09-10-2025"/>
    <x v="0"/>
    <s v="129342935088"/>
    <n v="4534.5600000000004"/>
    <n v="7707334.0199999996"/>
  </r>
  <r>
    <s v="09-10-2025"/>
    <x v="0"/>
    <s v="128771982633"/>
    <n v="4534.5600000000004"/>
    <n v="7711868.5800000001"/>
  </r>
  <r>
    <s v="09-10-2025"/>
    <x v="0"/>
    <s v="128772013963"/>
    <n v="4676.6400000000003"/>
    <n v="7716545.2199999997"/>
  </r>
  <r>
    <s v="09-10-2025"/>
    <x v="0"/>
    <s v="129343775616"/>
    <n v="3813.18"/>
    <n v="7720358.4000000004"/>
  </r>
  <r>
    <s v="09-10-2025"/>
    <x v="0"/>
    <s v="128774456603"/>
    <n v="4505.28"/>
    <n v="7724863.6799999997"/>
  </r>
  <r>
    <s v="09-10-2025"/>
    <x v="0"/>
    <s v="128774562893"/>
    <n v="4534.5600000000004"/>
    <n v="7729398.2400000002"/>
  </r>
  <r>
    <s v="09-10-2025"/>
    <x v="0"/>
    <s v="128774751883"/>
    <n v="4357.92"/>
    <n v="7733756.1600000001"/>
  </r>
  <r>
    <s v="09-10-2025"/>
    <x v="0"/>
    <s v="128775176401"/>
    <n v="4676.6400000000003"/>
    <n v="7738432.7999999998"/>
  </r>
  <r>
    <s v="09-10-2025"/>
    <x v="0"/>
    <s v="128775151897"/>
    <n v="4676.6400000000003"/>
    <n v="7743109.4400000004"/>
  </r>
  <r>
    <s v="09-10-2025"/>
    <x v="0"/>
    <s v="129347015590"/>
    <n v="27301.83"/>
    <n v="7770411.2699999996"/>
  </r>
  <r>
    <s v="09-10-2025"/>
    <x v="0"/>
    <s v="128775704947"/>
    <n v="53976.22"/>
    <n v="7824387.4900000002"/>
  </r>
  <r>
    <s v="09-10-2025"/>
    <x v="82"/>
    <s v="128775620005"/>
    <n v="2711.83"/>
    <n v="7827099.3200000003"/>
  </r>
  <r>
    <s v="09-10-2025"/>
    <x v="0"/>
    <s v="129347413210"/>
    <n v="3897.2"/>
    <n v="7830996.5199999996"/>
  </r>
  <r>
    <s v="09-10-2025"/>
    <x v="0"/>
    <s v="129348090922"/>
    <n v="4092.06"/>
    <n v="7835088.5800000001"/>
  </r>
  <r>
    <s v="09-10-2025"/>
    <x v="0"/>
    <s v="128776692003"/>
    <n v="4384.3500000000004"/>
    <n v="7839472.9299999997"/>
  </r>
  <r>
    <s v="09-10-2025"/>
    <x v="83"/>
    <s v="128776800907"/>
    <n v="440.55"/>
    <n v="7839913.4800000004"/>
  </r>
  <r>
    <s v="09-10-2025"/>
    <x v="0"/>
    <s v="128777868789"/>
    <n v="2322.48"/>
    <n v="7842235.96"/>
  </r>
  <r>
    <s v="09-10-2025"/>
    <x v="0"/>
    <s v="129349865056"/>
    <n v="5845.8"/>
    <n v="7848081.7599999998"/>
  </r>
  <r>
    <s v="09-10-2025"/>
    <x v="0"/>
    <s v="128778387735"/>
    <n v="5163.79"/>
    <n v="7853245.5499999998"/>
  </r>
  <r>
    <s v="09-10-2025"/>
    <x v="0"/>
    <s v="129351184458"/>
    <n v="16910.13"/>
    <n v="7870155.6799999997"/>
  </r>
  <r>
    <s v="09-10-2025"/>
    <x v="0"/>
    <s v="129351342590"/>
    <n v="4676.6400000000003"/>
    <n v="7874832.3200000003"/>
  </r>
  <r>
    <s v="09-10-2025"/>
    <x v="0"/>
    <s v="129351319166"/>
    <n v="1935.4"/>
    <n v="7876767.7199999997"/>
  </r>
  <r>
    <s v="09-10-2025"/>
    <x v="0"/>
    <s v="129351544106"/>
    <n v="7696.97"/>
    <n v="7884464.6900000004"/>
  </r>
  <r>
    <s v="09-10-2025"/>
    <x v="0"/>
    <s v="128779755299"/>
    <n v="30230.400000000001"/>
    <n v="7914695.0899999999"/>
  </r>
  <r>
    <s v="09-10-2025"/>
    <x v="0"/>
    <s v="128779823515"/>
    <n v="4676.6400000000003"/>
    <n v="7919371.7300000004"/>
  </r>
  <r>
    <s v="09-10-2025"/>
    <x v="0"/>
    <s v="129351615426"/>
    <n v="4676.6400000000003"/>
    <n v="7924048.3700000001"/>
  </r>
  <r>
    <s v="09-10-2025"/>
    <x v="0"/>
    <s v="128780337091"/>
    <n v="3994.76"/>
    <n v="7928043.1299999999"/>
  </r>
  <r>
    <s v="09-10-2025"/>
    <x v="0"/>
    <s v="129352021290"/>
    <n v="4676.6400000000003"/>
    <n v="7932719.7699999996"/>
  </r>
  <r>
    <s v="09-10-2025"/>
    <x v="0"/>
    <s v="129352179438"/>
    <n v="13603.68"/>
    <n v="7946323.4500000002"/>
  </r>
  <r>
    <s v="09-10-2025"/>
    <x v="0"/>
    <s v="128780754643"/>
    <n v="7263.2"/>
    <n v="7953586.6500000004"/>
  </r>
  <r>
    <s v="09-10-2025"/>
    <x v="0"/>
    <s v="128780927843"/>
    <n v="4676.6400000000003"/>
    <n v="7958263.29"/>
  </r>
  <r>
    <s v="09-10-2025"/>
    <x v="0"/>
    <s v="128781427399"/>
    <n v="10814.73"/>
    <n v="7969078.0199999996"/>
  </r>
  <r>
    <s v="09-10-2025"/>
    <x v="0"/>
    <s v="128781810467"/>
    <n v="7014.96"/>
    <n v="7976092.9800000004"/>
  </r>
  <r>
    <s v="09-10-2025"/>
    <x v="0"/>
    <s v="128782418285"/>
    <n v="43453.78"/>
    <n v="8019546.7599999998"/>
  </r>
  <r>
    <s v="09-10-2025"/>
    <x v="0"/>
    <s v="128782524989"/>
    <n v="15491.37"/>
    <n v="8035038.1299999999"/>
  </r>
  <r>
    <s v="09-10-2025"/>
    <x v="0"/>
    <s v="129354374886"/>
    <n v="14029.92"/>
    <n v="8049068.0499999998"/>
  </r>
  <r>
    <s v="09-10-2025"/>
    <x v="84"/>
    <s v="129354544482"/>
    <n v="704.88"/>
    <n v="8049772.9299999997"/>
  </r>
  <r>
    <s v="09-10-2025"/>
    <x v="0"/>
    <s v="128782887399"/>
    <n v="9937.86"/>
    <n v="8059710.79"/>
  </r>
  <r>
    <s v="09-10-2025"/>
    <x v="0"/>
    <s v="128782949597"/>
    <n v="41016.82"/>
    <n v="8100727.6100000003"/>
  </r>
  <r>
    <s v="09-10-2025"/>
    <x v="0"/>
    <s v="129354954934"/>
    <n v="9060.99"/>
    <n v="8109788.5999999996"/>
  </r>
  <r>
    <s v="09-10-2025"/>
    <x v="85"/>
    <s v="129355026808"/>
    <n v="910.47"/>
    <n v="8110699.0700000003"/>
  </r>
  <r>
    <s v="09-10-2025"/>
    <x v="0"/>
    <s v="129354903714"/>
    <n v="31567.32"/>
    <n v="8142266.3899999997"/>
  </r>
  <r>
    <s v="09-10-2025"/>
    <x v="0"/>
    <s v="129355508304"/>
    <n v="14029.92"/>
    <n v="8156296.3099999996"/>
  </r>
  <r>
    <s v="09-10-2025"/>
    <x v="86"/>
    <s v="128783650099"/>
    <n v="1409.76"/>
    <n v="8157706.0700000003"/>
  </r>
  <r>
    <s v="09-10-2025"/>
    <x v="0"/>
    <s v="129355425330"/>
    <n v="9353.2800000000007"/>
    <n v="8167059.3499999996"/>
  </r>
  <r>
    <s v="09-10-2025"/>
    <x v="0"/>
    <s v="128784178315"/>
    <n v="32736.48"/>
    <n v="8199795.8300000001"/>
  </r>
  <r>
    <s v="09-10-2025"/>
    <x v="0"/>
    <s v="128784830517"/>
    <n v="4676.6400000000003"/>
    <n v="8204472.4699999997"/>
  </r>
  <r>
    <s v="09-10-2025"/>
    <x v="0"/>
    <s v="128785545873"/>
    <n v="27767.55"/>
    <n v="8232240.0199999996"/>
  </r>
  <r>
    <s v="09-10-2025"/>
    <x v="0"/>
    <s v="129357668936"/>
    <n v="14321.96"/>
    <n v="8246561.9800000004"/>
  </r>
  <r>
    <s v="10-10-2025"/>
    <x v="0"/>
    <s v="128786337459"/>
    <n v="71797.2"/>
    <n v="8318359.1799999997"/>
  </r>
  <r>
    <s v="10-10-2025"/>
    <x v="0"/>
    <s v="129358276472"/>
    <n v="9353.2800000000007"/>
    <n v="8327712.46"/>
  </r>
  <r>
    <s v="10-10-2025"/>
    <x v="0"/>
    <s v="128786584557"/>
    <n v="4534.5600000000004"/>
    <n v="8332247.0199999996"/>
  </r>
  <r>
    <s v="10-10-2025"/>
    <x v="0"/>
    <s v="128786717157"/>
    <n v="60102.98"/>
    <n v="8392350"/>
  </r>
  <r>
    <s v="10-10-2025"/>
    <x v="0"/>
    <s v="129358860160"/>
    <n v="26500.959999999999"/>
    <n v="8418850.9600000009"/>
  </r>
  <r>
    <s v="10-10-2025"/>
    <x v="0"/>
    <s v="129358822738"/>
    <n v="119207.27"/>
    <n v="8538058.2300000004"/>
  </r>
  <r>
    <s v="10-10-2025"/>
    <x v="0"/>
    <s v="129359324040"/>
    <n v="7794.4"/>
    <n v="8545852.6300000008"/>
  </r>
  <r>
    <s v="10-10-2025"/>
    <x v="0"/>
    <s v="128787883001"/>
    <n v="7014.96"/>
    <n v="8552867.5899999999"/>
  </r>
  <r>
    <s v="10-10-2025"/>
    <x v="0"/>
    <s v="129359661112"/>
    <n v="92558.5"/>
    <n v="8645426.0899999999"/>
  </r>
  <r>
    <s v="10-10-2025"/>
    <x v="0"/>
    <s v="128788061399"/>
    <n v="13603.68"/>
    <n v="8659029.7699999996"/>
  </r>
  <r>
    <s v="10-10-2025"/>
    <x v="0"/>
    <s v="129359893986"/>
    <n v="106393.56"/>
    <n v="8765423.3300000001"/>
  </r>
  <r>
    <s v="10-10-2025"/>
    <x v="0"/>
    <s v="129360081230"/>
    <n v="13250.48"/>
    <n v="8778673.8100000005"/>
  </r>
  <r>
    <s v="10-10-2025"/>
    <x v="0"/>
    <s v="129360210616"/>
    <n v="27572.69"/>
    <n v="8806246.5"/>
  </r>
  <r>
    <s v="10-10-2025"/>
    <x v="0"/>
    <s v="129360246626"/>
    <n v="26451.599999999999"/>
    <n v="8832698.0999999996"/>
  </r>
  <r>
    <s v="10-10-2025"/>
    <x v="0"/>
    <s v="128788563757"/>
    <n v="4534.5600000000004"/>
    <n v="8837232.6600000001"/>
  </r>
  <r>
    <s v="10-10-2025"/>
    <x v="0"/>
    <s v="129360446764"/>
    <n v="9079"/>
    <n v="8846311.6600000001"/>
  </r>
  <r>
    <s v="10-10-2025"/>
    <x v="0"/>
    <s v="128788905379"/>
    <n v="9353.2800000000007"/>
    <n v="8855664.9399999995"/>
  </r>
  <r>
    <s v="10-10-2025"/>
    <x v="87"/>
    <s v="128789062463"/>
    <n v="469.92"/>
    <n v="8856134.8599999994"/>
  </r>
  <r>
    <s v="10-10-2025"/>
    <x v="0"/>
    <s v="128788985481"/>
    <n v="148288.46"/>
    <n v="9004423.3200000003"/>
  </r>
  <r>
    <s v="10-10-2025"/>
    <x v="0"/>
    <s v="129360713754"/>
    <n v="42089.760000000002"/>
    <n v="9046513.0800000001"/>
  </r>
  <r>
    <s v="10-10-2025"/>
    <x v="88"/>
    <s v="129360677968"/>
    <n v="2114.64"/>
    <n v="9048627.7200000007"/>
  </r>
  <r>
    <s v="10-10-2025"/>
    <x v="0"/>
    <s v="128789258661"/>
    <n v="57970.85"/>
    <n v="9106598.5700000003"/>
  </r>
  <r>
    <s v="10-10-2025"/>
    <x v="0"/>
    <s v="128789235121"/>
    <n v="14614.5"/>
    <n v="9121213.0700000003"/>
  </r>
  <r>
    <s v="10-10-2025"/>
    <x v="0"/>
    <s v="128789281509"/>
    <n v="4676.6400000000003"/>
    <n v="9125889.7100000009"/>
  </r>
  <r>
    <s v="10-10-2025"/>
    <x v="89"/>
    <s v="128789297363"/>
    <n v="234.96"/>
    <n v="9126124.6699999999"/>
  </r>
  <r>
    <s v="10-10-2025"/>
    <x v="0"/>
    <s v="128789469169"/>
    <n v="14614.5"/>
    <n v="9140739.1699999999"/>
  </r>
  <r>
    <s v="10-10-2025"/>
    <x v="0"/>
    <s v="128789583003"/>
    <n v="9353.2800000000007"/>
    <n v="9150092.4499999993"/>
  </r>
  <r>
    <s v="10-10-2025"/>
    <x v="0"/>
    <s v="129361253914"/>
    <n v="4676.6400000000003"/>
    <n v="9154769.0899999999"/>
  </r>
  <r>
    <s v="10-10-2025"/>
    <x v="0"/>
    <s v="129361803564"/>
    <n v="5163.79"/>
    <n v="9159932.8800000008"/>
  </r>
  <r>
    <s v="10-10-2025"/>
    <x v="0"/>
    <s v="129361895776"/>
    <n v="11691.6"/>
    <n v="9171624.4800000004"/>
  </r>
  <r>
    <s v="10-10-2025"/>
    <x v="0"/>
    <s v="128790136019"/>
    <n v="37607.980000000003"/>
    <n v="9209232.4600000009"/>
  </r>
  <r>
    <s v="10-10-2025"/>
    <x v="0"/>
    <s v="129362011648"/>
    <n v="14614.5"/>
    <n v="9223846.9600000009"/>
  </r>
  <r>
    <s v="10-10-2025"/>
    <x v="0"/>
    <s v="129362129768"/>
    <n v="80167.570000000007"/>
    <n v="9304014.5299999993"/>
  </r>
  <r>
    <s v="10-10-2025"/>
    <x v="0"/>
    <s v="129362203494"/>
    <n v="88896.27"/>
    <n v="9392910.8000000007"/>
  </r>
  <r>
    <s v="10-10-2025"/>
    <x v="0"/>
    <s v="128790376827"/>
    <n v="7696.97"/>
    <n v="9400607.7699999996"/>
  </r>
  <r>
    <s v="10-10-2025"/>
    <x v="0"/>
    <s v="128790311633"/>
    <n v="15101.65"/>
    <n v="9415709.4199999999"/>
  </r>
  <r>
    <s v="10-10-2025"/>
    <x v="0"/>
    <s v="128790427367"/>
    <n v="3994.63"/>
    <n v="9419704.0500000007"/>
  </r>
  <r>
    <s v="10-10-2025"/>
    <x v="0"/>
    <s v="129362542858"/>
    <n v="4384.3500000000004"/>
    <n v="9424088.4000000004"/>
  </r>
  <r>
    <s v="10-10-2025"/>
    <x v="0"/>
    <s v="128790671665"/>
    <n v="3897.2"/>
    <n v="9427985.5999999996"/>
  </r>
  <r>
    <s v="10-10-2025"/>
    <x v="0"/>
    <s v="128790802443"/>
    <n v="11691.6"/>
    <n v="9439677.1999999993"/>
  </r>
  <r>
    <s v="10-10-2025"/>
    <x v="90"/>
    <s v="128790713267"/>
    <n v="1174.8"/>
    <n v="9440852"/>
  </r>
  <r>
    <s v="10-10-2025"/>
    <x v="0"/>
    <s v="129362629610"/>
    <n v="52612.2"/>
    <n v="9493464.1999999993"/>
  </r>
  <r>
    <s v="10-10-2025"/>
    <x v="0"/>
    <s v="128791038125"/>
    <n v="4161.1099999999997"/>
    <n v="9497625.3100000005"/>
  </r>
  <r>
    <s v="10-10-2025"/>
    <x v="0"/>
    <s v="128790813097"/>
    <n v="4676.6400000000003"/>
    <n v="9502301.9499999993"/>
  </r>
  <r>
    <s v="10-10-2025"/>
    <x v="0"/>
    <s v="129362779056"/>
    <n v="9353.2800000000007"/>
    <n v="9511655.2300000004"/>
  </r>
  <r>
    <s v="10-10-2025"/>
    <x v="0"/>
    <s v="128791039201"/>
    <n v="4723.5"/>
    <n v="9516378.7300000004"/>
  </r>
  <r>
    <s v="10-10-2025"/>
    <x v="0"/>
    <s v="128790975673"/>
    <n v="58458"/>
    <n v="9574836.7300000004"/>
  </r>
  <r>
    <s v="10-10-2025"/>
    <x v="0"/>
    <s v="129362926804"/>
    <n v="49104.72"/>
    <n v="9623941.4499999993"/>
  </r>
  <r>
    <s v="10-10-2025"/>
    <x v="91"/>
    <s v="129363038238"/>
    <n v="2467.08"/>
    <n v="9626408.5299999993"/>
  </r>
  <r>
    <s v="10-10-2025"/>
    <x v="0"/>
    <s v="129363235724"/>
    <n v="12665.9"/>
    <n v="9639074.4299999997"/>
  </r>
  <r>
    <s v="10-10-2025"/>
    <x v="0"/>
    <s v="129363422332"/>
    <n v="8785.7099999999991"/>
    <n v="9647860.1400000006"/>
  </r>
  <r>
    <s v="10-10-2025"/>
    <x v="0"/>
    <s v="129363361660"/>
    <n v="6801.84"/>
    <n v="9654661.9800000004"/>
  </r>
  <r>
    <s v="10-10-2025"/>
    <x v="0"/>
    <s v="128791843481"/>
    <n v="7935.48"/>
    <n v="9662597.4600000009"/>
  </r>
  <r>
    <s v="10-10-2025"/>
    <x v="0"/>
    <s v="128791965351"/>
    <n v="4676.6400000000003"/>
    <n v="9667274.0999999996"/>
  </r>
  <r>
    <s v="10-10-2025"/>
    <x v="0"/>
    <s v="128792088431"/>
    <n v="4676.6400000000003"/>
    <n v="9671950.7400000002"/>
  </r>
  <r>
    <s v="10-10-2025"/>
    <x v="0"/>
    <s v="129363795578"/>
    <n v="19973.150000000001"/>
    <n v="9691923.8900000006"/>
  </r>
  <r>
    <s v="10-10-2025"/>
    <x v="0"/>
    <s v="128792091581"/>
    <n v="8963.56"/>
    <n v="9700887.4499999993"/>
  </r>
  <r>
    <s v="10-10-2025"/>
    <x v="92"/>
    <s v="128792036011"/>
    <n v="450.34"/>
    <n v="9701337.7899999991"/>
  </r>
  <r>
    <s v="10-10-2025"/>
    <x v="0"/>
    <s v="128792133789"/>
    <n v="26829.48"/>
    <n v="9728167.2699999996"/>
  </r>
  <r>
    <s v="10-10-2025"/>
    <x v="0"/>
    <s v="129364048342"/>
    <n v="7014.96"/>
    <n v="9735182.2300000004"/>
  </r>
  <r>
    <s v="10-10-2025"/>
    <x v="0"/>
    <s v="128792488121"/>
    <n v="44428.08"/>
    <n v="9779610.3100000005"/>
  </r>
  <r>
    <s v="10-10-2025"/>
    <x v="93"/>
    <s v="128792386801"/>
    <n v="4464.24"/>
    <n v="9784074.5500000007"/>
  </r>
  <r>
    <s v="10-10-2025"/>
    <x v="0"/>
    <s v="128792450817"/>
    <n v="1889.4"/>
    <n v="9785963.9499999993"/>
  </r>
  <r>
    <s v="10-10-2025"/>
    <x v="0"/>
    <s v="129364171508"/>
    <n v="9069.1200000000008"/>
    <n v="9795033.0700000003"/>
  </r>
  <r>
    <s v="10-10-2025"/>
    <x v="0"/>
    <s v="129364305216"/>
    <n v="1169.1600000000001"/>
    <n v="9796202.2300000004"/>
  </r>
  <r>
    <s v="10-10-2025"/>
    <x v="0"/>
    <s v="128792696797"/>
    <n v="33321.06"/>
    <n v="9829523.2899999991"/>
  </r>
  <r>
    <s v="10-10-2025"/>
    <x v="0"/>
    <s v="129457594142"/>
    <n v="4676.6400000000003"/>
    <n v="9834199.9299999997"/>
  </r>
  <r>
    <s v="10-10-2025"/>
    <x v="0"/>
    <s v="128887204983"/>
    <n v="9158.42"/>
    <n v="9843358.3499999996"/>
  </r>
  <r>
    <s v="10-10-2025"/>
    <x v="0"/>
    <s v="129461153768"/>
    <n v="4676.6400000000003"/>
    <n v="9848034.9900000002"/>
  </r>
  <r>
    <s v="10-10-2025"/>
    <x v="0"/>
    <s v="129462582556"/>
    <n v="8184.12"/>
    <n v="9856219.1099999994"/>
  </r>
  <r>
    <s v="10-10-2025"/>
    <x v="94"/>
    <s v="129462536948"/>
    <n v="411.18"/>
    <n v="9856630.2899999991"/>
  </r>
  <r>
    <s v="10-10-2025"/>
    <x v="0"/>
    <s v="128892698657"/>
    <n v="21044.880000000001"/>
    <n v="9877675.1699999999"/>
  </r>
  <r>
    <s v="10-10-2025"/>
    <x v="0"/>
    <s v="129466450092"/>
    <n v="23423.82"/>
    <n v="9901098.9900000002"/>
  </r>
  <r>
    <s v="10-10-2025"/>
    <x v="24"/>
    <s v="128893710093"/>
    <n v="1262.9100000000001"/>
    <n v="9902361.9000000004"/>
  </r>
  <r>
    <s v="10-10-2025"/>
    <x v="0"/>
    <s v="128896844399"/>
    <n v="11301.88"/>
    <n v="9913663.7799999993"/>
  </r>
  <r>
    <s v="10-10-2025"/>
    <x v="0"/>
    <s v="129470560460"/>
    <n v="72995.16"/>
    <n v="9986658.9399999995"/>
  </r>
  <r>
    <s v="10-10-2025"/>
    <x v="0"/>
    <s v="128897966025"/>
    <n v="9450.7099999999991"/>
    <n v="9996109.6500000004"/>
  </r>
  <r>
    <s v="10-10-2025"/>
    <x v="0"/>
    <s v="129475831332"/>
    <n v="4189.49"/>
    <n v="10000299.140000001"/>
  </r>
  <r>
    <s v="10-10-2025"/>
    <x v="95"/>
    <s v="129475789772"/>
    <n v="210.48"/>
    <n v="10000509.619999999"/>
  </r>
  <r>
    <s v="10-10-2025"/>
    <x v="0"/>
    <s v="129476370902"/>
    <n v="18706.560000000001"/>
    <n v="10019216.18"/>
  </r>
  <r>
    <s v="10-10-2025"/>
    <x v="0"/>
    <s v="128906379869"/>
    <n v="22483.86"/>
    <n v="10041700.039999999"/>
  </r>
  <r>
    <s v="10-10-2025"/>
    <x v="0"/>
    <s v="128907134521"/>
    <n v="9548.14"/>
    <n v="10051248.18"/>
  </r>
  <r>
    <s v="10-10-2025"/>
    <x v="0"/>
    <s v="128907143061"/>
    <n v="49464.22"/>
    <n v="10100712.4"/>
  </r>
  <r>
    <s v="10-10-2025"/>
    <x v="0"/>
    <s v="129481762152"/>
    <n v="13603.68"/>
    <n v="10114316.08"/>
  </r>
  <r>
    <s v="10-10-2025"/>
    <x v="0"/>
    <s v="129483019148"/>
    <n v="60466.14"/>
    <n v="10174782.220000001"/>
  </r>
  <r>
    <s v="10-10-2025"/>
    <x v="0"/>
    <s v="128910094011"/>
    <n v="105770.35"/>
    <n v="10280552.57"/>
  </r>
  <r>
    <s v="10-10-2025"/>
    <x v="0"/>
    <s v="128913553137"/>
    <n v="49662.13"/>
    <n v="10330214.699999999"/>
  </r>
  <r>
    <s v="10-10-2025"/>
    <x v="0"/>
    <s v="128913776569"/>
    <n v="30323.86"/>
    <n v="10360538.560000001"/>
  </r>
  <r>
    <s v="10-10-2025"/>
    <x v="0"/>
    <s v="129486752692"/>
    <n v="19933.169999999998"/>
    <n v="10380471.73"/>
  </r>
  <r>
    <s v="10-10-2025"/>
    <x v="0"/>
    <s v="129486918346"/>
    <n v="4599.1400000000003"/>
    <n v="10385070.869999999"/>
  </r>
  <r>
    <s v="10-10-2025"/>
    <x v="0"/>
    <s v="128915102153"/>
    <n v="24162.639999999999"/>
    <n v="10409233.51"/>
  </r>
  <r>
    <s v="10-10-2025"/>
    <x v="0"/>
    <s v="129487356030"/>
    <n v="47120.01"/>
    <n v="10456353.52"/>
  </r>
  <r>
    <s v="10-10-2025"/>
    <x v="0"/>
    <s v="129487550932"/>
    <n v="8715.84"/>
    <n v="10465069.359999999"/>
  </r>
  <r>
    <s v="10-10-2025"/>
    <x v="0"/>
    <s v="129488848480"/>
    <n v="14322.21"/>
    <n v="10479391.57"/>
  </r>
  <r>
    <s v="10-10-2025"/>
    <x v="0"/>
    <s v="129489074570"/>
    <n v="27872.53"/>
    <n v="10507264.1"/>
  </r>
  <r>
    <s v="10-10-2025"/>
    <x v="0"/>
    <s v="128916581093"/>
    <n v="36146.53"/>
    <n v="10543410.630000001"/>
  </r>
  <r>
    <s v="10-10-2025"/>
    <x v="0"/>
    <s v="129489255208"/>
    <n v="34165.040000000001"/>
    <n v="10577575.67"/>
  </r>
  <r>
    <s v="10-10-2025"/>
    <x v="0"/>
    <s v="128916762757"/>
    <n v="5650.94"/>
    <n v="10583226.609999999"/>
  </r>
  <r>
    <s v="10-10-2025"/>
    <x v="0"/>
    <s v="128917530747"/>
    <n v="48812.43"/>
    <n v="10632039.039999999"/>
  </r>
  <r>
    <s v="10-10-2025"/>
    <x v="0"/>
    <s v="128917593137"/>
    <n v="92512.12"/>
    <n v="10724551.16"/>
  </r>
  <r>
    <s v="10-10-2025"/>
    <x v="0"/>
    <s v="128917687725"/>
    <n v="39361.72"/>
    <n v="10763912.880000001"/>
  </r>
  <r>
    <s v="10-10-2025"/>
    <x v="0"/>
    <s v="129490400868"/>
    <n v="20655.16"/>
    <n v="10784568.039999999"/>
  </r>
  <r>
    <s v="10-10-2025"/>
    <x v="0"/>
    <s v="128919083425"/>
    <n v="30690.45"/>
    <n v="10815258.49"/>
  </r>
  <r>
    <s v="10-10-2025"/>
    <x v="0"/>
    <s v="128919574591"/>
    <n v="43062.65"/>
    <n v="10858321.140000001"/>
  </r>
  <r>
    <s v="10-10-2025"/>
    <x v="0"/>
    <s v="129492088316"/>
    <n v="4676.6400000000003"/>
    <n v="10862997.779999999"/>
  </r>
  <r>
    <s v="10-10-2025"/>
    <x v="0"/>
    <s v="129492181546"/>
    <n v="7794.4"/>
    <n v="10870792.18"/>
  </r>
  <r>
    <s v="10-10-2025"/>
    <x v="0"/>
    <s v="129492203894"/>
    <n v="3897.2"/>
    <n v="10874689.380000001"/>
  </r>
  <r>
    <s v="10-10-2025"/>
    <x v="0"/>
    <s v="129492338552"/>
    <n v="85796.55"/>
    <n v="10960485.93"/>
  </r>
  <r>
    <s v="10-10-2025"/>
    <x v="0"/>
    <s v="129492476708"/>
    <n v="4481.78"/>
    <n v="10964967.710000001"/>
  </r>
  <r>
    <s v="10-10-2025"/>
    <x v="0"/>
    <s v="129492602114"/>
    <n v="13797.42"/>
    <n v="10978765.130000001"/>
  </r>
  <r>
    <s v="10-10-2025"/>
    <x v="0"/>
    <s v="129492654176"/>
    <n v="82523.210000000006"/>
    <n v="11061288.34"/>
  </r>
  <r>
    <s v="10-10-2025"/>
    <x v="0"/>
    <s v="128920484187"/>
    <n v="16757.96"/>
    <n v="11078046.300000001"/>
  </r>
  <r>
    <s v="10-10-2025"/>
    <x v="49"/>
    <s v="128920403673"/>
    <n v="841.94"/>
    <n v="11078888.24"/>
  </r>
  <r>
    <s v="10-10-2025"/>
    <x v="0"/>
    <s v="129493185740"/>
    <n v="12471.04"/>
    <n v="11091359.279999999"/>
  </r>
  <r>
    <s v="10-10-2025"/>
    <x v="0"/>
    <s v="129493359646"/>
    <n v="18803.990000000002"/>
    <n v="11110163.27"/>
  </r>
  <r>
    <s v="11-10-2025"/>
    <x v="0"/>
    <s v="128921310181"/>
    <n v="4448.71"/>
    <n v="11114611.98"/>
  </r>
  <r>
    <s v="11-10-2025"/>
    <x v="0"/>
    <s v="128922302919"/>
    <n v="50079.02"/>
    <n v="11164691"/>
  </r>
  <r>
    <s v="11-10-2025"/>
    <x v="0"/>
    <s v="128922474729"/>
    <n v="65514.28"/>
    <n v="11230205.279999999"/>
  </r>
  <r>
    <s v="11-10-2025"/>
    <x v="0"/>
    <s v="129495024752"/>
    <n v="91584.2"/>
    <n v="11321789.48"/>
  </r>
  <r>
    <s v="11-10-2025"/>
    <x v="0"/>
    <s v="129495145126"/>
    <n v="37315.65"/>
    <n v="11359105.130000001"/>
  </r>
  <r>
    <s v="11-10-2025"/>
    <x v="0"/>
    <s v="128922682971"/>
    <n v="32781.089999999997"/>
    <n v="11391886.220000001"/>
  </r>
  <r>
    <s v="11-10-2025"/>
    <x v="0"/>
    <s v="129495185528"/>
    <n v="8378.98"/>
    <n v="11400265.199999999"/>
  </r>
  <r>
    <s v="11-10-2025"/>
    <x v="0"/>
    <s v="129495380726"/>
    <n v="4092.06"/>
    <n v="11404357.26"/>
  </r>
  <r>
    <s v="11-10-2025"/>
    <x v="0"/>
    <s v="129495617158"/>
    <n v="71123.899999999994"/>
    <n v="11475481.16"/>
  </r>
  <r>
    <s v="11-10-2025"/>
    <x v="0"/>
    <s v="129495780212"/>
    <n v="9743"/>
    <n v="11485224.16"/>
  </r>
  <r>
    <s v="11-10-2025"/>
    <x v="0"/>
    <s v="129495728004"/>
    <n v="30324.87"/>
    <n v="11515549.029999999"/>
  </r>
  <r>
    <s v="11-10-2025"/>
    <x v="96"/>
    <s v="2430883946"/>
    <n v="-30049.69"/>
    <n v="11485499.34"/>
  </r>
  <r>
    <s v="11-10-2025"/>
    <x v="0"/>
    <s v="129495961410"/>
    <n v="4505.28"/>
    <n v="11490004.619999999"/>
  </r>
  <r>
    <s v="11-10-2025"/>
    <x v="0"/>
    <s v="128923606311"/>
    <n v="64835.9"/>
    <n v="11554840.52"/>
  </r>
  <r>
    <s v="11-10-2025"/>
    <x v="0"/>
    <s v="129496190454"/>
    <n v="16796.150000000001"/>
    <n v="11571636.67"/>
  </r>
  <r>
    <s v="11-10-2025"/>
    <x v="0"/>
    <s v="128923725051"/>
    <n v="51930.19"/>
    <n v="11623566.859999999"/>
  </r>
  <r>
    <s v="11-10-2025"/>
    <x v="0"/>
    <s v="129496252230"/>
    <n v="12347.44"/>
    <n v="11635914.300000001"/>
  </r>
  <r>
    <s v="11-10-2025"/>
    <x v="97"/>
    <s v="129496220702"/>
    <n v="1997.16"/>
    <n v="11637911.460000001"/>
  </r>
  <r>
    <s v="11-10-2025"/>
    <x v="0"/>
    <s v="128923886243"/>
    <n v="41115.46"/>
    <n v="11679026.92"/>
  </r>
  <r>
    <s v="11-10-2025"/>
    <x v="0"/>
    <s v="128923983439"/>
    <n v="48713.34"/>
    <n v="11727740.26"/>
  </r>
  <r>
    <s v="11-10-2025"/>
    <x v="0"/>
    <s v="128924146425"/>
    <n v="10327.58"/>
    <n v="11738067.84"/>
  </r>
  <r>
    <s v="11-10-2025"/>
    <x v="0"/>
    <s v="128924489675"/>
    <n v="8635.1200000000008"/>
    <n v="11746702.960000001"/>
  </r>
  <r>
    <s v="11-10-2025"/>
    <x v="0"/>
    <s v="128924615147"/>
    <n v="9840.43"/>
    <n v="11756543.390000001"/>
  </r>
  <r>
    <s v="11-10-2025"/>
    <x v="0"/>
    <s v="128924745117"/>
    <n v="12665.9"/>
    <n v="11769209.289999999"/>
  </r>
  <r>
    <s v="11-10-2025"/>
    <x v="0"/>
    <s v="128925028115"/>
    <n v="10327.58"/>
    <n v="11779536.869999999"/>
  </r>
  <r>
    <s v="11-10-2025"/>
    <x v="0"/>
    <s v="128925124795"/>
    <n v="4676.6400000000003"/>
    <n v="11784213.51"/>
  </r>
  <r>
    <s v="11-10-2025"/>
    <x v="0"/>
    <s v="129497682076"/>
    <n v="18121.98"/>
    <n v="11802335.49"/>
  </r>
  <r>
    <s v="11-10-2025"/>
    <x v="0"/>
    <s v="129497757396"/>
    <n v="41602.61"/>
    <n v="11843938.1"/>
  </r>
  <r>
    <s v="11-10-2025"/>
    <x v="0"/>
    <s v="128925323397"/>
    <n v="76354.39"/>
    <n v="11920292.49"/>
  </r>
  <r>
    <s v="11-10-2025"/>
    <x v="0"/>
    <s v="128925850887"/>
    <n v="64498.66"/>
    <n v="11984791.15"/>
  </r>
  <r>
    <s v="11-10-2025"/>
    <x v="98"/>
    <s v="129498298984"/>
    <n v="6480.98"/>
    <n v="11991272.130000001"/>
  </r>
  <r>
    <s v="11-10-2025"/>
    <x v="0"/>
    <s v="129498257936"/>
    <n v="9158.42"/>
    <n v="12000430.550000001"/>
  </r>
  <r>
    <s v="11-10-2025"/>
    <x v="0"/>
    <s v="128926011103"/>
    <n v="4676.6400000000003"/>
    <n v="12005107.189999999"/>
  </r>
  <r>
    <s v="11-10-2025"/>
    <x v="0"/>
    <s v="129498617424"/>
    <n v="37802.839999999997"/>
    <n v="12042910.029999999"/>
  </r>
  <r>
    <s v="11-10-2025"/>
    <x v="0"/>
    <s v="129498761266"/>
    <n v="17927.12"/>
    <n v="12060837.15"/>
  </r>
  <r>
    <s v="11-10-2025"/>
    <x v="0"/>
    <s v="129499008366"/>
    <n v="4092.06"/>
    <n v="12064929.210000001"/>
  </r>
  <r>
    <s v="11-10-2025"/>
    <x v="99"/>
    <s v="128926303123"/>
    <n v="205.59"/>
    <n v="12065134.800000001"/>
  </r>
  <r>
    <s v="11-10-2025"/>
    <x v="0"/>
    <s v="129498994698"/>
    <n v="80960.789999999994"/>
    <n v="12146095.59"/>
  </r>
  <r>
    <s v="11-10-2025"/>
    <x v="0"/>
    <s v="129499208348"/>
    <n v="8822.84"/>
    <n v="12154918.43"/>
  </r>
  <r>
    <s v="11-10-2025"/>
    <x v="0"/>
    <s v="129499227386"/>
    <n v="42382.05"/>
    <n v="12197300.48"/>
  </r>
  <r>
    <s v="11-10-2025"/>
    <x v="0"/>
    <s v="129499287010"/>
    <n v="9743"/>
    <n v="12207043.48"/>
  </r>
  <r>
    <s v="11-10-2025"/>
    <x v="100"/>
    <s v="128926832933"/>
    <n v="979"/>
    <n v="12208022.48"/>
  </r>
  <r>
    <s v="11-10-2025"/>
    <x v="0"/>
    <s v="129499309216"/>
    <n v="8768.7000000000007"/>
    <n v="12216791.18"/>
  </r>
  <r>
    <s v="11-10-2025"/>
    <x v="0"/>
    <s v="128927187489"/>
    <n v="163390.10999999999"/>
    <n v="12380181.289999999"/>
  </r>
  <r>
    <s v="11-10-2025"/>
    <x v="0"/>
    <s v="128927240081"/>
    <n v="7599.54"/>
    <n v="12387780.83"/>
  </r>
  <r>
    <s v="11-10-2025"/>
    <x v="0"/>
    <s v="128927347565"/>
    <n v="14614.5"/>
    <n v="12402395.33"/>
  </r>
  <r>
    <s v="11-10-2025"/>
    <x v="0"/>
    <s v="129500372322"/>
    <n v="27280.400000000001"/>
    <n v="12429675.73"/>
  </r>
  <r>
    <s v="11-10-2025"/>
    <x v="0"/>
    <s v="129500491858"/>
    <n v="73657.08"/>
    <n v="12503332.810000001"/>
  </r>
  <r>
    <s v="11-10-2025"/>
    <x v="0"/>
    <s v="128928139243"/>
    <n v="64985.81"/>
    <n v="12568318.619999999"/>
  </r>
  <r>
    <s v="11-10-2025"/>
    <x v="0"/>
    <s v="128928251957"/>
    <n v="30203.3"/>
    <n v="12598521.92"/>
  </r>
  <r>
    <s v="11-10-2025"/>
    <x v="0"/>
    <s v="129500767252"/>
    <n v="23239.62"/>
    <n v="12621761.539999999"/>
  </r>
  <r>
    <s v="11-10-2025"/>
    <x v="0"/>
    <s v="128928488341"/>
    <n v="13618.5"/>
    <n v="12635380.039999999"/>
  </r>
  <r>
    <s v="11-10-2025"/>
    <x v="0"/>
    <s v="129500923562"/>
    <n v="10327.58"/>
    <n v="12645707.619999999"/>
  </r>
  <r>
    <s v="11-10-2025"/>
    <x v="0"/>
    <s v="129500992922"/>
    <n v="14029.92"/>
    <n v="12659737.539999999"/>
  </r>
  <r>
    <s v="11-10-2025"/>
    <x v="0"/>
    <s v="129501096404"/>
    <n v="22019.18"/>
    <n v="12681756.720000001"/>
  </r>
  <r>
    <s v="11-10-2025"/>
    <x v="0"/>
    <s v="128928561231"/>
    <n v="52417.34"/>
    <n v="12734174.060000001"/>
  </r>
  <r>
    <s v="11-10-2025"/>
    <x v="0"/>
    <s v="129586128048"/>
    <n v="11301.88"/>
    <n v="12745475.939999999"/>
  </r>
  <r>
    <s v="11-10-2025"/>
    <x v="0"/>
    <s v="129017128399"/>
    <n v="9353.2800000000007"/>
    <n v="12754829.220000001"/>
  </r>
  <r>
    <s v="11-10-2025"/>
    <x v="0"/>
    <s v="129018427613"/>
    <n v="9163.59"/>
    <n v="12763992.810000001"/>
  </r>
  <r>
    <s v="11-10-2025"/>
    <x v="0"/>
    <s v="129592679060"/>
    <n v="4676.6400000000003"/>
    <n v="12768669.449999999"/>
  </r>
  <r>
    <s v="11-10-2025"/>
    <x v="0"/>
    <s v="129593690834"/>
    <n v="8806.6299999999992"/>
    <n v="12777476.08"/>
  </r>
  <r>
    <s v="11-10-2025"/>
    <x v="0"/>
    <s v="129594827970"/>
    <n v="21142.31"/>
    <n v="12798618.390000001"/>
  </r>
  <r>
    <s v="11-10-2025"/>
    <x v="0"/>
    <s v="129022677169"/>
    <n v="18706.560000000001"/>
    <n v="12817324.949999999"/>
  </r>
  <r>
    <s v="11-10-2025"/>
    <x v="0"/>
    <s v="129023931579"/>
    <n v="9258.06"/>
    <n v="12826583.01"/>
  </r>
  <r>
    <s v="11-10-2025"/>
    <x v="0"/>
    <s v="129596975966"/>
    <n v="36182.01"/>
    <n v="12862765.02"/>
  </r>
  <r>
    <s v="11-10-2025"/>
    <x v="0"/>
    <s v="129024231633"/>
    <n v="5573.73"/>
    <n v="12868338.75"/>
  </r>
  <r>
    <s v="11-10-2025"/>
    <x v="0"/>
    <s v="129024994181"/>
    <n v="28871.22"/>
    <n v="12897209.970000001"/>
  </r>
  <r>
    <s v="11-10-2025"/>
    <x v="0"/>
    <s v="129598052900"/>
    <n v="27146.21"/>
    <n v="12924356.18"/>
  </r>
  <r>
    <s v="11-10-2025"/>
    <x v="0"/>
    <s v="129025880623"/>
    <n v="7557.6"/>
    <n v="12931913.779999999"/>
  </r>
  <r>
    <s v="11-10-2025"/>
    <x v="0"/>
    <s v="129025992691"/>
    <n v="73949.37"/>
    <n v="13005863.15"/>
  </r>
  <r>
    <s v="11-10-2025"/>
    <x v="0"/>
    <s v="129599378422"/>
    <n v="73539.899999999994"/>
    <n v="13079403.050000001"/>
  </r>
  <r>
    <s v="11-10-2025"/>
    <x v="101"/>
    <s v="129599239718"/>
    <n v="11894.85"/>
    <n v="13091297.9"/>
  </r>
  <r>
    <s v="11-10-2025"/>
    <x v="0"/>
    <s v="129599307758"/>
    <n v="33321.06"/>
    <n v="13124618.960000001"/>
  </r>
  <r>
    <s v="11-10-2025"/>
    <x v="102"/>
    <s v="129026510653"/>
    <n v="1674.09"/>
    <n v="13126293.050000001"/>
  </r>
  <r>
    <s v="11-10-2025"/>
    <x v="0"/>
    <s v="129026897081"/>
    <n v="21239.74"/>
    <n v="13147532.789999999"/>
  </r>
  <r>
    <s v="11-10-2025"/>
    <x v="0"/>
    <s v="129027124435"/>
    <n v="13792.62"/>
    <n v="13161325.41"/>
  </r>
  <r>
    <s v="11-10-2025"/>
    <x v="0"/>
    <s v="129601578702"/>
    <n v="9353.2800000000007"/>
    <n v="13170678.689999999"/>
  </r>
  <r>
    <s v="11-10-2025"/>
    <x v="0"/>
    <s v="129028884505"/>
    <n v="9069.1200000000008"/>
    <n v="13179747.810000001"/>
  </r>
  <r>
    <s v="11-10-2025"/>
    <x v="0"/>
    <s v="129029037517"/>
    <n v="20168.009999999998"/>
    <n v="13199915.82"/>
  </r>
  <r>
    <s v="11-10-2025"/>
    <x v="0"/>
    <s v="129602058662"/>
    <n v="12081.32"/>
    <n v="13211997.140000001"/>
  </r>
  <r>
    <s v="11-10-2025"/>
    <x v="0"/>
    <s v="129029166013"/>
    <n v="9353.2800000000007"/>
    <n v="13221350.42"/>
  </r>
  <r>
    <s v="11-10-2025"/>
    <x v="103"/>
    <s v="129602059464"/>
    <n v="469.92"/>
    <n v="13221820.34"/>
  </r>
  <r>
    <s v="11-10-2025"/>
    <x v="0"/>
    <s v="129603583714"/>
    <n v="24104.74"/>
    <n v="13245925.08"/>
  </r>
  <r>
    <s v="11-10-2025"/>
    <x v="104"/>
    <s v="129603670366"/>
    <n v="1299.1300000000001"/>
    <n v="13247224.210000001"/>
  </r>
  <r>
    <s v="11-10-2025"/>
    <x v="0"/>
    <s v="129030713857"/>
    <n v="24065.21"/>
    <n v="13271289.42"/>
  </r>
  <r>
    <s v="11-10-2025"/>
    <x v="105"/>
    <s v="129030721859"/>
    <n v="1209.06"/>
    <n v="13272498.48"/>
  </r>
  <r>
    <s v="11-10-2025"/>
    <x v="0"/>
    <s v="129031186867"/>
    <n v="55548.36"/>
    <n v="13328046.84"/>
  </r>
  <r>
    <s v="11-10-2025"/>
    <x v="0"/>
    <s v="129031118031"/>
    <n v="18901.419999999998"/>
    <n v="13346948.26"/>
  </r>
  <r>
    <s v="11-10-2025"/>
    <x v="0"/>
    <s v="129031727651"/>
    <n v="13036.86"/>
    <n v="13359985.119999999"/>
  </r>
  <r>
    <s v="11-10-2025"/>
    <x v="0"/>
    <s v="129606428966"/>
    <n v="102301.5"/>
    <n v="13462286.619999999"/>
  </r>
  <r>
    <s v="11-10-2025"/>
    <x v="106"/>
    <s v="129033517789"/>
    <n v="5139.75"/>
    <n v="13467426.369999999"/>
  </r>
  <r>
    <s v="11-10-2025"/>
    <x v="0"/>
    <s v="129034163043"/>
    <n v="32119.8"/>
    <n v="13499546.17"/>
  </r>
  <r>
    <s v="11-10-2025"/>
    <x v="0"/>
    <s v="129034274459"/>
    <n v="59822.02"/>
    <n v="13559368.189999999"/>
  </r>
  <r>
    <s v="11-10-2025"/>
    <x v="107"/>
    <s v="129607130142"/>
    <n v="9016.59"/>
    <n v="13568384.779999999"/>
  </r>
  <r>
    <s v="11-10-2025"/>
    <x v="0"/>
    <s v="129607232380"/>
    <n v="7989.26"/>
    <n v="13576374.039999999"/>
  </r>
  <r>
    <s v="11-10-2025"/>
    <x v="0"/>
    <s v="129607601758"/>
    <n v="11999.48"/>
    <n v="13588373.52"/>
  </r>
  <r>
    <s v="11-10-2025"/>
    <x v="0"/>
    <s v="129608485214"/>
    <n v="67547.759999999995"/>
    <n v="13655921.279999999"/>
  </r>
  <r>
    <s v="11-10-2025"/>
    <x v="0"/>
    <s v="129608565554"/>
    <n v="4774.07"/>
    <n v="13660695.35"/>
  </r>
  <r>
    <s v="11-10-2025"/>
    <x v="0"/>
    <s v="129035729183"/>
    <n v="9548.14"/>
    <n v="13670243.49"/>
  </r>
  <r>
    <s v="11-10-2025"/>
    <x v="0"/>
    <s v="129036090355"/>
    <n v="4871.5"/>
    <n v="13675114.99"/>
  </r>
  <r>
    <s v="11-10-2025"/>
    <x v="108"/>
    <s v="129608793634"/>
    <n v="244.75"/>
    <n v="13675359.74"/>
  </r>
  <r>
    <s v="11-10-2025"/>
    <x v="0"/>
    <s v="129609138584"/>
    <n v="33905.64"/>
    <n v="13709265.380000001"/>
  </r>
  <r>
    <s v="11-10-2025"/>
    <x v="109"/>
    <s v="129609093236"/>
    <n v="3406.92"/>
    <n v="13712672.300000001"/>
  </r>
  <r>
    <s v="11-10-2025"/>
    <x v="0"/>
    <s v="129036637851"/>
    <n v="9743"/>
    <n v="13722415.300000001"/>
  </r>
  <r>
    <s v="11-10-2025"/>
    <x v="0"/>
    <s v="129609804684"/>
    <n v="9069.1200000000008"/>
    <n v="13731484.42"/>
  </r>
  <r>
    <s v="11-10-2025"/>
    <x v="0"/>
    <s v="129610020300"/>
    <n v="58360.57"/>
    <n v="13789844.99"/>
  </r>
  <r>
    <s v="11-10-2025"/>
    <x v="0"/>
    <s v="129610390102"/>
    <n v="38972"/>
    <n v="13828816.99"/>
  </r>
  <r>
    <s v="11-10-2025"/>
    <x v="0"/>
    <s v="129610361428"/>
    <n v="70002.27"/>
    <n v="13898819.26"/>
  </r>
  <r>
    <s v="11-10-2025"/>
    <x v="0"/>
    <s v="129038067875"/>
    <n v="8171.1"/>
    <n v="13906990.359999999"/>
  </r>
  <r>
    <s v="11-10-2025"/>
    <x v="0"/>
    <s v="129038255279"/>
    <n v="12967.18"/>
    <n v="13919957.539999999"/>
  </r>
  <r>
    <s v="11-10-2025"/>
    <x v="0"/>
    <s v="129611198742"/>
    <n v="20850.02"/>
    <n v="13940807.560000001"/>
  </r>
  <r>
    <s v="11-10-2025"/>
    <x v="110"/>
    <s v="129611119996"/>
    <n v="2095.06"/>
    <n v="13942902.619999999"/>
  </r>
  <r>
    <s v="11-10-2025"/>
    <x v="0"/>
    <s v="129611514822"/>
    <n v="34587.65"/>
    <n v="13977490.27"/>
  </r>
  <r>
    <s v="11-10-2025"/>
    <x v="0"/>
    <s v="129611461620"/>
    <n v="14224.78"/>
    <n v="13991715.050000001"/>
  </r>
  <r>
    <s v="11-10-2025"/>
    <x v="0"/>
    <s v="129611760024"/>
    <n v="4676.6400000000003"/>
    <n v="13996391.689999999"/>
  </r>
  <r>
    <s v="11-10-2025"/>
    <x v="0"/>
    <s v="129039009389"/>
    <n v="4092.06"/>
    <n v="14000483.75"/>
  </r>
  <r>
    <s v="11-10-2025"/>
    <x v="0"/>
    <s v="129612039128"/>
    <n v="4676.6400000000003"/>
    <n v="14005160.390000001"/>
  </r>
  <r>
    <s v="11-10-2025"/>
    <x v="0"/>
    <s v="129039190217"/>
    <n v="4481.78"/>
    <n v="14009642.17"/>
  </r>
  <r>
    <s v="11-10-2025"/>
    <x v="0"/>
    <s v="129039242257"/>
    <n v="64011.51"/>
    <n v="14073653.68"/>
  </r>
  <r>
    <s v="11-10-2025"/>
    <x v="0"/>
    <s v="129612215634"/>
    <n v="9353.2800000000007"/>
    <n v="14083006.960000001"/>
  </r>
  <r>
    <s v="11-10-2025"/>
    <x v="0"/>
    <s v="129613344728"/>
    <n v="12470.04"/>
    <n v="14095477"/>
  </r>
  <r>
    <s v="11-10-2025"/>
    <x v="0"/>
    <s v="129040565267"/>
    <n v="68298.429999999993"/>
    <n v="14163775.43"/>
  </r>
  <r>
    <s v="11-10-2025"/>
    <x v="0"/>
    <s v="129040694001"/>
    <n v="8447.4"/>
    <n v="14172222.83"/>
  </r>
  <r>
    <s v="11-10-2025"/>
    <x v="0"/>
    <s v="129613766564"/>
    <n v="4505.28"/>
    <n v="14176728.109999999"/>
  </r>
  <r>
    <s v="11-10-2025"/>
    <x v="0"/>
    <s v="129040868883"/>
    <n v="37315.65"/>
    <n v="14214043.76"/>
  </r>
  <r>
    <s v="11-10-2025"/>
    <x v="0"/>
    <s v="129613900400"/>
    <n v="9730.41"/>
    <n v="14223774.17"/>
  </r>
  <r>
    <s v="11-10-2025"/>
    <x v="0"/>
    <s v="129613950886"/>
    <n v="16815.66"/>
    <n v="14240589.83"/>
  </r>
  <r>
    <s v="12-10-2025"/>
    <x v="0"/>
    <s v="129041040795"/>
    <n v="100645.19"/>
    <n v="14341235.02"/>
  </r>
  <r>
    <s v="12-10-2025"/>
    <x v="0"/>
    <s v="129041177509"/>
    <n v="35709.660000000003"/>
    <n v="14376944.68"/>
  </r>
  <r>
    <s v="12-10-2025"/>
    <x v="0"/>
    <s v="129041338131"/>
    <n v="46766.400000000001"/>
    <n v="14423711.08"/>
  </r>
  <r>
    <s v="12-10-2025"/>
    <x v="111"/>
    <s v="129041249333"/>
    <n v="4699.2"/>
    <n v="14428410.279999999"/>
  </r>
  <r>
    <s v="12-10-2025"/>
    <x v="0"/>
    <s v="129041378905"/>
    <n v="34292.61"/>
    <n v="14462702.890000001"/>
  </r>
  <r>
    <s v="12-10-2025"/>
    <x v="0"/>
    <s v="129041401037"/>
    <n v="8671.27"/>
    <n v="14471374.16"/>
  </r>
  <r>
    <s v="12-10-2025"/>
    <x v="0"/>
    <s v="129614386934"/>
    <n v="44677.36"/>
    <n v="14516051.52"/>
  </r>
  <r>
    <s v="12-10-2025"/>
    <x v="0"/>
    <s v="129614525496"/>
    <n v="45792.1"/>
    <n v="14561843.619999999"/>
  </r>
  <r>
    <s v="12-10-2025"/>
    <x v="112"/>
    <s v="129041627863"/>
    <n v="4601.3"/>
    <n v="14566444.92"/>
  </r>
  <r>
    <s v="12-10-2025"/>
    <x v="0"/>
    <s v="129614515948"/>
    <n v="9353.2800000000007"/>
    <n v="14575798.199999999"/>
  </r>
  <r>
    <s v="12-10-2025"/>
    <x v="0"/>
    <s v="129041884973"/>
    <n v="14127.35"/>
    <n v="14589925.550000001"/>
  </r>
  <r>
    <s v="12-10-2025"/>
    <x v="0"/>
    <s v="129042046381"/>
    <n v="32054.47"/>
    <n v="14621980.02"/>
  </r>
  <r>
    <s v="12-10-2025"/>
    <x v="113"/>
    <s v="129042018715"/>
    <n v="3220.91"/>
    <n v="14625200.93"/>
  </r>
  <r>
    <s v="12-10-2025"/>
    <x v="0"/>
    <s v="129042140311"/>
    <n v="29326.43"/>
    <n v="14654527.359999999"/>
  </r>
  <r>
    <s v="12-10-2025"/>
    <x v="0"/>
    <s v="129614959172"/>
    <n v="12373.61"/>
    <n v="14666900.970000001"/>
  </r>
  <r>
    <s v="12-10-2025"/>
    <x v="0"/>
    <s v="129615274552"/>
    <n v="10035.290000000001"/>
    <n v="14676936.26"/>
  </r>
  <r>
    <s v="12-10-2025"/>
    <x v="0"/>
    <s v="129615263844"/>
    <n v="12665.9"/>
    <n v="14689602.16"/>
  </r>
  <r>
    <s v="12-10-2025"/>
    <x v="0"/>
    <s v="129042467745"/>
    <n v="23967.78"/>
    <n v="14713569.939999999"/>
  </r>
  <r>
    <s v="12-10-2025"/>
    <x v="0"/>
    <s v="129043240467"/>
    <n v="9548.14"/>
    <n v="14723118.08"/>
  </r>
  <r>
    <s v="12-10-2025"/>
    <x v="0"/>
    <s v="129043316565"/>
    <n v="8963.56"/>
    <n v="14732081.640000001"/>
  </r>
  <r>
    <s v="12-10-2025"/>
    <x v="0"/>
    <s v="129043313181"/>
    <n v="49299.58"/>
    <n v="14781381.220000001"/>
  </r>
  <r>
    <s v="12-10-2025"/>
    <x v="0"/>
    <s v="129043545109"/>
    <n v="8184.12"/>
    <n v="14789565.34"/>
  </r>
  <r>
    <s v="12-10-2025"/>
    <x v="114"/>
    <s v="129616337706"/>
    <n v="411.18"/>
    <n v="14789976.52"/>
  </r>
  <r>
    <s v="12-10-2025"/>
    <x v="0"/>
    <s v="129043666455"/>
    <n v="8071.96"/>
    <n v="14798048.48"/>
  </r>
  <r>
    <s v="12-10-2025"/>
    <x v="0"/>
    <s v="129043708273"/>
    <n v="86817.93"/>
    <n v="14884866.41"/>
  </r>
  <r>
    <s v="12-10-2025"/>
    <x v="0"/>
    <s v="129043974077"/>
    <n v="25136.94"/>
    <n v="14910003.35"/>
  </r>
  <r>
    <s v="12-10-2025"/>
    <x v="115"/>
    <s v="129044011245"/>
    <n v="1262.9100000000001"/>
    <n v="14911266.26"/>
  </r>
  <r>
    <s v="12-10-2025"/>
    <x v="0"/>
    <s v="129044065429"/>
    <n v="44684.31"/>
    <n v="14955950.57"/>
  </r>
  <r>
    <s v="12-10-2025"/>
    <x v="0"/>
    <s v="129617259534"/>
    <n v="10327.58"/>
    <n v="14966278.15"/>
  </r>
  <r>
    <s v="12-10-2025"/>
    <x v="0"/>
    <s v="129044322707"/>
    <n v="75292.59"/>
    <n v="15041570.74"/>
  </r>
  <r>
    <s v="12-10-2025"/>
    <x v="0"/>
    <s v="129044360883"/>
    <n v="36828.54"/>
    <n v="15078399.279999999"/>
  </r>
  <r>
    <s v="12-10-2025"/>
    <x v="83"/>
    <s v="129044329247"/>
    <n v="3700.62"/>
    <n v="15082099.9"/>
  </r>
  <r>
    <s v="12-10-2025"/>
    <x v="0"/>
    <s v="129044603083"/>
    <n v="16432.990000000002"/>
    <n v="15098532.890000001"/>
  </r>
  <r>
    <s v="12-10-2025"/>
    <x v="0"/>
    <s v="129045120785"/>
    <n v="126288.89"/>
    <n v="15224821.779999999"/>
  </r>
  <r>
    <s v="12-10-2025"/>
    <x v="0"/>
    <s v="129045122761"/>
    <n v="13835.06"/>
    <n v="15238656.84"/>
  </r>
  <r>
    <s v="12-10-2025"/>
    <x v="0"/>
    <s v="129617996694"/>
    <n v="7508.8"/>
    <n v="15246165.640000001"/>
  </r>
  <r>
    <s v="12-10-2025"/>
    <x v="0"/>
    <s v="129045288133"/>
    <n v="9353.2800000000007"/>
    <n v="15255518.92"/>
  </r>
  <r>
    <s v="12-10-2025"/>
    <x v="0"/>
    <s v="129045319317"/>
    <n v="26890.68"/>
    <n v="15282409.6"/>
  </r>
  <r>
    <s v="12-10-2025"/>
    <x v="0"/>
    <s v="129045423297"/>
    <n v="14224.78"/>
    <n v="15296634.380000001"/>
  </r>
  <r>
    <s v="12-10-2025"/>
    <x v="0"/>
    <s v="129618551002"/>
    <n v="109316.46"/>
    <n v="15405950.84"/>
  </r>
  <r>
    <s v="12-10-2025"/>
    <x v="116"/>
    <s v="129045547407"/>
    <n v="5492.19"/>
    <n v="15411443.029999999"/>
  </r>
  <r>
    <s v="12-10-2025"/>
    <x v="0"/>
    <s v="129618619096"/>
    <n v="9069.1200000000008"/>
    <n v="15420512.15"/>
  </r>
  <r>
    <s v="12-10-2025"/>
    <x v="0"/>
    <s v="129045868221"/>
    <n v="4534.5600000000004"/>
    <n v="15425046.710000001"/>
  </r>
  <r>
    <s v="12-10-2025"/>
    <x v="0"/>
    <s v="129046696415"/>
    <n v="9353.2800000000007"/>
    <n v="15434399.99"/>
  </r>
  <r>
    <s v="12-10-2025"/>
    <x v="0"/>
    <s v="129046863069"/>
    <n v="9548.14"/>
    <n v="15443948.130000001"/>
  </r>
  <r>
    <s v="12-10-2025"/>
    <x v="0"/>
    <s v="129047014463"/>
    <n v="22798.62"/>
    <n v="15466746.75"/>
  </r>
  <r>
    <s v="12-10-2025"/>
    <x v="0"/>
    <s v="129620006666"/>
    <n v="3897.2"/>
    <n v="15470643.949999999"/>
  </r>
  <r>
    <s v="12-10-2025"/>
    <x v="0"/>
    <s v="129046984055"/>
    <n v="3754.4"/>
    <n v="15474398.35"/>
  </r>
  <r>
    <s v="12-10-2025"/>
    <x v="0"/>
    <s v="129047335457"/>
    <n v="17760.36"/>
    <n v="15492158.710000001"/>
  </r>
  <r>
    <s v="12-10-2025"/>
    <x v="0"/>
    <s v="129047936471"/>
    <n v="9743"/>
    <n v="15501901.710000001"/>
  </r>
  <r>
    <s v="12-10-2025"/>
    <x v="117"/>
    <s v="129620763756"/>
    <n v="489.5"/>
    <n v="15502391.210000001"/>
  </r>
  <r>
    <s v="12-10-2025"/>
    <x v="0"/>
    <s v="129620916788"/>
    <n v="9255.85"/>
    <n v="15511647.060000001"/>
  </r>
  <r>
    <s v="12-10-2025"/>
    <x v="0"/>
    <s v="129621107146"/>
    <n v="3897.2"/>
    <n v="15515544.26"/>
  </r>
  <r>
    <s v="12-10-2025"/>
    <x v="0"/>
    <s v="129621143792"/>
    <n v="10035.290000000001"/>
    <n v="15525579.550000001"/>
  </r>
  <r>
    <s v="12-10-2025"/>
    <x v="0"/>
    <s v="129621179894"/>
    <n v="12860.76"/>
    <n v="15538440.310000001"/>
  </r>
  <r>
    <s v="12-10-2025"/>
    <x v="0"/>
    <s v="129048368871"/>
    <n v="15199.08"/>
    <n v="15553639.390000001"/>
  </r>
  <r>
    <s v="12-10-2025"/>
    <x v="0"/>
    <s v="129048444225"/>
    <n v="10257.620000000001"/>
    <n v="15563897.01"/>
  </r>
  <r>
    <s v="12-10-2025"/>
    <x v="0"/>
    <s v="129621259702"/>
    <n v="9158.42"/>
    <n v="15573055.43"/>
  </r>
  <r>
    <s v="12-10-2025"/>
    <x v="0"/>
    <s v="129621293638"/>
    <n v="9258.06"/>
    <n v="15582313.49"/>
  </r>
  <r>
    <s v="12-10-2025"/>
    <x v="0"/>
    <s v="129621414226"/>
    <n v="27864.98"/>
    <n v="15610178.470000001"/>
  </r>
  <r>
    <s v="12-10-2025"/>
    <x v="0"/>
    <s v="129621426704"/>
    <n v="54853.09"/>
    <n v="15665031.560000001"/>
  </r>
  <r>
    <s v="12-10-2025"/>
    <x v="0"/>
    <s v="129048678585"/>
    <n v="191868.57"/>
    <n v="15856900.130000001"/>
  </r>
  <r>
    <s v="12-10-2025"/>
    <x v="0"/>
    <s v="129621447690"/>
    <n v="39582.93"/>
    <n v="15896483.060000001"/>
  </r>
  <r>
    <s v="12-10-2025"/>
    <x v="0"/>
    <s v="129686309290"/>
    <n v="4774.07"/>
    <n v="15901257.130000001"/>
  </r>
  <r>
    <s v="12-10-2025"/>
    <x v="0"/>
    <s v="129117110511"/>
    <n v="12568.47"/>
    <n v="15913825.6"/>
  </r>
  <r>
    <s v="12-10-2025"/>
    <x v="0"/>
    <s v="129117741955"/>
    <n v="18129.28"/>
    <n v="15931954.880000001"/>
  </r>
  <r>
    <s v="12-10-2025"/>
    <x v="0"/>
    <s v="129694991650"/>
    <n v="15115.2"/>
    <n v="15947070.08"/>
  </r>
  <r>
    <s v="12-10-2025"/>
    <x v="0"/>
    <s v="129696609972"/>
    <n v="26695.82"/>
    <n v="15973765.9"/>
  </r>
  <r>
    <s v="12-10-2025"/>
    <x v="0"/>
    <s v="129698242386"/>
    <n v="46006.89"/>
    <n v="16019772.789999999"/>
  </r>
  <r>
    <s v="12-10-2025"/>
    <x v="0"/>
    <s v="129700170344"/>
    <n v="61290.58"/>
    <n v="16081063.369999999"/>
  </r>
  <r>
    <s v="12-10-2025"/>
    <x v="0"/>
    <s v="129127283837"/>
    <n v="34772.57"/>
    <n v="16115835.939999999"/>
  </r>
  <r>
    <s v="12-10-2025"/>
    <x v="0"/>
    <s v="129127816699"/>
    <n v="11886.46"/>
    <n v="16127722.4"/>
  </r>
  <r>
    <s v="12-10-2025"/>
    <x v="0"/>
    <s v="129131320825"/>
    <n v="39946.300000000003"/>
    <n v="16167668.699999999"/>
  </r>
  <r>
    <s v="12-10-2025"/>
    <x v="118"/>
    <s v="129131291041"/>
    <n v="6020.85"/>
    <n v="16173689.550000001"/>
  </r>
  <r>
    <s v="12-10-2025"/>
    <x v="0"/>
    <s v="129131301899"/>
    <n v="28059.84"/>
    <n v="16201749.390000001"/>
  </r>
  <r>
    <s v="12-10-2025"/>
    <x v="119"/>
    <s v="129704501978"/>
    <n v="2819.52"/>
    <n v="16204568.91"/>
  </r>
  <r>
    <s v="12-10-2025"/>
    <x v="0"/>
    <s v="129131482843"/>
    <n v="24552.36"/>
    <n v="16229121.27"/>
  </r>
  <r>
    <s v="12-10-2025"/>
    <x v="0"/>
    <s v="129131696927"/>
    <n v="17176.38"/>
    <n v="16246297.65"/>
  </r>
  <r>
    <s v="12-10-2025"/>
    <x v="0"/>
    <s v="129705455082"/>
    <n v="75605.679999999993"/>
    <n v="16321903.33"/>
  </r>
  <r>
    <s v="12-10-2025"/>
    <x v="0"/>
    <s v="129705486752"/>
    <n v="79210.59"/>
    <n v="16401113.92"/>
  </r>
  <r>
    <s v="12-10-2025"/>
    <x v="0"/>
    <s v="129705584190"/>
    <n v="9730.41"/>
    <n v="16410844.33"/>
  </r>
  <r>
    <s v="12-10-2025"/>
    <x v="0"/>
    <s v="129132489041"/>
    <n v="14029.92"/>
    <n v="16424874.25"/>
  </r>
  <r>
    <s v="12-10-2025"/>
    <x v="0"/>
    <s v="129705741726"/>
    <n v="35464.519999999997"/>
    <n v="16460338.77"/>
  </r>
  <r>
    <s v="12-10-2025"/>
    <x v="0"/>
    <s v="129705904234"/>
    <n v="4871.5"/>
    <n v="16465210.27"/>
  </r>
  <r>
    <s v="12-10-2025"/>
    <x v="120"/>
    <s v="129132696737"/>
    <n v="244.75"/>
    <n v="16465455.02"/>
  </r>
  <r>
    <s v="13-10-2025"/>
    <x v="0"/>
    <s v="129707362676"/>
    <n v="86907.56"/>
    <n v="16552362.58"/>
  </r>
  <r>
    <s v="13-10-2025"/>
    <x v="0"/>
    <s v="129709148788"/>
    <n v="18121.98"/>
    <n v="16570484.560000001"/>
  </r>
  <r>
    <s v="13-10-2025"/>
    <x v="121"/>
    <s v="129709073862"/>
    <n v="910.47"/>
    <n v="16571395.029999999"/>
  </r>
  <r>
    <s v="13-10-2025"/>
    <x v="0"/>
    <s v="129710895224"/>
    <n v="14614.5"/>
    <n v="16586009.529999999"/>
  </r>
  <r>
    <s v="13-10-2025"/>
    <x v="0"/>
    <s v="129710939716"/>
    <n v="38972"/>
    <n v="16624981.529999999"/>
  </r>
  <r>
    <s v="13-10-2025"/>
    <x v="56"/>
    <s v="129739120808"/>
    <n v="-1247158.32"/>
    <n v="15377823.210000001"/>
  </r>
  <r>
    <s v="13-10-2025"/>
    <x v="79"/>
    <s v="129170702311"/>
    <n v="-583286.38"/>
    <n v="14794536.83"/>
  </r>
  <r>
    <s v="13-10-2025"/>
    <x v="122"/>
    <s v="129188524455"/>
    <n v="-510619.83"/>
    <n v="14283917"/>
  </r>
  <r>
    <s v="13-10-2025"/>
    <x v="6"/>
    <s v="129188524455"/>
    <n v="-3063.72"/>
    <n v="14280853.279999999"/>
  </r>
  <r>
    <s v="14-10-2025"/>
    <x v="7"/>
    <s v="129327674841"/>
    <n v="-51378.43"/>
    <n v="14229474.85"/>
  </r>
  <r>
    <s v="15-10-2025"/>
    <x v="5"/>
    <s v="130014131238"/>
    <n v="-275025.13"/>
    <n v="13954449.720000001"/>
  </r>
  <r>
    <s v="15-10-2025"/>
    <x v="6"/>
    <s v="130014131238"/>
    <n v="-1650.15"/>
    <n v="13952799.57"/>
  </r>
  <r>
    <s v="15-10-2025"/>
    <x v="65"/>
    <s v="129462587231"/>
    <n v="-234885.71"/>
    <n v="13717913.859999999"/>
  </r>
  <r>
    <s v="15-10-2025"/>
    <x v="6"/>
    <s v="129462587231"/>
    <n v="-1409.31"/>
    <n v="13716504.550000001"/>
  </r>
  <r>
    <s v="15-10-2025"/>
    <x v="0"/>
    <s v="129500898477"/>
    <n v="9258.06"/>
    <n v="13725762.609999999"/>
  </r>
  <r>
    <s v="15-10-2025"/>
    <x v="0"/>
    <s v="129509437895"/>
    <n v="4774.07"/>
    <n v="13730536.68"/>
  </r>
  <r>
    <s v="15-10-2025"/>
    <x v="0"/>
    <s v="130086288874"/>
    <n v="37413.120000000003"/>
    <n v="13767949.800000001"/>
  </r>
  <r>
    <s v="15-10-2025"/>
    <x v="0"/>
    <s v="130091108900"/>
    <n v="4534.5600000000004"/>
    <n v="13772484.359999999"/>
  </r>
  <r>
    <s v="15-10-2025"/>
    <x v="0"/>
    <s v="129516329095"/>
    <n v="9353.2800000000007"/>
    <n v="13781837.640000001"/>
  </r>
  <r>
    <s v="15-10-2025"/>
    <x v="0"/>
    <s v="129518900805"/>
    <n v="9353.2800000000007"/>
    <n v="13791190.92"/>
  </r>
  <r>
    <s v="15-10-2025"/>
    <x v="0"/>
    <s v="129520478821"/>
    <n v="9353.2800000000007"/>
    <n v="13800544.199999999"/>
  </r>
  <r>
    <s v="15-10-2025"/>
    <x v="0"/>
    <s v="130098735448"/>
    <n v="19270.939999999999"/>
    <n v="13819815.140000001"/>
  </r>
  <r>
    <s v="15-10-2025"/>
    <x v="0"/>
    <s v="129524072583"/>
    <n v="11690.63"/>
    <n v="13831505.77"/>
  </r>
  <r>
    <s v="15-10-2025"/>
    <x v="0"/>
    <s v="129524869951"/>
    <n v="46762.5"/>
    <n v="13878268.27"/>
  </r>
  <r>
    <s v="15-10-2025"/>
    <x v="123"/>
    <s v="129524992737"/>
    <n v="2348.62"/>
    <n v="13880616.890000001"/>
  </r>
  <r>
    <s v="15-10-2025"/>
    <x v="0"/>
    <s v="130101335936"/>
    <n v="20609.330000000002"/>
    <n v="13901226.220000001"/>
  </r>
  <r>
    <s v="15-10-2025"/>
    <x v="0"/>
    <s v="130101623544"/>
    <n v="27690.95"/>
    <n v="13928917.17"/>
  </r>
  <r>
    <s v="15-10-2025"/>
    <x v="0"/>
    <s v="129527828423"/>
    <n v="41611.1"/>
    <n v="13970528.27"/>
  </r>
  <r>
    <s v="15-10-2025"/>
    <x v="0"/>
    <s v="130104043986"/>
    <n v="15115.2"/>
    <n v="13985643.470000001"/>
  </r>
  <r>
    <s v="15-10-2025"/>
    <x v="0"/>
    <s v="129528484869"/>
    <n v="26013.81"/>
    <n v="14011657.279999999"/>
  </r>
  <r>
    <s v="15-10-2025"/>
    <x v="0"/>
    <s v="130104586288"/>
    <n v="65567.47"/>
    <n v="14077224.75"/>
  </r>
  <r>
    <s v="15-10-2025"/>
    <x v="124"/>
    <s v="129528646145"/>
    <n v="3293.36"/>
    <n v="14080518.109999999"/>
  </r>
  <r>
    <s v="15-10-2025"/>
    <x v="0"/>
    <s v="130104527794"/>
    <n v="26987.14"/>
    <n v="14107505.25"/>
  </r>
  <r>
    <s v="15-10-2025"/>
    <x v="125"/>
    <s v="130104581222"/>
    <n v="2710.85"/>
    <n v="14110216.1"/>
  </r>
  <r>
    <s v="16-10-2025"/>
    <x v="0"/>
    <s v="130106124388"/>
    <n v="18516.12"/>
    <n v="14128732.220000001"/>
  </r>
  <r>
    <s v="16-10-2025"/>
    <x v="0"/>
    <s v="130106306538"/>
    <n v="23381.25"/>
    <n v="14152113.470000001"/>
  </r>
  <r>
    <s v="16-10-2025"/>
    <x v="0"/>
    <s v="130106413210"/>
    <n v="23381.25"/>
    <n v="14175494.720000001"/>
  </r>
  <r>
    <s v="16-10-2025"/>
    <x v="126"/>
    <s v="129530476693"/>
    <n v="1173.82"/>
    <n v="14176668.539999999"/>
  </r>
  <r>
    <s v="16-10-2025"/>
    <x v="0"/>
    <s v="130106746606"/>
    <n v="47253.55"/>
    <n v="14223922.09"/>
  </r>
  <r>
    <s v="16-10-2025"/>
    <x v="0"/>
    <s v="129530844735"/>
    <n v="57775.99"/>
    <n v="14281698.08"/>
  </r>
  <r>
    <s v="16-10-2025"/>
    <x v="127"/>
    <s v="129530882263"/>
    <n v="8708.2000000000007"/>
    <n v="14290406.279999999"/>
  </r>
  <r>
    <s v="16-10-2025"/>
    <x v="61"/>
    <s v="129567351075"/>
    <n v="-21729.59"/>
    <n v="14268676.689999999"/>
  </r>
  <r>
    <s v="16-10-2025"/>
    <x v="77"/>
    <s v="130144971598"/>
    <n v="-219966.93"/>
    <n v="14048709.76"/>
  </r>
  <r>
    <s v="16-10-2025"/>
    <x v="8"/>
    <s v="129568085939"/>
    <n v="-86388.25"/>
    <n v="13962321.51"/>
  </r>
  <r>
    <s v="16-10-2025"/>
    <x v="6"/>
    <s v="129568085939"/>
    <n v="-518.33000000000004"/>
    <n v="13961803.18"/>
  </r>
  <r>
    <s v="16-10-2025"/>
    <x v="8"/>
    <s v="130145198838"/>
    <n v="-213412.66"/>
    <n v="13748390.52"/>
  </r>
  <r>
    <s v="16-10-2025"/>
    <x v="6"/>
    <s v="130145198838"/>
    <n v="-1280.48"/>
    <n v="13747110.039999999"/>
  </r>
  <r>
    <s v="16-10-2025"/>
    <x v="8"/>
    <s v="130144715934"/>
    <n v="-161109"/>
    <n v="13586001.039999999"/>
  </r>
  <r>
    <s v="16-10-2025"/>
    <x v="6"/>
    <s v="130144715934"/>
    <n v="-966.65"/>
    <n v="13585034.390000001"/>
  </r>
  <r>
    <s v="16-10-2025"/>
    <x v="78"/>
    <s v="130169079748"/>
    <n v="-1428520"/>
    <n v="12156514.390000001"/>
  </r>
  <r>
    <s v="16-10-2025"/>
    <x v="78"/>
    <s v="130169143516"/>
    <n v="-985880"/>
    <n v="11170634.390000001"/>
  </r>
  <r>
    <s v="16-10-2025"/>
    <x v="7"/>
    <s v="130176556044"/>
    <n v="-165601.68"/>
    <n v="11005032.710000001"/>
  </r>
  <r>
    <s v="16-10-2025"/>
    <x v="7"/>
    <s v="129600289573"/>
    <n v="-82800.84"/>
    <n v="10922231.869999999"/>
  </r>
  <r>
    <s v="16-10-2025"/>
    <x v="7"/>
    <s v="130177050648"/>
    <n v="-367900.24"/>
    <n v="10554331.630000001"/>
  </r>
  <r>
    <s v="16-10-2025"/>
    <x v="128"/>
    <s v="130176737204"/>
    <n v="-199666.29"/>
    <n v="10354665.34"/>
  </r>
  <r>
    <s v="16-10-2025"/>
    <x v="6"/>
    <s v="130176737204"/>
    <n v="-1198"/>
    <n v="10353467.34"/>
  </r>
  <r>
    <s v="16-10-2025"/>
    <x v="129"/>
    <s v="129600289573"/>
    <n v="82800.84"/>
    <n v="10436268.18"/>
  </r>
  <r>
    <s v="16-10-2025"/>
    <x v="129"/>
    <s v="130176556044"/>
    <n v="165601.68"/>
    <n v="10601869.859999999"/>
  </r>
  <r>
    <s v="16-10-2025"/>
    <x v="76"/>
    <s v="130184307466"/>
    <n v="-348035.76"/>
    <n v="10253834.1"/>
  </r>
  <r>
    <s v="16-10-2025"/>
    <x v="76"/>
    <s v="130186041276"/>
    <n v="-153621.23000000001"/>
    <n v="10100212.869999999"/>
  </r>
  <r>
    <s v="16-10-2025"/>
    <x v="0"/>
    <s v="129646290259"/>
    <n v="8184.12"/>
    <n v="10108396.99"/>
  </r>
  <r>
    <s v="16-10-2025"/>
    <x v="0"/>
    <s v="129648915079"/>
    <n v="13640.2"/>
    <n v="10122037.189999999"/>
  </r>
  <r>
    <s v="16-10-2025"/>
    <x v="0"/>
    <s v="129649848031"/>
    <n v="4676.6400000000003"/>
    <n v="10126713.83"/>
  </r>
  <r>
    <s v="16-10-2025"/>
    <x v="0"/>
    <s v="129650617159"/>
    <n v="6518.43"/>
    <n v="10133232.26"/>
  </r>
  <r>
    <s v="16-10-2025"/>
    <x v="0"/>
    <s v="129650775843"/>
    <n v="6518.43"/>
    <n v="10139750.689999999"/>
  </r>
  <r>
    <s v="16-10-2025"/>
    <x v="0"/>
    <s v="129651219591"/>
    <n v="5748.37"/>
    <n v="10145499.060000001"/>
  </r>
  <r>
    <s v="16-10-2025"/>
    <x v="0"/>
    <s v="129653680393"/>
    <n v="4286.92"/>
    <n v="10149785.98"/>
  </r>
  <r>
    <s v="16-10-2025"/>
    <x v="0"/>
    <s v="130231645538"/>
    <n v="4676.6400000000003"/>
    <n v="10154462.619999999"/>
  </r>
  <r>
    <s v="16-10-2025"/>
    <x v="0"/>
    <s v="129655379537"/>
    <n v="14029.92"/>
    <n v="10168492.539999999"/>
  </r>
  <r>
    <s v="16-10-2025"/>
    <x v="0"/>
    <s v="129656006133"/>
    <n v="4676.6400000000003"/>
    <n v="10173169.18"/>
  </r>
  <r>
    <s v="16-10-2025"/>
    <x v="0"/>
    <s v="130233045784"/>
    <n v="4357.92"/>
    <n v="10177527.1"/>
  </r>
  <r>
    <s v="16-10-2025"/>
    <x v="0"/>
    <s v="129656171055"/>
    <n v="27475.26"/>
    <n v="10205002.359999999"/>
  </r>
  <r>
    <s v="16-10-2025"/>
    <x v="0"/>
    <s v="129656635025"/>
    <n v="14029.92"/>
    <n v="10219032.279999999"/>
  </r>
  <r>
    <s v="16-10-2025"/>
    <x v="0"/>
    <s v="130235052390"/>
    <n v="9353.2800000000007"/>
    <n v="10228385.560000001"/>
  </r>
  <r>
    <s v="16-10-2025"/>
    <x v="0"/>
    <s v="130235241138"/>
    <n v="17829.689999999999"/>
    <n v="10246215.25"/>
  </r>
  <r>
    <s v="16-10-2025"/>
    <x v="130"/>
    <s v="130235248998"/>
    <n v="895.78"/>
    <n v="10247111.029999999"/>
  </r>
  <r>
    <s v="16-10-2025"/>
    <x v="0"/>
    <s v="129658725887"/>
    <n v="8184.12"/>
    <n v="10255295.15"/>
  </r>
  <r>
    <s v="16-10-2025"/>
    <x v="0"/>
    <s v="129658736007"/>
    <n v="25234.37"/>
    <n v="10280529.52"/>
  </r>
  <r>
    <s v="16-10-2025"/>
    <x v="0"/>
    <s v="129658824099"/>
    <n v="4676.6400000000003"/>
    <n v="10285206.16"/>
  </r>
  <r>
    <s v="16-10-2025"/>
    <x v="131"/>
    <s v="130235811274"/>
    <n v="469.92"/>
    <n v="10285676.08"/>
  </r>
  <r>
    <s v="16-10-2025"/>
    <x v="0"/>
    <s v="129658992507"/>
    <n v="20752.59"/>
    <n v="10306428.67"/>
  </r>
  <r>
    <s v="16-10-2025"/>
    <x v="0"/>
    <s v="130236213438"/>
    <n v="12665.9"/>
    <n v="10319094.57"/>
  </r>
  <r>
    <s v="16-10-2025"/>
    <x v="0"/>
    <s v="130236432300"/>
    <n v="16519.36"/>
    <n v="10335613.93"/>
  </r>
  <r>
    <s v="16-10-2025"/>
    <x v="0"/>
    <s v="130236527594"/>
    <n v="8768.7000000000007"/>
    <n v="10344382.630000001"/>
  </r>
  <r>
    <s v="16-10-2025"/>
    <x v="0"/>
    <s v="129659852815"/>
    <n v="4676.6400000000003"/>
    <n v="10349059.27"/>
  </r>
  <r>
    <s v="16-10-2025"/>
    <x v="0"/>
    <s v="130237082714"/>
    <n v="13225.8"/>
    <n v="10362285.07"/>
  </r>
  <r>
    <s v="16-10-2025"/>
    <x v="0"/>
    <s v="130237347830"/>
    <n v="35426.25"/>
    <n v="10397711.32"/>
  </r>
  <r>
    <s v="16-10-2025"/>
    <x v="0"/>
    <s v="130237685842"/>
    <n v="9353.2800000000007"/>
    <n v="10407064.6"/>
  </r>
  <r>
    <s v="16-10-2025"/>
    <x v="0"/>
    <s v="130238444232"/>
    <n v="5358.65"/>
    <n v="10412423.25"/>
  </r>
  <r>
    <s v="16-10-2025"/>
    <x v="0"/>
    <s v="129661557617"/>
    <n v="13153.05"/>
    <n v="10425576.300000001"/>
  </r>
  <r>
    <s v="16-10-2025"/>
    <x v="0"/>
    <s v="129661707693"/>
    <n v="9353.2800000000007"/>
    <n v="10434929.58"/>
  </r>
  <r>
    <s v="16-10-2025"/>
    <x v="0"/>
    <s v="129661865619"/>
    <n v="8963.56"/>
    <n v="10443893.140000001"/>
  </r>
  <r>
    <s v="16-10-2025"/>
    <x v="0"/>
    <s v="130238857554"/>
    <n v="4627.92"/>
    <n v="10448521.060000001"/>
  </r>
  <r>
    <s v="16-10-2025"/>
    <x v="0"/>
    <s v="130238877698"/>
    <n v="8963.56"/>
    <n v="10457484.619999999"/>
  </r>
  <r>
    <s v="16-10-2025"/>
    <x v="0"/>
    <s v="129662268807"/>
    <n v="8184.12"/>
    <n v="10465668.74"/>
  </r>
  <r>
    <s v="16-10-2025"/>
    <x v="0"/>
    <s v="130239526198"/>
    <n v="4676.6400000000003"/>
    <n v="10470345.380000001"/>
  </r>
  <r>
    <s v="16-10-2025"/>
    <x v="0"/>
    <s v="130239601260"/>
    <n v="7794.4"/>
    <n v="10478139.779999999"/>
  </r>
  <r>
    <s v="16-10-2025"/>
    <x v="0"/>
    <s v="129662993211"/>
    <n v="8259.68"/>
    <n v="10486399.460000001"/>
  </r>
  <r>
    <s v="16-10-2025"/>
    <x v="0"/>
    <s v="129663216957"/>
    <n v="15491.37"/>
    <n v="10501890.83"/>
  </r>
  <r>
    <s v="16-10-2025"/>
    <x v="0"/>
    <s v="129663343489"/>
    <n v="11691.6"/>
    <n v="10513582.43"/>
  </r>
  <r>
    <s v="16-10-2025"/>
    <x v="0"/>
    <s v="130240464046"/>
    <n v="20752.59"/>
    <n v="10534335.02"/>
  </r>
  <r>
    <s v="16-10-2025"/>
    <x v="0"/>
    <s v="129663918113"/>
    <n v="14711.93"/>
    <n v="10549046.949999999"/>
  </r>
  <r>
    <s v="16-10-2025"/>
    <x v="132"/>
    <s v="129663813559"/>
    <n v="739.14"/>
    <n v="10549786.09"/>
  </r>
  <r>
    <s v="16-10-2025"/>
    <x v="0"/>
    <s v="129663962379"/>
    <n v="117013.43"/>
    <n v="10666799.52"/>
  </r>
  <r>
    <s v="16-10-2025"/>
    <x v="133"/>
    <s v="130240793762"/>
    <n v="5878.89"/>
    <n v="10672678.41"/>
  </r>
  <r>
    <s v="16-10-2025"/>
    <x v="0"/>
    <s v="130240900046"/>
    <n v="18706.560000000001"/>
    <n v="10691384.970000001"/>
  </r>
  <r>
    <s v="16-10-2025"/>
    <x v="0"/>
    <s v="129664222459"/>
    <n v="95792.58"/>
    <n v="10787177.550000001"/>
  </r>
  <r>
    <s v="16-10-2025"/>
    <x v="0"/>
    <s v="130241438654"/>
    <n v="4092.06"/>
    <n v="10791269.609999999"/>
  </r>
  <r>
    <s v="16-10-2025"/>
    <x v="0"/>
    <s v="130241731324"/>
    <n v="11886.46"/>
    <n v="10803156.07"/>
  </r>
  <r>
    <s v="16-10-2025"/>
    <x v="0"/>
    <s v="129664922167"/>
    <n v="39848.870000000003"/>
    <n v="10843004.939999999"/>
  </r>
  <r>
    <s v="17-10-2025"/>
    <x v="0"/>
    <s v="129665013047"/>
    <n v="17431.68"/>
    <n v="10860436.619999999"/>
  </r>
  <r>
    <s v="17-10-2025"/>
    <x v="0"/>
    <s v="130242353180"/>
    <n v="19837.849999999999"/>
    <n v="10880274.470000001"/>
  </r>
  <r>
    <s v="17-10-2025"/>
    <x v="0"/>
    <s v="129665646917"/>
    <n v="3897.2"/>
    <n v="10884171.67"/>
  </r>
  <r>
    <s v="17-10-2025"/>
    <x v="0"/>
    <s v="129665679145"/>
    <n v="6423.96"/>
    <n v="10890595.630000001"/>
  </r>
  <r>
    <s v="17-10-2025"/>
    <x v="0"/>
    <s v="130242682206"/>
    <n v="47156.12"/>
    <n v="10937751.75"/>
  </r>
  <r>
    <s v="17-10-2025"/>
    <x v="134"/>
    <s v="129665744315"/>
    <n v="2369.1799999999998"/>
    <n v="10940120.93"/>
  </r>
  <r>
    <s v="17-10-2025"/>
    <x v="0"/>
    <s v="129665788341"/>
    <n v="13445.34"/>
    <n v="10953566.27"/>
  </r>
  <r>
    <s v="17-10-2025"/>
    <x v="0"/>
    <s v="130242872800"/>
    <n v="13250.48"/>
    <n v="10966816.75"/>
  </r>
  <r>
    <s v="17-10-2025"/>
    <x v="0"/>
    <s v="130243088256"/>
    <n v="4156.68"/>
    <n v="10970973.43"/>
  </r>
  <r>
    <s v="17-10-2025"/>
    <x v="0"/>
    <s v="130243178826"/>
    <n v="20168.009999999998"/>
    <n v="10991141.439999999"/>
  </r>
  <r>
    <s v="17-10-2025"/>
    <x v="0"/>
    <s v="130243259208"/>
    <n v="21434.6"/>
    <n v="11012576.039999999"/>
  </r>
  <r>
    <s v="17-10-2025"/>
    <x v="0"/>
    <s v="130243432840"/>
    <n v="10717.3"/>
    <n v="11023293.34"/>
  </r>
  <r>
    <s v="17-10-2025"/>
    <x v="0"/>
    <s v="130243580586"/>
    <n v="28741.85"/>
    <n v="11052035.189999999"/>
  </r>
  <r>
    <s v="17-10-2025"/>
    <x v="0"/>
    <s v="129666703035"/>
    <n v="10327.58"/>
    <n v="11062362.77"/>
  </r>
  <r>
    <s v="17-10-2025"/>
    <x v="0"/>
    <s v="129666911033"/>
    <n v="78041.429999999993"/>
    <n v="11140404.199999999"/>
  </r>
  <r>
    <s v="17-10-2025"/>
    <x v="0"/>
    <s v="129667056931"/>
    <n v="5845.8"/>
    <n v="11146250"/>
  </r>
  <r>
    <s v="17-10-2025"/>
    <x v="0"/>
    <s v="129667302525"/>
    <n v="8573.84"/>
    <n v="11154823.84"/>
  </r>
  <r>
    <s v="17-10-2025"/>
    <x v="0"/>
    <s v="130244117942"/>
    <n v="19429.02"/>
    <n v="11174252.859999999"/>
  </r>
  <r>
    <s v="17-10-2025"/>
    <x v="0"/>
    <s v="129667297475"/>
    <n v="7508.8"/>
    <n v="11181761.66"/>
  </r>
  <r>
    <s v="17-10-2025"/>
    <x v="0"/>
    <s v="130244627434"/>
    <n v="4251.1499999999996"/>
    <n v="11186012.810000001"/>
  </r>
  <r>
    <s v="17-10-2025"/>
    <x v="0"/>
    <s v="129667759013"/>
    <n v="19147.439999999999"/>
    <n v="11205160.25"/>
  </r>
  <r>
    <s v="17-10-2025"/>
    <x v="0"/>
    <s v="130245490130"/>
    <n v="4035.98"/>
    <n v="11209196.23"/>
  </r>
  <r>
    <s v="17-10-2025"/>
    <x v="0"/>
    <s v="130245537370"/>
    <n v="8447.4"/>
    <n v="11217643.630000001"/>
  </r>
  <r>
    <s v="17-10-2025"/>
    <x v="0"/>
    <s v="129668822791"/>
    <n v="7794.4"/>
    <n v="11225438.029999999"/>
  </r>
  <r>
    <s v="17-10-2025"/>
    <x v="0"/>
    <s v="130245840846"/>
    <n v="79795.17"/>
    <n v="11305233.199999999"/>
  </r>
  <r>
    <s v="17-10-2025"/>
    <x v="0"/>
    <s v="129668875591"/>
    <n v="12081.32"/>
    <n v="11317314.52"/>
  </r>
  <r>
    <s v="17-10-2025"/>
    <x v="0"/>
    <s v="129669344853"/>
    <n v="7794.4"/>
    <n v="11325108.92"/>
  </r>
  <r>
    <s v="17-10-2025"/>
    <x v="0"/>
    <s v="129669379157"/>
    <n v="11399.31"/>
    <n v="11336508.23"/>
  </r>
  <r>
    <s v="17-10-2025"/>
    <x v="0"/>
    <s v="130246425270"/>
    <n v="9353.2800000000007"/>
    <n v="11345861.51"/>
  </r>
  <r>
    <s v="17-10-2025"/>
    <x v="0"/>
    <s v="130246469118"/>
    <n v="24656.67"/>
    <n v="11370518.18"/>
  </r>
  <r>
    <s v="17-10-2025"/>
    <x v="0"/>
    <s v="129669964271"/>
    <n v="12081.32"/>
    <n v="11382599.5"/>
  </r>
  <r>
    <s v="17-10-2025"/>
    <x v="16"/>
    <s v="129669964271"/>
    <n v="-12081.32"/>
    <n v="11370518.18"/>
  </r>
  <r>
    <s v="17-10-2025"/>
    <x v="0"/>
    <s v="129669927047"/>
    <n v="8184.12"/>
    <n v="11378702.300000001"/>
  </r>
  <r>
    <s v="17-10-2025"/>
    <x v="0"/>
    <s v="130247086718"/>
    <n v="4676.6400000000003"/>
    <n v="11383378.939999999"/>
  </r>
  <r>
    <s v="17-10-2025"/>
    <x v="0"/>
    <s v="130247030066"/>
    <n v="13542.77"/>
    <n v="11396921.710000001"/>
  </r>
  <r>
    <s v="17-10-2025"/>
    <x v="0"/>
    <s v="130247117566"/>
    <n v="21434.6"/>
    <n v="11418356.310000001"/>
  </r>
  <r>
    <s v="17-10-2025"/>
    <x v="0"/>
    <s v="129670229407"/>
    <n v="13835.06"/>
    <n v="11432191.369999999"/>
  </r>
  <r>
    <s v="17-10-2025"/>
    <x v="0"/>
    <s v="130247304740"/>
    <n v="30505.439999999999"/>
    <n v="11462696.810000001"/>
  </r>
  <r>
    <s v="17-10-2025"/>
    <x v="0"/>
    <s v="130247329100"/>
    <n v="10324.6"/>
    <n v="11473021.41"/>
  </r>
  <r>
    <s v="17-10-2025"/>
    <x v="0"/>
    <s v="130247568172"/>
    <n v="3942.12"/>
    <n v="11476963.529999999"/>
  </r>
  <r>
    <s v="17-10-2025"/>
    <x v="0"/>
    <s v="129670391921"/>
    <n v="9450.7099999999991"/>
    <n v="11486414.24"/>
  </r>
  <r>
    <s v="17-10-2025"/>
    <x v="0"/>
    <s v="129670591855"/>
    <n v="75995.399999999994"/>
    <n v="11562409.640000001"/>
  </r>
  <r>
    <s v="17-10-2025"/>
    <x v="0"/>
    <s v="130247812692"/>
    <n v="5358.65"/>
    <n v="11567768.289999999"/>
  </r>
  <r>
    <s v="17-10-2025"/>
    <x v="0"/>
    <s v="130247751270"/>
    <n v="4676.6400000000003"/>
    <n v="11572444.93"/>
  </r>
  <r>
    <s v="17-10-2025"/>
    <x v="0"/>
    <s v="130248036304"/>
    <n v="36146.53"/>
    <n v="11608591.460000001"/>
  </r>
  <r>
    <s v="17-10-2025"/>
    <x v="0"/>
    <s v="129670937377"/>
    <n v="18219.41"/>
    <n v="11626810.869999999"/>
  </r>
  <r>
    <s v="17-10-2025"/>
    <x v="0"/>
    <s v="130248023924"/>
    <n v="8963.56"/>
    <n v="11635774.43"/>
  </r>
  <r>
    <s v="17-10-2025"/>
    <x v="0"/>
    <s v="129671157781"/>
    <n v="10391.700000000001"/>
    <n v="11646166.130000001"/>
  </r>
  <r>
    <s v="17-10-2025"/>
    <x v="0"/>
    <s v="130248316942"/>
    <n v="5358.65"/>
    <n v="11651524.779999999"/>
  </r>
  <r>
    <s v="17-10-2025"/>
    <x v="0"/>
    <s v="129671797275"/>
    <n v="5358.65"/>
    <n v="11656883.43"/>
  </r>
  <r>
    <s v="17-10-2025"/>
    <x v="0"/>
    <s v="130248763394"/>
    <n v="15588.8"/>
    <n v="11672472.23"/>
  </r>
  <r>
    <s v="17-10-2025"/>
    <x v="0"/>
    <s v="129671936945"/>
    <n v="4676.6400000000003"/>
    <n v="11677148.869999999"/>
  </r>
  <r>
    <s v="17-10-2025"/>
    <x v="0"/>
    <s v="129671929721"/>
    <n v="25331.8"/>
    <n v="11702480.67"/>
  </r>
  <r>
    <s v="17-10-2025"/>
    <x v="0"/>
    <s v="130249595876"/>
    <n v="13515.84"/>
    <n v="11715996.51"/>
  </r>
  <r>
    <s v="17-10-2025"/>
    <x v="0"/>
    <s v="129672790911"/>
    <n v="24260.07"/>
    <n v="11740256.58"/>
  </r>
  <r>
    <s v="17-10-2025"/>
    <x v="0"/>
    <s v="130249957450"/>
    <n v="17732.259999999998"/>
    <n v="11757988.84"/>
  </r>
  <r>
    <s v="17-10-2025"/>
    <x v="0"/>
    <s v="129673252193"/>
    <n v="11691.6"/>
    <n v="11769680.439999999"/>
  </r>
  <r>
    <s v="17-10-2025"/>
    <x v="135"/>
    <s v="130250135054"/>
    <n v="587.4"/>
    <n v="11770267.84"/>
  </r>
  <r>
    <s v="17-10-2025"/>
    <x v="0"/>
    <s v="129673278321"/>
    <n v="37023.4"/>
    <n v="11807291.24"/>
  </r>
  <r>
    <s v="17-10-2025"/>
    <x v="79"/>
    <s v="129710340317"/>
    <n v="-667219.43999999994"/>
    <n v="11140071.800000001"/>
  </r>
  <r>
    <s v="17-10-2025"/>
    <x v="0"/>
    <s v="130353705012"/>
    <n v="9353.2800000000007"/>
    <n v="11149425.08"/>
  </r>
  <r>
    <s v="17-10-2025"/>
    <x v="136"/>
    <s v="130353760104"/>
    <n v="469.92"/>
    <n v="11149895"/>
  </r>
  <r>
    <s v="17-10-2025"/>
    <x v="0"/>
    <s v="129778116759"/>
    <n v="15870.96"/>
    <n v="11165765.960000001"/>
  </r>
  <r>
    <s v="17-10-2025"/>
    <x v="0"/>
    <s v="130358126868"/>
    <n v="9353.2800000000007"/>
    <n v="11175119.24"/>
  </r>
  <r>
    <s v="17-10-2025"/>
    <x v="0"/>
    <s v="130361293554"/>
    <n v="4357.92"/>
    <n v="11179477.16"/>
  </r>
  <r>
    <s v="17-10-2025"/>
    <x v="0"/>
    <s v="129784003071"/>
    <n v="15588.8"/>
    <n v="11195065.960000001"/>
  </r>
  <r>
    <s v="17-10-2025"/>
    <x v="0"/>
    <s v="130361946326"/>
    <n v="4676.6400000000003"/>
    <n v="11199742.6"/>
  </r>
  <r>
    <s v="17-10-2025"/>
    <x v="137"/>
    <s v="130361845382"/>
    <n v="234.96"/>
    <n v="11199977.560000001"/>
  </r>
  <r>
    <s v="17-10-2025"/>
    <x v="0"/>
    <s v="129785020933"/>
    <n v="18511.7"/>
    <n v="11218489.26"/>
  </r>
  <r>
    <s v="17-10-2025"/>
    <x v="0"/>
    <s v="129785087831"/>
    <n v="2338.3200000000002"/>
    <n v="11220827.58"/>
  </r>
  <r>
    <s v="17-10-2025"/>
    <x v="0"/>
    <s v="130364127788"/>
    <n v="11241.93"/>
    <n v="11232069.51"/>
  </r>
  <r>
    <s v="17-10-2025"/>
    <x v="0"/>
    <s v="129786974609"/>
    <n v="25429.23"/>
    <n v="11257498.74"/>
  </r>
  <r>
    <s v="17-10-2025"/>
    <x v="138"/>
    <s v="130364682784"/>
    <n v="1277.5899999999999"/>
    <n v="11258776.33"/>
  </r>
  <r>
    <s v="17-10-2025"/>
    <x v="0"/>
    <s v="130366746476"/>
    <n v="4676.6400000000003"/>
    <n v="11263452.970000001"/>
  </r>
  <r>
    <s v="17-10-2025"/>
    <x v="0"/>
    <s v="129790304621"/>
    <n v="9010.56"/>
    <n v="11272463.529999999"/>
  </r>
  <r>
    <s v="17-10-2025"/>
    <x v="0"/>
    <s v="129792971801"/>
    <n v="5358.65"/>
    <n v="11277822.18"/>
  </r>
  <r>
    <s v="17-10-2025"/>
    <x v="139"/>
    <s v="129793044845"/>
    <n v="269.22000000000003"/>
    <n v="11278091.4"/>
  </r>
  <r>
    <s v="17-10-2025"/>
    <x v="0"/>
    <s v="129794619261"/>
    <n v="27418.58"/>
    <n v="11305509.98"/>
  </r>
  <r>
    <s v="17-10-2025"/>
    <x v="0"/>
    <s v="129796256297"/>
    <n v="9548.14"/>
    <n v="11315058.119999999"/>
  </r>
  <r>
    <s v="17-10-2025"/>
    <x v="0"/>
    <s v="129796310089"/>
    <n v="36605.4"/>
    <n v="11351663.52"/>
  </r>
  <r>
    <s v="17-10-2025"/>
    <x v="0"/>
    <s v="129796727397"/>
    <n v="60102.98"/>
    <n v="11411766.5"/>
  </r>
  <r>
    <s v="17-10-2025"/>
    <x v="0"/>
    <s v="130375704532"/>
    <n v="83497.509999999995"/>
    <n v="11495264.01"/>
  </r>
  <r>
    <s v="17-10-2025"/>
    <x v="0"/>
    <s v="129798660403"/>
    <n v="37693.53"/>
    <n v="11532957.539999999"/>
  </r>
  <r>
    <s v="17-10-2025"/>
    <x v="0"/>
    <s v="130377596540"/>
    <n v="4451.42"/>
    <n v="11537408.960000001"/>
  </r>
  <r>
    <s v="17-10-2025"/>
    <x v="0"/>
    <s v="130377732924"/>
    <n v="60177.39"/>
    <n v="11597586.35"/>
  </r>
  <r>
    <s v="17-10-2025"/>
    <x v="0"/>
    <s v="130380979778"/>
    <n v="39677.4"/>
    <n v="11637263.75"/>
  </r>
  <r>
    <s v="17-10-2025"/>
    <x v="0"/>
    <s v="129803748097"/>
    <n v="44850.26"/>
    <n v="11682114.01"/>
  </r>
  <r>
    <s v="17-10-2025"/>
    <x v="0"/>
    <s v="130381748326"/>
    <n v="40141.160000000003"/>
    <n v="11722255.17"/>
  </r>
  <r>
    <s v="17-10-2025"/>
    <x v="0"/>
    <s v="129804183645"/>
    <n v="28235.69"/>
    <n v="11750490.859999999"/>
  </r>
  <r>
    <s v="18-10-2025"/>
    <x v="0"/>
    <s v="130383628858"/>
    <n v="45012.66"/>
    <n v="11795503.52"/>
  </r>
  <r>
    <s v="18-10-2025"/>
    <x v="0"/>
    <s v="130384067958"/>
    <n v="101995.58"/>
    <n v="11897499.1"/>
  </r>
  <r>
    <s v="18-10-2025"/>
    <x v="0"/>
    <s v="130385114790"/>
    <n v="14127.35"/>
    <n v="11911626.449999999"/>
  </r>
  <r>
    <s v="18-10-2025"/>
    <x v="0"/>
    <s v="129807437845"/>
    <n v="38289.99"/>
    <n v="11949916.439999999"/>
  </r>
  <r>
    <s v="18-10-2025"/>
    <x v="0"/>
    <s v="130386044450"/>
    <n v="13792.62"/>
    <n v="11963709.060000001"/>
  </r>
  <r>
    <s v="18-10-2025"/>
    <x v="0"/>
    <s v="130386204302"/>
    <n v="27670.12"/>
    <n v="11991379.18"/>
  </r>
  <r>
    <s v="18-10-2025"/>
    <x v="0"/>
    <s v="130386612836"/>
    <n v="32444.19"/>
    <n v="12023823.369999999"/>
  </r>
  <r>
    <s v="18-10-2025"/>
    <x v="0"/>
    <s v="129808985283"/>
    <n v="10327.58"/>
    <n v="12034150.949999999"/>
  </r>
  <r>
    <s v="18-10-2025"/>
    <x v="0"/>
    <s v="129809631405"/>
    <n v="14711.93"/>
    <n v="12048862.880000001"/>
  </r>
  <r>
    <s v="18-10-2025"/>
    <x v="140"/>
    <s v="129809613779"/>
    <n v="1478.29"/>
    <n v="12050341.17"/>
  </r>
  <r>
    <s v="18-10-2025"/>
    <x v="0"/>
    <s v="130388020290"/>
    <n v="38388.74"/>
    <n v="12088729.91"/>
  </r>
  <r>
    <s v="18-10-2025"/>
    <x v="0"/>
    <s v="130388212390"/>
    <n v="22116.61"/>
    <n v="12110846.52"/>
  </r>
  <r>
    <s v="18-10-2025"/>
    <x v="0"/>
    <s v="129810423309"/>
    <n v="17927.12"/>
    <n v="12128773.640000001"/>
  </r>
  <r>
    <s v="18-10-2025"/>
    <x v="0"/>
    <s v="129810631191"/>
    <n v="23870.35"/>
    <n v="12152643.99"/>
  </r>
  <r>
    <s v="18-10-2025"/>
    <x v="141"/>
    <s v="130388477312"/>
    <n v="1199.27"/>
    <n v="12153843.26"/>
  </r>
  <r>
    <s v="18-10-2025"/>
    <x v="0"/>
    <s v="129810790437"/>
    <n v="7794.4"/>
    <n v="12161637.66"/>
  </r>
  <r>
    <s v="18-10-2025"/>
    <x v="0"/>
    <s v="129811436587"/>
    <n v="10644.7"/>
    <n v="12172282.359999999"/>
  </r>
  <r>
    <s v="18-10-2025"/>
    <x v="0"/>
    <s v="130476617200"/>
    <n v="9548.14"/>
    <n v="12181830.5"/>
  </r>
  <r>
    <s v="18-10-2025"/>
    <x v="0"/>
    <s v="129900664129"/>
    <n v="36654.36"/>
    <n v="12218484.859999999"/>
  </r>
  <r>
    <s v="18-10-2025"/>
    <x v="0"/>
    <s v="129905597543"/>
    <n v="37768.639999999999"/>
    <n v="12256253.5"/>
  </r>
  <r>
    <s v="18-10-2025"/>
    <x v="0"/>
    <s v="129911222493"/>
    <n v="37217.32"/>
    <n v="12293470.82"/>
  </r>
  <r>
    <s v="18-10-2025"/>
    <x v="0"/>
    <s v="130491851554"/>
    <n v="14831.79"/>
    <n v="12308302.609999999"/>
  </r>
  <r>
    <s v="18-10-2025"/>
    <x v="0"/>
    <s v="130493803330"/>
    <n v="23772.92"/>
    <n v="12332075.529999999"/>
  </r>
  <r>
    <s v="18-10-2025"/>
    <x v="142"/>
    <s v="129915570871"/>
    <n v="2388.7600000000002"/>
    <n v="12334464.289999999"/>
  </r>
  <r>
    <s v="18-10-2025"/>
    <x v="0"/>
    <s v="129915579909"/>
    <n v="46474.11"/>
    <n v="12380938.4"/>
  </r>
  <r>
    <s v="18-10-2025"/>
    <x v="0"/>
    <s v="129915872555"/>
    <n v="31177.599999999999"/>
    <n v="12412116"/>
  </r>
  <r>
    <s v="18-10-2025"/>
    <x v="143"/>
    <s v="129915894155"/>
    <n v="1566.4"/>
    <n v="12413682.4"/>
  </r>
  <r>
    <s v="18-10-2025"/>
    <x v="0"/>
    <s v="129916914361"/>
    <n v="28254.7"/>
    <n v="12441937.1"/>
  </r>
  <r>
    <s v="18-10-2025"/>
    <x v="144"/>
    <s v="130495143130"/>
    <n v="2839.1"/>
    <n v="12444776.199999999"/>
  </r>
  <r>
    <s v="18-10-2025"/>
    <x v="0"/>
    <s v="130495195432"/>
    <n v="4579.21"/>
    <n v="12449355.41"/>
  </r>
  <r>
    <s v="18-10-2025"/>
    <x v="0"/>
    <s v="129917003437"/>
    <n v="9548.14"/>
    <n v="12458903.550000001"/>
  </r>
  <r>
    <s v="18-10-2025"/>
    <x v="0"/>
    <s v="129917640259"/>
    <n v="61027.62"/>
    <n v="12519931.17"/>
  </r>
  <r>
    <s v="18-10-2025"/>
    <x v="0"/>
    <s v="130495964660"/>
    <n v="18706.560000000001"/>
    <n v="12538637.73"/>
  </r>
  <r>
    <s v="18-10-2025"/>
    <x v="0"/>
    <s v="129918023175"/>
    <n v="19555.29"/>
    <n v="12558193.02"/>
  </r>
  <r>
    <s v="18-10-2025"/>
    <x v="0"/>
    <s v="129918822439"/>
    <n v="9069.1200000000008"/>
    <n v="12567262.140000001"/>
  </r>
  <r>
    <s v="18-10-2025"/>
    <x v="0"/>
    <s v="129920053775"/>
    <n v="28157.27"/>
    <n v="12595419.41"/>
  </r>
  <r>
    <s v="18-10-2025"/>
    <x v="0"/>
    <s v="129920811303"/>
    <n v="10985.59"/>
    <n v="12606405"/>
  </r>
  <r>
    <s v="18-10-2025"/>
    <x v="0"/>
    <s v="129921270221"/>
    <n v="27767.55"/>
    <n v="12634172.550000001"/>
  </r>
  <r>
    <s v="18-10-2025"/>
    <x v="0"/>
    <s v="129921550313"/>
    <n v="62191.15"/>
    <n v="12696363.699999999"/>
  </r>
  <r>
    <s v="18-10-2025"/>
    <x v="0"/>
    <s v="129922194191"/>
    <n v="42794.91"/>
    <n v="12739158.609999999"/>
  </r>
  <r>
    <s v="18-10-2025"/>
    <x v="0"/>
    <s v="130500339498"/>
    <n v="39459.15"/>
    <n v="12778617.76"/>
  </r>
  <r>
    <s v="18-10-2025"/>
    <x v="0"/>
    <s v="129922802979"/>
    <n v="25717.64"/>
    <n v="12804335.4"/>
  </r>
  <r>
    <s v="18-10-2025"/>
    <x v="0"/>
    <s v="129922827431"/>
    <n v="15686.23"/>
    <n v="12820021.630000001"/>
  </r>
  <r>
    <s v="18-10-2025"/>
    <x v="0"/>
    <s v="130501619064"/>
    <n v="64303.8"/>
    <n v="12884325.43"/>
  </r>
  <r>
    <s v="18-10-2025"/>
    <x v="145"/>
    <s v="130501601308"/>
    <n v="3230.7"/>
    <n v="12887556.130000001"/>
  </r>
  <r>
    <s v="18-10-2025"/>
    <x v="0"/>
    <s v="130501741454"/>
    <n v="44030.35"/>
    <n v="12931586.48"/>
  </r>
  <r>
    <s v="18-10-2025"/>
    <x v="0"/>
    <s v="130501959538"/>
    <n v="39166.86"/>
    <n v="12970753.34"/>
  </r>
  <r>
    <s v="18-10-2025"/>
    <x v="0"/>
    <s v="129923967495"/>
    <n v="62463.519999999997"/>
    <n v="13033216.859999999"/>
  </r>
  <r>
    <s v="18-10-2025"/>
    <x v="0"/>
    <s v="129924104257"/>
    <n v="31567.32"/>
    <n v="13064784.18"/>
  </r>
  <r>
    <s v="18-10-2025"/>
    <x v="146"/>
    <s v="129924012099"/>
    <n v="3171.96"/>
    <n v="13067956.140000001"/>
  </r>
  <r>
    <s v="18-10-2025"/>
    <x v="0"/>
    <s v="130502314456"/>
    <n v="34003.07"/>
    <n v="13101959.210000001"/>
  </r>
  <r>
    <s v="18-10-2025"/>
    <x v="0"/>
    <s v="129924592831"/>
    <n v="35074.800000000003"/>
    <n v="13137034.01"/>
  </r>
  <r>
    <s v="18-10-2025"/>
    <x v="0"/>
    <s v="130503035948"/>
    <n v="8768.7000000000007"/>
    <n v="13145802.710000001"/>
  </r>
  <r>
    <s v="18-10-2025"/>
    <x v="147"/>
    <s v="129924599633"/>
    <n v="881.1"/>
    <n v="13146683.810000001"/>
  </r>
  <r>
    <s v="18-10-2025"/>
    <x v="0"/>
    <s v="130503149626"/>
    <n v="21921.75"/>
    <n v="13168605.560000001"/>
  </r>
  <r>
    <s v="18-10-2025"/>
    <x v="0"/>
    <s v="130503293264"/>
    <n v="24357.5"/>
    <n v="13192963.060000001"/>
  </r>
  <r>
    <s v="18-10-2025"/>
    <x v="0"/>
    <s v="129924883769"/>
    <n v="47643.27"/>
    <n v="13240606.33"/>
  </r>
  <r>
    <s v="18-10-2025"/>
    <x v="0"/>
    <s v="130503399266"/>
    <n v="12373.61"/>
    <n v="13252979.939999999"/>
  </r>
  <r>
    <s v="18-10-2025"/>
    <x v="0"/>
    <s v="130503401764"/>
    <n v="47838.13"/>
    <n v="13300818.07"/>
  </r>
  <r>
    <s v="18-10-2025"/>
    <x v="0"/>
    <s v="129925367229"/>
    <n v="26793.25"/>
    <n v="13327611.32"/>
  </r>
  <r>
    <s v="18-10-2025"/>
    <x v="0"/>
    <s v="130503681142"/>
    <n v="25234.37"/>
    <n v="13352845.689999999"/>
  </r>
  <r>
    <s v="18-10-2025"/>
    <x v="0"/>
    <s v="130503796692"/>
    <n v="8171.1"/>
    <n v="13361016.789999999"/>
  </r>
  <r>
    <s v="18-10-2025"/>
    <x v="0"/>
    <s v="130503823030"/>
    <n v="9010.56"/>
    <n v="13370027.35"/>
  </r>
  <r>
    <s v="18-10-2025"/>
    <x v="0"/>
    <s v="130503831700"/>
    <n v="7989.26"/>
    <n v="13378016.609999999"/>
  </r>
  <r>
    <s v="19-10-2025"/>
    <x v="0"/>
    <s v="130503865664"/>
    <n v="17649.580000000002"/>
    <n v="13395666.189999999"/>
  </r>
  <r>
    <s v="19-10-2025"/>
    <x v="0"/>
    <s v="130504119406"/>
    <n v="36276.480000000003"/>
    <n v="13431942.67"/>
  </r>
  <r>
    <s v="19-10-2025"/>
    <x v="0"/>
    <s v="129925965239"/>
    <n v="51345.61"/>
    <n v="13483288.279999999"/>
  </r>
  <r>
    <s v="19-10-2025"/>
    <x v="0"/>
    <s v="129926108389"/>
    <n v="4993.45"/>
    <n v="13488281.73"/>
  </r>
  <r>
    <s v="19-10-2025"/>
    <x v="0"/>
    <s v="130504725754"/>
    <n v="52839.78"/>
    <n v="13541121.51"/>
  </r>
  <r>
    <s v="19-10-2025"/>
    <x v="0"/>
    <s v="129926554953"/>
    <n v="9010.56"/>
    <n v="13550132.07"/>
  </r>
  <r>
    <s v="19-10-2025"/>
    <x v="0"/>
    <s v="130505063064"/>
    <n v="43064.06"/>
    <n v="13593196.130000001"/>
  </r>
  <r>
    <s v="19-10-2025"/>
    <x v="0"/>
    <s v="130505213634"/>
    <n v="15296.51"/>
    <n v="13608492.640000001"/>
  </r>
  <r>
    <s v="19-10-2025"/>
    <x v="148"/>
    <s v="130505259044"/>
    <n v="768.51"/>
    <n v="13609261.15"/>
  </r>
  <r>
    <s v="19-10-2025"/>
    <x v="0"/>
    <s v="130505348210"/>
    <n v="16952.82"/>
    <n v="13626213.970000001"/>
  </r>
  <r>
    <s v="19-10-2025"/>
    <x v="0"/>
    <s v="129927348607"/>
    <n v="32931.339999999997"/>
    <n v="13659145.310000001"/>
  </r>
  <r>
    <s v="19-10-2025"/>
    <x v="0"/>
    <s v="130505521438"/>
    <n v="91607.11"/>
    <n v="13750752.42"/>
  </r>
  <r>
    <s v="19-10-2025"/>
    <x v="0"/>
    <s v="129927337673"/>
    <n v="18901.419999999998"/>
    <n v="13769653.84"/>
  </r>
  <r>
    <s v="19-10-2025"/>
    <x v="149"/>
    <s v="130505561424"/>
    <n v="949.63"/>
    <n v="13770603.470000001"/>
  </r>
  <r>
    <s v="19-10-2025"/>
    <x v="0"/>
    <s v="130505652570"/>
    <n v="26793.25"/>
    <n v="13797396.720000001"/>
  </r>
  <r>
    <s v="19-10-2025"/>
    <x v="0"/>
    <s v="129927618037"/>
    <n v="21629.46"/>
    <n v="13819026.18"/>
  </r>
  <r>
    <s v="19-10-2025"/>
    <x v="0"/>
    <s v="129927699555"/>
    <n v="32475.56"/>
    <n v="13851501.74"/>
  </r>
  <r>
    <s v="19-10-2025"/>
    <x v="0"/>
    <s v="130506186280"/>
    <n v="13603.68"/>
    <n v="13865105.42"/>
  </r>
  <r>
    <s v="19-10-2025"/>
    <x v="0"/>
    <s v="129928026307"/>
    <n v="15491.37"/>
    <n v="13880596.789999999"/>
  </r>
  <r>
    <s v="19-10-2025"/>
    <x v="0"/>
    <s v="129928378923"/>
    <n v="2723.7"/>
    <n v="13883320.49"/>
  </r>
  <r>
    <s v="19-10-2025"/>
    <x v="0"/>
    <s v="129928917523"/>
    <n v="9158.42"/>
    <n v="13892478.91"/>
  </r>
  <r>
    <s v="19-10-2025"/>
    <x v="147"/>
    <s v="129928888001"/>
    <n v="920.26"/>
    <n v="13893399.17"/>
  </r>
  <r>
    <s v="19-10-2025"/>
    <x v="0"/>
    <s v="130507433134"/>
    <n v="16660.53"/>
    <n v="13910059.699999999"/>
  </r>
  <r>
    <s v="19-10-2025"/>
    <x v="150"/>
    <s v="130507377794"/>
    <n v="1674.09"/>
    <n v="13911733.789999999"/>
  </r>
  <r>
    <s v="19-10-2025"/>
    <x v="0"/>
    <s v="129929271469"/>
    <n v="27207.360000000001"/>
    <n v="13938941.15"/>
  </r>
  <r>
    <s v="19-10-2025"/>
    <x v="0"/>
    <s v="130507908182"/>
    <n v="41581.82"/>
    <n v="13980522.970000001"/>
  </r>
  <r>
    <s v="19-10-2025"/>
    <x v="0"/>
    <s v="129929732379"/>
    <n v="21629.46"/>
    <n v="14002152.43"/>
  </r>
  <r>
    <s v="19-10-2025"/>
    <x v="0"/>
    <s v="129929852927"/>
    <n v="9198.2800000000007"/>
    <n v="14011350.710000001"/>
  </r>
  <r>
    <s v="19-10-2025"/>
    <x v="0"/>
    <s v="130508497912"/>
    <n v="13737.63"/>
    <n v="14025088.34"/>
  </r>
  <r>
    <s v="19-10-2025"/>
    <x v="0"/>
    <s v="130508636164"/>
    <n v="10327.58"/>
    <n v="14035415.92"/>
  </r>
  <r>
    <s v="19-10-2025"/>
    <x v="0"/>
    <s v="130508789716"/>
    <n v="33536.85"/>
    <n v="14068952.77"/>
  </r>
  <r>
    <s v="19-10-2025"/>
    <x v="0"/>
    <s v="130509146786"/>
    <n v="24649.79"/>
    <n v="14093602.560000001"/>
  </r>
  <r>
    <s v="19-10-2025"/>
    <x v="0"/>
    <s v="130509116046"/>
    <n v="18316.84"/>
    <n v="14111919.4"/>
  </r>
  <r>
    <s v="19-10-2025"/>
    <x v="0"/>
    <s v="129930974625"/>
    <n v="120228.62"/>
    <n v="14232148.02"/>
  </r>
  <r>
    <s v="19-10-2025"/>
    <x v="0"/>
    <s v="130509564908"/>
    <n v="13036.86"/>
    <n v="14245184.880000001"/>
  </r>
  <r>
    <s v="19-10-2025"/>
    <x v="0"/>
    <s v="130509770750"/>
    <n v="4534.5600000000004"/>
    <n v="14249719.439999999"/>
  </r>
  <r>
    <s v="19-10-2025"/>
    <x v="0"/>
    <s v="130509852208"/>
    <n v="39946.300000000003"/>
    <n v="14289665.74"/>
  </r>
  <r>
    <s v="19-10-2025"/>
    <x v="0"/>
    <s v="130509962534"/>
    <n v="20460.3"/>
    <n v="14310126.039999999"/>
  </r>
  <r>
    <s v="19-10-2025"/>
    <x v="151"/>
    <s v="130509841798"/>
    <n v="1027.95"/>
    <n v="14311153.99"/>
  </r>
  <r>
    <s v="19-10-2025"/>
    <x v="0"/>
    <s v="129931670223"/>
    <n v="3702.34"/>
    <n v="14314856.33"/>
  </r>
  <r>
    <s v="19-10-2025"/>
    <x v="0"/>
    <s v="129932222123"/>
    <n v="58555.43"/>
    <n v="14373411.76"/>
  </r>
  <r>
    <s v="19-10-2025"/>
    <x v="0"/>
    <s v="130510447150"/>
    <n v="9353.2800000000007"/>
    <n v="14382765.039999999"/>
  </r>
  <r>
    <s v="19-10-2025"/>
    <x v="0"/>
    <s v="129932270371"/>
    <n v="59334.87"/>
    <n v="14442099.91"/>
  </r>
  <r>
    <s v="19-10-2025"/>
    <x v="0"/>
    <s v="129932193821"/>
    <n v="24260.07"/>
    <n v="14466359.98"/>
  </r>
  <r>
    <s v="19-10-2025"/>
    <x v="0"/>
    <s v="129932363147"/>
    <n v="3778.8"/>
    <n v="14470138.779999999"/>
  </r>
  <r>
    <s v="19-10-2025"/>
    <x v="0"/>
    <s v="129932452525"/>
    <n v="30982.74"/>
    <n v="14501121.52"/>
  </r>
  <r>
    <s v="19-10-2025"/>
    <x v="0"/>
    <s v="129932460795"/>
    <n v="51443.040000000001"/>
    <n v="14552564.560000001"/>
  </r>
  <r>
    <s v="19-10-2025"/>
    <x v="0"/>
    <s v="129932493309"/>
    <n v="61499.97"/>
    <n v="14614064.529999999"/>
  </r>
  <r>
    <s v="19-10-2025"/>
    <x v="0"/>
    <s v="130510871960"/>
    <n v="19973.150000000001"/>
    <n v="14634037.68"/>
  </r>
  <r>
    <s v="19-10-2025"/>
    <x v="152"/>
    <s v="129932531979"/>
    <n v="1003.47"/>
    <n v="14635041.15"/>
  </r>
  <r>
    <s v="19-10-2025"/>
    <x v="0"/>
    <s v="129932563723"/>
    <n v="25624.09"/>
    <n v="14660665.24"/>
  </r>
  <r>
    <s v="19-10-2025"/>
    <x v="0"/>
    <s v="130510890048"/>
    <n v="30398.16"/>
    <n v="14691063.4"/>
  </r>
  <r>
    <s v="19-10-2025"/>
    <x v="0"/>
    <s v="130511004854"/>
    <n v="8165.82"/>
    <n v="14699229.220000001"/>
  </r>
  <r>
    <s v="19-10-2025"/>
    <x v="0"/>
    <s v="130510983586"/>
    <n v="24747.22"/>
    <n v="14723976.439999999"/>
  </r>
  <r>
    <s v="19-10-2025"/>
    <x v="0"/>
    <s v="129932719263"/>
    <n v="10619.87"/>
    <n v="14734596.310000001"/>
  </r>
  <r>
    <s v="19-10-2025"/>
    <x v="153"/>
    <s v="130511170496"/>
    <n v="533.54999999999995"/>
    <n v="14735129.859999999"/>
  </r>
  <r>
    <s v="19-10-2025"/>
    <x v="0"/>
    <s v="129995987851"/>
    <n v="4448.71"/>
    <n v="14739578.57"/>
  </r>
  <r>
    <s v="19-10-2025"/>
    <x v="0"/>
    <s v="129998477397"/>
    <n v="2338.3200000000002"/>
    <n v="14741916.890000001"/>
  </r>
  <r>
    <s v="19-10-2025"/>
    <x v="0"/>
    <s v="130001228701"/>
    <n v="4676.6400000000003"/>
    <n v="14746593.529999999"/>
  </r>
  <r>
    <s v="19-10-2025"/>
    <x v="154"/>
    <s v="130001228715"/>
    <n v="234.96"/>
    <n v="14746828.49"/>
  </r>
  <r>
    <s v="19-10-2025"/>
    <x v="0"/>
    <s v="130001899155"/>
    <n v="9353.2800000000007"/>
    <n v="14756181.77"/>
  </r>
  <r>
    <s v="19-10-2025"/>
    <x v="0"/>
    <s v="130002820299"/>
    <n v="2338.3200000000002"/>
    <n v="14758520.09"/>
  </r>
  <r>
    <s v="19-10-2025"/>
    <x v="0"/>
    <s v="130582654102"/>
    <n v="4676.6400000000003"/>
    <n v="14763196.73"/>
  </r>
  <r>
    <s v="19-10-2025"/>
    <x v="0"/>
    <s v="130583209284"/>
    <n v="8715.84"/>
    <n v="14771912.57"/>
  </r>
  <r>
    <s v="19-10-2025"/>
    <x v="0"/>
    <s v="130004895803"/>
    <n v="18138.240000000002"/>
    <n v="14790050.810000001"/>
  </r>
  <r>
    <s v="19-10-2025"/>
    <x v="0"/>
    <s v="130583515842"/>
    <n v="55926.239999999998"/>
    <n v="14845977.050000001"/>
  </r>
  <r>
    <s v="19-10-2025"/>
    <x v="0"/>
    <s v="130005830393"/>
    <n v="4286.92"/>
    <n v="14850263.970000001"/>
  </r>
  <r>
    <s v="19-10-2025"/>
    <x v="0"/>
    <s v="130584728334"/>
    <n v="39556.58"/>
    <n v="14889820.550000001"/>
  </r>
  <r>
    <s v="19-10-2025"/>
    <x v="155"/>
    <s v="130006028927"/>
    <n v="3974.74"/>
    <n v="14893795.289999999"/>
  </r>
  <r>
    <s v="19-10-2025"/>
    <x v="0"/>
    <s v="130585080512"/>
    <n v="9352.5300000000007"/>
    <n v="14903147.82"/>
  </r>
  <r>
    <s v="19-10-2025"/>
    <x v="0"/>
    <s v="130586021122"/>
    <n v="13421.98"/>
    <n v="14916569.800000001"/>
  </r>
  <r>
    <s v="19-10-2025"/>
    <x v="0"/>
    <s v="130007731191"/>
    <n v="14798.77"/>
    <n v="14931368.57"/>
  </r>
  <r>
    <s v="19-10-2025"/>
    <x v="0"/>
    <s v="130586314610"/>
    <n v="9069.1200000000008"/>
    <n v="14940437.689999999"/>
  </r>
  <r>
    <s v="19-10-2025"/>
    <x v="0"/>
    <s v="130009827557"/>
    <n v="17431.68"/>
    <n v="14957869.369999999"/>
  </r>
  <r>
    <s v="19-10-2025"/>
    <x v="0"/>
    <s v="130589344658"/>
    <n v="28059.84"/>
    <n v="14985929.210000001"/>
  </r>
  <r>
    <s v="19-10-2025"/>
    <x v="0"/>
    <s v="130589453826"/>
    <n v="11691.6"/>
    <n v="14997620.810000001"/>
  </r>
  <r>
    <s v="19-10-2025"/>
    <x v="0"/>
    <s v="130589989308"/>
    <n v="32321.24"/>
    <n v="15029942.050000001"/>
  </r>
  <r>
    <s v="19-10-2025"/>
    <x v="0"/>
    <s v="130013338171"/>
    <n v="11515.63"/>
    <n v="15041457.68"/>
  </r>
  <r>
    <s v="19-10-2025"/>
    <x v="0"/>
    <s v="130592036332"/>
    <n v="29569.11"/>
    <n v="15071026.789999999"/>
  </r>
  <r>
    <s v="19-10-2025"/>
    <x v="0"/>
    <s v="130013489481"/>
    <n v="18490.419999999998"/>
    <n v="15089517.210000001"/>
  </r>
  <r>
    <s v="19-10-2025"/>
    <x v="0"/>
    <s v="130592091772"/>
    <n v="17794.84"/>
    <n v="15107312.050000001"/>
  </r>
  <r>
    <s v="19-10-2025"/>
    <x v="0"/>
    <s v="130592612508"/>
    <n v="114772.54"/>
    <n v="15222084.59"/>
  </r>
  <r>
    <s v="20-10-2025"/>
    <x v="0"/>
    <s v="130594025244"/>
    <n v="57191.41"/>
    <n v="15279276"/>
  </r>
  <r>
    <s v="20-10-2025"/>
    <x v="0"/>
    <s v="130594391886"/>
    <n v="86225.55"/>
    <n v="15365501.550000001"/>
  </r>
  <r>
    <s v="20-10-2025"/>
    <x v="0"/>
    <s v="130595730634"/>
    <n v="9450.7099999999991"/>
    <n v="15374952.26"/>
  </r>
  <r>
    <s v="20-10-2025"/>
    <x v="0"/>
    <s v="130596512394"/>
    <n v="17927.12"/>
    <n v="15392879.380000001"/>
  </r>
  <r>
    <s v="20-10-2025"/>
    <x v="156"/>
    <s v="130017719079"/>
    <n v="1801.36"/>
    <n v="15394680.74"/>
  </r>
  <r>
    <s v="20-10-2025"/>
    <x v="58"/>
    <s v="130619610184"/>
    <n v="-349480.54"/>
    <n v="15045200.199999999"/>
  </r>
  <r>
    <s v="20-10-2025"/>
    <x v="6"/>
    <s v="130619610184"/>
    <n v="-2096.88"/>
    <n v="15043103.32"/>
  </r>
  <r>
    <s v="20-10-2025"/>
    <x v="157"/>
    <s v="130619610184"/>
    <n v="349480.54"/>
    <n v="15392583.859999999"/>
  </r>
  <r>
    <s v="20-10-2025"/>
    <x v="6"/>
    <s v="130619610184"/>
    <n v="2096.88"/>
    <n v="15394680.74"/>
  </r>
  <r>
    <s v="20-10-2025"/>
    <x v="56"/>
    <s v="130620588576"/>
    <n v="-1345545.12"/>
    <n v="14049135.619999999"/>
  </r>
  <r>
    <s v="20-10-2025"/>
    <x v="58"/>
    <s v="130619613726"/>
    <n v="-349480.54"/>
    <n v="13699655.08"/>
  </r>
  <r>
    <s v="20-10-2025"/>
    <x v="6"/>
    <s v="130619613726"/>
    <n v="-2096.88"/>
    <n v="13697558.199999999"/>
  </r>
  <r>
    <s v="20-10-2025"/>
    <x v="157"/>
    <s v="130619613726"/>
    <n v="349480.54"/>
    <n v="14047038.74"/>
  </r>
  <r>
    <s v="20-10-2025"/>
    <x v="6"/>
    <s v="130619613726"/>
    <n v="2096.88"/>
    <n v="14049135.619999999"/>
  </r>
  <r>
    <s v="20-10-2025"/>
    <x v="158"/>
    <s v="130657203582"/>
    <n v="-53836.09"/>
    <n v="13995299.529999999"/>
  </r>
  <r>
    <s v="20-10-2025"/>
    <x v="158"/>
    <s v="130657431704"/>
    <n v="-52539.360000000001"/>
    <n v="13942760.17"/>
  </r>
  <r>
    <s v="20-10-2025"/>
    <x v="158"/>
    <s v="130657597610"/>
    <n v="-24797.9"/>
    <n v="13917962.27"/>
  </r>
  <r>
    <s v="20-10-2025"/>
    <x v="158"/>
    <s v="130657817644"/>
    <n v="-8048"/>
    <n v="13909914.27"/>
  </r>
  <r>
    <s v="20-10-2025"/>
    <x v="158"/>
    <s v="130079298437"/>
    <n v="-6069.7"/>
    <n v="13903844.57"/>
  </r>
  <r>
    <s v="20-10-2025"/>
    <x v="158"/>
    <s v="130658026006"/>
    <n v="-23339.200000000001"/>
    <n v="13880505.369999999"/>
  </r>
  <r>
    <s v="21-10-2025"/>
    <x v="77"/>
    <s v="130164356911"/>
    <n v="-67814.460000000006"/>
    <n v="13812690.91"/>
  </r>
  <r>
    <s v="21-10-2025"/>
    <x v="159"/>
    <s v="130189219979"/>
    <n v="-575000"/>
    <n v="13237690.91"/>
  </r>
  <r>
    <s v="21-10-2025"/>
    <x v="6"/>
    <s v="130189219979"/>
    <n v="-3450"/>
    <n v="13234240.91"/>
  </r>
  <r>
    <s v="21-10-2025"/>
    <x v="62"/>
    <s v="130209375191"/>
    <n v="-467928.67"/>
    <n v="12766312.24"/>
  </r>
  <r>
    <s v="22-10-2025"/>
    <x v="65"/>
    <s v="130291816163"/>
    <n v="-174666.54"/>
    <n v="12591645.699999999"/>
  </r>
  <r>
    <s v="22-10-2025"/>
    <x v="6"/>
    <s v="130291816163"/>
    <n v="-1048"/>
    <n v="12590597.699999999"/>
  </r>
  <r>
    <s v="22-10-2025"/>
    <x v="65"/>
    <s v="130292370337"/>
    <n v="-222536.37"/>
    <n v="12368061.33"/>
  </r>
  <r>
    <s v="22-10-2025"/>
    <x v="6"/>
    <s v="130292370337"/>
    <n v="-1335.22"/>
    <n v="12366726.109999999"/>
  </r>
  <r>
    <s v="22-10-2025"/>
    <x v="59"/>
    <s v="130885539658"/>
    <n v="-1074225.8999999999"/>
    <n v="11292500.210000001"/>
  </r>
  <r>
    <s v="22-10-2025"/>
    <x v="6"/>
    <s v="130885539658"/>
    <n v="-6445.36"/>
    <n v="11286054.85"/>
  </r>
  <r>
    <s v="22-10-2025"/>
    <x v="160"/>
    <s v="130305376427"/>
    <n v="-328257"/>
    <n v="10957797.85"/>
  </r>
  <r>
    <s v="22-10-2025"/>
    <x v="6"/>
    <s v="130305376427"/>
    <n v="-1969.54"/>
    <n v="10955828.310000001"/>
  </r>
  <r>
    <s v="22-10-2025"/>
    <x v="7"/>
    <s v="130909261908"/>
    <n v="-36832.06"/>
    <n v="10918996.25"/>
  </r>
  <r>
    <s v="22-10-2025"/>
    <x v="0"/>
    <s v="130362900393"/>
    <n v="17760.36"/>
    <n v="10936756.609999999"/>
  </r>
  <r>
    <s v="22-10-2025"/>
    <x v="0"/>
    <s v="130362869487"/>
    <n v="14798.77"/>
    <n v="10951555.380000001"/>
  </r>
  <r>
    <s v="22-10-2025"/>
    <x v="0"/>
    <s v="130363959471"/>
    <n v="4092.06"/>
    <n v="10955647.439999999"/>
  </r>
  <r>
    <s v="22-10-2025"/>
    <x v="0"/>
    <s v="130950649594"/>
    <n v="9258.06"/>
    <n v="10964905.5"/>
  </r>
  <r>
    <s v="22-10-2025"/>
    <x v="0"/>
    <s v="130951377050"/>
    <n v="4676.6400000000003"/>
    <n v="10969582.140000001"/>
  </r>
  <r>
    <s v="22-10-2025"/>
    <x v="161"/>
    <s v="130367507575"/>
    <n v="469.92"/>
    <n v="10970052.060000001"/>
  </r>
  <r>
    <s v="22-10-2025"/>
    <x v="0"/>
    <s v="130953076190"/>
    <n v="23381.25"/>
    <n v="10993433.310000001"/>
  </r>
  <r>
    <s v="22-10-2025"/>
    <x v="0"/>
    <s v="130953551734"/>
    <n v="4676.6400000000003"/>
    <n v="10998109.949999999"/>
  </r>
  <r>
    <s v="22-10-2025"/>
    <x v="0"/>
    <s v="130372082339"/>
    <n v="56018.82"/>
    <n v="11054128.77"/>
  </r>
  <r>
    <s v="22-10-2025"/>
    <x v="0"/>
    <s v="130372023691"/>
    <n v="17245.11"/>
    <n v="11071373.880000001"/>
  </r>
  <r>
    <s v="22-10-2025"/>
    <x v="0"/>
    <s v="130958785182"/>
    <n v="9104.42"/>
    <n v="11080478.300000001"/>
  </r>
  <r>
    <s v="22-10-2025"/>
    <x v="0"/>
    <s v="130959127036"/>
    <n v="5066.3599999999997"/>
    <n v="11085544.66"/>
  </r>
  <r>
    <s v="22-10-2025"/>
    <x v="0"/>
    <s v="130961561984"/>
    <n v="55931.12"/>
    <n v="11141475.779999999"/>
  </r>
  <r>
    <s v="22-10-2025"/>
    <x v="0"/>
    <s v="130378510101"/>
    <n v="9158.42"/>
    <n v="11150634.199999999"/>
  </r>
  <r>
    <s v="22-10-2025"/>
    <x v="162"/>
    <s v="130378434449"/>
    <n v="460.13"/>
    <n v="11151094.33"/>
  </r>
  <r>
    <s v="22-10-2025"/>
    <x v="0"/>
    <s v="130378665767"/>
    <n v="44328.7"/>
    <n v="11195423.029999999"/>
  </r>
  <r>
    <s v="22-10-2025"/>
    <x v="0"/>
    <s v="130379169891"/>
    <n v="28985.42"/>
    <n v="11224408.449999999"/>
  </r>
  <r>
    <s v="22-10-2025"/>
    <x v="0"/>
    <s v="130380339005"/>
    <n v="42852.88"/>
    <n v="11267261.33"/>
  </r>
  <r>
    <s v="22-10-2025"/>
    <x v="0"/>
    <s v="130964053848"/>
    <n v="42126.559999999998"/>
    <n v="11309387.890000001"/>
  </r>
  <r>
    <s v="23-10-2025"/>
    <x v="0"/>
    <s v="130965083356"/>
    <n v="20655.16"/>
    <n v="11330043.050000001"/>
  </r>
  <r>
    <s v="23-10-2025"/>
    <x v="0"/>
    <s v="130381087993"/>
    <n v="49782.86"/>
    <n v="11379825.91"/>
  </r>
  <r>
    <s v="23-10-2025"/>
    <x v="0"/>
    <s v="130381219961"/>
    <n v="23381.25"/>
    <n v="11403207.16"/>
  </r>
  <r>
    <s v="23-10-2025"/>
    <x v="163"/>
    <s v="130965241174"/>
    <n v="1173.82"/>
    <n v="11404380.98"/>
  </r>
  <r>
    <s v="23-10-2025"/>
    <x v="0"/>
    <s v="130966019066"/>
    <n v="66544.69"/>
    <n v="11470925.67"/>
  </r>
  <r>
    <s v="23-10-2025"/>
    <x v="0"/>
    <s v="130382217225"/>
    <n v="17927.12"/>
    <n v="11488852.789999999"/>
  </r>
  <r>
    <s v="23-10-2025"/>
    <x v="0"/>
    <s v="130968142248"/>
    <n v="7172.41"/>
    <n v="11496025.199999999"/>
  </r>
  <r>
    <s v="23-10-2025"/>
    <x v="164"/>
    <s v="130384192759"/>
    <n v="386.7"/>
    <n v="11496411.9"/>
  </r>
  <r>
    <s v="23-10-2025"/>
    <x v="0"/>
    <s v="130968200228"/>
    <n v="3897.2"/>
    <n v="11500309.1"/>
  </r>
  <r>
    <s v="23-10-2025"/>
    <x v="165"/>
    <s v="130968218136"/>
    <n v="195.8"/>
    <n v="11500504.9"/>
  </r>
  <r>
    <s v="23-10-2025"/>
    <x v="0"/>
    <s v="130968159374"/>
    <n v="26500.959999999999"/>
    <n v="11527005.859999999"/>
  </r>
  <r>
    <s v="23-10-2025"/>
    <x v="0"/>
    <s v="130968346258"/>
    <n v="9255.85"/>
    <n v="11536261.710000001"/>
  </r>
  <r>
    <s v="23-10-2025"/>
    <x v="0"/>
    <s v="130384388375"/>
    <n v="4676.6400000000003"/>
    <n v="11540938.35"/>
  </r>
  <r>
    <s v="23-10-2025"/>
    <x v="166"/>
    <s v="130384388377"/>
    <n v="234.96"/>
    <n v="11541173.310000001"/>
  </r>
  <r>
    <s v="23-10-2025"/>
    <x v="0"/>
    <s v="130384380875"/>
    <n v="4357.92"/>
    <n v="11545531.23"/>
  </r>
  <r>
    <s v="23-10-2025"/>
    <x v="0"/>
    <s v="130384308007"/>
    <n v="3897.2"/>
    <n v="11549428.43"/>
  </r>
  <r>
    <s v="23-10-2025"/>
    <x v="0"/>
    <s v="130385473309"/>
    <n v="5358.65"/>
    <n v="11554787.08"/>
  </r>
  <r>
    <s v="23-10-2025"/>
    <x v="0"/>
    <s v="130385616989"/>
    <n v="25916.38"/>
    <n v="11580703.460000001"/>
  </r>
  <r>
    <s v="23-10-2025"/>
    <x v="0"/>
    <s v="130385762611"/>
    <n v="5358.65"/>
    <n v="11586062.109999999"/>
  </r>
  <r>
    <s v="23-10-2025"/>
    <x v="0"/>
    <s v="130385928447"/>
    <n v="32639.05"/>
    <n v="11618701.16"/>
  </r>
  <r>
    <s v="23-10-2025"/>
    <x v="167"/>
    <s v="131007744612"/>
    <n v="-303600"/>
    <n v="11315101.16"/>
  </r>
  <r>
    <s v="23-10-2025"/>
    <x v="6"/>
    <s v="131007744612"/>
    <n v="-1821.6"/>
    <n v="11313279.560000001"/>
  </r>
  <r>
    <s v="23-10-2025"/>
    <x v="167"/>
    <s v="131007519350"/>
    <n v="-449212.33"/>
    <n v="10864067.23"/>
  </r>
  <r>
    <s v="23-10-2025"/>
    <x v="6"/>
    <s v="131007519350"/>
    <n v="-2695.27"/>
    <n v="10861371.960000001"/>
  </r>
  <r>
    <s v="23-10-2025"/>
    <x v="7"/>
    <s v="131021496516"/>
    <n v="-374232"/>
    <n v="10487139.960000001"/>
  </r>
  <r>
    <s v="23-10-2025"/>
    <x v="61"/>
    <s v="131024553804"/>
    <n v="-22534.41"/>
    <n v="10464605.550000001"/>
  </r>
  <r>
    <s v="23-10-2025"/>
    <x v="0"/>
    <s v="131071540454"/>
    <n v="7794.4"/>
    <n v="10472399.949999999"/>
  </r>
  <r>
    <s v="23-10-2025"/>
    <x v="0"/>
    <s v="130485510525"/>
    <n v="4774.07"/>
    <n v="10477174.02"/>
  </r>
  <r>
    <s v="23-10-2025"/>
    <x v="0"/>
    <s v="130487069719"/>
    <n v="23423.82"/>
    <n v="10500597.84"/>
  </r>
  <r>
    <s v="23-10-2025"/>
    <x v="24"/>
    <s v="130487394525"/>
    <n v="2525.8200000000002"/>
    <n v="10503123.66"/>
  </r>
  <r>
    <s v="23-10-2025"/>
    <x v="0"/>
    <s v="131074278650"/>
    <n v="18706.560000000001"/>
    <n v="10521830.220000001"/>
  </r>
  <r>
    <s v="23-10-2025"/>
    <x v="0"/>
    <s v="131076012574"/>
    <n v="1889.4"/>
    <n v="10523719.619999999"/>
  </r>
  <r>
    <s v="23-10-2025"/>
    <x v="0"/>
    <s v="130491825175"/>
    <n v="21653.41"/>
    <n v="10545373.029999999"/>
  </r>
  <r>
    <s v="23-10-2025"/>
    <x v="2"/>
    <s v="130491895093"/>
    <n v="2334.91"/>
    <n v="10547707.939999999"/>
  </r>
  <r>
    <s v="23-10-2025"/>
    <x v="0"/>
    <s v="131078679332"/>
    <n v="16563.099999999999"/>
    <n v="10564271.039999999"/>
  </r>
  <r>
    <s v="23-10-2025"/>
    <x v="168"/>
    <s v="131078727208"/>
    <n v="2496.4499999999998"/>
    <n v="10566767.49"/>
  </r>
  <r>
    <s v="23-10-2025"/>
    <x v="0"/>
    <s v="130492403155"/>
    <n v="9069.1200000000008"/>
    <n v="10575836.609999999"/>
  </r>
  <r>
    <s v="23-10-2025"/>
    <x v="0"/>
    <s v="131079257414"/>
    <n v="13603.68"/>
    <n v="10589440.289999999"/>
  </r>
  <r>
    <s v="23-10-2025"/>
    <x v="0"/>
    <s v="131080816358"/>
    <n v="14029.92"/>
    <n v="10603470.210000001"/>
  </r>
  <r>
    <s v="23-10-2025"/>
    <x v="169"/>
    <s v="131080543782"/>
    <n v="1409.76"/>
    <n v="10604879.970000001"/>
  </r>
  <r>
    <s v="23-10-2025"/>
    <x v="0"/>
    <s v="130494768229"/>
    <n v="14264.97"/>
    <n v="10619144.939999999"/>
  </r>
  <r>
    <s v="23-10-2025"/>
    <x v="0"/>
    <s v="130494783229"/>
    <n v="9198.2800000000007"/>
    <n v="10628343.220000001"/>
  </r>
  <r>
    <s v="23-10-2025"/>
    <x v="0"/>
    <s v="131082125710"/>
    <n v="4481.78"/>
    <n v="10632825"/>
  </r>
  <r>
    <s v="23-10-2025"/>
    <x v="0"/>
    <s v="130495738913"/>
    <n v="4676.6400000000003"/>
    <n v="10637501.640000001"/>
  </r>
  <r>
    <s v="23-10-2025"/>
    <x v="0"/>
    <s v="130496329581"/>
    <n v="2922.9"/>
    <n v="10640424.539999999"/>
  </r>
  <r>
    <s v="23-10-2025"/>
    <x v="0"/>
    <s v="130496869105"/>
    <n v="4676.6400000000003"/>
    <n v="10645101.18"/>
  </r>
  <r>
    <s v="23-10-2025"/>
    <x v="0"/>
    <s v="130497206277"/>
    <n v="14029.92"/>
    <n v="10659131.1"/>
  </r>
  <r>
    <s v="23-10-2025"/>
    <x v="0"/>
    <s v="130497161841"/>
    <n v="8378.98"/>
    <n v="10667510.08"/>
  </r>
  <r>
    <s v="23-10-2025"/>
    <x v="0"/>
    <s v="131084083926"/>
    <n v="4534.5600000000004"/>
    <n v="10672044.640000001"/>
  </r>
  <r>
    <s v="23-10-2025"/>
    <x v="0"/>
    <s v="131084512264"/>
    <n v="7557.6"/>
    <n v="10679602.24"/>
  </r>
  <r>
    <s v="23-10-2025"/>
    <x v="0"/>
    <s v="131084590632"/>
    <n v="78126.69"/>
    <n v="10757728.93"/>
  </r>
  <r>
    <s v="23-10-2025"/>
    <x v="0"/>
    <s v="131084662508"/>
    <n v="7794.4"/>
    <n v="10765523.33"/>
  </r>
  <r>
    <s v="23-10-2025"/>
    <x v="170"/>
    <s v="130498159109"/>
    <n v="391.6"/>
    <n v="10765914.93"/>
  </r>
  <r>
    <s v="23-10-2025"/>
    <x v="0"/>
    <s v="131084747440"/>
    <n v="4286.92"/>
    <n v="10770201.85"/>
  </r>
  <r>
    <s v="23-10-2025"/>
    <x v="0"/>
    <s v="130498345131"/>
    <n v="4092.06"/>
    <n v="10774293.91"/>
  </r>
  <r>
    <s v="23-10-2025"/>
    <x v="0"/>
    <s v="130498487107"/>
    <n v="8573.84"/>
    <n v="10782867.75"/>
  </r>
  <r>
    <s v="23-10-2025"/>
    <x v="0"/>
    <s v="131086009404"/>
    <n v="4676.6400000000003"/>
    <n v="10787544.390000001"/>
  </r>
  <r>
    <s v="23-10-2025"/>
    <x v="0"/>
    <s v="130499575511"/>
    <n v="11691.6"/>
    <n v="10799235.99"/>
  </r>
  <r>
    <s v="23-10-2025"/>
    <x v="171"/>
    <s v="130499718765"/>
    <n v="587.4"/>
    <n v="10799823.390000001"/>
  </r>
  <r>
    <s v="23-10-2025"/>
    <x v="0"/>
    <s v="131086304876"/>
    <n v="20460.3"/>
    <n v="10820283.689999999"/>
  </r>
  <r>
    <s v="23-10-2025"/>
    <x v="0"/>
    <s v="131086444340"/>
    <n v="36406.79"/>
    <n v="10856690.48"/>
  </r>
  <r>
    <s v="23-10-2025"/>
    <x v="0"/>
    <s v="131086501014"/>
    <n v="17999.22"/>
    <n v="10874689.699999999"/>
  </r>
  <r>
    <s v="23-10-2025"/>
    <x v="0"/>
    <s v="131086678184"/>
    <n v="7891.83"/>
    <n v="10882581.529999999"/>
  </r>
  <r>
    <s v="23-10-2025"/>
    <x v="0"/>
    <s v="131087257486"/>
    <n v="4676.6400000000003"/>
    <n v="10887258.17"/>
  </r>
  <r>
    <s v="23-10-2025"/>
    <x v="0"/>
    <s v="131088135338"/>
    <n v="7696.97"/>
    <n v="10894955.140000001"/>
  </r>
  <r>
    <s v="23-10-2025"/>
    <x v="0"/>
    <s v="131088197646"/>
    <n v="65180.67"/>
    <n v="10960135.810000001"/>
  </r>
  <r>
    <s v="23-10-2025"/>
    <x v="0"/>
    <s v="131088652378"/>
    <n v="3897.2"/>
    <n v="10964033.01"/>
  </r>
  <r>
    <s v="23-10-2025"/>
    <x v="0"/>
    <s v="130502296115"/>
    <n v="5358.65"/>
    <n v="10969391.66"/>
  </r>
  <r>
    <s v="23-10-2025"/>
    <x v="0"/>
    <s v="131089296298"/>
    <n v="17829.689999999999"/>
    <n v="10987221.35"/>
  </r>
  <r>
    <s v="23-10-2025"/>
    <x v="0"/>
    <s v="131089712824"/>
    <n v="29472.04"/>
    <n v="11016693.390000001"/>
  </r>
  <r>
    <s v="23-10-2025"/>
    <x v="0"/>
    <s v="131089749914"/>
    <n v="14614.5"/>
    <n v="11031307.890000001"/>
  </r>
  <r>
    <s v="23-10-2025"/>
    <x v="0"/>
    <s v="130503293867"/>
    <n v="18894"/>
    <n v="11050201.890000001"/>
  </r>
  <r>
    <s v="23-10-2025"/>
    <x v="0"/>
    <s v="130503430043"/>
    <n v="7557.6"/>
    <n v="11057759.49"/>
  </r>
  <r>
    <s v="23-10-2025"/>
    <x v="0"/>
    <s v="130503902335"/>
    <n v="23480.63"/>
    <n v="11081240.119999999"/>
  </r>
  <r>
    <s v="23-10-2025"/>
    <x v="0"/>
    <s v="131090503118"/>
    <n v="11691.6"/>
    <n v="11092931.720000001"/>
  </r>
  <r>
    <s v="23-10-2025"/>
    <x v="0"/>
    <s v="130504284429"/>
    <n v="4579.21"/>
    <n v="11097510.93"/>
  </r>
  <r>
    <s v="23-10-2025"/>
    <x v="0"/>
    <s v="130504289461"/>
    <n v="18706.560000000001"/>
    <n v="11116217.49"/>
  </r>
  <r>
    <s v="23-10-2025"/>
    <x v="172"/>
    <s v="131090844954"/>
    <n v="1879.68"/>
    <n v="11118097.17"/>
  </r>
  <r>
    <s v="23-10-2025"/>
    <x v="0"/>
    <s v="131091206920"/>
    <n v="65570.39"/>
    <n v="11183667.560000001"/>
  </r>
  <r>
    <s v="23-10-2025"/>
    <x v="0"/>
    <s v="130505110651"/>
    <n v="48463.11"/>
    <n v="11232130.67"/>
  </r>
  <r>
    <s v="23-10-2025"/>
    <x v="0"/>
    <s v="131091722710"/>
    <n v="28057.59"/>
    <n v="11260188.26"/>
  </r>
  <r>
    <s v="23-10-2025"/>
    <x v="0"/>
    <s v="130505317979"/>
    <n v="13934.88"/>
    <n v="11274123.140000001"/>
  </r>
  <r>
    <s v="23-10-2025"/>
    <x v="0"/>
    <s v="131092165922"/>
    <n v="13445.34"/>
    <n v="11287568.48"/>
  </r>
  <r>
    <s v="23-10-2025"/>
    <x v="0"/>
    <s v="130505544007"/>
    <n v="4676.6400000000003"/>
    <n v="11292245.119999999"/>
  </r>
  <r>
    <s v="23-10-2025"/>
    <x v="0"/>
    <s v="131092388010"/>
    <n v="15588.8"/>
    <n v="11307833.92"/>
  </r>
  <r>
    <s v="23-10-2025"/>
    <x v="0"/>
    <s v="131092700948"/>
    <n v="19486"/>
    <n v="11327319.92"/>
  </r>
  <r>
    <s v="24-10-2025"/>
    <x v="0"/>
    <s v="130506540145"/>
    <n v="7014.96"/>
    <n v="11334334.880000001"/>
  </r>
  <r>
    <s v="24-10-2025"/>
    <x v="0"/>
    <s v="131093035938"/>
    <n v="9255.85"/>
    <n v="11343590.73"/>
  </r>
  <r>
    <s v="24-10-2025"/>
    <x v="0"/>
    <s v="130506520857"/>
    <n v="10717.3"/>
    <n v="11354308.029999999"/>
  </r>
  <r>
    <s v="24-10-2025"/>
    <x v="0"/>
    <s v="130506636747"/>
    <n v="7014.96"/>
    <n v="11361322.99"/>
  </r>
  <r>
    <s v="24-10-2025"/>
    <x v="0"/>
    <s v="130506543981"/>
    <n v="34198.14"/>
    <n v="11395521.130000001"/>
  </r>
  <r>
    <s v="24-10-2025"/>
    <x v="0"/>
    <s v="131093307644"/>
    <n v="4676.6400000000003"/>
    <n v="11400197.77"/>
  </r>
  <r>
    <s v="24-10-2025"/>
    <x v="0"/>
    <s v="130506875805"/>
    <n v="24357.5"/>
    <n v="11424555.27"/>
  </r>
  <r>
    <s v="24-10-2025"/>
    <x v="0"/>
    <s v="131093488060"/>
    <n v="41661.269999999997"/>
    <n v="11466216.539999999"/>
  </r>
  <r>
    <s v="24-10-2025"/>
    <x v="0"/>
    <s v="131093724984"/>
    <n v="37023.4"/>
    <n v="11503239.939999999"/>
  </r>
  <r>
    <s v="24-10-2025"/>
    <x v="0"/>
    <s v="130507452383"/>
    <n v="139362.65"/>
    <n v="11642602.59"/>
  </r>
  <r>
    <s v="24-10-2025"/>
    <x v="0"/>
    <s v="131093866884"/>
    <n v="81451.48"/>
    <n v="11724054.07"/>
  </r>
  <r>
    <s v="24-10-2025"/>
    <x v="0"/>
    <s v="131094045138"/>
    <n v="27085.54"/>
    <n v="11751139.609999999"/>
  </r>
  <r>
    <s v="24-10-2025"/>
    <x v="0"/>
    <s v="130507633683"/>
    <n v="52807.06"/>
    <n v="11803946.67"/>
  </r>
  <r>
    <s v="24-10-2025"/>
    <x v="0"/>
    <s v="131094372322"/>
    <n v="26403.53"/>
    <n v="11830350.199999999"/>
  </r>
  <r>
    <s v="24-10-2025"/>
    <x v="0"/>
    <s v="131094378520"/>
    <n v="18657.84"/>
    <n v="11849008.039999999"/>
  </r>
  <r>
    <s v="24-10-2025"/>
    <x v="0"/>
    <s v="130508048215"/>
    <n v="15398.61"/>
    <n v="11864406.65"/>
  </r>
  <r>
    <s v="24-10-2025"/>
    <x v="0"/>
    <s v="130507917861"/>
    <n v="8768.7000000000007"/>
    <n v="11873175.35"/>
  </r>
  <r>
    <s v="24-10-2025"/>
    <x v="0"/>
    <s v="131094616418"/>
    <n v="8768.7000000000007"/>
    <n v="11881944.050000001"/>
  </r>
  <r>
    <s v="24-10-2025"/>
    <x v="173"/>
    <s v="130508136391"/>
    <n v="440.55"/>
    <n v="11882384.6"/>
  </r>
  <r>
    <s v="24-10-2025"/>
    <x v="0"/>
    <s v="130508269613"/>
    <n v="16173.38"/>
    <n v="11898557.98"/>
  </r>
  <r>
    <s v="24-10-2025"/>
    <x v="0"/>
    <s v="130508474545"/>
    <n v="164461.84"/>
    <n v="12063019.82"/>
  </r>
  <r>
    <s v="24-10-2025"/>
    <x v="0"/>
    <s v="130508519393"/>
    <n v="14359.44"/>
    <n v="12077379.26"/>
  </r>
  <r>
    <s v="24-10-2025"/>
    <x v="0"/>
    <s v="130508644291"/>
    <n v="31469.89"/>
    <n v="12108849.15"/>
  </r>
  <r>
    <s v="24-10-2025"/>
    <x v="174"/>
    <s v="130508600809"/>
    <n v="3162.17"/>
    <n v="12112011.32"/>
  </r>
  <r>
    <s v="24-10-2025"/>
    <x v="0"/>
    <s v="130508658823"/>
    <n v="18706.560000000001"/>
    <n v="12130717.880000001"/>
  </r>
  <r>
    <s v="24-10-2025"/>
    <x v="0"/>
    <s v="130508778187"/>
    <n v="182096.67"/>
    <n v="12312814.550000001"/>
  </r>
  <r>
    <s v="24-10-2025"/>
    <x v="0"/>
    <s v="131095221900"/>
    <n v="14711.93"/>
    <n v="12327526.48"/>
  </r>
  <r>
    <s v="24-10-2025"/>
    <x v="0"/>
    <s v="131095368770"/>
    <n v="11241.93"/>
    <n v="12338768.41"/>
  </r>
  <r>
    <s v="24-10-2025"/>
    <x v="0"/>
    <s v="130508847989"/>
    <n v="18755.27"/>
    <n v="12357523.68"/>
  </r>
  <r>
    <s v="24-10-2025"/>
    <x v="175"/>
    <s v="131095516238"/>
    <n v="1884.57"/>
    <n v="12359408.25"/>
  </r>
  <r>
    <s v="24-10-2025"/>
    <x v="0"/>
    <s v="131095375852"/>
    <n v="23383.200000000001"/>
    <n v="12382791.449999999"/>
  </r>
  <r>
    <s v="24-10-2025"/>
    <x v="0"/>
    <s v="130509236797"/>
    <n v="7989.26"/>
    <n v="12390780.710000001"/>
  </r>
  <r>
    <s v="24-10-2025"/>
    <x v="0"/>
    <s v="131095647968"/>
    <n v="16075.95"/>
    <n v="12406856.66"/>
  </r>
  <r>
    <s v="24-10-2025"/>
    <x v="0"/>
    <s v="131095954450"/>
    <n v="23239.62"/>
    <n v="12430096.279999999"/>
  </r>
  <r>
    <s v="24-10-2025"/>
    <x v="0"/>
    <s v="130509464861"/>
    <n v="8573.84"/>
    <n v="12438670.119999999"/>
  </r>
  <r>
    <s v="24-10-2025"/>
    <x v="0"/>
    <s v="130509481677"/>
    <n v="14029.92"/>
    <n v="12452700.039999999"/>
  </r>
  <r>
    <s v="24-10-2025"/>
    <x v="0"/>
    <s v="131096089826"/>
    <n v="9353.2800000000007"/>
    <n v="12462053.32"/>
  </r>
  <r>
    <s v="24-10-2025"/>
    <x v="0"/>
    <s v="131096174768"/>
    <n v="16855.39"/>
    <n v="12478908.710000001"/>
  </r>
  <r>
    <s v="24-10-2025"/>
    <x v="0"/>
    <s v="131096234866"/>
    <n v="7794.4"/>
    <n v="12486703.109999999"/>
  </r>
  <r>
    <s v="24-10-2025"/>
    <x v="0"/>
    <s v="130509962431"/>
    <n v="4676.6400000000003"/>
    <n v="12491379.75"/>
  </r>
  <r>
    <s v="24-10-2025"/>
    <x v="0"/>
    <s v="131096447346"/>
    <n v="15686.23"/>
    <n v="12507065.98"/>
  </r>
  <r>
    <s v="24-10-2025"/>
    <x v="0"/>
    <s v="130510019279"/>
    <n v="4505.28"/>
    <n v="12511571.26"/>
  </r>
  <r>
    <s v="24-10-2025"/>
    <x v="0"/>
    <s v="131096730214"/>
    <n v="4676.6400000000003"/>
    <n v="12516247.9"/>
  </r>
  <r>
    <s v="24-10-2025"/>
    <x v="0"/>
    <s v="131096867212"/>
    <n v="4676.6400000000003"/>
    <n v="12520924.539999999"/>
  </r>
  <r>
    <s v="24-10-2025"/>
    <x v="0"/>
    <s v="131097041416"/>
    <n v="89343.31"/>
    <n v="12610267.85"/>
  </r>
  <r>
    <s v="24-10-2025"/>
    <x v="0"/>
    <s v="131097201364"/>
    <n v="4676.6400000000003"/>
    <n v="12614944.49"/>
  </r>
  <r>
    <s v="24-10-2025"/>
    <x v="0"/>
    <s v="130510711625"/>
    <n v="8378.98"/>
    <n v="12623323.470000001"/>
  </r>
  <r>
    <s v="24-10-2025"/>
    <x v="19"/>
    <s v="130510892843"/>
    <n v="841.94"/>
    <n v="12624165.41"/>
  </r>
  <r>
    <s v="24-10-2025"/>
    <x v="0"/>
    <s v="130510713801"/>
    <n v="4676.6400000000003"/>
    <n v="12628842.050000001"/>
  </r>
  <r>
    <s v="24-10-2025"/>
    <x v="119"/>
    <s v="130510701953"/>
    <n v="704.88"/>
    <n v="12629546.93"/>
  </r>
  <r>
    <s v="24-10-2025"/>
    <x v="0"/>
    <s v="130511034159"/>
    <n v="26984.75"/>
    <n v="12656531.68"/>
  </r>
  <r>
    <s v="24-10-2025"/>
    <x v="0"/>
    <s v="130511024259"/>
    <n v="21921.75"/>
    <n v="12678453.43"/>
  </r>
  <r>
    <s v="24-10-2025"/>
    <x v="0"/>
    <s v="131097471030"/>
    <n v="8018.72"/>
    <n v="12686472.15"/>
  </r>
  <r>
    <s v="24-10-2025"/>
    <x v="0"/>
    <s v="130510939873"/>
    <n v="9667.58"/>
    <n v="12696139.73"/>
  </r>
  <r>
    <s v="24-10-2025"/>
    <x v="0"/>
    <s v="130510987923"/>
    <n v="15393.04"/>
    <n v="12711532.77"/>
  </r>
  <r>
    <s v="24-10-2025"/>
    <x v="0"/>
    <s v="130511115179"/>
    <n v="14079"/>
    <n v="12725611.77"/>
  </r>
  <r>
    <s v="24-10-2025"/>
    <x v="0"/>
    <s v="130511316897"/>
    <n v="23772.92"/>
    <n v="12749384.689999999"/>
  </r>
  <r>
    <s v="24-10-2025"/>
    <x v="0"/>
    <s v="131097846962"/>
    <n v="10717.3"/>
    <n v="12760101.99"/>
  </r>
  <r>
    <s v="24-10-2025"/>
    <x v="0"/>
    <s v="130511698427"/>
    <n v="17439.97"/>
    <n v="12777541.960000001"/>
  </r>
  <r>
    <s v="24-10-2025"/>
    <x v="0"/>
    <s v="131098306232"/>
    <n v="71513.62"/>
    <n v="12849055.58"/>
  </r>
  <r>
    <s v="24-10-2025"/>
    <x v="0"/>
    <s v="131098312446"/>
    <n v="4384.3500000000004"/>
    <n v="12853439.93"/>
  </r>
  <r>
    <s v="24-10-2025"/>
    <x v="0"/>
    <s v="130511872803"/>
    <n v="18803.990000000002"/>
    <n v="12872243.92"/>
  </r>
  <r>
    <s v="24-10-2025"/>
    <x v="0"/>
    <s v="131098450400"/>
    <n v="4183.68"/>
    <n v="12876427.6"/>
  </r>
  <r>
    <s v="24-10-2025"/>
    <x v="0"/>
    <s v="131098620974"/>
    <n v="4286.92"/>
    <n v="12880714.52"/>
  </r>
  <r>
    <s v="24-10-2025"/>
    <x v="0"/>
    <s v="131098699670"/>
    <n v="3778.8"/>
    <n v="12884493.32"/>
  </r>
  <r>
    <s v="24-10-2025"/>
    <x v="0"/>
    <s v="130512338739"/>
    <n v="90880.14"/>
    <n v="12975373.460000001"/>
  </r>
  <r>
    <s v="24-10-2025"/>
    <x v="0"/>
    <s v="130512335019"/>
    <n v="8866.1299999999992"/>
    <n v="12984239.59"/>
  </r>
  <r>
    <s v="24-10-2025"/>
    <x v="0"/>
    <s v="131099034366"/>
    <n v="18706.560000000001"/>
    <n v="13002946.15"/>
  </r>
  <r>
    <s v="24-10-2025"/>
    <x v="0"/>
    <s v="131098837484"/>
    <n v="14809.36"/>
    <n v="13017755.51"/>
  </r>
  <r>
    <s v="24-10-2025"/>
    <x v="0"/>
    <s v="130512369709"/>
    <n v="4676.6400000000003"/>
    <n v="13022432.15"/>
  </r>
  <r>
    <s v="24-10-2025"/>
    <x v="176"/>
    <s v="130512480681"/>
    <n v="469.92"/>
    <n v="13022902.07"/>
  </r>
  <r>
    <s v="24-10-2025"/>
    <x v="0"/>
    <s v="130512724637"/>
    <n v="8573.84"/>
    <n v="13031475.91"/>
  </r>
  <r>
    <s v="24-10-2025"/>
    <x v="0"/>
    <s v="131099256710"/>
    <n v="2338.3200000000002"/>
    <n v="13033814.23"/>
  </r>
  <r>
    <s v="24-10-2025"/>
    <x v="0"/>
    <s v="130512786585"/>
    <n v="26500.959999999999"/>
    <n v="13060315.189999999"/>
  </r>
  <r>
    <s v="24-10-2025"/>
    <x v="0"/>
    <s v="131099366712"/>
    <n v="3897.2"/>
    <n v="13064212.390000001"/>
  </r>
  <r>
    <s v="24-10-2025"/>
    <x v="0"/>
    <s v="131099538364"/>
    <n v="5358.65"/>
    <n v="13069571.039999999"/>
  </r>
  <r>
    <s v="24-10-2025"/>
    <x v="0"/>
    <s v="131099810152"/>
    <n v="20649.2"/>
    <n v="13090220.24"/>
  </r>
  <r>
    <s v="24-10-2025"/>
    <x v="0"/>
    <s v="131099852998"/>
    <n v="12373.61"/>
    <n v="13102593.85"/>
  </r>
  <r>
    <s v="24-10-2025"/>
    <x v="0"/>
    <s v="131099953892"/>
    <n v="51443.040000000001"/>
    <n v="13154036.890000001"/>
  </r>
  <r>
    <s v="24-10-2025"/>
    <x v="0"/>
    <s v="130513557473"/>
    <n v="57483.7"/>
    <n v="13211520.59"/>
  </r>
  <r>
    <s v="24-10-2025"/>
    <x v="63"/>
    <s v="130556988889"/>
    <n v="-193502.69"/>
    <n v="13018017.9"/>
  </r>
  <r>
    <s v="24-10-2025"/>
    <x v="6"/>
    <s v="130556988889"/>
    <n v="-1161.02"/>
    <n v="13016856.880000001"/>
  </r>
  <r>
    <s v="24-10-2025"/>
    <x v="177"/>
    <s v="130562398759"/>
    <n v="-136654.79999999999"/>
    <n v="12880202.08"/>
  </r>
  <r>
    <s v="24-10-2025"/>
    <x v="6"/>
    <s v="130562398759"/>
    <n v="-819.93"/>
    <n v="12879382.15"/>
  </r>
  <r>
    <s v="24-10-2025"/>
    <x v="0"/>
    <s v="131188487220"/>
    <n v="12764.96"/>
    <n v="12892147.109999999"/>
  </r>
  <r>
    <s v="24-10-2025"/>
    <x v="0"/>
    <s v="131204235834"/>
    <n v="9353.2800000000007"/>
    <n v="12901500.390000001"/>
  </r>
  <r>
    <s v="24-10-2025"/>
    <x v="178"/>
    <s v="130617378717"/>
    <n v="1409.76"/>
    <n v="12902910.15"/>
  </r>
  <r>
    <s v="24-10-2025"/>
    <x v="0"/>
    <s v="131207745972"/>
    <n v="4676.6400000000003"/>
    <n v="12907586.789999999"/>
  </r>
  <r>
    <s v="24-10-2025"/>
    <x v="0"/>
    <s v="131207941346"/>
    <n v="11399.31"/>
    <n v="12918986.1"/>
  </r>
  <r>
    <s v="24-10-2025"/>
    <x v="67"/>
    <s v="131207877872"/>
    <n v="572.71"/>
    <n v="12919558.810000001"/>
  </r>
  <r>
    <s v="24-10-2025"/>
    <x v="0"/>
    <s v="130623777749"/>
    <n v="9353.2800000000007"/>
    <n v="12928912.09"/>
  </r>
  <r>
    <s v="24-10-2025"/>
    <x v="0"/>
    <s v="130624176389"/>
    <n v="9353.2800000000007"/>
    <n v="12938265.369999999"/>
  </r>
  <r>
    <s v="24-10-2025"/>
    <x v="0"/>
    <s v="130624345861"/>
    <n v="20216.580000000002"/>
    <n v="12958481.949999999"/>
  </r>
  <r>
    <s v="24-10-2025"/>
    <x v="0"/>
    <s v="131212377844"/>
    <n v="41797.47"/>
    <n v="13000279.42"/>
  </r>
  <r>
    <s v="24-10-2025"/>
    <x v="0"/>
    <s v="131213004572"/>
    <n v="4676.6400000000003"/>
    <n v="13004956.060000001"/>
  </r>
  <r>
    <s v="24-10-2025"/>
    <x v="0"/>
    <s v="130626395735"/>
    <n v="89337.68"/>
    <n v="13094293.74"/>
  </r>
  <r>
    <s v="24-10-2025"/>
    <x v="0"/>
    <s v="130626570147"/>
    <n v="4534.5600000000004"/>
    <n v="13098828.300000001"/>
  </r>
  <r>
    <s v="24-10-2025"/>
    <x v="0"/>
    <s v="131215483074"/>
    <n v="9548.14"/>
    <n v="13108376.439999999"/>
  </r>
  <r>
    <s v="24-10-2025"/>
    <x v="0"/>
    <s v="131220424334"/>
    <n v="8768.7000000000007"/>
    <n v="13117145.140000001"/>
  </r>
  <r>
    <s v="24-10-2025"/>
    <x v="0"/>
    <s v="131222097832"/>
    <n v="16910.13"/>
    <n v="13134055.27"/>
  </r>
  <r>
    <s v="24-10-2025"/>
    <x v="0"/>
    <s v="130635351707"/>
    <n v="34764.959999999999"/>
    <n v="13168820.23"/>
  </r>
  <r>
    <s v="24-10-2025"/>
    <x v="0"/>
    <s v="130635780689"/>
    <n v="4129.84"/>
    <n v="13172950.07"/>
  </r>
  <r>
    <s v="25-10-2025"/>
    <x v="0"/>
    <s v="131223611256"/>
    <n v="58360.57"/>
    <n v="13231310.640000001"/>
  </r>
  <r>
    <s v="25-10-2025"/>
    <x v="0"/>
    <s v="131224705868"/>
    <n v="4912.4399999999996"/>
    <n v="13236223.08"/>
  </r>
  <r>
    <s v="25-10-2025"/>
    <x v="0"/>
    <s v="131224829468"/>
    <n v="98501.73"/>
    <n v="13334724.810000001"/>
  </r>
  <r>
    <s v="25-10-2025"/>
    <x v="0"/>
    <s v="130637902867"/>
    <n v="9450.7099999999991"/>
    <n v="13344175.52"/>
  </r>
  <r>
    <s v="25-10-2025"/>
    <x v="0"/>
    <s v="130639275959"/>
    <n v="45031.839999999997"/>
    <n v="13389207.359999999"/>
  </r>
  <r>
    <s v="25-10-2025"/>
    <x v="0"/>
    <s v="130640359985"/>
    <n v="42382.05"/>
    <n v="13431589.41"/>
  </r>
  <r>
    <s v="25-10-2025"/>
    <x v="0"/>
    <s v="130640958813"/>
    <n v="47740.7"/>
    <n v="13479330.109999999"/>
  </r>
  <r>
    <s v="25-10-2025"/>
    <x v="119"/>
    <s v="130640843819"/>
    <n v="4797.1000000000004"/>
    <n v="13484127.210000001"/>
  </r>
  <r>
    <s v="25-10-2025"/>
    <x v="0"/>
    <s v="130641673553"/>
    <n v="17732.259999999998"/>
    <n v="13501859.470000001"/>
  </r>
  <r>
    <s v="25-10-2025"/>
    <x v="0"/>
    <s v="131229100860"/>
    <n v="8124.42"/>
    <n v="13509983.890000001"/>
  </r>
  <r>
    <s v="25-10-2025"/>
    <x v="0"/>
    <s v="131229851002"/>
    <n v="45986.96"/>
    <n v="13555970.85"/>
  </r>
  <r>
    <s v="25-10-2025"/>
    <x v="0"/>
    <s v="130642704973"/>
    <n v="18706.560000000001"/>
    <n v="13574677.41"/>
  </r>
  <r>
    <s v="25-10-2025"/>
    <x v="0"/>
    <s v="130642807553"/>
    <n v="28352.13"/>
    <n v="13603029.539999999"/>
  </r>
  <r>
    <s v="25-10-2025"/>
    <x v="179"/>
    <s v="130642851035"/>
    <n v="2848.89"/>
    <n v="13605878.43"/>
  </r>
  <r>
    <s v="25-10-2025"/>
    <x v="5"/>
    <s v="131259089018"/>
    <n v="-65698.570000000007"/>
    <n v="13540179.859999999"/>
  </r>
  <r>
    <s v="25-10-2025"/>
    <x v="6"/>
    <s v="131259089018"/>
    <n v="-394.19"/>
    <n v="13539785.67"/>
  </r>
  <r>
    <s v="25-10-2025"/>
    <x v="64"/>
    <s v="131265070110"/>
    <n v="-117019.17"/>
    <n v="13422766.5"/>
  </r>
  <r>
    <s v="25-10-2025"/>
    <x v="6"/>
    <s v="131265070110"/>
    <n v="-702.12"/>
    <n v="13422064.380000001"/>
  </r>
  <r>
    <s v="25-10-2025"/>
    <x v="76"/>
    <s v="130711943539"/>
    <n v="-74435.95"/>
    <n v="13347628.43"/>
  </r>
  <r>
    <s v="25-10-2025"/>
    <x v="76"/>
    <s v="131300098174"/>
    <n v="-150807.45000000001"/>
    <n v="13196820.98"/>
  </r>
  <r>
    <s v="25-10-2025"/>
    <x v="0"/>
    <s v="130719097737"/>
    <n v="4335.63"/>
    <n v="13201156.609999999"/>
  </r>
  <r>
    <s v="25-10-2025"/>
    <x v="180"/>
    <s v="130719190771"/>
    <n v="217.34"/>
    <n v="13201373.949999999"/>
  </r>
  <r>
    <s v="25-10-2025"/>
    <x v="0"/>
    <s v="130724478645"/>
    <n v="23578.06"/>
    <n v="13224952.01"/>
  </r>
  <r>
    <s v="25-10-2025"/>
    <x v="0"/>
    <s v="130725052849"/>
    <n v="11301.88"/>
    <n v="13236253.890000001"/>
  </r>
  <r>
    <s v="25-10-2025"/>
    <x v="0"/>
    <s v="130725248729"/>
    <n v="14029.92"/>
    <n v="13250283.810000001"/>
  </r>
  <r>
    <s v="25-10-2025"/>
    <x v="67"/>
    <s v="130725169621"/>
    <n v="704.88"/>
    <n v="13250988.689999999"/>
  </r>
  <r>
    <s v="25-10-2025"/>
    <x v="0"/>
    <s v="130725213917"/>
    <n v="4774.07"/>
    <n v="13255762.76"/>
  </r>
  <r>
    <s v="25-10-2025"/>
    <x v="0"/>
    <s v="131314622960"/>
    <n v="18138.240000000002"/>
    <n v="13273901"/>
  </r>
  <r>
    <s v="25-10-2025"/>
    <x v="0"/>
    <s v="130727892081"/>
    <n v="15004.22"/>
    <n v="13288905.220000001"/>
  </r>
  <r>
    <s v="25-10-2025"/>
    <x v="0"/>
    <s v="131315931076"/>
    <n v="18138.240000000002"/>
    <n v="13307043.460000001"/>
  </r>
  <r>
    <s v="25-10-2025"/>
    <x v="0"/>
    <s v="131316106848"/>
    <n v="4676.6400000000003"/>
    <n v="13311720.1"/>
  </r>
  <r>
    <s v="25-10-2025"/>
    <x v="0"/>
    <s v="130728828519"/>
    <n v="8184.12"/>
    <n v="13319904.220000001"/>
  </r>
  <r>
    <s v="25-10-2025"/>
    <x v="0"/>
    <s v="131317335230"/>
    <n v="7935.48"/>
    <n v="13327839.699999999"/>
  </r>
  <r>
    <s v="25-10-2025"/>
    <x v="0"/>
    <s v="130729893207"/>
    <n v="33229.14"/>
    <n v="13361068.84"/>
  </r>
  <r>
    <s v="25-10-2025"/>
    <x v="0"/>
    <s v="131319128256"/>
    <n v="4774.07"/>
    <n v="13365842.91"/>
  </r>
  <r>
    <s v="25-10-2025"/>
    <x v="0"/>
    <s v="130732522431"/>
    <n v="25034.55"/>
    <n v="13390877.460000001"/>
  </r>
  <r>
    <s v="25-10-2025"/>
    <x v="0"/>
    <s v="130733187221"/>
    <n v="8573.84"/>
    <n v="13399451.300000001"/>
  </r>
  <r>
    <s v="25-10-2025"/>
    <x v="0"/>
    <s v="131322059578"/>
    <n v="4357.92"/>
    <n v="13403809.220000001"/>
  </r>
  <r>
    <s v="25-10-2025"/>
    <x v="0"/>
    <s v="131323046338"/>
    <n v="35048.370000000003"/>
    <n v="13438857.59"/>
  </r>
  <r>
    <s v="25-10-2025"/>
    <x v="0"/>
    <s v="130735353251"/>
    <n v="4345.62"/>
    <n v="13443203.210000001"/>
  </r>
  <r>
    <s v="25-10-2025"/>
    <x v="0"/>
    <s v="130735485837"/>
    <n v="11301.88"/>
    <n v="13454505.09"/>
  </r>
  <r>
    <s v="25-10-2025"/>
    <x v="0"/>
    <s v="131324787042"/>
    <n v="87249.19"/>
    <n v="13541754.279999999"/>
  </r>
  <r>
    <s v="25-10-2025"/>
    <x v="0"/>
    <s v="131325048714"/>
    <n v="18773.38"/>
    <n v="13560527.66"/>
  </r>
  <r>
    <s v="25-10-2025"/>
    <x v="0"/>
    <s v="131325856646"/>
    <n v="37120.83"/>
    <n v="13597648.49"/>
  </r>
  <r>
    <s v="25-10-2025"/>
    <x v="0"/>
    <s v="131328664518"/>
    <n v="9353.2800000000007"/>
    <n v="13607001.77"/>
  </r>
  <r>
    <s v="25-10-2025"/>
    <x v="0"/>
    <s v="130741580317"/>
    <n v="80964.33"/>
    <n v="13687966.1"/>
  </r>
  <r>
    <s v="25-10-2025"/>
    <x v="181"/>
    <s v="130741586205"/>
    <n v="4067.74"/>
    <n v="13692033.84"/>
  </r>
  <r>
    <s v="25-10-2025"/>
    <x v="0"/>
    <s v="130743027301"/>
    <n v="40141.160000000003"/>
    <n v="13732175"/>
  </r>
  <r>
    <s v="25-10-2025"/>
    <x v="182"/>
    <s v="130743033185"/>
    <n v="2016.74"/>
    <n v="13734191.74"/>
  </r>
  <r>
    <s v="25-10-2025"/>
    <x v="0"/>
    <s v="131330704286"/>
    <n v="37315.69"/>
    <n v="13771507.43"/>
  </r>
  <r>
    <s v="25-10-2025"/>
    <x v="0"/>
    <s v="131331474758"/>
    <n v="26695.82"/>
    <n v="13798203.25"/>
  </r>
  <r>
    <s v="25-10-2025"/>
    <x v="0"/>
    <s v="131332537164"/>
    <n v="30472.71"/>
    <n v="13828675.960000001"/>
  </r>
  <r>
    <s v="25-10-2025"/>
    <x v="0"/>
    <s v="131332603236"/>
    <n v="17147.68"/>
    <n v="13845823.640000001"/>
  </r>
  <r>
    <s v="25-10-2025"/>
    <x v="0"/>
    <s v="130745117635"/>
    <n v="37510.550000000003"/>
    <n v="13883334.189999999"/>
  </r>
  <r>
    <s v="25-10-2025"/>
    <x v="0"/>
    <s v="130745183261"/>
    <n v="10035.290000000001"/>
    <n v="13893369.48"/>
  </r>
  <r>
    <s v="25-10-2025"/>
    <x v="0"/>
    <s v="130745282565"/>
    <n v="17665.89"/>
    <n v="13911035.369999999"/>
  </r>
  <r>
    <s v="25-10-2025"/>
    <x v="0"/>
    <s v="131333075890"/>
    <n v="42966.63"/>
    <n v="13954002"/>
  </r>
  <r>
    <s v="25-10-2025"/>
    <x v="0"/>
    <s v="131334393716"/>
    <n v="46573.71"/>
    <n v="14000575.710000001"/>
  </r>
  <r>
    <s v="25-10-2025"/>
    <x v="0"/>
    <s v="130746971109"/>
    <n v="44778.78"/>
    <n v="14045354.49"/>
  </r>
  <r>
    <s v="25-10-2025"/>
    <x v="0"/>
    <s v="131334683124"/>
    <n v="38484.85"/>
    <n v="14083839.34"/>
  </r>
  <r>
    <s v="26-10-2025"/>
    <x v="0"/>
    <s v="131334827174"/>
    <n v="14029.92"/>
    <n v="14097869.26"/>
  </r>
  <r>
    <s v="26-10-2025"/>
    <x v="0"/>
    <s v="131334970938"/>
    <n v="4092.06"/>
    <n v="14101961.32"/>
  </r>
  <r>
    <s v="26-10-2025"/>
    <x v="0"/>
    <s v="130747270087"/>
    <n v="48032.99"/>
    <n v="14149994.310000001"/>
  </r>
  <r>
    <s v="26-10-2025"/>
    <x v="183"/>
    <s v="130747324947"/>
    <n v="4826.47"/>
    <n v="14154820.779999999"/>
  </r>
  <r>
    <s v="26-10-2025"/>
    <x v="0"/>
    <s v="131335191102"/>
    <n v="44330.65"/>
    <n v="14199151.43"/>
  </r>
  <r>
    <s v="26-10-2025"/>
    <x v="0"/>
    <s v="131335286100"/>
    <n v="44622.94"/>
    <n v="14243774.369999999"/>
  </r>
  <r>
    <s v="26-10-2025"/>
    <x v="0"/>
    <s v="131406329738"/>
    <n v="5845.8"/>
    <n v="14249620.17"/>
  </r>
  <r>
    <s v="26-10-2025"/>
    <x v="0"/>
    <s v="130819415363"/>
    <n v="11714.28"/>
    <n v="14261334.449999999"/>
  </r>
  <r>
    <s v="26-10-2025"/>
    <x v="0"/>
    <s v="130820163603"/>
    <n v="8573.84"/>
    <n v="14269908.289999999"/>
  </r>
  <r>
    <s v="26-10-2025"/>
    <x v="0"/>
    <s v="131408840112"/>
    <n v="8573.84"/>
    <n v="14278482.130000001"/>
  </r>
  <r>
    <s v="26-10-2025"/>
    <x v="0"/>
    <s v="131409048748"/>
    <n v="32931.339999999997"/>
    <n v="14311413.470000001"/>
  </r>
  <r>
    <s v="26-10-2025"/>
    <x v="0"/>
    <s v="130822112395"/>
    <n v="4357.92"/>
    <n v="14315771.390000001"/>
  </r>
  <r>
    <s v="26-10-2025"/>
    <x v="0"/>
    <s v="130822354383"/>
    <n v="4774.07"/>
    <n v="14320545.460000001"/>
  </r>
  <r>
    <s v="26-10-2025"/>
    <x v="0"/>
    <s v="131410397354"/>
    <n v="26354.81"/>
    <n v="14346900.27"/>
  </r>
  <r>
    <s v="26-10-2025"/>
    <x v="0"/>
    <s v="131411820276"/>
    <n v="25330.41"/>
    <n v="14372230.68"/>
  </r>
  <r>
    <s v="26-10-2025"/>
    <x v="0"/>
    <s v="131412096670"/>
    <n v="14127.35"/>
    <n v="14386358.029999999"/>
  </r>
  <r>
    <s v="26-10-2025"/>
    <x v="0"/>
    <s v="130824133399"/>
    <n v="15493.08"/>
    <n v="14401851.109999999"/>
  </r>
  <r>
    <s v="26-10-2025"/>
    <x v="0"/>
    <s v="130824222455"/>
    <n v="57089.8"/>
    <n v="14458940.91"/>
  </r>
  <r>
    <s v="26-10-2025"/>
    <x v="0"/>
    <s v="130824828049"/>
    <n v="59516.1"/>
    <n v="14518457.01"/>
  </r>
  <r>
    <s v="26-10-2025"/>
    <x v="0"/>
    <s v="130826569483"/>
    <n v="80379.75"/>
    <n v="14598836.76"/>
  </r>
  <r>
    <s v="26-10-2025"/>
    <x v="0"/>
    <s v="131414928320"/>
    <n v="17760.36"/>
    <n v="14616597.119999999"/>
  </r>
  <r>
    <s v="26-10-2025"/>
    <x v="0"/>
    <s v="130826888049"/>
    <n v="32321.18"/>
    <n v="14648918.300000001"/>
  </r>
  <r>
    <s v="26-10-2025"/>
    <x v="0"/>
    <s v="131415465152"/>
    <n v="13055.62"/>
    <n v="14661973.92"/>
  </r>
  <r>
    <s v="26-10-2025"/>
    <x v="0"/>
    <s v="131415773332"/>
    <n v="35951.67"/>
    <n v="14697925.59"/>
  </r>
  <r>
    <s v="26-10-2025"/>
    <x v="184"/>
    <s v="131415785166"/>
    <n v="1806.25"/>
    <n v="14699731.84"/>
  </r>
  <r>
    <s v="26-10-2025"/>
    <x v="0"/>
    <s v="131416326220"/>
    <n v="64693.52"/>
    <n v="14764425.359999999"/>
  </r>
  <r>
    <s v="26-10-2025"/>
    <x v="0"/>
    <s v="130829133981"/>
    <n v="96455.7"/>
    <n v="14860881.060000001"/>
  </r>
  <r>
    <s v="26-10-2025"/>
    <x v="0"/>
    <s v="131417185922"/>
    <n v="65472.959999999999"/>
    <n v="14926354.02"/>
  </r>
  <r>
    <s v="26-10-2025"/>
    <x v="0"/>
    <s v="131417419112"/>
    <n v="75995.399999999994"/>
    <n v="15002349.42"/>
  </r>
  <r>
    <s v="26-10-2025"/>
    <x v="119"/>
    <s v="130829417965"/>
    <n v="3818.1"/>
    <n v="15006167.52"/>
  </r>
  <r>
    <s v="26-10-2025"/>
    <x v="0"/>
    <s v="130829609829"/>
    <n v="24454.93"/>
    <n v="15030622.449999999"/>
  </r>
  <r>
    <s v="26-10-2025"/>
    <x v="0"/>
    <s v="130829896373"/>
    <n v="63734.58"/>
    <n v="15094357.029999999"/>
  </r>
  <r>
    <s v="26-10-2025"/>
    <x v="0"/>
    <s v="131418186586"/>
    <n v="37997.699999999997"/>
    <n v="15132354.73"/>
  </r>
  <r>
    <s v="26-10-2025"/>
    <x v="0"/>
    <s v="130830174093"/>
    <n v="40492.339999999997"/>
    <n v="15172847.07"/>
  </r>
  <r>
    <s v="26-10-2025"/>
    <x v="0"/>
    <s v="131419481488"/>
    <n v="46290.3"/>
    <n v="15219137.369999999"/>
  </r>
  <r>
    <s v="26-10-2025"/>
    <x v="0"/>
    <s v="131419980308"/>
    <n v="39069.43"/>
    <n v="15258206.800000001"/>
  </r>
  <r>
    <s v="26-10-2025"/>
    <x v="185"/>
    <s v="130832024389"/>
    <n v="1962.89"/>
    <n v="15260169.689999999"/>
  </r>
  <r>
    <s v="26-10-2025"/>
    <x v="0"/>
    <s v="131420014070"/>
    <n v="59822.02"/>
    <n v="15319991.710000001"/>
  </r>
  <r>
    <s v="26-10-2025"/>
    <x v="0"/>
    <s v="130832190117"/>
    <n v="28741.85"/>
    <n v="15348733.560000001"/>
  </r>
  <r>
    <s v="26-10-2025"/>
    <x v="0"/>
    <s v="131420396454"/>
    <n v="67547.759999999995"/>
    <n v="15416281.32"/>
  </r>
  <r>
    <s v="26-10-2025"/>
    <x v="0"/>
    <s v="130832438629"/>
    <n v="32998.57"/>
    <n v="15449279.890000001"/>
  </r>
  <r>
    <s v="26-10-2025"/>
    <x v="0"/>
    <s v="131420714572"/>
    <n v="29911.01"/>
    <n v="15479190.9"/>
  </r>
  <r>
    <s v="26-10-2025"/>
    <x v="0"/>
    <s v="131420822362"/>
    <n v="14264.97"/>
    <n v="15493455.869999999"/>
  </r>
  <r>
    <s v="26-10-2025"/>
    <x v="0"/>
    <s v="130832886979"/>
    <n v="29813.58"/>
    <n v="15523269.449999999"/>
  </r>
  <r>
    <s v="26-10-2025"/>
    <x v="0"/>
    <s v="130833236173"/>
    <n v="32684.400000000001"/>
    <n v="15555953.85"/>
  </r>
  <r>
    <s v="27-10-2025"/>
    <x v="0"/>
    <s v="131421083902"/>
    <n v="188661.62"/>
    <n v="15744615.470000001"/>
  </r>
  <r>
    <s v="27-10-2025"/>
    <x v="0"/>
    <s v="130833658261"/>
    <n v="41377.86"/>
    <n v="15785993.33"/>
  </r>
  <r>
    <s v="27-10-2025"/>
    <x v="0"/>
    <s v="131422078742"/>
    <n v="73267.360000000001"/>
    <n v="15859260.689999999"/>
  </r>
  <r>
    <s v="27-10-2025"/>
    <x v="186"/>
    <s v="130833937323"/>
    <n v="3681.04"/>
    <n v="15862941.73"/>
  </r>
  <r>
    <s v="27-10-2025"/>
    <x v="0"/>
    <s v="131422130626"/>
    <n v="45848.95"/>
    <n v="15908790.68"/>
  </r>
  <r>
    <s v="27-10-2025"/>
    <x v="0"/>
    <s v="130835123143"/>
    <n v="4092.06"/>
    <n v="15912882.74"/>
  </r>
  <r>
    <s v="27-10-2025"/>
    <x v="187"/>
    <s v="130835087415"/>
    <n v="411.18"/>
    <n v="15913293.92"/>
  </r>
  <r>
    <s v="27-10-2025"/>
    <x v="0"/>
    <s v="130835214777"/>
    <n v="9158.42"/>
    <n v="15922452.34"/>
  </r>
  <r>
    <s v="27-10-2025"/>
    <x v="0"/>
    <s v="131423917348"/>
    <n v="28059.84"/>
    <n v="15950512.18"/>
  </r>
  <r>
    <s v="27-10-2025"/>
    <x v="0"/>
    <s v="130836071205"/>
    <n v="9353.2800000000007"/>
    <n v="15959865.460000001"/>
  </r>
  <r>
    <s v="27-10-2025"/>
    <x v="0"/>
    <s v="131424102768"/>
    <n v="90902.19"/>
    <n v="16050767.65"/>
  </r>
  <r>
    <s v="27-10-2025"/>
    <x v="0"/>
    <s v="131425827694"/>
    <n v="19486"/>
    <n v="16070253.65"/>
  </r>
  <r>
    <s v="27-10-2025"/>
    <x v="0"/>
    <s v="130837987485"/>
    <n v="16331.64"/>
    <n v="16086585.289999999"/>
  </r>
  <r>
    <s v="27-10-2025"/>
    <x v="8"/>
    <s v="130866282799"/>
    <n v="-76912.600000000006"/>
    <n v="16009672.689999999"/>
  </r>
  <r>
    <s v="27-10-2025"/>
    <x v="6"/>
    <s v="130866282799"/>
    <n v="-461.48"/>
    <n v="16009211.210000001"/>
  </r>
  <r>
    <s v="27-10-2025"/>
    <x v="8"/>
    <s v="130865941389"/>
    <n v="-105644.22"/>
    <n v="15903566.99"/>
  </r>
  <r>
    <s v="27-10-2025"/>
    <x v="6"/>
    <s v="130865941389"/>
    <n v="-633.87"/>
    <n v="15902933.119999999"/>
  </r>
  <r>
    <s v="27-10-2025"/>
    <x v="8"/>
    <s v="130866917027"/>
    <n v="-254327"/>
    <n v="15648606.119999999"/>
  </r>
  <r>
    <s v="27-10-2025"/>
    <x v="6"/>
    <s v="130866917027"/>
    <n v="-1525.96"/>
    <n v="15647080.16"/>
  </r>
  <r>
    <s v="27-10-2025"/>
    <x v="188"/>
    <s v="130874468153"/>
    <n v="-25668"/>
    <n v="15621412.16"/>
  </r>
  <r>
    <s v="27-10-2025"/>
    <x v="6"/>
    <s v="130874468153"/>
    <n v="-154.01"/>
    <n v="15621258.15"/>
  </r>
  <r>
    <s v="27-10-2025"/>
    <x v="177"/>
    <s v="131465299312"/>
    <n v="-138198.41"/>
    <n v="15483059.74"/>
  </r>
  <r>
    <s v="27-10-2025"/>
    <x v="6"/>
    <s v="131465299312"/>
    <n v="-829.19"/>
    <n v="15482230.550000001"/>
  </r>
  <r>
    <s v="28-10-2025"/>
    <x v="78"/>
    <s v="130992012699"/>
    <n v="-891316"/>
    <n v="14590914.550000001"/>
  </r>
  <r>
    <s v="28-10-2025"/>
    <x v="78"/>
    <s v="131604351324"/>
    <n v="-728344"/>
    <n v="13862570.550000001"/>
  </r>
  <r>
    <s v="28-10-2025"/>
    <x v="56"/>
    <s v="131044883445"/>
    <n v="-1502661.19"/>
    <n v="12359909.359999999"/>
  </r>
  <r>
    <s v="29-10-2025"/>
    <x v="189"/>
    <s v="131115803725"/>
    <n v="-195300"/>
    <n v="12164609.359999999"/>
  </r>
  <r>
    <s v="29-10-2025"/>
    <x v="6"/>
    <s v="131115803725"/>
    <n v="-1171.8"/>
    <n v="12163437.560000001"/>
  </r>
  <r>
    <s v="29-10-2025"/>
    <x v="158"/>
    <s v="131709692626"/>
    <n v="-123536.8"/>
    <n v="12039900.76"/>
  </r>
  <r>
    <s v="29-10-2025"/>
    <x v="77"/>
    <s v="131710063412"/>
    <n v="-127570.86"/>
    <n v="11912329.9"/>
  </r>
  <r>
    <s v="29-10-2025"/>
    <x v="158"/>
    <s v="131118655135"/>
    <n v="-148027.37"/>
    <n v="11764302.529999999"/>
  </r>
  <r>
    <s v="29-10-2025"/>
    <x v="78"/>
    <s v="131129710683"/>
    <n v="-200000"/>
    <n v="11564302.529999999"/>
  </r>
  <r>
    <s v="29-10-2025"/>
    <x v="6"/>
    <s v="131129710683"/>
    <n v="-1200"/>
    <n v="11563102.529999999"/>
  </r>
  <r>
    <s v="29-10-2025"/>
    <x v="0"/>
    <s v="131769417760"/>
    <n v="44622.94"/>
    <n v="11607725.470000001"/>
  </r>
  <r>
    <s v="29-10-2025"/>
    <x v="190"/>
    <s v="131769443928"/>
    <n v="4483.82"/>
    <n v="11612209.289999999"/>
  </r>
  <r>
    <s v="29-10-2025"/>
    <x v="0"/>
    <s v="131772095336"/>
    <n v="11611.44"/>
    <n v="11623820.73"/>
  </r>
  <r>
    <s v="29-10-2025"/>
    <x v="0"/>
    <s v="131774856988"/>
    <n v="8184.12"/>
    <n v="11632004.85"/>
  </r>
  <r>
    <s v="29-10-2025"/>
    <x v="191"/>
    <s v="131180187819"/>
    <n v="411.18"/>
    <n v="11632416.029999999"/>
  </r>
  <r>
    <s v="29-10-2025"/>
    <x v="0"/>
    <s v="131181171991"/>
    <n v="33319.03"/>
    <n v="11665735.060000001"/>
  </r>
  <r>
    <s v="29-10-2025"/>
    <x v="0"/>
    <s v="131777732222"/>
    <n v="58099.05"/>
    <n v="11723834.109999999"/>
  </r>
  <r>
    <s v="29-10-2025"/>
    <x v="0"/>
    <s v="131778003664"/>
    <n v="49007.29"/>
    <n v="11772841.4"/>
  </r>
  <r>
    <s v="29-10-2025"/>
    <x v="0"/>
    <s v="131778463862"/>
    <n v="35071.879999999997"/>
    <n v="11807913.279999999"/>
  </r>
  <r>
    <s v="29-10-2025"/>
    <x v="0"/>
    <s v="131184379239"/>
    <n v="22524.52"/>
    <n v="11830437.800000001"/>
  </r>
  <r>
    <s v="29-10-2025"/>
    <x v="0"/>
    <s v="131778914868"/>
    <n v="35071.879999999997"/>
    <n v="11865509.68"/>
  </r>
  <r>
    <s v="29-10-2025"/>
    <x v="0"/>
    <s v="131185425007"/>
    <n v="40920.6"/>
    <n v="11906430.279999999"/>
  </r>
  <r>
    <s v="29-10-2025"/>
    <x v="0"/>
    <s v="131781695512"/>
    <n v="47046.06"/>
    <n v="11953476.34"/>
  </r>
  <r>
    <s v="29-10-2025"/>
    <x v="0"/>
    <s v="131782498642"/>
    <n v="105414.39"/>
    <n v="12058890.73"/>
  </r>
  <r>
    <s v="29-10-2025"/>
    <x v="0"/>
    <s v="131783903282"/>
    <n v="47253.55"/>
    <n v="12106144.279999999"/>
  </r>
  <r>
    <s v="30-10-2025"/>
    <x v="0"/>
    <s v="131190834783"/>
    <n v="21787.78"/>
    <n v="12127932.060000001"/>
  </r>
  <r>
    <s v="30-10-2025"/>
    <x v="0"/>
    <s v="131786100454"/>
    <n v="21787.78"/>
    <n v="12149719.84"/>
  </r>
  <r>
    <s v="30-10-2025"/>
    <x v="0"/>
    <s v="131786628190"/>
    <n v="21434.6"/>
    <n v="12171154.439999999"/>
  </r>
  <r>
    <s v="30-10-2025"/>
    <x v="0"/>
    <s v="131789264688"/>
    <n v="18702.740000000002"/>
    <n v="12189857.18"/>
  </r>
  <r>
    <s v="30-10-2025"/>
    <x v="59"/>
    <s v="131814061112"/>
    <n v="-1035227.6"/>
    <n v="11154629.58"/>
  </r>
  <r>
    <s v="30-10-2025"/>
    <x v="6"/>
    <s v="131814061112"/>
    <n v="-6211.37"/>
    <n v="11148418.210000001"/>
  </r>
  <r>
    <s v="30-10-2025"/>
    <x v="192"/>
    <s v="131845873060"/>
    <n v="-1201400"/>
    <n v="9947018.2100000009"/>
  </r>
  <r>
    <s v="30-10-2025"/>
    <x v="6"/>
    <s v="131845873060"/>
    <n v="-7208.4"/>
    <n v="9939809.8100000005"/>
  </r>
  <r>
    <s v="30-10-2025"/>
    <x v="0"/>
    <s v="131286438671"/>
    <n v="4062.21"/>
    <n v="9943872.0199999996"/>
  </r>
  <r>
    <s v="30-10-2025"/>
    <x v="0"/>
    <s v="131885222868"/>
    <n v="16368.24"/>
    <n v="9960240.2599999998"/>
  </r>
  <r>
    <s v="30-10-2025"/>
    <x v="0"/>
    <s v="131293843097"/>
    <n v="3897.2"/>
    <n v="9964137.4600000009"/>
  </r>
  <r>
    <s v="30-10-2025"/>
    <x v="193"/>
    <s v="131293868791"/>
    <n v="195.8"/>
    <n v="9964333.2599999998"/>
  </r>
  <r>
    <s v="30-10-2025"/>
    <x v="0"/>
    <s v="131890487764"/>
    <n v="25239.62"/>
    <n v="9989572.8800000008"/>
  </r>
  <r>
    <s v="30-10-2025"/>
    <x v="24"/>
    <s v="131890471796"/>
    <n v="1360.81"/>
    <n v="9990933.6899999995"/>
  </r>
  <r>
    <s v="30-10-2025"/>
    <x v="0"/>
    <s v="131890761018"/>
    <n v="45499.81"/>
    <n v="10036433.5"/>
  </r>
  <r>
    <s v="30-10-2025"/>
    <x v="0"/>
    <s v="131298223245"/>
    <n v="7263.2"/>
    <n v="10043696.699999999"/>
  </r>
  <r>
    <s v="30-10-2025"/>
    <x v="0"/>
    <s v="131896819466"/>
    <n v="39556.58"/>
    <n v="10083253.279999999"/>
  </r>
  <r>
    <s v="30-10-2025"/>
    <x v="122"/>
    <s v="131300148317"/>
    <n v="-551528.92000000004"/>
    <n v="9531724.3599999994"/>
  </r>
  <r>
    <s v="30-10-2025"/>
    <x v="6"/>
    <s v="131300148317"/>
    <n v="-3309.17"/>
    <n v="9528415.1899999995"/>
  </r>
  <r>
    <s v="30-10-2025"/>
    <x v="0"/>
    <s v="131901497916"/>
    <n v="8715.84"/>
    <n v="9537131.0299999993"/>
  </r>
  <r>
    <s v="30-10-2025"/>
    <x v="0"/>
    <s v="131901950294"/>
    <n v="5358.65"/>
    <n v="9542489.6799999997"/>
  </r>
  <r>
    <s v="30-10-2025"/>
    <x v="194"/>
    <s v="131901914752"/>
    <n v="269.22000000000003"/>
    <n v="9542758.9000000004"/>
  </r>
  <r>
    <s v="30-10-2025"/>
    <x v="0"/>
    <s v="131305593613"/>
    <n v="19973.150000000001"/>
    <n v="9562732.0500000007"/>
  </r>
  <r>
    <s v="30-10-2025"/>
    <x v="0"/>
    <s v="131305925337"/>
    <n v="4676.6400000000003"/>
    <n v="9567408.6899999995"/>
  </r>
  <r>
    <s v="30-10-2025"/>
    <x v="0"/>
    <s v="131902908484"/>
    <n v="3897.2"/>
    <n v="9571305.8900000006"/>
  </r>
  <r>
    <s v="30-10-2025"/>
    <x v="0"/>
    <s v="131902863112"/>
    <n v="3778.8"/>
    <n v="9575084.6899999995"/>
  </r>
  <r>
    <s v="30-10-2025"/>
    <x v="0"/>
    <s v="131903448136"/>
    <n v="4676.6400000000003"/>
    <n v="9579761.3300000001"/>
  </r>
  <r>
    <s v="30-10-2025"/>
    <x v="54"/>
    <s v="131306274905"/>
    <n v="234.96"/>
    <n v="9579996.2899999991"/>
  </r>
  <r>
    <s v="30-10-2025"/>
    <x v="0"/>
    <s v="131306395943"/>
    <n v="2338.3200000000002"/>
    <n v="9582334.6099999994"/>
  </r>
  <r>
    <s v="30-10-2025"/>
    <x v="54"/>
    <s v="131306413635"/>
    <n v="117.48"/>
    <n v="9582452.0899999999"/>
  </r>
  <r>
    <s v="30-10-2025"/>
    <x v="0"/>
    <s v="131903795584"/>
    <n v="12847.92"/>
    <n v="9595300.0099999998"/>
  </r>
  <r>
    <s v="30-10-2025"/>
    <x v="0"/>
    <s v="131306924489"/>
    <n v="4092.06"/>
    <n v="9599392.0700000003"/>
  </r>
  <r>
    <s v="30-10-2025"/>
    <x v="0"/>
    <s v="131904338486"/>
    <n v="10391.700000000001"/>
    <n v="9609783.7699999996"/>
  </r>
  <r>
    <s v="30-10-2025"/>
    <x v="0"/>
    <s v="131904438130"/>
    <n v="4993.45"/>
    <n v="9614777.2200000007"/>
  </r>
  <r>
    <s v="30-10-2025"/>
    <x v="0"/>
    <s v="131307691391"/>
    <n v="4676.6400000000003"/>
    <n v="9619453.8599999994"/>
  </r>
  <r>
    <s v="30-10-2025"/>
    <x v="195"/>
    <s v="131307866811"/>
    <n v="469.92"/>
    <n v="9619923.7799999993"/>
  </r>
  <r>
    <s v="30-10-2025"/>
    <x v="0"/>
    <s v="131308959291"/>
    <n v="43175.6"/>
    <n v="9663099.3800000008"/>
  </r>
  <r>
    <s v="30-10-2025"/>
    <x v="0"/>
    <s v="131905568532"/>
    <n v="8573.84"/>
    <n v="9671673.2200000007"/>
  </r>
  <r>
    <s v="30-10-2025"/>
    <x v="0"/>
    <s v="131905809004"/>
    <n v="4676.6400000000003"/>
    <n v="9676349.8599999994"/>
  </r>
  <r>
    <s v="30-10-2025"/>
    <x v="54"/>
    <s v="131905932386"/>
    <n v="234.96"/>
    <n v="9676584.8200000003"/>
  </r>
  <r>
    <s v="30-10-2025"/>
    <x v="0"/>
    <s v="131309391639"/>
    <n v="4481.78"/>
    <n v="9681066.5999999996"/>
  </r>
  <r>
    <s v="30-10-2025"/>
    <x v="0"/>
    <s v="131309712763"/>
    <n v="25039.51"/>
    <n v="9706106.1099999994"/>
  </r>
  <r>
    <s v="30-10-2025"/>
    <x v="0"/>
    <s v="131906789090"/>
    <n v="33579.19"/>
    <n v="9739685.3000000007"/>
  </r>
  <r>
    <s v="30-10-2025"/>
    <x v="0"/>
    <s v="131907151016"/>
    <n v="27864.98"/>
    <n v="9767550.2799999993"/>
  </r>
  <r>
    <s v="30-10-2025"/>
    <x v="0"/>
    <s v="131907151510"/>
    <n v="4579.21"/>
    <n v="9772129.4900000002"/>
  </r>
  <r>
    <s v="30-10-2025"/>
    <x v="0"/>
    <s v="131907367616"/>
    <n v="19388.57"/>
    <n v="9791518.0600000005"/>
  </r>
  <r>
    <s v="30-10-2025"/>
    <x v="0"/>
    <s v="131310426325"/>
    <n v="18706.560000000001"/>
    <n v="9810224.6199999992"/>
  </r>
  <r>
    <s v="30-10-2025"/>
    <x v="0"/>
    <s v="131310354047"/>
    <n v="7794.4"/>
    <n v="9818019.0199999996"/>
  </r>
  <r>
    <s v="30-10-2025"/>
    <x v="0"/>
    <s v="131310713093"/>
    <n v="30579.32"/>
    <n v="9848598.3399999999"/>
  </r>
  <r>
    <s v="30-10-2025"/>
    <x v="0"/>
    <s v="131310863993"/>
    <n v="9353.2800000000007"/>
    <n v="9857951.6199999992"/>
  </r>
  <r>
    <s v="30-10-2025"/>
    <x v="0"/>
    <s v="131908282314"/>
    <n v="29131.57"/>
    <n v="9887083.1899999995"/>
  </r>
  <r>
    <s v="30-10-2025"/>
    <x v="0"/>
    <s v="131311356653"/>
    <n v="16075.95"/>
    <n v="9903159.1400000006"/>
  </r>
  <r>
    <s v="30-10-2025"/>
    <x v="0"/>
    <s v="131908241628"/>
    <n v="26111.24"/>
    <n v="9929270.3800000008"/>
  </r>
  <r>
    <s v="30-10-2025"/>
    <x v="0"/>
    <s v="131311443397"/>
    <n v="47058.69"/>
    <n v="9976329.0700000003"/>
  </r>
  <r>
    <s v="30-10-2025"/>
    <x v="0"/>
    <s v="131311573781"/>
    <n v="9010.56"/>
    <n v="9985339.6300000008"/>
  </r>
  <r>
    <s v="30-10-2025"/>
    <x v="0"/>
    <s v="131311969845"/>
    <n v="7989.26"/>
    <n v="9993328.8900000006"/>
  </r>
  <r>
    <s v="30-10-2025"/>
    <x v="0"/>
    <s v="131312518579"/>
    <n v="24357.5"/>
    <n v="10017686.390000001"/>
  </r>
  <r>
    <s v="30-10-2025"/>
    <x v="0"/>
    <s v="131312521617"/>
    <n v="9353.2800000000007"/>
    <n v="10027039.67"/>
  </r>
  <r>
    <s v="30-10-2025"/>
    <x v="0"/>
    <s v="131312526083"/>
    <n v="41998.18"/>
    <n v="10069037.85"/>
  </r>
  <r>
    <s v="30-10-2025"/>
    <x v="0"/>
    <s v="131312741747"/>
    <n v="8866.1299999999992"/>
    <n v="10077903.98"/>
  </r>
  <r>
    <s v="30-10-2025"/>
    <x v="0"/>
    <s v="131312947683"/>
    <n v="8691.24"/>
    <n v="10086595.220000001"/>
  </r>
  <r>
    <s v="30-10-2025"/>
    <x v="0"/>
    <s v="131909518870"/>
    <n v="40449.86"/>
    <n v="10127045.08"/>
  </r>
  <r>
    <s v="30-10-2025"/>
    <x v="0"/>
    <s v="131313176875"/>
    <n v="3897.2"/>
    <n v="10130942.279999999"/>
  </r>
  <r>
    <s v="30-10-2025"/>
    <x v="196"/>
    <s v="131909574080"/>
    <n v="195.8"/>
    <n v="10131138.08"/>
  </r>
  <r>
    <s v="30-10-2025"/>
    <x v="0"/>
    <s v="131910008744"/>
    <n v="4286.92"/>
    <n v="10135425"/>
  </r>
  <r>
    <s v="30-10-2025"/>
    <x v="0"/>
    <s v="131910231374"/>
    <n v="7989.26"/>
    <n v="10143414.26"/>
  </r>
  <r>
    <s v="30-10-2025"/>
    <x v="0"/>
    <s v="131910426998"/>
    <n v="33710.78"/>
    <n v="10177125.039999999"/>
  </r>
  <r>
    <s v="30-10-2025"/>
    <x v="0"/>
    <s v="131313630355"/>
    <n v="19338.27"/>
    <n v="10196463.310000001"/>
  </r>
  <r>
    <s v="30-10-2025"/>
    <x v="197"/>
    <s v="131910726814"/>
    <n v="1042.6300000000001"/>
    <n v="10197505.939999999"/>
  </r>
  <r>
    <s v="30-10-2025"/>
    <x v="0"/>
    <s v="131313557783"/>
    <n v="4676.6400000000003"/>
    <n v="10202182.58"/>
  </r>
  <r>
    <s v="30-10-2025"/>
    <x v="132"/>
    <s v="131313734591"/>
    <n v="469.92"/>
    <n v="10202652.5"/>
  </r>
  <r>
    <s v="30-10-2025"/>
    <x v="0"/>
    <s v="131313650019"/>
    <n v="83794.89"/>
    <n v="10286447.390000001"/>
  </r>
  <r>
    <s v="30-10-2025"/>
    <x v="0"/>
    <s v="131910955522"/>
    <n v="5447.4"/>
    <n v="10291894.789999999"/>
  </r>
  <r>
    <s v="30-10-2025"/>
    <x v="0"/>
    <s v="131314138549"/>
    <n v="9069.1200000000008"/>
    <n v="10300963.91"/>
  </r>
  <r>
    <s v="31-10-2025"/>
    <x v="0"/>
    <s v="131314279823"/>
    <n v="47350.98"/>
    <n v="10348314.890000001"/>
  </r>
  <r>
    <s v="31-10-2025"/>
    <x v="0"/>
    <s v="131911569716"/>
    <n v="15296.51"/>
    <n v="10363611.4"/>
  </r>
  <r>
    <s v="31-10-2025"/>
    <x v="0"/>
    <s v="131911758332"/>
    <n v="4676.6400000000003"/>
    <n v="10368288.039999999"/>
  </r>
  <r>
    <s v="31-10-2025"/>
    <x v="0"/>
    <s v="131911994644"/>
    <n v="3897.2"/>
    <n v="10372185.24"/>
  </r>
  <r>
    <s v="31-10-2025"/>
    <x v="0"/>
    <s v="131911831956"/>
    <n v="31865.47"/>
    <n v="10404050.710000001"/>
  </r>
  <r>
    <s v="31-10-2025"/>
    <x v="0"/>
    <s v="131315445485"/>
    <n v="33126.199999999997"/>
    <n v="10437176.91"/>
  </r>
  <r>
    <s v="31-10-2025"/>
    <x v="0"/>
    <s v="131315798133"/>
    <n v="10324.6"/>
    <n v="10447501.51"/>
  </r>
  <r>
    <s v="31-10-2025"/>
    <x v="0"/>
    <s v="131315537649"/>
    <n v="48812.43"/>
    <n v="10496313.939999999"/>
  </r>
  <r>
    <s v="31-10-2025"/>
    <x v="0"/>
    <s v="131912442132"/>
    <n v="8502.2999999999993"/>
    <n v="10504816.24"/>
  </r>
  <r>
    <s v="31-10-2025"/>
    <x v="0"/>
    <s v="131315987293"/>
    <n v="11984.28"/>
    <n v="10516800.52"/>
  </r>
  <r>
    <s v="31-10-2025"/>
    <x v="0"/>
    <s v="131316170617"/>
    <n v="13445.34"/>
    <n v="10530245.859999999"/>
  </r>
  <r>
    <s v="31-10-2025"/>
    <x v="0"/>
    <s v="131316233559"/>
    <n v="10717.3"/>
    <n v="10540963.16"/>
  </r>
  <r>
    <s v="31-10-2025"/>
    <x v="0"/>
    <s v="131316259873"/>
    <n v="31930.86"/>
    <n v="10572894.02"/>
  </r>
  <r>
    <s v="31-10-2025"/>
    <x v="0"/>
    <s v="131913233904"/>
    <n v="30105.87"/>
    <n v="10602999.890000001"/>
  </r>
  <r>
    <s v="31-10-2025"/>
    <x v="0"/>
    <s v="131913625570"/>
    <n v="62842.35"/>
    <n v="10665842.24"/>
  </r>
  <r>
    <s v="31-10-2025"/>
    <x v="88"/>
    <s v="131913722710"/>
    <n v="3157.27"/>
    <n v="10668999.51"/>
  </r>
  <r>
    <s v="31-10-2025"/>
    <x v="0"/>
    <s v="131913776076"/>
    <n v="18138.240000000002"/>
    <n v="10687137.75"/>
  </r>
  <r>
    <s v="31-10-2025"/>
    <x v="0"/>
    <s v="131914000620"/>
    <n v="50955.89"/>
    <n v="10738093.640000001"/>
  </r>
  <r>
    <s v="31-10-2025"/>
    <x v="0"/>
    <s v="131317503951"/>
    <n v="8768.7000000000007"/>
    <n v="10746862.34"/>
  </r>
  <r>
    <s v="31-10-2025"/>
    <x v="0"/>
    <s v="131317701455"/>
    <n v="49202.15"/>
    <n v="10796064.49"/>
  </r>
  <r>
    <s v="31-10-2025"/>
    <x v="0"/>
    <s v="131317789095"/>
    <n v="9353.2800000000007"/>
    <n v="10805417.77"/>
  </r>
  <r>
    <s v="31-10-2025"/>
    <x v="19"/>
    <s v="131914675008"/>
    <n v="939.84"/>
    <n v="10806357.609999999"/>
  </r>
  <r>
    <s v="31-10-2025"/>
    <x v="0"/>
    <s v="131914746862"/>
    <n v="9353.2800000000007"/>
    <n v="10815710.890000001"/>
  </r>
  <r>
    <s v="31-10-2025"/>
    <x v="0"/>
    <s v="131317780025"/>
    <n v="30398.16"/>
    <n v="10846109.050000001"/>
  </r>
  <r>
    <s v="31-10-2025"/>
    <x v="0"/>
    <s v="131318108529"/>
    <n v="16075.95"/>
    <n v="10862185"/>
  </r>
  <r>
    <s v="31-10-2025"/>
    <x v="0"/>
    <s v="131914914580"/>
    <n v="40141.160000000003"/>
    <n v="10902326.16"/>
  </r>
  <r>
    <s v="31-10-2025"/>
    <x v="0"/>
    <s v="131318226099"/>
    <n v="3942.12"/>
    <n v="10906268.279999999"/>
  </r>
  <r>
    <s v="31-10-2025"/>
    <x v="0"/>
    <s v="131915208972"/>
    <n v="9010.56"/>
    <n v="10915278.84"/>
  </r>
  <r>
    <s v="31-10-2025"/>
    <x v="0"/>
    <s v="131915245194"/>
    <n v="13737.63"/>
    <n v="10929016.470000001"/>
  </r>
  <r>
    <s v="31-10-2025"/>
    <x v="0"/>
    <s v="131915199812"/>
    <n v="13542.77"/>
    <n v="10942559.24"/>
  </r>
  <r>
    <s v="31-10-2025"/>
    <x v="194"/>
    <s v="131915191964"/>
    <n v="1360.81"/>
    <n v="10943920.050000001"/>
  </r>
  <r>
    <s v="31-10-2025"/>
    <x v="0"/>
    <s v="131318475295"/>
    <n v="15978.52"/>
    <n v="10959898.57"/>
  </r>
  <r>
    <s v="31-10-2025"/>
    <x v="170"/>
    <s v="131915273768"/>
    <n v="802.78"/>
    <n v="10960701.35"/>
  </r>
  <r>
    <s v="31-10-2025"/>
    <x v="0"/>
    <s v="131318639651"/>
    <n v="4129.84"/>
    <n v="10964831.189999999"/>
  </r>
  <r>
    <s v="31-10-2025"/>
    <x v="0"/>
    <s v="131915750288"/>
    <n v="4481.78"/>
    <n v="10969312.970000001"/>
  </r>
  <r>
    <s v="31-10-2025"/>
    <x v="0"/>
    <s v="131915932200"/>
    <n v="11594.17"/>
    <n v="10980907.140000001"/>
  </r>
  <r>
    <s v="31-10-2025"/>
    <x v="198"/>
    <s v="131319123549"/>
    <n v="582.5"/>
    <n v="10981489.640000001"/>
  </r>
  <r>
    <s v="31-10-2025"/>
    <x v="0"/>
    <s v="131319369569"/>
    <n v="9548.14"/>
    <n v="10991037.779999999"/>
  </r>
  <r>
    <s v="31-10-2025"/>
    <x v="0"/>
    <s v="131319428755"/>
    <n v="15588.8"/>
    <n v="11006626.58"/>
  </r>
  <r>
    <s v="31-10-2025"/>
    <x v="0"/>
    <s v="131916032026"/>
    <n v="4505.28"/>
    <n v="11011131.859999999"/>
  </r>
  <r>
    <s v="31-10-2025"/>
    <x v="0"/>
    <s v="131916342834"/>
    <n v="4676.6400000000003"/>
    <n v="11015808.5"/>
  </r>
  <r>
    <s v="31-10-2025"/>
    <x v="0"/>
    <s v="131916342992"/>
    <n v="25429.23"/>
    <n v="11041237.73"/>
  </r>
  <r>
    <s v="31-10-2025"/>
    <x v="199"/>
    <s v="131319469609"/>
    <n v="2555.19"/>
    <n v="11043792.92"/>
  </r>
  <r>
    <s v="31-10-2025"/>
    <x v="0"/>
    <s v="131916546200"/>
    <n v="4505.28"/>
    <n v="11048298.199999999"/>
  </r>
  <r>
    <s v="31-10-2025"/>
    <x v="0"/>
    <s v="131319845291"/>
    <n v="16075.95"/>
    <n v="11064374.15"/>
  </r>
  <r>
    <s v="31-10-2025"/>
    <x v="200"/>
    <s v="131916458918"/>
    <n v="807.67"/>
    <n v="11065181.82"/>
  </r>
  <r>
    <s v="31-10-2025"/>
    <x v="0"/>
    <s v="131916575874"/>
    <n v="23188.34"/>
    <n v="11088370.16"/>
  </r>
  <r>
    <s v="31-10-2025"/>
    <x v="0"/>
    <s v="131320133169"/>
    <n v="40149.75"/>
    <n v="11128519.91"/>
  </r>
  <r>
    <s v="31-10-2025"/>
    <x v="0"/>
    <s v="131319977785"/>
    <n v="4676.6400000000003"/>
    <n v="11133196.550000001"/>
  </r>
  <r>
    <s v="31-10-2025"/>
    <x v="21"/>
    <s v="131320260817"/>
    <n v="234.96"/>
    <n v="11133431.51"/>
  </r>
  <r>
    <s v="31-10-2025"/>
    <x v="0"/>
    <s v="131320310663"/>
    <n v="154913.70000000001"/>
    <n v="11288345.210000001"/>
  </r>
  <r>
    <s v="31-10-2025"/>
    <x v="0"/>
    <s v="131320327125"/>
    <n v="8573.84"/>
    <n v="11296919.050000001"/>
  </r>
  <r>
    <s v="31-10-2025"/>
    <x v="201"/>
    <s v="131917132592"/>
    <n v="430.76"/>
    <n v="11297349.810000001"/>
  </r>
  <r>
    <s v="31-10-2025"/>
    <x v="0"/>
    <s v="131917265204"/>
    <n v="26111.24"/>
    <n v="11323461.050000001"/>
  </r>
  <r>
    <s v="31-10-2025"/>
    <x v="0"/>
    <s v="131917283282"/>
    <n v="7794.4"/>
    <n v="11331255.449999999"/>
  </r>
  <r>
    <s v="31-10-2025"/>
    <x v="202"/>
    <s v="131320680825"/>
    <n v="391.6"/>
    <n v="11331647.050000001"/>
  </r>
  <r>
    <s v="31-10-2025"/>
    <x v="0"/>
    <s v="131320695005"/>
    <n v="22311.47"/>
    <n v="11353958.52"/>
  </r>
  <r>
    <s v="31-10-2025"/>
    <x v="0"/>
    <s v="131320643815"/>
    <n v="44038.36"/>
    <n v="11397996.880000001"/>
  </r>
  <r>
    <s v="31-10-2025"/>
    <x v="0"/>
    <s v="131320786849"/>
    <n v="9069.1200000000008"/>
    <n v="11407066"/>
  </r>
  <r>
    <s v="31-10-2025"/>
    <x v="0"/>
    <s v="131917566708"/>
    <n v="4534.5600000000004"/>
    <n v="11411600.560000001"/>
  </r>
  <r>
    <s v="31-10-2025"/>
    <x v="0"/>
    <s v="131917577150"/>
    <n v="4092.06"/>
    <n v="11415692.619999999"/>
  </r>
  <r>
    <s v="31-10-2025"/>
    <x v="203"/>
    <s v="131917606846"/>
    <n v="616.77"/>
    <n v="11416309.390000001"/>
  </r>
  <r>
    <s v="31-10-2025"/>
    <x v="0"/>
    <s v="131320829761"/>
    <n v="13835.06"/>
    <n v="11430144.449999999"/>
  </r>
  <r>
    <s v="31-10-2025"/>
    <x v="0"/>
    <s v="131917714840"/>
    <n v="24162.639999999999"/>
    <n v="11454307.09"/>
  </r>
  <r>
    <s v="31-10-2025"/>
    <x v="0"/>
    <s v="131917669410"/>
    <n v="4481.78"/>
    <n v="11458788.869999999"/>
  </r>
  <r>
    <s v="31-10-2025"/>
    <x v="0"/>
    <s v="131321198139"/>
    <n v="4676.6400000000003"/>
    <n v="11463465.51"/>
  </r>
  <r>
    <s v="31-10-2025"/>
    <x v="0"/>
    <s v="131918000406"/>
    <n v="25331.8"/>
    <n v="11488797.310000001"/>
  </r>
  <r>
    <s v="31-10-2025"/>
    <x v="61"/>
    <s v="131958297698"/>
    <n v="-45068.82"/>
    <n v="11443728.49"/>
  </r>
  <r>
    <s v="31-10-2025"/>
    <x v="8"/>
    <s v="131361361133"/>
    <n v="-70981.84"/>
    <n v="11372746.65"/>
  </r>
  <r>
    <s v="31-10-2025"/>
    <x v="6"/>
    <s v="131361361133"/>
    <n v="-425.89"/>
    <n v="11372320.76"/>
  </r>
  <r>
    <s v="31-10-2025"/>
    <x v="8"/>
    <s v="131360969785"/>
    <n v="-124724.4"/>
    <n v="11247596.359999999"/>
  </r>
  <r>
    <s v="31-10-2025"/>
    <x v="6"/>
    <s v="131360969785"/>
    <n v="-748.35"/>
    <n v="11246848.01"/>
  </r>
  <r>
    <s v="31-10-2025"/>
    <x v="8"/>
    <s v="131361245633"/>
    <n v="-202073.56"/>
    <n v="11044774.449999999"/>
  </r>
  <r>
    <s v="31-10-2025"/>
    <x v="6"/>
    <s v="131361245633"/>
    <n v="-1212.44"/>
    <n v="11043562.01"/>
  </r>
  <r>
    <s v="31-10-2025"/>
    <x v="204"/>
    <s v="131372254051"/>
    <n v="-39334.620000000003"/>
    <n v="11004227.390000001"/>
  </r>
  <r>
    <s v="31-10-2025"/>
    <x v="204"/>
    <s v="131969974252"/>
    <n v="-116897.2"/>
    <n v="10887330.189999999"/>
  </r>
  <r>
    <s v="31-10-2025"/>
    <x v="205"/>
    <s v="131421618225"/>
    <n v="-1167650"/>
    <n v="9719680.1899999995"/>
  </r>
  <r>
    <s v="31-10-2025"/>
    <x v="6"/>
    <s v="131421618225"/>
    <n v="-7005.9"/>
    <n v="9712674.2899999991"/>
  </r>
  <r>
    <s v="31-10-2025"/>
    <x v="0"/>
    <s v="131426444169"/>
    <n v="9353.2800000000007"/>
    <n v="9722027.5700000003"/>
  </r>
  <r>
    <s v="31-10-2025"/>
    <x v="206"/>
    <s v="131426410673"/>
    <n v="469.92"/>
    <n v="9722497.4900000002"/>
  </r>
  <r>
    <s v="31-10-2025"/>
    <x v="0"/>
    <s v="132024371420"/>
    <n v="9353.2800000000007"/>
    <n v="9731850.7699999996"/>
  </r>
  <r>
    <s v="31-10-2025"/>
    <x v="0"/>
    <s v="132026588886"/>
    <n v="8573.84"/>
    <n v="9740424.6099999994"/>
  </r>
  <r>
    <s v="31-10-2025"/>
    <x v="0"/>
    <s v="131431493777"/>
    <n v="11496.74"/>
    <n v="9751921.3499999996"/>
  </r>
  <r>
    <s v="31-10-2025"/>
    <x v="0"/>
    <s v="132032843916"/>
    <n v="3967.74"/>
    <n v="9755889.0899999999"/>
  </r>
  <r>
    <s v="31-10-2025"/>
    <x v="0"/>
    <s v="132033280404"/>
    <n v="19388.57"/>
    <n v="9775277.6600000001"/>
  </r>
  <r>
    <s v="31-10-2025"/>
    <x v="207"/>
    <s v="132033306284"/>
    <n v="1948.21"/>
    <n v="9777225.8699999992"/>
  </r>
  <r>
    <s v="31-10-2025"/>
    <x v="0"/>
    <s v="131437180631"/>
    <n v="9353.2800000000007"/>
    <n v="9786579.1500000004"/>
  </r>
  <r>
    <s v="31-10-2025"/>
    <x v="103"/>
    <s v="131437083607"/>
    <n v="939.84"/>
    <n v="9787518.9900000002"/>
  </r>
  <r>
    <s v="31-10-2025"/>
    <x v="0"/>
    <s v="132035156628"/>
    <n v="9069.1200000000008"/>
    <n v="9796588.1099999994"/>
  </r>
  <r>
    <s v="31-10-2025"/>
    <x v="0"/>
    <s v="131438131109"/>
    <n v="9353.2800000000007"/>
    <n v="9805941.3900000006"/>
  </r>
  <r>
    <s v="31-10-2025"/>
    <x v="0"/>
    <s v="132035989400"/>
    <n v="9353.2800000000007"/>
    <n v="9815294.6699999999"/>
  </r>
  <r>
    <s v="31-10-2025"/>
    <x v="0"/>
    <s v="131440599777"/>
    <n v="49934.5"/>
    <n v="9865229.1699999999"/>
  </r>
  <r>
    <s v="31-10-2025"/>
    <x v="0"/>
    <s v="131440703545"/>
    <n v="38777.14"/>
    <n v="9904006.3100000005"/>
  </r>
  <r>
    <s v="31-10-2025"/>
    <x v="208"/>
    <s v="132038062836"/>
    <n v="1948.21"/>
    <n v="9905954.5199999996"/>
  </r>
  <r>
    <s v="31-10-2025"/>
    <x v="0"/>
    <s v="132038856812"/>
    <n v="39312.07"/>
    <n v="9945266.5899999999"/>
  </r>
  <r>
    <s v="31-10-2025"/>
    <x v="0"/>
    <s v="131442369167"/>
    <n v="32346.76"/>
    <n v="9977613.3499999996"/>
  </r>
  <r>
    <s v="31-10-2025"/>
    <x v="0"/>
    <s v="132040086204"/>
    <n v="47545.84"/>
    <n v="10025159.189999999"/>
  </r>
  <r>
    <s v="31-10-2025"/>
    <x v="0"/>
    <s v="131442820443"/>
    <n v="5573.73"/>
    <n v="10030732.92"/>
  </r>
  <r>
    <s v="31-10-2025"/>
    <x v="0"/>
    <s v="131442949423"/>
    <n v="27207.360000000001"/>
    <n v="10057940.279999999"/>
  </r>
  <r>
    <s v="31-10-2025"/>
    <x v="0"/>
    <s v="131443126827"/>
    <n v="28449.56"/>
    <n v="10086389.84"/>
  </r>
  <r>
    <s v="31-10-2025"/>
    <x v="0"/>
    <s v="132040871854"/>
    <n v="10477.44"/>
    <n v="10096867.279999999"/>
  </r>
  <r>
    <s v="31-10-2025"/>
    <x v="0"/>
    <s v="132042598568"/>
    <n v="18959.72"/>
    <n v="10115827"/>
  </r>
  <r>
    <s v="31-10-2025"/>
    <x v="0"/>
    <s v="131445281177"/>
    <n v="54887.07"/>
    <n v="10170714.07"/>
  </r>
  <r>
    <s v="31-10-2025"/>
    <x v="0"/>
    <s v="131446697595"/>
    <n v="44778.78"/>
    <n v="10215492.85"/>
  </r>
  <r>
    <s v="31-10-2025"/>
    <x v="0"/>
    <s v="131447307481"/>
    <n v="4676.6400000000003"/>
    <n v="10220169.49"/>
  </r>
  <r>
    <s v="31-10-2025"/>
    <x v="0"/>
    <s v="131449789851"/>
    <n v="62939.78"/>
    <n v="10283109.27"/>
  </r>
  <r>
    <s v="31-10-2025"/>
    <x v="0"/>
    <s v="131450205625"/>
    <n v="8963.56"/>
    <n v="10292072.83"/>
  </r>
  <r>
    <s v="31-10-2025"/>
    <x v="0"/>
    <s v="131450361471"/>
    <n v="42762.09"/>
    <n v="10334834.92"/>
  </r>
  <r>
    <s v="31-10-2025"/>
    <x v="0"/>
    <s v="131450649595"/>
    <n v="13932.49"/>
    <n v="10348767.41"/>
  </r>
  <r>
    <s v="31-10-2025"/>
    <x v="0"/>
    <s v="132048145386"/>
    <n v="53747.68"/>
    <n v="10402515.09"/>
  </r>
  <r>
    <s v="31-10-2025"/>
    <x v="0"/>
    <s v="131450909125"/>
    <n v="8866.1299999999992"/>
    <n v="10411381.220000001"/>
  </r>
  <r>
    <s v="31-10-2025"/>
    <x v="0"/>
    <s v="132048712642"/>
    <n v="32444.19"/>
    <n v="10443825.41"/>
  </r>
  <r>
    <s v="31-10-2025"/>
    <x v="0"/>
    <s v="131451440131"/>
    <n v="34490.22"/>
    <n v="10478315.630000001"/>
  </r>
  <r>
    <s v="31-10-2025"/>
    <x v="0"/>
    <s v="132049026310"/>
    <n v="12665.9"/>
    <n v="10490981.529999999"/>
  </r>
  <r>
    <s v="31-10-2025"/>
    <x v="0"/>
    <s v="132051231038"/>
    <n v="57379.28"/>
    <n v="10548360.810000001"/>
  </r>
  <r>
    <s v="31-10-2025"/>
    <x v="0"/>
    <s v="131454294961"/>
    <n v="80184.89"/>
    <n v="10628545.6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02">
  <r>
    <x v="0"/>
    <x v="0"/>
    <n v="127694553001"/>
    <n v="8502.2999999999993"/>
    <n v="10891110.810000001"/>
    <x v="0"/>
    <m/>
    <m/>
    <n v="0"/>
    <n v="-90"/>
    <n v="-353.7"/>
    <n v="-54"/>
    <n v="9000"/>
  </r>
  <r>
    <x v="0"/>
    <x v="0"/>
    <n v="127706300651"/>
    <n v="7794.4"/>
    <n v="10898905.210000001"/>
    <x v="0"/>
    <m/>
    <m/>
    <n v="0"/>
    <n v="-80"/>
    <n v="-77.599999999999994"/>
    <n v="-48"/>
    <n v="8000"/>
  </r>
  <r>
    <x v="0"/>
    <x v="0"/>
    <n v="127707346037"/>
    <n v="8768.7000000000007"/>
    <n v="10907673.91"/>
    <x v="0"/>
    <m/>
    <m/>
    <n v="0"/>
    <n v="-90"/>
    <n v="-87.3"/>
    <n v="-54"/>
    <n v="9000"/>
  </r>
  <r>
    <x v="0"/>
    <x v="0"/>
    <n v="128274716662"/>
    <n v="10912.16"/>
    <n v="10918586.07"/>
    <x v="0"/>
    <m/>
    <m/>
    <n v="0"/>
    <n v="-112"/>
    <n v="-108.64"/>
    <n v="-67.2"/>
    <n v="11200"/>
  </r>
  <r>
    <x v="0"/>
    <x v="0"/>
    <n v="128275855374"/>
    <n v="44131.89"/>
    <n v="10962717.960000001"/>
    <x v="0"/>
    <m/>
    <m/>
    <n v="0"/>
    <n v="-452.96"/>
    <n v="-439.37"/>
    <n v="-271.77999999999997"/>
    <n v="45296"/>
  </r>
  <r>
    <x v="0"/>
    <x v="1"/>
    <n v="128275829832"/>
    <n v="2216.46"/>
    <n v="10964934.42"/>
    <x v="0"/>
    <m/>
    <m/>
    <n v="-33.96"/>
    <n v="0"/>
    <n v="0"/>
    <n v="-13.58"/>
    <n v="2264"/>
  </r>
  <r>
    <x v="0"/>
    <x v="0"/>
    <n v="127713602167"/>
    <n v="487.15"/>
    <n v="10965421.57"/>
    <x v="0"/>
    <m/>
    <m/>
    <n v="0"/>
    <n v="-5"/>
    <n v="-4.8499999999999996"/>
    <n v="-3"/>
    <n v="500"/>
  </r>
  <r>
    <x v="0"/>
    <x v="0"/>
    <n v="127715107443"/>
    <n v="30103.919999999998"/>
    <n v="10995525.49"/>
    <x v="0"/>
    <m/>
    <m/>
    <n v="0"/>
    <n v="-308.98"/>
    <n v="-299.70999999999998"/>
    <n v="-185.39"/>
    <n v="30897.999999999996"/>
  </r>
  <r>
    <x v="0"/>
    <x v="0"/>
    <n v="127715769581"/>
    <n v="38704.129999999997"/>
    <n v="11034229.619999999"/>
    <x v="0"/>
    <m/>
    <m/>
    <n v="0"/>
    <n v="-399.96"/>
    <n v="-651.92999999999995"/>
    <n v="-239.98"/>
    <n v="39996"/>
  </r>
  <r>
    <x v="0"/>
    <x v="0"/>
    <n v="128281546618"/>
    <n v="25721.52"/>
    <n v="11059951.140000001"/>
    <x v="0"/>
    <m/>
    <m/>
    <n v="0"/>
    <n v="-264"/>
    <n v="-256.08"/>
    <n v="-158.4"/>
    <n v="26400.000000000004"/>
  </r>
  <r>
    <x v="0"/>
    <x v="2"/>
    <n v="128281517156"/>
    <n v="2584.56"/>
    <n v="11062535.699999999"/>
    <x v="0"/>
    <m/>
    <m/>
    <n v="-39.6"/>
    <n v="0"/>
    <n v="0"/>
    <n v="-15.84"/>
    <n v="2640"/>
  </r>
  <r>
    <x v="0"/>
    <x v="0"/>
    <n v="128281806306"/>
    <n v="12665.9"/>
    <n v="11075201.6"/>
    <x v="0"/>
    <m/>
    <m/>
    <n v="0"/>
    <n v="-130"/>
    <n v="-126.1"/>
    <n v="-78"/>
    <n v="13000"/>
  </r>
  <r>
    <x v="0"/>
    <x v="3"/>
    <n v="128281760842"/>
    <n v="636.35"/>
    <n v="11075837.949999999"/>
    <x v="0"/>
    <m/>
    <m/>
    <n v="-9.75"/>
    <n v="0"/>
    <n v="0"/>
    <n v="-3.9"/>
    <n v="650"/>
  </r>
  <r>
    <x v="0"/>
    <x v="0"/>
    <n v="128282615258"/>
    <n v="20215.64"/>
    <n v="11096053.59"/>
    <x v="0"/>
    <m/>
    <m/>
    <n v="0"/>
    <n v="-213.99"/>
    <n v="-840.98"/>
    <n v="-128.38999999999999"/>
    <n v="21399"/>
  </r>
  <r>
    <x v="0"/>
    <x v="0"/>
    <n v="127717828761"/>
    <n v="28761.05"/>
    <n v="11124814.640000001"/>
    <x v="0"/>
    <m/>
    <m/>
    <n v="0"/>
    <n v="-329.98"/>
    <n v="-3708.98"/>
    <n v="-197.99"/>
    <n v="32998"/>
  </r>
  <r>
    <x v="0"/>
    <x v="0"/>
    <n v="127719464653"/>
    <n v="13160.72"/>
    <n v="11137975.359999999"/>
    <x v="0"/>
    <m/>
    <m/>
    <n v="0"/>
    <n v="-136"/>
    <n v="-221.68"/>
    <n v="-81.599999999999994"/>
    <n v="13600"/>
  </r>
  <r>
    <x v="0"/>
    <x v="0"/>
    <n v="127719431701"/>
    <n v="19484.05"/>
    <n v="11157459.41"/>
    <x v="0"/>
    <m/>
    <m/>
    <n v="0"/>
    <n v="-199.98"/>
    <n v="-193.98"/>
    <n v="-119.99"/>
    <n v="19998"/>
  </r>
  <r>
    <x v="0"/>
    <x v="0"/>
    <n v="128285003346"/>
    <n v="24747.22"/>
    <n v="11182206.630000001"/>
    <x v="0"/>
    <m/>
    <m/>
    <n v="0"/>
    <n v="-254"/>
    <n v="-246.38"/>
    <n v="-152.4"/>
    <n v="25400.000000000004"/>
  </r>
  <r>
    <x v="0"/>
    <x v="0"/>
    <n v="127719758089"/>
    <n v="73459.3"/>
    <n v="11255665.93"/>
    <x v="0"/>
    <m/>
    <m/>
    <n v="0"/>
    <n v="-753.97"/>
    <n v="-731.35"/>
    <n v="-452.38"/>
    <n v="75397.000000000015"/>
  </r>
  <r>
    <x v="0"/>
    <x v="0"/>
    <n v="128285683510"/>
    <n v="38972"/>
    <n v="11294637.93"/>
    <x v="0"/>
    <m/>
    <m/>
    <n v="0"/>
    <n v="-400"/>
    <n v="-388"/>
    <n v="-240"/>
    <n v="40000"/>
  </r>
  <r>
    <x v="0"/>
    <x v="0"/>
    <n v="127720557799"/>
    <n v="29226.080000000002"/>
    <n v="11323864.01"/>
    <x v="0"/>
    <m/>
    <m/>
    <n v="0"/>
    <n v="-299.97000000000003"/>
    <n v="-290.97000000000003"/>
    <n v="-179.98"/>
    <n v="29997.000000000004"/>
  </r>
  <r>
    <x v="0"/>
    <x v="0"/>
    <n v="128286715036"/>
    <n v="17050.25"/>
    <n v="11340914.26"/>
    <x v="0"/>
    <m/>
    <m/>
    <n v="0"/>
    <n v="-175"/>
    <n v="-169.75"/>
    <n v="-105"/>
    <n v="17500"/>
  </r>
  <r>
    <x v="1"/>
    <x v="0"/>
    <n v="128287489024"/>
    <n v="9645.57"/>
    <n v="11350559.83"/>
    <x v="0"/>
    <m/>
    <m/>
    <n v="0"/>
    <n v="-99"/>
    <n v="-96.03"/>
    <n v="-59.4"/>
    <n v="9900"/>
  </r>
  <r>
    <x v="1"/>
    <x v="0"/>
    <n v="128287673862"/>
    <n v="14321.24"/>
    <n v="11364881.07"/>
    <x v="0"/>
    <m/>
    <m/>
    <n v="0"/>
    <n v="-146.99"/>
    <n v="-142.58000000000001"/>
    <n v="-88.19"/>
    <n v="14699"/>
  </r>
  <r>
    <x v="1"/>
    <x v="4"/>
    <n v="128287834208"/>
    <n v="2157.7199999999998"/>
    <n v="11367038.789999999"/>
    <x v="0"/>
    <m/>
    <m/>
    <n v="-33.06"/>
    <n v="0"/>
    <n v="0"/>
    <n v="-13.22"/>
    <n v="2203.9999999999995"/>
  </r>
  <r>
    <x v="1"/>
    <x v="0"/>
    <n v="127722493817"/>
    <n v="32970.03"/>
    <n v="11400008.82"/>
    <x v="0"/>
    <m/>
    <m/>
    <n v="0"/>
    <n v="-349"/>
    <n v="-1371.57"/>
    <n v="-209.4"/>
    <n v="34900"/>
  </r>
  <r>
    <x v="1"/>
    <x v="0"/>
    <n v="128288249068"/>
    <n v="33192.11"/>
    <n v="11433200.93"/>
    <x v="0"/>
    <m/>
    <m/>
    <n v="0"/>
    <n v="-343"/>
    <n v="-559.09"/>
    <n v="-205.8"/>
    <n v="34300"/>
  </r>
  <r>
    <x v="1"/>
    <x v="0"/>
    <n v="127724766231"/>
    <n v="4354.6499999999996"/>
    <n v="11437555.58"/>
    <x v="0"/>
    <m/>
    <m/>
    <n v="0"/>
    <n v="-45"/>
    <n v="-73.349999999999994"/>
    <n v="-27"/>
    <n v="4500"/>
  </r>
  <r>
    <x v="2"/>
    <x v="5"/>
    <n v="2430883946"/>
    <n v="-30049.69"/>
    <n v="11485499.34"/>
    <x v="1"/>
    <n v="-29870.467196819085"/>
    <n v="-179.22280318091362"/>
    <n v="0"/>
    <n v="0"/>
    <n v="0"/>
    <n v="-179.22280318091362"/>
    <n v="-29870.467196819085"/>
  </r>
  <r>
    <x v="1"/>
    <x v="6"/>
    <n v="127751261829"/>
    <n v="-1759.76"/>
    <n v="10947597.15"/>
    <x v="2"/>
    <n v="-293293.33333333331"/>
    <m/>
    <n v="0"/>
    <n v="0"/>
    <n v="0"/>
    <m/>
    <n v="-1759.76"/>
  </r>
  <r>
    <x v="1"/>
    <x v="7"/>
    <n v="127751261829"/>
    <n v="-293293.89"/>
    <n v="10949356.91"/>
    <x v="1"/>
    <n v="-291544.62226640159"/>
    <n v="-1749.267733598419"/>
    <n v="0"/>
    <n v="0"/>
    <n v="0"/>
    <n v="-1759.76"/>
    <n v="-293293.89"/>
  </r>
  <r>
    <x v="1"/>
    <x v="8"/>
    <n v="127758769693"/>
    <n v="-84292.74"/>
    <n v="10863304.41"/>
    <x v="1"/>
    <n v="-83790"/>
    <n v="-502.74000000000524"/>
    <n v="0"/>
    <n v="0"/>
    <n v="0"/>
    <n v="-502.74"/>
    <n v="-83790"/>
  </r>
  <r>
    <x v="1"/>
    <x v="6"/>
    <n v="127775080827"/>
    <n v="-1306.01"/>
    <n v="10385055.92"/>
    <x v="2"/>
    <n v="-217668.33333333331"/>
    <m/>
    <n v="0"/>
    <n v="0"/>
    <n v="0"/>
    <m/>
    <n v="-1306.01"/>
  </r>
  <r>
    <x v="1"/>
    <x v="9"/>
    <n v="127775080827"/>
    <n v="-217667.97"/>
    <n v="10386361.93"/>
    <x v="1"/>
    <n v="-216369.75149105367"/>
    <n v="-1298.218508946331"/>
    <n v="0"/>
    <n v="0"/>
    <n v="0"/>
    <n v="-1306.01"/>
    <n v="-217667.97"/>
  </r>
  <r>
    <x v="1"/>
    <x v="6"/>
    <n v="127775364243"/>
    <n v="-1222.1600000000001"/>
    <n v="10658388.35"/>
    <x v="2"/>
    <n v="-203693.33333333334"/>
    <m/>
    <n v="0"/>
    <n v="0"/>
    <n v="0"/>
    <m/>
    <n v="-1222.1600000000001"/>
  </r>
  <r>
    <x v="1"/>
    <x v="9"/>
    <n v="127775364243"/>
    <n v="-203693.9"/>
    <n v="10659610.51"/>
    <x v="1"/>
    <n v="-202479.02584493041"/>
    <n v="-1214.874155069585"/>
    <n v="0"/>
    <n v="0"/>
    <n v="0"/>
    <n v="-1222.1600000000001"/>
    <n v="-203693.9"/>
  </r>
  <r>
    <x v="3"/>
    <x v="10"/>
    <n v="128258988637"/>
    <n v="-960111.31"/>
    <n v="15917896.390000001"/>
    <x v="1"/>
    <n v="-954385"/>
    <n v="-5726.3100000000559"/>
    <n v="0"/>
    <n v="0"/>
    <n v="0"/>
    <n v="-5726.3100000000559"/>
    <n v="-954385"/>
  </r>
  <r>
    <x v="3"/>
    <x v="6"/>
    <n v="128290347795"/>
    <n v="-9232.32"/>
    <n v="13058557.539999999"/>
    <x v="2"/>
    <n v="-1538720"/>
    <m/>
    <n v="0"/>
    <n v="0"/>
    <n v="0"/>
    <m/>
    <n v="-9232.32"/>
  </r>
  <r>
    <x v="3"/>
    <x v="11"/>
    <n v="128290347795"/>
    <n v="-1538720.7"/>
    <n v="13067789.859999999"/>
    <x v="1"/>
    <n v="-1529543.439363817"/>
    <n v="-9177.2606361829676"/>
    <n v="0"/>
    <n v="0"/>
    <n v="0"/>
    <n v="-9232.32"/>
    <n v="-1538720.7"/>
  </r>
  <r>
    <x v="1"/>
    <x v="0"/>
    <n v="127826757701"/>
    <n v="9548.14"/>
    <n v="10394604.060000001"/>
    <x v="0"/>
    <m/>
    <m/>
    <n v="0"/>
    <n v="-98"/>
    <n v="-95.06"/>
    <n v="-58.8"/>
    <n v="9799.9999999999982"/>
  </r>
  <r>
    <x v="1"/>
    <x v="0"/>
    <n v="128398739964"/>
    <n v="9353.2800000000007"/>
    <n v="10403957.34"/>
    <x v="0"/>
    <m/>
    <m/>
    <n v="0"/>
    <n v="-96"/>
    <n v="-93.12"/>
    <n v="-57.6"/>
    <n v="9600.0000000000018"/>
  </r>
  <r>
    <x v="1"/>
    <x v="0"/>
    <n v="127834309851"/>
    <n v="13932.49"/>
    <n v="10417889.83"/>
    <x v="0"/>
    <m/>
    <m/>
    <n v="0"/>
    <n v="-143"/>
    <n v="-138.71"/>
    <n v="-85.8"/>
    <n v="14299.999999999998"/>
  </r>
  <r>
    <x v="1"/>
    <x v="12"/>
    <n v="127834303877"/>
    <n v="2099.9499999999998"/>
    <n v="10419989.779999999"/>
    <x v="0"/>
    <m/>
    <m/>
    <n v="-32.18"/>
    <n v="0"/>
    <n v="0"/>
    <n v="-12.87"/>
    <n v="2144.9999999999995"/>
  </r>
  <r>
    <x v="1"/>
    <x v="0"/>
    <n v="128402388274"/>
    <n v="12958.19"/>
    <n v="10432947.970000001"/>
    <x v="0"/>
    <m/>
    <m/>
    <n v="0"/>
    <n v="-133"/>
    <n v="-129.01"/>
    <n v="-79.8"/>
    <n v="13300"/>
  </r>
  <r>
    <x v="1"/>
    <x v="13"/>
    <n v="128402325040"/>
    <n v="1302.07"/>
    <n v="10434250.039999999"/>
    <x v="0"/>
    <m/>
    <m/>
    <n v="-19.95"/>
    <n v="0"/>
    <n v="0"/>
    <n v="-7.98"/>
    <n v="1330"/>
  </r>
  <r>
    <x v="1"/>
    <x v="0"/>
    <n v="127836305261"/>
    <n v="30598.36"/>
    <n v="10464848.4"/>
    <x v="0"/>
    <m/>
    <m/>
    <n v="0"/>
    <n v="-326"/>
    <n v="-1480.04"/>
    <n v="-195.6"/>
    <n v="32600"/>
  </r>
  <r>
    <x v="1"/>
    <x v="0"/>
    <n v="128408491342"/>
    <n v="4676.6400000000003"/>
    <n v="10469525.039999999"/>
    <x v="0"/>
    <m/>
    <m/>
    <n v="0"/>
    <n v="-48"/>
    <n v="-46.56"/>
    <n v="-28.8"/>
    <n v="4800.0000000000009"/>
  </r>
  <r>
    <x v="1"/>
    <x v="0"/>
    <n v="128408853332"/>
    <n v="4534.5600000000004"/>
    <n v="10474059.6"/>
    <x v="0"/>
    <m/>
    <m/>
    <n v="0"/>
    <n v="-48"/>
    <n v="-188.64"/>
    <n v="-28.8"/>
    <n v="4800.0000000000009"/>
  </r>
  <r>
    <x v="1"/>
    <x v="0"/>
    <n v="127843829541"/>
    <n v="37705.410000000003"/>
    <n v="10511765.01"/>
    <x v="0"/>
    <m/>
    <m/>
    <n v="0"/>
    <n v="-387"/>
    <n v="-375.39"/>
    <n v="-232.2"/>
    <n v="38700"/>
  </r>
  <r>
    <x v="1"/>
    <x v="14"/>
    <n v="128410134666"/>
    <n v="1894.36"/>
    <n v="10513659.369999999"/>
    <x v="0"/>
    <m/>
    <m/>
    <n v="-29.03"/>
    <n v="0"/>
    <n v="0"/>
    <n v="-11.61"/>
    <n v="1934.9999999999998"/>
  </r>
  <r>
    <x v="1"/>
    <x v="0"/>
    <n v="127845010923"/>
    <n v="8768.7000000000007"/>
    <n v="10522428.07"/>
    <x v="0"/>
    <m/>
    <m/>
    <n v="0"/>
    <n v="-90"/>
    <n v="-87.3"/>
    <n v="-54"/>
    <n v="9000"/>
  </r>
  <r>
    <x v="1"/>
    <x v="0"/>
    <n v="127845412065"/>
    <n v="4676.6400000000003"/>
    <n v="10527104.710000001"/>
    <x v="0"/>
    <m/>
    <m/>
    <n v="0"/>
    <n v="-48"/>
    <n v="-46.56"/>
    <n v="-28.8"/>
    <n v="4800.0000000000009"/>
  </r>
  <r>
    <x v="1"/>
    <x v="15"/>
    <n v="128411521730"/>
    <n v="469.92"/>
    <n v="10527574.630000001"/>
    <x v="0"/>
    <m/>
    <m/>
    <n v="-7.2"/>
    <n v="0"/>
    <n v="0"/>
    <n v="-2.88"/>
    <n v="480"/>
  </r>
  <r>
    <x v="1"/>
    <x v="0"/>
    <n v="127845621093"/>
    <n v="4286.92"/>
    <n v="10531861.550000001"/>
    <x v="0"/>
    <m/>
    <m/>
    <n v="0"/>
    <n v="-44"/>
    <n v="-42.68"/>
    <n v="-26.4"/>
    <n v="4400"/>
  </r>
  <r>
    <x v="1"/>
    <x v="0"/>
    <n v="127846108405"/>
    <n v="3967.74"/>
    <n v="10535829.289999999"/>
    <x v="0"/>
    <m/>
    <m/>
    <n v="0"/>
    <n v="-42"/>
    <n v="-165.06"/>
    <n v="-25.2"/>
    <n v="4200"/>
  </r>
  <r>
    <x v="1"/>
    <x v="0"/>
    <n v="127846250789"/>
    <n v="3967.74"/>
    <n v="10539797.029999999"/>
    <x v="0"/>
    <m/>
    <m/>
    <n v="0"/>
    <n v="-42"/>
    <n v="-165.06"/>
    <n v="-25.2"/>
    <n v="4200"/>
  </r>
  <r>
    <x v="1"/>
    <x v="0"/>
    <n v="128412427806"/>
    <n v="25342.2"/>
    <n v="10565139.23"/>
    <x v="0"/>
    <m/>
    <m/>
    <n v="0"/>
    <n v="-270"/>
    <n v="-1225.8"/>
    <n v="-162"/>
    <n v="27000"/>
  </r>
  <r>
    <x v="1"/>
    <x v="0"/>
    <n v="127847014705"/>
    <n v="14322.21"/>
    <n v="10579461.439999999"/>
    <x v="0"/>
    <m/>
    <m/>
    <n v="0"/>
    <n v="-147"/>
    <n v="-142.59"/>
    <n v="-88.2"/>
    <n v="14700"/>
  </r>
  <r>
    <x v="1"/>
    <x v="0"/>
    <n v="128413285526"/>
    <n v="4534.5600000000004"/>
    <n v="10583996"/>
    <x v="0"/>
    <m/>
    <m/>
    <n v="0"/>
    <n v="-48"/>
    <n v="-188.64"/>
    <n v="-28.8"/>
    <n v="4800.0000000000009"/>
  </r>
  <r>
    <x v="1"/>
    <x v="0"/>
    <n v="127847143045"/>
    <n v="4676.6400000000003"/>
    <n v="10588672.640000001"/>
    <x v="0"/>
    <m/>
    <m/>
    <n v="0"/>
    <n v="-48"/>
    <n v="-46.56"/>
    <n v="-28.8"/>
    <n v="4800.0000000000009"/>
  </r>
  <r>
    <x v="1"/>
    <x v="0"/>
    <n v="128413748622"/>
    <n v="9743"/>
    <n v="10598415.640000001"/>
    <x v="0"/>
    <m/>
    <m/>
    <n v="0"/>
    <n v="-100"/>
    <n v="-97"/>
    <n v="-60"/>
    <n v="10000"/>
  </r>
  <r>
    <x v="1"/>
    <x v="0"/>
    <n v="127847979869"/>
    <n v="29234.38"/>
    <n v="10627650.02"/>
    <x v="0"/>
    <m/>
    <m/>
    <n v="0"/>
    <n v="-322"/>
    <n v="-2450.42"/>
    <n v="-193.2"/>
    <n v="32200.000000000004"/>
  </r>
  <r>
    <x v="1"/>
    <x v="0"/>
    <n v="127848195943"/>
    <n v="33905.64"/>
    <n v="10661555.66"/>
    <x v="0"/>
    <m/>
    <m/>
    <n v="0"/>
    <n v="-348"/>
    <n v="-337.56"/>
    <n v="-208.8"/>
    <n v="34800"/>
  </r>
  <r>
    <x v="1"/>
    <x v="4"/>
    <n v="128414396282"/>
    <n v="5110.38"/>
    <n v="10666666.039999999"/>
    <x v="0"/>
    <m/>
    <m/>
    <n v="-78.3"/>
    <n v="0"/>
    <n v="0"/>
    <n v="-31.32"/>
    <n v="5220"/>
  </r>
  <r>
    <x v="1"/>
    <x v="0"/>
    <n v="128414602122"/>
    <n v="5628.98"/>
    <n v="10672295.02"/>
    <x v="0"/>
    <m/>
    <m/>
    <n v="0"/>
    <n v="-62"/>
    <n v="-471.82"/>
    <n v="-37.200000000000003"/>
    <n v="6199.9999999999991"/>
  </r>
  <r>
    <x v="1"/>
    <x v="0"/>
    <n v="127848730441"/>
    <n v="8768.7000000000007"/>
    <n v="10681063.720000001"/>
    <x v="0"/>
    <m/>
    <m/>
    <n v="0"/>
    <n v="-90"/>
    <n v="-87.3"/>
    <n v="-54"/>
    <n v="9000"/>
  </r>
  <r>
    <x v="1"/>
    <x v="0"/>
    <n v="127849129705"/>
    <n v="4676.6400000000003"/>
    <n v="10685740.359999999"/>
    <x v="0"/>
    <m/>
    <m/>
    <n v="0"/>
    <n v="-48"/>
    <n v="-46.56"/>
    <n v="-28.8"/>
    <n v="4800.0000000000009"/>
  </r>
  <r>
    <x v="1"/>
    <x v="0"/>
    <n v="128415782272"/>
    <n v="3897.2"/>
    <n v="10689637.560000001"/>
    <x v="0"/>
    <m/>
    <m/>
    <n v="0"/>
    <n v="-40"/>
    <n v="-38.799999999999997"/>
    <n v="-24"/>
    <n v="4000"/>
  </r>
  <r>
    <x v="1"/>
    <x v="0"/>
    <n v="127850379377"/>
    <n v="11301.88"/>
    <n v="10700939.439999999"/>
    <x v="0"/>
    <m/>
    <m/>
    <n v="0"/>
    <n v="-116"/>
    <n v="-112.52"/>
    <n v="-69.599999999999994"/>
    <n v="11600"/>
  </r>
  <r>
    <x v="1"/>
    <x v="0"/>
    <n v="127850602909"/>
    <n v="3897.2"/>
    <n v="10704836.640000001"/>
    <x v="0"/>
    <m/>
    <m/>
    <n v="0"/>
    <n v="-40"/>
    <n v="-38.799999999999997"/>
    <n v="-24"/>
    <n v="4000"/>
  </r>
  <r>
    <x v="1"/>
    <x v="0"/>
    <n v="127850717607"/>
    <n v="11169.34"/>
    <n v="10716005.98"/>
    <x v="0"/>
    <m/>
    <m/>
    <n v="0"/>
    <n v="-119"/>
    <n v="-540.26"/>
    <n v="-71.400000000000006"/>
    <n v="11900"/>
  </r>
  <r>
    <x v="1"/>
    <x v="0"/>
    <n v="128416983560"/>
    <n v="7404.68"/>
    <n v="10723410.66"/>
    <x v="0"/>
    <m/>
    <m/>
    <n v="0"/>
    <n v="-76"/>
    <n v="-73.72"/>
    <n v="-45.6"/>
    <n v="7600.0000000000009"/>
  </r>
  <r>
    <x v="1"/>
    <x v="0"/>
    <n v="128417090472"/>
    <n v="33955.46"/>
    <n v="10757366.119999999"/>
    <x v="0"/>
    <m/>
    <m/>
    <n v="0"/>
    <n v="-374"/>
    <n v="-2846.14"/>
    <n v="-224.4"/>
    <n v="37400"/>
  </r>
  <r>
    <x v="1"/>
    <x v="16"/>
    <n v="128417023642"/>
    <n v="3661.46"/>
    <n v="10761027.58"/>
    <x v="0"/>
    <m/>
    <m/>
    <n v="-56.1"/>
    <n v="0"/>
    <n v="0"/>
    <n v="-22.44"/>
    <n v="3740"/>
  </r>
  <r>
    <x v="1"/>
    <x v="0"/>
    <n v="128417478168"/>
    <n v="4384.3500000000004"/>
    <n v="10765411.93"/>
    <x v="0"/>
    <m/>
    <m/>
    <n v="0"/>
    <n v="-45"/>
    <n v="-43.65"/>
    <n v="-27"/>
    <n v="4500"/>
  </r>
  <r>
    <x v="1"/>
    <x v="0"/>
    <n v="127851297553"/>
    <n v="3967.74"/>
    <n v="10769379.67"/>
    <x v="0"/>
    <m/>
    <m/>
    <n v="0"/>
    <n v="-42"/>
    <n v="-165.06"/>
    <n v="-25.2"/>
    <n v="4200"/>
  </r>
  <r>
    <x v="1"/>
    <x v="0"/>
    <n v="127851529137"/>
    <n v="9743"/>
    <n v="10779122.67"/>
    <x v="0"/>
    <m/>
    <m/>
    <n v="0"/>
    <n v="-100"/>
    <n v="-97"/>
    <n v="-60"/>
    <n v="10000"/>
  </r>
  <r>
    <x v="1"/>
    <x v="0"/>
    <n v="127852042311"/>
    <n v="2338.3200000000002"/>
    <n v="10781460.99"/>
    <x v="0"/>
    <m/>
    <m/>
    <n v="0"/>
    <n v="-24"/>
    <n v="-23.28"/>
    <n v="-14.4"/>
    <n v="2400.0000000000005"/>
  </r>
  <r>
    <x v="1"/>
    <x v="0"/>
    <n v="127852662327"/>
    <n v="29911.01"/>
    <n v="10811372"/>
    <x v="0"/>
    <m/>
    <m/>
    <n v="0"/>
    <n v="-307"/>
    <n v="-297.79000000000002"/>
    <n v="-184.2"/>
    <n v="30700"/>
  </r>
  <r>
    <x v="1"/>
    <x v="0"/>
    <n v="128418794938"/>
    <n v="3897.2"/>
    <n v="10815269.199999999"/>
    <x v="0"/>
    <m/>
    <m/>
    <n v="0"/>
    <n v="-40"/>
    <n v="-38.799999999999997"/>
    <n v="-24"/>
    <n v="4000"/>
  </r>
  <r>
    <x v="1"/>
    <x v="0"/>
    <n v="127852972373"/>
    <n v="4676.6400000000003"/>
    <n v="10819945.84"/>
    <x v="0"/>
    <m/>
    <m/>
    <n v="0"/>
    <n v="-48"/>
    <n v="-46.56"/>
    <n v="-28.8"/>
    <n v="4800.0000000000009"/>
  </r>
  <r>
    <x v="1"/>
    <x v="0"/>
    <n v="128419226662"/>
    <n v="3967.74"/>
    <n v="10823913.58"/>
    <x v="0"/>
    <m/>
    <m/>
    <n v="0"/>
    <n v="-42"/>
    <n v="-165.06"/>
    <n v="-25.2"/>
    <n v="4200"/>
  </r>
  <r>
    <x v="1"/>
    <x v="0"/>
    <n v="128419350310"/>
    <n v="93825.09"/>
    <n v="10917738.67"/>
    <x v="0"/>
    <m/>
    <m/>
    <n v="0"/>
    <n v="-963"/>
    <n v="-934.11"/>
    <n v="-577.79999999999995"/>
    <n v="96300"/>
  </r>
  <r>
    <x v="1"/>
    <x v="0"/>
    <n v="128419431770"/>
    <n v="23772.92"/>
    <n v="10941511.59"/>
    <x v="0"/>
    <m/>
    <m/>
    <n v="0"/>
    <n v="-244"/>
    <n v="-236.68"/>
    <n v="-146.4"/>
    <n v="24400"/>
  </r>
  <r>
    <x v="1"/>
    <x v="0"/>
    <n v="128419732970"/>
    <n v="4676.6400000000003"/>
    <n v="10946188.23"/>
    <x v="0"/>
    <m/>
    <m/>
    <n v="0"/>
    <n v="-48"/>
    <n v="-46.56"/>
    <n v="-28.8"/>
    <n v="4800.0000000000009"/>
  </r>
  <r>
    <x v="1"/>
    <x v="0"/>
    <n v="127853704713"/>
    <n v="9743"/>
    <n v="10955931.23"/>
    <x v="0"/>
    <m/>
    <m/>
    <n v="0"/>
    <n v="-100"/>
    <n v="-97"/>
    <n v="-60"/>
    <n v="10000"/>
  </r>
  <r>
    <x v="1"/>
    <x v="17"/>
    <n v="127853669293"/>
    <n v="489.5"/>
    <n v="10956420.73"/>
    <x v="0"/>
    <m/>
    <m/>
    <n v="-7.5"/>
    <n v="0"/>
    <n v="0"/>
    <n v="-3"/>
    <n v="500"/>
  </r>
  <r>
    <x v="1"/>
    <x v="0"/>
    <n v="127853815447"/>
    <n v="18121.98"/>
    <n v="10974542.710000001"/>
    <x v="0"/>
    <m/>
    <m/>
    <n v="0"/>
    <n v="-186"/>
    <n v="-180.42"/>
    <n v="-111.6"/>
    <n v="18599.999999999996"/>
  </r>
  <r>
    <x v="1"/>
    <x v="0"/>
    <n v="128420232980"/>
    <n v="41661.269999999997"/>
    <n v="11016203.98"/>
    <x v="0"/>
    <m/>
    <m/>
    <n v="0"/>
    <n v="-441"/>
    <n v="-1733.13"/>
    <n v="-264.60000000000002"/>
    <n v="44099.999999999993"/>
  </r>
  <r>
    <x v="1"/>
    <x v="0"/>
    <n v="127854076319"/>
    <n v="6138.09"/>
    <n v="11022342.07"/>
    <x v="0"/>
    <m/>
    <m/>
    <n v="0"/>
    <n v="-63"/>
    <n v="-61.11"/>
    <n v="-37.799999999999997"/>
    <n v="6300"/>
  </r>
  <r>
    <x v="1"/>
    <x v="0"/>
    <n v="128420407042"/>
    <n v="210340.26"/>
    <n v="11232682.33"/>
    <x v="0"/>
    <m/>
    <m/>
    <n v="0"/>
    <n v="-2241"/>
    <n v="-10174.14"/>
    <n v="-1344.6"/>
    <n v="224100.00000000003"/>
  </r>
  <r>
    <x v="1"/>
    <x v="0"/>
    <n v="127854278121"/>
    <n v="6138.09"/>
    <n v="11238820.42"/>
    <x v="0"/>
    <m/>
    <m/>
    <n v="0"/>
    <n v="-63"/>
    <n v="-61.11"/>
    <n v="-37.799999999999997"/>
    <n v="6300"/>
  </r>
  <r>
    <x v="1"/>
    <x v="0"/>
    <n v="128420454022"/>
    <n v="9743"/>
    <n v="11248563.42"/>
    <x v="0"/>
    <m/>
    <m/>
    <n v="0"/>
    <n v="-100"/>
    <n v="-97"/>
    <n v="-60"/>
    <n v="10000"/>
  </r>
  <r>
    <x v="1"/>
    <x v="0"/>
    <n v="127854437157"/>
    <n v="46376.68"/>
    <n v="11294940.1"/>
    <x v="0"/>
    <m/>
    <m/>
    <n v="0"/>
    <n v="-476"/>
    <n v="-461.72"/>
    <n v="-285.60000000000002"/>
    <n v="47600"/>
  </r>
  <r>
    <x v="1"/>
    <x v="0"/>
    <n v="128420793726"/>
    <n v="7112.39"/>
    <n v="11302052.49"/>
    <x v="0"/>
    <m/>
    <m/>
    <n v="0"/>
    <n v="-73"/>
    <n v="-70.81"/>
    <n v="-43.8"/>
    <n v="7300.0000000000009"/>
  </r>
  <r>
    <x v="4"/>
    <x v="0"/>
    <n v="127854884711"/>
    <n v="4871.5"/>
    <n v="11306923.99"/>
    <x v="0"/>
    <m/>
    <m/>
    <n v="0"/>
    <n v="-50"/>
    <n v="-48.5"/>
    <n v="-30"/>
    <n v="5000"/>
  </r>
  <r>
    <x v="4"/>
    <x v="0"/>
    <n v="127854922579"/>
    <n v="29597.54"/>
    <n v="11336521.529999999"/>
    <x v="0"/>
    <m/>
    <m/>
    <n v="0"/>
    <n v="-326"/>
    <n v="-2480.86"/>
    <n v="-195.6"/>
    <n v="32600"/>
  </r>
  <r>
    <x v="4"/>
    <x v="0"/>
    <n v="127854974679"/>
    <n v="18316.84"/>
    <n v="11354838.369999999"/>
    <x v="0"/>
    <m/>
    <m/>
    <n v="0"/>
    <n v="-188"/>
    <n v="-182.36"/>
    <n v="-112.8"/>
    <n v="18800"/>
  </r>
  <r>
    <x v="4"/>
    <x v="0"/>
    <n v="128421075828"/>
    <n v="106718.82"/>
    <n v="11461557.189999999"/>
    <x v="0"/>
    <m/>
    <m/>
    <n v="0"/>
    <n v="-1137"/>
    <n v="-5161.9799999999996"/>
    <n v="-682.2"/>
    <n v="113700"/>
  </r>
  <r>
    <x v="4"/>
    <x v="0"/>
    <n v="128421266626"/>
    <n v="4189.49"/>
    <n v="11465746.68"/>
    <x v="0"/>
    <m/>
    <m/>
    <n v="0"/>
    <n v="-43"/>
    <n v="-41.71"/>
    <n v="-25.8"/>
    <n v="4300"/>
  </r>
  <r>
    <x v="4"/>
    <x v="0"/>
    <n v="128421434434"/>
    <n v="9353.2800000000007"/>
    <n v="11475099.960000001"/>
    <x v="0"/>
    <m/>
    <m/>
    <n v="0"/>
    <n v="-96"/>
    <n v="-93.12"/>
    <n v="-57.6"/>
    <n v="9600.0000000000018"/>
  </r>
  <r>
    <x v="4"/>
    <x v="0"/>
    <n v="128421490336"/>
    <n v="13250.48"/>
    <n v="11488350.439999999"/>
    <x v="0"/>
    <m/>
    <m/>
    <n v="0"/>
    <n v="-136"/>
    <n v="-131.91999999999999"/>
    <n v="-81.599999999999994"/>
    <n v="13600"/>
  </r>
  <r>
    <x v="4"/>
    <x v="0"/>
    <n v="128421501412"/>
    <n v="154252.21"/>
    <n v="11642602.65"/>
    <x v="0"/>
    <m/>
    <m/>
    <n v="0"/>
    <n v="-1699"/>
    <n v="-12929.39"/>
    <n v="-1019.4"/>
    <n v="169899.99999999997"/>
  </r>
  <r>
    <x v="4"/>
    <x v="0"/>
    <n v="127855461023"/>
    <n v="15209.67"/>
    <n v="11657812.32"/>
    <x v="0"/>
    <m/>
    <m/>
    <n v="0"/>
    <n v="-161"/>
    <n v="-632.73"/>
    <n v="-96.6"/>
    <n v="16100"/>
  </r>
  <r>
    <x v="4"/>
    <x v="0"/>
    <n v="127855560075"/>
    <n v="25154.48"/>
    <n v="11682966.800000001"/>
    <x v="0"/>
    <m/>
    <m/>
    <n v="0"/>
    <n v="-268"/>
    <n v="-1216.72"/>
    <n v="-160.80000000000001"/>
    <n v="26800"/>
  </r>
  <r>
    <x v="4"/>
    <x v="0"/>
    <n v="127855916129"/>
    <n v="7502.11"/>
    <n v="11690468.91"/>
    <x v="0"/>
    <m/>
    <m/>
    <n v="0"/>
    <n v="-77"/>
    <n v="-74.69"/>
    <n v="-46.2"/>
    <n v="7699.9999999999991"/>
  </r>
  <r>
    <x v="4"/>
    <x v="0"/>
    <n v="128422197004"/>
    <n v="3897.2"/>
    <n v="11694366.109999999"/>
    <x v="0"/>
    <m/>
    <m/>
    <n v="0"/>
    <n v="-40"/>
    <n v="-38.799999999999997"/>
    <n v="-24"/>
    <n v="4000"/>
  </r>
  <r>
    <x v="4"/>
    <x v="18"/>
    <n v="128422276166"/>
    <n v="587.4"/>
    <n v="11694953.51"/>
    <x v="0"/>
    <m/>
    <m/>
    <n v="-9"/>
    <n v="0"/>
    <n v="0"/>
    <n v="-3.6"/>
    <n v="600"/>
  </r>
  <r>
    <x v="4"/>
    <x v="19"/>
    <n v="128421075828"/>
    <n v="-106718.82"/>
    <n v="11588234.689999999"/>
    <x v="0"/>
    <m/>
    <m/>
    <n v="0"/>
    <n v="1137"/>
    <n v="5161.9799999999996"/>
    <n v="682.2"/>
    <n v="-113700"/>
  </r>
  <r>
    <x v="4"/>
    <x v="0"/>
    <n v="127856005159"/>
    <n v="9353.2800000000007"/>
    <n v="11597587.970000001"/>
    <x v="0"/>
    <m/>
    <m/>
    <n v="0"/>
    <n v="-96"/>
    <n v="-93.12"/>
    <n v="-57.6"/>
    <n v="9600.0000000000018"/>
  </r>
  <r>
    <x v="4"/>
    <x v="0"/>
    <n v="127856064757"/>
    <n v="34352.76"/>
    <n v="11631940.73"/>
    <x v="0"/>
    <m/>
    <m/>
    <n v="0"/>
    <n v="-366"/>
    <n v="-1661.64"/>
    <n v="-219.6"/>
    <n v="36600"/>
  </r>
  <r>
    <x v="4"/>
    <x v="0"/>
    <n v="127856418189"/>
    <n v="6820.1"/>
    <n v="11638760.83"/>
    <x v="0"/>
    <m/>
    <m/>
    <n v="0"/>
    <n v="-70"/>
    <n v="-67.900000000000006"/>
    <n v="-42"/>
    <n v="7000"/>
  </r>
  <r>
    <x v="4"/>
    <x v="0"/>
    <n v="127856497497"/>
    <n v="4092.06"/>
    <n v="11642852.890000001"/>
    <x v="0"/>
    <m/>
    <m/>
    <n v="0"/>
    <n v="-42"/>
    <n v="-40.74"/>
    <n v="-25.2"/>
    <n v="4199.9999999999991"/>
  </r>
  <r>
    <x v="4"/>
    <x v="0"/>
    <n v="128422949584"/>
    <n v="58263.14"/>
    <n v="11701116.029999999"/>
    <x v="0"/>
    <m/>
    <m/>
    <n v="0"/>
    <n v="-598"/>
    <n v="-580.05999999999995"/>
    <n v="-358.8"/>
    <n v="59800"/>
  </r>
  <r>
    <x v="4"/>
    <x v="20"/>
    <n v="128423104492"/>
    <n v="2927.21"/>
    <n v="11704043.24"/>
    <x v="0"/>
    <m/>
    <m/>
    <n v="-44.85"/>
    <n v="0"/>
    <n v="0"/>
    <n v="-17.940000000000001"/>
    <n v="2990"/>
  </r>
  <r>
    <x v="4"/>
    <x v="0"/>
    <n v="127856899443"/>
    <n v="8259.68"/>
    <n v="11712302.92"/>
    <x v="0"/>
    <m/>
    <m/>
    <n v="0"/>
    <n v="-88"/>
    <n v="-399.52"/>
    <n v="-52.8"/>
    <n v="8800"/>
  </r>
  <r>
    <x v="4"/>
    <x v="0"/>
    <n v="128423208738"/>
    <n v="4534.5600000000004"/>
    <n v="11716837.48"/>
    <x v="0"/>
    <m/>
    <m/>
    <n v="0"/>
    <n v="-48"/>
    <n v="-188.64"/>
    <n v="-28.8"/>
    <n v="4800.0000000000009"/>
  </r>
  <r>
    <x v="4"/>
    <x v="0"/>
    <n v="128423356546"/>
    <n v="12665.9"/>
    <n v="11729503.380000001"/>
    <x v="0"/>
    <m/>
    <m/>
    <n v="0"/>
    <n v="-130"/>
    <n v="-126.1"/>
    <n v="-78"/>
    <n v="13000"/>
  </r>
  <r>
    <x v="4"/>
    <x v="0"/>
    <n v="127857063969"/>
    <n v="10035.290000000001"/>
    <n v="11739538.67"/>
    <x v="0"/>
    <m/>
    <m/>
    <n v="0"/>
    <n v="-103"/>
    <n v="-99.91"/>
    <n v="-61.8"/>
    <n v="10300"/>
  </r>
  <r>
    <x v="4"/>
    <x v="0"/>
    <n v="127857363213"/>
    <n v="5163.79"/>
    <n v="11744702.460000001"/>
    <x v="0"/>
    <m/>
    <m/>
    <n v="0"/>
    <n v="-53"/>
    <n v="-51.41"/>
    <n v="-31.8"/>
    <n v="5300"/>
  </r>
  <r>
    <x v="4"/>
    <x v="0"/>
    <n v="128423642872"/>
    <n v="51248.18"/>
    <n v="11795950.640000001"/>
    <x v="0"/>
    <m/>
    <m/>
    <n v="0"/>
    <n v="-526"/>
    <n v="-510.22"/>
    <n v="-315.60000000000002"/>
    <n v="52600"/>
  </r>
  <r>
    <x v="4"/>
    <x v="0"/>
    <n v="128423577732"/>
    <n v="68883.009999999995"/>
    <n v="11864833.65"/>
    <x v="0"/>
    <m/>
    <m/>
    <n v="0"/>
    <n v="-707"/>
    <n v="-685.79"/>
    <n v="-424.2"/>
    <n v="70699.999999999985"/>
  </r>
  <r>
    <x v="4"/>
    <x v="21"/>
    <n v="127857497901"/>
    <n v="3460.76"/>
    <n v="11868294.41"/>
    <x v="0"/>
    <m/>
    <m/>
    <n v="-53.03"/>
    <n v="0"/>
    <n v="0"/>
    <n v="-21.21"/>
    <n v="3535.0000000000005"/>
  </r>
  <r>
    <x v="4"/>
    <x v="0"/>
    <n v="127857712847"/>
    <n v="4676.6400000000003"/>
    <n v="11872971.050000001"/>
    <x v="0"/>
    <m/>
    <m/>
    <n v="0"/>
    <n v="-48"/>
    <n v="-46.56"/>
    <n v="-28.8"/>
    <n v="4800.0000000000009"/>
  </r>
  <r>
    <x v="4"/>
    <x v="0"/>
    <n v="127857862671"/>
    <n v="16270.81"/>
    <n v="11889241.859999999"/>
    <x v="0"/>
    <m/>
    <m/>
    <n v="0"/>
    <n v="-167"/>
    <n v="-161.99"/>
    <n v="-100.2"/>
    <n v="16700"/>
  </r>
  <r>
    <x v="4"/>
    <x v="0"/>
    <n v="127857973671"/>
    <n v="9743"/>
    <n v="11898984.859999999"/>
    <x v="0"/>
    <m/>
    <m/>
    <n v="0"/>
    <n v="-100"/>
    <n v="-97"/>
    <n v="-60"/>
    <n v="10000"/>
  </r>
  <r>
    <x v="4"/>
    <x v="0"/>
    <n v="128424504454"/>
    <n v="12471.04"/>
    <n v="11911455.9"/>
    <x v="0"/>
    <m/>
    <m/>
    <n v="0"/>
    <n v="-128"/>
    <n v="-124.16"/>
    <n v="-76.8"/>
    <n v="12800"/>
  </r>
  <r>
    <x v="4"/>
    <x v="0"/>
    <n v="127858454489"/>
    <n v="4676.6400000000003"/>
    <n v="11916132.539999999"/>
    <x v="0"/>
    <m/>
    <m/>
    <n v="0"/>
    <n v="-48"/>
    <n v="-46.56"/>
    <n v="-28.8"/>
    <n v="4800.0000000000009"/>
  </r>
  <r>
    <x v="4"/>
    <x v="22"/>
    <n v="127858371983"/>
    <n v="469.92"/>
    <n v="11916602.460000001"/>
    <x v="0"/>
    <m/>
    <m/>
    <n v="-7.2"/>
    <n v="0"/>
    <n v="0"/>
    <n v="-2.88"/>
    <n v="480"/>
  </r>
  <r>
    <x v="4"/>
    <x v="0"/>
    <n v="128424874738"/>
    <n v="20168.009999999998"/>
    <n v="11936770.470000001"/>
    <x v="0"/>
    <m/>
    <m/>
    <n v="0"/>
    <n v="-207"/>
    <n v="-200.79"/>
    <n v="-124.2"/>
    <n v="20700"/>
  </r>
  <r>
    <x v="4"/>
    <x v="15"/>
    <n v="127858708227"/>
    <n v="1013.26"/>
    <n v="11937783.73"/>
    <x v="0"/>
    <m/>
    <m/>
    <n v="-15.53"/>
    <n v="0"/>
    <n v="0"/>
    <n v="-6.21"/>
    <n v="1035"/>
  </r>
  <r>
    <x v="4"/>
    <x v="0"/>
    <n v="127858844639"/>
    <n v="43356.35"/>
    <n v="11981140.08"/>
    <x v="0"/>
    <m/>
    <m/>
    <n v="0"/>
    <n v="-445"/>
    <n v="-431.65"/>
    <n v="-267"/>
    <n v="44500"/>
  </r>
  <r>
    <x v="4"/>
    <x v="0"/>
    <n v="127859163129"/>
    <n v="4092.06"/>
    <n v="11985232.140000001"/>
    <x v="0"/>
    <m/>
    <m/>
    <n v="0"/>
    <n v="-42"/>
    <n v="-40.74"/>
    <n v="-25.2"/>
    <n v="4199.9999999999991"/>
  </r>
  <r>
    <x v="4"/>
    <x v="0"/>
    <n v="128425421186"/>
    <n v="2338.3200000000002"/>
    <n v="11987570.460000001"/>
    <x v="0"/>
    <m/>
    <m/>
    <n v="0"/>
    <n v="-24"/>
    <n v="-23.28"/>
    <n v="-14.4"/>
    <n v="2400.0000000000005"/>
  </r>
  <r>
    <x v="4"/>
    <x v="23"/>
    <n v="127859153755"/>
    <n v="352.44"/>
    <n v="11987922.9"/>
    <x v="0"/>
    <m/>
    <m/>
    <n v="-5.4"/>
    <n v="0"/>
    <n v="0"/>
    <n v="-2.16"/>
    <n v="360"/>
  </r>
  <r>
    <x v="4"/>
    <x v="0"/>
    <n v="128425586550"/>
    <n v="32569.42"/>
    <n v="12020492.32"/>
    <x v="0"/>
    <m/>
    <m/>
    <n v="0"/>
    <n v="-347"/>
    <n v="-1575.38"/>
    <n v="-208.2"/>
    <n v="34699.999999999993"/>
  </r>
  <r>
    <x v="4"/>
    <x v="0"/>
    <n v="127859446439"/>
    <n v="12568.47"/>
    <n v="12033060.789999999"/>
    <x v="0"/>
    <m/>
    <m/>
    <n v="0"/>
    <n v="-129"/>
    <n v="-125.13"/>
    <n v="-77.400000000000006"/>
    <n v="12899.999999999998"/>
  </r>
  <r>
    <x v="4"/>
    <x v="0"/>
    <n v="127859588493"/>
    <n v="156375.15"/>
    <n v="12189435.939999999"/>
    <x v="0"/>
    <m/>
    <m/>
    <n v="0"/>
    <n v="-1605"/>
    <n v="-1556.85"/>
    <n v="-963"/>
    <n v="160500"/>
  </r>
  <r>
    <x v="4"/>
    <x v="0"/>
    <n v="128425881632"/>
    <n v="14614.5"/>
    <n v="12204050.439999999"/>
    <x v="0"/>
    <m/>
    <m/>
    <n v="0"/>
    <n v="-150"/>
    <n v="-145.5"/>
    <n v="-90"/>
    <n v="15000"/>
  </r>
  <r>
    <x v="4"/>
    <x v="0"/>
    <n v="128425855926"/>
    <n v="4251.1499999999996"/>
    <n v="12208301.59"/>
    <x v="0"/>
    <m/>
    <m/>
    <n v="0"/>
    <n v="-45"/>
    <n v="-176.85"/>
    <n v="-27"/>
    <n v="4500"/>
  </r>
  <r>
    <x v="4"/>
    <x v="0"/>
    <n v="127859910765"/>
    <n v="4384.3500000000004"/>
    <n v="12212685.939999999"/>
    <x v="0"/>
    <m/>
    <m/>
    <n v="0"/>
    <n v="-45"/>
    <n v="-43.65"/>
    <n v="-27"/>
    <n v="4500"/>
  </r>
  <r>
    <x v="4"/>
    <x v="0"/>
    <n v="128426216768"/>
    <n v="4676.6400000000003"/>
    <n v="12217362.58"/>
    <x v="0"/>
    <m/>
    <m/>
    <n v="0"/>
    <n v="-48"/>
    <n v="-46.56"/>
    <n v="-28.8"/>
    <n v="4800.0000000000009"/>
  </r>
  <r>
    <x v="4"/>
    <x v="24"/>
    <n v="128426232602"/>
    <n v="469.92"/>
    <n v="12217832.5"/>
    <x v="0"/>
    <m/>
    <m/>
    <n v="-7.2"/>
    <n v="0"/>
    <n v="0"/>
    <n v="-2.88"/>
    <n v="480"/>
  </r>
  <r>
    <x v="4"/>
    <x v="0"/>
    <n v="128426358946"/>
    <n v="19792.22"/>
    <n v="12237624.720000001"/>
    <x v="0"/>
    <m/>
    <m/>
    <n v="0"/>
    <n v="-218"/>
    <n v="-1658.98"/>
    <n v="-130.80000000000001"/>
    <n v="21800"/>
  </r>
  <r>
    <x v="4"/>
    <x v="0"/>
    <n v="127860445179"/>
    <n v="22798.62"/>
    <n v="12260423.34"/>
    <x v="0"/>
    <m/>
    <m/>
    <n v="0"/>
    <n v="-234"/>
    <n v="-226.98"/>
    <n v="-140.4"/>
    <n v="23400"/>
  </r>
  <r>
    <x v="4"/>
    <x v="0"/>
    <n v="128426740974"/>
    <n v="13640.2"/>
    <n v="12274063.539999999"/>
    <x v="0"/>
    <m/>
    <m/>
    <n v="0"/>
    <n v="-140"/>
    <n v="-135.80000000000001"/>
    <n v="-84"/>
    <n v="14000"/>
  </r>
  <r>
    <x v="4"/>
    <x v="25"/>
    <n v="128426752832"/>
    <n v="685.3"/>
    <n v="12274748.84"/>
    <x v="0"/>
    <m/>
    <m/>
    <n v="-10.5"/>
    <n v="0"/>
    <n v="0"/>
    <n v="-4.2"/>
    <n v="700"/>
  </r>
  <r>
    <x v="4"/>
    <x v="0"/>
    <n v="128426737424"/>
    <n v="9079"/>
    <n v="12283827.84"/>
    <x v="0"/>
    <m/>
    <m/>
    <n v="0"/>
    <n v="-100"/>
    <n v="-761"/>
    <n v="-60"/>
    <n v="10000"/>
  </r>
  <r>
    <x v="4"/>
    <x v="0"/>
    <n v="128426964542"/>
    <n v="18901.419999999998"/>
    <n v="12302729.26"/>
    <x v="0"/>
    <m/>
    <m/>
    <n v="0"/>
    <n v="-194"/>
    <n v="-188.18"/>
    <n v="-116.4"/>
    <n v="19400"/>
  </r>
  <r>
    <x v="4"/>
    <x v="0"/>
    <n v="128426857870"/>
    <n v="14127.35"/>
    <n v="12316856.609999999"/>
    <x v="0"/>
    <m/>
    <m/>
    <n v="0"/>
    <n v="-145"/>
    <n v="-140.65"/>
    <n v="-87"/>
    <n v="14500"/>
  </r>
  <r>
    <x v="4"/>
    <x v="0"/>
    <n v="127860773495"/>
    <n v="4092.06"/>
    <n v="12320948.67"/>
    <x v="0"/>
    <m/>
    <m/>
    <n v="0"/>
    <n v="-42"/>
    <n v="-40.74"/>
    <n v="-25.2"/>
    <n v="4199.9999999999991"/>
  </r>
  <r>
    <x v="4"/>
    <x v="0"/>
    <n v="128427183126"/>
    <n v="37997.699999999997"/>
    <n v="12358946.369999999"/>
    <x v="0"/>
    <m/>
    <m/>
    <n v="0"/>
    <n v="-390"/>
    <n v="-378.3"/>
    <n v="-234"/>
    <n v="39000"/>
  </r>
  <r>
    <x v="4"/>
    <x v="0"/>
    <n v="128427296372"/>
    <n v="27280.400000000001"/>
    <n v="12386226.77"/>
    <x v="0"/>
    <m/>
    <m/>
    <n v="0"/>
    <n v="-280"/>
    <n v="-271.60000000000002"/>
    <n v="-168"/>
    <n v="28000"/>
  </r>
  <r>
    <x v="3"/>
    <x v="6"/>
    <n v="128302630577"/>
    <n v="-7688.4"/>
    <n v="11769469.119999999"/>
    <x v="2"/>
    <n v="-1281400"/>
    <m/>
    <n v="0"/>
    <n v="0"/>
    <n v="0"/>
    <m/>
    <n v="-7688.4"/>
  </r>
  <r>
    <x v="3"/>
    <x v="26"/>
    <n v="128302630577"/>
    <n v="-1281400.02"/>
    <n v="11777157.52"/>
    <x v="1"/>
    <n v="-1273757.4751491053"/>
    <n v="-7642.5448508947156"/>
    <n v="0"/>
    <n v="0"/>
    <n v="0"/>
    <n v="-7688.4"/>
    <n v="-1281400.02"/>
  </r>
  <r>
    <x v="4"/>
    <x v="0"/>
    <n v="128532328060"/>
    <n v="34953.9"/>
    <n v="11663719.01"/>
    <x v="0"/>
    <m/>
    <m/>
    <n v="0"/>
    <n v="-370"/>
    <n v="-1454.1"/>
    <n v="-222"/>
    <n v="37000"/>
  </r>
  <r>
    <x v="4"/>
    <x v="0"/>
    <n v="128538963780"/>
    <n v="9353.2800000000007"/>
    <n v="11673072.289999999"/>
    <x v="0"/>
    <m/>
    <m/>
    <n v="0"/>
    <n v="-96"/>
    <n v="-93.12"/>
    <n v="-57.6"/>
    <n v="9600.0000000000018"/>
  </r>
  <r>
    <x v="4"/>
    <x v="0"/>
    <n v="128541606502"/>
    <n v="38585.75"/>
    <n v="11711658.039999999"/>
    <x v="0"/>
    <m/>
    <m/>
    <n v="0"/>
    <n v="-425"/>
    <n v="-3234.25"/>
    <n v="-255"/>
    <n v="42500"/>
  </r>
  <r>
    <x v="4"/>
    <x v="27"/>
    <n v="127974511167"/>
    <n v="2080.37"/>
    <n v="11713738.41"/>
    <x v="0"/>
    <m/>
    <m/>
    <n v="-31.88"/>
    <n v="0"/>
    <n v="0"/>
    <n v="-12.75"/>
    <n v="2125"/>
  </r>
  <r>
    <x v="4"/>
    <x v="0"/>
    <n v="127975227343"/>
    <n v="9548.14"/>
    <n v="11723286.550000001"/>
    <x v="0"/>
    <m/>
    <m/>
    <n v="0"/>
    <n v="-98"/>
    <n v="-95.06"/>
    <n v="-58.8"/>
    <n v="9799.9999999999982"/>
  </r>
  <r>
    <x v="4"/>
    <x v="0"/>
    <n v="127975543977"/>
    <n v="12958.19"/>
    <n v="11736244.74"/>
    <x v="0"/>
    <m/>
    <m/>
    <n v="0"/>
    <n v="-133"/>
    <n v="-129.01"/>
    <n v="-79.8"/>
    <n v="13300"/>
  </r>
  <r>
    <x v="4"/>
    <x v="28"/>
    <n v="128542794370"/>
    <n v="1953.1"/>
    <n v="11738197.84"/>
    <x v="0"/>
    <m/>
    <m/>
    <n v="-29.93"/>
    <n v="0"/>
    <n v="0"/>
    <n v="-11.97"/>
    <n v="1995"/>
  </r>
  <r>
    <x v="4"/>
    <x v="0"/>
    <n v="128544354086"/>
    <n v="27112.89"/>
    <n v="11765310.73"/>
    <x v="0"/>
    <m/>
    <m/>
    <n v="0"/>
    <n v="-287"/>
    <n v="-1127.9100000000001"/>
    <n v="-172.2"/>
    <n v="28700"/>
  </r>
  <r>
    <x v="4"/>
    <x v="0"/>
    <n v="127978785635"/>
    <n v="7794.4"/>
    <n v="11773105.130000001"/>
    <x v="0"/>
    <m/>
    <m/>
    <n v="0"/>
    <n v="-80"/>
    <n v="-77.599999999999994"/>
    <n v="-48"/>
    <n v="8000"/>
  </r>
  <r>
    <x v="4"/>
    <x v="0"/>
    <n v="127978952503"/>
    <n v="15004.22"/>
    <n v="11788109.35"/>
    <x v="0"/>
    <m/>
    <m/>
    <n v="0"/>
    <n v="-154"/>
    <n v="-149.38"/>
    <n v="-92.4"/>
    <n v="15399.999999999998"/>
  </r>
  <r>
    <x v="4"/>
    <x v="0"/>
    <n v="128546191150"/>
    <n v="9353.2800000000007"/>
    <n v="11797462.630000001"/>
    <x v="0"/>
    <m/>
    <m/>
    <n v="0"/>
    <n v="-96"/>
    <n v="-93.12"/>
    <n v="-57.6"/>
    <n v="9600.0000000000018"/>
  </r>
  <r>
    <x v="4"/>
    <x v="29"/>
    <n v="128546254534"/>
    <n v="469.92"/>
    <n v="11797932.550000001"/>
    <x v="0"/>
    <m/>
    <m/>
    <n v="-7.2"/>
    <n v="0"/>
    <n v="0"/>
    <n v="-2.88"/>
    <n v="480"/>
  </r>
  <r>
    <x v="4"/>
    <x v="0"/>
    <n v="127979226453"/>
    <n v="7935.48"/>
    <n v="11805868.029999999"/>
    <x v="0"/>
    <m/>
    <m/>
    <n v="0"/>
    <n v="-84"/>
    <n v="-330.12"/>
    <n v="-50.4"/>
    <n v="8400"/>
  </r>
  <r>
    <x v="4"/>
    <x v="0"/>
    <n v="128552186160"/>
    <n v="2240.89"/>
    <n v="11808108.92"/>
    <x v="0"/>
    <m/>
    <m/>
    <n v="0"/>
    <n v="-23"/>
    <n v="-22.31"/>
    <n v="-13.8"/>
    <n v="2300"/>
  </r>
  <r>
    <x v="4"/>
    <x v="0"/>
    <n v="128553170088"/>
    <n v="9743"/>
    <n v="11817851.92"/>
    <x v="0"/>
    <m/>
    <m/>
    <n v="0"/>
    <n v="-100"/>
    <n v="-97"/>
    <n v="-60"/>
    <n v="10000"/>
  </r>
  <r>
    <x v="4"/>
    <x v="0"/>
    <n v="127987036961"/>
    <n v="7884.24"/>
    <n v="11825736.16"/>
    <x v="0"/>
    <m/>
    <m/>
    <n v="0"/>
    <n v="-84"/>
    <n v="-381.36"/>
    <n v="-50.4"/>
    <n v="8400"/>
  </r>
  <r>
    <x v="4"/>
    <x v="0"/>
    <n v="128554292288"/>
    <n v="4774.07"/>
    <n v="11830510.23"/>
    <x v="0"/>
    <m/>
    <m/>
    <n v="0"/>
    <n v="-49"/>
    <n v="-47.53"/>
    <n v="-29.4"/>
    <n v="4899.9999999999991"/>
  </r>
  <r>
    <x v="4"/>
    <x v="0"/>
    <n v="127988026707"/>
    <n v="41417.56"/>
    <n v="11871927.789999999"/>
    <x v="0"/>
    <m/>
    <m/>
    <n v="0"/>
    <n v="-428"/>
    <n v="-697.64"/>
    <n v="-256.8"/>
    <n v="42800"/>
  </r>
  <r>
    <x v="4"/>
    <x v="0"/>
    <n v="128557855134"/>
    <n v="33613.35"/>
    <n v="11905541.140000001"/>
    <x v="0"/>
    <m/>
    <m/>
    <n v="0"/>
    <n v="-345"/>
    <n v="-334.65"/>
    <n v="-207"/>
    <n v="34500"/>
  </r>
  <r>
    <x v="4"/>
    <x v="30"/>
    <n v="128557902440"/>
    <n v="3377.55"/>
    <n v="11908918.689999999"/>
    <x v="0"/>
    <m/>
    <m/>
    <n v="-51.75"/>
    <n v="0"/>
    <n v="0"/>
    <n v="-20.7"/>
    <n v="3450"/>
  </r>
  <r>
    <x v="4"/>
    <x v="0"/>
    <n v="128557987022"/>
    <n v="4676.6400000000003"/>
    <n v="11913595.33"/>
    <x v="0"/>
    <m/>
    <m/>
    <n v="0"/>
    <n v="-48"/>
    <n v="-46.56"/>
    <n v="-28.8"/>
    <n v="4800.0000000000009"/>
  </r>
  <r>
    <x v="4"/>
    <x v="0"/>
    <n v="128558595664"/>
    <n v="19096.28"/>
    <n v="11932691.609999999"/>
    <x v="0"/>
    <m/>
    <m/>
    <n v="0"/>
    <n v="-196"/>
    <n v="-190.12"/>
    <n v="-117.6"/>
    <n v="19599.999999999996"/>
  </r>
  <r>
    <x v="4"/>
    <x v="0"/>
    <n v="128558731210"/>
    <n v="43064.06"/>
    <n v="11975755.67"/>
    <x v="0"/>
    <m/>
    <m/>
    <n v="0"/>
    <n v="-442"/>
    <n v="-428.74"/>
    <n v="-265.2"/>
    <n v="44199.999999999993"/>
  </r>
  <r>
    <x v="4"/>
    <x v="31"/>
    <n v="127991620827"/>
    <n v="2163.59"/>
    <n v="11977919.26"/>
    <x v="0"/>
    <m/>
    <m/>
    <n v="-33.15"/>
    <n v="0"/>
    <n v="0"/>
    <n v="-13.26"/>
    <n v="2210.0000000000005"/>
  </r>
  <r>
    <x v="4"/>
    <x v="0"/>
    <n v="127994543007"/>
    <n v="62744.92"/>
    <n v="12040664.18"/>
    <x v="0"/>
    <m/>
    <m/>
    <n v="0"/>
    <n v="-644"/>
    <n v="-624.67999999999995"/>
    <n v="-386.4"/>
    <n v="64400"/>
  </r>
  <r>
    <x v="4"/>
    <x v="0"/>
    <n v="127995227521"/>
    <n v="50919.33"/>
    <n v="12091583.51"/>
    <x v="0"/>
    <m/>
    <m/>
    <n v="0"/>
    <n v="-539"/>
    <n v="-2118.27"/>
    <n v="-323.39999999999998"/>
    <n v="53900"/>
  </r>
  <r>
    <x v="4"/>
    <x v="0"/>
    <n v="127996004657"/>
    <n v="40811.040000000001"/>
    <n v="12132394.550000001"/>
    <x v="0"/>
    <m/>
    <m/>
    <n v="0"/>
    <n v="-432"/>
    <n v="-1697.76"/>
    <n v="-259.2"/>
    <n v="43200"/>
  </r>
  <r>
    <x v="4"/>
    <x v="0"/>
    <n v="127996122285"/>
    <n v="8768.7000000000007"/>
    <n v="12141163.25"/>
    <x v="0"/>
    <m/>
    <m/>
    <n v="0"/>
    <n v="-90"/>
    <n v="-87.3"/>
    <n v="-54"/>
    <n v="9000"/>
  </r>
  <r>
    <x v="4"/>
    <x v="0"/>
    <n v="128563250040"/>
    <n v="4838.5"/>
    <n v="12146001.75"/>
    <x v="0"/>
    <m/>
    <m/>
    <n v="0"/>
    <n v="-50"/>
    <n v="-81.5"/>
    <n v="-30"/>
    <n v="5000"/>
  </r>
  <r>
    <x v="4"/>
    <x v="0"/>
    <n v="127996361007"/>
    <n v="66349.83"/>
    <n v="12212351.58"/>
    <x v="0"/>
    <m/>
    <m/>
    <n v="0"/>
    <n v="-681"/>
    <n v="-660.57"/>
    <n v="-408.6"/>
    <n v="68100.000000000015"/>
  </r>
  <r>
    <x v="4"/>
    <x v="32"/>
    <n v="127996301839"/>
    <n v="3333.49"/>
    <n v="12215685.07"/>
    <x v="0"/>
    <m/>
    <m/>
    <n v="-51.08"/>
    <n v="0"/>
    <n v="0"/>
    <n v="-20.43"/>
    <n v="3404.9999999999995"/>
  </r>
  <r>
    <x v="4"/>
    <x v="0"/>
    <n v="127996450215"/>
    <n v="5128.8100000000004"/>
    <n v="12220813.880000001"/>
    <x v="0"/>
    <m/>
    <m/>
    <n v="0"/>
    <n v="-53"/>
    <n v="-86.39"/>
    <n v="-31.8"/>
    <n v="5300.0000000000009"/>
  </r>
  <r>
    <x v="4"/>
    <x v="0"/>
    <n v="128563797988"/>
    <n v="16270.81"/>
    <n v="12237084.689999999"/>
    <x v="0"/>
    <m/>
    <m/>
    <n v="0"/>
    <n v="-167"/>
    <n v="-161.99"/>
    <n v="-100.2"/>
    <n v="16700"/>
  </r>
  <r>
    <x v="4"/>
    <x v="0"/>
    <n v="128564070590"/>
    <n v="42771.77"/>
    <n v="12279856.460000001"/>
    <x v="0"/>
    <m/>
    <m/>
    <n v="0"/>
    <n v="-439"/>
    <n v="-425.83"/>
    <n v="-263.39999999999998"/>
    <n v="43900"/>
  </r>
  <r>
    <x v="4"/>
    <x v="0"/>
    <n v="128564105462"/>
    <n v="8768.7000000000007"/>
    <n v="12288625.16"/>
    <x v="0"/>
    <m/>
    <m/>
    <n v="0"/>
    <n v="-90"/>
    <n v="-87.3"/>
    <n v="-54"/>
    <n v="9000"/>
  </r>
  <r>
    <x v="4"/>
    <x v="0"/>
    <n v="127997252239"/>
    <n v="9104.42"/>
    <n v="12297729.58"/>
    <x v="0"/>
    <m/>
    <m/>
    <n v="0"/>
    <n v="-97"/>
    <n v="-440.38"/>
    <n v="-58.2"/>
    <n v="9700"/>
  </r>
  <r>
    <x v="4"/>
    <x v="19"/>
    <n v="128564070590"/>
    <n v="-42771.77"/>
    <n v="12254957.810000001"/>
    <x v="0"/>
    <m/>
    <m/>
    <n v="0"/>
    <n v="439"/>
    <n v="425.83"/>
    <n v="263.39999999999998"/>
    <n v="-43900"/>
  </r>
  <r>
    <x v="4"/>
    <x v="0"/>
    <n v="127997540269"/>
    <n v="33808.21"/>
    <n v="12288766.02"/>
    <x v="0"/>
    <m/>
    <m/>
    <n v="0"/>
    <n v="-347"/>
    <n v="-336.59"/>
    <n v="-208.2"/>
    <n v="34699.999999999993"/>
  </r>
  <r>
    <x v="4"/>
    <x v="0"/>
    <n v="128564579028"/>
    <n v="29618.720000000001"/>
    <n v="12318384.74"/>
    <x v="0"/>
    <m/>
    <m/>
    <n v="0"/>
    <n v="-304"/>
    <n v="-294.88"/>
    <n v="-182.4"/>
    <n v="30400.000000000004"/>
  </r>
  <r>
    <x v="4"/>
    <x v="0"/>
    <n v="128564877302"/>
    <n v="28839.279999999999"/>
    <n v="12347224.02"/>
    <x v="0"/>
    <m/>
    <m/>
    <n v="0"/>
    <n v="-296"/>
    <n v="-287.12"/>
    <n v="-177.6"/>
    <n v="29599.999999999996"/>
  </r>
  <r>
    <x v="4"/>
    <x v="33"/>
    <n v="127997962901"/>
    <n v="1448.92"/>
    <n v="12348672.939999999"/>
    <x v="0"/>
    <m/>
    <m/>
    <n v="-22.2"/>
    <n v="0"/>
    <n v="0"/>
    <n v="-8.8800000000000008"/>
    <n v="1480.0000000000002"/>
  </r>
  <r>
    <x v="4"/>
    <x v="0"/>
    <n v="127998034681"/>
    <n v="31567.32"/>
    <n v="12380240.26"/>
    <x v="0"/>
    <m/>
    <m/>
    <n v="0"/>
    <n v="-324"/>
    <n v="-314.27999999999997"/>
    <n v="-194.4"/>
    <n v="32400"/>
  </r>
  <r>
    <x v="4"/>
    <x v="0"/>
    <n v="127998422719"/>
    <n v="39848.870000000003"/>
    <n v="12420089.130000001"/>
    <x v="0"/>
    <m/>
    <m/>
    <n v="0"/>
    <n v="-409"/>
    <n v="-396.73"/>
    <n v="-245.4"/>
    <n v="40900.000000000007"/>
  </r>
  <r>
    <x v="4"/>
    <x v="34"/>
    <n v="128565546884"/>
    <n v="2002.05"/>
    <n v="12422091.18"/>
    <x v="0"/>
    <m/>
    <m/>
    <n v="-30.68"/>
    <n v="0"/>
    <n v="0"/>
    <n v="-12.27"/>
    <n v="2045"/>
  </r>
  <r>
    <x v="4"/>
    <x v="0"/>
    <n v="127998530233"/>
    <n v="23285.77"/>
    <n v="12445376.949999999"/>
    <x v="0"/>
    <m/>
    <m/>
    <n v="0"/>
    <n v="-239"/>
    <n v="-231.83"/>
    <n v="-143.4"/>
    <n v="23900.000000000004"/>
  </r>
  <r>
    <x v="4"/>
    <x v="0"/>
    <n v="127998690249"/>
    <n v="8573.84"/>
    <n v="12453950.789999999"/>
    <x v="0"/>
    <m/>
    <m/>
    <n v="0"/>
    <n v="-88"/>
    <n v="-85.36"/>
    <n v="-52.8"/>
    <n v="8800"/>
  </r>
  <r>
    <x v="4"/>
    <x v="0"/>
    <n v="127998715475"/>
    <n v="86030.69"/>
    <n v="12539981.48"/>
    <x v="0"/>
    <m/>
    <m/>
    <n v="0"/>
    <n v="-883"/>
    <n v="-856.51"/>
    <n v="-529.79999999999995"/>
    <n v="88300"/>
  </r>
  <r>
    <x v="4"/>
    <x v="0"/>
    <n v="127998789467"/>
    <n v="77559.87"/>
    <n v="12617541.35"/>
    <x v="0"/>
    <m/>
    <m/>
    <n v="0"/>
    <n v="-821"/>
    <n v="-3226.53"/>
    <n v="-492.6"/>
    <n v="82100"/>
  </r>
  <r>
    <x v="4"/>
    <x v="0"/>
    <n v="127998958295"/>
    <n v="73267.360000000001"/>
    <n v="12690808.710000001"/>
    <x v="0"/>
    <m/>
    <m/>
    <n v="0"/>
    <n v="-752"/>
    <n v="-729.44"/>
    <n v="-451.2"/>
    <n v="75200"/>
  </r>
  <r>
    <x v="4"/>
    <x v="35"/>
    <n v="127998900895"/>
    <n v="3681.04"/>
    <n v="12694489.75"/>
    <x v="0"/>
    <m/>
    <m/>
    <n v="-56.4"/>
    <n v="0"/>
    <n v="0"/>
    <n v="-22.56"/>
    <n v="3760"/>
  </r>
  <r>
    <x v="4"/>
    <x v="0"/>
    <n v="127999228319"/>
    <n v="61868.05"/>
    <n v="12756357.800000001"/>
    <x v="0"/>
    <m/>
    <m/>
    <n v="0"/>
    <n v="-635"/>
    <n v="-615.95000000000005"/>
    <n v="-381"/>
    <n v="63500"/>
  </r>
  <r>
    <x v="4"/>
    <x v="0"/>
    <n v="128566674792"/>
    <n v="4774.07"/>
    <n v="12761131.869999999"/>
    <x v="0"/>
    <m/>
    <m/>
    <n v="0"/>
    <n v="-49"/>
    <n v="-47.53"/>
    <n v="-29.4"/>
    <n v="4899.9999999999991"/>
  </r>
  <r>
    <x v="4"/>
    <x v="0"/>
    <n v="128566760368"/>
    <n v="101619.49"/>
    <n v="12862751.359999999"/>
    <x v="0"/>
    <m/>
    <m/>
    <n v="0"/>
    <n v="-1043"/>
    <n v="-1011.71"/>
    <n v="-625.79999999999995"/>
    <n v="104300.00000000001"/>
  </r>
  <r>
    <x v="4"/>
    <x v="0"/>
    <n v="128567047402"/>
    <n v="12860.76"/>
    <n v="12875612.119999999"/>
    <x v="0"/>
    <m/>
    <m/>
    <n v="0"/>
    <n v="-132"/>
    <n v="-128.04"/>
    <n v="-79.2"/>
    <n v="13200.000000000002"/>
  </r>
  <r>
    <x v="4"/>
    <x v="0"/>
    <n v="128000200419"/>
    <n v="39556.58"/>
    <n v="12915168.699999999"/>
    <x v="0"/>
    <m/>
    <m/>
    <n v="0"/>
    <n v="-406"/>
    <n v="-393.82"/>
    <n v="-243.6"/>
    <n v="40600"/>
  </r>
  <r>
    <x v="4"/>
    <x v="0"/>
    <n v="128000430537"/>
    <n v="18490.419999999998"/>
    <n v="12933659.119999999"/>
    <x v="0"/>
    <m/>
    <m/>
    <n v="0"/>
    <n v="-197"/>
    <n v="-894.38"/>
    <n v="-118.2"/>
    <n v="19700"/>
  </r>
  <r>
    <x v="5"/>
    <x v="0"/>
    <n v="128000465631"/>
    <n v="57248.82"/>
    <n v="12990907.939999999"/>
    <x v="0"/>
    <m/>
    <m/>
    <n v="0"/>
    <n v="-606"/>
    <n v="-2381.58"/>
    <n v="-363.6"/>
    <n v="60600"/>
  </r>
  <r>
    <x v="5"/>
    <x v="0"/>
    <n v="128568081896"/>
    <n v="8573.84"/>
    <n v="12999481.779999999"/>
    <x v="0"/>
    <m/>
    <m/>
    <n v="0"/>
    <n v="-88"/>
    <n v="-85.36"/>
    <n v="-52.8"/>
    <n v="8800"/>
  </r>
  <r>
    <x v="5"/>
    <x v="0"/>
    <n v="128001058955"/>
    <n v="37900.269999999997"/>
    <n v="13037382.050000001"/>
    <x v="0"/>
    <m/>
    <m/>
    <n v="0"/>
    <n v="-389"/>
    <n v="-377.33"/>
    <n v="-233.4"/>
    <n v="38900"/>
  </r>
  <r>
    <x v="5"/>
    <x v="0"/>
    <n v="128001109327"/>
    <n v="38387.42"/>
    <n v="13075769.470000001"/>
    <x v="0"/>
    <m/>
    <m/>
    <n v="0"/>
    <n v="-394"/>
    <n v="-382.18"/>
    <n v="-236.4"/>
    <n v="39400"/>
  </r>
  <r>
    <x v="5"/>
    <x v="0"/>
    <n v="128001440707"/>
    <n v="36225.21"/>
    <n v="13111994.68"/>
    <x v="0"/>
    <m/>
    <m/>
    <n v="0"/>
    <n v="-399"/>
    <n v="-3036.39"/>
    <n v="-239.4"/>
    <n v="39900"/>
  </r>
  <r>
    <x v="5"/>
    <x v="0"/>
    <n v="128001644287"/>
    <n v="33613.35"/>
    <n v="13145608.029999999"/>
    <x v="0"/>
    <m/>
    <m/>
    <n v="0"/>
    <n v="-345"/>
    <n v="-334.65"/>
    <n v="-207"/>
    <n v="34500"/>
  </r>
  <r>
    <x v="5"/>
    <x v="36"/>
    <n v="128568561564"/>
    <n v="1958"/>
    <n v="13147566.029999999"/>
    <x v="0"/>
    <m/>
    <m/>
    <n v="-30"/>
    <n v="0"/>
    <n v="0"/>
    <n v="-12"/>
    <n v="2000"/>
  </r>
  <r>
    <x v="5"/>
    <x v="0"/>
    <n v="128569096724"/>
    <n v="17147.68"/>
    <n v="13164713.710000001"/>
    <x v="0"/>
    <m/>
    <m/>
    <n v="0"/>
    <n v="-176"/>
    <n v="-170.72"/>
    <n v="-105.6"/>
    <n v="17600"/>
  </r>
  <r>
    <x v="5"/>
    <x v="0"/>
    <n v="128569194344"/>
    <n v="31469.89"/>
    <n v="13196183.6"/>
    <x v="0"/>
    <m/>
    <m/>
    <n v="0"/>
    <n v="-323"/>
    <n v="-313.31"/>
    <n v="-193.8"/>
    <n v="32300"/>
  </r>
  <r>
    <x v="5"/>
    <x v="0"/>
    <n v="128569976332"/>
    <n v="24467.73"/>
    <n v="13220651.33"/>
    <x v="0"/>
    <m/>
    <m/>
    <n v="0"/>
    <n v="-259"/>
    <n v="-1017.87"/>
    <n v="-155.4"/>
    <n v="25900"/>
  </r>
  <r>
    <x v="5"/>
    <x v="0"/>
    <n v="128570461436"/>
    <n v="10327.58"/>
    <n v="13230978.91"/>
    <x v="0"/>
    <m/>
    <m/>
    <n v="0"/>
    <n v="-106"/>
    <n v="-102.82"/>
    <n v="-63.6"/>
    <n v="10600"/>
  </r>
  <r>
    <x v="5"/>
    <x v="0"/>
    <n v="128571344170"/>
    <n v="22603.759999999998"/>
    <n v="13253582.67"/>
    <x v="0"/>
    <m/>
    <m/>
    <n v="0"/>
    <n v="-232"/>
    <n v="-225.04"/>
    <n v="-139.19999999999999"/>
    <n v="23200"/>
  </r>
  <r>
    <x v="5"/>
    <x v="0"/>
    <n v="128571825428"/>
    <n v="37510.550000000003"/>
    <n v="13291093.220000001"/>
    <x v="0"/>
    <m/>
    <m/>
    <n v="0"/>
    <n v="-385"/>
    <n v="-373.45"/>
    <n v="-231"/>
    <n v="38500"/>
  </r>
  <r>
    <x v="5"/>
    <x v="0"/>
    <n v="128005151107"/>
    <n v="75508.25"/>
    <n v="13366601.470000001"/>
    <x v="0"/>
    <m/>
    <m/>
    <n v="0"/>
    <n v="-775"/>
    <n v="-751.75"/>
    <n v="-465"/>
    <n v="77500"/>
  </r>
  <r>
    <x v="5"/>
    <x v="0"/>
    <n v="128572165456"/>
    <n v="7746.54"/>
    <n v="13374348.01"/>
    <x v="0"/>
    <m/>
    <m/>
    <n v="0"/>
    <n v="-82"/>
    <n v="-322.26"/>
    <n v="-49.2"/>
    <n v="8200"/>
  </r>
  <r>
    <x v="5"/>
    <x v="0"/>
    <n v="128572181400"/>
    <n v="22200.45"/>
    <n v="13396548.460000001"/>
    <x v="0"/>
    <m/>
    <m/>
    <n v="0"/>
    <n v="-235"/>
    <n v="-923.55"/>
    <n v="-141"/>
    <n v="23500"/>
  </r>
  <r>
    <x v="5"/>
    <x v="0"/>
    <n v="128005159549"/>
    <n v="96747.99"/>
    <n v="13493296.449999999"/>
    <x v="0"/>
    <m/>
    <m/>
    <n v="0"/>
    <n v="-993"/>
    <n v="-963.21"/>
    <n v="-595.79999999999995"/>
    <n v="99300.000000000015"/>
  </r>
  <r>
    <x v="5"/>
    <x v="0"/>
    <n v="128005247119"/>
    <n v="39960.81"/>
    <n v="13533257.26"/>
    <x v="0"/>
    <m/>
    <m/>
    <n v="0"/>
    <n v="-423"/>
    <n v="-1662.39"/>
    <n v="-253.8"/>
    <n v="42300"/>
  </r>
  <r>
    <x v="5"/>
    <x v="0"/>
    <n v="128005725859"/>
    <n v="38095.129999999997"/>
    <n v="13571352.390000001"/>
    <x v="0"/>
    <m/>
    <m/>
    <n v="0"/>
    <n v="-391"/>
    <n v="-379.27"/>
    <n v="-234.6"/>
    <n v="39099.999999999993"/>
  </r>
  <r>
    <x v="5"/>
    <x v="0"/>
    <n v="128005944893"/>
    <n v="4534.5600000000004"/>
    <n v="13575886.949999999"/>
    <x v="0"/>
    <m/>
    <m/>
    <n v="0"/>
    <n v="-48"/>
    <n v="-188.64"/>
    <n v="-28.8"/>
    <n v="4800.0000000000009"/>
  </r>
  <r>
    <x v="5"/>
    <x v="0"/>
    <n v="128005948841"/>
    <n v="35659.379999999997"/>
    <n v="13611546.33"/>
    <x v="0"/>
    <m/>
    <m/>
    <n v="0"/>
    <n v="-366"/>
    <n v="-355.02"/>
    <n v="-219.6"/>
    <n v="36599.999999999993"/>
  </r>
  <r>
    <x v="5"/>
    <x v="0"/>
    <n v="128006056141"/>
    <n v="14805.81"/>
    <n v="13626352.140000001"/>
    <x v="0"/>
    <m/>
    <m/>
    <n v="0"/>
    <n v="-153"/>
    <n v="-249.39"/>
    <n v="-91.8"/>
    <n v="15299.999999999998"/>
  </r>
  <r>
    <x v="5"/>
    <x v="0"/>
    <n v="128006270955"/>
    <n v="25721.52"/>
    <n v="13652073.66"/>
    <x v="0"/>
    <m/>
    <m/>
    <n v="0"/>
    <n v="-264"/>
    <n v="-256.08"/>
    <n v="-158.4"/>
    <n v="26400.000000000004"/>
  </r>
  <r>
    <x v="5"/>
    <x v="0"/>
    <n v="128573428634"/>
    <n v="9353.2800000000007"/>
    <n v="13661426.939999999"/>
    <x v="0"/>
    <m/>
    <m/>
    <n v="0"/>
    <n v="-96"/>
    <n v="-93.12"/>
    <n v="-57.6"/>
    <n v="9600.0000000000018"/>
  </r>
  <r>
    <x v="5"/>
    <x v="37"/>
    <n v="128573422760"/>
    <n v="939.84"/>
    <n v="13662366.779999999"/>
    <x v="0"/>
    <m/>
    <m/>
    <n v="-14.4"/>
    <n v="0"/>
    <n v="0"/>
    <n v="-5.76"/>
    <n v="960"/>
  </r>
  <r>
    <x v="5"/>
    <x v="0"/>
    <n v="128006450347"/>
    <n v="36633.68"/>
    <n v="13699000.460000001"/>
    <x v="0"/>
    <m/>
    <m/>
    <n v="0"/>
    <n v="-376"/>
    <n v="-364.72"/>
    <n v="-225.6"/>
    <n v="37600"/>
  </r>
  <r>
    <x v="5"/>
    <x v="0"/>
    <n v="128006450901"/>
    <n v="11999.48"/>
    <n v="13710999.939999999"/>
    <x v="0"/>
    <m/>
    <m/>
    <n v="0"/>
    <n v="-124"/>
    <n v="-202.12"/>
    <n v="-74.400000000000006"/>
    <n v="12400"/>
  </r>
  <r>
    <x v="5"/>
    <x v="0"/>
    <n v="128006790639"/>
    <n v="8573.84"/>
    <n v="13719573.779999999"/>
    <x v="0"/>
    <m/>
    <m/>
    <n v="0"/>
    <n v="-88"/>
    <n v="-85.36"/>
    <n v="-52.8"/>
    <n v="8800"/>
  </r>
  <r>
    <x v="5"/>
    <x v="0"/>
    <n v="128574660704"/>
    <n v="25234.37"/>
    <n v="13744808.15"/>
    <x v="0"/>
    <m/>
    <m/>
    <n v="0"/>
    <n v="-259"/>
    <n v="-251.23"/>
    <n v="-155.4"/>
    <n v="25900"/>
  </r>
  <r>
    <x v="5"/>
    <x v="38"/>
    <n v="128007519843"/>
    <n v="1267.8"/>
    <n v="13746075.949999999"/>
    <x v="0"/>
    <m/>
    <m/>
    <n v="-19.43"/>
    <n v="0"/>
    <n v="0"/>
    <n v="-7.77"/>
    <n v="1295"/>
  </r>
  <r>
    <x v="5"/>
    <x v="0"/>
    <n v="128007866123"/>
    <n v="9353.2800000000007"/>
    <n v="13755429.23"/>
    <x v="0"/>
    <m/>
    <m/>
    <n v="0"/>
    <n v="-96"/>
    <n v="-93.12"/>
    <n v="-57.6"/>
    <n v="9600.0000000000018"/>
  </r>
  <r>
    <x v="5"/>
    <x v="37"/>
    <n v="128574803388"/>
    <n v="939.84"/>
    <n v="13756369.07"/>
    <x v="0"/>
    <m/>
    <m/>
    <n v="-14.4"/>
    <n v="0"/>
    <n v="0"/>
    <n v="-5.76"/>
    <n v="960"/>
  </r>
  <r>
    <x v="5"/>
    <x v="0"/>
    <n v="128008144261"/>
    <n v="56606.83"/>
    <n v="13812975.9"/>
    <x v="0"/>
    <m/>
    <m/>
    <n v="0"/>
    <n v="-581"/>
    <n v="-563.57000000000005"/>
    <n v="-348.6"/>
    <n v="58100"/>
  </r>
  <r>
    <x v="5"/>
    <x v="39"/>
    <n v="128008101027"/>
    <n v="2843.99"/>
    <n v="13815819.890000001"/>
    <x v="0"/>
    <m/>
    <m/>
    <n v="-43.58"/>
    <n v="0"/>
    <n v="0"/>
    <n v="-17.43"/>
    <n v="2904.9999999999995"/>
  </r>
  <r>
    <x v="5"/>
    <x v="0"/>
    <n v="128008194223"/>
    <n v="8322.2199999999993"/>
    <n v="13824142.109999999"/>
    <x v="0"/>
    <m/>
    <m/>
    <n v="0"/>
    <n v="-86"/>
    <n v="-140.18"/>
    <n v="-51.6"/>
    <n v="8600"/>
  </r>
  <r>
    <x v="5"/>
    <x v="0"/>
    <n v="128094716841"/>
    <n v="4189.49"/>
    <n v="13828331.6"/>
    <x v="0"/>
    <m/>
    <m/>
    <n v="0"/>
    <n v="-43"/>
    <n v="-41.71"/>
    <n v="-25.8"/>
    <n v="4300"/>
  </r>
  <r>
    <x v="5"/>
    <x v="40"/>
    <n v="128662203164"/>
    <n v="420.97"/>
    <n v="13828752.57"/>
    <x v="0"/>
    <m/>
    <m/>
    <n v="-6.45"/>
    <n v="0"/>
    <n v="0"/>
    <n v="-2.58"/>
    <n v="430"/>
  </r>
  <r>
    <x v="5"/>
    <x v="0"/>
    <n v="128099061791"/>
    <n v="9353.2800000000007"/>
    <n v="13838105.85"/>
    <x v="0"/>
    <m/>
    <m/>
    <n v="0"/>
    <n v="-96"/>
    <n v="-93.12"/>
    <n v="-57.6"/>
    <n v="9600.0000000000018"/>
  </r>
  <r>
    <x v="5"/>
    <x v="0"/>
    <n v="128100123265"/>
    <n v="4774.07"/>
    <n v="13842879.92"/>
    <x v="0"/>
    <m/>
    <m/>
    <n v="0"/>
    <n v="-49"/>
    <n v="-47.53"/>
    <n v="-29.4"/>
    <n v="4899.9999999999991"/>
  </r>
  <r>
    <x v="5"/>
    <x v="41"/>
    <n v="128667988688"/>
    <n v="239.85"/>
    <n v="13843119.77"/>
    <x v="0"/>
    <m/>
    <m/>
    <n v="-3.68"/>
    <n v="0"/>
    <n v="0"/>
    <n v="-1.47"/>
    <n v="245"/>
  </r>
  <r>
    <x v="5"/>
    <x v="0"/>
    <n v="128668277384"/>
    <n v="5650.94"/>
    <n v="13848770.710000001"/>
    <x v="0"/>
    <m/>
    <m/>
    <n v="0"/>
    <n v="-58"/>
    <n v="-56.26"/>
    <n v="-34.799999999999997"/>
    <n v="5800"/>
  </r>
  <r>
    <x v="5"/>
    <x v="0"/>
    <n v="128668834886"/>
    <n v="9548.14"/>
    <n v="13858318.85"/>
    <x v="0"/>
    <m/>
    <m/>
    <n v="0"/>
    <n v="-98"/>
    <n v="-95.06"/>
    <n v="-58.8"/>
    <n v="9799.9999999999982"/>
  </r>
  <r>
    <x v="5"/>
    <x v="0"/>
    <n v="128102652299"/>
    <n v="16952.82"/>
    <n v="13875271.67"/>
    <x v="0"/>
    <m/>
    <m/>
    <n v="0"/>
    <n v="-174"/>
    <n v="-168.78"/>
    <n v="-104.4"/>
    <n v="17400"/>
  </r>
  <r>
    <x v="5"/>
    <x v="0"/>
    <n v="128104746523"/>
    <n v="44778.78"/>
    <n v="13920050.449999999"/>
    <x v="0"/>
    <m/>
    <m/>
    <n v="0"/>
    <n v="-474"/>
    <n v="-1862.82"/>
    <n v="-284.39999999999998"/>
    <n v="47400"/>
  </r>
  <r>
    <x v="5"/>
    <x v="0"/>
    <n v="128106052243"/>
    <n v="30885.31"/>
    <n v="13950935.76"/>
    <x v="0"/>
    <m/>
    <m/>
    <n v="0"/>
    <n v="-317"/>
    <n v="-307.49"/>
    <n v="-190.2"/>
    <n v="31700.000000000004"/>
  </r>
  <r>
    <x v="5"/>
    <x v="0"/>
    <n v="128106623785"/>
    <n v="4629.03"/>
    <n v="13955564.789999999"/>
    <x v="0"/>
    <m/>
    <m/>
    <n v="0"/>
    <n v="-49"/>
    <n v="-192.57"/>
    <n v="-29.4"/>
    <n v="4899.9999999999991"/>
  </r>
  <r>
    <x v="5"/>
    <x v="0"/>
    <n v="128106812525"/>
    <n v="9548.14"/>
    <n v="13965112.93"/>
    <x v="0"/>
    <m/>
    <m/>
    <n v="0"/>
    <n v="-98"/>
    <n v="-95.06"/>
    <n v="-58.8"/>
    <n v="9799.9999999999982"/>
  </r>
  <r>
    <x v="5"/>
    <x v="42"/>
    <n v="128674686368"/>
    <n v="1439.13"/>
    <n v="13966552.060000001"/>
    <x v="0"/>
    <m/>
    <m/>
    <n v="-22.05"/>
    <n v="0"/>
    <n v="0"/>
    <n v="-8.82"/>
    <n v="1470"/>
  </r>
  <r>
    <x v="5"/>
    <x v="0"/>
    <n v="128676006318"/>
    <n v="62019.55"/>
    <n v="14028571.609999999"/>
    <x v="0"/>
    <m/>
    <m/>
    <n v="0"/>
    <n v="-656.5"/>
    <n v="-2580.0500000000002"/>
    <n v="-393.9"/>
    <n v="65650"/>
  </r>
  <r>
    <x v="5"/>
    <x v="0"/>
    <n v="128676549330"/>
    <n v="15393.94"/>
    <n v="14043965.550000001"/>
    <x v="0"/>
    <m/>
    <m/>
    <n v="0"/>
    <n v="-158"/>
    <n v="-153.26"/>
    <n v="-94.8"/>
    <n v="15800"/>
  </r>
  <r>
    <x v="5"/>
    <x v="0"/>
    <n v="128678113052"/>
    <n v="25234.37"/>
    <n v="14069199.92"/>
    <x v="0"/>
    <m/>
    <m/>
    <n v="0"/>
    <n v="-259"/>
    <n v="-251.23"/>
    <n v="-155.4"/>
    <n v="25900"/>
  </r>
  <r>
    <x v="5"/>
    <x v="0"/>
    <n v="128111836609"/>
    <n v="10522.44"/>
    <n v="14079722.359999999"/>
    <x v="0"/>
    <m/>
    <m/>
    <n v="0"/>
    <n v="-108"/>
    <n v="-104.76"/>
    <n v="-64.8"/>
    <n v="10800"/>
  </r>
  <r>
    <x v="5"/>
    <x v="0"/>
    <n v="128680689872"/>
    <n v="13542.77"/>
    <n v="14093265.130000001"/>
    <x v="0"/>
    <m/>
    <m/>
    <n v="0"/>
    <n v="-139"/>
    <n v="-134.83000000000001"/>
    <n v="-83.4"/>
    <n v="13900"/>
  </r>
  <r>
    <x v="5"/>
    <x v="0"/>
    <n v="128113046995"/>
    <n v="12564.51"/>
    <n v="14105829.640000001"/>
    <x v="0"/>
    <m/>
    <m/>
    <n v="0"/>
    <n v="-133"/>
    <n v="-522.69000000000005"/>
    <n v="-79.8"/>
    <n v="13300"/>
  </r>
  <r>
    <x v="5"/>
    <x v="0"/>
    <n v="128113199157"/>
    <n v="35331.78"/>
    <n v="14141161.42"/>
    <x v="0"/>
    <m/>
    <m/>
    <n v="0"/>
    <n v="-374"/>
    <n v="-1469.82"/>
    <n v="-224.4"/>
    <n v="37400"/>
  </r>
  <r>
    <x v="5"/>
    <x v="0"/>
    <n v="128114015675"/>
    <n v="52052.97"/>
    <n v="14193214.390000001"/>
    <x v="0"/>
    <m/>
    <m/>
    <n v="0"/>
    <n v="-551"/>
    <n v="-2165.4299999999998"/>
    <n v="-330.6"/>
    <n v="55100"/>
  </r>
  <r>
    <x v="5"/>
    <x v="0"/>
    <n v="128682354308"/>
    <n v="34100.5"/>
    <n v="14227314.890000001"/>
    <x v="0"/>
    <m/>
    <m/>
    <n v="0"/>
    <n v="-350"/>
    <n v="-339.5"/>
    <n v="-210"/>
    <n v="35000"/>
  </r>
  <r>
    <x v="5"/>
    <x v="0"/>
    <n v="128682536902"/>
    <n v="14322.21"/>
    <n v="14241637.1"/>
    <x v="0"/>
    <m/>
    <m/>
    <n v="0"/>
    <n v="-147"/>
    <n v="-142.59"/>
    <n v="-88.2"/>
    <n v="14700"/>
  </r>
  <r>
    <x v="5"/>
    <x v="0"/>
    <n v="128682595192"/>
    <n v="99183.74"/>
    <n v="14340820.84"/>
    <x v="0"/>
    <m/>
    <m/>
    <n v="0"/>
    <n v="-1018"/>
    <n v="-987.46"/>
    <n v="-610.79999999999995"/>
    <n v="101800.00000000001"/>
  </r>
  <r>
    <x v="5"/>
    <x v="43"/>
    <n v="128682541576"/>
    <n v="9966.2199999999993"/>
    <n v="14350787.060000001"/>
    <x v="0"/>
    <m/>
    <m/>
    <n v="-152.69999999999999"/>
    <n v="0"/>
    <n v="0"/>
    <n v="-61.08"/>
    <n v="10180"/>
  </r>
  <r>
    <x v="5"/>
    <x v="0"/>
    <n v="128683315144"/>
    <n v="32321.18"/>
    <n v="14383108.24"/>
    <x v="0"/>
    <m/>
    <m/>
    <n v="0"/>
    <n v="-334"/>
    <n v="-544.41999999999996"/>
    <n v="-200.4"/>
    <n v="33400"/>
  </r>
  <r>
    <x v="5"/>
    <x v="4"/>
    <n v="128683261902"/>
    <n v="1634.93"/>
    <n v="14384743.17"/>
    <x v="0"/>
    <m/>
    <m/>
    <n v="-25.05"/>
    <n v="0"/>
    <n v="0"/>
    <n v="-10.02"/>
    <n v="1670"/>
  </r>
  <r>
    <x v="5"/>
    <x v="0"/>
    <n v="128115571549"/>
    <n v="25693.57"/>
    <n v="14410436.74"/>
    <x v="0"/>
    <m/>
    <m/>
    <n v="0"/>
    <n v="-283"/>
    <n v="-2153.63"/>
    <n v="-169.8"/>
    <n v="28300"/>
  </r>
  <r>
    <x v="5"/>
    <x v="0"/>
    <n v="128683578206"/>
    <n v="9548.14"/>
    <n v="14419984.880000001"/>
    <x v="0"/>
    <m/>
    <m/>
    <n v="0"/>
    <n v="-98"/>
    <n v="-95.06"/>
    <n v="-58.8"/>
    <n v="9799.9999999999982"/>
  </r>
  <r>
    <x v="5"/>
    <x v="42"/>
    <n v="128115764455"/>
    <n v="1439.13"/>
    <n v="14421424.01"/>
    <x v="0"/>
    <m/>
    <m/>
    <n v="-22.05"/>
    <n v="0"/>
    <n v="0"/>
    <n v="-8.82"/>
    <n v="1470"/>
  </r>
  <r>
    <x v="5"/>
    <x v="0"/>
    <n v="128115776901"/>
    <n v="32592.15"/>
    <n v="14454016.16"/>
    <x v="0"/>
    <m/>
    <m/>
    <n v="0"/>
    <n v="-345"/>
    <n v="-1355.85"/>
    <n v="-207"/>
    <n v="34500"/>
  </r>
  <r>
    <x v="5"/>
    <x v="0"/>
    <n v="128683947738"/>
    <n v="17708.91"/>
    <n v="14471725.07"/>
    <x v="0"/>
    <m/>
    <m/>
    <n v="0"/>
    <n v="-183"/>
    <n v="-298.29000000000002"/>
    <n v="-109.8"/>
    <n v="18300"/>
  </r>
  <r>
    <x v="5"/>
    <x v="44"/>
    <n v="128683933752"/>
    <n v="895.78"/>
    <n v="14472620.85"/>
    <x v="0"/>
    <m/>
    <m/>
    <n v="-13.73"/>
    <n v="0"/>
    <n v="0"/>
    <n v="-5.49"/>
    <n v="915"/>
  </r>
  <r>
    <x v="5"/>
    <x v="0"/>
    <n v="128116626371"/>
    <n v="33515.919999999998"/>
    <n v="14506136.77"/>
    <x v="0"/>
    <m/>
    <m/>
    <n v="0"/>
    <n v="-344"/>
    <n v="-333.68"/>
    <n v="-206.4"/>
    <n v="34400"/>
  </r>
  <r>
    <x v="5"/>
    <x v="0"/>
    <n v="128117082133"/>
    <n v="33418.49"/>
    <n v="14539555.26"/>
    <x v="0"/>
    <m/>
    <m/>
    <n v="0"/>
    <n v="-343"/>
    <n v="-332.71"/>
    <n v="-205.8"/>
    <n v="34300"/>
  </r>
  <r>
    <x v="5"/>
    <x v="45"/>
    <n v="128684580182"/>
    <n v="1678.98"/>
    <n v="14541234.24"/>
    <x v="0"/>
    <m/>
    <m/>
    <n v="-25.73"/>
    <n v="0"/>
    <n v="0"/>
    <n v="-10.29"/>
    <n v="1715"/>
  </r>
  <r>
    <x v="5"/>
    <x v="0"/>
    <n v="128118062595"/>
    <n v="21824.32"/>
    <n v="14563058.560000001"/>
    <x v="0"/>
    <m/>
    <m/>
    <n v="0"/>
    <n v="-224"/>
    <n v="-217.28"/>
    <n v="-134.4"/>
    <n v="22400"/>
  </r>
  <r>
    <x v="5"/>
    <x v="0"/>
    <n v="128118169295"/>
    <n v="5748.37"/>
    <n v="14568806.93"/>
    <x v="0"/>
    <m/>
    <m/>
    <n v="0"/>
    <n v="-59"/>
    <n v="-57.23"/>
    <n v="-35.4"/>
    <n v="5899.9999999999991"/>
  </r>
  <r>
    <x v="5"/>
    <x v="0"/>
    <n v="128118353155"/>
    <n v="15304.14"/>
    <n v="14584111.07"/>
    <x v="0"/>
    <m/>
    <m/>
    <n v="0"/>
    <n v="-162"/>
    <n v="-636.66"/>
    <n v="-97.2"/>
    <n v="16200"/>
  </r>
  <r>
    <x v="5"/>
    <x v="0"/>
    <n v="128687029470"/>
    <n v="37023.4"/>
    <n v="14621134.470000001"/>
    <x v="0"/>
    <m/>
    <m/>
    <n v="0"/>
    <n v="-380"/>
    <n v="-368.6"/>
    <n v="-228"/>
    <n v="38000"/>
  </r>
  <r>
    <x v="5"/>
    <x v="46"/>
    <n v="128687148252"/>
    <n v="1860.1"/>
    <n v="14622994.57"/>
    <x v="0"/>
    <m/>
    <m/>
    <n v="-28.5"/>
    <n v="0"/>
    <n v="0"/>
    <n v="-11.4"/>
    <n v="1900"/>
  </r>
  <r>
    <x v="5"/>
    <x v="0"/>
    <n v="128119642609"/>
    <n v="12942.39"/>
    <n v="14635936.960000001"/>
    <x v="0"/>
    <m/>
    <m/>
    <n v="0"/>
    <n v="-137"/>
    <n v="-538.41"/>
    <n v="-82.2"/>
    <n v="13700"/>
  </r>
  <r>
    <x v="5"/>
    <x v="0"/>
    <n v="128120103931"/>
    <n v="9353.2800000000007"/>
    <n v="14645290.24"/>
    <x v="0"/>
    <m/>
    <m/>
    <n v="0"/>
    <n v="-96"/>
    <n v="-93.12"/>
    <n v="-57.6"/>
    <n v="9600.0000000000018"/>
  </r>
  <r>
    <x v="5"/>
    <x v="0"/>
    <n v="128120410601"/>
    <n v="49745.8"/>
    <n v="14695036.039999999"/>
    <x v="0"/>
    <m/>
    <m/>
    <n v="0"/>
    <n v="-530"/>
    <n v="-2406.1999999999998"/>
    <n v="-318"/>
    <n v="53000"/>
  </r>
  <r>
    <x v="5"/>
    <x v="0"/>
    <n v="128689106092"/>
    <n v="4693"/>
    <n v="14699729.039999999"/>
    <x v="0"/>
    <m/>
    <m/>
    <n v="0"/>
    <n v="-50"/>
    <n v="-227"/>
    <n v="-30"/>
    <n v="5000"/>
  </r>
  <r>
    <x v="5"/>
    <x v="0"/>
    <n v="128689516614"/>
    <n v="52467.74"/>
    <n v="14752196.779999999"/>
    <x v="0"/>
    <m/>
    <m/>
    <n v="0"/>
    <n v="-559"/>
    <n v="-2537.86"/>
    <n v="-335.4"/>
    <n v="55900"/>
  </r>
  <r>
    <x v="5"/>
    <x v="0"/>
    <n v="128122214151"/>
    <n v="3702.34"/>
    <n v="14755899.119999999"/>
    <x v="0"/>
    <m/>
    <m/>
    <n v="0"/>
    <n v="-38"/>
    <n v="-36.86"/>
    <n v="-22.8"/>
    <n v="3800.0000000000005"/>
  </r>
  <r>
    <x v="5"/>
    <x v="0"/>
    <n v="128690050246"/>
    <n v="4092.06"/>
    <n v="14759991.18"/>
    <x v="0"/>
    <m/>
    <m/>
    <n v="0"/>
    <n v="-42"/>
    <n v="-40.74"/>
    <n v="-25.2"/>
    <n v="4199.9999999999991"/>
  </r>
  <r>
    <x v="5"/>
    <x v="0"/>
    <n v="128122283721"/>
    <n v="4871.5"/>
    <n v="14764862.68"/>
    <x v="0"/>
    <m/>
    <m/>
    <n v="0"/>
    <n v="-50"/>
    <n v="-48.5"/>
    <n v="-30"/>
    <n v="5000"/>
  </r>
  <r>
    <x v="5"/>
    <x v="0"/>
    <n v="128690199068"/>
    <n v="9353.2800000000007"/>
    <n v="14774215.960000001"/>
    <x v="0"/>
    <m/>
    <m/>
    <n v="0"/>
    <n v="-96"/>
    <n v="-93.12"/>
    <n v="-57.6"/>
    <n v="9600.0000000000018"/>
  </r>
  <r>
    <x v="5"/>
    <x v="0"/>
    <n v="128690444386"/>
    <n v="36438.82"/>
    <n v="14810654.779999999"/>
    <x v="0"/>
    <m/>
    <m/>
    <n v="0"/>
    <n v="-374"/>
    <n v="-362.78"/>
    <n v="-224.4"/>
    <n v="37400"/>
  </r>
  <r>
    <x v="5"/>
    <x v="0"/>
    <n v="128123405379"/>
    <n v="9353.2800000000007"/>
    <n v="14820008.060000001"/>
    <x v="0"/>
    <m/>
    <m/>
    <n v="0"/>
    <n v="-96"/>
    <n v="-93.12"/>
    <n v="-57.6"/>
    <n v="9600.0000000000018"/>
  </r>
  <r>
    <x v="5"/>
    <x v="0"/>
    <n v="128691126746"/>
    <n v="8963.56"/>
    <n v="14828971.619999999"/>
    <x v="0"/>
    <m/>
    <m/>
    <n v="0"/>
    <n v="-92"/>
    <n v="-89.24"/>
    <n v="-55.2"/>
    <n v="9200"/>
  </r>
  <r>
    <x v="5"/>
    <x v="0"/>
    <n v="128123744661"/>
    <n v="34009.199999999997"/>
    <n v="14862980.82"/>
    <x v="0"/>
    <m/>
    <m/>
    <n v="0"/>
    <n v="-360"/>
    <n v="-1414.8"/>
    <n v="-216"/>
    <n v="36000"/>
  </r>
  <r>
    <x v="5"/>
    <x v="0"/>
    <n v="128691506480"/>
    <n v="50707.48"/>
    <n v="14913688.300000001"/>
    <x v="0"/>
    <m/>
    <m/>
    <n v="0"/>
    <n v="-524"/>
    <n v="-854.12"/>
    <n v="-314.39999999999998"/>
    <n v="52400.000000000007"/>
  </r>
  <r>
    <x v="5"/>
    <x v="0"/>
    <n v="128691509296"/>
    <n v="50858.46"/>
    <n v="14964546.76"/>
    <x v="0"/>
    <m/>
    <m/>
    <n v="0"/>
    <n v="-522"/>
    <n v="-506.34"/>
    <n v="-313.2"/>
    <n v="52199.999999999993"/>
  </r>
  <r>
    <x v="5"/>
    <x v="0"/>
    <n v="128124030985"/>
    <n v="95383.97"/>
    <n v="15059930.73"/>
    <x v="0"/>
    <m/>
    <m/>
    <n v="0"/>
    <n v="-979"/>
    <n v="-949.63"/>
    <n v="-587.4"/>
    <n v="97900"/>
  </r>
  <r>
    <x v="5"/>
    <x v="0"/>
    <n v="128691751928"/>
    <n v="7794.4"/>
    <n v="15067725.130000001"/>
    <x v="0"/>
    <m/>
    <m/>
    <n v="0"/>
    <n v="-80"/>
    <n v="-77.599999999999994"/>
    <n v="-48"/>
    <n v="8000"/>
  </r>
  <r>
    <x v="5"/>
    <x v="0"/>
    <n v="128692018414"/>
    <n v="19616.740000000002"/>
    <n v="15087341.869999999"/>
    <x v="0"/>
    <m/>
    <m/>
    <n v="0"/>
    <n v="-209"/>
    <n v="-948.86"/>
    <n v="-125.4"/>
    <n v="20900.000000000004"/>
  </r>
  <r>
    <x v="5"/>
    <x v="0"/>
    <n v="128692041006"/>
    <n v="4871.5"/>
    <n v="15092213.369999999"/>
    <x v="0"/>
    <m/>
    <m/>
    <n v="0"/>
    <n v="-50"/>
    <n v="-48.5"/>
    <n v="-30"/>
    <n v="5000"/>
  </r>
  <r>
    <x v="6"/>
    <x v="0"/>
    <n v="128124351663"/>
    <n v="14614.5"/>
    <n v="15106827.869999999"/>
    <x v="0"/>
    <m/>
    <m/>
    <n v="0"/>
    <n v="-150"/>
    <n v="-145.5"/>
    <n v="-90"/>
    <n v="15000"/>
  </r>
  <r>
    <x v="6"/>
    <x v="0"/>
    <n v="128692668536"/>
    <n v="67275.39"/>
    <n v="15174103.26"/>
    <x v="0"/>
    <m/>
    <m/>
    <n v="0"/>
    <n v="-741"/>
    <n v="-5639.01"/>
    <n v="-444.6"/>
    <n v="74100"/>
  </r>
  <r>
    <x v="6"/>
    <x v="0"/>
    <n v="128125043391"/>
    <n v="4539.5"/>
    <n v="15178642.76"/>
    <x v="0"/>
    <m/>
    <m/>
    <n v="0"/>
    <n v="-50"/>
    <n v="-380.5"/>
    <n v="-30"/>
    <n v="5000"/>
  </r>
  <r>
    <x v="6"/>
    <x v="0"/>
    <n v="128692773100"/>
    <n v="4871.5"/>
    <n v="15183514.26"/>
    <x v="0"/>
    <m/>
    <m/>
    <n v="0"/>
    <n v="-50"/>
    <n v="-48.5"/>
    <n v="-30"/>
    <n v="5000"/>
  </r>
  <r>
    <x v="6"/>
    <x v="0"/>
    <n v="128125341977"/>
    <n v="3897.2"/>
    <n v="15187411.460000001"/>
    <x v="0"/>
    <m/>
    <m/>
    <n v="0"/>
    <n v="-40"/>
    <n v="-38.799999999999997"/>
    <n v="-24"/>
    <n v="4000"/>
  </r>
  <r>
    <x v="6"/>
    <x v="0"/>
    <n v="128125660361"/>
    <n v="4871.5"/>
    <n v="15192282.960000001"/>
    <x v="0"/>
    <m/>
    <m/>
    <n v="0"/>
    <n v="-50"/>
    <n v="-48.5"/>
    <n v="-30"/>
    <n v="5000"/>
  </r>
  <r>
    <x v="6"/>
    <x v="47"/>
    <n v="128125627213"/>
    <n v="244.75"/>
    <n v="15192527.710000001"/>
    <x v="0"/>
    <m/>
    <m/>
    <n v="-3.75"/>
    <n v="0"/>
    <n v="0"/>
    <n v="-1.5"/>
    <n v="250"/>
  </r>
  <r>
    <x v="6"/>
    <x v="0"/>
    <n v="128693181950"/>
    <n v="7794.4"/>
    <n v="15200322.109999999"/>
    <x v="0"/>
    <m/>
    <m/>
    <n v="0"/>
    <n v="-80"/>
    <n v="-77.599999999999994"/>
    <n v="-48"/>
    <n v="8000"/>
  </r>
  <r>
    <x v="6"/>
    <x v="0"/>
    <n v="128694134194"/>
    <n v="15004.22"/>
    <n v="15215326.33"/>
    <x v="0"/>
    <m/>
    <m/>
    <n v="0"/>
    <n v="-154"/>
    <n v="-149.38"/>
    <n v="-92.4"/>
    <n v="15399.999999999998"/>
  </r>
  <r>
    <x v="6"/>
    <x v="0"/>
    <n v="128694166558"/>
    <n v="57059.88"/>
    <n v="15272386.210000001"/>
    <x v="0"/>
    <m/>
    <m/>
    <n v="0"/>
    <n v="-604"/>
    <n v="-2373.7199999999998"/>
    <n v="-362.4"/>
    <n v="60400"/>
  </r>
  <r>
    <x v="6"/>
    <x v="0"/>
    <n v="128126371521"/>
    <n v="42382.05"/>
    <n v="15314768.26"/>
    <x v="0"/>
    <m/>
    <m/>
    <n v="0"/>
    <n v="-435"/>
    <n v="-421.95"/>
    <n v="-261"/>
    <n v="43500"/>
  </r>
  <r>
    <x v="6"/>
    <x v="48"/>
    <n v="128694203212"/>
    <n v="2129.3200000000002"/>
    <n v="15316897.58"/>
    <x v="0"/>
    <m/>
    <m/>
    <n v="-32.630000000000003"/>
    <n v="0"/>
    <n v="0"/>
    <n v="-13.05"/>
    <n v="2175.0000000000005"/>
  </r>
  <r>
    <x v="6"/>
    <x v="0"/>
    <n v="128126531575"/>
    <n v="37510.550000000003"/>
    <n v="15354408.130000001"/>
    <x v="0"/>
    <m/>
    <m/>
    <n v="0"/>
    <n v="-385"/>
    <n v="-373.45"/>
    <n v="-231"/>
    <n v="38500"/>
  </r>
  <r>
    <x v="6"/>
    <x v="0"/>
    <n v="128694438198"/>
    <n v="36654.36"/>
    <n v="15391062.49"/>
    <x v="0"/>
    <m/>
    <m/>
    <n v="0"/>
    <n v="-388"/>
    <n v="-1524.84"/>
    <n v="-232.8"/>
    <n v="38800"/>
  </r>
  <r>
    <x v="6"/>
    <x v="0"/>
    <n v="128126798957"/>
    <n v="56606.83"/>
    <n v="15447669.32"/>
    <x v="0"/>
    <m/>
    <m/>
    <n v="0"/>
    <n v="-581"/>
    <n v="-563.57000000000005"/>
    <n v="-348.6"/>
    <n v="58100"/>
  </r>
  <r>
    <x v="6"/>
    <x v="49"/>
    <n v="128694389708"/>
    <n v="5687.99"/>
    <n v="15453357.310000001"/>
    <x v="0"/>
    <m/>
    <m/>
    <n v="-87.15"/>
    <n v="0"/>
    <n v="0"/>
    <n v="-34.86"/>
    <n v="5809.9999999999991"/>
  </r>
  <r>
    <x v="6"/>
    <x v="0"/>
    <n v="128694674936"/>
    <n v="15004.22"/>
    <n v="15468361.529999999"/>
    <x v="0"/>
    <m/>
    <m/>
    <n v="0"/>
    <n v="-154"/>
    <n v="-149.38"/>
    <n v="-92.4"/>
    <n v="15399.999999999998"/>
  </r>
  <r>
    <x v="6"/>
    <x v="0"/>
    <n v="128694718052"/>
    <n v="41700.04"/>
    <n v="15510061.57"/>
    <x v="0"/>
    <m/>
    <m/>
    <n v="0"/>
    <n v="-428"/>
    <n v="-415.16"/>
    <n v="-256.8"/>
    <n v="42800.000000000007"/>
  </r>
  <r>
    <x v="6"/>
    <x v="50"/>
    <n v="128127278911"/>
    <n v="4190.12"/>
    <n v="15514251.689999999"/>
    <x v="0"/>
    <m/>
    <m/>
    <n v="-64.2"/>
    <n v="0"/>
    <n v="0"/>
    <n v="-25.68"/>
    <n v="4280"/>
  </r>
  <r>
    <x v="6"/>
    <x v="0"/>
    <n v="128127401801"/>
    <n v="7935.48"/>
    <n v="15522187.17"/>
    <x v="0"/>
    <m/>
    <m/>
    <n v="0"/>
    <n v="-84"/>
    <n v="-330.12"/>
    <n v="-50.4"/>
    <n v="8400"/>
  </r>
  <r>
    <x v="6"/>
    <x v="0"/>
    <n v="128127545875"/>
    <n v="9353.2800000000007"/>
    <n v="15531540.449999999"/>
    <x v="0"/>
    <m/>
    <m/>
    <n v="0"/>
    <n v="-96"/>
    <n v="-93.12"/>
    <n v="-57.6"/>
    <n v="9600.0000000000018"/>
  </r>
  <r>
    <x v="6"/>
    <x v="0"/>
    <n v="128695678908"/>
    <n v="5163.79"/>
    <n v="15536704.24"/>
    <x v="0"/>
    <m/>
    <m/>
    <n v="0"/>
    <n v="-53"/>
    <n v="-51.41"/>
    <n v="-31.8"/>
    <n v="5300"/>
  </r>
  <r>
    <x v="6"/>
    <x v="0"/>
    <n v="128695784506"/>
    <n v="9386"/>
    <n v="15546090.24"/>
    <x v="0"/>
    <m/>
    <m/>
    <n v="0"/>
    <n v="-100"/>
    <n v="-454"/>
    <n v="-60"/>
    <n v="10000"/>
  </r>
  <r>
    <x v="6"/>
    <x v="0"/>
    <n v="128695856532"/>
    <n v="61770.62"/>
    <n v="15607860.859999999"/>
    <x v="0"/>
    <m/>
    <m/>
    <n v="0"/>
    <n v="-634"/>
    <n v="-614.98"/>
    <n v="-380.4"/>
    <n v="63400.000000000007"/>
  </r>
  <r>
    <x v="6"/>
    <x v="0"/>
    <n v="128128083733"/>
    <n v="8573.84"/>
    <n v="15616434.699999999"/>
    <x v="0"/>
    <m/>
    <m/>
    <n v="0"/>
    <n v="-88"/>
    <n v="-85.36"/>
    <n v="-52.8"/>
    <n v="8800"/>
  </r>
  <r>
    <x v="6"/>
    <x v="51"/>
    <n v="128695902536"/>
    <n v="861.52"/>
    <n v="15617296.220000001"/>
    <x v="0"/>
    <m/>
    <m/>
    <n v="-13.2"/>
    <n v="0"/>
    <n v="0"/>
    <n v="-5.28"/>
    <n v="880"/>
  </r>
  <r>
    <x v="6"/>
    <x v="0"/>
    <n v="128696084622"/>
    <n v="24942.080000000002"/>
    <n v="15642238.300000001"/>
    <x v="0"/>
    <m/>
    <m/>
    <n v="0"/>
    <n v="-256"/>
    <n v="-248.32"/>
    <n v="-153.6"/>
    <n v="25600"/>
  </r>
  <r>
    <x v="6"/>
    <x v="52"/>
    <n v="128128469831"/>
    <n v="1253.1199999999999"/>
    <n v="15643491.42"/>
    <x v="0"/>
    <m/>
    <m/>
    <n v="-19.2"/>
    <n v="0"/>
    <n v="0"/>
    <n v="-7.68"/>
    <n v="1280"/>
  </r>
  <r>
    <x v="6"/>
    <x v="0"/>
    <n v="128128642373"/>
    <n v="21434.6"/>
    <n v="15664926.02"/>
    <x v="0"/>
    <m/>
    <m/>
    <n v="0"/>
    <n v="-220"/>
    <n v="-213.4"/>
    <n v="-132"/>
    <n v="22000"/>
  </r>
  <r>
    <x v="6"/>
    <x v="0"/>
    <n v="128696182418"/>
    <n v="38972"/>
    <n v="15703898.02"/>
    <x v="0"/>
    <m/>
    <m/>
    <n v="0"/>
    <n v="-400"/>
    <n v="-388"/>
    <n v="-240"/>
    <n v="40000"/>
  </r>
  <r>
    <x v="6"/>
    <x v="0"/>
    <n v="128696455684"/>
    <n v="95968.55"/>
    <n v="15799866.57"/>
    <x v="0"/>
    <m/>
    <m/>
    <n v="0"/>
    <n v="-985"/>
    <n v="-955.45"/>
    <n v="-591"/>
    <n v="98500"/>
  </r>
  <r>
    <x v="6"/>
    <x v="53"/>
    <n v="128696457632"/>
    <n v="4821.57"/>
    <n v="15804688.140000001"/>
    <x v="0"/>
    <m/>
    <m/>
    <n v="-73.88"/>
    <n v="0"/>
    <n v="0"/>
    <n v="-29.55"/>
    <n v="4925"/>
  </r>
  <r>
    <x v="6"/>
    <x v="0"/>
    <n v="128128996829"/>
    <n v="11983.89"/>
    <n v="15816672.029999999"/>
    <x v="0"/>
    <m/>
    <m/>
    <n v="0"/>
    <n v="-123"/>
    <n v="-119.31"/>
    <n v="-73.8"/>
    <n v="12299.999999999998"/>
  </r>
  <r>
    <x v="6"/>
    <x v="0"/>
    <n v="128696800288"/>
    <n v="38095.129999999997"/>
    <n v="15854767.16"/>
    <x v="0"/>
    <m/>
    <m/>
    <n v="0"/>
    <n v="-391"/>
    <n v="-379.27"/>
    <n v="-234.6"/>
    <n v="39099.999999999993"/>
  </r>
  <r>
    <x v="6"/>
    <x v="0"/>
    <n v="128128980033"/>
    <n v="52147.44"/>
    <n v="15906914.6"/>
    <x v="0"/>
    <m/>
    <m/>
    <n v="0"/>
    <n v="-552"/>
    <n v="-2169.36"/>
    <n v="-331.2"/>
    <n v="55200"/>
  </r>
  <r>
    <x v="6"/>
    <x v="0"/>
    <n v="128129163917"/>
    <n v="3702.34"/>
    <n v="15910616.939999999"/>
    <x v="0"/>
    <m/>
    <m/>
    <n v="0"/>
    <n v="-38"/>
    <n v="-36.86"/>
    <n v="-22.8"/>
    <n v="3800.0000000000005"/>
  </r>
  <r>
    <x v="6"/>
    <x v="0"/>
    <n v="128129860457"/>
    <n v="47707.35"/>
    <n v="15958324.289999999"/>
    <x v="0"/>
    <m/>
    <m/>
    <n v="0"/>
    <n v="-505"/>
    <n v="-1984.65"/>
    <n v="-303"/>
    <n v="50500"/>
  </r>
  <r>
    <x v="6"/>
    <x v="0"/>
    <n v="128697427892"/>
    <n v="15491.37"/>
    <n v="15973815.66"/>
    <x v="0"/>
    <m/>
    <m/>
    <n v="0"/>
    <n v="-159"/>
    <n v="-154.22999999999999"/>
    <n v="-95.4"/>
    <n v="15900"/>
  </r>
  <r>
    <x v="6"/>
    <x v="0"/>
    <n v="128129968953"/>
    <n v="21773.25"/>
    <n v="15995588.91"/>
    <x v="0"/>
    <m/>
    <m/>
    <n v="0"/>
    <n v="-225"/>
    <n v="-366.75"/>
    <n v="-135"/>
    <n v="22500"/>
  </r>
  <r>
    <x v="6"/>
    <x v="0"/>
    <n v="128129982957"/>
    <n v="30135.93"/>
    <n v="16025724.84"/>
    <x v="0"/>
    <m/>
    <m/>
    <n v="0"/>
    <n v="-319"/>
    <n v="-1253.67"/>
    <n v="-191.4"/>
    <n v="31900"/>
  </r>
  <r>
    <x v="6"/>
    <x v="0"/>
    <n v="128697505462"/>
    <n v="14224.78"/>
    <n v="16039949.619999999"/>
    <x v="0"/>
    <m/>
    <m/>
    <n v="0"/>
    <n v="-146"/>
    <n v="-141.62"/>
    <n v="-87.6"/>
    <n v="14600.000000000002"/>
  </r>
  <r>
    <x v="6"/>
    <x v="0"/>
    <n v="128129983705"/>
    <n v="26890.68"/>
    <n v="16066840.300000001"/>
    <x v="0"/>
    <m/>
    <m/>
    <n v="0"/>
    <n v="-276"/>
    <n v="-267.72000000000003"/>
    <n v="-165.6"/>
    <n v="27600"/>
  </r>
  <r>
    <x v="6"/>
    <x v="0"/>
    <n v="128130086803"/>
    <n v="28157.27"/>
    <n v="16094997.57"/>
    <x v="0"/>
    <m/>
    <m/>
    <n v="0"/>
    <n v="-289"/>
    <n v="-280.33"/>
    <n v="-173.4"/>
    <n v="28900.000000000004"/>
  </r>
  <r>
    <x v="6"/>
    <x v="54"/>
    <n v="128697662950"/>
    <n v="1414.65"/>
    <n v="16096412.220000001"/>
    <x v="0"/>
    <m/>
    <m/>
    <n v="-21.68"/>
    <n v="0"/>
    <n v="0"/>
    <n v="-8.67"/>
    <n v="1445.0000000000002"/>
  </r>
  <r>
    <x v="6"/>
    <x v="0"/>
    <n v="128697707428"/>
    <n v="16368.24"/>
    <n v="16112780.460000001"/>
    <x v="0"/>
    <m/>
    <m/>
    <n v="0"/>
    <n v="-168"/>
    <n v="-162.96"/>
    <n v="-100.8"/>
    <n v="16799.999999999996"/>
  </r>
  <r>
    <x v="6"/>
    <x v="0"/>
    <n v="128698164204"/>
    <n v="27280.400000000001"/>
    <n v="16140060.859999999"/>
    <x v="0"/>
    <m/>
    <m/>
    <n v="0"/>
    <n v="-280"/>
    <n v="-271.60000000000002"/>
    <n v="-168"/>
    <n v="28000"/>
  </r>
  <r>
    <x v="6"/>
    <x v="55"/>
    <n v="128698035700"/>
    <n v="1370.6"/>
    <n v="16141431.460000001"/>
    <x v="0"/>
    <m/>
    <m/>
    <n v="-21"/>
    <n v="0"/>
    <n v="0"/>
    <n v="-8.4"/>
    <n v="1400"/>
  </r>
  <r>
    <x v="6"/>
    <x v="0"/>
    <n v="128698205804"/>
    <n v="12081.32"/>
    <n v="16153512.779999999"/>
    <x v="0"/>
    <m/>
    <m/>
    <n v="0"/>
    <n v="-124"/>
    <n v="-120.28"/>
    <n v="-74.400000000000006"/>
    <n v="12400"/>
  </r>
  <r>
    <x v="6"/>
    <x v="0"/>
    <n v="128130535797"/>
    <n v="8313.36"/>
    <n v="16161826.140000001"/>
    <x v="0"/>
    <m/>
    <m/>
    <n v="0"/>
    <n v="-88"/>
    <n v="-345.84"/>
    <n v="-52.8"/>
    <n v="8800"/>
  </r>
  <r>
    <x v="6"/>
    <x v="0"/>
    <n v="128130627097"/>
    <n v="7557.6"/>
    <n v="16169383.74"/>
    <x v="0"/>
    <m/>
    <m/>
    <n v="0"/>
    <n v="-80"/>
    <n v="-314.39999999999998"/>
    <n v="-48"/>
    <n v="8000"/>
  </r>
  <r>
    <x v="6"/>
    <x v="0"/>
    <n v="128130687417"/>
    <n v="17382.48"/>
    <n v="16186766.220000001"/>
    <x v="0"/>
    <m/>
    <m/>
    <n v="0"/>
    <n v="-184"/>
    <n v="-723.12"/>
    <n v="-110.4"/>
    <n v="18400"/>
  </r>
  <r>
    <x v="6"/>
    <x v="0"/>
    <n v="128698509452"/>
    <n v="21400.080000000002"/>
    <n v="16208166.300000001"/>
    <x v="0"/>
    <m/>
    <m/>
    <n v="0"/>
    <n v="-228"/>
    <n v="-1035.1199999999999"/>
    <n v="-136.80000000000001"/>
    <n v="22800"/>
  </r>
  <r>
    <x v="6"/>
    <x v="0"/>
    <n v="128698656838"/>
    <n v="18884.32"/>
    <n v="16227050.619999999"/>
    <x v="0"/>
    <m/>
    <m/>
    <n v="0"/>
    <n v="-208"/>
    <n v="-1582.88"/>
    <n v="-124.8"/>
    <n v="20800"/>
  </r>
  <r>
    <x v="6"/>
    <x v="0"/>
    <n v="128131119009"/>
    <n v="17854.830000000002"/>
    <n v="16244905.449999999"/>
    <x v="0"/>
    <m/>
    <m/>
    <n v="0"/>
    <n v="-189"/>
    <n v="-742.77"/>
    <n v="-113.4"/>
    <n v="18900.000000000004"/>
  </r>
  <r>
    <x v="6"/>
    <x v="0"/>
    <n v="128698830486"/>
    <n v="21044.880000000001"/>
    <n v="16265950.33"/>
    <x v="0"/>
    <m/>
    <m/>
    <n v="0"/>
    <n v="-216"/>
    <n v="-209.52"/>
    <n v="-129.6"/>
    <n v="21600"/>
  </r>
  <r>
    <x v="6"/>
    <x v="0"/>
    <n v="128131338741"/>
    <n v="16626.72"/>
    <n v="16282577.050000001"/>
    <x v="0"/>
    <m/>
    <m/>
    <n v="0"/>
    <n v="-176"/>
    <n v="-691.68"/>
    <n v="-105.6"/>
    <n v="17600"/>
  </r>
  <r>
    <x v="6"/>
    <x v="0"/>
    <n v="128699142146"/>
    <n v="3967.74"/>
    <n v="16286544.789999999"/>
    <x v="0"/>
    <m/>
    <m/>
    <n v="0"/>
    <n v="-42"/>
    <n v="-165.06"/>
    <n v="-25.2"/>
    <n v="4200"/>
  </r>
  <r>
    <x v="6"/>
    <x v="0"/>
    <n v="128131671691"/>
    <n v="17439.97"/>
    <n v="16303984.76"/>
    <x v="0"/>
    <m/>
    <m/>
    <n v="0"/>
    <n v="-179"/>
    <n v="-173.63"/>
    <n v="-107.4"/>
    <n v="17900.000000000004"/>
  </r>
  <r>
    <x v="6"/>
    <x v="0"/>
    <n v="128131837387"/>
    <n v="15491.37"/>
    <n v="16319476.130000001"/>
    <x v="0"/>
    <m/>
    <m/>
    <n v="0"/>
    <n v="-159"/>
    <n v="-154.22999999999999"/>
    <n v="-95.4"/>
    <n v="15900"/>
  </r>
  <r>
    <x v="6"/>
    <x v="0"/>
    <n v="128699839998"/>
    <n v="16069.83"/>
    <n v="16335545.960000001"/>
    <x v="0"/>
    <m/>
    <m/>
    <n v="0"/>
    <n v="-177"/>
    <n v="-1346.97"/>
    <n v="-106.2"/>
    <n v="17700"/>
  </r>
  <r>
    <x v="6"/>
    <x v="0"/>
    <n v="128132363197"/>
    <n v="9743"/>
    <n v="16345288.960000001"/>
    <x v="0"/>
    <m/>
    <m/>
    <n v="0"/>
    <n v="-100"/>
    <n v="-97"/>
    <n v="-60"/>
    <n v="10000"/>
  </r>
  <r>
    <x v="6"/>
    <x v="0"/>
    <n v="128201339295"/>
    <n v="13509.21"/>
    <n v="16358798.17"/>
    <x v="0"/>
    <m/>
    <m/>
    <n v="0"/>
    <n v="-143"/>
    <n v="-561.99"/>
    <n v="-85.8"/>
    <n v="14299.999999999998"/>
  </r>
  <r>
    <x v="6"/>
    <x v="0"/>
    <n v="128771504152"/>
    <n v="4774.07"/>
    <n v="16363572.24"/>
    <x v="0"/>
    <m/>
    <m/>
    <n v="0"/>
    <n v="-49"/>
    <n v="-47.53"/>
    <n v="-29.4"/>
    <n v="4899.9999999999991"/>
  </r>
  <r>
    <x v="6"/>
    <x v="0"/>
    <n v="128205853491"/>
    <n v="4286.92"/>
    <n v="16367859.16"/>
    <x v="0"/>
    <m/>
    <m/>
    <n v="0"/>
    <n v="-44"/>
    <n v="-42.68"/>
    <n v="-26.4"/>
    <n v="4400"/>
  </r>
  <r>
    <x v="6"/>
    <x v="0"/>
    <n v="128206530723"/>
    <n v="4774.07"/>
    <n v="16372633.23"/>
    <x v="0"/>
    <m/>
    <m/>
    <n v="0"/>
    <n v="-49"/>
    <n v="-47.53"/>
    <n v="-29.4"/>
    <n v="4899.9999999999991"/>
  </r>
  <r>
    <x v="6"/>
    <x v="0"/>
    <n v="128775011128"/>
    <n v="17004.599999999999"/>
    <n v="16389637.83"/>
    <x v="0"/>
    <m/>
    <m/>
    <n v="0"/>
    <n v="-180"/>
    <n v="-707.4"/>
    <n v="-108"/>
    <n v="18000"/>
  </r>
  <r>
    <x v="6"/>
    <x v="0"/>
    <n v="128775661428"/>
    <n v="13737.63"/>
    <n v="16403375.460000001"/>
    <x v="0"/>
    <m/>
    <m/>
    <n v="0"/>
    <n v="-141"/>
    <n v="-136.77000000000001"/>
    <n v="-84.6"/>
    <n v="14100"/>
  </r>
  <r>
    <x v="6"/>
    <x v="0"/>
    <n v="128208989895"/>
    <n v="25136.94"/>
    <n v="16428512.4"/>
    <x v="0"/>
    <m/>
    <m/>
    <n v="0"/>
    <n v="-258"/>
    <n v="-250.26"/>
    <n v="-154.80000000000001"/>
    <n v="25799.999999999996"/>
  </r>
  <r>
    <x v="6"/>
    <x v="56"/>
    <n v="128777177860"/>
    <n v="2525.8200000000002"/>
    <n v="16431038.220000001"/>
    <x v="0"/>
    <m/>
    <m/>
    <n v="-38.700000000000003"/>
    <n v="0"/>
    <n v="0"/>
    <n v="-15.48"/>
    <n v="2580"/>
  </r>
  <r>
    <x v="6"/>
    <x v="0"/>
    <n v="128210325155"/>
    <n v="16251.41"/>
    <n v="16447289.630000001"/>
    <x v="0"/>
    <m/>
    <m/>
    <n v="0"/>
    <n v="-179"/>
    <n v="-1362.19"/>
    <n v="-107.4"/>
    <n v="17900"/>
  </r>
  <r>
    <x v="6"/>
    <x v="0"/>
    <n v="128210631029"/>
    <n v="15493.08"/>
    <n v="16462782.710000001"/>
    <x v="0"/>
    <m/>
    <m/>
    <n v="0"/>
    <n v="-164"/>
    <n v="-644.52"/>
    <n v="-98.4"/>
    <n v="16400"/>
  </r>
  <r>
    <x v="6"/>
    <x v="0"/>
    <n v="128779285828"/>
    <n v="31762.18"/>
    <n v="16494544.890000001"/>
    <x v="0"/>
    <m/>
    <m/>
    <n v="0"/>
    <n v="-326"/>
    <n v="-316.22000000000003"/>
    <n v="-195.6"/>
    <n v="32600"/>
  </r>
  <r>
    <x v="6"/>
    <x v="0"/>
    <n v="128211723845"/>
    <n v="25916.38"/>
    <n v="16520461.27"/>
    <x v="0"/>
    <m/>
    <m/>
    <n v="0"/>
    <n v="-266"/>
    <n v="-258.02"/>
    <n v="-159.6"/>
    <n v="26600"/>
  </r>
  <r>
    <x v="6"/>
    <x v="0"/>
    <n v="128780279488"/>
    <n v="38874.57"/>
    <n v="16559335.84"/>
    <x v="0"/>
    <m/>
    <m/>
    <n v="0"/>
    <n v="-399"/>
    <n v="-387.03"/>
    <n v="-239.4"/>
    <n v="39900"/>
  </r>
  <r>
    <x v="6"/>
    <x v="0"/>
    <n v="128212250343"/>
    <n v="9353.2800000000007"/>
    <n v="16568689.119999999"/>
    <x v="0"/>
    <m/>
    <m/>
    <n v="0"/>
    <n v="-96"/>
    <n v="-93.12"/>
    <n v="-57.6"/>
    <n v="9600.0000000000018"/>
  </r>
  <r>
    <x v="6"/>
    <x v="0"/>
    <n v="128212590833"/>
    <n v="34295.360000000001"/>
    <n v="16602984.48"/>
    <x v="0"/>
    <m/>
    <m/>
    <n v="0"/>
    <n v="-352"/>
    <n v="-341.44"/>
    <n v="-211.2"/>
    <n v="35200"/>
  </r>
  <r>
    <x v="6"/>
    <x v="0"/>
    <n v="128213127005"/>
    <n v="4676.6400000000003"/>
    <n v="16607661.119999999"/>
    <x v="0"/>
    <m/>
    <m/>
    <n v="0"/>
    <n v="-48"/>
    <n v="-46.56"/>
    <n v="-28.8"/>
    <n v="4800.0000000000009"/>
  </r>
  <r>
    <x v="6"/>
    <x v="57"/>
    <n v="128213125083"/>
    <n v="469.92"/>
    <n v="16608131.039999999"/>
    <x v="0"/>
    <m/>
    <m/>
    <n v="-7.2"/>
    <n v="0"/>
    <n v="0"/>
    <n v="-2.88"/>
    <n v="480"/>
  </r>
  <r>
    <x v="6"/>
    <x v="0"/>
    <n v="128213687353"/>
    <n v="28740.69"/>
    <n v="16636871.73"/>
    <x v="0"/>
    <m/>
    <m/>
    <n v="0"/>
    <n v="-297"/>
    <n v="-484.11"/>
    <n v="-178.2"/>
    <n v="29700"/>
  </r>
  <r>
    <x v="6"/>
    <x v="4"/>
    <n v="128213740763"/>
    <n v="2907.63"/>
    <n v="16639779.359999999"/>
    <x v="0"/>
    <m/>
    <m/>
    <n v="-44.55"/>
    <n v="0"/>
    <n v="0"/>
    <n v="-17.82"/>
    <n v="2970.0000000000005"/>
  </r>
  <r>
    <x v="6"/>
    <x v="0"/>
    <n v="128782344294"/>
    <n v="23900.91"/>
    <n v="16663680.27"/>
    <x v="0"/>
    <m/>
    <m/>
    <n v="0"/>
    <n v="-253"/>
    <n v="-994.29"/>
    <n v="-151.80000000000001"/>
    <n v="25300"/>
  </r>
  <r>
    <x v="6"/>
    <x v="0"/>
    <n v="128215264657"/>
    <n v="13603.68"/>
    <n v="16677283.949999999"/>
    <x v="0"/>
    <m/>
    <m/>
    <n v="0"/>
    <n v="-144"/>
    <n v="-565.91999999999996"/>
    <n v="-86.4"/>
    <n v="14400"/>
  </r>
  <r>
    <x v="6"/>
    <x v="0"/>
    <n v="128783583224"/>
    <n v="17050.25"/>
    <n v="16694334.199999999"/>
    <x v="0"/>
    <m/>
    <m/>
    <n v="0"/>
    <n v="-175"/>
    <n v="-169.75"/>
    <n v="-105"/>
    <n v="17500"/>
  </r>
  <r>
    <x v="6"/>
    <x v="58"/>
    <n v="128783575336"/>
    <n v="1713.25"/>
    <n v="16696047.449999999"/>
    <x v="0"/>
    <m/>
    <m/>
    <n v="-26.25"/>
    <n v="0"/>
    <n v="0"/>
    <n v="-10.5"/>
    <n v="1750"/>
  </r>
  <r>
    <x v="6"/>
    <x v="0"/>
    <n v="128216639471"/>
    <n v="30203.3"/>
    <n v="16726250.75"/>
    <x v="0"/>
    <m/>
    <m/>
    <n v="0"/>
    <n v="-310"/>
    <n v="-300.7"/>
    <n v="-186"/>
    <n v="31000"/>
  </r>
  <r>
    <x v="6"/>
    <x v="0"/>
    <n v="128785272946"/>
    <n v="42284.62"/>
    <n v="16768535.369999999"/>
    <x v="0"/>
    <m/>
    <m/>
    <n v="0"/>
    <n v="-434"/>
    <n v="-420.98"/>
    <n v="-260.39999999999998"/>
    <n v="43400.000000000007"/>
  </r>
  <r>
    <x v="6"/>
    <x v="0"/>
    <n v="128217976781"/>
    <n v="15115.2"/>
    <n v="16783650.57"/>
    <x v="0"/>
    <m/>
    <m/>
    <n v="0"/>
    <n v="-160"/>
    <n v="-628.79999999999995"/>
    <n v="-96"/>
    <n v="16000"/>
  </r>
  <r>
    <x v="6"/>
    <x v="0"/>
    <n v="128218880657"/>
    <n v="29423.86"/>
    <n v="16813074.43"/>
    <x v="0"/>
    <m/>
    <m/>
    <n v="0"/>
    <n v="-302"/>
    <n v="-292.94"/>
    <n v="-181.2"/>
    <n v="30200"/>
  </r>
  <r>
    <x v="3"/>
    <x v="0"/>
    <n v="128220831145"/>
    <n v="7741.6"/>
    <n v="16820816.030000001"/>
    <x v="0"/>
    <m/>
    <m/>
    <n v="0"/>
    <n v="-80"/>
    <n v="-130.4"/>
    <n v="-48"/>
    <n v="8000"/>
  </r>
  <r>
    <x v="3"/>
    <x v="0"/>
    <n v="128221923389"/>
    <n v="49202.15"/>
    <n v="16870018.18"/>
    <x v="0"/>
    <m/>
    <m/>
    <n v="0"/>
    <n v="-505"/>
    <n v="-489.85"/>
    <n v="-303"/>
    <n v="50500"/>
  </r>
  <r>
    <x v="3"/>
    <x v="0"/>
    <n v="128222367735"/>
    <n v="7989.52"/>
    <n v="16878007.699999999"/>
    <x v="0"/>
    <m/>
    <m/>
    <n v="0"/>
    <n v="-88"/>
    <n v="-669.68"/>
    <n v="-52.8"/>
    <n v="8800"/>
  </r>
  <r>
    <x v="3"/>
    <x v="59"/>
    <n v="128307872905"/>
    <n v="-21729.59"/>
    <n v="11747739.529999999"/>
    <x v="1"/>
    <n v="-21599.990059642147"/>
    <n v="-129.59994035785348"/>
    <n v="0"/>
    <n v="0"/>
    <n v="0"/>
    <n v="-129.59994035785348"/>
    <n v="-21599.990059642147"/>
  </r>
  <r>
    <x v="1"/>
    <x v="6"/>
    <n v="128313425810"/>
    <n v="-1162.45"/>
    <n v="11242650.800000001"/>
    <x v="2"/>
    <n v="-193741.66666666666"/>
    <m/>
    <n v="0"/>
    <n v="0"/>
    <n v="0"/>
    <m/>
    <n v="-1162.45"/>
  </r>
  <r>
    <x v="1"/>
    <x v="7"/>
    <n v="128313425810"/>
    <n v="-193742.33"/>
    <n v="11243813.25"/>
    <x v="1"/>
    <n v="-192586.8091451292"/>
    <n v="-1155.5208548707888"/>
    <n v="0"/>
    <n v="0"/>
    <n v="0"/>
    <n v="-1162.45"/>
    <n v="-193742.33"/>
  </r>
  <r>
    <x v="1"/>
    <x v="6"/>
    <n v="128340094018"/>
    <n v="-324.20999999999998"/>
    <n v="10604029.9"/>
    <x v="2"/>
    <n v="-54034.999999999993"/>
    <m/>
    <n v="0"/>
    <n v="0"/>
    <n v="0"/>
    <m/>
    <n v="-324.20999999999998"/>
  </r>
  <r>
    <x v="1"/>
    <x v="9"/>
    <n v="128340094018"/>
    <n v="-54034.239999999998"/>
    <n v="10604354.109999999"/>
    <x v="1"/>
    <n v="-53711.968190854866"/>
    <n v="-322.27180914513156"/>
    <n v="0"/>
    <n v="0"/>
    <n v="0"/>
    <n v="-324.20999999999998"/>
    <n v="-54034.239999999998"/>
  </r>
  <r>
    <x v="4"/>
    <x v="6"/>
    <n v="128497382094"/>
    <n v="-4517.66"/>
    <n v="11628765.109999999"/>
    <x v="2"/>
    <n v="-752943.33333333326"/>
    <m/>
    <n v="0"/>
    <n v="0"/>
    <n v="0"/>
    <m/>
    <n v="-4517.66"/>
  </r>
  <r>
    <x v="4"/>
    <x v="60"/>
    <n v="128497382094"/>
    <n v="-752944"/>
    <n v="11633282.77"/>
    <x v="1"/>
    <n v="-748453.28031809139"/>
    <n v="-4490.7196819086093"/>
    <n v="0"/>
    <n v="0"/>
    <n v="0"/>
    <n v="-4517.66"/>
    <n v="-752944"/>
  </r>
  <r>
    <x v="7"/>
    <x v="6"/>
    <n v="128552409491"/>
    <n v="-418.8"/>
    <n v="9398017.9000000004"/>
    <x v="2"/>
    <n v="-69800"/>
    <m/>
    <n v="0"/>
    <n v="0"/>
    <n v="0"/>
    <m/>
    <n v="-418.8"/>
  </r>
  <r>
    <x v="7"/>
    <x v="61"/>
    <n v="128552409491"/>
    <n v="-69800.13"/>
    <n v="9398436.6999999993"/>
    <x v="1"/>
    <n v="-69383.827037773357"/>
    <n v="-416.30296222664765"/>
    <n v="0"/>
    <n v="0"/>
    <n v="0"/>
    <n v="-418.8"/>
    <n v="-69800.13"/>
  </r>
  <r>
    <x v="7"/>
    <x v="6"/>
    <n v="128573746367"/>
    <n v="-2162.14"/>
    <n v="9035499.4299999997"/>
    <x v="2"/>
    <n v="-360356.66666666663"/>
    <m/>
    <n v="0"/>
    <n v="0"/>
    <n v="0"/>
    <m/>
    <n v="-2162.14"/>
  </r>
  <r>
    <x v="7"/>
    <x v="62"/>
    <n v="128573746367"/>
    <n v="-360356.33"/>
    <n v="9037661.5700000003"/>
    <x v="1"/>
    <n v="-358207.08747514914"/>
    <n v="-2149.2425248508807"/>
    <n v="0"/>
    <n v="0"/>
    <n v="0"/>
    <n v="-2162.14"/>
    <n v="-360356.33"/>
  </r>
  <r>
    <x v="7"/>
    <x v="6"/>
    <n v="128574320803"/>
    <n v="-1587.2"/>
    <n v="8769379.0099999998"/>
    <x v="2"/>
    <n v="-264533.33333333331"/>
    <m/>
    <n v="0"/>
    <n v="0"/>
    <n v="0"/>
    <m/>
    <n v="-1587.2"/>
  </r>
  <r>
    <x v="7"/>
    <x v="62"/>
    <n v="128574320803"/>
    <n v="-264533.21999999997"/>
    <n v="8770966.2100000009"/>
    <x v="1"/>
    <n v="-262955.48707753478"/>
    <n v="-1577.7329224651912"/>
    <n v="0"/>
    <n v="0"/>
    <n v="0"/>
    <n v="-1587.2"/>
    <n v="-264533.21999999997"/>
  </r>
  <r>
    <x v="8"/>
    <x v="63"/>
    <n v="128684825641"/>
    <n v="-186039.58"/>
    <n v="9730332.4499999993"/>
    <x v="1"/>
    <n v="-184930"/>
    <n v="-1109.5799999999872"/>
    <n v="0"/>
    <n v="0"/>
    <n v="0"/>
    <n v="-1109.5799999999872"/>
    <n v="-184930"/>
  </r>
  <r>
    <x v="8"/>
    <x v="63"/>
    <n v="128685024639"/>
    <n v="-95972.4"/>
    <n v="9634360.0500000007"/>
    <x v="1"/>
    <n v="-95400"/>
    <n v="-572.39999999999418"/>
    <n v="0"/>
    <n v="0"/>
    <n v="0"/>
    <n v="-572.39999999999418"/>
    <n v="-95400"/>
  </r>
  <r>
    <x v="8"/>
    <x v="6"/>
    <n v="128685805823"/>
    <n v="-662.35"/>
    <n v="9523305.5899999999"/>
    <x v="2"/>
    <n v="-110391.66666666667"/>
    <m/>
    <n v="0"/>
    <n v="0"/>
    <n v="0"/>
    <m/>
    <n v="-662.35"/>
  </r>
  <r>
    <x v="8"/>
    <x v="9"/>
    <n v="128685805823"/>
    <n v="-110392.11"/>
    <n v="9523967.9399999995"/>
    <x v="1"/>
    <n v="-109733.70775347913"/>
    <n v="-658.40224652086908"/>
    <n v="0"/>
    <n v="0"/>
    <n v="0"/>
    <n v="-662.35"/>
    <n v="-110392.11"/>
  </r>
  <r>
    <x v="8"/>
    <x v="64"/>
    <n v="128688655297"/>
    <n v="-66184.740000000005"/>
    <n v="9150511.0899999999"/>
    <x v="1"/>
    <n v="-65790"/>
    <n v="-394.74000000000524"/>
    <n v="0"/>
    <n v="0"/>
    <n v="0"/>
    <n v="-394.74000000000524"/>
    <n v="-65790"/>
  </r>
  <r>
    <x v="8"/>
    <x v="65"/>
    <n v="128707476349"/>
    <n v="-378098"/>
    <n v="7581502.9400000004"/>
    <x v="1"/>
    <n v="-375842.94234592444"/>
    <n v="-2255.0576540755574"/>
    <n v="0"/>
    <n v="0"/>
    <n v="0"/>
    <n v="-2255.0576540755574"/>
    <n v="-375842.94234592444"/>
  </r>
  <r>
    <x v="3"/>
    <x v="6"/>
    <n v="128840577700"/>
    <n v="-6297.98"/>
    <n v="14861934.41"/>
    <x v="2"/>
    <n v="-1049663.3333333333"/>
    <m/>
    <n v="0"/>
    <n v="0"/>
    <n v="0"/>
    <m/>
    <n v="-6297.98"/>
  </r>
  <r>
    <x v="3"/>
    <x v="66"/>
    <n v="128840577700"/>
    <n v="-1049664"/>
    <n v="14868232.390000001"/>
    <x v="1"/>
    <n v="-1043403.5785288271"/>
    <n v="-6260.4214711729437"/>
    <n v="0"/>
    <n v="0"/>
    <n v="0"/>
    <n v="-6297.98"/>
    <n v="-1049664"/>
  </r>
  <r>
    <x v="7"/>
    <x v="0"/>
    <n v="129181979010"/>
    <n v="4534.5600000000004"/>
    <n v="8714217.5299999993"/>
    <x v="0"/>
    <m/>
    <m/>
    <n v="0"/>
    <n v="-48"/>
    <n v="-188.64"/>
    <n v="-28.8"/>
    <n v="4800.0000000000009"/>
  </r>
  <r>
    <x v="7"/>
    <x v="0"/>
    <n v="129185058794"/>
    <n v="12529.02"/>
    <n v="8726746.5500000007"/>
    <x v="0"/>
    <m/>
    <m/>
    <n v="0"/>
    <n v="-138"/>
    <n v="-1050.18"/>
    <n v="-82.8"/>
    <n v="13800"/>
  </r>
  <r>
    <x v="7"/>
    <x v="0"/>
    <n v="129187574742"/>
    <n v="15870.96"/>
    <n v="8742617.5099999998"/>
    <x v="0"/>
    <m/>
    <m/>
    <n v="0"/>
    <n v="-168"/>
    <n v="-660.24"/>
    <n v="-100.8"/>
    <n v="16800"/>
  </r>
  <r>
    <x v="7"/>
    <x v="0"/>
    <n v="128623220757"/>
    <n v="5668.2"/>
    <n v="8748285.7100000009"/>
    <x v="0"/>
    <m/>
    <m/>
    <n v="0"/>
    <n v="-60"/>
    <n v="-235.8"/>
    <n v="-36"/>
    <n v="6000"/>
  </r>
  <r>
    <x v="7"/>
    <x v="0"/>
    <n v="129194128550"/>
    <n v="2922.9"/>
    <n v="8751208.6099999994"/>
    <x v="0"/>
    <m/>
    <m/>
    <n v="0"/>
    <n v="-30"/>
    <n v="-29.1"/>
    <n v="-18"/>
    <n v="3000"/>
  </r>
  <r>
    <x v="7"/>
    <x v="0"/>
    <n v="129195133392"/>
    <n v="5845.8"/>
    <n v="8757054.4100000001"/>
    <x v="0"/>
    <m/>
    <m/>
    <n v="0"/>
    <n v="-60"/>
    <n v="-58.2"/>
    <n v="-36"/>
    <n v="6000"/>
  </r>
  <r>
    <x v="7"/>
    <x v="0"/>
    <n v="128624814139"/>
    <n v="2922.9"/>
    <n v="8759977.3100000005"/>
    <x v="0"/>
    <m/>
    <m/>
    <n v="0"/>
    <n v="-30"/>
    <n v="-29.1"/>
    <n v="-18"/>
    <n v="3000"/>
  </r>
  <r>
    <x v="7"/>
    <x v="67"/>
    <n v="128624750885"/>
    <n v="146.85"/>
    <n v="8760124.1600000001"/>
    <x v="0"/>
    <m/>
    <m/>
    <n v="-2.25"/>
    <n v="0"/>
    <n v="0"/>
    <n v="-0.9"/>
    <n v="150"/>
  </r>
  <r>
    <x v="7"/>
    <x v="0"/>
    <n v="129197916964"/>
    <n v="5668.2"/>
    <n v="8765792.3599999994"/>
    <x v="0"/>
    <m/>
    <m/>
    <n v="0"/>
    <n v="-60"/>
    <n v="-235.8"/>
    <n v="-36"/>
    <n v="6000"/>
  </r>
  <r>
    <x v="7"/>
    <x v="0"/>
    <n v="128628824137"/>
    <n v="4676.6400000000003"/>
    <n v="8770469"/>
    <x v="0"/>
    <m/>
    <m/>
    <n v="0"/>
    <n v="-48"/>
    <n v="-46.56"/>
    <n v="-28.8"/>
    <n v="4800.0000000000009"/>
  </r>
  <r>
    <x v="7"/>
    <x v="68"/>
    <n v="129199375094"/>
    <n v="234.96"/>
    <n v="8770703.9600000009"/>
    <x v="0"/>
    <m/>
    <m/>
    <n v="-3.6"/>
    <n v="0"/>
    <n v="0"/>
    <n v="-1.44"/>
    <n v="240"/>
  </r>
  <r>
    <x v="7"/>
    <x v="0"/>
    <n v="128628953665"/>
    <n v="2922.9"/>
    <n v="8773626.8599999994"/>
    <x v="0"/>
    <m/>
    <m/>
    <n v="0"/>
    <n v="-30"/>
    <n v="-29.1"/>
    <n v="-18"/>
    <n v="3000"/>
  </r>
  <r>
    <x v="7"/>
    <x v="0"/>
    <n v="129201065142"/>
    <n v="27868.65"/>
    <n v="8801495.5099999998"/>
    <x v="0"/>
    <m/>
    <m/>
    <n v="0"/>
    <n v="-295"/>
    <n v="-1159.3499999999999"/>
    <n v="-177"/>
    <n v="29500"/>
  </r>
  <r>
    <x v="7"/>
    <x v="0"/>
    <n v="129201225626"/>
    <n v="9743"/>
    <n v="8811238.5099999998"/>
    <x v="0"/>
    <m/>
    <m/>
    <n v="0"/>
    <n v="-100"/>
    <n v="-97"/>
    <n v="-60"/>
    <n v="10000"/>
  </r>
  <r>
    <x v="7"/>
    <x v="69"/>
    <n v="128630547191"/>
    <n v="489.5"/>
    <n v="8811728.0099999998"/>
    <x v="0"/>
    <m/>
    <m/>
    <n v="-7.5"/>
    <n v="0"/>
    <n v="0"/>
    <n v="-3"/>
    <n v="500"/>
  </r>
  <r>
    <x v="7"/>
    <x v="0"/>
    <n v="128630753069"/>
    <n v="38387.42"/>
    <n v="8850115.4299999997"/>
    <x v="0"/>
    <m/>
    <m/>
    <n v="0"/>
    <n v="-394"/>
    <n v="-382.18"/>
    <n v="-236.4"/>
    <n v="39400"/>
  </r>
  <r>
    <x v="7"/>
    <x v="0"/>
    <n v="128631028957"/>
    <n v="24467.73"/>
    <n v="8874583.1600000001"/>
    <x v="0"/>
    <m/>
    <m/>
    <n v="0"/>
    <n v="-259"/>
    <n v="-1017.87"/>
    <n v="-155.4"/>
    <n v="25900"/>
  </r>
  <r>
    <x v="7"/>
    <x v="0"/>
    <n v="129201952360"/>
    <n v="3702.34"/>
    <n v="8878285.5"/>
    <x v="0"/>
    <m/>
    <m/>
    <n v="0"/>
    <n v="-38"/>
    <n v="-36.86"/>
    <n v="-22.8"/>
    <n v="3800.0000000000005"/>
  </r>
  <r>
    <x v="7"/>
    <x v="70"/>
    <n v="128631129561"/>
    <n v="186.01"/>
    <n v="8878471.5099999998"/>
    <x v="0"/>
    <m/>
    <m/>
    <n v="-2.85"/>
    <n v="0"/>
    <n v="0"/>
    <n v="-1.1399999999999999"/>
    <n v="189.99999999999997"/>
  </r>
  <r>
    <x v="7"/>
    <x v="0"/>
    <n v="128631398585"/>
    <n v="9353.2800000000007"/>
    <n v="8887824.7899999991"/>
    <x v="0"/>
    <m/>
    <m/>
    <n v="0"/>
    <n v="-96"/>
    <n v="-93.12"/>
    <n v="-57.6"/>
    <n v="9600.0000000000018"/>
  </r>
  <r>
    <x v="7"/>
    <x v="0"/>
    <n v="128632421311"/>
    <n v="3589.86"/>
    <n v="8891414.6500000004"/>
    <x v="0"/>
    <m/>
    <m/>
    <n v="0"/>
    <n v="-38"/>
    <n v="-149.34"/>
    <n v="-22.8"/>
    <n v="3800.0000000000005"/>
  </r>
  <r>
    <x v="7"/>
    <x v="0"/>
    <n v="129203149610"/>
    <n v="9069.1200000000008"/>
    <n v="8900483.7699999996"/>
    <x v="0"/>
    <m/>
    <m/>
    <n v="0"/>
    <n v="-96"/>
    <n v="-377.28"/>
    <n v="-57.6"/>
    <n v="9600.0000000000018"/>
  </r>
  <r>
    <x v="7"/>
    <x v="0"/>
    <n v="129204840076"/>
    <n v="4534.5600000000004"/>
    <n v="8905018.3300000001"/>
    <x v="0"/>
    <m/>
    <m/>
    <n v="0"/>
    <n v="-48"/>
    <n v="-188.64"/>
    <n v="-28.8"/>
    <n v="4800.0000000000009"/>
  </r>
  <r>
    <x v="7"/>
    <x v="0"/>
    <n v="129205192540"/>
    <n v="27280.400000000001"/>
    <n v="8932298.7300000004"/>
    <x v="0"/>
    <m/>
    <m/>
    <n v="0"/>
    <n v="-280"/>
    <n v="-271.60000000000002"/>
    <n v="-168"/>
    <n v="28000"/>
  </r>
  <r>
    <x v="7"/>
    <x v="71"/>
    <n v="128634472533"/>
    <n v="1370.6"/>
    <n v="8933669.3300000001"/>
    <x v="0"/>
    <m/>
    <m/>
    <n v="-21"/>
    <n v="0"/>
    <n v="0"/>
    <n v="-8.4"/>
    <n v="1400"/>
  </r>
  <r>
    <x v="7"/>
    <x v="0"/>
    <n v="129205482260"/>
    <n v="26562.38"/>
    <n v="8960231.7100000009"/>
    <x v="0"/>
    <m/>
    <m/>
    <n v="0"/>
    <n v="-283"/>
    <n v="-1284.82"/>
    <n v="-169.8"/>
    <n v="28300"/>
  </r>
  <r>
    <x v="7"/>
    <x v="0"/>
    <n v="129205653322"/>
    <n v="5650.94"/>
    <n v="8965882.6500000004"/>
    <x v="0"/>
    <m/>
    <m/>
    <n v="0"/>
    <n v="-58"/>
    <n v="-56.26"/>
    <n v="-34.799999999999997"/>
    <n v="5800"/>
  </r>
  <r>
    <x v="7"/>
    <x v="0"/>
    <n v="128636419289"/>
    <n v="3702.34"/>
    <n v="8969584.9900000002"/>
    <x v="0"/>
    <m/>
    <m/>
    <n v="0"/>
    <n v="-38"/>
    <n v="-36.86"/>
    <n v="-22.8"/>
    <n v="3800.0000000000005"/>
  </r>
  <r>
    <x v="7"/>
    <x v="0"/>
    <n v="128636662801"/>
    <n v="30322.98"/>
    <n v="8999907.9700000007"/>
    <x v="0"/>
    <m/>
    <m/>
    <n v="0"/>
    <n v="-320.98"/>
    <n v="-1261.45"/>
    <n v="-192.59"/>
    <n v="32098"/>
  </r>
  <r>
    <x v="7"/>
    <x v="0"/>
    <n v="128637622361"/>
    <n v="34781.54"/>
    <n v="9034689.5099999998"/>
    <x v="0"/>
    <m/>
    <m/>
    <n v="0"/>
    <n v="-356.99"/>
    <n v="-346.28"/>
    <n v="-214.19"/>
    <n v="35699"/>
  </r>
  <r>
    <x v="7"/>
    <x v="0"/>
    <n v="129208894410"/>
    <n v="35048.370000000003"/>
    <n v="9069737.8800000008"/>
    <x v="0"/>
    <m/>
    <m/>
    <n v="0"/>
    <n v="-371"/>
    <n v="-1458.03"/>
    <n v="-222.6"/>
    <n v="37100"/>
  </r>
  <r>
    <x v="7"/>
    <x v="0"/>
    <n v="128639452327"/>
    <n v="109506.45"/>
    <n v="9179244.3300000001"/>
    <x v="0"/>
    <m/>
    <m/>
    <n v="0"/>
    <n v="-1123.95"/>
    <n v="-1090.23"/>
    <n v="-674.37"/>
    <n v="112394.99999999999"/>
  </r>
  <r>
    <x v="7"/>
    <x v="0"/>
    <n v="128639945425"/>
    <n v="31175.65"/>
    <n v="9210419.9800000004"/>
    <x v="0"/>
    <m/>
    <m/>
    <n v="0"/>
    <n v="-319.98"/>
    <n v="-310.38"/>
    <n v="-191.99"/>
    <n v="31998.000000000004"/>
  </r>
  <r>
    <x v="7"/>
    <x v="0"/>
    <n v="128640132077"/>
    <n v="24162.639999999999"/>
    <n v="9234582.6199999992"/>
    <x v="0"/>
    <m/>
    <m/>
    <n v="0"/>
    <n v="-248"/>
    <n v="-240.56"/>
    <n v="-148.80000000000001"/>
    <n v="24800"/>
  </r>
  <r>
    <x v="7"/>
    <x v="0"/>
    <n v="129211094160"/>
    <n v="41018.03"/>
    <n v="9275600.6500000004"/>
    <x v="0"/>
    <m/>
    <m/>
    <n v="0"/>
    <n v="-421"/>
    <n v="-408.37"/>
    <n v="-252.6"/>
    <n v="42100"/>
  </r>
  <r>
    <x v="7"/>
    <x v="0"/>
    <n v="128640479035"/>
    <n v="36242.99"/>
    <n v="9311843.6400000006"/>
    <x v="0"/>
    <m/>
    <m/>
    <n v="0"/>
    <n v="-371.99"/>
    <n v="-360.83"/>
    <n v="-223.19"/>
    <n v="37199"/>
  </r>
  <r>
    <x v="7"/>
    <x v="72"/>
    <n v="129211186642"/>
    <n v="3640.9"/>
    <n v="9315484.5399999991"/>
    <x v="0"/>
    <m/>
    <m/>
    <n v="-55.79"/>
    <n v="0"/>
    <n v="0"/>
    <n v="-22.31"/>
    <n v="3719"/>
  </r>
  <r>
    <x v="7"/>
    <x v="0"/>
    <n v="129211293332"/>
    <n v="17926.150000000001"/>
    <n v="9333410.6899999995"/>
    <x v="0"/>
    <m/>
    <m/>
    <n v="0"/>
    <n v="-183.99"/>
    <n v="-178.47"/>
    <n v="-110.39"/>
    <n v="18399.000000000004"/>
  </r>
  <r>
    <x v="7"/>
    <x v="73"/>
    <n v="129211364496"/>
    <n v="1800.38"/>
    <n v="9335211.0700000003"/>
    <x v="0"/>
    <m/>
    <m/>
    <n v="-27.59"/>
    <n v="0"/>
    <n v="0"/>
    <n v="-11.03"/>
    <n v="1839"/>
  </r>
  <r>
    <x v="7"/>
    <x v="0"/>
    <n v="129211696806"/>
    <n v="54036.84"/>
    <n v="9389247.9100000001"/>
    <x v="0"/>
    <m/>
    <m/>
    <n v="0"/>
    <n v="-572"/>
    <n v="-2247.96"/>
    <n v="-343.2"/>
    <n v="57199.999999999993"/>
  </r>
  <r>
    <x v="7"/>
    <x v="0"/>
    <n v="128641318431"/>
    <n v="25063.43"/>
    <n v="9414311.3399999999"/>
    <x v="0"/>
    <m/>
    <m/>
    <n v="0"/>
    <n v="-259"/>
    <n v="-422.17"/>
    <n v="-155.4"/>
    <n v="25900"/>
  </r>
  <r>
    <x v="7"/>
    <x v="0"/>
    <n v="129214442224"/>
    <n v="74430.98"/>
    <n v="9488742.3200000003"/>
    <x v="0"/>
    <m/>
    <m/>
    <n v="0"/>
    <n v="-793"/>
    <n v="-3600.22"/>
    <n v="-475.8"/>
    <n v="79300"/>
  </r>
  <r>
    <x v="7"/>
    <x v="0"/>
    <n v="128643965667"/>
    <n v="55632.53"/>
    <n v="9544374.8499999996"/>
    <x v="0"/>
    <m/>
    <m/>
    <n v="0"/>
    <n v="-571"/>
    <n v="-553.87"/>
    <n v="-342.6"/>
    <n v="57100"/>
  </r>
  <r>
    <x v="7"/>
    <x v="74"/>
    <n v="129214683158"/>
    <n v="2795.04"/>
    <n v="9547169.8900000006"/>
    <x v="0"/>
    <m/>
    <m/>
    <n v="-42.83"/>
    <n v="0"/>
    <n v="0"/>
    <n v="-17.13"/>
    <n v="2855"/>
  </r>
  <r>
    <x v="7"/>
    <x v="0"/>
    <n v="129214866634"/>
    <n v="63226.23"/>
    <n v="9610396.1199999992"/>
    <x v="0"/>
    <m/>
    <m/>
    <n v="0"/>
    <n v="-648.94000000000005"/>
    <n v="-629.47"/>
    <n v="-389.36"/>
    <n v="64894.000000000007"/>
  </r>
  <r>
    <x v="7"/>
    <x v="0"/>
    <n v="128644211883"/>
    <n v="9010.56"/>
    <n v="9619406.6799999997"/>
    <x v="0"/>
    <m/>
    <m/>
    <n v="0"/>
    <n v="-96"/>
    <n v="-435.84"/>
    <n v="-57.6"/>
    <n v="9600"/>
  </r>
  <r>
    <x v="7"/>
    <x v="0"/>
    <n v="128644890325"/>
    <n v="47643.27"/>
    <n v="9667049.9499999993"/>
    <x v="0"/>
    <m/>
    <m/>
    <n v="0"/>
    <n v="-489"/>
    <n v="-474.33"/>
    <n v="-293.39999999999998"/>
    <n v="48900"/>
  </r>
  <r>
    <x v="7"/>
    <x v="75"/>
    <n v="129215473972"/>
    <n v="4787.3100000000004"/>
    <n v="9671837.2599999998"/>
    <x v="0"/>
    <m/>
    <m/>
    <n v="-73.349999999999994"/>
    <n v="0"/>
    <n v="0"/>
    <n v="-29.34"/>
    <n v="4890.0000000000009"/>
  </r>
  <r>
    <x v="7"/>
    <x v="0"/>
    <n v="129215579718"/>
    <n v="38968.1"/>
    <n v="9710805.3599999994"/>
    <x v="0"/>
    <m/>
    <m/>
    <n v="0"/>
    <n v="-399.96"/>
    <n v="-387.96"/>
    <n v="-239.98"/>
    <n v="39996"/>
  </r>
  <r>
    <x v="7"/>
    <x v="76"/>
    <n v="128644903387"/>
    <n v="3915.02"/>
    <n v="9714720.3800000008"/>
    <x v="0"/>
    <m/>
    <m/>
    <n v="-59.99"/>
    <n v="0"/>
    <n v="0"/>
    <n v="-23.99"/>
    <n v="3998.9999999999995"/>
  </r>
  <r>
    <x v="8"/>
    <x v="0"/>
    <n v="128645459167"/>
    <n v="36825.620000000003"/>
    <n v="9751546"/>
    <x v="0"/>
    <m/>
    <m/>
    <n v="0"/>
    <n v="-377.97"/>
    <n v="-366.63"/>
    <n v="-226.78"/>
    <n v="37797"/>
  </r>
  <r>
    <x v="8"/>
    <x v="0"/>
    <n v="129217039132"/>
    <n v="7989.26"/>
    <n v="9759535.2599999998"/>
    <x v="0"/>
    <m/>
    <m/>
    <n v="0"/>
    <n v="-82"/>
    <n v="-79.540000000000006"/>
    <n v="-49.2"/>
    <n v="8200"/>
  </r>
  <r>
    <x v="8"/>
    <x v="0"/>
    <n v="129217612156"/>
    <n v="8715.84"/>
    <n v="9768251.0999999996"/>
    <x v="0"/>
    <m/>
    <m/>
    <n v="0"/>
    <n v="-96"/>
    <n v="-730.56"/>
    <n v="-57.6"/>
    <n v="9600"/>
  </r>
  <r>
    <x v="8"/>
    <x v="0"/>
    <n v="129217652034"/>
    <n v="40530.879999999997"/>
    <n v="9808781.9800000004"/>
    <x v="0"/>
    <m/>
    <m/>
    <n v="0"/>
    <n v="-416"/>
    <n v="-403.52"/>
    <n v="-249.6"/>
    <n v="41599.999999999993"/>
  </r>
  <r>
    <x v="8"/>
    <x v="0"/>
    <n v="129217833188"/>
    <n v="61573.81"/>
    <n v="9870355.7899999991"/>
    <x v="0"/>
    <m/>
    <m/>
    <n v="0"/>
    <n v="-631.98"/>
    <n v="-613.02"/>
    <n v="-379.19"/>
    <n v="63198"/>
  </r>
  <r>
    <x v="8"/>
    <x v="0"/>
    <n v="128647665951"/>
    <n v="18893.060000000001"/>
    <n v="9889248.8499999996"/>
    <x v="0"/>
    <m/>
    <m/>
    <n v="0"/>
    <n v="-199.99"/>
    <n v="-785.96"/>
    <n v="-119.99"/>
    <n v="19999.000000000004"/>
  </r>
  <r>
    <x v="8"/>
    <x v="0"/>
    <n v="128648656617"/>
    <n v="8378.98"/>
    <n v="9897627.8300000001"/>
    <x v="0"/>
    <m/>
    <m/>
    <n v="0"/>
    <n v="-86"/>
    <n v="-83.42"/>
    <n v="-51.6"/>
    <n v="8600"/>
  </r>
  <r>
    <x v="8"/>
    <x v="0"/>
    <n v="128649386055"/>
    <n v="30300.73"/>
    <n v="9927928.5600000005"/>
    <x v="0"/>
    <m/>
    <m/>
    <n v="0"/>
    <n v="-311"/>
    <n v="-301.67"/>
    <n v="-186.6"/>
    <n v="31099.999999999996"/>
  </r>
  <r>
    <x v="3"/>
    <x v="6"/>
    <n v="128841429022"/>
    <n v="-1523.4"/>
    <n v="14606510.560000001"/>
    <x v="2"/>
    <n v="-253900"/>
    <m/>
    <n v="0"/>
    <n v="0"/>
    <n v="0"/>
    <m/>
    <n v="-1523.4"/>
  </r>
  <r>
    <x v="3"/>
    <x v="77"/>
    <n v="128841429022"/>
    <n v="-253900.45"/>
    <n v="14608033.960000001"/>
    <x v="1"/>
    <n v="-252386.13320079524"/>
    <n v="-1514.3167992047674"/>
    <n v="0"/>
    <n v="0"/>
    <n v="0"/>
    <n v="-1523.4"/>
    <n v="-253900.45"/>
  </r>
  <r>
    <x v="7"/>
    <x v="78"/>
    <n v="129102877500"/>
    <n v="-2180467.7200000002"/>
    <n v="9567271.8100000005"/>
    <x v="3"/>
    <n v="-2167462.9423459247"/>
    <n v="-13004.777654075529"/>
    <n v="0"/>
    <n v="0"/>
    <n v="0"/>
    <n v="-13004.777654075529"/>
    <n v="-2167462.9423459247"/>
  </r>
  <r>
    <x v="7"/>
    <x v="6"/>
    <n v="129122901498"/>
    <n v="-590.66999999999996"/>
    <n v="9468236.8300000001"/>
    <x v="2"/>
    <n v="-98444.999999999985"/>
    <m/>
    <n v="0"/>
    <n v="0"/>
    <n v="0"/>
    <m/>
    <n v="-590.66999999999996"/>
  </r>
  <r>
    <x v="7"/>
    <x v="79"/>
    <n v="129122901498"/>
    <n v="-98444.31"/>
    <n v="9468827.5"/>
    <x v="1"/>
    <n v="-97857.166998011919"/>
    <n v="-587.14300198807905"/>
    <n v="0"/>
    <n v="0"/>
    <n v="0"/>
    <n v="-590.66999999999996"/>
    <n v="-98444.31"/>
  </r>
  <r>
    <x v="7"/>
    <x v="6"/>
    <n v="129164900834"/>
    <n v="-356.04"/>
    <n v="8709682.9700000007"/>
    <x v="2"/>
    <n v="-59340"/>
    <m/>
    <n v="0"/>
    <n v="0"/>
    <n v="0"/>
    <m/>
    <n v="-356.04"/>
  </r>
  <r>
    <x v="7"/>
    <x v="61"/>
    <n v="129164900834"/>
    <n v="-59340"/>
    <n v="8710039.0099999998"/>
    <x v="1"/>
    <n v="-58986.083499005967"/>
    <n v="-353.91650099403341"/>
    <n v="0"/>
    <n v="0"/>
    <n v="0"/>
    <n v="-356.04"/>
    <n v="-59340"/>
  </r>
  <r>
    <x v="9"/>
    <x v="80"/>
    <n v="129170702311"/>
    <n v="-583286.38"/>
    <n v="14794536.83"/>
    <x v="1"/>
    <n v="-579807.53479125246"/>
    <n v="-3478.8452087475453"/>
    <n v="0"/>
    <n v="0"/>
    <n v="0"/>
    <n v="-3478.8452087475453"/>
    <n v="-579807.53479125246"/>
  </r>
  <r>
    <x v="9"/>
    <x v="6"/>
    <n v="129188524455"/>
    <n v="-3063.72"/>
    <n v="14280853.279999999"/>
    <x v="2"/>
    <n v="-510619.99999999994"/>
    <m/>
    <n v="0"/>
    <n v="0"/>
    <n v="0"/>
    <m/>
    <n v="-3063.72"/>
  </r>
  <r>
    <x v="9"/>
    <x v="81"/>
    <n v="129188524455"/>
    <n v="-510619.83"/>
    <n v="14283917"/>
    <x v="1"/>
    <n v="-507574.38369781314"/>
    <n v="-3045.4463021868723"/>
    <n v="0"/>
    <n v="0"/>
    <n v="0"/>
    <n v="-3063.72"/>
    <n v="-510619.83"/>
  </r>
  <r>
    <x v="8"/>
    <x v="63"/>
    <n v="129255536474"/>
    <n v="-11556.53"/>
    <n v="9916372.0299999993"/>
    <x v="1"/>
    <n v="-11487.604373757456"/>
    <n v="-68.92562624254424"/>
    <n v="0"/>
    <n v="0"/>
    <n v="0"/>
    <n v="-68.92562624254424"/>
    <n v="-11487.604373757456"/>
  </r>
  <r>
    <x v="8"/>
    <x v="6"/>
    <n v="129257679194"/>
    <n v="-641.41"/>
    <n v="9415763.0800000001"/>
    <x v="2"/>
    <n v="-106901.66666666666"/>
    <m/>
    <n v="0"/>
    <n v="0"/>
    <n v="0"/>
    <m/>
    <n v="-641.41"/>
  </r>
  <r>
    <x v="8"/>
    <x v="9"/>
    <n v="129257679194"/>
    <n v="-106901.1"/>
    <n v="9416404.4900000002"/>
    <x v="1"/>
    <n v="-106263.51888667993"/>
    <n v="-637.58111332007684"/>
    <n v="0"/>
    <n v="0"/>
    <n v="0"/>
    <n v="-641.41"/>
    <n v="-106901.1"/>
  </r>
  <r>
    <x v="8"/>
    <x v="0"/>
    <n v="128752625367"/>
    <n v="9548.14"/>
    <n v="7591051.0800000001"/>
    <x v="0"/>
    <m/>
    <m/>
    <n v="0"/>
    <n v="-98"/>
    <n v="-95.06"/>
    <n v="-58.8"/>
    <n v="9799.9999999999982"/>
  </r>
  <r>
    <x v="8"/>
    <x v="0"/>
    <n v="129331762974"/>
    <n v="15978.52"/>
    <n v="7607029.5999999996"/>
    <x v="0"/>
    <m/>
    <m/>
    <n v="0"/>
    <n v="-164"/>
    <n v="-159.08000000000001"/>
    <n v="-98.4"/>
    <n v="16400"/>
  </r>
  <r>
    <x v="8"/>
    <x v="82"/>
    <n v="129331802456"/>
    <n v="1605.56"/>
    <n v="7608635.1600000001"/>
    <x v="0"/>
    <m/>
    <m/>
    <n v="-24.6"/>
    <n v="0"/>
    <n v="0"/>
    <n v="-9.84"/>
    <n v="1639.9999999999998"/>
  </r>
  <r>
    <x v="8"/>
    <x v="0"/>
    <n v="129337187158"/>
    <n v="4676.6400000000003"/>
    <n v="7613311.7999999998"/>
    <x v="0"/>
    <m/>
    <m/>
    <n v="0"/>
    <n v="-48"/>
    <n v="-46.56"/>
    <n v="-28.8"/>
    <n v="4800.0000000000009"/>
  </r>
  <r>
    <x v="8"/>
    <x v="0"/>
    <n v="128765691223"/>
    <n v="4384.3500000000004"/>
    <n v="7617696.1500000004"/>
    <x v="0"/>
    <m/>
    <m/>
    <n v="0"/>
    <n v="-45"/>
    <n v="-43.65"/>
    <n v="-27"/>
    <n v="4500"/>
  </r>
  <r>
    <x v="8"/>
    <x v="0"/>
    <n v="128769499515"/>
    <n v="10522.44"/>
    <n v="7628218.5899999999"/>
    <x v="0"/>
    <m/>
    <m/>
    <n v="0"/>
    <n v="-108"/>
    <n v="-104.76"/>
    <n v="-64.8"/>
    <n v="10800"/>
  </r>
  <r>
    <x v="8"/>
    <x v="0"/>
    <n v="129342703028"/>
    <n v="35898.6"/>
    <n v="7664117.1900000004"/>
    <x v="0"/>
    <m/>
    <m/>
    <n v="0"/>
    <n v="-380"/>
    <n v="-1493.4"/>
    <n v="-228"/>
    <n v="38000"/>
  </r>
  <r>
    <x v="8"/>
    <x v="0"/>
    <n v="129342704022"/>
    <n v="10622.43"/>
    <n v="7674739.6200000001"/>
    <x v="0"/>
    <m/>
    <m/>
    <n v="0"/>
    <n v="-117"/>
    <n v="-890.37"/>
    <n v="-70.2"/>
    <n v="11700.000000000002"/>
  </r>
  <r>
    <x v="8"/>
    <x v="0"/>
    <n v="128771413605"/>
    <n v="28059.84"/>
    <n v="7702799.46"/>
    <x v="0"/>
    <m/>
    <m/>
    <n v="0"/>
    <n v="-288"/>
    <n v="-279.36"/>
    <n v="-172.8"/>
    <n v="28800"/>
  </r>
  <r>
    <x v="8"/>
    <x v="0"/>
    <n v="129342935088"/>
    <n v="4534.5600000000004"/>
    <n v="7707334.0199999996"/>
    <x v="0"/>
    <m/>
    <m/>
    <n v="0"/>
    <n v="-48"/>
    <n v="-188.64"/>
    <n v="-28.8"/>
    <n v="4800.0000000000009"/>
  </r>
  <r>
    <x v="8"/>
    <x v="0"/>
    <n v="128771982633"/>
    <n v="4534.5600000000004"/>
    <n v="7711868.5800000001"/>
    <x v="0"/>
    <m/>
    <m/>
    <n v="0"/>
    <n v="-48"/>
    <n v="-188.64"/>
    <n v="-28.8"/>
    <n v="4800.0000000000009"/>
  </r>
  <r>
    <x v="8"/>
    <x v="0"/>
    <n v="128772013963"/>
    <n v="4676.6400000000003"/>
    <n v="7716545.2199999997"/>
    <x v="0"/>
    <m/>
    <m/>
    <n v="0"/>
    <n v="-48"/>
    <n v="-46.56"/>
    <n v="-28.8"/>
    <n v="4800.0000000000009"/>
  </r>
  <r>
    <x v="8"/>
    <x v="0"/>
    <n v="129343775616"/>
    <n v="3813.18"/>
    <n v="7720358.4000000004"/>
    <x v="0"/>
    <m/>
    <m/>
    <n v="0"/>
    <n v="-42"/>
    <n v="-319.62"/>
    <n v="-25.2"/>
    <n v="4200"/>
  </r>
  <r>
    <x v="8"/>
    <x v="0"/>
    <n v="128774456603"/>
    <n v="4505.28"/>
    <n v="7724863.6799999997"/>
    <x v="0"/>
    <m/>
    <m/>
    <n v="0"/>
    <n v="-48"/>
    <n v="-217.92"/>
    <n v="-28.8"/>
    <n v="4800"/>
  </r>
  <r>
    <x v="8"/>
    <x v="0"/>
    <n v="128774562893"/>
    <n v="4534.5600000000004"/>
    <n v="7729398.2400000002"/>
    <x v="0"/>
    <m/>
    <m/>
    <n v="0"/>
    <n v="-48"/>
    <n v="-188.64"/>
    <n v="-28.8"/>
    <n v="4800.0000000000009"/>
  </r>
  <r>
    <x v="8"/>
    <x v="0"/>
    <n v="128774751883"/>
    <n v="4357.92"/>
    <n v="7733756.1600000001"/>
    <x v="0"/>
    <m/>
    <m/>
    <n v="0"/>
    <n v="-48"/>
    <n v="-365.28"/>
    <n v="-28.8"/>
    <n v="4800"/>
  </r>
  <r>
    <x v="8"/>
    <x v="0"/>
    <n v="128775176401"/>
    <n v="4676.6400000000003"/>
    <n v="7738432.7999999998"/>
    <x v="0"/>
    <m/>
    <m/>
    <n v="0"/>
    <n v="-48"/>
    <n v="-46.56"/>
    <n v="-28.8"/>
    <n v="4800.0000000000009"/>
  </r>
  <r>
    <x v="8"/>
    <x v="0"/>
    <n v="128775151897"/>
    <n v="4676.6400000000003"/>
    <n v="7743109.4400000004"/>
    <x v="0"/>
    <m/>
    <m/>
    <n v="0"/>
    <n v="-48"/>
    <n v="-46.56"/>
    <n v="-28.8"/>
    <n v="4800.0000000000009"/>
  </r>
  <r>
    <x v="8"/>
    <x v="0"/>
    <n v="129347015590"/>
    <n v="27301.83"/>
    <n v="7770411.2699999996"/>
    <x v="0"/>
    <m/>
    <m/>
    <n v="0"/>
    <n v="-289"/>
    <n v="-1135.77"/>
    <n v="-173.4"/>
    <n v="28900.000000000004"/>
  </r>
  <r>
    <x v="8"/>
    <x v="0"/>
    <n v="128775704947"/>
    <n v="53976.22"/>
    <n v="7824387.4900000002"/>
    <x v="0"/>
    <m/>
    <m/>
    <n v="0"/>
    <n v="-554"/>
    <n v="-537.38"/>
    <n v="-332.4"/>
    <n v="55400"/>
  </r>
  <r>
    <x v="8"/>
    <x v="83"/>
    <n v="128775620005"/>
    <n v="2711.83"/>
    <n v="7827099.3200000003"/>
    <x v="0"/>
    <m/>
    <m/>
    <n v="-41.55"/>
    <n v="0"/>
    <n v="0"/>
    <n v="-16.62"/>
    <n v="2770"/>
  </r>
  <r>
    <x v="8"/>
    <x v="0"/>
    <n v="129347413210"/>
    <n v="3897.2"/>
    <n v="7830996.5199999996"/>
    <x v="0"/>
    <m/>
    <m/>
    <n v="0"/>
    <n v="-40"/>
    <n v="-38.799999999999997"/>
    <n v="-24"/>
    <n v="4000"/>
  </r>
  <r>
    <x v="8"/>
    <x v="0"/>
    <n v="129348090922"/>
    <n v="4092.06"/>
    <n v="7835088.5800000001"/>
    <x v="0"/>
    <m/>
    <m/>
    <n v="0"/>
    <n v="-42"/>
    <n v="-40.74"/>
    <n v="-25.2"/>
    <n v="4199.9999999999991"/>
  </r>
  <r>
    <x v="8"/>
    <x v="0"/>
    <n v="128776692003"/>
    <n v="4384.3500000000004"/>
    <n v="7839472.9299999997"/>
    <x v="0"/>
    <m/>
    <m/>
    <n v="0"/>
    <n v="-45"/>
    <n v="-43.65"/>
    <n v="-27"/>
    <n v="4500"/>
  </r>
  <r>
    <x v="8"/>
    <x v="84"/>
    <n v="128776800907"/>
    <n v="440.55"/>
    <n v="7839913.4800000004"/>
    <x v="0"/>
    <m/>
    <m/>
    <n v="-6.75"/>
    <n v="0"/>
    <n v="0"/>
    <n v="-2.7"/>
    <n v="450"/>
  </r>
  <r>
    <x v="8"/>
    <x v="0"/>
    <n v="128777868789"/>
    <n v="2322.48"/>
    <n v="7842235.96"/>
    <x v="0"/>
    <m/>
    <m/>
    <n v="0"/>
    <n v="-24"/>
    <n v="-39.119999999999997"/>
    <n v="-14.4"/>
    <n v="2400"/>
  </r>
  <r>
    <x v="8"/>
    <x v="0"/>
    <n v="129349865056"/>
    <n v="5845.8"/>
    <n v="7848081.7599999998"/>
    <x v="0"/>
    <m/>
    <m/>
    <n v="0"/>
    <n v="-60"/>
    <n v="-58.2"/>
    <n v="-36"/>
    <n v="6000"/>
  </r>
  <r>
    <x v="8"/>
    <x v="0"/>
    <n v="128778387735"/>
    <n v="5163.79"/>
    <n v="7853245.5499999998"/>
    <x v="0"/>
    <m/>
    <m/>
    <n v="0"/>
    <n v="-53"/>
    <n v="-51.41"/>
    <n v="-31.8"/>
    <n v="5300"/>
  </r>
  <r>
    <x v="8"/>
    <x v="0"/>
    <n v="129351184458"/>
    <n v="16910.13"/>
    <n v="7870155.6799999997"/>
    <x v="0"/>
    <m/>
    <m/>
    <n v="0"/>
    <n v="-179"/>
    <n v="-703.47"/>
    <n v="-107.4"/>
    <n v="17900.000000000004"/>
  </r>
  <r>
    <x v="8"/>
    <x v="0"/>
    <n v="129351342590"/>
    <n v="4676.6400000000003"/>
    <n v="7874832.3200000003"/>
    <x v="0"/>
    <m/>
    <m/>
    <n v="0"/>
    <n v="-48"/>
    <n v="-46.56"/>
    <n v="-28.8"/>
    <n v="4800.0000000000009"/>
  </r>
  <r>
    <x v="8"/>
    <x v="0"/>
    <n v="129351319166"/>
    <n v="1935.4"/>
    <n v="7876767.7199999997"/>
    <x v="0"/>
    <m/>
    <m/>
    <n v="0"/>
    <n v="-20"/>
    <n v="-32.6"/>
    <n v="-12"/>
    <n v="2000"/>
  </r>
  <r>
    <x v="8"/>
    <x v="0"/>
    <n v="129351544106"/>
    <n v="7696.97"/>
    <n v="7884464.6900000004"/>
    <x v="0"/>
    <m/>
    <m/>
    <n v="0"/>
    <n v="-79"/>
    <n v="-76.63"/>
    <n v="-47.4"/>
    <n v="7900"/>
  </r>
  <r>
    <x v="8"/>
    <x v="0"/>
    <n v="128779755299"/>
    <n v="30230.400000000001"/>
    <n v="7914695.0899999999"/>
    <x v="0"/>
    <m/>
    <m/>
    <n v="0"/>
    <n v="-320"/>
    <n v="-1257.5999999999999"/>
    <n v="-192"/>
    <n v="32000"/>
  </r>
  <r>
    <x v="8"/>
    <x v="0"/>
    <n v="128779823515"/>
    <n v="4676.6400000000003"/>
    <n v="7919371.7300000004"/>
    <x v="0"/>
    <m/>
    <m/>
    <n v="0"/>
    <n v="-48"/>
    <n v="-46.56"/>
    <n v="-28.8"/>
    <n v="4800.0000000000009"/>
  </r>
  <r>
    <x v="8"/>
    <x v="0"/>
    <n v="129351615426"/>
    <n v="4676.6400000000003"/>
    <n v="7924048.3700000001"/>
    <x v="0"/>
    <m/>
    <m/>
    <n v="0"/>
    <n v="-48"/>
    <n v="-46.56"/>
    <n v="-28.8"/>
    <n v="4800.0000000000009"/>
  </r>
  <r>
    <x v="8"/>
    <x v="0"/>
    <n v="128780337091"/>
    <n v="3994.76"/>
    <n v="7928043.1299999999"/>
    <x v="0"/>
    <m/>
    <m/>
    <n v="0"/>
    <n v="-44"/>
    <n v="-334.84"/>
    <n v="-26.4"/>
    <n v="4400"/>
  </r>
  <r>
    <x v="8"/>
    <x v="0"/>
    <n v="129352021290"/>
    <n v="4676.6400000000003"/>
    <n v="7932719.7699999996"/>
    <x v="0"/>
    <m/>
    <m/>
    <n v="0"/>
    <n v="-48"/>
    <n v="-46.56"/>
    <n v="-28.8"/>
    <n v="4800.0000000000009"/>
  </r>
  <r>
    <x v="8"/>
    <x v="0"/>
    <n v="129352179438"/>
    <n v="13603.68"/>
    <n v="7946323.4500000002"/>
    <x v="0"/>
    <m/>
    <m/>
    <n v="0"/>
    <n v="-144"/>
    <n v="-565.91999999999996"/>
    <n v="-86.4"/>
    <n v="14400"/>
  </r>
  <r>
    <x v="8"/>
    <x v="0"/>
    <n v="128780754643"/>
    <n v="7263.2"/>
    <n v="7953586.6500000004"/>
    <x v="0"/>
    <m/>
    <m/>
    <n v="0"/>
    <n v="-80"/>
    <n v="-608.79999999999995"/>
    <n v="-48"/>
    <n v="8000"/>
  </r>
  <r>
    <x v="8"/>
    <x v="0"/>
    <n v="128780927843"/>
    <n v="4676.6400000000003"/>
    <n v="7958263.29"/>
    <x v="0"/>
    <m/>
    <m/>
    <n v="0"/>
    <n v="-48"/>
    <n v="-46.56"/>
    <n v="-28.8"/>
    <n v="4800.0000000000009"/>
  </r>
  <r>
    <x v="8"/>
    <x v="0"/>
    <n v="128781427399"/>
    <n v="10814.73"/>
    <n v="7969078.0199999996"/>
    <x v="0"/>
    <m/>
    <m/>
    <n v="0"/>
    <n v="-111"/>
    <n v="-107.67"/>
    <n v="-66.599999999999994"/>
    <n v="11100"/>
  </r>
  <r>
    <x v="8"/>
    <x v="0"/>
    <n v="128781810467"/>
    <n v="7014.96"/>
    <n v="7976092.9800000004"/>
    <x v="0"/>
    <m/>
    <m/>
    <n v="0"/>
    <n v="-72"/>
    <n v="-69.84"/>
    <n v="-43.2"/>
    <n v="7200"/>
  </r>
  <r>
    <x v="8"/>
    <x v="0"/>
    <n v="128782418285"/>
    <n v="43453.78"/>
    <n v="8019546.7599999998"/>
    <x v="0"/>
    <m/>
    <m/>
    <n v="0"/>
    <n v="-446"/>
    <n v="-432.62"/>
    <n v="-267.60000000000002"/>
    <n v="44600"/>
  </r>
  <r>
    <x v="8"/>
    <x v="0"/>
    <n v="128782524989"/>
    <n v="15491.37"/>
    <n v="8035038.1299999999"/>
    <x v="0"/>
    <m/>
    <m/>
    <n v="0"/>
    <n v="-159"/>
    <n v="-154.22999999999999"/>
    <n v="-95.4"/>
    <n v="15900"/>
  </r>
  <r>
    <x v="8"/>
    <x v="0"/>
    <n v="129354374886"/>
    <n v="14029.92"/>
    <n v="8049068.0499999998"/>
    <x v="0"/>
    <m/>
    <m/>
    <n v="0"/>
    <n v="-144"/>
    <n v="-139.68"/>
    <n v="-86.4"/>
    <n v="14400"/>
  </r>
  <r>
    <x v="8"/>
    <x v="85"/>
    <n v="129354544482"/>
    <n v="704.88"/>
    <n v="8049772.9299999997"/>
    <x v="0"/>
    <m/>
    <m/>
    <n v="-10.8"/>
    <n v="0"/>
    <n v="0"/>
    <n v="-4.32"/>
    <n v="720"/>
  </r>
  <r>
    <x v="8"/>
    <x v="0"/>
    <n v="128782887399"/>
    <n v="9937.86"/>
    <n v="8059710.79"/>
    <x v="0"/>
    <m/>
    <m/>
    <n v="0"/>
    <n v="-102"/>
    <n v="-98.94"/>
    <n v="-61.2"/>
    <n v="10200.000000000002"/>
  </r>
  <r>
    <x v="8"/>
    <x v="0"/>
    <n v="128782949597"/>
    <n v="41016.82"/>
    <n v="8100727.6100000003"/>
    <x v="0"/>
    <m/>
    <m/>
    <n v="0"/>
    <n v="-437"/>
    <n v="-1983.98"/>
    <n v="-262.2"/>
    <n v="43700"/>
  </r>
  <r>
    <x v="8"/>
    <x v="0"/>
    <n v="129354954934"/>
    <n v="9060.99"/>
    <n v="8109788.5999999996"/>
    <x v="0"/>
    <m/>
    <m/>
    <n v="0"/>
    <n v="-93"/>
    <n v="-90.21"/>
    <n v="-55.8"/>
    <n v="9299.9999999999982"/>
  </r>
  <r>
    <x v="8"/>
    <x v="86"/>
    <n v="129355026808"/>
    <n v="910.47"/>
    <n v="8110699.0700000003"/>
    <x v="0"/>
    <m/>
    <m/>
    <n v="-13.95"/>
    <n v="0"/>
    <n v="0"/>
    <n v="-5.58"/>
    <n v="930.00000000000011"/>
  </r>
  <r>
    <x v="8"/>
    <x v="0"/>
    <n v="129354903714"/>
    <n v="31567.32"/>
    <n v="8142266.3899999997"/>
    <x v="0"/>
    <m/>
    <m/>
    <n v="0"/>
    <n v="-324"/>
    <n v="-314.27999999999997"/>
    <n v="-194.4"/>
    <n v="32400"/>
  </r>
  <r>
    <x v="8"/>
    <x v="0"/>
    <n v="129355508304"/>
    <n v="14029.92"/>
    <n v="8156296.3099999996"/>
    <x v="0"/>
    <m/>
    <m/>
    <n v="0"/>
    <n v="-144"/>
    <n v="-139.68"/>
    <n v="-86.4"/>
    <n v="14400"/>
  </r>
  <r>
    <x v="8"/>
    <x v="87"/>
    <n v="128783650099"/>
    <n v="1409.76"/>
    <n v="8157706.0700000003"/>
    <x v="0"/>
    <m/>
    <m/>
    <n v="-21.6"/>
    <n v="0"/>
    <n v="0"/>
    <n v="-8.64"/>
    <n v="1440"/>
  </r>
  <r>
    <x v="8"/>
    <x v="0"/>
    <n v="129355425330"/>
    <n v="9353.2800000000007"/>
    <n v="8167059.3499999996"/>
    <x v="0"/>
    <m/>
    <m/>
    <n v="0"/>
    <n v="-96"/>
    <n v="-93.12"/>
    <n v="-57.6"/>
    <n v="9600.0000000000018"/>
  </r>
  <r>
    <x v="8"/>
    <x v="0"/>
    <n v="128784178315"/>
    <n v="32736.48"/>
    <n v="8199795.8300000001"/>
    <x v="0"/>
    <m/>
    <m/>
    <n v="0"/>
    <n v="-336"/>
    <n v="-325.92"/>
    <n v="-201.6"/>
    <n v="33599.999999999993"/>
  </r>
  <r>
    <x v="8"/>
    <x v="0"/>
    <n v="128784830517"/>
    <n v="4676.6400000000003"/>
    <n v="8204472.4699999997"/>
    <x v="0"/>
    <m/>
    <m/>
    <n v="0"/>
    <n v="-48"/>
    <n v="-46.56"/>
    <n v="-28.8"/>
    <n v="4800.0000000000009"/>
  </r>
  <r>
    <x v="8"/>
    <x v="0"/>
    <n v="128785545873"/>
    <n v="27767.55"/>
    <n v="8232240.0199999996"/>
    <x v="0"/>
    <m/>
    <m/>
    <n v="0"/>
    <n v="-285"/>
    <n v="-276.45"/>
    <n v="-171"/>
    <n v="28500"/>
  </r>
  <r>
    <x v="8"/>
    <x v="0"/>
    <n v="129357668936"/>
    <n v="14321.96"/>
    <n v="8246561.9800000004"/>
    <x v="0"/>
    <m/>
    <m/>
    <n v="0"/>
    <n v="-148"/>
    <n v="-241.24"/>
    <n v="-88.8"/>
    <n v="14799.999999999998"/>
  </r>
  <r>
    <x v="10"/>
    <x v="0"/>
    <n v="128786337459"/>
    <n v="71797.2"/>
    <n v="8318359.1799999997"/>
    <x v="0"/>
    <m/>
    <m/>
    <n v="0"/>
    <n v="-760"/>
    <n v="-2986.8"/>
    <n v="-456"/>
    <n v="76000"/>
  </r>
  <r>
    <x v="10"/>
    <x v="0"/>
    <n v="129358276472"/>
    <n v="9353.2800000000007"/>
    <n v="8327712.46"/>
    <x v="0"/>
    <m/>
    <m/>
    <n v="0"/>
    <n v="-96"/>
    <n v="-93.12"/>
    <n v="-57.6"/>
    <n v="9600.0000000000018"/>
  </r>
  <r>
    <x v="10"/>
    <x v="0"/>
    <n v="128786584557"/>
    <n v="4534.5600000000004"/>
    <n v="8332247.0199999996"/>
    <x v="0"/>
    <m/>
    <m/>
    <n v="0"/>
    <n v="-48"/>
    <n v="-188.64"/>
    <n v="-28.8"/>
    <n v="4800.0000000000009"/>
  </r>
  <r>
    <x v="10"/>
    <x v="0"/>
    <n v="128786717157"/>
    <n v="60102.98"/>
    <n v="8392350"/>
    <x v="0"/>
    <m/>
    <m/>
    <n v="0"/>
    <n v="-662"/>
    <n v="-5037.82"/>
    <n v="-397.2"/>
    <n v="66200"/>
  </r>
  <r>
    <x v="10"/>
    <x v="0"/>
    <n v="129358860160"/>
    <n v="26500.959999999999"/>
    <n v="8418850.9600000009"/>
    <x v="0"/>
    <m/>
    <m/>
    <n v="0"/>
    <n v="-272"/>
    <n v="-263.83999999999997"/>
    <n v="-163.19999999999999"/>
    <n v="27200"/>
  </r>
  <r>
    <x v="10"/>
    <x v="0"/>
    <n v="129358822738"/>
    <n v="119207.27"/>
    <n v="8538058.2300000004"/>
    <x v="0"/>
    <m/>
    <m/>
    <n v="0"/>
    <n v="-1313"/>
    <n v="-9991.93"/>
    <n v="-787.8"/>
    <n v="131300"/>
  </r>
  <r>
    <x v="10"/>
    <x v="0"/>
    <n v="129359324040"/>
    <n v="7794.4"/>
    <n v="8545852.6300000008"/>
    <x v="0"/>
    <m/>
    <m/>
    <n v="0"/>
    <n v="-80"/>
    <n v="-77.599999999999994"/>
    <n v="-48"/>
    <n v="8000"/>
  </r>
  <r>
    <x v="10"/>
    <x v="0"/>
    <n v="128787883001"/>
    <n v="7014.96"/>
    <n v="8552867.5899999999"/>
    <x v="0"/>
    <m/>
    <m/>
    <n v="0"/>
    <n v="-72"/>
    <n v="-69.84"/>
    <n v="-43.2"/>
    <n v="7200"/>
  </r>
  <r>
    <x v="10"/>
    <x v="0"/>
    <n v="129359661112"/>
    <n v="92558.5"/>
    <n v="8645426.0899999999"/>
    <x v="0"/>
    <m/>
    <m/>
    <n v="0"/>
    <n v="-950"/>
    <n v="-921.5"/>
    <n v="-570"/>
    <n v="95000"/>
  </r>
  <r>
    <x v="10"/>
    <x v="0"/>
    <n v="128788061399"/>
    <n v="13603.68"/>
    <n v="8659029.7699999996"/>
    <x v="0"/>
    <m/>
    <m/>
    <n v="0"/>
    <n v="-144"/>
    <n v="-565.91999999999996"/>
    <n v="-86.4"/>
    <n v="14400"/>
  </r>
  <r>
    <x v="10"/>
    <x v="0"/>
    <n v="129359893986"/>
    <n v="106393.56"/>
    <n v="8765423.3300000001"/>
    <x v="0"/>
    <m/>
    <m/>
    <n v="0"/>
    <n v="-1092"/>
    <n v="-1059.24"/>
    <n v="-655.20000000000005"/>
    <n v="109200"/>
  </r>
  <r>
    <x v="10"/>
    <x v="0"/>
    <n v="129360081230"/>
    <n v="13250.48"/>
    <n v="8778673.8100000005"/>
    <x v="0"/>
    <m/>
    <m/>
    <n v="0"/>
    <n v="-136"/>
    <n v="-131.91999999999999"/>
    <n v="-81.599999999999994"/>
    <n v="13600"/>
  </r>
  <r>
    <x v="10"/>
    <x v="0"/>
    <n v="129360210616"/>
    <n v="27572.69"/>
    <n v="8806246.5"/>
    <x v="0"/>
    <m/>
    <m/>
    <n v="0"/>
    <n v="-283"/>
    <n v="-274.51"/>
    <n v="-169.8"/>
    <n v="28299.999999999996"/>
  </r>
  <r>
    <x v="10"/>
    <x v="0"/>
    <n v="129360246626"/>
    <n v="26451.599999999999"/>
    <n v="8832698.0999999996"/>
    <x v="0"/>
    <m/>
    <m/>
    <n v="0"/>
    <n v="-280"/>
    <n v="-1100.4000000000001"/>
    <n v="-168"/>
    <n v="28000"/>
  </r>
  <r>
    <x v="10"/>
    <x v="0"/>
    <n v="128788563757"/>
    <n v="4534.5600000000004"/>
    <n v="8837232.6600000001"/>
    <x v="0"/>
    <m/>
    <m/>
    <n v="0"/>
    <n v="-48"/>
    <n v="-188.64"/>
    <n v="-28.8"/>
    <n v="4800.0000000000009"/>
  </r>
  <r>
    <x v="10"/>
    <x v="0"/>
    <n v="129360446764"/>
    <n v="9079"/>
    <n v="8846311.6600000001"/>
    <x v="0"/>
    <m/>
    <m/>
    <n v="0"/>
    <n v="-100"/>
    <n v="-761"/>
    <n v="-60"/>
    <n v="10000"/>
  </r>
  <r>
    <x v="10"/>
    <x v="0"/>
    <n v="128788905379"/>
    <n v="9353.2800000000007"/>
    <n v="8855664.9399999995"/>
    <x v="0"/>
    <m/>
    <m/>
    <n v="0"/>
    <n v="-96"/>
    <n v="-93.12"/>
    <n v="-57.6"/>
    <n v="9600.0000000000018"/>
  </r>
  <r>
    <x v="10"/>
    <x v="88"/>
    <n v="128789062463"/>
    <n v="469.92"/>
    <n v="8856134.8599999994"/>
    <x v="0"/>
    <m/>
    <m/>
    <n v="-7.2"/>
    <n v="0"/>
    <n v="0"/>
    <n v="-2.88"/>
    <n v="480"/>
  </r>
  <r>
    <x v="10"/>
    <x v="0"/>
    <n v="128788985481"/>
    <n v="148288.46"/>
    <n v="9004423.3200000003"/>
    <x v="0"/>
    <m/>
    <m/>
    <n v="0"/>
    <n v="-1522"/>
    <n v="-1476.34"/>
    <n v="-913.2"/>
    <n v="152200"/>
  </r>
  <r>
    <x v="10"/>
    <x v="0"/>
    <n v="129360713754"/>
    <n v="42089.760000000002"/>
    <n v="9046513.0800000001"/>
    <x v="0"/>
    <m/>
    <m/>
    <n v="0"/>
    <n v="-432"/>
    <n v="-419.04"/>
    <n v="-259.2"/>
    <n v="43200"/>
  </r>
  <r>
    <x v="10"/>
    <x v="89"/>
    <n v="129360677968"/>
    <n v="2114.64"/>
    <n v="9048627.7200000007"/>
    <x v="0"/>
    <m/>
    <m/>
    <n v="-32.4"/>
    <n v="0"/>
    <n v="0"/>
    <n v="-12.96"/>
    <n v="2160"/>
  </r>
  <r>
    <x v="10"/>
    <x v="0"/>
    <n v="128789258661"/>
    <n v="57970.85"/>
    <n v="9106598.5700000003"/>
    <x v="0"/>
    <m/>
    <m/>
    <n v="0"/>
    <n v="-595"/>
    <n v="-577.15"/>
    <n v="-357"/>
    <n v="59500"/>
  </r>
  <r>
    <x v="10"/>
    <x v="0"/>
    <n v="128789235121"/>
    <n v="14614.5"/>
    <n v="9121213.0700000003"/>
    <x v="0"/>
    <m/>
    <m/>
    <n v="0"/>
    <n v="-150"/>
    <n v="-145.5"/>
    <n v="-90"/>
    <n v="15000"/>
  </r>
  <r>
    <x v="10"/>
    <x v="0"/>
    <n v="128789281509"/>
    <n v="4676.6400000000003"/>
    <n v="9125889.7100000009"/>
    <x v="0"/>
    <m/>
    <m/>
    <n v="0"/>
    <n v="-48"/>
    <n v="-46.56"/>
    <n v="-28.8"/>
    <n v="4800.0000000000009"/>
  </r>
  <r>
    <x v="10"/>
    <x v="90"/>
    <n v="128789297363"/>
    <n v="234.96"/>
    <n v="9126124.6699999999"/>
    <x v="0"/>
    <m/>
    <m/>
    <n v="-3.6"/>
    <n v="0"/>
    <n v="0"/>
    <n v="-1.44"/>
    <n v="240"/>
  </r>
  <r>
    <x v="10"/>
    <x v="0"/>
    <n v="128789469169"/>
    <n v="14614.5"/>
    <n v="9140739.1699999999"/>
    <x v="0"/>
    <m/>
    <m/>
    <n v="0"/>
    <n v="-150"/>
    <n v="-145.5"/>
    <n v="-90"/>
    <n v="15000"/>
  </r>
  <r>
    <x v="10"/>
    <x v="0"/>
    <n v="128789583003"/>
    <n v="9353.2800000000007"/>
    <n v="9150092.4499999993"/>
    <x v="0"/>
    <m/>
    <m/>
    <n v="0"/>
    <n v="-96"/>
    <n v="-93.12"/>
    <n v="-57.6"/>
    <n v="9600.0000000000018"/>
  </r>
  <r>
    <x v="10"/>
    <x v="0"/>
    <n v="129361253914"/>
    <n v="4676.6400000000003"/>
    <n v="9154769.0899999999"/>
    <x v="0"/>
    <m/>
    <m/>
    <n v="0"/>
    <n v="-48"/>
    <n v="-46.56"/>
    <n v="-28.8"/>
    <n v="4800.0000000000009"/>
  </r>
  <r>
    <x v="10"/>
    <x v="0"/>
    <n v="129361803564"/>
    <n v="5163.79"/>
    <n v="9159932.8800000008"/>
    <x v="0"/>
    <m/>
    <m/>
    <n v="0"/>
    <n v="-53"/>
    <n v="-51.41"/>
    <n v="-31.8"/>
    <n v="5300"/>
  </r>
  <r>
    <x v="10"/>
    <x v="0"/>
    <n v="129361895776"/>
    <n v="11691.6"/>
    <n v="9171624.4800000004"/>
    <x v="0"/>
    <m/>
    <m/>
    <n v="0"/>
    <n v="-120"/>
    <n v="-116.4"/>
    <n v="-72"/>
    <n v="12000"/>
  </r>
  <r>
    <x v="10"/>
    <x v="0"/>
    <n v="128790136019"/>
    <n v="37607.980000000003"/>
    <n v="9209232.4600000009"/>
    <x v="0"/>
    <m/>
    <m/>
    <n v="0"/>
    <n v="-386"/>
    <n v="-374.42"/>
    <n v="-231.6"/>
    <n v="38600"/>
  </r>
  <r>
    <x v="10"/>
    <x v="0"/>
    <n v="129362011648"/>
    <n v="14614.5"/>
    <n v="9223846.9600000009"/>
    <x v="0"/>
    <m/>
    <m/>
    <n v="0"/>
    <n v="-150"/>
    <n v="-145.5"/>
    <n v="-90"/>
    <n v="15000"/>
  </r>
  <r>
    <x v="10"/>
    <x v="0"/>
    <n v="129362129768"/>
    <n v="80167.570000000007"/>
    <n v="9304014.5299999993"/>
    <x v="0"/>
    <m/>
    <m/>
    <n v="0"/>
    <n v="-883"/>
    <n v="-6719.63"/>
    <n v="-529.79999999999995"/>
    <n v="88300.000000000015"/>
  </r>
  <r>
    <x v="10"/>
    <x v="0"/>
    <n v="129362203494"/>
    <n v="88896.27"/>
    <n v="9392910.8000000007"/>
    <x v="0"/>
    <m/>
    <m/>
    <n v="0"/>
    <n v="-941"/>
    <n v="-3698.13"/>
    <n v="-564.6"/>
    <n v="94100.000000000015"/>
  </r>
  <r>
    <x v="10"/>
    <x v="0"/>
    <n v="128790376827"/>
    <n v="7696.97"/>
    <n v="9400607.7699999996"/>
    <x v="0"/>
    <m/>
    <m/>
    <n v="0"/>
    <n v="-79"/>
    <n v="-76.63"/>
    <n v="-47.4"/>
    <n v="7900"/>
  </r>
  <r>
    <x v="10"/>
    <x v="0"/>
    <n v="128790311633"/>
    <n v="15101.65"/>
    <n v="9415709.4199999999"/>
    <x v="0"/>
    <m/>
    <m/>
    <n v="0"/>
    <n v="-155"/>
    <n v="-150.35"/>
    <n v="-93"/>
    <n v="15500"/>
  </r>
  <r>
    <x v="10"/>
    <x v="0"/>
    <n v="128790427367"/>
    <n v="3994.63"/>
    <n v="9419704.0500000007"/>
    <x v="0"/>
    <m/>
    <m/>
    <n v="0"/>
    <n v="-41"/>
    <n v="-39.770000000000003"/>
    <n v="-24.6"/>
    <n v="4100"/>
  </r>
  <r>
    <x v="10"/>
    <x v="0"/>
    <n v="129362542858"/>
    <n v="4384.3500000000004"/>
    <n v="9424088.4000000004"/>
    <x v="0"/>
    <m/>
    <m/>
    <n v="0"/>
    <n v="-45"/>
    <n v="-43.65"/>
    <n v="-27"/>
    <n v="4500"/>
  </r>
  <r>
    <x v="10"/>
    <x v="0"/>
    <n v="128790671665"/>
    <n v="3897.2"/>
    <n v="9427985.5999999996"/>
    <x v="0"/>
    <m/>
    <m/>
    <n v="0"/>
    <n v="-40"/>
    <n v="-38.799999999999997"/>
    <n v="-24"/>
    <n v="4000"/>
  </r>
  <r>
    <x v="10"/>
    <x v="0"/>
    <n v="128790802443"/>
    <n v="11691.6"/>
    <n v="9439677.1999999993"/>
    <x v="0"/>
    <m/>
    <m/>
    <n v="0"/>
    <n v="-120"/>
    <n v="-116.4"/>
    <n v="-72"/>
    <n v="12000"/>
  </r>
  <r>
    <x v="10"/>
    <x v="91"/>
    <n v="128790713267"/>
    <n v="1174.8"/>
    <n v="9440852"/>
    <x v="0"/>
    <m/>
    <m/>
    <n v="-18"/>
    <n v="0"/>
    <n v="0"/>
    <n v="-7.2"/>
    <n v="1200"/>
  </r>
  <r>
    <x v="10"/>
    <x v="0"/>
    <n v="129362629610"/>
    <n v="52612.2"/>
    <n v="9493464.1999999993"/>
    <x v="0"/>
    <m/>
    <m/>
    <n v="0"/>
    <n v="-540"/>
    <n v="-523.79999999999995"/>
    <n v="-324"/>
    <n v="54000"/>
  </r>
  <r>
    <x v="10"/>
    <x v="0"/>
    <n v="128791038125"/>
    <n v="4161.1099999999997"/>
    <n v="9497625.3100000005"/>
    <x v="0"/>
    <m/>
    <m/>
    <n v="0"/>
    <n v="-43"/>
    <n v="-70.09"/>
    <n v="-25.8"/>
    <n v="4300"/>
  </r>
  <r>
    <x v="10"/>
    <x v="0"/>
    <n v="128790813097"/>
    <n v="4676.6400000000003"/>
    <n v="9502301.9499999993"/>
    <x v="0"/>
    <m/>
    <m/>
    <n v="0"/>
    <n v="-48"/>
    <n v="-46.56"/>
    <n v="-28.8"/>
    <n v="4800.0000000000009"/>
  </r>
  <r>
    <x v="10"/>
    <x v="0"/>
    <n v="129362779056"/>
    <n v="9353.2800000000007"/>
    <n v="9511655.2300000004"/>
    <x v="0"/>
    <m/>
    <m/>
    <n v="0"/>
    <n v="-96"/>
    <n v="-93.12"/>
    <n v="-57.6"/>
    <n v="9600.0000000000018"/>
  </r>
  <r>
    <x v="10"/>
    <x v="0"/>
    <n v="128791039201"/>
    <n v="4723.5"/>
    <n v="9516378.7300000004"/>
    <x v="0"/>
    <m/>
    <m/>
    <n v="0"/>
    <n v="-50"/>
    <n v="-196.5"/>
    <n v="-30"/>
    <n v="5000"/>
  </r>
  <r>
    <x v="10"/>
    <x v="0"/>
    <n v="128790975673"/>
    <n v="58458"/>
    <n v="9574836.7300000004"/>
    <x v="0"/>
    <m/>
    <m/>
    <n v="0"/>
    <n v="-600"/>
    <n v="-582"/>
    <n v="-360"/>
    <n v="60000"/>
  </r>
  <r>
    <x v="10"/>
    <x v="0"/>
    <n v="129362926804"/>
    <n v="49104.72"/>
    <n v="9623941.4499999993"/>
    <x v="0"/>
    <m/>
    <m/>
    <n v="0"/>
    <n v="-504"/>
    <n v="-488.88"/>
    <n v="-302.39999999999998"/>
    <n v="50400"/>
  </r>
  <r>
    <x v="10"/>
    <x v="92"/>
    <n v="129363038238"/>
    <n v="2467.08"/>
    <n v="9626408.5299999993"/>
    <x v="0"/>
    <m/>
    <m/>
    <n v="-37.799999999999997"/>
    <n v="0"/>
    <n v="0"/>
    <n v="-15.12"/>
    <n v="2520"/>
  </r>
  <r>
    <x v="10"/>
    <x v="0"/>
    <n v="129363235724"/>
    <n v="12665.9"/>
    <n v="9639074.4299999997"/>
    <x v="0"/>
    <m/>
    <m/>
    <n v="0"/>
    <n v="-130"/>
    <n v="-126.1"/>
    <n v="-78"/>
    <n v="13000"/>
  </r>
  <r>
    <x v="10"/>
    <x v="0"/>
    <n v="129363422332"/>
    <n v="8785.7099999999991"/>
    <n v="9647860.1400000006"/>
    <x v="0"/>
    <m/>
    <m/>
    <n v="0"/>
    <n v="-93"/>
    <n v="-365.49"/>
    <n v="-55.8"/>
    <n v="9299.9999999999982"/>
  </r>
  <r>
    <x v="10"/>
    <x v="0"/>
    <n v="129363361660"/>
    <n v="6801.84"/>
    <n v="9654661.9800000004"/>
    <x v="0"/>
    <m/>
    <m/>
    <n v="0"/>
    <n v="-72"/>
    <n v="-282.95999999999998"/>
    <n v="-43.2"/>
    <n v="7200"/>
  </r>
  <r>
    <x v="10"/>
    <x v="0"/>
    <n v="128791843481"/>
    <n v="7935.48"/>
    <n v="9662597.4600000009"/>
    <x v="0"/>
    <m/>
    <m/>
    <n v="0"/>
    <n v="-84"/>
    <n v="-330.12"/>
    <n v="-50.4"/>
    <n v="8400"/>
  </r>
  <r>
    <x v="10"/>
    <x v="0"/>
    <n v="128791965351"/>
    <n v="4676.6400000000003"/>
    <n v="9667274.0999999996"/>
    <x v="0"/>
    <m/>
    <m/>
    <n v="0"/>
    <n v="-48"/>
    <n v="-46.56"/>
    <n v="-28.8"/>
    <n v="4800.0000000000009"/>
  </r>
  <r>
    <x v="10"/>
    <x v="0"/>
    <n v="128792088431"/>
    <n v="4676.6400000000003"/>
    <n v="9671950.7400000002"/>
    <x v="0"/>
    <m/>
    <m/>
    <n v="0"/>
    <n v="-48"/>
    <n v="-46.56"/>
    <n v="-28.8"/>
    <n v="4800.0000000000009"/>
  </r>
  <r>
    <x v="10"/>
    <x v="0"/>
    <n v="129363795578"/>
    <n v="19973.150000000001"/>
    <n v="9691923.8900000006"/>
    <x v="0"/>
    <m/>
    <m/>
    <n v="0"/>
    <n v="-205"/>
    <n v="-198.85"/>
    <n v="-123"/>
    <n v="20500"/>
  </r>
  <r>
    <x v="10"/>
    <x v="0"/>
    <n v="128792091581"/>
    <n v="8963.56"/>
    <n v="9700887.4499999993"/>
    <x v="0"/>
    <m/>
    <m/>
    <n v="0"/>
    <n v="-92"/>
    <n v="-89.24"/>
    <n v="-55.2"/>
    <n v="9200"/>
  </r>
  <r>
    <x v="10"/>
    <x v="93"/>
    <n v="128792036011"/>
    <n v="450.34"/>
    <n v="9701337.7899999991"/>
    <x v="0"/>
    <m/>
    <m/>
    <n v="-6.9"/>
    <n v="0"/>
    <n v="0"/>
    <n v="-2.76"/>
    <n v="459.99999999999994"/>
  </r>
  <r>
    <x v="10"/>
    <x v="0"/>
    <n v="128792133789"/>
    <n v="26829.48"/>
    <n v="9728167.2699999996"/>
    <x v="0"/>
    <m/>
    <m/>
    <n v="0"/>
    <n v="-284"/>
    <n v="-1116.1199999999999"/>
    <n v="-170.4"/>
    <n v="28400"/>
  </r>
  <r>
    <x v="10"/>
    <x v="0"/>
    <n v="129364048342"/>
    <n v="7014.96"/>
    <n v="9735182.2300000004"/>
    <x v="0"/>
    <m/>
    <m/>
    <n v="0"/>
    <n v="-72"/>
    <n v="-69.84"/>
    <n v="-43.2"/>
    <n v="7200"/>
  </r>
  <r>
    <x v="10"/>
    <x v="0"/>
    <n v="128792488121"/>
    <n v="44428.08"/>
    <n v="9779610.3100000005"/>
    <x v="0"/>
    <m/>
    <m/>
    <n v="0"/>
    <n v="-456"/>
    <n v="-442.32"/>
    <n v="-273.60000000000002"/>
    <n v="45600"/>
  </r>
  <r>
    <x v="10"/>
    <x v="94"/>
    <n v="128792386801"/>
    <n v="4464.24"/>
    <n v="9784074.5500000007"/>
    <x v="0"/>
    <m/>
    <m/>
    <n v="-68.400000000000006"/>
    <n v="0"/>
    <n v="0"/>
    <n v="-27.36"/>
    <n v="4559.9999999999991"/>
  </r>
  <r>
    <x v="10"/>
    <x v="0"/>
    <n v="128792450817"/>
    <n v="1889.4"/>
    <n v="9785963.9499999993"/>
    <x v="0"/>
    <m/>
    <m/>
    <n v="0"/>
    <n v="-20"/>
    <n v="-78.599999999999994"/>
    <n v="-12"/>
    <n v="2000"/>
  </r>
  <r>
    <x v="10"/>
    <x v="0"/>
    <n v="129364171508"/>
    <n v="9069.1200000000008"/>
    <n v="9795033.0700000003"/>
    <x v="0"/>
    <m/>
    <m/>
    <n v="0"/>
    <n v="-96"/>
    <n v="-377.28"/>
    <n v="-57.6"/>
    <n v="9600.0000000000018"/>
  </r>
  <r>
    <x v="10"/>
    <x v="0"/>
    <n v="129364305216"/>
    <n v="1169.1600000000001"/>
    <n v="9796202.2300000004"/>
    <x v="0"/>
    <m/>
    <m/>
    <n v="0"/>
    <n v="-12"/>
    <n v="-11.64"/>
    <n v="-7.2"/>
    <n v="1200.0000000000002"/>
  </r>
  <r>
    <x v="10"/>
    <x v="0"/>
    <n v="128792696797"/>
    <n v="33321.06"/>
    <n v="9829523.2899999991"/>
    <x v="0"/>
    <m/>
    <m/>
    <n v="0"/>
    <n v="-342"/>
    <n v="-331.74"/>
    <n v="-205.2"/>
    <n v="34199.999999999993"/>
  </r>
  <r>
    <x v="10"/>
    <x v="0"/>
    <n v="129457594142"/>
    <n v="4676.6400000000003"/>
    <n v="9834199.9299999997"/>
    <x v="0"/>
    <m/>
    <m/>
    <n v="0"/>
    <n v="-48"/>
    <n v="-46.56"/>
    <n v="-28.8"/>
    <n v="4800.0000000000009"/>
  </r>
  <r>
    <x v="10"/>
    <x v="0"/>
    <n v="128887204983"/>
    <n v="9158.42"/>
    <n v="9843358.3499999996"/>
    <x v="0"/>
    <m/>
    <m/>
    <n v="0"/>
    <n v="-94"/>
    <n v="-91.18"/>
    <n v="-56.4"/>
    <n v="9400"/>
  </r>
  <r>
    <x v="10"/>
    <x v="0"/>
    <n v="129461153768"/>
    <n v="4676.6400000000003"/>
    <n v="9848034.9900000002"/>
    <x v="0"/>
    <m/>
    <m/>
    <n v="0"/>
    <n v="-48"/>
    <n v="-46.56"/>
    <n v="-28.8"/>
    <n v="4800.0000000000009"/>
  </r>
  <r>
    <x v="10"/>
    <x v="0"/>
    <n v="129462582556"/>
    <n v="8184.12"/>
    <n v="9856219.1099999994"/>
    <x v="0"/>
    <m/>
    <m/>
    <n v="0"/>
    <n v="-84"/>
    <n v="-81.48"/>
    <n v="-50.4"/>
    <n v="8399.9999999999982"/>
  </r>
  <r>
    <x v="10"/>
    <x v="95"/>
    <n v="129462536948"/>
    <n v="411.18"/>
    <n v="9856630.2899999991"/>
    <x v="0"/>
    <m/>
    <m/>
    <n v="-6.3"/>
    <n v="0"/>
    <n v="0"/>
    <n v="-2.52"/>
    <n v="420"/>
  </r>
  <r>
    <x v="10"/>
    <x v="0"/>
    <n v="128892698657"/>
    <n v="21044.880000000001"/>
    <n v="9877675.1699999999"/>
    <x v="0"/>
    <m/>
    <m/>
    <n v="0"/>
    <n v="-216"/>
    <n v="-209.52"/>
    <n v="-129.6"/>
    <n v="21600"/>
  </r>
  <r>
    <x v="10"/>
    <x v="0"/>
    <n v="129466450092"/>
    <n v="23423.82"/>
    <n v="9901098.9900000002"/>
    <x v="0"/>
    <m/>
    <m/>
    <n v="0"/>
    <n v="-258"/>
    <n v="-1963.38"/>
    <n v="-154.80000000000001"/>
    <n v="25800"/>
  </r>
  <r>
    <x v="10"/>
    <x v="27"/>
    <n v="128893710093"/>
    <n v="1262.9100000000001"/>
    <n v="9902361.9000000004"/>
    <x v="0"/>
    <m/>
    <m/>
    <n v="-19.350000000000001"/>
    <n v="0"/>
    <n v="0"/>
    <n v="-7.74"/>
    <n v="1290"/>
  </r>
  <r>
    <x v="10"/>
    <x v="0"/>
    <n v="128896844399"/>
    <n v="11301.88"/>
    <n v="9913663.7799999993"/>
    <x v="0"/>
    <m/>
    <m/>
    <n v="0"/>
    <n v="-116"/>
    <n v="-112.52"/>
    <n v="-69.599999999999994"/>
    <n v="11600"/>
  </r>
  <r>
    <x v="10"/>
    <x v="0"/>
    <n v="129470560460"/>
    <n v="72995.16"/>
    <n v="9986658.9399999995"/>
    <x v="0"/>
    <m/>
    <m/>
    <n v="0"/>
    <n v="-804"/>
    <n v="-6118.44"/>
    <n v="-482.4"/>
    <n v="80400"/>
  </r>
  <r>
    <x v="10"/>
    <x v="0"/>
    <n v="128897966025"/>
    <n v="9450.7099999999991"/>
    <n v="9996109.6500000004"/>
    <x v="0"/>
    <m/>
    <m/>
    <n v="0"/>
    <n v="-97"/>
    <n v="-94.09"/>
    <n v="-58.2"/>
    <n v="9700"/>
  </r>
  <r>
    <x v="10"/>
    <x v="0"/>
    <n v="129475831332"/>
    <n v="4189.49"/>
    <n v="10000299.140000001"/>
    <x v="0"/>
    <m/>
    <m/>
    <n v="0"/>
    <n v="-43"/>
    <n v="-41.71"/>
    <n v="-25.8"/>
    <n v="4300"/>
  </r>
  <r>
    <x v="10"/>
    <x v="96"/>
    <n v="129475789772"/>
    <n v="210.48"/>
    <n v="10000509.619999999"/>
    <x v="0"/>
    <m/>
    <m/>
    <n v="-3.23"/>
    <n v="0"/>
    <n v="0"/>
    <n v="-1.29"/>
    <n v="214.99999999999997"/>
  </r>
  <r>
    <x v="10"/>
    <x v="0"/>
    <n v="129476370902"/>
    <n v="18706.560000000001"/>
    <n v="10019216.18"/>
    <x v="0"/>
    <m/>
    <m/>
    <n v="0"/>
    <n v="-192"/>
    <n v="-186.24"/>
    <n v="-115.2"/>
    <n v="19200.000000000004"/>
  </r>
  <r>
    <x v="10"/>
    <x v="0"/>
    <n v="128906379869"/>
    <n v="22483.86"/>
    <n v="10041700.039999999"/>
    <x v="0"/>
    <m/>
    <m/>
    <n v="0"/>
    <n v="-238"/>
    <n v="-935.34"/>
    <n v="-142.80000000000001"/>
    <n v="23800"/>
  </r>
  <r>
    <x v="10"/>
    <x v="0"/>
    <n v="128907134521"/>
    <n v="9548.14"/>
    <n v="10051248.18"/>
    <x v="0"/>
    <m/>
    <m/>
    <n v="0"/>
    <n v="-98"/>
    <n v="-95.06"/>
    <n v="-58.8"/>
    <n v="9799.9999999999982"/>
  </r>
  <r>
    <x v="10"/>
    <x v="0"/>
    <n v="128907143061"/>
    <n v="49464.22"/>
    <n v="10100712.4"/>
    <x v="0"/>
    <m/>
    <m/>
    <n v="0"/>
    <n v="-527"/>
    <n v="-2392.58"/>
    <n v="-316.2"/>
    <n v="52700"/>
  </r>
  <r>
    <x v="10"/>
    <x v="0"/>
    <n v="129481762152"/>
    <n v="13603.68"/>
    <n v="10114316.08"/>
    <x v="0"/>
    <m/>
    <m/>
    <n v="0"/>
    <n v="-144"/>
    <n v="-565.91999999999996"/>
    <n v="-86.4"/>
    <n v="14400"/>
  </r>
  <r>
    <x v="10"/>
    <x v="0"/>
    <n v="129483019148"/>
    <n v="60466.14"/>
    <n v="10174782.220000001"/>
    <x v="0"/>
    <m/>
    <m/>
    <n v="0"/>
    <n v="-666"/>
    <n v="-5068.26"/>
    <n v="-399.6"/>
    <n v="66600"/>
  </r>
  <r>
    <x v="10"/>
    <x v="0"/>
    <n v="128910094011"/>
    <n v="105770.35"/>
    <n v="10280552.57"/>
    <x v="0"/>
    <m/>
    <m/>
    <n v="0"/>
    <n v="-1165"/>
    <n v="-8865.65"/>
    <n v="-699"/>
    <n v="116500"/>
  </r>
  <r>
    <x v="10"/>
    <x v="0"/>
    <n v="128913553137"/>
    <n v="49662.13"/>
    <n v="10330214.699999999"/>
    <x v="0"/>
    <m/>
    <m/>
    <n v="0"/>
    <n v="-547"/>
    <n v="-4162.67"/>
    <n v="-328.2"/>
    <n v="54699.999999999993"/>
  </r>
  <r>
    <x v="10"/>
    <x v="0"/>
    <n v="128913776569"/>
    <n v="30323.86"/>
    <n v="10360538.560000001"/>
    <x v="0"/>
    <m/>
    <m/>
    <n v="0"/>
    <n v="-334"/>
    <n v="-2541.7399999999998"/>
    <n v="-200.4"/>
    <n v="33400"/>
  </r>
  <r>
    <x v="10"/>
    <x v="0"/>
    <n v="129486752692"/>
    <n v="19933.169999999998"/>
    <n v="10380471.73"/>
    <x v="0"/>
    <m/>
    <m/>
    <n v="0"/>
    <n v="-211"/>
    <n v="-829.23"/>
    <n v="-126.6"/>
    <n v="21099.999999999996"/>
  </r>
  <r>
    <x v="10"/>
    <x v="0"/>
    <n v="129486918346"/>
    <n v="4599.1400000000003"/>
    <n v="10385070.869999999"/>
    <x v="0"/>
    <m/>
    <m/>
    <n v="0"/>
    <n v="-49"/>
    <n v="-222.46"/>
    <n v="-29.4"/>
    <n v="4900"/>
  </r>
  <r>
    <x v="10"/>
    <x v="0"/>
    <n v="128915102153"/>
    <n v="24162.639999999999"/>
    <n v="10409233.51"/>
    <x v="0"/>
    <m/>
    <m/>
    <n v="0"/>
    <n v="-248"/>
    <n v="-240.56"/>
    <n v="-148.80000000000001"/>
    <n v="24800"/>
  </r>
  <r>
    <x v="10"/>
    <x v="0"/>
    <n v="129487356030"/>
    <n v="47120.01"/>
    <n v="10456353.52"/>
    <x v="0"/>
    <m/>
    <m/>
    <n v="0"/>
    <n v="-519"/>
    <n v="-3949.59"/>
    <n v="-311.39999999999998"/>
    <n v="51900.000000000007"/>
  </r>
  <r>
    <x v="10"/>
    <x v="0"/>
    <n v="129487550932"/>
    <n v="8715.84"/>
    <n v="10465069.359999999"/>
    <x v="0"/>
    <m/>
    <m/>
    <n v="0"/>
    <n v="-96"/>
    <n v="-730.56"/>
    <n v="-57.6"/>
    <n v="9600"/>
  </r>
  <r>
    <x v="10"/>
    <x v="0"/>
    <n v="129488848480"/>
    <n v="14322.21"/>
    <n v="10479391.57"/>
    <x v="0"/>
    <m/>
    <m/>
    <n v="0"/>
    <n v="-147"/>
    <n v="-142.59"/>
    <n v="-88.2"/>
    <n v="14700"/>
  </r>
  <r>
    <x v="10"/>
    <x v="0"/>
    <n v="129489074570"/>
    <n v="27872.53"/>
    <n v="10507264.1"/>
    <x v="0"/>
    <m/>
    <m/>
    <n v="0"/>
    <n v="-307"/>
    <n v="-2336.27"/>
    <n v="-184.2"/>
    <n v="30700"/>
  </r>
  <r>
    <x v="10"/>
    <x v="0"/>
    <n v="128916581093"/>
    <n v="36146.53"/>
    <n v="10543410.630000001"/>
    <x v="0"/>
    <m/>
    <m/>
    <n v="0"/>
    <n v="-371"/>
    <n v="-359.87"/>
    <n v="-222.6"/>
    <n v="37100"/>
  </r>
  <r>
    <x v="10"/>
    <x v="0"/>
    <n v="129489255208"/>
    <n v="34165.040000000001"/>
    <n v="10577575.67"/>
    <x v="0"/>
    <m/>
    <m/>
    <n v="0"/>
    <n v="-364"/>
    <n v="-1652.56"/>
    <n v="-218.4"/>
    <n v="36400"/>
  </r>
  <r>
    <x v="10"/>
    <x v="0"/>
    <n v="128916762757"/>
    <n v="5650.94"/>
    <n v="10583226.609999999"/>
    <x v="0"/>
    <m/>
    <m/>
    <n v="0"/>
    <n v="-58"/>
    <n v="-56.26"/>
    <n v="-34.799999999999997"/>
    <n v="5800"/>
  </r>
  <r>
    <x v="10"/>
    <x v="0"/>
    <n v="128917530747"/>
    <n v="48812.43"/>
    <n v="10632039.039999999"/>
    <x v="0"/>
    <m/>
    <m/>
    <n v="0"/>
    <n v="-501"/>
    <n v="-485.97"/>
    <n v="-300.60000000000002"/>
    <n v="50100"/>
  </r>
  <r>
    <x v="10"/>
    <x v="0"/>
    <n v="128917593137"/>
    <n v="92512.12"/>
    <n v="10724551.16"/>
    <x v="0"/>
    <m/>
    <m/>
    <n v="0"/>
    <n v="-956"/>
    <n v="-1558.28"/>
    <n v="-573.6"/>
    <n v="95600"/>
  </r>
  <r>
    <x v="10"/>
    <x v="0"/>
    <n v="128917687725"/>
    <n v="39361.72"/>
    <n v="10763912.880000001"/>
    <x v="0"/>
    <m/>
    <m/>
    <n v="0"/>
    <n v="-404"/>
    <n v="-391.88"/>
    <n v="-242.4"/>
    <n v="40400"/>
  </r>
  <r>
    <x v="10"/>
    <x v="0"/>
    <n v="129490400868"/>
    <n v="20655.16"/>
    <n v="10784568.039999999"/>
    <x v="0"/>
    <m/>
    <m/>
    <n v="0"/>
    <n v="-212"/>
    <n v="-205.64"/>
    <n v="-127.2"/>
    <n v="21200"/>
  </r>
  <r>
    <x v="10"/>
    <x v="0"/>
    <n v="128919083425"/>
    <n v="30690.45"/>
    <n v="10815258.49"/>
    <x v="0"/>
    <m/>
    <m/>
    <n v="0"/>
    <n v="-315"/>
    <n v="-305.55"/>
    <n v="-189"/>
    <n v="31500"/>
  </r>
  <r>
    <x v="10"/>
    <x v="0"/>
    <n v="128919574591"/>
    <n v="43062.65"/>
    <n v="10858321.140000001"/>
    <x v="0"/>
    <m/>
    <m/>
    <n v="0"/>
    <n v="-445"/>
    <n v="-725.35"/>
    <n v="-267"/>
    <n v="44500"/>
  </r>
  <r>
    <x v="10"/>
    <x v="0"/>
    <n v="129492088316"/>
    <n v="4676.6400000000003"/>
    <n v="10862997.779999999"/>
    <x v="0"/>
    <m/>
    <m/>
    <n v="0"/>
    <n v="-48"/>
    <n v="-46.56"/>
    <n v="-28.8"/>
    <n v="4800.0000000000009"/>
  </r>
  <r>
    <x v="10"/>
    <x v="0"/>
    <n v="129492181546"/>
    <n v="7794.4"/>
    <n v="10870792.18"/>
    <x v="0"/>
    <m/>
    <m/>
    <n v="0"/>
    <n v="-80"/>
    <n v="-77.599999999999994"/>
    <n v="-48"/>
    <n v="8000"/>
  </r>
  <r>
    <x v="10"/>
    <x v="0"/>
    <n v="129492203894"/>
    <n v="3897.2"/>
    <n v="10874689.380000001"/>
    <x v="0"/>
    <m/>
    <m/>
    <n v="0"/>
    <n v="-40"/>
    <n v="-38.799999999999997"/>
    <n v="-24"/>
    <n v="4000"/>
  </r>
  <r>
    <x v="10"/>
    <x v="0"/>
    <n v="129492338552"/>
    <n v="85796.55"/>
    <n v="10960485.93"/>
    <x v="0"/>
    <m/>
    <m/>
    <n v="0"/>
    <n v="-945"/>
    <n v="-7191.45"/>
    <n v="-567"/>
    <n v="94500"/>
  </r>
  <r>
    <x v="10"/>
    <x v="0"/>
    <n v="129492476708"/>
    <n v="4481.78"/>
    <n v="10964967.710000001"/>
    <x v="0"/>
    <m/>
    <m/>
    <n v="0"/>
    <n v="-46"/>
    <n v="-44.62"/>
    <n v="-27.6"/>
    <n v="4600"/>
  </r>
  <r>
    <x v="10"/>
    <x v="0"/>
    <n v="129492602114"/>
    <n v="13797.42"/>
    <n v="10978765.130000001"/>
    <x v="0"/>
    <m/>
    <m/>
    <n v="0"/>
    <n v="-147"/>
    <n v="-667.38"/>
    <n v="-88.2"/>
    <n v="14700"/>
  </r>
  <r>
    <x v="10"/>
    <x v="0"/>
    <n v="129492654176"/>
    <n v="82523.210000000006"/>
    <n v="11061288.34"/>
    <x v="0"/>
    <m/>
    <m/>
    <n v="0"/>
    <n v="-847"/>
    <n v="-821.59"/>
    <n v="-508.2"/>
    <n v="84700"/>
  </r>
  <r>
    <x v="10"/>
    <x v="0"/>
    <n v="128920484187"/>
    <n v="16757.96"/>
    <n v="11078046.300000001"/>
    <x v="0"/>
    <m/>
    <m/>
    <n v="0"/>
    <n v="-172"/>
    <n v="-166.84"/>
    <n v="-103.2"/>
    <n v="17200"/>
  </r>
  <r>
    <x v="10"/>
    <x v="52"/>
    <n v="128920403673"/>
    <n v="841.94"/>
    <n v="11078888.24"/>
    <x v="0"/>
    <m/>
    <m/>
    <n v="-12.9"/>
    <n v="0"/>
    <n v="0"/>
    <n v="-5.16"/>
    <n v="860"/>
  </r>
  <r>
    <x v="10"/>
    <x v="0"/>
    <n v="129493185740"/>
    <n v="12471.04"/>
    <n v="11091359.279999999"/>
    <x v="0"/>
    <m/>
    <m/>
    <n v="0"/>
    <n v="-128"/>
    <n v="-124.16"/>
    <n v="-76.8"/>
    <n v="12800"/>
  </r>
  <r>
    <x v="10"/>
    <x v="0"/>
    <n v="129493359646"/>
    <n v="18803.990000000002"/>
    <n v="11110163.27"/>
    <x v="0"/>
    <m/>
    <m/>
    <n v="0"/>
    <n v="-193"/>
    <n v="-187.21"/>
    <n v="-115.8"/>
    <n v="19300"/>
  </r>
  <r>
    <x v="2"/>
    <x v="0"/>
    <n v="128921310181"/>
    <n v="4448.71"/>
    <n v="11114611.98"/>
    <x v="0"/>
    <m/>
    <m/>
    <n v="0"/>
    <n v="-49"/>
    <n v="-372.89"/>
    <n v="-29.4"/>
    <n v="4900"/>
  </r>
  <r>
    <x v="2"/>
    <x v="0"/>
    <n v="128922302919"/>
    <n v="50079.02"/>
    <n v="11164691"/>
    <x v="0"/>
    <m/>
    <m/>
    <n v="0"/>
    <n v="-514"/>
    <n v="-498.58"/>
    <n v="-308.39999999999998"/>
    <n v="51400"/>
  </r>
  <r>
    <x v="2"/>
    <x v="0"/>
    <n v="128922474729"/>
    <n v="65514.28"/>
    <n v="11230205.279999999"/>
    <x v="0"/>
    <m/>
    <m/>
    <n v="0"/>
    <n v="-698"/>
    <n v="-3168.92"/>
    <n v="-418.8"/>
    <n v="69800"/>
  </r>
  <r>
    <x v="2"/>
    <x v="0"/>
    <n v="129495024752"/>
    <n v="91584.2"/>
    <n v="11321789.48"/>
    <x v="0"/>
    <m/>
    <m/>
    <n v="0"/>
    <n v="-940"/>
    <n v="-911.8"/>
    <n v="-564"/>
    <n v="94000"/>
  </r>
  <r>
    <x v="2"/>
    <x v="0"/>
    <n v="129495145126"/>
    <n v="37315.65"/>
    <n v="11359105.130000001"/>
    <x v="0"/>
    <m/>
    <m/>
    <n v="0"/>
    <n v="-395"/>
    <n v="-1552.35"/>
    <n v="-237"/>
    <n v="39500"/>
  </r>
  <r>
    <x v="2"/>
    <x v="0"/>
    <n v="128922682971"/>
    <n v="32781.089999999997"/>
    <n v="11391886.220000001"/>
    <x v="0"/>
    <m/>
    <m/>
    <n v="0"/>
    <n v="-347"/>
    <n v="-1363.71"/>
    <n v="-208.2"/>
    <n v="34699.999999999993"/>
  </r>
  <r>
    <x v="2"/>
    <x v="0"/>
    <n v="129495185528"/>
    <n v="8378.98"/>
    <n v="11400265.199999999"/>
    <x v="0"/>
    <m/>
    <m/>
    <n v="0"/>
    <n v="-86"/>
    <n v="-83.42"/>
    <n v="-51.6"/>
    <n v="8600"/>
  </r>
  <r>
    <x v="2"/>
    <x v="0"/>
    <n v="129495380726"/>
    <n v="4092.06"/>
    <n v="11404357.26"/>
    <x v="0"/>
    <m/>
    <m/>
    <n v="0"/>
    <n v="-42"/>
    <n v="-40.74"/>
    <n v="-25.2"/>
    <n v="4199.9999999999991"/>
  </r>
  <r>
    <x v="2"/>
    <x v="0"/>
    <n v="129495617158"/>
    <n v="71123.899999999994"/>
    <n v="11475481.16"/>
    <x v="0"/>
    <m/>
    <m/>
    <n v="0"/>
    <n v="-730"/>
    <n v="-708.1"/>
    <n v="-438"/>
    <n v="73000"/>
  </r>
  <r>
    <x v="2"/>
    <x v="0"/>
    <n v="129495780212"/>
    <n v="9743"/>
    <n v="11485224.16"/>
    <x v="0"/>
    <m/>
    <m/>
    <n v="0"/>
    <n v="-100"/>
    <n v="-97"/>
    <n v="-60"/>
    <n v="10000"/>
  </r>
  <r>
    <x v="2"/>
    <x v="0"/>
    <n v="129495728004"/>
    <n v="30324.87"/>
    <n v="11515549.029999999"/>
    <x v="0"/>
    <m/>
    <m/>
    <n v="0"/>
    <n v="-321"/>
    <n v="-1261.53"/>
    <n v="-192.6"/>
    <n v="32099.999999999996"/>
  </r>
  <r>
    <x v="8"/>
    <x v="6"/>
    <n v="129258131166"/>
    <n v="-1187.28"/>
    <n v="9216695.8300000001"/>
    <x v="2"/>
    <n v="-197880"/>
    <m/>
    <n v="0"/>
    <n v="0"/>
    <n v="0"/>
    <m/>
    <n v="-1187.28"/>
  </r>
  <r>
    <x v="2"/>
    <x v="0"/>
    <n v="129495961410"/>
    <n v="4505.28"/>
    <n v="11490004.619999999"/>
    <x v="0"/>
    <m/>
    <m/>
    <n v="0"/>
    <n v="-48"/>
    <n v="-217.92"/>
    <n v="-28.8"/>
    <n v="4800"/>
  </r>
  <r>
    <x v="2"/>
    <x v="0"/>
    <n v="128923606311"/>
    <n v="64835.9"/>
    <n v="11554840.52"/>
    <x v="0"/>
    <m/>
    <m/>
    <n v="0"/>
    <n v="-670"/>
    <n v="-1092.0999999999999"/>
    <n v="-402"/>
    <n v="67000"/>
  </r>
  <r>
    <x v="2"/>
    <x v="0"/>
    <n v="129496190454"/>
    <n v="16796.150000000001"/>
    <n v="11571636.67"/>
    <x v="0"/>
    <m/>
    <m/>
    <n v="0"/>
    <n v="-185"/>
    <n v="-1407.85"/>
    <n v="-111"/>
    <n v="18500"/>
  </r>
  <r>
    <x v="2"/>
    <x v="0"/>
    <n v="128923725051"/>
    <n v="51930.19"/>
    <n v="11623566.859999999"/>
    <x v="0"/>
    <m/>
    <m/>
    <n v="0"/>
    <n v="-533"/>
    <n v="-517.01"/>
    <n v="-319.8"/>
    <n v="53300.000000000007"/>
  </r>
  <r>
    <x v="2"/>
    <x v="0"/>
    <n v="129496252230"/>
    <n v="12347.44"/>
    <n v="11635914.300000001"/>
    <x v="0"/>
    <m/>
    <m/>
    <n v="0"/>
    <n v="-136"/>
    <n v="-1034.96"/>
    <n v="-81.599999999999994"/>
    <n v="13600.000000000002"/>
  </r>
  <r>
    <x v="2"/>
    <x v="97"/>
    <n v="129496220702"/>
    <n v="1997.16"/>
    <n v="11637911.460000001"/>
    <x v="0"/>
    <m/>
    <m/>
    <n v="-30.6"/>
    <n v="0"/>
    <n v="0"/>
    <n v="-12.24"/>
    <n v="2040"/>
  </r>
  <r>
    <x v="2"/>
    <x v="0"/>
    <n v="128923886243"/>
    <n v="41115.46"/>
    <n v="11679026.92"/>
    <x v="0"/>
    <m/>
    <m/>
    <n v="0"/>
    <n v="-422"/>
    <n v="-409.34"/>
    <n v="-253.2"/>
    <n v="42199.999999999993"/>
  </r>
  <r>
    <x v="2"/>
    <x v="0"/>
    <n v="128923983439"/>
    <n v="48713.34"/>
    <n v="11727740.26"/>
    <x v="0"/>
    <m/>
    <m/>
    <n v="0"/>
    <n v="-519"/>
    <n v="-2356.2600000000002"/>
    <n v="-311.39999999999998"/>
    <n v="51900"/>
  </r>
  <r>
    <x v="2"/>
    <x v="0"/>
    <n v="128924146425"/>
    <n v="10327.58"/>
    <n v="11738067.84"/>
    <x v="0"/>
    <m/>
    <m/>
    <n v="0"/>
    <n v="-106"/>
    <n v="-102.82"/>
    <n v="-63.6"/>
    <n v="10600"/>
  </r>
  <r>
    <x v="2"/>
    <x v="0"/>
    <n v="128924489675"/>
    <n v="8635.1200000000008"/>
    <n v="11746702.960000001"/>
    <x v="0"/>
    <m/>
    <m/>
    <n v="0"/>
    <n v="-92"/>
    <n v="-417.68"/>
    <n v="-55.2"/>
    <n v="9200.0000000000018"/>
  </r>
  <r>
    <x v="2"/>
    <x v="0"/>
    <n v="128924615147"/>
    <n v="9840.43"/>
    <n v="11756543.390000001"/>
    <x v="0"/>
    <m/>
    <m/>
    <n v="0"/>
    <n v="-101"/>
    <n v="-97.97"/>
    <n v="-60.6"/>
    <n v="10100"/>
  </r>
  <r>
    <x v="2"/>
    <x v="0"/>
    <n v="128924745117"/>
    <n v="12665.9"/>
    <n v="11769209.289999999"/>
    <x v="0"/>
    <m/>
    <m/>
    <n v="0"/>
    <n v="-130"/>
    <n v="-126.1"/>
    <n v="-78"/>
    <n v="13000"/>
  </r>
  <r>
    <x v="2"/>
    <x v="0"/>
    <n v="128925028115"/>
    <n v="10327.58"/>
    <n v="11779536.869999999"/>
    <x v="0"/>
    <m/>
    <m/>
    <n v="0"/>
    <n v="-106"/>
    <n v="-102.82"/>
    <n v="-63.6"/>
    <n v="10600"/>
  </r>
  <r>
    <x v="2"/>
    <x v="0"/>
    <n v="128925124795"/>
    <n v="4676.6400000000003"/>
    <n v="11784213.51"/>
    <x v="0"/>
    <m/>
    <m/>
    <n v="0"/>
    <n v="-48"/>
    <n v="-46.56"/>
    <n v="-28.8"/>
    <n v="4800.0000000000009"/>
  </r>
  <r>
    <x v="2"/>
    <x v="0"/>
    <n v="129497682076"/>
    <n v="18121.98"/>
    <n v="11802335.49"/>
    <x v="0"/>
    <m/>
    <m/>
    <n v="0"/>
    <n v="-186"/>
    <n v="-180.42"/>
    <n v="-111.6"/>
    <n v="18599.999999999996"/>
  </r>
  <r>
    <x v="2"/>
    <x v="0"/>
    <n v="129497757396"/>
    <n v="41602.61"/>
    <n v="11843938.1"/>
    <x v="0"/>
    <m/>
    <m/>
    <n v="0"/>
    <n v="-427"/>
    <n v="-414.19"/>
    <n v="-256.2"/>
    <n v="42700"/>
  </r>
  <r>
    <x v="2"/>
    <x v="0"/>
    <n v="128925323397"/>
    <n v="76354.39"/>
    <n v="11920292.49"/>
    <x v="0"/>
    <m/>
    <m/>
    <n v="0"/>
    <n v="-841"/>
    <n v="-6400.01"/>
    <n v="-504.6"/>
    <n v="84100"/>
  </r>
  <r>
    <x v="2"/>
    <x v="0"/>
    <n v="128925850887"/>
    <n v="64498.66"/>
    <n v="11984791.15"/>
    <x v="0"/>
    <m/>
    <m/>
    <n v="0"/>
    <n v="-662"/>
    <n v="-642.14"/>
    <n v="-397.2"/>
    <n v="66200"/>
  </r>
  <r>
    <x v="2"/>
    <x v="98"/>
    <n v="129498298984"/>
    <n v="6480.98"/>
    <n v="11991272.130000001"/>
    <x v="0"/>
    <m/>
    <m/>
    <n v="-99.3"/>
    <n v="0"/>
    <n v="0"/>
    <n v="-39.72"/>
    <n v="6620"/>
  </r>
  <r>
    <x v="2"/>
    <x v="0"/>
    <n v="129498257936"/>
    <n v="9158.42"/>
    <n v="12000430.550000001"/>
    <x v="0"/>
    <m/>
    <m/>
    <n v="0"/>
    <n v="-94"/>
    <n v="-91.18"/>
    <n v="-56.4"/>
    <n v="9400"/>
  </r>
  <r>
    <x v="2"/>
    <x v="0"/>
    <n v="128926011103"/>
    <n v="4676.6400000000003"/>
    <n v="12005107.189999999"/>
    <x v="0"/>
    <m/>
    <m/>
    <n v="0"/>
    <n v="-48"/>
    <n v="-46.56"/>
    <n v="-28.8"/>
    <n v="4800.0000000000009"/>
  </r>
  <r>
    <x v="2"/>
    <x v="0"/>
    <n v="129498617424"/>
    <n v="37802.839999999997"/>
    <n v="12042910.029999999"/>
    <x v="0"/>
    <m/>
    <m/>
    <n v="0"/>
    <n v="-388"/>
    <n v="-376.36"/>
    <n v="-232.8"/>
    <n v="38800"/>
  </r>
  <r>
    <x v="2"/>
    <x v="0"/>
    <n v="129498761266"/>
    <n v="17927.12"/>
    <n v="12060837.15"/>
    <x v="0"/>
    <m/>
    <m/>
    <n v="0"/>
    <n v="-184"/>
    <n v="-178.48"/>
    <n v="-110.4"/>
    <n v="18400"/>
  </r>
  <r>
    <x v="2"/>
    <x v="0"/>
    <n v="129499008366"/>
    <n v="4092.06"/>
    <n v="12064929.210000001"/>
    <x v="0"/>
    <m/>
    <m/>
    <n v="0"/>
    <n v="-42"/>
    <n v="-40.74"/>
    <n v="-25.2"/>
    <n v="4199.9999999999991"/>
  </r>
  <r>
    <x v="2"/>
    <x v="99"/>
    <n v="128926303123"/>
    <n v="205.59"/>
    <n v="12065134.800000001"/>
    <x v="0"/>
    <m/>
    <m/>
    <n v="-3.15"/>
    <n v="0"/>
    <n v="0"/>
    <n v="-1.26"/>
    <n v="210"/>
  </r>
  <r>
    <x v="2"/>
    <x v="0"/>
    <n v="129498994698"/>
    <n v="80960.789999999994"/>
    <n v="12146095.59"/>
    <x v="0"/>
    <m/>
    <m/>
    <n v="0"/>
    <n v="-857"/>
    <n v="-3368.01"/>
    <n v="-514.20000000000005"/>
    <n v="85699.999999999985"/>
  </r>
  <r>
    <x v="2"/>
    <x v="0"/>
    <n v="129499208348"/>
    <n v="8822.84"/>
    <n v="12154918.43"/>
    <x v="0"/>
    <m/>
    <m/>
    <n v="0"/>
    <n v="-94"/>
    <n v="-426.76"/>
    <n v="-56.4"/>
    <n v="9400"/>
  </r>
  <r>
    <x v="2"/>
    <x v="0"/>
    <n v="129499227386"/>
    <n v="42382.05"/>
    <n v="12197300.48"/>
    <x v="0"/>
    <m/>
    <m/>
    <n v="0"/>
    <n v="-435"/>
    <n v="-421.95"/>
    <n v="-261"/>
    <n v="43500"/>
  </r>
  <r>
    <x v="2"/>
    <x v="0"/>
    <n v="129499287010"/>
    <n v="9743"/>
    <n v="12207043.48"/>
    <x v="0"/>
    <m/>
    <m/>
    <n v="0"/>
    <n v="-100"/>
    <n v="-97"/>
    <n v="-60"/>
    <n v="10000"/>
  </r>
  <r>
    <x v="2"/>
    <x v="100"/>
    <n v="128926832933"/>
    <n v="979"/>
    <n v="12208022.48"/>
    <x v="0"/>
    <m/>
    <m/>
    <n v="-15"/>
    <n v="0"/>
    <n v="0"/>
    <n v="-6"/>
    <n v="1000"/>
  </r>
  <r>
    <x v="2"/>
    <x v="0"/>
    <n v="129499309216"/>
    <n v="8768.7000000000007"/>
    <n v="12216791.18"/>
    <x v="0"/>
    <m/>
    <m/>
    <n v="0"/>
    <n v="-90"/>
    <n v="-87.3"/>
    <n v="-54"/>
    <n v="9000"/>
  </r>
  <r>
    <x v="2"/>
    <x v="0"/>
    <n v="128927187489"/>
    <n v="163390.10999999999"/>
    <n v="12380181.289999999"/>
    <x v="0"/>
    <m/>
    <m/>
    <n v="0"/>
    <n v="-1677"/>
    <n v="-1626.69"/>
    <n v="-1006.2"/>
    <n v="167700"/>
  </r>
  <r>
    <x v="2"/>
    <x v="0"/>
    <n v="128927240081"/>
    <n v="7599.54"/>
    <n v="12387780.83"/>
    <x v="0"/>
    <m/>
    <m/>
    <n v="0"/>
    <n v="-78"/>
    <n v="-75.66"/>
    <n v="-46.8"/>
    <n v="7800"/>
  </r>
  <r>
    <x v="2"/>
    <x v="0"/>
    <n v="128927347565"/>
    <n v="14614.5"/>
    <n v="12402395.33"/>
    <x v="0"/>
    <m/>
    <m/>
    <n v="0"/>
    <n v="-150"/>
    <n v="-145.5"/>
    <n v="-90"/>
    <n v="15000"/>
  </r>
  <r>
    <x v="2"/>
    <x v="0"/>
    <n v="129500372322"/>
    <n v="27280.400000000001"/>
    <n v="12429675.73"/>
    <x v="0"/>
    <m/>
    <m/>
    <n v="0"/>
    <n v="-280"/>
    <n v="-271.60000000000002"/>
    <n v="-168"/>
    <n v="28000"/>
  </r>
  <r>
    <x v="2"/>
    <x v="0"/>
    <n v="129500491858"/>
    <n v="73657.08"/>
    <n v="12503332.810000001"/>
    <x v="0"/>
    <m/>
    <m/>
    <n v="0"/>
    <n v="-756"/>
    <n v="-733.32"/>
    <n v="-453.6"/>
    <n v="75600.000000000015"/>
  </r>
  <r>
    <x v="2"/>
    <x v="0"/>
    <n v="128928139243"/>
    <n v="64985.81"/>
    <n v="12568318.619999999"/>
    <x v="0"/>
    <m/>
    <m/>
    <n v="0"/>
    <n v="-667"/>
    <n v="-646.99"/>
    <n v="-400.2"/>
    <n v="66700"/>
  </r>
  <r>
    <x v="2"/>
    <x v="0"/>
    <n v="128928251957"/>
    <n v="30203.3"/>
    <n v="12598521.92"/>
    <x v="0"/>
    <m/>
    <m/>
    <n v="0"/>
    <n v="-310"/>
    <n v="-300.7"/>
    <n v="-186"/>
    <n v="31000"/>
  </r>
  <r>
    <x v="2"/>
    <x v="0"/>
    <n v="129500767252"/>
    <n v="23239.62"/>
    <n v="12621761.539999999"/>
    <x v="0"/>
    <m/>
    <m/>
    <n v="0"/>
    <n v="-246"/>
    <n v="-966.78"/>
    <n v="-147.6"/>
    <n v="24599.999999999996"/>
  </r>
  <r>
    <x v="2"/>
    <x v="0"/>
    <n v="128928488341"/>
    <n v="13618.5"/>
    <n v="12635380.039999999"/>
    <x v="0"/>
    <m/>
    <m/>
    <n v="0"/>
    <n v="-150"/>
    <n v="-1141.5"/>
    <n v="-90"/>
    <n v="15000"/>
  </r>
  <r>
    <x v="2"/>
    <x v="0"/>
    <n v="129500923562"/>
    <n v="10327.58"/>
    <n v="12645707.619999999"/>
    <x v="0"/>
    <m/>
    <m/>
    <n v="0"/>
    <n v="-106"/>
    <n v="-102.82"/>
    <n v="-63.6"/>
    <n v="10600"/>
  </r>
  <r>
    <x v="2"/>
    <x v="0"/>
    <n v="129500992922"/>
    <n v="14029.92"/>
    <n v="12659737.539999999"/>
    <x v="0"/>
    <m/>
    <m/>
    <n v="0"/>
    <n v="-144"/>
    <n v="-139.68"/>
    <n v="-86.4"/>
    <n v="14400"/>
  </r>
  <r>
    <x v="2"/>
    <x v="0"/>
    <n v="129501096404"/>
    <n v="22019.18"/>
    <n v="12681756.720000001"/>
    <x v="0"/>
    <m/>
    <m/>
    <n v="0"/>
    <n v="-226"/>
    <n v="-219.22"/>
    <n v="-135.6"/>
    <n v="22600"/>
  </r>
  <r>
    <x v="2"/>
    <x v="0"/>
    <n v="128928561231"/>
    <n v="52417.34"/>
    <n v="12734174.060000001"/>
    <x v="0"/>
    <m/>
    <m/>
    <n v="0"/>
    <n v="-538"/>
    <n v="-521.86"/>
    <n v="-322.8"/>
    <n v="53800"/>
  </r>
  <r>
    <x v="2"/>
    <x v="0"/>
    <n v="129586128048"/>
    <n v="11301.88"/>
    <n v="12745475.939999999"/>
    <x v="0"/>
    <m/>
    <m/>
    <n v="0"/>
    <n v="-116"/>
    <n v="-112.52"/>
    <n v="-69.599999999999994"/>
    <n v="11600"/>
  </r>
  <r>
    <x v="2"/>
    <x v="0"/>
    <n v="129017128399"/>
    <n v="9353.2800000000007"/>
    <n v="12754829.220000001"/>
    <x v="0"/>
    <m/>
    <m/>
    <n v="0"/>
    <n v="-96"/>
    <n v="-93.12"/>
    <n v="-57.6"/>
    <n v="9600.0000000000018"/>
  </r>
  <r>
    <x v="2"/>
    <x v="0"/>
    <n v="129018427613"/>
    <n v="9163.59"/>
    <n v="12763992.810000001"/>
    <x v="0"/>
    <m/>
    <m/>
    <n v="0"/>
    <n v="-97"/>
    <n v="-381.21"/>
    <n v="-58.2"/>
    <n v="9700"/>
  </r>
  <r>
    <x v="2"/>
    <x v="0"/>
    <n v="129592679060"/>
    <n v="4676.6400000000003"/>
    <n v="12768669.449999999"/>
    <x v="0"/>
    <m/>
    <m/>
    <n v="0"/>
    <n v="-48"/>
    <n v="-46.56"/>
    <n v="-28.8"/>
    <n v="4800.0000000000009"/>
  </r>
  <r>
    <x v="2"/>
    <x v="0"/>
    <n v="129593690834"/>
    <n v="8806.6299999999992"/>
    <n v="12777476.08"/>
    <x v="0"/>
    <m/>
    <m/>
    <n v="0"/>
    <n v="-97"/>
    <n v="-738.17"/>
    <n v="-58.2"/>
    <n v="9700"/>
  </r>
  <r>
    <x v="2"/>
    <x v="0"/>
    <n v="129594827970"/>
    <n v="21142.31"/>
    <n v="12798618.390000001"/>
    <x v="0"/>
    <m/>
    <m/>
    <n v="0"/>
    <n v="-217"/>
    <n v="-210.49"/>
    <n v="-130.19999999999999"/>
    <n v="21700.000000000004"/>
  </r>
  <r>
    <x v="2"/>
    <x v="0"/>
    <n v="129022677169"/>
    <n v="18706.560000000001"/>
    <n v="12817324.949999999"/>
    <x v="0"/>
    <m/>
    <m/>
    <n v="0"/>
    <n v="-192"/>
    <n v="-186.24"/>
    <n v="-115.2"/>
    <n v="19200.000000000004"/>
  </r>
  <r>
    <x v="2"/>
    <x v="0"/>
    <n v="129023931579"/>
    <n v="9258.06"/>
    <n v="12826583.01"/>
    <x v="0"/>
    <m/>
    <m/>
    <n v="0"/>
    <n v="-98"/>
    <n v="-385.14"/>
    <n v="-58.8"/>
    <n v="9799.9999999999982"/>
  </r>
  <r>
    <x v="2"/>
    <x v="0"/>
    <n v="129596975966"/>
    <n v="36182.01"/>
    <n v="12862765.02"/>
    <x v="0"/>
    <m/>
    <m/>
    <n v="0"/>
    <n v="-383"/>
    <n v="-1505.19"/>
    <n v="-229.8"/>
    <n v="38300.000000000007"/>
  </r>
  <r>
    <x v="2"/>
    <x v="0"/>
    <n v="129024231633"/>
    <n v="5573.73"/>
    <n v="12868338.75"/>
    <x v="0"/>
    <m/>
    <m/>
    <n v="0"/>
    <n v="-59"/>
    <n v="-231.87"/>
    <n v="-35.4"/>
    <n v="5899.9999999999991"/>
  </r>
  <r>
    <x v="2"/>
    <x v="0"/>
    <n v="129024994181"/>
    <n v="28871.22"/>
    <n v="12897209.970000001"/>
    <x v="0"/>
    <m/>
    <m/>
    <n v="0"/>
    <n v="-318"/>
    <n v="-2419.98"/>
    <n v="-190.8"/>
    <n v="31800"/>
  </r>
  <r>
    <x v="2"/>
    <x v="0"/>
    <n v="129598052900"/>
    <n v="27146.21"/>
    <n v="12924356.18"/>
    <x v="0"/>
    <m/>
    <m/>
    <n v="0"/>
    <n v="-299"/>
    <n v="-2275.39"/>
    <n v="-179.4"/>
    <n v="29900"/>
  </r>
  <r>
    <x v="2"/>
    <x v="0"/>
    <n v="129025880623"/>
    <n v="7557.6"/>
    <n v="12931913.779999999"/>
    <x v="0"/>
    <m/>
    <m/>
    <n v="0"/>
    <n v="-80"/>
    <n v="-314.39999999999998"/>
    <n v="-48"/>
    <n v="8000"/>
  </r>
  <r>
    <x v="2"/>
    <x v="0"/>
    <n v="129025992691"/>
    <n v="73949.37"/>
    <n v="13005863.15"/>
    <x v="0"/>
    <m/>
    <m/>
    <n v="0"/>
    <n v="-759"/>
    <n v="-736.23"/>
    <n v="-455.4"/>
    <n v="75899.999999999985"/>
  </r>
  <r>
    <x v="2"/>
    <x v="0"/>
    <n v="129599378422"/>
    <n v="73539.899999999994"/>
    <n v="13079403.050000001"/>
    <x v="0"/>
    <m/>
    <m/>
    <n v="0"/>
    <n v="-810"/>
    <n v="-6164.1"/>
    <n v="-486"/>
    <n v="81000"/>
  </r>
  <r>
    <x v="2"/>
    <x v="101"/>
    <n v="129599239718"/>
    <n v="11894.85"/>
    <n v="13091297.9"/>
    <x v="0"/>
    <m/>
    <m/>
    <n v="-182.25"/>
    <n v="0"/>
    <n v="0"/>
    <n v="-72.900000000000006"/>
    <n v="12150"/>
  </r>
  <r>
    <x v="2"/>
    <x v="0"/>
    <n v="129599307758"/>
    <n v="33321.06"/>
    <n v="13124618.960000001"/>
    <x v="0"/>
    <m/>
    <m/>
    <n v="0"/>
    <n v="-342"/>
    <n v="-331.74"/>
    <n v="-205.2"/>
    <n v="34199.999999999993"/>
  </r>
  <r>
    <x v="2"/>
    <x v="102"/>
    <n v="129026510653"/>
    <n v="1674.09"/>
    <n v="13126293.050000001"/>
    <x v="0"/>
    <m/>
    <m/>
    <n v="-25.65"/>
    <n v="0"/>
    <n v="0"/>
    <n v="-10.26"/>
    <n v="1710"/>
  </r>
  <r>
    <x v="2"/>
    <x v="0"/>
    <n v="129026897081"/>
    <n v="21239.74"/>
    <n v="13147532.789999999"/>
    <x v="0"/>
    <m/>
    <m/>
    <n v="0"/>
    <n v="-218"/>
    <n v="-211.46"/>
    <n v="-130.80000000000001"/>
    <n v="21800"/>
  </r>
  <r>
    <x v="2"/>
    <x v="0"/>
    <n v="129027124435"/>
    <n v="13792.62"/>
    <n v="13161325.41"/>
    <x v="0"/>
    <m/>
    <m/>
    <n v="0"/>
    <n v="-146"/>
    <n v="-573.78"/>
    <n v="-87.6"/>
    <n v="14600.000000000002"/>
  </r>
  <r>
    <x v="2"/>
    <x v="0"/>
    <n v="129601578702"/>
    <n v="9353.2800000000007"/>
    <n v="13170678.689999999"/>
    <x v="0"/>
    <m/>
    <m/>
    <n v="0"/>
    <n v="-96"/>
    <n v="-93.12"/>
    <n v="-57.6"/>
    <n v="9600.0000000000018"/>
  </r>
  <r>
    <x v="2"/>
    <x v="0"/>
    <n v="129028884505"/>
    <n v="9069.1200000000008"/>
    <n v="13179747.810000001"/>
    <x v="0"/>
    <m/>
    <m/>
    <n v="0"/>
    <n v="-96"/>
    <n v="-377.28"/>
    <n v="-57.6"/>
    <n v="9600.0000000000018"/>
  </r>
  <r>
    <x v="2"/>
    <x v="0"/>
    <n v="129029037517"/>
    <n v="20168.009999999998"/>
    <n v="13199915.82"/>
    <x v="0"/>
    <m/>
    <m/>
    <n v="0"/>
    <n v="-207"/>
    <n v="-200.79"/>
    <n v="-124.2"/>
    <n v="20700"/>
  </r>
  <r>
    <x v="2"/>
    <x v="0"/>
    <n v="129602058662"/>
    <n v="12081.32"/>
    <n v="13211997.140000001"/>
    <x v="0"/>
    <m/>
    <m/>
    <n v="0"/>
    <n v="-124"/>
    <n v="-120.28"/>
    <n v="-74.400000000000006"/>
    <n v="12400"/>
  </r>
  <r>
    <x v="2"/>
    <x v="0"/>
    <n v="129029166013"/>
    <n v="9353.2800000000007"/>
    <n v="13221350.42"/>
    <x v="0"/>
    <m/>
    <m/>
    <n v="0"/>
    <n v="-96"/>
    <n v="-93.12"/>
    <n v="-57.6"/>
    <n v="9600.0000000000018"/>
  </r>
  <r>
    <x v="2"/>
    <x v="103"/>
    <n v="129602059464"/>
    <n v="469.92"/>
    <n v="13221820.34"/>
    <x v="0"/>
    <m/>
    <m/>
    <n v="-7.2"/>
    <n v="0"/>
    <n v="0"/>
    <n v="-2.88"/>
    <n v="480"/>
  </r>
  <r>
    <x v="2"/>
    <x v="0"/>
    <n v="129603583714"/>
    <n v="24104.74"/>
    <n v="13245925.08"/>
    <x v="0"/>
    <m/>
    <m/>
    <n v="0"/>
    <n v="-265.5"/>
    <n v="-2020.46"/>
    <n v="-159.30000000000001"/>
    <n v="26550"/>
  </r>
  <r>
    <x v="2"/>
    <x v="104"/>
    <n v="129603670366"/>
    <n v="1299.1300000000001"/>
    <n v="13247224.210000001"/>
    <x v="0"/>
    <m/>
    <m/>
    <n v="-19.91"/>
    <n v="0"/>
    <n v="0"/>
    <n v="-7.96"/>
    <n v="1327.0000000000002"/>
  </r>
  <r>
    <x v="2"/>
    <x v="0"/>
    <n v="129030713857"/>
    <n v="24065.21"/>
    <n v="13271289.42"/>
    <x v="0"/>
    <m/>
    <m/>
    <n v="0"/>
    <n v="-247"/>
    <n v="-239.59"/>
    <n v="-148.19999999999999"/>
    <n v="24700"/>
  </r>
  <r>
    <x v="2"/>
    <x v="105"/>
    <n v="129030721859"/>
    <n v="1209.06"/>
    <n v="13272498.48"/>
    <x v="0"/>
    <m/>
    <m/>
    <n v="-18.53"/>
    <n v="0"/>
    <n v="0"/>
    <n v="-7.41"/>
    <n v="1235"/>
  </r>
  <r>
    <x v="2"/>
    <x v="0"/>
    <n v="129031186867"/>
    <n v="55548.36"/>
    <n v="13328046.84"/>
    <x v="0"/>
    <m/>
    <m/>
    <n v="0"/>
    <n v="-588"/>
    <n v="-2310.84"/>
    <n v="-352.8"/>
    <n v="58800"/>
  </r>
  <r>
    <x v="2"/>
    <x v="0"/>
    <n v="129031118031"/>
    <n v="18901.419999999998"/>
    <n v="13346948.26"/>
    <x v="0"/>
    <m/>
    <m/>
    <n v="0"/>
    <n v="-194"/>
    <n v="-188.18"/>
    <n v="-116.4"/>
    <n v="19400"/>
  </r>
  <r>
    <x v="2"/>
    <x v="0"/>
    <n v="129031727651"/>
    <n v="13036.86"/>
    <n v="13359985.119999999"/>
    <x v="0"/>
    <m/>
    <m/>
    <n v="0"/>
    <n v="-138"/>
    <n v="-542.34"/>
    <n v="-82.8"/>
    <n v="13800"/>
  </r>
  <r>
    <x v="2"/>
    <x v="0"/>
    <n v="129606428966"/>
    <n v="102301.5"/>
    <n v="13462286.619999999"/>
    <x v="0"/>
    <m/>
    <m/>
    <n v="0"/>
    <n v="-1050"/>
    <n v="-1018.5"/>
    <n v="-630"/>
    <n v="105000"/>
  </r>
  <r>
    <x v="2"/>
    <x v="106"/>
    <n v="129033517789"/>
    <n v="5139.75"/>
    <n v="13467426.369999999"/>
    <x v="0"/>
    <m/>
    <m/>
    <n v="-78.75"/>
    <n v="0"/>
    <n v="0"/>
    <n v="-31.5"/>
    <n v="5250"/>
  </r>
  <r>
    <x v="2"/>
    <x v="0"/>
    <n v="129034163043"/>
    <n v="32119.8"/>
    <n v="13499546.17"/>
    <x v="0"/>
    <m/>
    <m/>
    <n v="0"/>
    <n v="-340"/>
    <n v="-1336.2"/>
    <n v="-204"/>
    <n v="34000"/>
  </r>
  <r>
    <x v="2"/>
    <x v="0"/>
    <n v="129034274459"/>
    <n v="59822.02"/>
    <n v="13559368.189999999"/>
    <x v="0"/>
    <m/>
    <m/>
    <n v="0"/>
    <n v="-614"/>
    <n v="-595.58000000000004"/>
    <n v="-368.4"/>
    <n v="61400"/>
  </r>
  <r>
    <x v="2"/>
    <x v="107"/>
    <n v="129607130142"/>
    <n v="9016.59"/>
    <n v="13568384.779999999"/>
    <x v="0"/>
    <m/>
    <m/>
    <n v="-138.15"/>
    <n v="0"/>
    <n v="0"/>
    <n v="-55.26"/>
    <n v="9210"/>
  </r>
  <r>
    <x v="2"/>
    <x v="0"/>
    <n v="129607232380"/>
    <n v="7989.26"/>
    <n v="13576374.039999999"/>
    <x v="0"/>
    <m/>
    <m/>
    <n v="0"/>
    <n v="-82"/>
    <n v="-79.540000000000006"/>
    <n v="-49.2"/>
    <n v="8200"/>
  </r>
  <r>
    <x v="2"/>
    <x v="0"/>
    <n v="129607601758"/>
    <n v="11999.48"/>
    <n v="13588373.52"/>
    <x v="0"/>
    <m/>
    <m/>
    <n v="0"/>
    <n v="-124"/>
    <n v="-202.12"/>
    <n v="-74.400000000000006"/>
    <n v="12400"/>
  </r>
  <r>
    <x v="2"/>
    <x v="0"/>
    <n v="129608485214"/>
    <n v="67547.759999999995"/>
    <n v="13655921.279999999"/>
    <x v="0"/>
    <m/>
    <m/>
    <n v="0"/>
    <n v="-744"/>
    <n v="-5661.84"/>
    <n v="-446.4"/>
    <n v="74399.999999999985"/>
  </r>
  <r>
    <x v="2"/>
    <x v="0"/>
    <n v="129608565554"/>
    <n v="4774.07"/>
    <n v="13660695.35"/>
    <x v="0"/>
    <m/>
    <m/>
    <n v="0"/>
    <n v="-49"/>
    <n v="-47.53"/>
    <n v="-29.4"/>
    <n v="4899.9999999999991"/>
  </r>
  <r>
    <x v="2"/>
    <x v="0"/>
    <n v="129035729183"/>
    <n v="9548.14"/>
    <n v="13670243.49"/>
    <x v="0"/>
    <m/>
    <m/>
    <n v="0"/>
    <n v="-98"/>
    <n v="-95.06"/>
    <n v="-58.8"/>
    <n v="9799.9999999999982"/>
  </r>
  <r>
    <x v="2"/>
    <x v="0"/>
    <n v="129036090355"/>
    <n v="4871.5"/>
    <n v="13675114.99"/>
    <x v="0"/>
    <m/>
    <m/>
    <n v="0"/>
    <n v="-50"/>
    <n v="-48.5"/>
    <n v="-30"/>
    <n v="5000"/>
  </r>
  <r>
    <x v="2"/>
    <x v="108"/>
    <n v="129608793634"/>
    <n v="244.75"/>
    <n v="13675359.74"/>
    <x v="0"/>
    <m/>
    <m/>
    <n v="-3.75"/>
    <n v="0"/>
    <n v="0"/>
    <n v="-1.5"/>
    <n v="250"/>
  </r>
  <r>
    <x v="2"/>
    <x v="0"/>
    <n v="129609138584"/>
    <n v="33905.64"/>
    <n v="13709265.380000001"/>
    <x v="0"/>
    <m/>
    <m/>
    <n v="0"/>
    <n v="-348"/>
    <n v="-337.56"/>
    <n v="-208.8"/>
    <n v="34800"/>
  </r>
  <r>
    <x v="2"/>
    <x v="109"/>
    <n v="129609093236"/>
    <n v="3406.92"/>
    <n v="13712672.300000001"/>
    <x v="0"/>
    <m/>
    <m/>
    <n v="-52.2"/>
    <n v="0"/>
    <n v="0"/>
    <n v="-20.88"/>
    <n v="3480"/>
  </r>
  <r>
    <x v="2"/>
    <x v="0"/>
    <n v="129036637851"/>
    <n v="9743"/>
    <n v="13722415.300000001"/>
    <x v="0"/>
    <m/>
    <m/>
    <n v="0"/>
    <n v="-100"/>
    <n v="-97"/>
    <n v="-60"/>
    <n v="10000"/>
  </r>
  <r>
    <x v="2"/>
    <x v="0"/>
    <n v="129609804684"/>
    <n v="9069.1200000000008"/>
    <n v="13731484.42"/>
    <x v="0"/>
    <m/>
    <m/>
    <n v="0"/>
    <n v="-96"/>
    <n v="-377.28"/>
    <n v="-57.6"/>
    <n v="9600.0000000000018"/>
  </r>
  <r>
    <x v="2"/>
    <x v="0"/>
    <n v="129610020300"/>
    <n v="58360.57"/>
    <n v="13789844.99"/>
    <x v="0"/>
    <m/>
    <m/>
    <n v="0"/>
    <n v="-599"/>
    <n v="-581.03"/>
    <n v="-359.4"/>
    <n v="59900"/>
  </r>
  <r>
    <x v="2"/>
    <x v="0"/>
    <n v="129610390102"/>
    <n v="38972"/>
    <n v="13828816.99"/>
    <x v="0"/>
    <m/>
    <m/>
    <n v="0"/>
    <n v="-400"/>
    <n v="-388"/>
    <n v="-240"/>
    <n v="40000"/>
  </r>
  <r>
    <x v="2"/>
    <x v="0"/>
    <n v="129610361428"/>
    <n v="70002.27"/>
    <n v="13898819.26"/>
    <x v="0"/>
    <m/>
    <m/>
    <n v="0"/>
    <n v="-741"/>
    <n v="-2912.13"/>
    <n v="-444.6"/>
    <n v="74100.000000000015"/>
  </r>
  <r>
    <x v="2"/>
    <x v="0"/>
    <n v="129038067875"/>
    <n v="8171.1"/>
    <n v="13906990.359999999"/>
    <x v="0"/>
    <m/>
    <m/>
    <n v="0"/>
    <n v="-90"/>
    <n v="-684.9"/>
    <n v="-54"/>
    <n v="9000"/>
  </r>
  <r>
    <x v="2"/>
    <x v="0"/>
    <n v="129038255279"/>
    <n v="12967.18"/>
    <n v="13919957.539999999"/>
    <x v="0"/>
    <m/>
    <m/>
    <n v="0"/>
    <n v="-134"/>
    <n v="-218.42"/>
    <n v="-80.400000000000006"/>
    <n v="13400"/>
  </r>
  <r>
    <x v="2"/>
    <x v="0"/>
    <n v="129611198742"/>
    <n v="20850.02"/>
    <n v="13940807.560000001"/>
    <x v="0"/>
    <m/>
    <m/>
    <n v="0"/>
    <n v="-214"/>
    <n v="-207.58"/>
    <n v="-128.4"/>
    <n v="21400.000000000004"/>
  </r>
  <r>
    <x v="2"/>
    <x v="110"/>
    <n v="129611119996"/>
    <n v="2095.06"/>
    <n v="13942902.619999999"/>
    <x v="0"/>
    <m/>
    <m/>
    <n v="-32.1"/>
    <n v="0"/>
    <n v="0"/>
    <n v="-12.84"/>
    <n v="2140"/>
  </r>
  <r>
    <x v="2"/>
    <x v="0"/>
    <n v="129611514822"/>
    <n v="34587.65"/>
    <n v="13977490.27"/>
    <x v="0"/>
    <m/>
    <m/>
    <n v="0"/>
    <n v="-355"/>
    <n v="-344.35"/>
    <n v="-213"/>
    <n v="35500"/>
  </r>
  <r>
    <x v="2"/>
    <x v="0"/>
    <n v="129611461620"/>
    <n v="14224.78"/>
    <n v="13991715.050000001"/>
    <x v="0"/>
    <m/>
    <m/>
    <n v="0"/>
    <n v="-146"/>
    <n v="-141.62"/>
    <n v="-87.6"/>
    <n v="14600.000000000002"/>
  </r>
  <r>
    <x v="2"/>
    <x v="0"/>
    <n v="129611760024"/>
    <n v="4676.6400000000003"/>
    <n v="13996391.689999999"/>
    <x v="0"/>
    <m/>
    <m/>
    <n v="0"/>
    <n v="-48"/>
    <n v="-46.56"/>
    <n v="-28.8"/>
    <n v="4800.0000000000009"/>
  </r>
  <r>
    <x v="2"/>
    <x v="0"/>
    <n v="129039009389"/>
    <n v="4092.06"/>
    <n v="14000483.75"/>
    <x v="0"/>
    <m/>
    <m/>
    <n v="0"/>
    <n v="-42"/>
    <n v="-40.74"/>
    <n v="-25.2"/>
    <n v="4199.9999999999991"/>
  </r>
  <r>
    <x v="2"/>
    <x v="0"/>
    <n v="129612039128"/>
    <n v="4676.6400000000003"/>
    <n v="14005160.390000001"/>
    <x v="0"/>
    <m/>
    <m/>
    <n v="0"/>
    <n v="-48"/>
    <n v="-46.56"/>
    <n v="-28.8"/>
    <n v="4800.0000000000009"/>
  </r>
  <r>
    <x v="2"/>
    <x v="0"/>
    <n v="129039190217"/>
    <n v="4481.78"/>
    <n v="14009642.17"/>
    <x v="0"/>
    <m/>
    <m/>
    <n v="0"/>
    <n v="-46"/>
    <n v="-44.62"/>
    <n v="-27.6"/>
    <n v="4600"/>
  </r>
  <r>
    <x v="2"/>
    <x v="0"/>
    <n v="129039242257"/>
    <n v="64011.51"/>
    <n v="14073653.68"/>
    <x v="0"/>
    <m/>
    <m/>
    <n v="0"/>
    <n v="-657"/>
    <n v="-637.29"/>
    <n v="-394.2"/>
    <n v="65700"/>
  </r>
  <r>
    <x v="2"/>
    <x v="0"/>
    <n v="129612215634"/>
    <n v="9353.2800000000007"/>
    <n v="14083006.960000001"/>
    <x v="0"/>
    <m/>
    <m/>
    <n v="0"/>
    <n v="-96"/>
    <n v="-93.12"/>
    <n v="-57.6"/>
    <n v="9600.0000000000018"/>
  </r>
  <r>
    <x v="2"/>
    <x v="0"/>
    <n v="129613344728"/>
    <n v="12470.04"/>
    <n v="14095477"/>
    <x v="0"/>
    <m/>
    <m/>
    <n v="0"/>
    <n v="-132"/>
    <n v="-518.76"/>
    <n v="-79.2"/>
    <n v="13200.000000000002"/>
  </r>
  <r>
    <x v="2"/>
    <x v="0"/>
    <n v="129040565267"/>
    <n v="68298.429999999993"/>
    <n v="14163775.43"/>
    <x v="0"/>
    <m/>
    <m/>
    <n v="0"/>
    <n v="-701"/>
    <n v="-679.97"/>
    <n v="-420.6"/>
    <n v="70100"/>
  </r>
  <r>
    <x v="2"/>
    <x v="0"/>
    <n v="129040694001"/>
    <n v="8447.4"/>
    <n v="14172222.83"/>
    <x v="0"/>
    <m/>
    <m/>
    <n v="0"/>
    <n v="-90"/>
    <n v="-408.6"/>
    <n v="-54"/>
    <n v="9000"/>
  </r>
  <r>
    <x v="2"/>
    <x v="0"/>
    <n v="129613766564"/>
    <n v="4505.28"/>
    <n v="14176728.109999999"/>
    <x v="0"/>
    <m/>
    <m/>
    <n v="0"/>
    <n v="-48"/>
    <n v="-217.92"/>
    <n v="-28.8"/>
    <n v="4800"/>
  </r>
  <r>
    <x v="2"/>
    <x v="0"/>
    <n v="129040868883"/>
    <n v="37315.65"/>
    <n v="14214043.76"/>
    <x v="0"/>
    <m/>
    <m/>
    <n v="0"/>
    <n v="-395"/>
    <n v="-1552.35"/>
    <n v="-237"/>
    <n v="39500"/>
  </r>
  <r>
    <x v="2"/>
    <x v="0"/>
    <n v="129613900400"/>
    <n v="9730.41"/>
    <n v="14223774.17"/>
    <x v="0"/>
    <m/>
    <m/>
    <n v="0"/>
    <n v="-103"/>
    <n v="-404.79"/>
    <n v="-61.8"/>
    <n v="10300"/>
  </r>
  <r>
    <x v="2"/>
    <x v="0"/>
    <n v="129613950886"/>
    <n v="16815.66"/>
    <n v="14240589.83"/>
    <x v="0"/>
    <m/>
    <m/>
    <n v="0"/>
    <n v="-178"/>
    <n v="-699.54"/>
    <n v="-106.8"/>
    <n v="17800"/>
  </r>
  <r>
    <x v="11"/>
    <x v="0"/>
    <n v="129041040795"/>
    <n v="100645.19"/>
    <n v="14341235.02"/>
    <x v="0"/>
    <m/>
    <m/>
    <n v="0"/>
    <n v="-1033"/>
    <n v="-1002.01"/>
    <n v="-619.79999999999995"/>
    <n v="103300"/>
  </r>
  <r>
    <x v="11"/>
    <x v="0"/>
    <n v="129041177509"/>
    <n v="35709.660000000003"/>
    <n v="14376944.68"/>
    <x v="0"/>
    <m/>
    <m/>
    <n v="0"/>
    <n v="-378"/>
    <n v="-1485.54"/>
    <n v="-226.8"/>
    <n v="37800.000000000007"/>
  </r>
  <r>
    <x v="11"/>
    <x v="0"/>
    <n v="129041338131"/>
    <n v="46766.400000000001"/>
    <n v="14423711.08"/>
    <x v="0"/>
    <m/>
    <m/>
    <n v="0"/>
    <n v="-480"/>
    <n v="-465.6"/>
    <n v="-288"/>
    <n v="48000"/>
  </r>
  <r>
    <x v="11"/>
    <x v="111"/>
    <n v="129041249333"/>
    <n v="4699.2"/>
    <n v="14428410.279999999"/>
    <x v="0"/>
    <m/>
    <m/>
    <n v="-72"/>
    <n v="0"/>
    <n v="0"/>
    <n v="-28.8"/>
    <n v="4800"/>
  </r>
  <r>
    <x v="11"/>
    <x v="0"/>
    <n v="129041378905"/>
    <n v="34292.61"/>
    <n v="14462702.890000001"/>
    <x v="0"/>
    <m/>
    <m/>
    <n v="0"/>
    <n v="-363"/>
    <n v="-1426.59"/>
    <n v="-217.8"/>
    <n v="36300"/>
  </r>
  <r>
    <x v="11"/>
    <x v="0"/>
    <n v="129041401037"/>
    <n v="8671.27"/>
    <n v="14471374.16"/>
    <x v="0"/>
    <m/>
    <m/>
    <n v="0"/>
    <n v="-89"/>
    <n v="-86.33"/>
    <n v="-53.4"/>
    <n v="8900"/>
  </r>
  <r>
    <x v="11"/>
    <x v="0"/>
    <n v="129614386934"/>
    <n v="44677.36"/>
    <n v="14516051.52"/>
    <x v="0"/>
    <m/>
    <m/>
    <n v="0"/>
    <n v="-476"/>
    <n v="-2161.04"/>
    <n v="-285.60000000000002"/>
    <n v="47600"/>
  </r>
  <r>
    <x v="11"/>
    <x v="0"/>
    <n v="129614525496"/>
    <n v="45792.1"/>
    <n v="14561843.619999999"/>
    <x v="0"/>
    <m/>
    <m/>
    <n v="0"/>
    <n v="-470"/>
    <n v="-455.9"/>
    <n v="-282"/>
    <n v="47000"/>
  </r>
  <r>
    <x v="11"/>
    <x v="112"/>
    <n v="129041627863"/>
    <n v="4601.3"/>
    <n v="14566444.92"/>
    <x v="0"/>
    <m/>
    <m/>
    <n v="-70.5"/>
    <n v="0"/>
    <n v="0"/>
    <n v="-28.2"/>
    <n v="4700"/>
  </r>
  <r>
    <x v="11"/>
    <x v="0"/>
    <n v="129614515948"/>
    <n v="9353.2800000000007"/>
    <n v="14575798.199999999"/>
    <x v="0"/>
    <m/>
    <m/>
    <n v="0"/>
    <n v="-96"/>
    <n v="-93.12"/>
    <n v="-57.6"/>
    <n v="9600.0000000000018"/>
  </r>
  <r>
    <x v="11"/>
    <x v="0"/>
    <n v="129041884973"/>
    <n v="14127.35"/>
    <n v="14589925.550000001"/>
    <x v="0"/>
    <m/>
    <m/>
    <n v="0"/>
    <n v="-145"/>
    <n v="-140.65"/>
    <n v="-87"/>
    <n v="14500"/>
  </r>
  <r>
    <x v="11"/>
    <x v="0"/>
    <n v="129042046381"/>
    <n v="32054.47"/>
    <n v="14621980.02"/>
    <x v="0"/>
    <m/>
    <m/>
    <n v="0"/>
    <n v="-329"/>
    <n v="-319.13"/>
    <n v="-197.4"/>
    <n v="32900"/>
  </r>
  <r>
    <x v="11"/>
    <x v="113"/>
    <n v="129042018715"/>
    <n v="3220.91"/>
    <n v="14625200.93"/>
    <x v="0"/>
    <m/>
    <m/>
    <n v="-49.35"/>
    <n v="0"/>
    <n v="0"/>
    <n v="-19.739999999999998"/>
    <n v="3289.9999999999995"/>
  </r>
  <r>
    <x v="11"/>
    <x v="0"/>
    <n v="129042140311"/>
    <n v="29326.43"/>
    <n v="14654527.359999999"/>
    <x v="0"/>
    <m/>
    <m/>
    <n v="0"/>
    <n v="-301"/>
    <n v="-291.97000000000003"/>
    <n v="-180.6"/>
    <n v="30100"/>
  </r>
  <r>
    <x v="11"/>
    <x v="0"/>
    <n v="129614959172"/>
    <n v="12373.61"/>
    <n v="14666900.970000001"/>
    <x v="0"/>
    <m/>
    <m/>
    <n v="0"/>
    <n v="-127"/>
    <n v="-123.19"/>
    <n v="-76.2"/>
    <n v="12700.000000000002"/>
  </r>
  <r>
    <x v="11"/>
    <x v="0"/>
    <n v="129615274552"/>
    <n v="10035.290000000001"/>
    <n v="14676936.26"/>
    <x v="0"/>
    <m/>
    <m/>
    <n v="0"/>
    <n v="-103"/>
    <n v="-99.91"/>
    <n v="-61.8"/>
    <n v="10300"/>
  </r>
  <r>
    <x v="11"/>
    <x v="0"/>
    <n v="129615263844"/>
    <n v="12665.9"/>
    <n v="14689602.16"/>
    <x v="0"/>
    <m/>
    <m/>
    <n v="0"/>
    <n v="-130"/>
    <n v="-126.1"/>
    <n v="-78"/>
    <n v="13000"/>
  </r>
  <r>
    <x v="11"/>
    <x v="0"/>
    <n v="129042467745"/>
    <n v="23967.78"/>
    <n v="14713569.939999999"/>
    <x v="0"/>
    <m/>
    <m/>
    <n v="0"/>
    <n v="-246"/>
    <n v="-238.62"/>
    <n v="-147.6"/>
    <n v="24599.999999999996"/>
  </r>
  <r>
    <x v="11"/>
    <x v="0"/>
    <n v="129043240467"/>
    <n v="9548.14"/>
    <n v="14723118.08"/>
    <x v="0"/>
    <m/>
    <m/>
    <n v="0"/>
    <n v="-98"/>
    <n v="-95.06"/>
    <n v="-58.8"/>
    <n v="9799.9999999999982"/>
  </r>
  <r>
    <x v="11"/>
    <x v="0"/>
    <n v="129043316565"/>
    <n v="8963.56"/>
    <n v="14732081.640000001"/>
    <x v="0"/>
    <m/>
    <m/>
    <n v="0"/>
    <n v="-92"/>
    <n v="-89.24"/>
    <n v="-55.2"/>
    <n v="9200"/>
  </r>
  <r>
    <x v="11"/>
    <x v="0"/>
    <n v="129043313181"/>
    <n v="49299.58"/>
    <n v="14781381.220000001"/>
    <x v="0"/>
    <m/>
    <m/>
    <n v="0"/>
    <n v="-506"/>
    <n v="-490.82"/>
    <n v="-303.60000000000002"/>
    <n v="50600"/>
  </r>
  <r>
    <x v="11"/>
    <x v="0"/>
    <n v="129043545109"/>
    <n v="8184.12"/>
    <n v="14789565.34"/>
    <x v="0"/>
    <m/>
    <m/>
    <n v="0"/>
    <n v="-84"/>
    <n v="-81.48"/>
    <n v="-50.4"/>
    <n v="8399.9999999999982"/>
  </r>
  <r>
    <x v="11"/>
    <x v="114"/>
    <n v="129616337706"/>
    <n v="411.18"/>
    <n v="14789976.52"/>
    <x v="0"/>
    <m/>
    <m/>
    <n v="-6.3"/>
    <n v="0"/>
    <n v="0"/>
    <n v="-2.52"/>
    <n v="420"/>
  </r>
  <r>
    <x v="11"/>
    <x v="0"/>
    <n v="129043666455"/>
    <n v="8071.96"/>
    <n v="14798048.48"/>
    <x v="0"/>
    <m/>
    <m/>
    <n v="0"/>
    <n v="-86"/>
    <n v="-390.44"/>
    <n v="-51.6"/>
    <n v="8600"/>
  </r>
  <r>
    <x v="11"/>
    <x v="0"/>
    <n v="129043708273"/>
    <n v="86817.93"/>
    <n v="14884866.41"/>
    <x v="0"/>
    <m/>
    <m/>
    <n v="0"/>
    <n v="-919"/>
    <n v="-3611.67"/>
    <n v="-551.4"/>
    <n v="91899.999999999985"/>
  </r>
  <r>
    <x v="11"/>
    <x v="0"/>
    <n v="129043974077"/>
    <n v="25136.94"/>
    <n v="14910003.35"/>
    <x v="0"/>
    <m/>
    <m/>
    <n v="0"/>
    <n v="-258"/>
    <n v="-250.26"/>
    <n v="-154.80000000000001"/>
    <n v="25799.999999999996"/>
  </r>
  <r>
    <x v="11"/>
    <x v="115"/>
    <n v="129044011245"/>
    <n v="1262.9100000000001"/>
    <n v="14911266.26"/>
    <x v="0"/>
    <m/>
    <m/>
    <n v="-19.350000000000001"/>
    <n v="0"/>
    <n v="0"/>
    <n v="-7.74"/>
    <n v="1290"/>
  </r>
  <r>
    <x v="11"/>
    <x v="0"/>
    <n v="129044065429"/>
    <n v="44684.31"/>
    <n v="14955950.57"/>
    <x v="0"/>
    <m/>
    <m/>
    <n v="0"/>
    <n v="-473"/>
    <n v="-1858.89"/>
    <n v="-283.8"/>
    <n v="47300"/>
  </r>
  <r>
    <x v="11"/>
    <x v="0"/>
    <n v="129617259534"/>
    <n v="10327.58"/>
    <n v="14966278.15"/>
    <x v="0"/>
    <m/>
    <m/>
    <n v="0"/>
    <n v="-106"/>
    <n v="-102.82"/>
    <n v="-63.6"/>
    <n v="10600"/>
  </r>
  <r>
    <x v="11"/>
    <x v="0"/>
    <n v="129044322707"/>
    <n v="75292.59"/>
    <n v="15041570.74"/>
    <x v="0"/>
    <m/>
    <m/>
    <n v="0"/>
    <n v="-797"/>
    <n v="-3132.21"/>
    <n v="-478.2"/>
    <n v="79700"/>
  </r>
  <r>
    <x v="11"/>
    <x v="0"/>
    <n v="129044360883"/>
    <n v="36828.54"/>
    <n v="15078399.279999999"/>
    <x v="0"/>
    <m/>
    <m/>
    <n v="0"/>
    <n v="-378"/>
    <n v="-366.66"/>
    <n v="-226.8"/>
    <n v="37800.000000000007"/>
  </r>
  <r>
    <x v="11"/>
    <x v="84"/>
    <n v="129044329247"/>
    <n v="3700.62"/>
    <n v="15082099.9"/>
    <x v="0"/>
    <m/>
    <m/>
    <n v="-56.7"/>
    <n v="0"/>
    <n v="0"/>
    <n v="-22.68"/>
    <n v="3779.9999999999995"/>
  </r>
  <r>
    <x v="11"/>
    <x v="0"/>
    <n v="129044603083"/>
    <n v="16432.990000000002"/>
    <n v="15098532.890000001"/>
    <x v="0"/>
    <m/>
    <m/>
    <n v="0"/>
    <n v="-181"/>
    <n v="-1377.41"/>
    <n v="-108.6"/>
    <n v="18100"/>
  </r>
  <r>
    <x v="11"/>
    <x v="0"/>
    <n v="129045120785"/>
    <n v="126288.89"/>
    <n v="15224821.779999999"/>
    <x v="0"/>
    <m/>
    <m/>
    <n v="0"/>
    <n v="-1391"/>
    <n v="-10585.51"/>
    <n v="-834.6"/>
    <n v="139100"/>
  </r>
  <r>
    <x v="11"/>
    <x v="0"/>
    <n v="129045122761"/>
    <n v="13835.06"/>
    <n v="15238656.84"/>
    <x v="0"/>
    <m/>
    <m/>
    <n v="0"/>
    <n v="-142"/>
    <n v="-137.74"/>
    <n v="-85.2"/>
    <n v="14200"/>
  </r>
  <r>
    <x v="11"/>
    <x v="0"/>
    <n v="129617996694"/>
    <n v="7508.8"/>
    <n v="15246165.640000001"/>
    <x v="0"/>
    <m/>
    <m/>
    <n v="0"/>
    <n v="-80"/>
    <n v="-363.2"/>
    <n v="-48"/>
    <n v="8000"/>
  </r>
  <r>
    <x v="11"/>
    <x v="0"/>
    <n v="129045288133"/>
    <n v="9353.2800000000007"/>
    <n v="15255518.92"/>
    <x v="0"/>
    <m/>
    <m/>
    <n v="0"/>
    <n v="-96"/>
    <n v="-93.12"/>
    <n v="-57.6"/>
    <n v="9600.0000000000018"/>
  </r>
  <r>
    <x v="11"/>
    <x v="0"/>
    <n v="129045319317"/>
    <n v="26890.68"/>
    <n v="15282409.6"/>
    <x v="0"/>
    <m/>
    <m/>
    <n v="0"/>
    <n v="-276"/>
    <n v="-267.72000000000003"/>
    <n v="-165.6"/>
    <n v="27600"/>
  </r>
  <r>
    <x v="11"/>
    <x v="0"/>
    <n v="129045423297"/>
    <n v="14224.78"/>
    <n v="15296634.380000001"/>
    <x v="0"/>
    <m/>
    <m/>
    <n v="0"/>
    <n v="-146"/>
    <n v="-141.62"/>
    <n v="-87.6"/>
    <n v="14600.000000000002"/>
  </r>
  <r>
    <x v="11"/>
    <x v="0"/>
    <n v="129618551002"/>
    <n v="109316.46"/>
    <n v="15405950.84"/>
    <x v="0"/>
    <m/>
    <m/>
    <n v="0"/>
    <n v="-1122"/>
    <n v="-1088.3399999999999"/>
    <n v="-673.2"/>
    <n v="112200"/>
  </r>
  <r>
    <x v="11"/>
    <x v="116"/>
    <n v="129045547407"/>
    <n v="5492.19"/>
    <n v="15411443.029999999"/>
    <x v="0"/>
    <m/>
    <m/>
    <n v="-84.15"/>
    <n v="0"/>
    <n v="0"/>
    <n v="-33.659999999999997"/>
    <n v="5609.9999999999991"/>
  </r>
  <r>
    <x v="11"/>
    <x v="0"/>
    <n v="129618619096"/>
    <n v="9069.1200000000008"/>
    <n v="15420512.15"/>
    <x v="0"/>
    <m/>
    <m/>
    <n v="0"/>
    <n v="-96"/>
    <n v="-377.28"/>
    <n v="-57.6"/>
    <n v="9600.0000000000018"/>
  </r>
  <r>
    <x v="11"/>
    <x v="0"/>
    <n v="129045868221"/>
    <n v="4534.5600000000004"/>
    <n v="15425046.710000001"/>
    <x v="0"/>
    <m/>
    <m/>
    <n v="0"/>
    <n v="-48"/>
    <n v="-188.64"/>
    <n v="-28.8"/>
    <n v="4800.0000000000009"/>
  </r>
  <r>
    <x v="11"/>
    <x v="0"/>
    <n v="129046696415"/>
    <n v="9353.2800000000007"/>
    <n v="15434399.99"/>
    <x v="0"/>
    <m/>
    <m/>
    <n v="0"/>
    <n v="-96"/>
    <n v="-93.12"/>
    <n v="-57.6"/>
    <n v="9600.0000000000018"/>
  </r>
  <r>
    <x v="11"/>
    <x v="0"/>
    <n v="129046863069"/>
    <n v="9548.14"/>
    <n v="15443948.130000001"/>
    <x v="0"/>
    <m/>
    <m/>
    <n v="0"/>
    <n v="-98"/>
    <n v="-95.06"/>
    <n v="-58.8"/>
    <n v="9799.9999999999982"/>
  </r>
  <r>
    <x v="11"/>
    <x v="0"/>
    <n v="129047014463"/>
    <n v="22798.62"/>
    <n v="15466746.75"/>
    <x v="0"/>
    <m/>
    <m/>
    <n v="0"/>
    <n v="-234"/>
    <n v="-226.98"/>
    <n v="-140.4"/>
    <n v="23400"/>
  </r>
  <r>
    <x v="11"/>
    <x v="0"/>
    <n v="129620006666"/>
    <n v="3897.2"/>
    <n v="15470643.949999999"/>
    <x v="0"/>
    <m/>
    <m/>
    <n v="0"/>
    <n v="-40"/>
    <n v="-38.799999999999997"/>
    <n v="-24"/>
    <n v="4000"/>
  </r>
  <r>
    <x v="11"/>
    <x v="0"/>
    <n v="129046984055"/>
    <n v="3754.4"/>
    <n v="15474398.35"/>
    <x v="0"/>
    <m/>
    <m/>
    <n v="0"/>
    <n v="-40"/>
    <n v="-181.6"/>
    <n v="-24"/>
    <n v="4000"/>
  </r>
  <r>
    <x v="11"/>
    <x v="0"/>
    <n v="129047335457"/>
    <n v="17760.36"/>
    <n v="15492158.710000001"/>
    <x v="0"/>
    <m/>
    <m/>
    <n v="0"/>
    <n v="-188"/>
    <n v="-738.84"/>
    <n v="-112.8"/>
    <n v="18800"/>
  </r>
  <r>
    <x v="11"/>
    <x v="0"/>
    <n v="129047936471"/>
    <n v="9743"/>
    <n v="15501901.710000001"/>
    <x v="0"/>
    <m/>
    <m/>
    <n v="0"/>
    <n v="-100"/>
    <n v="-97"/>
    <n v="-60"/>
    <n v="10000"/>
  </r>
  <r>
    <x v="11"/>
    <x v="117"/>
    <n v="129620763756"/>
    <n v="489.5"/>
    <n v="15502391.210000001"/>
    <x v="0"/>
    <m/>
    <m/>
    <n v="-7.5"/>
    <n v="0"/>
    <n v="0"/>
    <n v="-3"/>
    <n v="500"/>
  </r>
  <r>
    <x v="11"/>
    <x v="0"/>
    <n v="129620916788"/>
    <n v="9255.85"/>
    <n v="15511647.060000001"/>
    <x v="0"/>
    <m/>
    <m/>
    <n v="0"/>
    <n v="-95"/>
    <n v="-92.15"/>
    <n v="-57"/>
    <n v="9500"/>
  </r>
  <r>
    <x v="11"/>
    <x v="0"/>
    <n v="129621107146"/>
    <n v="3897.2"/>
    <n v="15515544.26"/>
    <x v="0"/>
    <m/>
    <m/>
    <n v="0"/>
    <n v="-40"/>
    <n v="-38.799999999999997"/>
    <n v="-24"/>
    <n v="4000"/>
  </r>
  <r>
    <x v="11"/>
    <x v="0"/>
    <n v="129621143792"/>
    <n v="10035.290000000001"/>
    <n v="15525579.550000001"/>
    <x v="0"/>
    <m/>
    <m/>
    <n v="0"/>
    <n v="-103"/>
    <n v="-99.91"/>
    <n v="-61.8"/>
    <n v="10300"/>
  </r>
  <r>
    <x v="11"/>
    <x v="0"/>
    <n v="129621179894"/>
    <n v="12860.76"/>
    <n v="15538440.310000001"/>
    <x v="0"/>
    <m/>
    <m/>
    <n v="0"/>
    <n v="-132"/>
    <n v="-128.04"/>
    <n v="-79.2"/>
    <n v="13200.000000000002"/>
  </r>
  <r>
    <x v="11"/>
    <x v="0"/>
    <n v="129048368871"/>
    <n v="15199.08"/>
    <n v="15553639.390000001"/>
    <x v="0"/>
    <m/>
    <m/>
    <n v="0"/>
    <n v="-156"/>
    <n v="-151.32"/>
    <n v="-93.6"/>
    <n v="15600"/>
  </r>
  <r>
    <x v="11"/>
    <x v="0"/>
    <n v="129048444225"/>
    <n v="10257.620000000001"/>
    <n v="15563897.01"/>
    <x v="0"/>
    <m/>
    <m/>
    <n v="0"/>
    <n v="-106"/>
    <n v="-172.78"/>
    <n v="-63.6"/>
    <n v="10600.000000000002"/>
  </r>
  <r>
    <x v="11"/>
    <x v="0"/>
    <n v="129621259702"/>
    <n v="9158.42"/>
    <n v="15573055.43"/>
    <x v="0"/>
    <m/>
    <m/>
    <n v="0"/>
    <n v="-94"/>
    <n v="-91.18"/>
    <n v="-56.4"/>
    <n v="9400"/>
  </r>
  <r>
    <x v="11"/>
    <x v="0"/>
    <n v="129621293638"/>
    <n v="9258.06"/>
    <n v="15582313.49"/>
    <x v="0"/>
    <m/>
    <m/>
    <n v="0"/>
    <n v="-98"/>
    <n v="-385.14"/>
    <n v="-58.8"/>
    <n v="9799.9999999999982"/>
  </r>
  <r>
    <x v="11"/>
    <x v="0"/>
    <n v="129621414226"/>
    <n v="27864.98"/>
    <n v="15610178.470000001"/>
    <x v="0"/>
    <m/>
    <m/>
    <n v="0"/>
    <n v="-286"/>
    <n v="-277.42"/>
    <n v="-171.6"/>
    <n v="28599.999999999996"/>
  </r>
  <r>
    <x v="11"/>
    <x v="0"/>
    <n v="129621426704"/>
    <n v="54853.09"/>
    <n v="15665031.560000001"/>
    <x v="0"/>
    <m/>
    <m/>
    <n v="0"/>
    <n v="-563"/>
    <n v="-546.11"/>
    <n v="-337.8"/>
    <n v="56300"/>
  </r>
  <r>
    <x v="11"/>
    <x v="0"/>
    <n v="129048678585"/>
    <n v="191868.57"/>
    <n v="15856900.130000001"/>
    <x v="0"/>
    <m/>
    <m/>
    <n v="0"/>
    <n v="-2031"/>
    <n v="-7981.83"/>
    <n v="-1218.5999999999999"/>
    <n v="203100"/>
  </r>
  <r>
    <x v="11"/>
    <x v="0"/>
    <n v="129621447690"/>
    <n v="39582.93"/>
    <n v="15896483.060000001"/>
    <x v="0"/>
    <m/>
    <m/>
    <n v="0"/>
    <n v="-419"/>
    <n v="-1646.67"/>
    <n v="-251.4"/>
    <n v="41900"/>
  </r>
  <r>
    <x v="11"/>
    <x v="0"/>
    <n v="129686309290"/>
    <n v="4774.07"/>
    <n v="15901257.130000001"/>
    <x v="0"/>
    <m/>
    <m/>
    <n v="0"/>
    <n v="-49"/>
    <n v="-47.53"/>
    <n v="-29.4"/>
    <n v="4899.9999999999991"/>
  </r>
  <r>
    <x v="11"/>
    <x v="0"/>
    <n v="129117110511"/>
    <n v="12568.47"/>
    <n v="15913825.6"/>
    <x v="0"/>
    <m/>
    <m/>
    <n v="0"/>
    <n v="-129"/>
    <n v="-125.13"/>
    <n v="-77.400000000000006"/>
    <n v="12899.999999999998"/>
  </r>
  <r>
    <x v="11"/>
    <x v="0"/>
    <n v="129117741955"/>
    <n v="18129.28"/>
    <n v="15931954.880000001"/>
    <x v="0"/>
    <m/>
    <m/>
    <n v="0"/>
    <n v="-208"/>
    <n v="-2337.92"/>
    <n v="-124.8"/>
    <n v="20799.999999999996"/>
  </r>
  <r>
    <x v="11"/>
    <x v="0"/>
    <n v="129694991650"/>
    <n v="15115.2"/>
    <n v="15947070.08"/>
    <x v="0"/>
    <m/>
    <m/>
    <n v="0"/>
    <n v="-160"/>
    <n v="-628.79999999999995"/>
    <n v="-96"/>
    <n v="16000"/>
  </r>
  <r>
    <x v="11"/>
    <x v="0"/>
    <n v="129696609972"/>
    <n v="26695.82"/>
    <n v="15973765.9"/>
    <x v="0"/>
    <m/>
    <m/>
    <n v="0"/>
    <n v="-274"/>
    <n v="-265.77999999999997"/>
    <n v="-164.4"/>
    <n v="27400"/>
  </r>
  <r>
    <x v="11"/>
    <x v="0"/>
    <n v="129698242386"/>
    <n v="46006.89"/>
    <n v="16019772.789999999"/>
    <x v="0"/>
    <m/>
    <m/>
    <n v="0"/>
    <n v="-487"/>
    <n v="-1913.91"/>
    <n v="-292.2"/>
    <n v="48700"/>
  </r>
  <r>
    <x v="11"/>
    <x v="0"/>
    <n v="129700170344"/>
    <n v="61290.58"/>
    <n v="16081063.369999999"/>
    <x v="0"/>
    <m/>
    <m/>
    <n v="0"/>
    <n v="-653"/>
    <n v="-2964.62"/>
    <n v="-391.8"/>
    <n v="65300.000000000007"/>
  </r>
  <r>
    <x v="11"/>
    <x v="0"/>
    <n v="129127283837"/>
    <n v="34772.57"/>
    <n v="16115835.939999999"/>
    <x v="0"/>
    <m/>
    <m/>
    <n v="0"/>
    <n v="-383"/>
    <n v="-2914.63"/>
    <n v="-229.8"/>
    <n v="38300"/>
  </r>
  <r>
    <x v="11"/>
    <x v="0"/>
    <n v="129127816699"/>
    <n v="11886.46"/>
    <n v="16127722.4"/>
    <x v="0"/>
    <m/>
    <m/>
    <n v="0"/>
    <n v="-122"/>
    <n v="-118.34"/>
    <n v="-73.2"/>
    <n v="12200"/>
  </r>
  <r>
    <x v="11"/>
    <x v="0"/>
    <n v="129131320825"/>
    <n v="39946.300000000003"/>
    <n v="16167668.699999999"/>
    <x v="0"/>
    <m/>
    <m/>
    <n v="0"/>
    <n v="-410"/>
    <n v="-397.7"/>
    <n v="-246"/>
    <n v="41000"/>
  </r>
  <r>
    <x v="11"/>
    <x v="118"/>
    <n v="129131291041"/>
    <n v="6020.85"/>
    <n v="16173689.550000001"/>
    <x v="0"/>
    <m/>
    <m/>
    <n v="-92.25"/>
    <n v="0"/>
    <n v="0"/>
    <n v="-36.9"/>
    <n v="6150"/>
  </r>
  <r>
    <x v="11"/>
    <x v="0"/>
    <n v="129131301899"/>
    <n v="28059.84"/>
    <n v="16201749.390000001"/>
    <x v="0"/>
    <m/>
    <m/>
    <n v="0"/>
    <n v="-288"/>
    <n v="-279.36"/>
    <n v="-172.8"/>
    <n v="28800"/>
  </r>
  <r>
    <x v="11"/>
    <x v="119"/>
    <n v="129704501978"/>
    <n v="2819.52"/>
    <n v="16204568.91"/>
    <x v="0"/>
    <m/>
    <m/>
    <n v="-43.2"/>
    <n v="0"/>
    <n v="0"/>
    <n v="-17.28"/>
    <n v="2880"/>
  </r>
  <r>
    <x v="11"/>
    <x v="0"/>
    <n v="129131482843"/>
    <n v="24552.36"/>
    <n v="16229121.27"/>
    <x v="0"/>
    <m/>
    <m/>
    <n v="0"/>
    <n v="-252"/>
    <n v="-244.44"/>
    <n v="-151.19999999999999"/>
    <n v="25200"/>
  </r>
  <r>
    <x v="11"/>
    <x v="0"/>
    <n v="129131696927"/>
    <n v="17176.38"/>
    <n v="16246297.65"/>
    <x v="0"/>
    <m/>
    <m/>
    <n v="0"/>
    <n v="-183"/>
    <n v="-830.82"/>
    <n v="-109.8"/>
    <n v="18300"/>
  </r>
  <r>
    <x v="11"/>
    <x v="0"/>
    <n v="129705455082"/>
    <n v="75605.679999999993"/>
    <n v="16321903.33"/>
    <x v="0"/>
    <m/>
    <m/>
    <n v="0"/>
    <n v="-776"/>
    <n v="-752.72"/>
    <n v="-465.6"/>
    <n v="77600"/>
  </r>
  <r>
    <x v="11"/>
    <x v="0"/>
    <n v="129705486752"/>
    <n v="79210.59"/>
    <n v="16401113.92"/>
    <x v="0"/>
    <m/>
    <m/>
    <n v="0"/>
    <n v="-813"/>
    <n v="-788.61"/>
    <n v="-487.8"/>
    <n v="81300"/>
  </r>
  <r>
    <x v="11"/>
    <x v="0"/>
    <n v="129705584190"/>
    <n v="9730.41"/>
    <n v="16410844.33"/>
    <x v="0"/>
    <m/>
    <m/>
    <n v="0"/>
    <n v="-103"/>
    <n v="-404.79"/>
    <n v="-61.8"/>
    <n v="10300"/>
  </r>
  <r>
    <x v="11"/>
    <x v="0"/>
    <n v="129132489041"/>
    <n v="14029.92"/>
    <n v="16424874.25"/>
    <x v="0"/>
    <m/>
    <m/>
    <n v="0"/>
    <n v="-144"/>
    <n v="-139.68"/>
    <n v="-86.4"/>
    <n v="14400"/>
  </r>
  <r>
    <x v="11"/>
    <x v="0"/>
    <n v="129705741726"/>
    <n v="35464.519999999997"/>
    <n v="16460338.77"/>
    <x v="0"/>
    <m/>
    <m/>
    <n v="0"/>
    <n v="-364"/>
    <n v="-353.08"/>
    <n v="-218.4"/>
    <n v="36400"/>
  </r>
  <r>
    <x v="11"/>
    <x v="0"/>
    <n v="129705904234"/>
    <n v="4871.5"/>
    <n v="16465210.27"/>
    <x v="0"/>
    <m/>
    <m/>
    <n v="0"/>
    <n v="-50"/>
    <n v="-48.5"/>
    <n v="-30"/>
    <n v="5000"/>
  </r>
  <r>
    <x v="11"/>
    <x v="120"/>
    <n v="129132696737"/>
    <n v="244.75"/>
    <n v="16465455.02"/>
    <x v="0"/>
    <m/>
    <m/>
    <n v="-3.75"/>
    <n v="0"/>
    <n v="0"/>
    <n v="-1.5"/>
    <n v="250"/>
  </r>
  <r>
    <x v="9"/>
    <x v="0"/>
    <n v="129707362676"/>
    <n v="86907.56"/>
    <n v="16552362.58"/>
    <x v="0"/>
    <m/>
    <m/>
    <n v="0"/>
    <n v="-892"/>
    <n v="-865.24"/>
    <n v="-535.20000000000005"/>
    <n v="89200"/>
  </r>
  <r>
    <x v="9"/>
    <x v="0"/>
    <n v="129709148788"/>
    <n v="18121.98"/>
    <n v="16570484.560000001"/>
    <x v="0"/>
    <m/>
    <m/>
    <n v="0"/>
    <n v="-186"/>
    <n v="-180.42"/>
    <n v="-111.6"/>
    <n v="18599.999999999996"/>
  </r>
  <r>
    <x v="9"/>
    <x v="121"/>
    <n v="129709073862"/>
    <n v="910.47"/>
    <n v="16571395.029999999"/>
    <x v="0"/>
    <m/>
    <m/>
    <n v="-13.95"/>
    <n v="0"/>
    <n v="0"/>
    <n v="-5.58"/>
    <n v="930.00000000000011"/>
  </r>
  <r>
    <x v="9"/>
    <x v="0"/>
    <n v="129710895224"/>
    <n v="14614.5"/>
    <n v="16586009.529999999"/>
    <x v="0"/>
    <m/>
    <m/>
    <n v="0"/>
    <n v="-150"/>
    <n v="-145.5"/>
    <n v="-90"/>
    <n v="15000"/>
  </r>
  <r>
    <x v="9"/>
    <x v="0"/>
    <n v="129710939716"/>
    <n v="38972"/>
    <n v="16624981.529999999"/>
    <x v="0"/>
    <m/>
    <m/>
    <n v="0"/>
    <n v="-400"/>
    <n v="-388"/>
    <n v="-240"/>
    <n v="40000"/>
  </r>
  <r>
    <x v="8"/>
    <x v="9"/>
    <n v="129258131166"/>
    <n v="-197879.97"/>
    <n v="9217883.1099999994"/>
    <x v="1"/>
    <n v="-196699.77137176937"/>
    <n v="-1180.1986282306316"/>
    <n v="0"/>
    <n v="0"/>
    <n v="0"/>
    <n v="-1187.28"/>
    <n v="-197879.97"/>
  </r>
  <r>
    <x v="8"/>
    <x v="122"/>
    <n v="129262467630"/>
    <n v="-857112"/>
    <n v="8293399.0899999999"/>
    <x v="4"/>
    <n v="-852000"/>
    <n v="-5112"/>
    <n v="0"/>
    <n v="0"/>
    <n v="0"/>
    <n v="-5112"/>
    <n v="-852000"/>
  </r>
  <r>
    <x v="8"/>
    <x v="80"/>
    <n v="129264424592"/>
    <n v="-333798.15000000002"/>
    <n v="7959600.9400000004"/>
    <x v="1"/>
    <n v="-331807.30616302189"/>
    <n v="-1990.8438369781361"/>
    <n v="0"/>
    <n v="0"/>
    <n v="0"/>
    <n v="-1990.8438369781361"/>
    <n v="-331807.30616302189"/>
  </r>
  <r>
    <x v="12"/>
    <x v="8"/>
    <n v="129327674841"/>
    <n v="-51378.43"/>
    <n v="14229474.85"/>
    <x v="1"/>
    <n v="-51071.99801192843"/>
    <n v="-306.43198807157023"/>
    <n v="0"/>
    <n v="0"/>
    <n v="0"/>
    <n v="-306.43"/>
    <n v="-51072"/>
  </r>
  <r>
    <x v="13"/>
    <x v="6"/>
    <n v="129462587231"/>
    <n v="-1409.31"/>
    <n v="13716504.550000001"/>
    <x v="2"/>
    <n v="-234885"/>
    <m/>
    <n v="0"/>
    <n v="0"/>
    <n v="0"/>
    <m/>
    <n v="-1409.31"/>
  </r>
  <r>
    <x v="13"/>
    <x v="62"/>
    <n v="129462587231"/>
    <n v="-234885.71"/>
    <n v="13717913.859999999"/>
    <x v="1"/>
    <n v="-233484.80119284292"/>
    <n v="-1400.9088071570732"/>
    <n v="0"/>
    <n v="0"/>
    <n v="0"/>
    <n v="-1409.31"/>
    <n v="-234885.71"/>
  </r>
  <r>
    <x v="14"/>
    <x v="59"/>
    <n v="129567351075"/>
    <n v="-21729.59"/>
    <n v="14268676.689999999"/>
    <x v="1"/>
    <n v="-21599.990059642147"/>
    <n v="-129.59994035785348"/>
    <n v="0"/>
    <n v="0"/>
    <n v="0"/>
    <n v="-129.59994035785348"/>
    <n v="-21599.990059642147"/>
  </r>
  <r>
    <x v="14"/>
    <x v="6"/>
    <n v="129568085939"/>
    <n v="-518.33000000000004"/>
    <n v="13961803.18"/>
    <x v="2"/>
    <n v="-86388.333333333343"/>
    <m/>
    <n v="0"/>
    <n v="0"/>
    <n v="0"/>
    <m/>
    <n v="-518.33000000000004"/>
  </r>
  <r>
    <x v="14"/>
    <x v="9"/>
    <n v="129568085939"/>
    <n v="-86388.25"/>
    <n v="13962321.51"/>
    <x v="1"/>
    <n v="-85873.01192842942"/>
    <n v="-515.23807157058036"/>
    <n v="0"/>
    <n v="0"/>
    <n v="0"/>
    <n v="-518.33000000000004"/>
    <n v="-86388.25"/>
  </r>
  <r>
    <x v="13"/>
    <x v="0"/>
    <n v="129500898477"/>
    <n v="9258.06"/>
    <n v="13725762.609999999"/>
    <x v="0"/>
    <m/>
    <m/>
    <n v="0"/>
    <n v="-98"/>
    <n v="-385.14"/>
    <n v="-58.8"/>
    <n v="9799.9999999999982"/>
  </r>
  <r>
    <x v="13"/>
    <x v="0"/>
    <n v="129509437895"/>
    <n v="4774.07"/>
    <n v="13730536.68"/>
    <x v="0"/>
    <m/>
    <m/>
    <n v="0"/>
    <n v="-49"/>
    <n v="-47.53"/>
    <n v="-29.4"/>
    <n v="4899.9999999999991"/>
  </r>
  <r>
    <x v="13"/>
    <x v="0"/>
    <n v="130086288874"/>
    <n v="37413.120000000003"/>
    <n v="13767949.800000001"/>
    <x v="0"/>
    <m/>
    <m/>
    <n v="0"/>
    <n v="-384"/>
    <n v="-372.48"/>
    <n v="-230.4"/>
    <n v="38400.000000000007"/>
  </r>
  <r>
    <x v="13"/>
    <x v="0"/>
    <n v="130091108900"/>
    <n v="4534.5600000000004"/>
    <n v="13772484.359999999"/>
    <x v="0"/>
    <m/>
    <m/>
    <n v="0"/>
    <n v="-48"/>
    <n v="-188.64"/>
    <n v="-28.8"/>
    <n v="4800.0000000000009"/>
  </r>
  <r>
    <x v="13"/>
    <x v="0"/>
    <n v="129516329095"/>
    <n v="9353.2800000000007"/>
    <n v="13781837.640000001"/>
    <x v="0"/>
    <m/>
    <m/>
    <n v="0"/>
    <n v="-96"/>
    <n v="-93.12"/>
    <n v="-57.6"/>
    <n v="9600.0000000000018"/>
  </r>
  <r>
    <x v="13"/>
    <x v="0"/>
    <n v="129518900805"/>
    <n v="9353.2800000000007"/>
    <n v="13791190.92"/>
    <x v="0"/>
    <m/>
    <m/>
    <n v="0"/>
    <n v="-96"/>
    <n v="-93.12"/>
    <n v="-57.6"/>
    <n v="9600.0000000000018"/>
  </r>
  <r>
    <x v="13"/>
    <x v="0"/>
    <n v="129520478821"/>
    <n v="9353.2800000000007"/>
    <n v="13800544.199999999"/>
    <x v="0"/>
    <m/>
    <m/>
    <n v="0"/>
    <n v="-96"/>
    <n v="-93.12"/>
    <n v="-57.6"/>
    <n v="9600.0000000000018"/>
  </r>
  <r>
    <x v="13"/>
    <x v="0"/>
    <n v="130098735448"/>
    <n v="19270.939999999999"/>
    <n v="13819815.140000001"/>
    <x v="0"/>
    <m/>
    <m/>
    <n v="0"/>
    <n v="-203.99"/>
    <n v="-801.68"/>
    <n v="-122.39"/>
    <n v="20399"/>
  </r>
  <r>
    <x v="13"/>
    <x v="0"/>
    <n v="129524072583"/>
    <n v="11690.63"/>
    <n v="13831505.77"/>
    <x v="0"/>
    <m/>
    <m/>
    <n v="0"/>
    <n v="-119.99"/>
    <n v="-116.39"/>
    <n v="-71.989999999999995"/>
    <n v="11998.999999999998"/>
  </r>
  <r>
    <x v="13"/>
    <x v="0"/>
    <n v="129524869951"/>
    <n v="46762.5"/>
    <n v="13878268.27"/>
    <x v="0"/>
    <m/>
    <m/>
    <n v="0"/>
    <n v="-479.96"/>
    <n v="-465.56"/>
    <n v="-287.98"/>
    <n v="47996"/>
  </r>
  <r>
    <x v="13"/>
    <x v="123"/>
    <n v="129524992737"/>
    <n v="2348.62"/>
    <n v="13880616.890000001"/>
    <x v="0"/>
    <m/>
    <m/>
    <n v="-35.99"/>
    <n v="0"/>
    <n v="0"/>
    <n v="-14.39"/>
    <n v="2398.9999999999995"/>
  </r>
  <r>
    <x v="13"/>
    <x v="0"/>
    <n v="130101335936"/>
    <n v="20609.330000000002"/>
    <n v="13901226.220000001"/>
    <x v="0"/>
    <m/>
    <m/>
    <n v="0"/>
    <n v="-227"/>
    <n v="-1727.47"/>
    <n v="-136.19999999999999"/>
    <n v="22700.000000000004"/>
  </r>
  <r>
    <x v="13"/>
    <x v="0"/>
    <n v="130101623544"/>
    <n v="27690.95"/>
    <n v="13928917.17"/>
    <x v="0"/>
    <m/>
    <m/>
    <n v="0"/>
    <n v="-305"/>
    <n v="-2321.0500000000002"/>
    <n v="-183"/>
    <n v="30500"/>
  </r>
  <r>
    <x v="13"/>
    <x v="0"/>
    <n v="129527828423"/>
    <n v="41611.1"/>
    <n v="13970528.27"/>
    <x v="0"/>
    <m/>
    <m/>
    <n v="0"/>
    <n v="-430"/>
    <n v="-700.9"/>
    <n v="-258"/>
    <n v="43000"/>
  </r>
  <r>
    <x v="13"/>
    <x v="0"/>
    <n v="130104043986"/>
    <n v="15115.2"/>
    <n v="13985643.470000001"/>
    <x v="0"/>
    <m/>
    <m/>
    <n v="0"/>
    <n v="-160"/>
    <n v="-628.79999999999995"/>
    <n v="-96"/>
    <n v="16000"/>
  </r>
  <r>
    <x v="13"/>
    <x v="0"/>
    <n v="129528484869"/>
    <n v="26013.81"/>
    <n v="14011657.279999999"/>
    <x v="0"/>
    <m/>
    <m/>
    <n v="0"/>
    <n v="-267"/>
    <n v="-258.99"/>
    <n v="-160.19999999999999"/>
    <n v="26700.000000000004"/>
  </r>
  <r>
    <x v="13"/>
    <x v="0"/>
    <n v="130104586288"/>
    <n v="65567.47"/>
    <n v="14077224.75"/>
    <x v="0"/>
    <m/>
    <m/>
    <n v="0"/>
    <n v="-672.97"/>
    <n v="-652.78"/>
    <n v="-403.78"/>
    <n v="67297"/>
  </r>
  <r>
    <x v="13"/>
    <x v="124"/>
    <n v="129528646145"/>
    <n v="3293.36"/>
    <n v="14080518.109999999"/>
    <x v="0"/>
    <m/>
    <m/>
    <n v="-50.46"/>
    <n v="0"/>
    <n v="0"/>
    <n v="-20.18"/>
    <n v="3364"/>
  </r>
  <r>
    <x v="13"/>
    <x v="0"/>
    <n v="130104527794"/>
    <n v="26987.14"/>
    <n v="14107505.25"/>
    <x v="0"/>
    <m/>
    <m/>
    <n v="0"/>
    <n v="-276.99"/>
    <n v="-268.68"/>
    <n v="-166.19"/>
    <n v="27699"/>
  </r>
  <r>
    <x v="13"/>
    <x v="125"/>
    <n v="130104581222"/>
    <n v="2710.85"/>
    <n v="14110216.1"/>
    <x v="0"/>
    <m/>
    <m/>
    <n v="-41.54"/>
    <n v="0"/>
    <n v="0"/>
    <n v="-16.61"/>
    <n v="2769"/>
  </r>
  <r>
    <x v="14"/>
    <x v="0"/>
    <n v="130106124388"/>
    <n v="18516.12"/>
    <n v="14128732.220000001"/>
    <x v="0"/>
    <m/>
    <m/>
    <n v="0"/>
    <n v="-196"/>
    <n v="-770.28"/>
    <n v="-117.6"/>
    <n v="19599.999999999996"/>
  </r>
  <r>
    <x v="14"/>
    <x v="0"/>
    <n v="130106306538"/>
    <n v="23381.25"/>
    <n v="14152113.470000001"/>
    <x v="0"/>
    <m/>
    <m/>
    <n v="0"/>
    <n v="-239.98"/>
    <n v="-232.78"/>
    <n v="-143.99"/>
    <n v="23998"/>
  </r>
  <r>
    <x v="14"/>
    <x v="0"/>
    <n v="130106413210"/>
    <n v="23381.25"/>
    <n v="14175494.720000001"/>
    <x v="0"/>
    <m/>
    <m/>
    <n v="0"/>
    <n v="-239.98"/>
    <n v="-232.78"/>
    <n v="-143.99"/>
    <n v="23998"/>
  </r>
  <r>
    <x v="14"/>
    <x v="126"/>
    <n v="129530476693"/>
    <n v="1173.82"/>
    <n v="14176668.539999999"/>
    <x v="0"/>
    <m/>
    <m/>
    <n v="-17.989999999999998"/>
    <n v="0"/>
    <n v="0"/>
    <n v="-7.19"/>
    <n v="1199"/>
  </r>
  <r>
    <x v="14"/>
    <x v="0"/>
    <n v="130106746606"/>
    <n v="47253.55"/>
    <n v="14223922.09"/>
    <x v="0"/>
    <m/>
    <m/>
    <n v="0"/>
    <n v="-485"/>
    <n v="-470.45"/>
    <n v="-291"/>
    <n v="48500"/>
  </r>
  <r>
    <x v="14"/>
    <x v="0"/>
    <n v="129530844735"/>
    <n v="57775.99"/>
    <n v="14281698.08"/>
    <x v="0"/>
    <m/>
    <m/>
    <n v="0"/>
    <n v="-593"/>
    <n v="-575.21"/>
    <n v="-355.8"/>
    <n v="59300"/>
  </r>
  <r>
    <x v="14"/>
    <x v="127"/>
    <n v="129530882263"/>
    <n v="8708.2000000000007"/>
    <n v="14290406.279999999"/>
    <x v="0"/>
    <m/>
    <m/>
    <n v="-133.43"/>
    <n v="0"/>
    <n v="0"/>
    <n v="-53.37"/>
    <n v="8895.0000000000018"/>
  </r>
  <r>
    <x v="14"/>
    <x v="8"/>
    <n v="129600289573"/>
    <n v="-82800.84"/>
    <n v="10922231.869999999"/>
    <x v="1"/>
    <n v="-82306.99801192843"/>
    <n v="-493.84198807156645"/>
    <n v="0"/>
    <n v="0"/>
    <n v="0"/>
    <n v="-493.84"/>
    <n v="-82307"/>
  </r>
  <r>
    <x v="14"/>
    <x v="128"/>
    <n v="129600289573"/>
    <n v="82800.84"/>
    <n v="10436268.18"/>
    <x v="5"/>
    <n v="82306.99801192843"/>
    <n v="493.84198807156645"/>
    <n v="0"/>
    <n v="0"/>
    <n v="0"/>
    <n v="493.84"/>
    <n v="82307"/>
  </r>
  <r>
    <x v="15"/>
    <x v="80"/>
    <n v="129710340317"/>
    <n v="-667219.43999999994"/>
    <n v="11140071.800000001"/>
    <x v="1"/>
    <n v="-663239.99999999988"/>
    <n v="-3979.4400000000605"/>
    <n v="0"/>
    <n v="0"/>
    <n v="0"/>
    <n v="-3979.4400000000605"/>
    <n v="-663239.99999999988"/>
  </r>
  <r>
    <x v="9"/>
    <x v="10"/>
    <n v="129739120808"/>
    <n v="-1247158.32"/>
    <n v="15377823.210000001"/>
    <x v="1"/>
    <n v="-1239720"/>
    <n v="-7438.3200000000652"/>
    <n v="0"/>
    <n v="0"/>
    <n v="0"/>
    <n v="-7438.3200000000652"/>
    <n v="-1239720"/>
  </r>
  <r>
    <x v="13"/>
    <x v="6"/>
    <n v="130014131238"/>
    <n v="-1650.15"/>
    <n v="13952799.57"/>
    <x v="2"/>
    <n v="-275025"/>
    <m/>
    <n v="0"/>
    <n v="0"/>
    <n v="0"/>
    <m/>
    <n v="-1650.15"/>
  </r>
  <r>
    <x v="13"/>
    <x v="7"/>
    <n v="130014131238"/>
    <n v="-275025.13"/>
    <n v="13954449.720000001"/>
    <x v="1"/>
    <n v="-273384.82107355865"/>
    <n v="-1640.3089264413575"/>
    <n v="0"/>
    <n v="0"/>
    <n v="0"/>
    <n v="-1650.15"/>
    <n v="-275025.13"/>
  </r>
  <r>
    <x v="16"/>
    <x v="129"/>
    <n v="130079298437"/>
    <n v="-6069.7"/>
    <n v="13903844.57"/>
    <x v="1"/>
    <n v="-6033.4990059642141"/>
    <n v="-36.200994035785698"/>
    <n v="0"/>
    <n v="0"/>
    <n v="0"/>
    <n v="-36.200994035785698"/>
    <n v="-6033.4990059642141"/>
  </r>
  <r>
    <x v="14"/>
    <x v="6"/>
    <n v="130144715934"/>
    <n v="-966.65"/>
    <n v="13585034.390000001"/>
    <x v="2"/>
    <n v="-161108.33333333331"/>
    <m/>
    <n v="0"/>
    <n v="0"/>
    <n v="0"/>
    <m/>
    <n v="-966.65"/>
  </r>
  <r>
    <x v="14"/>
    <x v="9"/>
    <n v="130144715934"/>
    <n v="-161109"/>
    <n v="13586001.039999999"/>
    <x v="1"/>
    <n v="-160148.11133200795"/>
    <n v="-960.88866799205425"/>
    <n v="0"/>
    <n v="0"/>
    <n v="0"/>
    <n v="-966.65"/>
    <n v="-161109"/>
  </r>
  <r>
    <x v="14"/>
    <x v="64"/>
    <n v="130144971598"/>
    <n v="-219966.93"/>
    <n v="14048709.76"/>
    <x v="1"/>
    <n v="-218655"/>
    <n v="-1311.929999999993"/>
    <n v="0"/>
    <n v="0"/>
    <n v="0"/>
    <n v="-1311.929999999993"/>
    <n v="-218655"/>
  </r>
  <r>
    <x v="14"/>
    <x v="6"/>
    <n v="130145198838"/>
    <n v="-1280.48"/>
    <n v="13747110.039999999"/>
    <x v="2"/>
    <n v="-213413.33333333334"/>
    <m/>
    <n v="0"/>
    <n v="0"/>
    <n v="0"/>
    <m/>
    <n v="-1280.48"/>
  </r>
  <r>
    <x v="14"/>
    <x v="9"/>
    <n v="130145198838"/>
    <n v="-213412.66"/>
    <n v="13748390.52"/>
    <x v="1"/>
    <n v="-212139.82107355865"/>
    <n v="-1272.8389264413563"/>
    <n v="0"/>
    <n v="0"/>
    <n v="0"/>
    <n v="-1280.48"/>
    <n v="-213412.66"/>
  </r>
  <r>
    <x v="17"/>
    <x v="64"/>
    <n v="130164356911"/>
    <n v="-67814.460000000006"/>
    <n v="13812690.91"/>
    <x v="1"/>
    <n v="-67410"/>
    <n v="-404.4600000000064"/>
    <n v="0"/>
    <n v="0"/>
    <n v="0"/>
    <n v="-404.4600000000064"/>
    <n v="-67410"/>
  </r>
  <r>
    <x v="14"/>
    <x v="122"/>
    <n v="130169079748"/>
    <n v="-1428520"/>
    <n v="12156514.390000001"/>
    <x v="4"/>
    <n v="-1420000"/>
    <n v="-8520"/>
    <n v="0"/>
    <n v="0"/>
    <n v="0"/>
    <n v="-8520"/>
    <n v="-1420000"/>
  </r>
  <r>
    <x v="14"/>
    <x v="122"/>
    <n v="130169143516"/>
    <n v="-985880"/>
    <n v="11170634.390000001"/>
    <x v="4"/>
    <n v="-980000"/>
    <n v="-5880"/>
    <n v="0"/>
    <n v="0"/>
    <n v="0"/>
    <n v="-5880"/>
    <n v="-980000"/>
  </r>
  <r>
    <x v="14"/>
    <x v="8"/>
    <n v="130176556044"/>
    <n v="-165601.68"/>
    <n v="11005032.710000001"/>
    <x v="1"/>
    <n v="-164613.99602385686"/>
    <n v="-987.6839761431329"/>
    <n v="0"/>
    <n v="0"/>
    <n v="0"/>
    <n v="-987.68"/>
    <n v="-164614"/>
  </r>
  <r>
    <x v="14"/>
    <x v="128"/>
    <n v="130176556044"/>
    <n v="165601.68"/>
    <n v="10601869.859999999"/>
    <x v="5"/>
    <n v="164613.99602385686"/>
    <n v="987.6839761431329"/>
    <n v="0"/>
    <n v="0"/>
    <n v="0"/>
    <n v="987.68"/>
    <n v="164614"/>
  </r>
  <r>
    <x v="14"/>
    <x v="6"/>
    <n v="130176737204"/>
    <n v="-1198"/>
    <n v="10353467.34"/>
    <x v="2"/>
    <n v="-199666.66666666666"/>
    <m/>
    <n v="0"/>
    <n v="0"/>
    <n v="0"/>
    <m/>
    <n v="-1198"/>
  </r>
  <r>
    <x v="14"/>
    <x v="130"/>
    <n v="130176737204"/>
    <n v="-199666.29"/>
    <n v="10354665.34"/>
    <x v="1"/>
    <n v="-198475.43737574553"/>
    <n v="-1190.8526242544758"/>
    <n v="0"/>
    <n v="0"/>
    <n v="0"/>
    <n v="-1198"/>
    <n v="-199666.29"/>
  </r>
  <r>
    <x v="14"/>
    <x v="0"/>
    <n v="129646290259"/>
    <n v="8184.12"/>
    <n v="10108396.99"/>
    <x v="0"/>
    <m/>
    <m/>
    <n v="0"/>
    <n v="-84"/>
    <n v="-81.48"/>
    <n v="-50.4"/>
    <n v="8399.9999999999982"/>
  </r>
  <r>
    <x v="14"/>
    <x v="0"/>
    <n v="129648915079"/>
    <n v="13640.2"/>
    <n v="10122037.189999999"/>
    <x v="0"/>
    <m/>
    <m/>
    <n v="0"/>
    <n v="-140"/>
    <n v="-135.80000000000001"/>
    <n v="-84"/>
    <n v="14000"/>
  </r>
  <r>
    <x v="14"/>
    <x v="0"/>
    <n v="129649848031"/>
    <n v="4676.6400000000003"/>
    <n v="10126713.83"/>
    <x v="0"/>
    <m/>
    <m/>
    <n v="0"/>
    <n v="-48"/>
    <n v="-46.56"/>
    <n v="-28.8"/>
    <n v="4800.0000000000009"/>
  </r>
  <r>
    <x v="14"/>
    <x v="0"/>
    <n v="129650617159"/>
    <n v="6518.43"/>
    <n v="10133232.26"/>
    <x v="0"/>
    <m/>
    <m/>
    <n v="0"/>
    <n v="-69"/>
    <n v="-271.17"/>
    <n v="-41.4"/>
    <n v="6900"/>
  </r>
  <r>
    <x v="14"/>
    <x v="0"/>
    <n v="129650775843"/>
    <n v="6518.43"/>
    <n v="10139750.689999999"/>
    <x v="0"/>
    <m/>
    <m/>
    <n v="0"/>
    <n v="-69"/>
    <n v="-271.17"/>
    <n v="-41.4"/>
    <n v="6900"/>
  </r>
  <r>
    <x v="14"/>
    <x v="0"/>
    <n v="129651219591"/>
    <n v="5748.37"/>
    <n v="10145499.060000001"/>
    <x v="0"/>
    <m/>
    <m/>
    <n v="0"/>
    <n v="-59"/>
    <n v="-57.23"/>
    <n v="-35.4"/>
    <n v="5899.9999999999991"/>
  </r>
  <r>
    <x v="14"/>
    <x v="0"/>
    <n v="129653680393"/>
    <n v="4286.92"/>
    <n v="10149785.98"/>
    <x v="0"/>
    <m/>
    <m/>
    <n v="0"/>
    <n v="-44"/>
    <n v="-42.68"/>
    <n v="-26.4"/>
    <n v="4400"/>
  </r>
  <r>
    <x v="14"/>
    <x v="0"/>
    <n v="130231645538"/>
    <n v="4676.6400000000003"/>
    <n v="10154462.619999999"/>
    <x v="0"/>
    <m/>
    <m/>
    <n v="0"/>
    <n v="-48"/>
    <n v="-46.56"/>
    <n v="-28.8"/>
    <n v="4800.0000000000009"/>
  </r>
  <r>
    <x v="14"/>
    <x v="0"/>
    <n v="129655379537"/>
    <n v="14029.92"/>
    <n v="10168492.539999999"/>
    <x v="0"/>
    <m/>
    <m/>
    <n v="0"/>
    <n v="-144"/>
    <n v="-139.68"/>
    <n v="-86.4"/>
    <n v="14400"/>
  </r>
  <r>
    <x v="14"/>
    <x v="0"/>
    <n v="129656006133"/>
    <n v="4676.6400000000003"/>
    <n v="10173169.18"/>
    <x v="0"/>
    <m/>
    <m/>
    <n v="0"/>
    <n v="-48"/>
    <n v="-46.56"/>
    <n v="-28.8"/>
    <n v="4800.0000000000009"/>
  </r>
  <r>
    <x v="14"/>
    <x v="0"/>
    <n v="130233045784"/>
    <n v="4357.92"/>
    <n v="10177527.1"/>
    <x v="0"/>
    <m/>
    <m/>
    <n v="0"/>
    <n v="-48"/>
    <n v="-365.28"/>
    <n v="-28.8"/>
    <n v="4800"/>
  </r>
  <r>
    <x v="14"/>
    <x v="0"/>
    <n v="129656171055"/>
    <n v="27475.26"/>
    <n v="10205002.359999999"/>
    <x v="0"/>
    <m/>
    <m/>
    <n v="0"/>
    <n v="-282"/>
    <n v="-273.54000000000002"/>
    <n v="-169.2"/>
    <n v="28200"/>
  </r>
  <r>
    <x v="14"/>
    <x v="0"/>
    <n v="129656635025"/>
    <n v="14029.92"/>
    <n v="10219032.279999999"/>
    <x v="0"/>
    <m/>
    <m/>
    <n v="0"/>
    <n v="-144"/>
    <n v="-139.68"/>
    <n v="-86.4"/>
    <n v="14400"/>
  </r>
  <r>
    <x v="14"/>
    <x v="0"/>
    <n v="130235052390"/>
    <n v="9353.2800000000007"/>
    <n v="10228385.560000001"/>
    <x v="0"/>
    <m/>
    <m/>
    <n v="0"/>
    <n v="-96"/>
    <n v="-93.12"/>
    <n v="-57.6"/>
    <n v="9600.0000000000018"/>
  </r>
  <r>
    <x v="14"/>
    <x v="0"/>
    <n v="130235241138"/>
    <n v="17829.689999999999"/>
    <n v="10246215.25"/>
    <x v="0"/>
    <m/>
    <m/>
    <n v="0"/>
    <n v="-183"/>
    <n v="-177.51"/>
    <n v="-109.8"/>
    <n v="18299.999999999996"/>
  </r>
  <r>
    <x v="14"/>
    <x v="131"/>
    <n v="130235248998"/>
    <n v="895.78"/>
    <n v="10247111.029999999"/>
    <x v="0"/>
    <m/>
    <m/>
    <n v="-13.73"/>
    <n v="0"/>
    <n v="0"/>
    <n v="-5.49"/>
    <n v="915"/>
  </r>
  <r>
    <x v="14"/>
    <x v="0"/>
    <n v="129658725887"/>
    <n v="8184.12"/>
    <n v="10255295.15"/>
    <x v="0"/>
    <m/>
    <m/>
    <n v="0"/>
    <n v="-84"/>
    <n v="-81.48"/>
    <n v="-50.4"/>
    <n v="8399.9999999999982"/>
  </r>
  <r>
    <x v="14"/>
    <x v="0"/>
    <n v="129658736007"/>
    <n v="25234.37"/>
    <n v="10280529.52"/>
    <x v="0"/>
    <m/>
    <m/>
    <n v="0"/>
    <n v="-259"/>
    <n v="-251.23"/>
    <n v="-155.4"/>
    <n v="25900"/>
  </r>
  <r>
    <x v="14"/>
    <x v="0"/>
    <n v="129658824099"/>
    <n v="4676.6400000000003"/>
    <n v="10285206.16"/>
    <x v="0"/>
    <m/>
    <m/>
    <n v="0"/>
    <n v="-48"/>
    <n v="-46.56"/>
    <n v="-28.8"/>
    <n v="4800.0000000000009"/>
  </r>
  <r>
    <x v="14"/>
    <x v="132"/>
    <n v="130235811274"/>
    <n v="469.92"/>
    <n v="10285676.08"/>
    <x v="0"/>
    <m/>
    <m/>
    <n v="-7.2"/>
    <n v="0"/>
    <n v="0"/>
    <n v="-2.88"/>
    <n v="480"/>
  </r>
  <r>
    <x v="14"/>
    <x v="0"/>
    <n v="129658992507"/>
    <n v="20752.59"/>
    <n v="10306428.67"/>
    <x v="0"/>
    <m/>
    <m/>
    <n v="0"/>
    <n v="-213"/>
    <n v="-206.61"/>
    <n v="-127.8"/>
    <n v="21300"/>
  </r>
  <r>
    <x v="14"/>
    <x v="0"/>
    <n v="130236213438"/>
    <n v="12665.9"/>
    <n v="10319094.57"/>
    <x v="0"/>
    <m/>
    <m/>
    <n v="0"/>
    <n v="-130"/>
    <n v="-126.1"/>
    <n v="-78"/>
    <n v="13000"/>
  </r>
  <r>
    <x v="14"/>
    <x v="0"/>
    <n v="130236432300"/>
    <n v="16519.36"/>
    <n v="10335613.93"/>
    <x v="0"/>
    <m/>
    <m/>
    <n v="0"/>
    <n v="-176"/>
    <n v="-799.04"/>
    <n v="-105.6"/>
    <n v="17600"/>
  </r>
  <r>
    <x v="14"/>
    <x v="0"/>
    <n v="130236527594"/>
    <n v="8768.7000000000007"/>
    <n v="10344382.630000001"/>
    <x v="0"/>
    <m/>
    <m/>
    <n v="0"/>
    <n v="-90"/>
    <n v="-87.3"/>
    <n v="-54"/>
    <n v="9000"/>
  </r>
  <r>
    <x v="14"/>
    <x v="0"/>
    <n v="129659852815"/>
    <n v="4676.6400000000003"/>
    <n v="10349059.27"/>
    <x v="0"/>
    <m/>
    <m/>
    <n v="0"/>
    <n v="-48"/>
    <n v="-46.56"/>
    <n v="-28.8"/>
    <n v="4800.0000000000009"/>
  </r>
  <r>
    <x v="14"/>
    <x v="0"/>
    <n v="130237082714"/>
    <n v="13225.8"/>
    <n v="10362285.07"/>
    <x v="0"/>
    <m/>
    <m/>
    <n v="0"/>
    <n v="-140"/>
    <n v="-550.20000000000005"/>
    <n v="-84"/>
    <n v="14000"/>
  </r>
  <r>
    <x v="14"/>
    <x v="0"/>
    <n v="130237347830"/>
    <n v="35426.25"/>
    <n v="10397711.32"/>
    <x v="0"/>
    <m/>
    <m/>
    <n v="0"/>
    <n v="-375"/>
    <n v="-1473.75"/>
    <n v="-225"/>
    <n v="37500"/>
  </r>
  <r>
    <x v="14"/>
    <x v="0"/>
    <n v="130237685842"/>
    <n v="9353.2800000000007"/>
    <n v="10407064.6"/>
    <x v="0"/>
    <m/>
    <m/>
    <n v="0"/>
    <n v="-96"/>
    <n v="-93.12"/>
    <n v="-57.6"/>
    <n v="9600.0000000000018"/>
  </r>
  <r>
    <x v="14"/>
    <x v="0"/>
    <n v="130238444232"/>
    <n v="5358.65"/>
    <n v="10412423.25"/>
    <x v="0"/>
    <m/>
    <m/>
    <n v="0"/>
    <n v="-55"/>
    <n v="-53.35"/>
    <n v="-33"/>
    <n v="5500"/>
  </r>
  <r>
    <x v="14"/>
    <x v="0"/>
    <n v="129661557617"/>
    <n v="13153.05"/>
    <n v="10425576.300000001"/>
    <x v="0"/>
    <m/>
    <m/>
    <n v="0"/>
    <n v="-135"/>
    <n v="-130.94999999999999"/>
    <n v="-81"/>
    <n v="13500"/>
  </r>
  <r>
    <x v="14"/>
    <x v="0"/>
    <n v="129661707693"/>
    <n v="9353.2800000000007"/>
    <n v="10434929.58"/>
    <x v="0"/>
    <m/>
    <m/>
    <n v="0"/>
    <n v="-96"/>
    <n v="-93.12"/>
    <n v="-57.6"/>
    <n v="9600.0000000000018"/>
  </r>
  <r>
    <x v="14"/>
    <x v="0"/>
    <n v="129661865619"/>
    <n v="8963.56"/>
    <n v="10443893.140000001"/>
    <x v="0"/>
    <m/>
    <m/>
    <n v="0"/>
    <n v="-92"/>
    <n v="-89.24"/>
    <n v="-55.2"/>
    <n v="9200"/>
  </r>
  <r>
    <x v="14"/>
    <x v="0"/>
    <n v="130238857554"/>
    <n v="4627.92"/>
    <n v="10448521.060000001"/>
    <x v="0"/>
    <m/>
    <m/>
    <n v="0"/>
    <n v="-47.5"/>
    <n v="-46.08"/>
    <n v="-28.5"/>
    <n v="4750"/>
  </r>
  <r>
    <x v="14"/>
    <x v="0"/>
    <n v="130238877698"/>
    <n v="8963.56"/>
    <n v="10457484.619999999"/>
    <x v="0"/>
    <m/>
    <m/>
    <n v="0"/>
    <n v="-92"/>
    <n v="-89.24"/>
    <n v="-55.2"/>
    <n v="9200"/>
  </r>
  <r>
    <x v="14"/>
    <x v="0"/>
    <n v="129662268807"/>
    <n v="8184.12"/>
    <n v="10465668.74"/>
    <x v="0"/>
    <m/>
    <m/>
    <n v="0"/>
    <n v="-84"/>
    <n v="-81.48"/>
    <n v="-50.4"/>
    <n v="8399.9999999999982"/>
  </r>
  <r>
    <x v="14"/>
    <x v="0"/>
    <n v="130239526198"/>
    <n v="4676.6400000000003"/>
    <n v="10470345.380000001"/>
    <x v="0"/>
    <m/>
    <m/>
    <n v="0"/>
    <n v="-48"/>
    <n v="-46.56"/>
    <n v="-28.8"/>
    <n v="4800.0000000000009"/>
  </r>
  <r>
    <x v="14"/>
    <x v="0"/>
    <n v="130239601260"/>
    <n v="7794.4"/>
    <n v="10478139.779999999"/>
    <x v="0"/>
    <m/>
    <m/>
    <n v="0"/>
    <n v="-80"/>
    <n v="-77.599999999999994"/>
    <n v="-48"/>
    <n v="8000"/>
  </r>
  <r>
    <x v="14"/>
    <x v="0"/>
    <n v="129662993211"/>
    <n v="8259.68"/>
    <n v="10486399.460000001"/>
    <x v="0"/>
    <m/>
    <m/>
    <n v="0"/>
    <n v="-88"/>
    <n v="-399.52"/>
    <n v="-52.8"/>
    <n v="8800"/>
  </r>
  <r>
    <x v="14"/>
    <x v="0"/>
    <n v="129663216957"/>
    <n v="15491.37"/>
    <n v="10501890.83"/>
    <x v="0"/>
    <m/>
    <m/>
    <n v="0"/>
    <n v="-159"/>
    <n v="-154.22999999999999"/>
    <n v="-95.4"/>
    <n v="15900"/>
  </r>
  <r>
    <x v="14"/>
    <x v="0"/>
    <n v="129663343489"/>
    <n v="11691.6"/>
    <n v="10513582.43"/>
    <x v="0"/>
    <m/>
    <m/>
    <n v="0"/>
    <n v="-120"/>
    <n v="-116.4"/>
    <n v="-72"/>
    <n v="12000"/>
  </r>
  <r>
    <x v="14"/>
    <x v="0"/>
    <n v="130240464046"/>
    <n v="20752.59"/>
    <n v="10534335.02"/>
    <x v="0"/>
    <m/>
    <m/>
    <n v="0"/>
    <n v="-213"/>
    <n v="-206.61"/>
    <n v="-127.8"/>
    <n v="21300"/>
  </r>
  <r>
    <x v="14"/>
    <x v="0"/>
    <n v="129663918113"/>
    <n v="14711.93"/>
    <n v="10549046.949999999"/>
    <x v="0"/>
    <m/>
    <m/>
    <n v="0"/>
    <n v="-151"/>
    <n v="-146.47"/>
    <n v="-90.6"/>
    <n v="15100"/>
  </r>
  <r>
    <x v="14"/>
    <x v="133"/>
    <n v="129663813559"/>
    <n v="739.14"/>
    <n v="10549786.09"/>
    <x v="0"/>
    <m/>
    <m/>
    <n v="-11.33"/>
    <n v="0"/>
    <n v="0"/>
    <n v="-4.53"/>
    <n v="755"/>
  </r>
  <r>
    <x v="14"/>
    <x v="0"/>
    <n v="129663962379"/>
    <n v="117013.43"/>
    <n v="10666799.52"/>
    <x v="0"/>
    <m/>
    <m/>
    <n v="0"/>
    <n v="-1201"/>
    <n v="-1164.97"/>
    <n v="-720.6"/>
    <n v="120100"/>
  </r>
  <r>
    <x v="14"/>
    <x v="134"/>
    <n v="130240793762"/>
    <n v="5878.89"/>
    <n v="10672678.41"/>
    <x v="0"/>
    <m/>
    <m/>
    <n v="-90.08"/>
    <n v="0"/>
    <n v="0"/>
    <n v="-36.03"/>
    <n v="6005"/>
  </r>
  <r>
    <x v="14"/>
    <x v="0"/>
    <n v="130240900046"/>
    <n v="18706.560000000001"/>
    <n v="10691384.970000001"/>
    <x v="0"/>
    <m/>
    <m/>
    <n v="0"/>
    <n v="-192"/>
    <n v="-186.24"/>
    <n v="-115.2"/>
    <n v="19200.000000000004"/>
  </r>
  <r>
    <x v="14"/>
    <x v="0"/>
    <n v="129664222459"/>
    <n v="95792.58"/>
    <n v="10787177.550000001"/>
    <x v="0"/>
    <m/>
    <m/>
    <n v="0"/>
    <n v="-1014"/>
    <n v="-3985.02"/>
    <n v="-608.4"/>
    <n v="101400"/>
  </r>
  <r>
    <x v="14"/>
    <x v="0"/>
    <n v="130241438654"/>
    <n v="4092.06"/>
    <n v="10791269.609999999"/>
    <x v="0"/>
    <m/>
    <m/>
    <n v="0"/>
    <n v="-42"/>
    <n v="-40.74"/>
    <n v="-25.2"/>
    <n v="4199.9999999999991"/>
  </r>
  <r>
    <x v="14"/>
    <x v="0"/>
    <n v="130241731324"/>
    <n v="11886.46"/>
    <n v="10803156.07"/>
    <x v="0"/>
    <m/>
    <m/>
    <n v="0"/>
    <n v="-122"/>
    <n v="-118.34"/>
    <n v="-73.2"/>
    <n v="12200"/>
  </r>
  <r>
    <x v="14"/>
    <x v="0"/>
    <n v="129664922167"/>
    <n v="39848.870000000003"/>
    <n v="10843004.939999999"/>
    <x v="0"/>
    <m/>
    <m/>
    <n v="0"/>
    <n v="-409"/>
    <n v="-396.73"/>
    <n v="-245.4"/>
    <n v="40900.000000000007"/>
  </r>
  <r>
    <x v="15"/>
    <x v="0"/>
    <n v="129665013047"/>
    <n v="17431.68"/>
    <n v="10860436.619999999"/>
    <x v="0"/>
    <m/>
    <m/>
    <n v="0"/>
    <n v="-192"/>
    <n v="-1461.12"/>
    <n v="-115.2"/>
    <n v="19200"/>
  </r>
  <r>
    <x v="15"/>
    <x v="0"/>
    <n v="130242353180"/>
    <n v="19837.849999999999"/>
    <n v="10880274.470000001"/>
    <x v="0"/>
    <m/>
    <m/>
    <n v="0"/>
    <n v="-205"/>
    <n v="-334.15"/>
    <n v="-123"/>
    <n v="20500"/>
  </r>
  <r>
    <x v="15"/>
    <x v="0"/>
    <n v="129665646917"/>
    <n v="3897.2"/>
    <n v="10884171.67"/>
    <x v="0"/>
    <m/>
    <m/>
    <n v="0"/>
    <n v="-40"/>
    <n v="-38.799999999999997"/>
    <n v="-24"/>
    <n v="4000"/>
  </r>
  <r>
    <x v="15"/>
    <x v="0"/>
    <n v="129665679145"/>
    <n v="6423.96"/>
    <n v="10890595.630000001"/>
    <x v="0"/>
    <m/>
    <m/>
    <n v="0"/>
    <n v="-68"/>
    <n v="-267.24"/>
    <n v="-40.799999999999997"/>
    <n v="6800"/>
  </r>
  <r>
    <x v="15"/>
    <x v="0"/>
    <n v="130242682206"/>
    <n v="47156.12"/>
    <n v="10937751.75"/>
    <x v="0"/>
    <m/>
    <m/>
    <n v="0"/>
    <n v="-484"/>
    <n v="-469.48"/>
    <n v="-290.39999999999998"/>
    <n v="48400.000000000007"/>
  </r>
  <r>
    <x v="15"/>
    <x v="135"/>
    <n v="129665744315"/>
    <n v="2369.1799999999998"/>
    <n v="10940120.93"/>
    <x v="0"/>
    <m/>
    <m/>
    <n v="-36.299999999999997"/>
    <n v="0"/>
    <n v="0"/>
    <n v="-14.52"/>
    <n v="2420"/>
  </r>
  <r>
    <x v="15"/>
    <x v="0"/>
    <n v="129665788341"/>
    <n v="13445.34"/>
    <n v="10953566.27"/>
    <x v="0"/>
    <m/>
    <m/>
    <n v="0"/>
    <n v="-138"/>
    <n v="-133.86000000000001"/>
    <n v="-82.8"/>
    <n v="13800"/>
  </r>
  <r>
    <x v="15"/>
    <x v="0"/>
    <n v="130242872800"/>
    <n v="13250.48"/>
    <n v="10966816.75"/>
    <x v="0"/>
    <m/>
    <m/>
    <n v="0"/>
    <n v="-136"/>
    <n v="-131.91999999999999"/>
    <n v="-81.599999999999994"/>
    <n v="13600"/>
  </r>
  <r>
    <x v="15"/>
    <x v="0"/>
    <n v="130243088256"/>
    <n v="4156.68"/>
    <n v="10970973.43"/>
    <x v="0"/>
    <m/>
    <m/>
    <n v="0"/>
    <n v="-44"/>
    <n v="-172.92"/>
    <n v="-26.4"/>
    <n v="4400"/>
  </r>
  <r>
    <x v="15"/>
    <x v="0"/>
    <n v="130243178826"/>
    <n v="20168.009999999998"/>
    <n v="10991141.439999999"/>
    <x v="0"/>
    <m/>
    <m/>
    <n v="0"/>
    <n v="-207"/>
    <n v="-200.79"/>
    <n v="-124.2"/>
    <n v="20700"/>
  </r>
  <r>
    <x v="15"/>
    <x v="0"/>
    <n v="130243259208"/>
    <n v="21434.6"/>
    <n v="11012576.039999999"/>
    <x v="0"/>
    <m/>
    <m/>
    <n v="0"/>
    <n v="-220"/>
    <n v="-213.4"/>
    <n v="-132"/>
    <n v="22000"/>
  </r>
  <r>
    <x v="15"/>
    <x v="0"/>
    <n v="130243432840"/>
    <n v="10717.3"/>
    <n v="11023293.34"/>
    <x v="0"/>
    <m/>
    <m/>
    <n v="0"/>
    <n v="-110"/>
    <n v="-106.7"/>
    <n v="-66"/>
    <n v="11000"/>
  </r>
  <r>
    <x v="15"/>
    <x v="0"/>
    <n v="130243580586"/>
    <n v="28741.85"/>
    <n v="11052035.189999999"/>
    <x v="0"/>
    <m/>
    <m/>
    <n v="0"/>
    <n v="-295"/>
    <n v="-286.14999999999998"/>
    <n v="-177"/>
    <n v="29500"/>
  </r>
  <r>
    <x v="15"/>
    <x v="0"/>
    <n v="129666703035"/>
    <n v="10327.58"/>
    <n v="11062362.77"/>
    <x v="0"/>
    <m/>
    <m/>
    <n v="0"/>
    <n v="-106"/>
    <n v="-102.82"/>
    <n v="-63.6"/>
    <n v="10600"/>
  </r>
  <r>
    <x v="15"/>
    <x v="0"/>
    <n v="129666911033"/>
    <n v="78041.429999999993"/>
    <n v="11140404.199999999"/>
    <x v="0"/>
    <m/>
    <m/>
    <n v="0"/>
    <n v="-801"/>
    <n v="-776.97"/>
    <n v="-480.6"/>
    <n v="80100"/>
  </r>
  <r>
    <x v="15"/>
    <x v="0"/>
    <n v="129667056931"/>
    <n v="5845.8"/>
    <n v="11146250"/>
    <x v="0"/>
    <m/>
    <m/>
    <n v="0"/>
    <n v="-60"/>
    <n v="-58.2"/>
    <n v="-36"/>
    <n v="6000"/>
  </r>
  <r>
    <x v="15"/>
    <x v="0"/>
    <n v="129667302525"/>
    <n v="8573.84"/>
    <n v="11154823.84"/>
    <x v="0"/>
    <m/>
    <m/>
    <n v="0"/>
    <n v="-88"/>
    <n v="-85.36"/>
    <n v="-52.8"/>
    <n v="8800"/>
  </r>
  <r>
    <x v="15"/>
    <x v="0"/>
    <n v="130244117942"/>
    <n v="19429.02"/>
    <n v="11174252.859999999"/>
    <x v="0"/>
    <m/>
    <m/>
    <n v="0"/>
    <n v="-207"/>
    <n v="-939.78"/>
    <n v="-124.2"/>
    <n v="20700"/>
  </r>
  <r>
    <x v="15"/>
    <x v="0"/>
    <n v="129667297475"/>
    <n v="7508.8"/>
    <n v="11181761.66"/>
    <x v="0"/>
    <m/>
    <m/>
    <n v="0"/>
    <n v="-80"/>
    <n v="-363.2"/>
    <n v="-48"/>
    <n v="8000"/>
  </r>
  <r>
    <x v="15"/>
    <x v="0"/>
    <n v="130244627434"/>
    <n v="4251.1499999999996"/>
    <n v="11186012.810000001"/>
    <x v="0"/>
    <m/>
    <m/>
    <n v="0"/>
    <n v="-45"/>
    <n v="-176.85"/>
    <n v="-27"/>
    <n v="4500"/>
  </r>
  <r>
    <x v="15"/>
    <x v="0"/>
    <n v="129667759013"/>
    <n v="19147.439999999999"/>
    <n v="11205160.25"/>
    <x v="0"/>
    <m/>
    <m/>
    <n v="0"/>
    <n v="-204"/>
    <n v="-926.16"/>
    <n v="-122.4"/>
    <n v="20400"/>
  </r>
  <r>
    <x v="15"/>
    <x v="0"/>
    <n v="130245490130"/>
    <n v="4035.98"/>
    <n v="11209196.23"/>
    <x v="0"/>
    <m/>
    <m/>
    <n v="0"/>
    <n v="-43"/>
    <n v="-195.22"/>
    <n v="-25.8"/>
    <n v="4300"/>
  </r>
  <r>
    <x v="15"/>
    <x v="0"/>
    <n v="130245537370"/>
    <n v="8447.4"/>
    <n v="11217643.630000001"/>
    <x v="0"/>
    <m/>
    <m/>
    <n v="0"/>
    <n v="-90"/>
    <n v="-408.6"/>
    <n v="-54"/>
    <n v="9000"/>
  </r>
  <r>
    <x v="15"/>
    <x v="0"/>
    <n v="129668822791"/>
    <n v="7794.4"/>
    <n v="11225438.029999999"/>
    <x v="0"/>
    <m/>
    <m/>
    <n v="0"/>
    <n v="-80"/>
    <n v="-77.599999999999994"/>
    <n v="-48"/>
    <n v="8000"/>
  </r>
  <r>
    <x v="15"/>
    <x v="0"/>
    <n v="130245840846"/>
    <n v="79795.17"/>
    <n v="11305233.199999999"/>
    <x v="0"/>
    <m/>
    <m/>
    <n v="0"/>
    <n v="-819"/>
    <n v="-794.43"/>
    <n v="-491.4"/>
    <n v="81899.999999999985"/>
  </r>
  <r>
    <x v="15"/>
    <x v="0"/>
    <n v="129668875591"/>
    <n v="12081.32"/>
    <n v="11317314.52"/>
    <x v="0"/>
    <m/>
    <m/>
    <n v="0"/>
    <n v="-124"/>
    <n v="-120.28"/>
    <n v="-74.400000000000006"/>
    <n v="12400"/>
  </r>
  <r>
    <x v="15"/>
    <x v="0"/>
    <n v="129669344853"/>
    <n v="7794.4"/>
    <n v="11325108.92"/>
    <x v="0"/>
    <m/>
    <m/>
    <n v="0"/>
    <n v="-80"/>
    <n v="-77.599999999999994"/>
    <n v="-48"/>
    <n v="8000"/>
  </r>
  <r>
    <x v="15"/>
    <x v="0"/>
    <n v="129669379157"/>
    <n v="11399.31"/>
    <n v="11336508.23"/>
    <x v="0"/>
    <m/>
    <m/>
    <n v="0"/>
    <n v="-117"/>
    <n v="-113.49"/>
    <n v="-70.2"/>
    <n v="11700"/>
  </r>
  <r>
    <x v="15"/>
    <x v="0"/>
    <n v="130246425270"/>
    <n v="9353.2800000000007"/>
    <n v="11345861.51"/>
    <x v="0"/>
    <m/>
    <m/>
    <n v="0"/>
    <n v="-96"/>
    <n v="-93.12"/>
    <n v="-57.6"/>
    <n v="9600.0000000000018"/>
  </r>
  <r>
    <x v="15"/>
    <x v="0"/>
    <n v="130246469118"/>
    <n v="24656.67"/>
    <n v="11370518.18"/>
    <x v="0"/>
    <m/>
    <m/>
    <n v="0"/>
    <n v="-261"/>
    <n v="-1025.73"/>
    <n v="-156.6"/>
    <n v="26099.999999999996"/>
  </r>
  <r>
    <x v="15"/>
    <x v="0"/>
    <n v="129669964271"/>
    <n v="12081.32"/>
    <n v="11382599.5"/>
    <x v="0"/>
    <m/>
    <m/>
    <n v="0"/>
    <n v="-124"/>
    <n v="-120.28"/>
    <n v="-74.400000000000006"/>
    <n v="12400"/>
  </r>
  <r>
    <x v="15"/>
    <x v="19"/>
    <n v="129669964271"/>
    <n v="-12081.32"/>
    <n v="11370518.18"/>
    <x v="0"/>
    <m/>
    <m/>
    <n v="0"/>
    <n v="124"/>
    <n v="120.28"/>
    <n v="74.400000000000006"/>
    <n v="-12400"/>
  </r>
  <r>
    <x v="15"/>
    <x v="0"/>
    <n v="129669927047"/>
    <n v="8184.12"/>
    <n v="11378702.300000001"/>
    <x v="0"/>
    <m/>
    <m/>
    <n v="0"/>
    <n v="-84"/>
    <n v="-81.48"/>
    <n v="-50.4"/>
    <n v="8399.9999999999982"/>
  </r>
  <r>
    <x v="15"/>
    <x v="0"/>
    <n v="130247086718"/>
    <n v="4676.6400000000003"/>
    <n v="11383378.939999999"/>
    <x v="0"/>
    <m/>
    <m/>
    <n v="0"/>
    <n v="-48"/>
    <n v="-46.56"/>
    <n v="-28.8"/>
    <n v="4800.0000000000009"/>
  </r>
  <r>
    <x v="15"/>
    <x v="0"/>
    <n v="130247030066"/>
    <n v="13542.77"/>
    <n v="11396921.710000001"/>
    <x v="0"/>
    <m/>
    <m/>
    <n v="0"/>
    <n v="-139"/>
    <n v="-134.83000000000001"/>
    <n v="-83.4"/>
    <n v="13900"/>
  </r>
  <r>
    <x v="15"/>
    <x v="0"/>
    <n v="130247117566"/>
    <n v="21434.6"/>
    <n v="11418356.310000001"/>
    <x v="0"/>
    <m/>
    <m/>
    <n v="0"/>
    <n v="-220"/>
    <n v="-213.4"/>
    <n v="-132"/>
    <n v="22000"/>
  </r>
  <r>
    <x v="15"/>
    <x v="0"/>
    <n v="129670229407"/>
    <n v="13835.06"/>
    <n v="11432191.369999999"/>
    <x v="0"/>
    <m/>
    <m/>
    <n v="0"/>
    <n v="-142"/>
    <n v="-137.74"/>
    <n v="-85.2"/>
    <n v="14200"/>
  </r>
  <r>
    <x v="15"/>
    <x v="0"/>
    <n v="130247304740"/>
    <n v="30505.439999999999"/>
    <n v="11462696.810000001"/>
    <x v="0"/>
    <m/>
    <m/>
    <n v="0"/>
    <n v="-336"/>
    <n v="-2556.96"/>
    <n v="-201.6"/>
    <n v="33600"/>
  </r>
  <r>
    <x v="15"/>
    <x v="0"/>
    <n v="130247329100"/>
    <n v="10324.6"/>
    <n v="11473021.41"/>
    <x v="0"/>
    <m/>
    <m/>
    <n v="0"/>
    <n v="-110"/>
    <n v="-499.4"/>
    <n v="-66"/>
    <n v="11000"/>
  </r>
  <r>
    <x v="15"/>
    <x v="0"/>
    <n v="130247568172"/>
    <n v="3942.12"/>
    <n v="11476963.529999999"/>
    <x v="0"/>
    <m/>
    <m/>
    <n v="0"/>
    <n v="-42"/>
    <n v="-190.68"/>
    <n v="-25.2"/>
    <n v="4200"/>
  </r>
  <r>
    <x v="15"/>
    <x v="0"/>
    <n v="129670391921"/>
    <n v="9450.7099999999991"/>
    <n v="11486414.24"/>
    <x v="0"/>
    <m/>
    <m/>
    <n v="0"/>
    <n v="-97"/>
    <n v="-94.09"/>
    <n v="-58.2"/>
    <n v="9700"/>
  </r>
  <r>
    <x v="15"/>
    <x v="0"/>
    <n v="129670591855"/>
    <n v="75995.399999999994"/>
    <n v="11562409.640000001"/>
    <x v="0"/>
    <m/>
    <m/>
    <n v="0"/>
    <n v="-780"/>
    <n v="-756.6"/>
    <n v="-468"/>
    <n v="78000"/>
  </r>
  <r>
    <x v="15"/>
    <x v="0"/>
    <n v="130247812692"/>
    <n v="5358.65"/>
    <n v="11567768.289999999"/>
    <x v="0"/>
    <m/>
    <m/>
    <n v="0"/>
    <n v="-55"/>
    <n v="-53.35"/>
    <n v="-33"/>
    <n v="5500"/>
  </r>
  <r>
    <x v="15"/>
    <x v="0"/>
    <n v="130247751270"/>
    <n v="4676.6400000000003"/>
    <n v="11572444.93"/>
    <x v="0"/>
    <m/>
    <m/>
    <n v="0"/>
    <n v="-48"/>
    <n v="-46.56"/>
    <n v="-28.8"/>
    <n v="4800.0000000000009"/>
  </r>
  <r>
    <x v="15"/>
    <x v="0"/>
    <n v="130248036304"/>
    <n v="36146.53"/>
    <n v="11608591.460000001"/>
    <x v="0"/>
    <m/>
    <m/>
    <n v="0"/>
    <n v="-371"/>
    <n v="-359.87"/>
    <n v="-222.6"/>
    <n v="37100"/>
  </r>
  <r>
    <x v="15"/>
    <x v="0"/>
    <n v="129670937377"/>
    <n v="18219.41"/>
    <n v="11626810.869999999"/>
    <x v="0"/>
    <m/>
    <m/>
    <n v="0"/>
    <n v="-187"/>
    <n v="-181.39"/>
    <n v="-112.2"/>
    <n v="18700"/>
  </r>
  <r>
    <x v="15"/>
    <x v="0"/>
    <n v="130248023924"/>
    <n v="8963.56"/>
    <n v="11635774.43"/>
    <x v="0"/>
    <m/>
    <m/>
    <n v="0"/>
    <n v="-92"/>
    <n v="-89.24"/>
    <n v="-55.2"/>
    <n v="9200"/>
  </r>
  <r>
    <x v="15"/>
    <x v="0"/>
    <n v="129671157781"/>
    <n v="10391.700000000001"/>
    <n v="11646166.130000001"/>
    <x v="0"/>
    <m/>
    <m/>
    <n v="0"/>
    <n v="-110"/>
    <n v="-432.3"/>
    <n v="-66"/>
    <n v="11000"/>
  </r>
  <r>
    <x v="15"/>
    <x v="0"/>
    <n v="130248316942"/>
    <n v="5358.65"/>
    <n v="11651524.779999999"/>
    <x v="0"/>
    <m/>
    <m/>
    <n v="0"/>
    <n v="-55"/>
    <n v="-53.35"/>
    <n v="-33"/>
    <n v="5500"/>
  </r>
  <r>
    <x v="15"/>
    <x v="0"/>
    <n v="129671797275"/>
    <n v="5358.65"/>
    <n v="11656883.43"/>
    <x v="0"/>
    <m/>
    <m/>
    <n v="0"/>
    <n v="-55"/>
    <n v="-53.35"/>
    <n v="-33"/>
    <n v="5500"/>
  </r>
  <r>
    <x v="15"/>
    <x v="0"/>
    <n v="130248763394"/>
    <n v="15588.8"/>
    <n v="11672472.23"/>
    <x v="0"/>
    <m/>
    <m/>
    <n v="0"/>
    <n v="-160"/>
    <n v="-155.19999999999999"/>
    <n v="-96"/>
    <n v="16000"/>
  </r>
  <r>
    <x v="15"/>
    <x v="0"/>
    <n v="129671936945"/>
    <n v="4676.6400000000003"/>
    <n v="11677148.869999999"/>
    <x v="0"/>
    <m/>
    <m/>
    <n v="0"/>
    <n v="-48"/>
    <n v="-46.56"/>
    <n v="-28.8"/>
    <n v="4800.0000000000009"/>
  </r>
  <r>
    <x v="15"/>
    <x v="0"/>
    <n v="129671929721"/>
    <n v="25331.8"/>
    <n v="11702480.67"/>
    <x v="0"/>
    <m/>
    <m/>
    <n v="0"/>
    <n v="-260"/>
    <n v="-252.2"/>
    <n v="-156"/>
    <n v="26000"/>
  </r>
  <r>
    <x v="15"/>
    <x v="0"/>
    <n v="130249595876"/>
    <n v="13515.84"/>
    <n v="11715996.51"/>
    <x v="0"/>
    <m/>
    <m/>
    <n v="0"/>
    <n v="-144"/>
    <n v="-653.76"/>
    <n v="-86.4"/>
    <n v="14400"/>
  </r>
  <r>
    <x v="15"/>
    <x v="0"/>
    <n v="129672790911"/>
    <n v="24260.07"/>
    <n v="11740256.58"/>
    <x v="0"/>
    <m/>
    <m/>
    <n v="0"/>
    <n v="-249"/>
    <n v="-241.53"/>
    <n v="-149.4"/>
    <n v="24900"/>
  </r>
  <r>
    <x v="15"/>
    <x v="0"/>
    <n v="130249957450"/>
    <n v="17732.259999999998"/>
    <n v="11757988.84"/>
    <x v="0"/>
    <m/>
    <m/>
    <n v="0"/>
    <n v="-182"/>
    <n v="-176.54"/>
    <n v="-109.2"/>
    <n v="18200"/>
  </r>
  <r>
    <x v="15"/>
    <x v="0"/>
    <n v="129673252193"/>
    <n v="11691.6"/>
    <n v="11769680.439999999"/>
    <x v="0"/>
    <m/>
    <m/>
    <n v="0"/>
    <n v="-120"/>
    <n v="-116.4"/>
    <n v="-72"/>
    <n v="12000"/>
  </r>
  <r>
    <x v="15"/>
    <x v="136"/>
    <n v="130250135054"/>
    <n v="587.4"/>
    <n v="11770267.84"/>
    <x v="0"/>
    <m/>
    <m/>
    <n v="-9"/>
    <n v="0"/>
    <n v="0"/>
    <n v="-3.6"/>
    <n v="600"/>
  </r>
  <r>
    <x v="15"/>
    <x v="0"/>
    <n v="129673278321"/>
    <n v="37023.4"/>
    <n v="11807291.24"/>
    <x v="0"/>
    <m/>
    <m/>
    <n v="0"/>
    <n v="-380"/>
    <n v="-368.6"/>
    <n v="-228"/>
    <n v="38000"/>
  </r>
  <r>
    <x v="14"/>
    <x v="8"/>
    <n v="130177050648"/>
    <n v="-367900.24"/>
    <n v="10554331.630000001"/>
    <x v="1"/>
    <n v="-365706.00397614314"/>
    <n v="-2194.2360238568508"/>
    <n v="0"/>
    <n v="0"/>
    <n v="0"/>
    <n v="-2194.2399999999998"/>
    <n v="-365706"/>
  </r>
  <r>
    <x v="15"/>
    <x v="0"/>
    <n v="130353705012"/>
    <n v="9353.2800000000007"/>
    <n v="11149425.08"/>
    <x v="0"/>
    <m/>
    <m/>
    <n v="0"/>
    <n v="-96"/>
    <n v="-93.12"/>
    <n v="-57.6"/>
    <n v="9600.0000000000018"/>
  </r>
  <r>
    <x v="15"/>
    <x v="137"/>
    <n v="130353760104"/>
    <n v="469.92"/>
    <n v="11149895"/>
    <x v="0"/>
    <m/>
    <m/>
    <n v="-7.2"/>
    <n v="0"/>
    <n v="0"/>
    <n v="-2.88"/>
    <n v="480"/>
  </r>
  <r>
    <x v="15"/>
    <x v="0"/>
    <n v="129778116759"/>
    <n v="15870.96"/>
    <n v="11165765.960000001"/>
    <x v="0"/>
    <m/>
    <m/>
    <n v="0"/>
    <n v="-168"/>
    <n v="-660.24"/>
    <n v="-100.8"/>
    <n v="16800"/>
  </r>
  <r>
    <x v="15"/>
    <x v="0"/>
    <n v="130358126868"/>
    <n v="9353.2800000000007"/>
    <n v="11175119.24"/>
    <x v="0"/>
    <m/>
    <m/>
    <n v="0"/>
    <n v="-96"/>
    <n v="-93.12"/>
    <n v="-57.6"/>
    <n v="9600.0000000000018"/>
  </r>
  <r>
    <x v="15"/>
    <x v="0"/>
    <n v="130361293554"/>
    <n v="4357.92"/>
    <n v="11179477.16"/>
    <x v="0"/>
    <m/>
    <m/>
    <n v="0"/>
    <n v="-48"/>
    <n v="-365.28"/>
    <n v="-28.8"/>
    <n v="4800"/>
  </r>
  <r>
    <x v="15"/>
    <x v="0"/>
    <n v="129784003071"/>
    <n v="15588.8"/>
    <n v="11195065.960000001"/>
    <x v="0"/>
    <m/>
    <m/>
    <n v="0"/>
    <n v="-160"/>
    <n v="-155.19999999999999"/>
    <n v="-96"/>
    <n v="16000"/>
  </r>
  <r>
    <x v="15"/>
    <x v="0"/>
    <n v="130361946326"/>
    <n v="4676.6400000000003"/>
    <n v="11199742.6"/>
    <x v="0"/>
    <m/>
    <m/>
    <n v="0"/>
    <n v="-48"/>
    <n v="-46.56"/>
    <n v="-28.8"/>
    <n v="4800.0000000000009"/>
  </r>
  <r>
    <x v="15"/>
    <x v="138"/>
    <n v="130361845382"/>
    <n v="234.96"/>
    <n v="11199977.560000001"/>
    <x v="0"/>
    <m/>
    <m/>
    <n v="-3.6"/>
    <n v="0"/>
    <n v="0"/>
    <n v="-1.44"/>
    <n v="240"/>
  </r>
  <r>
    <x v="15"/>
    <x v="0"/>
    <n v="129785020933"/>
    <n v="18511.7"/>
    <n v="11218489.26"/>
    <x v="0"/>
    <m/>
    <m/>
    <n v="0"/>
    <n v="-190"/>
    <n v="-184.3"/>
    <n v="-114"/>
    <n v="19000"/>
  </r>
  <r>
    <x v="15"/>
    <x v="0"/>
    <n v="129785087831"/>
    <n v="2338.3200000000002"/>
    <n v="11220827.58"/>
    <x v="0"/>
    <m/>
    <m/>
    <n v="0"/>
    <n v="-24"/>
    <n v="-23.28"/>
    <n v="-14.4"/>
    <n v="2400.0000000000005"/>
  </r>
  <r>
    <x v="15"/>
    <x v="0"/>
    <n v="130364127788"/>
    <n v="11241.93"/>
    <n v="11232069.51"/>
    <x v="0"/>
    <m/>
    <m/>
    <n v="0"/>
    <n v="-119"/>
    <n v="-467.67"/>
    <n v="-71.400000000000006"/>
    <n v="11900"/>
  </r>
  <r>
    <x v="15"/>
    <x v="0"/>
    <n v="129786974609"/>
    <n v="25429.23"/>
    <n v="11257498.74"/>
    <x v="0"/>
    <m/>
    <m/>
    <n v="0"/>
    <n v="-261"/>
    <n v="-253.17"/>
    <n v="-156.6"/>
    <n v="26099.999999999996"/>
  </r>
  <r>
    <x v="15"/>
    <x v="139"/>
    <n v="130364682784"/>
    <n v="1277.5899999999999"/>
    <n v="11258776.33"/>
    <x v="0"/>
    <m/>
    <m/>
    <n v="-19.579999999999998"/>
    <n v="0"/>
    <n v="0"/>
    <n v="-7.83"/>
    <n v="1304.9999999999998"/>
  </r>
  <r>
    <x v="15"/>
    <x v="0"/>
    <n v="130366746476"/>
    <n v="4676.6400000000003"/>
    <n v="11263452.970000001"/>
    <x v="0"/>
    <m/>
    <m/>
    <n v="0"/>
    <n v="-48"/>
    <n v="-46.56"/>
    <n v="-28.8"/>
    <n v="4800.0000000000009"/>
  </r>
  <r>
    <x v="15"/>
    <x v="0"/>
    <n v="129790304621"/>
    <n v="9010.56"/>
    <n v="11272463.529999999"/>
    <x v="0"/>
    <m/>
    <m/>
    <n v="0"/>
    <n v="-96"/>
    <n v="-435.84"/>
    <n v="-57.6"/>
    <n v="9600"/>
  </r>
  <r>
    <x v="15"/>
    <x v="0"/>
    <n v="129792971801"/>
    <n v="5358.65"/>
    <n v="11277822.18"/>
    <x v="0"/>
    <m/>
    <m/>
    <n v="0"/>
    <n v="-55"/>
    <n v="-53.35"/>
    <n v="-33"/>
    <n v="5500"/>
  </r>
  <r>
    <x v="15"/>
    <x v="140"/>
    <n v="129793044845"/>
    <n v="269.22000000000003"/>
    <n v="11278091.4"/>
    <x v="0"/>
    <m/>
    <m/>
    <n v="-4.13"/>
    <n v="0"/>
    <n v="0"/>
    <n v="-1.65"/>
    <n v="275"/>
  </r>
  <r>
    <x v="15"/>
    <x v="0"/>
    <n v="129794619261"/>
    <n v="27418.58"/>
    <n v="11305509.98"/>
    <x v="0"/>
    <m/>
    <m/>
    <n v="0"/>
    <n v="-302"/>
    <n v="-2298.2199999999998"/>
    <n v="-181.2"/>
    <n v="30200.000000000004"/>
  </r>
  <r>
    <x v="15"/>
    <x v="0"/>
    <n v="129796256297"/>
    <n v="9548.14"/>
    <n v="11315058.119999999"/>
    <x v="0"/>
    <m/>
    <m/>
    <n v="0"/>
    <n v="-98"/>
    <n v="-95.06"/>
    <n v="-58.8"/>
    <n v="9799.9999999999982"/>
  </r>
  <r>
    <x v="15"/>
    <x v="0"/>
    <n v="129796310089"/>
    <n v="36605.4"/>
    <n v="11351663.52"/>
    <x v="0"/>
    <m/>
    <m/>
    <n v="0"/>
    <n v="-390"/>
    <n v="-1770.6"/>
    <n v="-234"/>
    <n v="39000"/>
  </r>
  <r>
    <x v="15"/>
    <x v="0"/>
    <n v="129796727397"/>
    <n v="60102.98"/>
    <n v="11411766.5"/>
    <x v="0"/>
    <m/>
    <m/>
    <n v="0"/>
    <n v="-662"/>
    <n v="-5037.82"/>
    <n v="-397.2"/>
    <n v="66200"/>
  </r>
  <r>
    <x v="15"/>
    <x v="0"/>
    <n v="130375704532"/>
    <n v="83497.509999999995"/>
    <n v="11495264.01"/>
    <x v="0"/>
    <m/>
    <m/>
    <n v="0"/>
    <n v="-857"/>
    <n v="-831.29"/>
    <n v="-514.20000000000005"/>
    <n v="85699.999999999985"/>
  </r>
  <r>
    <x v="15"/>
    <x v="0"/>
    <n v="129798660403"/>
    <n v="37693.53"/>
    <n v="11532957.539999999"/>
    <x v="0"/>
    <m/>
    <m/>
    <n v="0"/>
    <n v="-399"/>
    <n v="-1568.07"/>
    <n v="-239.4"/>
    <n v="39900"/>
  </r>
  <r>
    <x v="15"/>
    <x v="0"/>
    <n v="130377596540"/>
    <n v="4451.42"/>
    <n v="11537408.960000001"/>
    <x v="0"/>
    <m/>
    <m/>
    <n v="0"/>
    <n v="-46"/>
    <n v="-74.98"/>
    <n v="-27.6"/>
    <n v="4600"/>
  </r>
  <r>
    <x v="15"/>
    <x v="0"/>
    <n v="130377732924"/>
    <n v="60177.39"/>
    <n v="11597586.35"/>
    <x v="0"/>
    <m/>
    <m/>
    <n v="0"/>
    <n v="-637"/>
    <n v="-2503.41"/>
    <n v="-382.2"/>
    <n v="63700"/>
  </r>
  <r>
    <x v="15"/>
    <x v="0"/>
    <n v="130380979778"/>
    <n v="39677.4"/>
    <n v="11637263.75"/>
    <x v="0"/>
    <m/>
    <m/>
    <n v="0"/>
    <n v="-420"/>
    <n v="-1650.6"/>
    <n v="-252"/>
    <n v="42000"/>
  </r>
  <r>
    <x v="15"/>
    <x v="0"/>
    <n v="129803748097"/>
    <n v="44850.26"/>
    <n v="11682114.01"/>
    <x v="0"/>
    <m/>
    <m/>
    <n v="0"/>
    <n v="-494"/>
    <n v="-3759.34"/>
    <n v="-296.39999999999998"/>
    <n v="49400.000000000007"/>
  </r>
  <r>
    <x v="15"/>
    <x v="0"/>
    <n v="130381748326"/>
    <n v="40141.160000000003"/>
    <n v="11722255.17"/>
    <x v="0"/>
    <m/>
    <m/>
    <n v="0"/>
    <n v="-412"/>
    <n v="-399.64"/>
    <n v="-247.2"/>
    <n v="41200"/>
  </r>
  <r>
    <x v="15"/>
    <x v="0"/>
    <n v="129804183645"/>
    <n v="28235.69"/>
    <n v="11750490.859999999"/>
    <x v="0"/>
    <m/>
    <m/>
    <n v="0"/>
    <n v="-311"/>
    <n v="-2366.71"/>
    <n v="-186.6"/>
    <n v="31099.999999999996"/>
  </r>
  <r>
    <x v="18"/>
    <x v="0"/>
    <n v="130383628858"/>
    <n v="45012.66"/>
    <n v="11795503.52"/>
    <x v="0"/>
    <m/>
    <m/>
    <n v="0"/>
    <n v="-462"/>
    <n v="-448.14"/>
    <n v="-277.2"/>
    <n v="46200"/>
  </r>
  <r>
    <x v="18"/>
    <x v="0"/>
    <n v="130384067958"/>
    <n v="101995.58"/>
    <n v="11897499.1"/>
    <x v="0"/>
    <m/>
    <m/>
    <n v="0"/>
    <n v="-1054"/>
    <n v="-1718.02"/>
    <n v="-632.4"/>
    <n v="105400"/>
  </r>
  <r>
    <x v="18"/>
    <x v="0"/>
    <n v="130385114790"/>
    <n v="14127.35"/>
    <n v="11911626.449999999"/>
    <x v="0"/>
    <m/>
    <m/>
    <n v="0"/>
    <n v="-145"/>
    <n v="-140.65"/>
    <n v="-87"/>
    <n v="14500"/>
  </r>
  <r>
    <x v="18"/>
    <x v="0"/>
    <n v="129807437845"/>
    <n v="38289.99"/>
    <n v="11949916.439999999"/>
    <x v="0"/>
    <m/>
    <m/>
    <n v="0"/>
    <n v="-393"/>
    <n v="-381.21"/>
    <n v="-235.8"/>
    <n v="39300"/>
  </r>
  <r>
    <x v="18"/>
    <x v="0"/>
    <n v="130386044450"/>
    <n v="13792.62"/>
    <n v="11963709.060000001"/>
    <x v="0"/>
    <m/>
    <m/>
    <n v="0"/>
    <n v="-146"/>
    <n v="-573.78"/>
    <n v="-87.6"/>
    <n v="14600.000000000002"/>
  </r>
  <r>
    <x v="18"/>
    <x v="0"/>
    <n v="130386204302"/>
    <n v="27670.12"/>
    <n v="11991379.18"/>
    <x v="0"/>
    <m/>
    <m/>
    <n v="0"/>
    <n v="-284"/>
    <n v="-275.48"/>
    <n v="-170.4"/>
    <n v="28400"/>
  </r>
  <r>
    <x v="18"/>
    <x v="0"/>
    <n v="130386612836"/>
    <n v="32444.19"/>
    <n v="12023823.369999999"/>
    <x v="0"/>
    <m/>
    <m/>
    <n v="0"/>
    <n v="-333"/>
    <n v="-323.01"/>
    <n v="-199.8"/>
    <n v="33300.000000000007"/>
  </r>
  <r>
    <x v="18"/>
    <x v="0"/>
    <n v="129808985283"/>
    <n v="10327.58"/>
    <n v="12034150.949999999"/>
    <x v="0"/>
    <m/>
    <m/>
    <n v="0"/>
    <n v="-106"/>
    <n v="-102.82"/>
    <n v="-63.6"/>
    <n v="10600"/>
  </r>
  <r>
    <x v="18"/>
    <x v="0"/>
    <n v="129809631405"/>
    <n v="14711.93"/>
    <n v="12048862.880000001"/>
    <x v="0"/>
    <m/>
    <m/>
    <n v="0"/>
    <n v="-151"/>
    <n v="-146.47"/>
    <n v="-90.6"/>
    <n v="15100"/>
  </r>
  <r>
    <x v="18"/>
    <x v="141"/>
    <n v="129809613779"/>
    <n v="1478.29"/>
    <n v="12050341.17"/>
    <x v="0"/>
    <m/>
    <m/>
    <n v="-22.65"/>
    <n v="0"/>
    <n v="0"/>
    <n v="-9.06"/>
    <n v="1510"/>
  </r>
  <r>
    <x v="18"/>
    <x v="0"/>
    <n v="130388020290"/>
    <n v="38388.74"/>
    <n v="12088729.91"/>
    <x v="0"/>
    <m/>
    <m/>
    <n v="0"/>
    <n v="-409"/>
    <n v="-1856.86"/>
    <n v="-245.4"/>
    <n v="40900"/>
  </r>
  <r>
    <x v="18"/>
    <x v="0"/>
    <n v="130388212390"/>
    <n v="22116.61"/>
    <n v="12110846.52"/>
    <x v="0"/>
    <m/>
    <m/>
    <n v="0"/>
    <n v="-227"/>
    <n v="-220.19"/>
    <n v="-136.19999999999999"/>
    <n v="22700"/>
  </r>
  <r>
    <x v="18"/>
    <x v="0"/>
    <n v="129810423309"/>
    <n v="17927.12"/>
    <n v="12128773.640000001"/>
    <x v="0"/>
    <m/>
    <m/>
    <n v="0"/>
    <n v="-184"/>
    <n v="-178.48"/>
    <n v="-110.4"/>
    <n v="18400"/>
  </r>
  <r>
    <x v="18"/>
    <x v="0"/>
    <n v="129810631191"/>
    <n v="23870.35"/>
    <n v="12152643.99"/>
    <x v="0"/>
    <m/>
    <m/>
    <n v="0"/>
    <n v="-245"/>
    <n v="-237.65"/>
    <n v="-147"/>
    <n v="24500"/>
  </r>
  <r>
    <x v="18"/>
    <x v="142"/>
    <n v="130388477312"/>
    <n v="1199.27"/>
    <n v="12153843.26"/>
    <x v="0"/>
    <m/>
    <m/>
    <n v="-18.38"/>
    <n v="0"/>
    <n v="0"/>
    <n v="-7.35"/>
    <n v="1225"/>
  </r>
  <r>
    <x v="18"/>
    <x v="0"/>
    <n v="129810790437"/>
    <n v="7794.4"/>
    <n v="12161637.66"/>
    <x v="0"/>
    <m/>
    <m/>
    <n v="0"/>
    <n v="-80"/>
    <n v="-77.599999999999994"/>
    <n v="-48"/>
    <n v="8000"/>
  </r>
  <r>
    <x v="18"/>
    <x v="0"/>
    <n v="129811436587"/>
    <n v="10644.7"/>
    <n v="12172282.359999999"/>
    <x v="0"/>
    <m/>
    <m/>
    <n v="0"/>
    <n v="-110"/>
    <n v="-179.3"/>
    <n v="-66"/>
    <n v="11000"/>
  </r>
  <r>
    <x v="18"/>
    <x v="0"/>
    <n v="130476617200"/>
    <n v="9548.14"/>
    <n v="12181830.5"/>
    <x v="0"/>
    <m/>
    <m/>
    <n v="0"/>
    <n v="-98"/>
    <n v="-95.06"/>
    <n v="-58.8"/>
    <n v="9799.9999999999982"/>
  </r>
  <r>
    <x v="18"/>
    <x v="0"/>
    <n v="129900664129"/>
    <n v="36654.36"/>
    <n v="12218484.859999999"/>
    <x v="0"/>
    <m/>
    <m/>
    <n v="0"/>
    <n v="-388"/>
    <n v="-1524.84"/>
    <n v="-232.8"/>
    <n v="38800"/>
  </r>
  <r>
    <x v="18"/>
    <x v="0"/>
    <n v="129905597543"/>
    <n v="37768.639999999999"/>
    <n v="12256253.5"/>
    <x v="0"/>
    <m/>
    <m/>
    <n v="0"/>
    <n v="-416"/>
    <n v="-3165.76"/>
    <n v="-249.6"/>
    <n v="41600"/>
  </r>
  <r>
    <x v="18"/>
    <x v="0"/>
    <n v="129911222493"/>
    <n v="37217.32"/>
    <n v="12293470.82"/>
    <x v="0"/>
    <m/>
    <m/>
    <n v="0"/>
    <n v="-427"/>
    <n v="-4799.4799999999996"/>
    <n v="-256.2"/>
    <n v="42700"/>
  </r>
  <r>
    <x v="18"/>
    <x v="0"/>
    <n v="130491851554"/>
    <n v="14831.79"/>
    <n v="12308302.609999999"/>
    <x v="0"/>
    <m/>
    <m/>
    <n v="0"/>
    <n v="-157"/>
    <n v="-617.01"/>
    <n v="-94.2"/>
    <n v="15700.000000000002"/>
  </r>
  <r>
    <x v="18"/>
    <x v="0"/>
    <n v="130493803330"/>
    <n v="23772.92"/>
    <n v="12332075.529999999"/>
    <x v="0"/>
    <m/>
    <m/>
    <n v="0"/>
    <n v="-244"/>
    <n v="-236.68"/>
    <n v="-146.4"/>
    <n v="24400"/>
  </r>
  <r>
    <x v="18"/>
    <x v="143"/>
    <n v="129915570871"/>
    <n v="2388.7600000000002"/>
    <n v="12334464.289999999"/>
    <x v="0"/>
    <m/>
    <m/>
    <n v="-36.6"/>
    <n v="0"/>
    <n v="0"/>
    <n v="-14.64"/>
    <n v="2440"/>
  </r>
  <r>
    <x v="18"/>
    <x v="0"/>
    <n v="129915579909"/>
    <n v="46474.11"/>
    <n v="12380938.4"/>
    <x v="0"/>
    <m/>
    <m/>
    <n v="0"/>
    <n v="-477"/>
    <n v="-462.69"/>
    <n v="-286.2"/>
    <n v="47700"/>
  </r>
  <r>
    <x v="18"/>
    <x v="0"/>
    <n v="129915872555"/>
    <n v="31177.599999999999"/>
    <n v="12412116"/>
    <x v="0"/>
    <m/>
    <m/>
    <n v="0"/>
    <n v="-320"/>
    <n v="-310.39999999999998"/>
    <n v="-192"/>
    <n v="32000"/>
  </r>
  <r>
    <x v="18"/>
    <x v="144"/>
    <n v="129915894155"/>
    <n v="1566.4"/>
    <n v="12413682.4"/>
    <x v="0"/>
    <m/>
    <m/>
    <n v="-24"/>
    <n v="0"/>
    <n v="0"/>
    <n v="-9.6"/>
    <n v="1600"/>
  </r>
  <r>
    <x v="18"/>
    <x v="0"/>
    <n v="129916914361"/>
    <n v="28254.7"/>
    <n v="12441937.1"/>
    <x v="0"/>
    <m/>
    <m/>
    <n v="0"/>
    <n v="-290"/>
    <n v="-281.3"/>
    <n v="-174"/>
    <n v="29000"/>
  </r>
  <r>
    <x v="18"/>
    <x v="145"/>
    <n v="130495143130"/>
    <n v="2839.1"/>
    <n v="12444776.199999999"/>
    <x v="0"/>
    <m/>
    <m/>
    <n v="-43.5"/>
    <n v="0"/>
    <n v="0"/>
    <n v="-17.399999999999999"/>
    <n v="2900"/>
  </r>
  <r>
    <x v="18"/>
    <x v="0"/>
    <n v="130495195432"/>
    <n v="4579.21"/>
    <n v="12449355.41"/>
    <x v="0"/>
    <m/>
    <m/>
    <n v="0"/>
    <n v="-47"/>
    <n v="-45.59"/>
    <n v="-28.2"/>
    <n v="4700"/>
  </r>
  <r>
    <x v="18"/>
    <x v="0"/>
    <n v="129917003437"/>
    <n v="9548.14"/>
    <n v="12458903.550000001"/>
    <x v="0"/>
    <m/>
    <m/>
    <n v="0"/>
    <n v="-98"/>
    <n v="-95.06"/>
    <n v="-58.8"/>
    <n v="9799.9999999999982"/>
  </r>
  <r>
    <x v="18"/>
    <x v="0"/>
    <n v="129917640259"/>
    <n v="61027.62"/>
    <n v="12519931.17"/>
    <x v="0"/>
    <m/>
    <m/>
    <n v="0"/>
    <n v="-646"/>
    <n v="-2538.7800000000002"/>
    <n v="-387.6"/>
    <n v="64600"/>
  </r>
  <r>
    <x v="18"/>
    <x v="0"/>
    <n v="130495964660"/>
    <n v="18706.560000000001"/>
    <n v="12538637.73"/>
    <x v="0"/>
    <m/>
    <m/>
    <n v="0"/>
    <n v="-192"/>
    <n v="-186.24"/>
    <n v="-115.2"/>
    <n v="19200.000000000004"/>
  </r>
  <r>
    <x v="18"/>
    <x v="0"/>
    <n v="129918023175"/>
    <n v="19555.29"/>
    <n v="12558193.02"/>
    <x v="0"/>
    <m/>
    <m/>
    <n v="0"/>
    <n v="-207"/>
    <n v="-813.51"/>
    <n v="-124.2"/>
    <n v="20700"/>
  </r>
  <r>
    <x v="18"/>
    <x v="0"/>
    <n v="129918822439"/>
    <n v="9069.1200000000008"/>
    <n v="12567262.140000001"/>
    <x v="0"/>
    <m/>
    <m/>
    <n v="0"/>
    <n v="-96"/>
    <n v="-377.28"/>
    <n v="-57.6"/>
    <n v="9600.0000000000018"/>
  </r>
  <r>
    <x v="18"/>
    <x v="0"/>
    <n v="129920053775"/>
    <n v="28157.27"/>
    <n v="12595419.41"/>
    <x v="0"/>
    <m/>
    <m/>
    <n v="0"/>
    <n v="-289"/>
    <n v="-280.33"/>
    <n v="-173.4"/>
    <n v="28900.000000000004"/>
  </r>
  <r>
    <x v="18"/>
    <x v="0"/>
    <n v="129920811303"/>
    <n v="10985.59"/>
    <n v="12606405"/>
    <x v="0"/>
    <m/>
    <m/>
    <n v="0"/>
    <n v="-121"/>
    <n v="-920.81"/>
    <n v="-72.599999999999994"/>
    <n v="12100"/>
  </r>
  <r>
    <x v="18"/>
    <x v="0"/>
    <n v="129921270221"/>
    <n v="27767.55"/>
    <n v="12634172.550000001"/>
    <x v="0"/>
    <m/>
    <m/>
    <n v="0"/>
    <n v="-285"/>
    <n v="-276.45"/>
    <n v="-171"/>
    <n v="28500"/>
  </r>
  <r>
    <x v="18"/>
    <x v="0"/>
    <n v="129921550313"/>
    <n v="62191.15"/>
    <n v="12696363.699999999"/>
    <x v="0"/>
    <m/>
    <m/>
    <n v="0"/>
    <n v="-685"/>
    <n v="-5212.8500000000004"/>
    <n v="-411"/>
    <n v="68500"/>
  </r>
  <r>
    <x v="18"/>
    <x v="0"/>
    <n v="129922194191"/>
    <n v="42794.91"/>
    <n v="12739158.609999999"/>
    <x v="0"/>
    <m/>
    <m/>
    <n v="0"/>
    <n v="-453"/>
    <n v="-1780.29"/>
    <n v="-271.8"/>
    <n v="45300.000000000007"/>
  </r>
  <r>
    <x v="18"/>
    <x v="0"/>
    <n v="130500339498"/>
    <n v="39459.15"/>
    <n v="12778617.76"/>
    <x v="0"/>
    <m/>
    <m/>
    <n v="0"/>
    <n v="-405"/>
    <n v="-392.85"/>
    <n v="-243"/>
    <n v="40500"/>
  </r>
  <r>
    <x v="18"/>
    <x v="0"/>
    <n v="129922802979"/>
    <n v="25717.64"/>
    <n v="12804335.4"/>
    <x v="0"/>
    <m/>
    <m/>
    <n v="0"/>
    <n v="-274"/>
    <n v="-1243.96"/>
    <n v="-164.4"/>
    <n v="27400"/>
  </r>
  <r>
    <x v="18"/>
    <x v="0"/>
    <n v="129922827431"/>
    <n v="15686.23"/>
    <n v="12820021.630000001"/>
    <x v="0"/>
    <m/>
    <m/>
    <n v="0"/>
    <n v="-161"/>
    <n v="-156.16999999999999"/>
    <n v="-96.6"/>
    <n v="16100"/>
  </r>
  <r>
    <x v="18"/>
    <x v="0"/>
    <n v="130501619064"/>
    <n v="64303.8"/>
    <n v="12884325.43"/>
    <x v="0"/>
    <m/>
    <m/>
    <n v="0"/>
    <n v="-660"/>
    <n v="-640.20000000000005"/>
    <n v="-396"/>
    <n v="66000"/>
  </r>
  <r>
    <x v="18"/>
    <x v="146"/>
    <n v="130501601308"/>
    <n v="3230.7"/>
    <n v="12887556.130000001"/>
    <x v="0"/>
    <m/>
    <m/>
    <n v="-49.5"/>
    <n v="0"/>
    <n v="0"/>
    <n v="-19.8"/>
    <n v="3300"/>
  </r>
  <r>
    <x v="18"/>
    <x v="0"/>
    <n v="130501741454"/>
    <n v="44030.35"/>
    <n v="12931586.48"/>
    <x v="0"/>
    <m/>
    <m/>
    <n v="0"/>
    <n v="-455"/>
    <n v="-741.65"/>
    <n v="-273"/>
    <n v="45500"/>
  </r>
  <r>
    <x v="18"/>
    <x v="0"/>
    <n v="130501959538"/>
    <n v="39166.86"/>
    <n v="12970753.34"/>
    <x v="0"/>
    <m/>
    <m/>
    <n v="0"/>
    <n v="-402"/>
    <n v="-389.94"/>
    <n v="-241.2"/>
    <n v="40200"/>
  </r>
  <r>
    <x v="18"/>
    <x v="0"/>
    <n v="129923967495"/>
    <n v="62463.519999999997"/>
    <n v="13033216.859999999"/>
    <x v="0"/>
    <m/>
    <m/>
    <n v="0"/>
    <n v="-688"/>
    <n v="-5235.68"/>
    <n v="-412.8"/>
    <n v="68800"/>
  </r>
  <r>
    <x v="18"/>
    <x v="0"/>
    <n v="129924104257"/>
    <n v="31567.32"/>
    <n v="13064784.18"/>
    <x v="0"/>
    <m/>
    <m/>
    <n v="0"/>
    <n v="-324"/>
    <n v="-314.27999999999997"/>
    <n v="-194.4"/>
    <n v="32400"/>
  </r>
  <r>
    <x v="18"/>
    <x v="147"/>
    <n v="129924012099"/>
    <n v="3171.96"/>
    <n v="13067956.140000001"/>
    <x v="0"/>
    <m/>
    <m/>
    <n v="-48.6"/>
    <n v="0"/>
    <n v="0"/>
    <n v="-19.440000000000001"/>
    <n v="3240"/>
  </r>
  <r>
    <x v="18"/>
    <x v="0"/>
    <n v="130502314456"/>
    <n v="34003.07"/>
    <n v="13101959.210000001"/>
    <x v="0"/>
    <m/>
    <m/>
    <n v="0"/>
    <n v="-349"/>
    <n v="-338.53"/>
    <n v="-209.4"/>
    <n v="34900"/>
  </r>
  <r>
    <x v="18"/>
    <x v="0"/>
    <n v="129924592831"/>
    <n v="35074.800000000003"/>
    <n v="13137034.01"/>
    <x v="0"/>
    <m/>
    <m/>
    <n v="0"/>
    <n v="-360"/>
    <n v="-349.2"/>
    <n v="-216"/>
    <n v="36000"/>
  </r>
  <r>
    <x v="18"/>
    <x v="0"/>
    <n v="130503035948"/>
    <n v="8768.7000000000007"/>
    <n v="13145802.710000001"/>
    <x v="0"/>
    <m/>
    <m/>
    <n v="0"/>
    <n v="-90"/>
    <n v="-87.3"/>
    <n v="-54"/>
    <n v="9000"/>
  </r>
  <r>
    <x v="18"/>
    <x v="148"/>
    <n v="129924599633"/>
    <n v="881.1"/>
    <n v="13146683.810000001"/>
    <x v="0"/>
    <m/>
    <m/>
    <n v="-13.5"/>
    <n v="0"/>
    <n v="0"/>
    <n v="-5.4"/>
    <n v="900"/>
  </r>
  <r>
    <x v="18"/>
    <x v="0"/>
    <n v="130503149626"/>
    <n v="21921.75"/>
    <n v="13168605.560000001"/>
    <x v="0"/>
    <m/>
    <m/>
    <n v="0"/>
    <n v="-225"/>
    <n v="-218.25"/>
    <n v="-135"/>
    <n v="22500"/>
  </r>
  <r>
    <x v="18"/>
    <x v="0"/>
    <n v="130503293264"/>
    <n v="24357.5"/>
    <n v="13192963.060000001"/>
    <x v="0"/>
    <m/>
    <m/>
    <n v="0"/>
    <n v="-250"/>
    <n v="-242.5"/>
    <n v="-150"/>
    <n v="25000"/>
  </r>
  <r>
    <x v="18"/>
    <x v="0"/>
    <n v="129924883769"/>
    <n v="47643.27"/>
    <n v="13240606.33"/>
    <x v="0"/>
    <m/>
    <m/>
    <n v="0"/>
    <n v="-489"/>
    <n v="-474.33"/>
    <n v="-293.39999999999998"/>
    <n v="48900"/>
  </r>
  <r>
    <x v="18"/>
    <x v="0"/>
    <n v="130503399266"/>
    <n v="12373.61"/>
    <n v="13252979.939999999"/>
    <x v="0"/>
    <m/>
    <m/>
    <n v="0"/>
    <n v="-127"/>
    <n v="-123.19"/>
    <n v="-76.2"/>
    <n v="12700.000000000002"/>
  </r>
  <r>
    <x v="18"/>
    <x v="0"/>
    <n v="130503401764"/>
    <n v="47838.13"/>
    <n v="13300818.07"/>
    <x v="0"/>
    <m/>
    <m/>
    <n v="0"/>
    <n v="-491"/>
    <n v="-476.27"/>
    <n v="-294.60000000000002"/>
    <n v="49099.999999999993"/>
  </r>
  <r>
    <x v="18"/>
    <x v="0"/>
    <n v="129925367229"/>
    <n v="26793.25"/>
    <n v="13327611.32"/>
    <x v="0"/>
    <m/>
    <m/>
    <n v="0"/>
    <n v="-275"/>
    <n v="-266.75"/>
    <n v="-165"/>
    <n v="27500"/>
  </r>
  <r>
    <x v="18"/>
    <x v="0"/>
    <n v="130503681142"/>
    <n v="25234.37"/>
    <n v="13352845.689999999"/>
    <x v="0"/>
    <m/>
    <m/>
    <n v="0"/>
    <n v="-259"/>
    <n v="-251.23"/>
    <n v="-155.4"/>
    <n v="25900"/>
  </r>
  <r>
    <x v="18"/>
    <x v="0"/>
    <n v="130503796692"/>
    <n v="8171.1"/>
    <n v="13361016.789999999"/>
    <x v="0"/>
    <m/>
    <m/>
    <n v="0"/>
    <n v="-90"/>
    <n v="-684.9"/>
    <n v="-54"/>
    <n v="9000"/>
  </r>
  <r>
    <x v="18"/>
    <x v="0"/>
    <n v="130503823030"/>
    <n v="9010.56"/>
    <n v="13370027.35"/>
    <x v="0"/>
    <m/>
    <m/>
    <n v="0"/>
    <n v="-96"/>
    <n v="-435.84"/>
    <n v="-57.6"/>
    <n v="9600"/>
  </r>
  <r>
    <x v="18"/>
    <x v="0"/>
    <n v="130503831700"/>
    <n v="7989.26"/>
    <n v="13378016.609999999"/>
    <x v="0"/>
    <m/>
    <m/>
    <n v="0"/>
    <n v="-82"/>
    <n v="-79.540000000000006"/>
    <n v="-49.2"/>
    <n v="8200"/>
  </r>
  <r>
    <x v="19"/>
    <x v="0"/>
    <n v="130503865664"/>
    <n v="17649.580000000002"/>
    <n v="13395666.189999999"/>
    <x v="0"/>
    <m/>
    <m/>
    <n v="0"/>
    <n v="-194.4"/>
    <n v="-1479.38"/>
    <n v="-116.64"/>
    <n v="19440.000000000004"/>
  </r>
  <r>
    <x v="19"/>
    <x v="0"/>
    <n v="130504119406"/>
    <n v="36276.480000000003"/>
    <n v="13431942.67"/>
    <x v="0"/>
    <m/>
    <m/>
    <n v="0"/>
    <n v="-384"/>
    <n v="-1509.12"/>
    <n v="-230.4"/>
    <n v="38400.000000000007"/>
  </r>
  <r>
    <x v="19"/>
    <x v="0"/>
    <n v="129925965239"/>
    <n v="51345.61"/>
    <n v="13483288.279999999"/>
    <x v="0"/>
    <m/>
    <m/>
    <n v="0"/>
    <n v="-527"/>
    <n v="-511.19"/>
    <n v="-316.2"/>
    <n v="52700"/>
  </r>
  <r>
    <x v="19"/>
    <x v="0"/>
    <n v="129926108389"/>
    <n v="4993.45"/>
    <n v="13488281.73"/>
    <x v="0"/>
    <m/>
    <m/>
    <n v="0"/>
    <n v="-55"/>
    <n v="-418.55"/>
    <n v="-33"/>
    <n v="5500"/>
  </r>
  <r>
    <x v="19"/>
    <x v="0"/>
    <n v="130504725754"/>
    <n v="52839.78"/>
    <n v="13541121.51"/>
    <x v="0"/>
    <m/>
    <m/>
    <n v="0"/>
    <n v="-582"/>
    <n v="-4429.0200000000004"/>
    <n v="-349.2"/>
    <n v="58200"/>
  </r>
  <r>
    <x v="19"/>
    <x v="0"/>
    <n v="129926554953"/>
    <n v="9010.56"/>
    <n v="13550132.07"/>
    <x v="0"/>
    <m/>
    <m/>
    <n v="0"/>
    <n v="-96"/>
    <n v="-435.84"/>
    <n v="-57.6"/>
    <n v="9600"/>
  </r>
  <r>
    <x v="19"/>
    <x v="0"/>
    <n v="130505063064"/>
    <n v="43064.06"/>
    <n v="13593196.130000001"/>
    <x v="0"/>
    <m/>
    <m/>
    <n v="0"/>
    <n v="-442"/>
    <n v="-428.74"/>
    <n v="-265.2"/>
    <n v="44199.999999999993"/>
  </r>
  <r>
    <x v="19"/>
    <x v="0"/>
    <n v="130505213634"/>
    <n v="15296.51"/>
    <n v="13608492.640000001"/>
    <x v="0"/>
    <m/>
    <m/>
    <n v="0"/>
    <n v="-157"/>
    <n v="-152.29"/>
    <n v="-94.2"/>
    <n v="15700.000000000002"/>
  </r>
  <r>
    <x v="19"/>
    <x v="149"/>
    <n v="130505259044"/>
    <n v="768.51"/>
    <n v="13609261.15"/>
    <x v="0"/>
    <m/>
    <m/>
    <n v="-11.78"/>
    <n v="0"/>
    <n v="0"/>
    <n v="-4.71"/>
    <n v="785"/>
  </r>
  <r>
    <x v="19"/>
    <x v="0"/>
    <n v="130505348210"/>
    <n v="16952.82"/>
    <n v="13626213.970000001"/>
    <x v="0"/>
    <m/>
    <m/>
    <n v="0"/>
    <n v="-174"/>
    <n v="-168.78"/>
    <n v="-104.4"/>
    <n v="17400"/>
  </r>
  <r>
    <x v="19"/>
    <x v="0"/>
    <n v="129927348607"/>
    <n v="32931.339999999997"/>
    <n v="13659145.310000001"/>
    <x v="0"/>
    <m/>
    <m/>
    <n v="0"/>
    <n v="-338"/>
    <n v="-327.86"/>
    <n v="-202.8"/>
    <n v="33800"/>
  </r>
  <r>
    <x v="19"/>
    <x v="0"/>
    <n v="130505521438"/>
    <n v="91607.11"/>
    <n v="13750752.42"/>
    <x v="0"/>
    <m/>
    <m/>
    <n v="0"/>
    <n v="-1009"/>
    <n v="-7678.49"/>
    <n v="-605.4"/>
    <n v="100900"/>
  </r>
  <r>
    <x v="19"/>
    <x v="0"/>
    <n v="129927337673"/>
    <n v="18901.419999999998"/>
    <n v="13769653.84"/>
    <x v="0"/>
    <m/>
    <m/>
    <n v="0"/>
    <n v="-194"/>
    <n v="-188.18"/>
    <n v="-116.4"/>
    <n v="19400"/>
  </r>
  <r>
    <x v="19"/>
    <x v="150"/>
    <n v="130505561424"/>
    <n v="949.63"/>
    <n v="13770603.470000001"/>
    <x v="0"/>
    <m/>
    <m/>
    <n v="-14.55"/>
    <n v="0"/>
    <n v="0"/>
    <n v="-5.82"/>
    <n v="970"/>
  </r>
  <r>
    <x v="19"/>
    <x v="0"/>
    <n v="130505652570"/>
    <n v="26793.25"/>
    <n v="13797396.720000001"/>
    <x v="0"/>
    <m/>
    <m/>
    <n v="0"/>
    <n v="-275"/>
    <n v="-266.75"/>
    <n v="-165"/>
    <n v="27500"/>
  </r>
  <r>
    <x v="19"/>
    <x v="0"/>
    <n v="129927618037"/>
    <n v="21629.46"/>
    <n v="13819026.18"/>
    <x v="0"/>
    <m/>
    <m/>
    <n v="0"/>
    <n v="-222"/>
    <n v="-215.34"/>
    <n v="-133.19999999999999"/>
    <n v="22200"/>
  </r>
  <r>
    <x v="19"/>
    <x v="0"/>
    <n v="129927699555"/>
    <n v="32475.56"/>
    <n v="13851501.74"/>
    <x v="0"/>
    <m/>
    <m/>
    <n v="0"/>
    <n v="-346"/>
    <n v="-1570.84"/>
    <n v="-207.6"/>
    <n v="34599.999999999993"/>
  </r>
  <r>
    <x v="19"/>
    <x v="0"/>
    <n v="130506186280"/>
    <n v="13603.68"/>
    <n v="13865105.42"/>
    <x v="0"/>
    <m/>
    <m/>
    <n v="0"/>
    <n v="-144"/>
    <n v="-565.91999999999996"/>
    <n v="-86.4"/>
    <n v="14400"/>
  </r>
  <r>
    <x v="19"/>
    <x v="0"/>
    <n v="129928026307"/>
    <n v="15491.37"/>
    <n v="13880596.789999999"/>
    <x v="0"/>
    <m/>
    <m/>
    <n v="0"/>
    <n v="-159"/>
    <n v="-154.22999999999999"/>
    <n v="-95.4"/>
    <n v="15900"/>
  </r>
  <r>
    <x v="19"/>
    <x v="0"/>
    <n v="129928378923"/>
    <n v="2723.7"/>
    <n v="13883320.49"/>
    <x v="0"/>
    <m/>
    <m/>
    <n v="0"/>
    <n v="-30"/>
    <n v="-228.3"/>
    <n v="-18"/>
    <n v="3000"/>
  </r>
  <r>
    <x v="19"/>
    <x v="0"/>
    <n v="129928917523"/>
    <n v="9158.42"/>
    <n v="13892478.91"/>
    <x v="0"/>
    <m/>
    <m/>
    <n v="0"/>
    <n v="-94"/>
    <n v="-91.18"/>
    <n v="-56.4"/>
    <n v="9400"/>
  </r>
  <r>
    <x v="19"/>
    <x v="148"/>
    <n v="129928888001"/>
    <n v="920.26"/>
    <n v="13893399.17"/>
    <x v="0"/>
    <m/>
    <m/>
    <n v="-14.1"/>
    <n v="0"/>
    <n v="0"/>
    <n v="-5.64"/>
    <n v="940"/>
  </r>
  <r>
    <x v="19"/>
    <x v="0"/>
    <n v="130507433134"/>
    <n v="16660.53"/>
    <n v="13910059.699999999"/>
    <x v="0"/>
    <m/>
    <m/>
    <n v="0"/>
    <n v="-171"/>
    <n v="-165.87"/>
    <n v="-102.6"/>
    <n v="17099.999999999996"/>
  </r>
  <r>
    <x v="19"/>
    <x v="151"/>
    <n v="130507377794"/>
    <n v="1674.09"/>
    <n v="13911733.789999999"/>
    <x v="0"/>
    <m/>
    <m/>
    <n v="-25.65"/>
    <n v="0"/>
    <n v="0"/>
    <n v="-10.26"/>
    <n v="1710"/>
  </r>
  <r>
    <x v="19"/>
    <x v="0"/>
    <n v="129929271469"/>
    <n v="27207.360000000001"/>
    <n v="13938941.15"/>
    <x v="0"/>
    <m/>
    <m/>
    <n v="0"/>
    <n v="-288"/>
    <n v="-1131.8399999999999"/>
    <n v="-172.8"/>
    <n v="28800"/>
  </r>
  <r>
    <x v="19"/>
    <x v="0"/>
    <n v="130507908182"/>
    <n v="41581.82"/>
    <n v="13980522.970000001"/>
    <x v="0"/>
    <m/>
    <m/>
    <n v="0"/>
    <n v="-458"/>
    <n v="-3485.38"/>
    <n v="-274.8"/>
    <n v="45800"/>
  </r>
  <r>
    <x v="19"/>
    <x v="0"/>
    <n v="129929732379"/>
    <n v="21629.46"/>
    <n v="14002152.43"/>
    <x v="0"/>
    <m/>
    <m/>
    <n v="0"/>
    <n v="-222"/>
    <n v="-215.34"/>
    <n v="-133.19999999999999"/>
    <n v="22200"/>
  </r>
  <r>
    <x v="19"/>
    <x v="0"/>
    <n v="129929852927"/>
    <n v="9198.2800000000007"/>
    <n v="14011350.710000001"/>
    <x v="0"/>
    <m/>
    <m/>
    <n v="0"/>
    <n v="-98"/>
    <n v="-444.92"/>
    <n v="-58.8"/>
    <n v="9800"/>
  </r>
  <r>
    <x v="19"/>
    <x v="0"/>
    <n v="130508497912"/>
    <n v="13737.63"/>
    <n v="14025088.34"/>
    <x v="0"/>
    <m/>
    <m/>
    <n v="0"/>
    <n v="-141"/>
    <n v="-136.77000000000001"/>
    <n v="-84.6"/>
    <n v="14100"/>
  </r>
  <r>
    <x v="19"/>
    <x v="0"/>
    <n v="130508636164"/>
    <n v="10327.58"/>
    <n v="14035415.92"/>
    <x v="0"/>
    <m/>
    <m/>
    <n v="0"/>
    <n v="-106"/>
    <n v="-102.82"/>
    <n v="-63.6"/>
    <n v="10600"/>
  </r>
  <r>
    <x v="19"/>
    <x v="0"/>
    <n v="130508789716"/>
    <n v="33536.85"/>
    <n v="14068952.77"/>
    <x v="0"/>
    <m/>
    <m/>
    <n v="0"/>
    <n v="-355"/>
    <n v="-1395.15"/>
    <n v="-213"/>
    <n v="35500"/>
  </r>
  <r>
    <x v="19"/>
    <x v="0"/>
    <n v="130509146786"/>
    <n v="24649.79"/>
    <n v="14093602.560000001"/>
    <x v="0"/>
    <m/>
    <m/>
    <n v="0"/>
    <n v="-253"/>
    <n v="-245.41"/>
    <n v="-151.80000000000001"/>
    <n v="25300"/>
  </r>
  <r>
    <x v="19"/>
    <x v="0"/>
    <n v="130509116046"/>
    <n v="18316.84"/>
    <n v="14111919.4"/>
    <x v="0"/>
    <m/>
    <m/>
    <n v="0"/>
    <n v="-188"/>
    <n v="-182.36"/>
    <n v="-112.8"/>
    <n v="18800"/>
  </r>
  <r>
    <x v="19"/>
    <x v="0"/>
    <n v="129930974625"/>
    <n v="120228.62"/>
    <n v="14232148.02"/>
    <x v="0"/>
    <m/>
    <m/>
    <n v="0"/>
    <n v="-1234"/>
    <n v="-1196.98"/>
    <n v="-740.4"/>
    <n v="123399.99999999999"/>
  </r>
  <r>
    <x v="19"/>
    <x v="0"/>
    <n v="130509564908"/>
    <n v="13036.86"/>
    <n v="14245184.880000001"/>
    <x v="0"/>
    <m/>
    <m/>
    <n v="0"/>
    <n v="-138"/>
    <n v="-542.34"/>
    <n v="-82.8"/>
    <n v="13800"/>
  </r>
  <r>
    <x v="19"/>
    <x v="0"/>
    <n v="130509770750"/>
    <n v="4534.5600000000004"/>
    <n v="14249719.439999999"/>
    <x v="0"/>
    <m/>
    <m/>
    <n v="0"/>
    <n v="-48"/>
    <n v="-188.64"/>
    <n v="-28.8"/>
    <n v="4800.0000000000009"/>
  </r>
  <r>
    <x v="19"/>
    <x v="0"/>
    <n v="130509852208"/>
    <n v="39946.300000000003"/>
    <n v="14289665.74"/>
    <x v="0"/>
    <m/>
    <m/>
    <n v="0"/>
    <n v="-410"/>
    <n v="-397.7"/>
    <n v="-246"/>
    <n v="41000"/>
  </r>
  <r>
    <x v="19"/>
    <x v="0"/>
    <n v="130509962534"/>
    <n v="20460.3"/>
    <n v="14310126.039999999"/>
    <x v="0"/>
    <m/>
    <m/>
    <n v="0"/>
    <n v="-210"/>
    <n v="-203.7"/>
    <n v="-126"/>
    <n v="21000"/>
  </r>
  <r>
    <x v="19"/>
    <x v="152"/>
    <n v="130509841798"/>
    <n v="1027.95"/>
    <n v="14311153.99"/>
    <x v="0"/>
    <m/>
    <m/>
    <n v="-15.75"/>
    <n v="0"/>
    <n v="0"/>
    <n v="-6.3"/>
    <n v="1050"/>
  </r>
  <r>
    <x v="19"/>
    <x v="0"/>
    <n v="129931670223"/>
    <n v="3702.34"/>
    <n v="14314856.33"/>
    <x v="0"/>
    <m/>
    <m/>
    <n v="0"/>
    <n v="-38"/>
    <n v="-36.86"/>
    <n v="-22.8"/>
    <n v="3800.0000000000005"/>
  </r>
  <r>
    <x v="19"/>
    <x v="0"/>
    <n v="129932222123"/>
    <n v="58555.43"/>
    <n v="14373411.76"/>
    <x v="0"/>
    <m/>
    <m/>
    <n v="0"/>
    <n v="-601"/>
    <n v="-582.97"/>
    <n v="-360.6"/>
    <n v="60100"/>
  </r>
  <r>
    <x v="19"/>
    <x v="0"/>
    <n v="130510447150"/>
    <n v="9353.2800000000007"/>
    <n v="14382765.039999999"/>
    <x v="0"/>
    <m/>
    <m/>
    <n v="0"/>
    <n v="-96"/>
    <n v="-93.12"/>
    <n v="-57.6"/>
    <n v="9600.0000000000018"/>
  </r>
  <r>
    <x v="19"/>
    <x v="0"/>
    <n v="129932270371"/>
    <n v="59334.87"/>
    <n v="14442099.91"/>
    <x v="0"/>
    <m/>
    <m/>
    <n v="0"/>
    <n v="-609"/>
    <n v="-590.73"/>
    <n v="-365.4"/>
    <n v="60900.000000000007"/>
  </r>
  <r>
    <x v="19"/>
    <x v="0"/>
    <n v="129932193821"/>
    <n v="24260.07"/>
    <n v="14466359.98"/>
    <x v="0"/>
    <m/>
    <m/>
    <n v="0"/>
    <n v="-249"/>
    <n v="-241.53"/>
    <n v="-149.4"/>
    <n v="24900"/>
  </r>
  <r>
    <x v="19"/>
    <x v="0"/>
    <n v="129932363147"/>
    <n v="3778.8"/>
    <n v="14470138.779999999"/>
    <x v="0"/>
    <m/>
    <m/>
    <n v="0"/>
    <n v="-40"/>
    <n v="-157.19999999999999"/>
    <n v="-24"/>
    <n v="4000"/>
  </r>
  <r>
    <x v="19"/>
    <x v="0"/>
    <n v="129932452525"/>
    <n v="30982.74"/>
    <n v="14501121.52"/>
    <x v="0"/>
    <m/>
    <m/>
    <n v="0"/>
    <n v="-318"/>
    <n v="-308.45999999999998"/>
    <n v="-190.8"/>
    <n v="31800"/>
  </r>
  <r>
    <x v="19"/>
    <x v="0"/>
    <n v="129932460795"/>
    <n v="51443.040000000001"/>
    <n v="14552564.560000001"/>
    <x v="0"/>
    <m/>
    <m/>
    <n v="0"/>
    <n v="-528"/>
    <n v="-512.16"/>
    <n v="-316.8"/>
    <n v="52800.000000000007"/>
  </r>
  <r>
    <x v="19"/>
    <x v="0"/>
    <n v="129932493309"/>
    <n v="61499.97"/>
    <n v="14614064.529999999"/>
    <x v="0"/>
    <m/>
    <m/>
    <n v="0"/>
    <n v="-651"/>
    <n v="-2558.4299999999998"/>
    <n v="-390.6"/>
    <n v="65100"/>
  </r>
  <r>
    <x v="19"/>
    <x v="0"/>
    <n v="130510871960"/>
    <n v="19973.150000000001"/>
    <n v="14634037.68"/>
    <x v="0"/>
    <m/>
    <m/>
    <n v="0"/>
    <n v="-205"/>
    <n v="-198.85"/>
    <n v="-123"/>
    <n v="20500"/>
  </r>
  <r>
    <x v="19"/>
    <x v="153"/>
    <n v="129932531979"/>
    <n v="1003.47"/>
    <n v="14635041.15"/>
    <x v="0"/>
    <m/>
    <m/>
    <n v="-15.38"/>
    <n v="0"/>
    <n v="0"/>
    <n v="-6.15"/>
    <n v="1025"/>
  </r>
  <r>
    <x v="19"/>
    <x v="0"/>
    <n v="129932563723"/>
    <n v="25624.09"/>
    <n v="14660665.24"/>
    <x v="0"/>
    <m/>
    <m/>
    <n v="0"/>
    <n v="-263"/>
    <n v="-255.11"/>
    <n v="-157.80000000000001"/>
    <n v="26300"/>
  </r>
  <r>
    <x v="19"/>
    <x v="0"/>
    <n v="130510890048"/>
    <n v="30398.16"/>
    <n v="14691063.4"/>
    <x v="0"/>
    <m/>
    <m/>
    <n v="0"/>
    <n v="-312"/>
    <n v="-302.64"/>
    <n v="-187.2"/>
    <n v="31200"/>
  </r>
  <r>
    <x v="19"/>
    <x v="0"/>
    <n v="130511004854"/>
    <n v="8165.82"/>
    <n v="14699229.220000001"/>
    <x v="0"/>
    <m/>
    <m/>
    <n v="0"/>
    <n v="-87"/>
    <n v="-394.98"/>
    <n v="-52.2"/>
    <n v="8700"/>
  </r>
  <r>
    <x v="19"/>
    <x v="0"/>
    <n v="130510983586"/>
    <n v="24747.22"/>
    <n v="14723976.439999999"/>
    <x v="0"/>
    <m/>
    <m/>
    <n v="0"/>
    <n v="-254"/>
    <n v="-246.38"/>
    <n v="-152.4"/>
    <n v="25400.000000000004"/>
  </r>
  <r>
    <x v="19"/>
    <x v="0"/>
    <n v="129932719263"/>
    <n v="10619.87"/>
    <n v="14734596.310000001"/>
    <x v="0"/>
    <m/>
    <m/>
    <n v="0"/>
    <n v="-109"/>
    <n v="-105.73"/>
    <n v="-65.400000000000006"/>
    <n v="10900"/>
  </r>
  <r>
    <x v="19"/>
    <x v="154"/>
    <n v="130511170496"/>
    <n v="533.54999999999995"/>
    <n v="14735129.859999999"/>
    <x v="0"/>
    <m/>
    <m/>
    <n v="-8.18"/>
    <n v="0"/>
    <n v="0"/>
    <n v="-3.27"/>
    <n v="544.99999999999989"/>
  </r>
  <r>
    <x v="19"/>
    <x v="0"/>
    <n v="129995987851"/>
    <n v="4448.71"/>
    <n v="14739578.57"/>
    <x v="0"/>
    <m/>
    <m/>
    <n v="0"/>
    <n v="-49"/>
    <n v="-372.89"/>
    <n v="-29.4"/>
    <n v="4900"/>
  </r>
  <r>
    <x v="19"/>
    <x v="0"/>
    <n v="129998477397"/>
    <n v="2338.3200000000002"/>
    <n v="14741916.890000001"/>
    <x v="0"/>
    <m/>
    <m/>
    <n v="0"/>
    <n v="-24"/>
    <n v="-23.28"/>
    <n v="-14.4"/>
    <n v="2400.0000000000005"/>
  </r>
  <r>
    <x v="19"/>
    <x v="0"/>
    <n v="130001228701"/>
    <n v="4676.6400000000003"/>
    <n v="14746593.529999999"/>
    <x v="0"/>
    <m/>
    <m/>
    <n v="0"/>
    <n v="-48"/>
    <n v="-46.56"/>
    <n v="-28.8"/>
    <n v="4800.0000000000009"/>
  </r>
  <r>
    <x v="19"/>
    <x v="155"/>
    <n v="130001228715"/>
    <n v="234.96"/>
    <n v="14746828.49"/>
    <x v="0"/>
    <m/>
    <m/>
    <n v="-3.6"/>
    <n v="0"/>
    <n v="0"/>
    <n v="-1.44"/>
    <n v="240"/>
  </r>
  <r>
    <x v="19"/>
    <x v="0"/>
    <n v="130001899155"/>
    <n v="9353.2800000000007"/>
    <n v="14756181.77"/>
    <x v="0"/>
    <m/>
    <m/>
    <n v="0"/>
    <n v="-96"/>
    <n v="-93.12"/>
    <n v="-57.6"/>
    <n v="9600.0000000000018"/>
  </r>
  <r>
    <x v="19"/>
    <x v="0"/>
    <n v="130002820299"/>
    <n v="2338.3200000000002"/>
    <n v="14758520.09"/>
    <x v="0"/>
    <m/>
    <m/>
    <n v="0"/>
    <n v="-24"/>
    <n v="-23.28"/>
    <n v="-14.4"/>
    <n v="2400.0000000000005"/>
  </r>
  <r>
    <x v="19"/>
    <x v="0"/>
    <n v="130582654102"/>
    <n v="4676.6400000000003"/>
    <n v="14763196.73"/>
    <x v="0"/>
    <m/>
    <m/>
    <n v="0"/>
    <n v="-48"/>
    <n v="-46.56"/>
    <n v="-28.8"/>
    <n v="4800.0000000000009"/>
  </r>
  <r>
    <x v="19"/>
    <x v="0"/>
    <n v="130583209284"/>
    <n v="8715.84"/>
    <n v="14771912.57"/>
    <x v="0"/>
    <m/>
    <m/>
    <n v="0"/>
    <n v="-96"/>
    <n v="-730.56"/>
    <n v="-57.6"/>
    <n v="9600"/>
  </r>
  <r>
    <x v="19"/>
    <x v="0"/>
    <n v="130004895803"/>
    <n v="18138.240000000002"/>
    <n v="14790050.810000001"/>
    <x v="0"/>
    <m/>
    <m/>
    <n v="0"/>
    <n v="-192"/>
    <n v="-754.56"/>
    <n v="-115.2"/>
    <n v="19200.000000000004"/>
  </r>
  <r>
    <x v="19"/>
    <x v="0"/>
    <n v="130583515842"/>
    <n v="55926.239999999998"/>
    <n v="14845977.050000001"/>
    <x v="0"/>
    <m/>
    <m/>
    <n v="0"/>
    <n v="-592"/>
    <n v="-2326.56"/>
    <n v="-355.2"/>
    <n v="59199.999999999993"/>
  </r>
  <r>
    <x v="19"/>
    <x v="0"/>
    <n v="130005830393"/>
    <n v="4286.92"/>
    <n v="14850263.970000001"/>
    <x v="0"/>
    <m/>
    <m/>
    <n v="0"/>
    <n v="-44"/>
    <n v="-42.68"/>
    <n v="-26.4"/>
    <n v="4400"/>
  </r>
  <r>
    <x v="19"/>
    <x v="0"/>
    <n v="130584728334"/>
    <n v="39556.58"/>
    <n v="14889820.550000001"/>
    <x v="0"/>
    <m/>
    <m/>
    <n v="0"/>
    <n v="-406"/>
    <n v="-393.82"/>
    <n v="-243.6"/>
    <n v="40600"/>
  </r>
  <r>
    <x v="19"/>
    <x v="156"/>
    <n v="130006028927"/>
    <n v="3974.74"/>
    <n v="14893795.289999999"/>
    <x v="0"/>
    <m/>
    <m/>
    <n v="-60.9"/>
    <n v="0"/>
    <n v="0"/>
    <n v="-24.36"/>
    <n v="4060"/>
  </r>
  <r>
    <x v="19"/>
    <x v="0"/>
    <n v="130585080512"/>
    <n v="9352.5300000000007"/>
    <n v="14903147.82"/>
    <x v="0"/>
    <m/>
    <m/>
    <n v="0"/>
    <n v="-99"/>
    <n v="-389.07"/>
    <n v="-59.4"/>
    <n v="9900"/>
  </r>
  <r>
    <x v="19"/>
    <x v="0"/>
    <n v="130586021122"/>
    <n v="13421.98"/>
    <n v="14916569.800000001"/>
    <x v="0"/>
    <m/>
    <m/>
    <n v="0"/>
    <n v="-143"/>
    <n v="-649.22"/>
    <n v="-85.8"/>
    <n v="14299.999999999998"/>
  </r>
  <r>
    <x v="19"/>
    <x v="0"/>
    <n v="130007731191"/>
    <n v="14798.77"/>
    <n v="14931368.57"/>
    <x v="0"/>
    <m/>
    <m/>
    <n v="0"/>
    <n v="-163"/>
    <n v="-1240.43"/>
    <n v="-97.8"/>
    <n v="16300"/>
  </r>
  <r>
    <x v="19"/>
    <x v="0"/>
    <n v="130586314610"/>
    <n v="9069.1200000000008"/>
    <n v="14940437.689999999"/>
    <x v="0"/>
    <m/>
    <m/>
    <n v="0"/>
    <n v="-96"/>
    <n v="-377.28"/>
    <n v="-57.6"/>
    <n v="9600.0000000000018"/>
  </r>
  <r>
    <x v="19"/>
    <x v="0"/>
    <n v="130009827557"/>
    <n v="17431.68"/>
    <n v="14957869.369999999"/>
    <x v="0"/>
    <m/>
    <m/>
    <n v="0"/>
    <n v="-192"/>
    <n v="-1461.12"/>
    <n v="-115.2"/>
    <n v="19200"/>
  </r>
  <r>
    <x v="19"/>
    <x v="0"/>
    <n v="130589344658"/>
    <n v="28059.84"/>
    <n v="14985929.210000001"/>
    <x v="0"/>
    <m/>
    <m/>
    <n v="0"/>
    <n v="-288"/>
    <n v="-279.36"/>
    <n v="-172.8"/>
    <n v="28800"/>
  </r>
  <r>
    <x v="19"/>
    <x v="0"/>
    <n v="130589453826"/>
    <n v="11691.6"/>
    <n v="14997620.810000001"/>
    <x v="0"/>
    <m/>
    <m/>
    <n v="0"/>
    <n v="-120"/>
    <n v="-116.4"/>
    <n v="-72"/>
    <n v="12000"/>
  </r>
  <r>
    <x v="19"/>
    <x v="0"/>
    <n v="130589989308"/>
    <n v="32321.24"/>
    <n v="15029942.050000001"/>
    <x v="0"/>
    <m/>
    <m/>
    <n v="0"/>
    <n v="-356"/>
    <n v="-2709.16"/>
    <n v="-213.6"/>
    <n v="35600"/>
  </r>
  <r>
    <x v="19"/>
    <x v="0"/>
    <n v="130013338171"/>
    <n v="11515.63"/>
    <n v="15041457.68"/>
    <x v="0"/>
    <m/>
    <m/>
    <n v="0"/>
    <n v="-119"/>
    <n v="-193.97"/>
    <n v="-71.400000000000006"/>
    <n v="11899.999999999998"/>
  </r>
  <r>
    <x v="19"/>
    <x v="0"/>
    <n v="130592036332"/>
    <n v="29569.11"/>
    <n v="15071026.789999999"/>
    <x v="0"/>
    <m/>
    <m/>
    <n v="0"/>
    <n v="-313"/>
    <n v="-1230.0899999999999"/>
    <n v="-187.8"/>
    <n v="31300"/>
  </r>
  <r>
    <x v="19"/>
    <x v="0"/>
    <n v="130013489481"/>
    <n v="18490.419999999998"/>
    <n v="15089517.210000001"/>
    <x v="0"/>
    <m/>
    <m/>
    <n v="0"/>
    <n v="-197"/>
    <n v="-894.38"/>
    <n v="-118.2"/>
    <n v="19700"/>
  </r>
  <r>
    <x v="19"/>
    <x v="0"/>
    <n v="130592091772"/>
    <n v="17794.84"/>
    <n v="15107312.050000001"/>
    <x v="0"/>
    <m/>
    <m/>
    <n v="0"/>
    <n v="-196"/>
    <n v="-1491.56"/>
    <n v="-117.6"/>
    <n v="19600"/>
  </r>
  <r>
    <x v="19"/>
    <x v="0"/>
    <n v="130592612508"/>
    <n v="114772.54"/>
    <n v="15222084.59"/>
    <x v="0"/>
    <m/>
    <m/>
    <n v="0"/>
    <n v="-1178"/>
    <n v="-1142.6600000000001"/>
    <n v="-706.8"/>
    <n v="117800"/>
  </r>
  <r>
    <x v="16"/>
    <x v="0"/>
    <n v="130594025244"/>
    <n v="57191.41"/>
    <n v="15279276"/>
    <x v="0"/>
    <m/>
    <m/>
    <n v="0"/>
    <n v="-587"/>
    <n v="-569.39"/>
    <n v="-352.2"/>
    <n v="58700"/>
  </r>
  <r>
    <x v="16"/>
    <x v="0"/>
    <n v="130594391886"/>
    <n v="86225.55"/>
    <n v="15365501.550000001"/>
    <x v="0"/>
    <m/>
    <m/>
    <n v="0"/>
    <n v="-885"/>
    <n v="-858.45"/>
    <n v="-531"/>
    <n v="88500"/>
  </r>
  <r>
    <x v="16"/>
    <x v="0"/>
    <n v="130595730634"/>
    <n v="9450.7099999999991"/>
    <n v="15374952.26"/>
    <x v="0"/>
    <m/>
    <m/>
    <n v="0"/>
    <n v="-97"/>
    <n v="-94.09"/>
    <n v="-58.2"/>
    <n v="9700"/>
  </r>
  <r>
    <x v="16"/>
    <x v="0"/>
    <n v="130596512394"/>
    <n v="17927.12"/>
    <n v="15392879.380000001"/>
    <x v="0"/>
    <m/>
    <m/>
    <n v="0"/>
    <n v="-184"/>
    <n v="-178.48"/>
    <n v="-110.4"/>
    <n v="18400"/>
  </r>
  <r>
    <x v="16"/>
    <x v="157"/>
    <n v="130017719079"/>
    <n v="1801.36"/>
    <n v="15394680.74"/>
    <x v="0"/>
    <m/>
    <m/>
    <n v="-27.6"/>
    <n v="0"/>
    <n v="0"/>
    <n v="-11.04"/>
    <n v="1839.9999999999998"/>
  </r>
  <r>
    <x v="14"/>
    <x v="63"/>
    <n v="130184307466"/>
    <n v="-348035.76"/>
    <n v="10253834.1"/>
    <x v="1"/>
    <n v="-345960"/>
    <n v="-2075.7600000000093"/>
    <n v="0"/>
    <n v="0"/>
    <n v="0"/>
    <n v="-2075.7600000000093"/>
    <n v="-345960"/>
  </r>
  <r>
    <x v="14"/>
    <x v="63"/>
    <n v="130186041276"/>
    <n v="-153621.23000000001"/>
    <n v="10100212.869999999"/>
    <x v="1"/>
    <n v="-152705"/>
    <n v="-916.23000000001048"/>
    <n v="0"/>
    <n v="0"/>
    <n v="0"/>
    <n v="-916.23000000001048"/>
    <n v="-152705"/>
  </r>
  <r>
    <x v="17"/>
    <x v="6"/>
    <n v="130189219979"/>
    <n v="-3450"/>
    <n v="13234240.91"/>
    <x v="2"/>
    <n v="-575000"/>
    <m/>
    <n v="0"/>
    <n v="0"/>
    <n v="0"/>
    <m/>
    <n v="-3450"/>
  </r>
  <r>
    <x v="17"/>
    <x v="158"/>
    <n v="130189219979"/>
    <n v="-575000"/>
    <n v="13237690.91"/>
    <x v="1"/>
    <n v="-571570.57654075546"/>
    <n v="-3429.4234592445428"/>
    <n v="0"/>
    <n v="0"/>
    <n v="0"/>
    <n v="-3450"/>
    <n v="-575000"/>
  </r>
  <r>
    <x v="17"/>
    <x v="78"/>
    <n v="130209375191"/>
    <n v="-467928.67"/>
    <n v="12766312.24"/>
    <x v="3"/>
    <n v="-465137.84294234589"/>
    <n v="-2790.8270576540963"/>
    <n v="0"/>
    <n v="0"/>
    <n v="0"/>
    <n v="-2790.8270576540963"/>
    <n v="-465137.84294234589"/>
  </r>
  <r>
    <x v="20"/>
    <x v="6"/>
    <n v="130291816163"/>
    <n v="-1048"/>
    <n v="12590597.699999999"/>
    <x v="2"/>
    <n v="-174666.66666666666"/>
    <m/>
    <n v="0"/>
    <n v="0"/>
    <n v="0"/>
    <m/>
    <n v="-1048"/>
  </r>
  <r>
    <x v="20"/>
    <x v="62"/>
    <n v="130291816163"/>
    <n v="-174666.54"/>
    <n v="12591645.699999999"/>
    <x v="1"/>
    <n v="-173624.7912524851"/>
    <n v="-1041.7487475149101"/>
    <n v="0"/>
    <n v="0"/>
    <n v="0"/>
    <n v="-1048"/>
    <n v="-174666.54"/>
  </r>
  <r>
    <x v="20"/>
    <x v="6"/>
    <n v="130292370337"/>
    <n v="-1335.22"/>
    <n v="12366726.109999999"/>
    <x v="2"/>
    <n v="-222536.66666666666"/>
    <m/>
    <n v="0"/>
    <n v="0"/>
    <n v="0"/>
    <m/>
    <n v="-1335.22"/>
  </r>
  <r>
    <x v="20"/>
    <x v="62"/>
    <n v="130292370337"/>
    <n v="-222536.37"/>
    <n v="12368061.33"/>
    <x v="1"/>
    <n v="-221209.11530815109"/>
    <n v="-1327.2546918489097"/>
    <n v="0"/>
    <n v="0"/>
    <n v="0"/>
    <n v="-1335.22"/>
    <n v="-222536.37"/>
  </r>
  <r>
    <x v="20"/>
    <x v="6"/>
    <n v="130305376427"/>
    <n v="-1969.54"/>
    <n v="10955828.310000001"/>
    <x v="2"/>
    <n v="-328256.66666666663"/>
    <m/>
    <n v="0"/>
    <n v="0"/>
    <n v="0"/>
    <m/>
    <n v="-1969.54"/>
  </r>
  <r>
    <x v="20"/>
    <x v="159"/>
    <n v="130305376427"/>
    <n v="-328257"/>
    <n v="10957797.85"/>
    <x v="1"/>
    <n v="-326299.20477137179"/>
    <n v="-1957.7952286282089"/>
    <n v="0"/>
    <n v="0"/>
    <n v="0"/>
    <n v="-1969.54"/>
    <n v="-328257"/>
  </r>
  <r>
    <x v="21"/>
    <x v="6"/>
    <n v="130556988889"/>
    <n v="-1161.02"/>
    <n v="13016856.880000001"/>
    <x v="2"/>
    <n v="-193503.33333333331"/>
    <m/>
    <n v="0"/>
    <n v="0"/>
    <n v="0"/>
    <m/>
    <n v="-1161.02"/>
  </r>
  <r>
    <x v="21"/>
    <x v="79"/>
    <n v="130556988889"/>
    <n v="-193502.69"/>
    <n v="13018017.9"/>
    <x v="1"/>
    <n v="-192348.59840954276"/>
    <n v="-1154.0915904572466"/>
    <n v="0"/>
    <n v="0"/>
    <n v="0"/>
    <n v="-1161.02"/>
    <n v="-193502.69"/>
  </r>
  <r>
    <x v="21"/>
    <x v="6"/>
    <n v="130562398759"/>
    <n v="-819.93"/>
    <n v="12879382.15"/>
    <x v="2"/>
    <n v="-136655"/>
    <m/>
    <n v="0"/>
    <n v="0"/>
    <n v="0"/>
    <m/>
    <n v="-819.93"/>
  </r>
  <r>
    <x v="21"/>
    <x v="160"/>
    <n v="130562398759"/>
    <n v="-136654.79999999999"/>
    <n v="12880202.08"/>
    <x v="1"/>
    <n v="-135839.76143141152"/>
    <n v="-815.03856858846848"/>
    <n v="0"/>
    <n v="0"/>
    <n v="0"/>
    <n v="-819.93"/>
    <n v="-136654.79999999999"/>
  </r>
  <r>
    <x v="16"/>
    <x v="161"/>
    <n v="130619610184"/>
    <n v="349480.54"/>
    <n v="15392583.859999999"/>
    <x v="5"/>
    <n v="347396.16302186879"/>
    <n v="2084.3769781311858"/>
    <n v="0"/>
    <n v="0"/>
    <n v="0"/>
    <n v="2084.3769781311858"/>
    <n v="349480.54"/>
  </r>
  <r>
    <x v="16"/>
    <x v="6"/>
    <n v="130619610184"/>
    <n v="-2096.88"/>
    <n v="15043103.32"/>
    <x v="2"/>
    <n v="-349480"/>
    <m/>
    <n v="0"/>
    <n v="0"/>
    <n v="0"/>
    <m/>
    <n v="-2096.88"/>
  </r>
  <r>
    <x v="16"/>
    <x v="6"/>
    <n v="130619610184"/>
    <n v="2096.88"/>
    <n v="15394680.74"/>
    <x v="2"/>
    <n v="349480"/>
    <m/>
    <n v="0"/>
    <n v="0"/>
    <n v="0"/>
    <m/>
    <n v="2096.88"/>
  </r>
  <r>
    <x v="16"/>
    <x v="77"/>
    <n v="130619610184"/>
    <n v="-349480.54"/>
    <n v="15045200.199999999"/>
    <x v="1"/>
    <n v="-347396.16302186879"/>
    <n v="-2084.3769781311858"/>
    <n v="0"/>
    <n v="0"/>
    <n v="0"/>
    <n v="-2084.3769781311858"/>
    <n v="-349480.54"/>
  </r>
  <r>
    <x v="16"/>
    <x v="161"/>
    <n v="130619613726"/>
    <n v="349480.54"/>
    <n v="14047038.74"/>
    <x v="5"/>
    <n v="347396.16302186879"/>
    <n v="2084.3769781311858"/>
    <n v="0"/>
    <n v="0"/>
    <n v="0"/>
    <n v="2084.3769781311858"/>
    <n v="349480.54"/>
  </r>
  <r>
    <x v="16"/>
    <x v="6"/>
    <n v="130619613726"/>
    <n v="-2096.88"/>
    <n v="13697558.199999999"/>
    <x v="2"/>
    <n v="-349480"/>
    <m/>
    <n v="0"/>
    <n v="0"/>
    <n v="0"/>
    <m/>
    <n v="-2096.88"/>
  </r>
  <r>
    <x v="16"/>
    <x v="6"/>
    <n v="130619613726"/>
    <n v="2096.88"/>
    <n v="14049135.619999999"/>
    <x v="2"/>
    <n v="349480"/>
    <m/>
    <n v="0"/>
    <n v="0"/>
    <n v="0"/>
    <m/>
    <n v="2096.88"/>
  </r>
  <r>
    <x v="16"/>
    <x v="77"/>
    <n v="130619613726"/>
    <n v="-349480.54"/>
    <n v="13699655.08"/>
    <x v="1"/>
    <n v="-347396.16302186879"/>
    <n v="-2084.3769781311858"/>
    <n v="0"/>
    <n v="0"/>
    <n v="0"/>
    <n v="-2084.3769781311858"/>
    <n v="-349480.54"/>
  </r>
  <r>
    <x v="16"/>
    <x v="10"/>
    <n v="130620588576"/>
    <n v="-1345545.12"/>
    <n v="14049135.619999999"/>
    <x v="1"/>
    <n v="-1337520"/>
    <n v="-8025.1200000001118"/>
    <n v="0"/>
    <n v="0"/>
    <n v="0"/>
    <n v="-8025.1200000001118"/>
    <n v="-1337520"/>
  </r>
  <r>
    <x v="16"/>
    <x v="129"/>
    <n v="130657203582"/>
    <n v="-53836.09"/>
    <n v="13995299.529999999"/>
    <x v="1"/>
    <n v="-53514.999999999993"/>
    <n v="-321.09000000000378"/>
    <n v="0"/>
    <n v="0"/>
    <n v="0"/>
    <n v="-321.09000000000378"/>
    <n v="-53514.999999999993"/>
  </r>
  <r>
    <x v="16"/>
    <x v="129"/>
    <n v="130657431704"/>
    <n v="-52539.360000000001"/>
    <n v="13942760.17"/>
    <x v="1"/>
    <n v="-52226.00397614314"/>
    <n v="-313.3560238568607"/>
    <n v="0"/>
    <n v="0"/>
    <n v="0"/>
    <n v="-313.3560238568607"/>
    <n v="-52226.00397614314"/>
  </r>
  <r>
    <x v="16"/>
    <x v="129"/>
    <n v="130657597610"/>
    <n v="-24797.9"/>
    <n v="13917962.27"/>
    <x v="1"/>
    <n v="-24650"/>
    <n v="-147.90000000000146"/>
    <n v="0"/>
    <n v="0"/>
    <n v="0"/>
    <n v="-147.90000000000146"/>
    <n v="-24650"/>
  </r>
  <r>
    <x v="16"/>
    <x v="129"/>
    <n v="130657817644"/>
    <n v="-8048"/>
    <n v="13909914.27"/>
    <x v="1"/>
    <n v="-8000"/>
    <n v="-48"/>
    <n v="0"/>
    <n v="0"/>
    <n v="0"/>
    <n v="-48"/>
    <n v="-8000"/>
  </r>
  <r>
    <x v="20"/>
    <x v="0"/>
    <n v="130362900393"/>
    <n v="17760.36"/>
    <n v="10936756.609999999"/>
    <x v="0"/>
    <m/>
    <m/>
    <n v="0"/>
    <n v="-188"/>
    <n v="-738.84"/>
    <n v="-112.8"/>
    <n v="18800"/>
  </r>
  <r>
    <x v="20"/>
    <x v="0"/>
    <n v="130362869487"/>
    <n v="14798.77"/>
    <n v="10951555.380000001"/>
    <x v="0"/>
    <m/>
    <m/>
    <n v="0"/>
    <n v="-163"/>
    <n v="-1240.43"/>
    <n v="-97.8"/>
    <n v="16300"/>
  </r>
  <r>
    <x v="20"/>
    <x v="0"/>
    <n v="130363959471"/>
    <n v="4092.06"/>
    <n v="10955647.439999999"/>
    <x v="0"/>
    <m/>
    <m/>
    <n v="0"/>
    <n v="-42"/>
    <n v="-40.74"/>
    <n v="-25.2"/>
    <n v="4199.9999999999991"/>
  </r>
  <r>
    <x v="20"/>
    <x v="0"/>
    <n v="130950649594"/>
    <n v="9258.06"/>
    <n v="10964905.5"/>
    <x v="0"/>
    <m/>
    <m/>
    <n v="0"/>
    <n v="-98"/>
    <n v="-385.14"/>
    <n v="-58.8"/>
    <n v="9799.9999999999982"/>
  </r>
  <r>
    <x v="20"/>
    <x v="0"/>
    <n v="130951377050"/>
    <n v="4676.6400000000003"/>
    <n v="10969582.140000001"/>
    <x v="0"/>
    <m/>
    <m/>
    <n v="0"/>
    <n v="-48"/>
    <n v="-46.56"/>
    <n v="-28.8"/>
    <n v="4800.0000000000009"/>
  </r>
  <r>
    <x v="20"/>
    <x v="162"/>
    <n v="130367507575"/>
    <n v="469.92"/>
    <n v="10970052.060000001"/>
    <x v="0"/>
    <m/>
    <m/>
    <n v="-7.2"/>
    <n v="0"/>
    <n v="0"/>
    <n v="-2.88"/>
    <n v="480"/>
  </r>
  <r>
    <x v="20"/>
    <x v="0"/>
    <n v="130953076190"/>
    <n v="23381.25"/>
    <n v="10993433.310000001"/>
    <x v="0"/>
    <m/>
    <m/>
    <n v="0"/>
    <n v="-239.98"/>
    <n v="-232.78"/>
    <n v="-143.99"/>
    <n v="23998"/>
  </r>
  <r>
    <x v="20"/>
    <x v="0"/>
    <n v="130953551734"/>
    <n v="4676.6400000000003"/>
    <n v="10998109.949999999"/>
    <x v="0"/>
    <m/>
    <m/>
    <n v="0"/>
    <n v="-48"/>
    <n v="-46.56"/>
    <n v="-28.8"/>
    <n v="4800.0000000000009"/>
  </r>
  <r>
    <x v="20"/>
    <x v="0"/>
    <n v="130372082339"/>
    <n v="56018.82"/>
    <n v="11054128.77"/>
    <x v="0"/>
    <m/>
    <m/>
    <n v="0"/>
    <n v="-592.98"/>
    <n v="-2330.41"/>
    <n v="-355.79"/>
    <n v="59298.000000000007"/>
  </r>
  <r>
    <x v="20"/>
    <x v="0"/>
    <n v="130372023691"/>
    <n v="17245.11"/>
    <n v="11071373.880000001"/>
    <x v="0"/>
    <m/>
    <m/>
    <n v="0"/>
    <n v="-177"/>
    <n v="-171.69"/>
    <n v="-106.2"/>
    <n v="17700"/>
  </r>
  <r>
    <x v="20"/>
    <x v="0"/>
    <n v="130958785182"/>
    <n v="9104.42"/>
    <n v="11080478.300000001"/>
    <x v="0"/>
    <m/>
    <m/>
    <n v="0"/>
    <n v="-97"/>
    <n v="-440.38"/>
    <n v="-58.2"/>
    <n v="9700"/>
  </r>
  <r>
    <x v="20"/>
    <x v="0"/>
    <n v="130959127036"/>
    <n v="5066.3599999999997"/>
    <n v="11085544.66"/>
    <x v="0"/>
    <m/>
    <m/>
    <n v="0"/>
    <n v="-52"/>
    <n v="-50.44"/>
    <n v="-31.2"/>
    <n v="5199.9999999999991"/>
  </r>
  <r>
    <x v="20"/>
    <x v="0"/>
    <n v="130961561984"/>
    <n v="55931.12"/>
    <n v="11141475.779999999"/>
    <x v="0"/>
    <m/>
    <m/>
    <n v="0"/>
    <n v="-577.98"/>
    <n v="-942.11"/>
    <n v="-346.79"/>
    <n v="57798.000000000007"/>
  </r>
  <r>
    <x v="20"/>
    <x v="0"/>
    <n v="130378510101"/>
    <n v="9158.42"/>
    <n v="11150634.199999999"/>
    <x v="0"/>
    <m/>
    <m/>
    <n v="0"/>
    <n v="-94"/>
    <n v="-91.18"/>
    <n v="-56.4"/>
    <n v="9400"/>
  </r>
  <r>
    <x v="20"/>
    <x v="163"/>
    <n v="130378434449"/>
    <n v="460.13"/>
    <n v="11151094.33"/>
    <x v="0"/>
    <m/>
    <m/>
    <n v="-7.05"/>
    <n v="0"/>
    <n v="0"/>
    <n v="-2.82"/>
    <n v="470"/>
  </r>
  <r>
    <x v="20"/>
    <x v="0"/>
    <n v="130378665767"/>
    <n v="44328.7"/>
    <n v="11195423.029999999"/>
    <x v="0"/>
    <m/>
    <m/>
    <n v="0"/>
    <n v="-454.98"/>
    <n v="-441.33"/>
    <n v="-272.99"/>
    <n v="45498"/>
  </r>
  <r>
    <x v="20"/>
    <x v="0"/>
    <n v="130379169891"/>
    <n v="28985.42"/>
    <n v="11224408.449999999"/>
    <x v="0"/>
    <m/>
    <m/>
    <n v="0"/>
    <n v="-297.5"/>
    <n v="-288.58"/>
    <n v="-178.5"/>
    <n v="29750"/>
  </r>
  <r>
    <x v="20"/>
    <x v="0"/>
    <n v="130380339005"/>
    <n v="42852.88"/>
    <n v="11267261.33"/>
    <x v="0"/>
    <m/>
    <m/>
    <n v="0"/>
    <n v="-472"/>
    <n v="-3591.92"/>
    <n v="-283.2"/>
    <n v="47199.999999999993"/>
  </r>
  <r>
    <x v="20"/>
    <x v="0"/>
    <n v="130964053848"/>
    <n v="42126.559999999998"/>
    <n v="11309387.890000001"/>
    <x v="0"/>
    <m/>
    <m/>
    <n v="0"/>
    <n v="-464"/>
    <n v="-3531.04"/>
    <n v="-278.39999999999998"/>
    <n v="46400"/>
  </r>
  <r>
    <x v="22"/>
    <x v="0"/>
    <n v="130965083356"/>
    <n v="20655.16"/>
    <n v="11330043.050000001"/>
    <x v="0"/>
    <m/>
    <m/>
    <n v="0"/>
    <n v="-212"/>
    <n v="-205.64"/>
    <n v="-127.2"/>
    <n v="21200"/>
  </r>
  <r>
    <x v="22"/>
    <x v="0"/>
    <n v="130381087993"/>
    <n v="49782.86"/>
    <n v="11379825.91"/>
    <x v="0"/>
    <m/>
    <m/>
    <n v="0"/>
    <n v="-526.97"/>
    <n v="-2070.9899999999998"/>
    <n v="-316.18"/>
    <n v="52697"/>
  </r>
  <r>
    <x v="22"/>
    <x v="0"/>
    <n v="130381219961"/>
    <n v="23381.25"/>
    <n v="11403207.16"/>
    <x v="0"/>
    <m/>
    <m/>
    <n v="0"/>
    <n v="-239.98"/>
    <n v="-232.78"/>
    <n v="-143.99"/>
    <n v="23998"/>
  </r>
  <r>
    <x v="22"/>
    <x v="164"/>
    <n v="130965241174"/>
    <n v="1173.82"/>
    <n v="11404380.98"/>
    <x v="0"/>
    <m/>
    <m/>
    <n v="-17.989999999999998"/>
    <n v="0"/>
    <n v="0"/>
    <n v="-7.19"/>
    <n v="1199"/>
  </r>
  <r>
    <x v="22"/>
    <x v="0"/>
    <n v="130966019066"/>
    <n v="66544.69"/>
    <n v="11470925.67"/>
    <x v="0"/>
    <m/>
    <m/>
    <n v="0"/>
    <n v="-683"/>
    <n v="-662.51"/>
    <n v="-409.8"/>
    <n v="68300"/>
  </r>
  <r>
    <x v="22"/>
    <x v="0"/>
    <n v="130382217225"/>
    <n v="17927.12"/>
    <n v="11488852.789999999"/>
    <x v="0"/>
    <m/>
    <m/>
    <n v="0"/>
    <n v="-184"/>
    <n v="-178.48"/>
    <n v="-110.4"/>
    <n v="18400"/>
  </r>
  <r>
    <x v="22"/>
    <x v="0"/>
    <n v="130968142248"/>
    <n v="7172.41"/>
    <n v="11496025.199999999"/>
    <x v="0"/>
    <m/>
    <m/>
    <n v="0"/>
    <n v="-79"/>
    <n v="-601.19000000000005"/>
    <n v="-47.4"/>
    <n v="7900"/>
  </r>
  <r>
    <x v="22"/>
    <x v="165"/>
    <n v="130384192759"/>
    <n v="386.7"/>
    <n v="11496411.9"/>
    <x v="0"/>
    <m/>
    <m/>
    <n v="-5.93"/>
    <n v="0"/>
    <n v="0"/>
    <n v="-2.37"/>
    <n v="395"/>
  </r>
  <r>
    <x v="22"/>
    <x v="0"/>
    <n v="130968200228"/>
    <n v="3897.2"/>
    <n v="11500309.1"/>
    <x v="0"/>
    <m/>
    <m/>
    <n v="0"/>
    <n v="-40"/>
    <n v="-38.799999999999997"/>
    <n v="-24"/>
    <n v="4000"/>
  </r>
  <r>
    <x v="22"/>
    <x v="166"/>
    <n v="130968218136"/>
    <n v="195.8"/>
    <n v="11500504.9"/>
    <x v="0"/>
    <m/>
    <m/>
    <n v="-3"/>
    <n v="0"/>
    <n v="0"/>
    <n v="-1.2"/>
    <n v="200"/>
  </r>
  <r>
    <x v="22"/>
    <x v="0"/>
    <n v="130968159374"/>
    <n v="26500.959999999999"/>
    <n v="11527005.859999999"/>
    <x v="0"/>
    <m/>
    <m/>
    <n v="0"/>
    <n v="-272"/>
    <n v="-263.83999999999997"/>
    <n v="-163.19999999999999"/>
    <n v="27200"/>
  </r>
  <r>
    <x v="22"/>
    <x v="0"/>
    <n v="130968346258"/>
    <n v="9255.85"/>
    <n v="11536261.710000001"/>
    <x v="0"/>
    <m/>
    <m/>
    <n v="0"/>
    <n v="-95"/>
    <n v="-92.15"/>
    <n v="-57"/>
    <n v="9500"/>
  </r>
  <r>
    <x v="22"/>
    <x v="0"/>
    <n v="130384388375"/>
    <n v="4676.6400000000003"/>
    <n v="11540938.35"/>
    <x v="0"/>
    <m/>
    <m/>
    <n v="0"/>
    <n v="-48"/>
    <n v="-46.56"/>
    <n v="-28.8"/>
    <n v="4800.0000000000009"/>
  </r>
  <r>
    <x v="22"/>
    <x v="167"/>
    <n v="130384388377"/>
    <n v="234.96"/>
    <n v="11541173.310000001"/>
    <x v="0"/>
    <m/>
    <m/>
    <n v="-3.6"/>
    <n v="0"/>
    <n v="0"/>
    <n v="-1.44"/>
    <n v="240"/>
  </r>
  <r>
    <x v="22"/>
    <x v="0"/>
    <n v="130384380875"/>
    <n v="4357.92"/>
    <n v="11545531.23"/>
    <x v="0"/>
    <m/>
    <m/>
    <n v="0"/>
    <n v="-48"/>
    <n v="-365.28"/>
    <n v="-28.8"/>
    <n v="4800"/>
  </r>
  <r>
    <x v="22"/>
    <x v="0"/>
    <n v="130384308007"/>
    <n v="3897.2"/>
    <n v="11549428.43"/>
    <x v="0"/>
    <m/>
    <m/>
    <n v="0"/>
    <n v="-40"/>
    <n v="-38.799999999999997"/>
    <n v="-24"/>
    <n v="4000"/>
  </r>
  <r>
    <x v="22"/>
    <x v="0"/>
    <n v="130385473309"/>
    <n v="5358.65"/>
    <n v="11554787.08"/>
    <x v="0"/>
    <m/>
    <m/>
    <n v="0"/>
    <n v="-55"/>
    <n v="-53.35"/>
    <n v="-33"/>
    <n v="5500"/>
  </r>
  <r>
    <x v="22"/>
    <x v="0"/>
    <n v="130385616989"/>
    <n v="25916.38"/>
    <n v="11580703.460000001"/>
    <x v="0"/>
    <m/>
    <m/>
    <n v="0"/>
    <n v="-266"/>
    <n v="-258.02"/>
    <n v="-159.6"/>
    <n v="26600"/>
  </r>
  <r>
    <x v="22"/>
    <x v="0"/>
    <n v="130385762611"/>
    <n v="5358.65"/>
    <n v="11586062.109999999"/>
    <x v="0"/>
    <m/>
    <m/>
    <n v="0"/>
    <n v="-55"/>
    <n v="-53.35"/>
    <n v="-33"/>
    <n v="5500"/>
  </r>
  <r>
    <x v="22"/>
    <x v="0"/>
    <n v="130385928447"/>
    <n v="32639.05"/>
    <n v="11618701.16"/>
    <x v="0"/>
    <m/>
    <m/>
    <n v="0"/>
    <n v="-335"/>
    <n v="-324.95"/>
    <n v="-201"/>
    <n v="33500"/>
  </r>
  <r>
    <x v="16"/>
    <x v="129"/>
    <n v="130658026006"/>
    <n v="-23339.200000000001"/>
    <n v="13880505.369999999"/>
    <x v="1"/>
    <n v="-23200"/>
    <n v="-139.20000000000073"/>
    <n v="0"/>
    <n v="0"/>
    <n v="0"/>
    <n v="-139.20000000000073"/>
    <n v="-23200"/>
  </r>
  <r>
    <x v="23"/>
    <x v="63"/>
    <n v="130711943539"/>
    <n v="-74435.95"/>
    <n v="13347628.43"/>
    <x v="1"/>
    <n v="-73991.99801192843"/>
    <n v="-443.95198807156703"/>
    <n v="0"/>
    <n v="0"/>
    <n v="0"/>
    <n v="-443.95198807156703"/>
    <n v="-73991.99801192843"/>
  </r>
  <r>
    <x v="24"/>
    <x v="6"/>
    <n v="130865941389"/>
    <n v="-633.87"/>
    <n v="15902933.119999999"/>
    <x v="2"/>
    <n v="-105645"/>
    <m/>
    <n v="0"/>
    <n v="0"/>
    <n v="0"/>
    <m/>
    <n v="-633.87"/>
  </r>
  <r>
    <x v="24"/>
    <x v="9"/>
    <n v="130865941389"/>
    <n v="-105644.22"/>
    <n v="15903566.99"/>
    <x v="1"/>
    <n v="-105014.1351888668"/>
    <n v="-630.08481113320158"/>
    <n v="0"/>
    <n v="0"/>
    <n v="0"/>
    <n v="-633.87"/>
    <n v="-105644.22"/>
  </r>
  <r>
    <x v="24"/>
    <x v="6"/>
    <n v="130866282799"/>
    <n v="-461.48"/>
    <n v="16009211.210000001"/>
    <x v="2"/>
    <n v="-76913.333333333328"/>
    <m/>
    <n v="0"/>
    <n v="0"/>
    <n v="0"/>
    <m/>
    <n v="-461.48"/>
  </r>
  <r>
    <x v="24"/>
    <x v="9"/>
    <n v="130866282799"/>
    <n v="-76912.600000000006"/>
    <n v="16009672.689999999"/>
    <x v="1"/>
    <n v="-76453.876739562635"/>
    <n v="-458.72326043737121"/>
    <n v="0"/>
    <n v="0"/>
    <n v="0"/>
    <n v="-461.48"/>
    <n v="-76912.600000000006"/>
  </r>
  <r>
    <x v="22"/>
    <x v="0"/>
    <n v="131071540454"/>
    <n v="7794.4"/>
    <n v="10472399.949999999"/>
    <x v="0"/>
    <m/>
    <m/>
    <n v="0"/>
    <n v="-80"/>
    <n v="-77.599999999999994"/>
    <n v="-48"/>
    <n v="8000"/>
  </r>
  <r>
    <x v="22"/>
    <x v="0"/>
    <n v="130485510525"/>
    <n v="4774.07"/>
    <n v="10477174.02"/>
    <x v="0"/>
    <m/>
    <m/>
    <n v="0"/>
    <n v="-49"/>
    <n v="-47.53"/>
    <n v="-29.4"/>
    <n v="4899.9999999999991"/>
  </r>
  <r>
    <x v="22"/>
    <x v="0"/>
    <n v="130487069719"/>
    <n v="23423.82"/>
    <n v="10500597.84"/>
    <x v="0"/>
    <m/>
    <m/>
    <n v="0"/>
    <n v="-258"/>
    <n v="-1963.38"/>
    <n v="-154.80000000000001"/>
    <n v="25800"/>
  </r>
  <r>
    <x v="22"/>
    <x v="27"/>
    <n v="130487394525"/>
    <n v="2525.8200000000002"/>
    <n v="10503123.66"/>
    <x v="0"/>
    <m/>
    <m/>
    <n v="-38.700000000000003"/>
    <n v="0"/>
    <n v="0"/>
    <n v="-15.48"/>
    <n v="2580"/>
  </r>
  <r>
    <x v="22"/>
    <x v="0"/>
    <n v="131074278650"/>
    <n v="18706.560000000001"/>
    <n v="10521830.220000001"/>
    <x v="0"/>
    <m/>
    <m/>
    <n v="0"/>
    <n v="-192"/>
    <n v="-186.24"/>
    <n v="-115.2"/>
    <n v="19200.000000000004"/>
  </r>
  <r>
    <x v="22"/>
    <x v="0"/>
    <n v="131076012574"/>
    <n v="1889.4"/>
    <n v="10523719.619999999"/>
    <x v="0"/>
    <m/>
    <m/>
    <n v="0"/>
    <n v="-20"/>
    <n v="-78.599999999999994"/>
    <n v="-12"/>
    <n v="2000"/>
  </r>
  <r>
    <x v="22"/>
    <x v="0"/>
    <n v="130491825175"/>
    <n v="21653.41"/>
    <n v="10545373.029999999"/>
    <x v="0"/>
    <m/>
    <m/>
    <n v="0"/>
    <n v="-238.5"/>
    <n v="-1814.99"/>
    <n v="-143.1"/>
    <n v="23850"/>
  </r>
  <r>
    <x v="22"/>
    <x v="2"/>
    <n v="130491895093"/>
    <n v="2334.91"/>
    <n v="10547707.939999999"/>
    <x v="0"/>
    <m/>
    <m/>
    <n v="-35.78"/>
    <n v="0"/>
    <n v="0"/>
    <n v="-14.31"/>
    <n v="2385"/>
  </r>
  <r>
    <x v="22"/>
    <x v="0"/>
    <n v="131078679332"/>
    <n v="16563.099999999999"/>
    <n v="10564271.039999999"/>
    <x v="0"/>
    <m/>
    <m/>
    <n v="0"/>
    <n v="-170"/>
    <n v="-164.9"/>
    <n v="-102"/>
    <n v="17000"/>
  </r>
  <r>
    <x v="22"/>
    <x v="168"/>
    <n v="131078727208"/>
    <n v="2496.4499999999998"/>
    <n v="10566767.49"/>
    <x v="0"/>
    <m/>
    <m/>
    <n v="-38.25"/>
    <n v="0"/>
    <n v="0"/>
    <n v="-15.3"/>
    <n v="2550"/>
  </r>
  <r>
    <x v="22"/>
    <x v="0"/>
    <n v="130492403155"/>
    <n v="9069.1200000000008"/>
    <n v="10575836.609999999"/>
    <x v="0"/>
    <m/>
    <m/>
    <n v="0"/>
    <n v="-96"/>
    <n v="-377.28"/>
    <n v="-57.6"/>
    <n v="9600.0000000000018"/>
  </r>
  <r>
    <x v="22"/>
    <x v="0"/>
    <n v="131079257414"/>
    <n v="13603.68"/>
    <n v="10589440.289999999"/>
    <x v="0"/>
    <m/>
    <m/>
    <n v="0"/>
    <n v="-144"/>
    <n v="-565.91999999999996"/>
    <n v="-86.4"/>
    <n v="14400"/>
  </r>
  <r>
    <x v="22"/>
    <x v="0"/>
    <n v="131080816358"/>
    <n v="14029.92"/>
    <n v="10603470.210000001"/>
    <x v="0"/>
    <m/>
    <m/>
    <n v="0"/>
    <n v="-144"/>
    <n v="-139.68"/>
    <n v="-86.4"/>
    <n v="14400"/>
  </r>
  <r>
    <x v="22"/>
    <x v="169"/>
    <n v="131080543782"/>
    <n v="1409.76"/>
    <n v="10604879.970000001"/>
    <x v="0"/>
    <m/>
    <m/>
    <n v="-21.6"/>
    <n v="0"/>
    <n v="0"/>
    <n v="-8.64"/>
    <n v="1440"/>
  </r>
  <r>
    <x v="22"/>
    <x v="0"/>
    <n v="130494768229"/>
    <n v="14264.97"/>
    <n v="10619144.939999999"/>
    <x v="0"/>
    <m/>
    <m/>
    <n v="0"/>
    <n v="-151"/>
    <n v="-593.42999999999995"/>
    <n v="-90.6"/>
    <n v="15100"/>
  </r>
  <r>
    <x v="22"/>
    <x v="0"/>
    <n v="130494783229"/>
    <n v="9198.2800000000007"/>
    <n v="10628343.220000001"/>
    <x v="0"/>
    <m/>
    <m/>
    <n v="0"/>
    <n v="-98"/>
    <n v="-444.92"/>
    <n v="-58.8"/>
    <n v="9800"/>
  </r>
  <r>
    <x v="22"/>
    <x v="0"/>
    <n v="131082125710"/>
    <n v="4481.78"/>
    <n v="10632825"/>
    <x v="0"/>
    <m/>
    <m/>
    <n v="0"/>
    <n v="-46"/>
    <n v="-44.62"/>
    <n v="-27.6"/>
    <n v="4600"/>
  </r>
  <r>
    <x v="22"/>
    <x v="0"/>
    <n v="130495738913"/>
    <n v="4676.6400000000003"/>
    <n v="10637501.640000001"/>
    <x v="0"/>
    <m/>
    <m/>
    <n v="0"/>
    <n v="-48"/>
    <n v="-46.56"/>
    <n v="-28.8"/>
    <n v="4800.0000000000009"/>
  </r>
  <r>
    <x v="22"/>
    <x v="0"/>
    <n v="130496329581"/>
    <n v="2922.9"/>
    <n v="10640424.539999999"/>
    <x v="0"/>
    <m/>
    <m/>
    <n v="0"/>
    <n v="-30"/>
    <n v="-29.1"/>
    <n v="-18"/>
    <n v="3000"/>
  </r>
  <r>
    <x v="22"/>
    <x v="0"/>
    <n v="130496869105"/>
    <n v="4676.6400000000003"/>
    <n v="10645101.18"/>
    <x v="0"/>
    <m/>
    <m/>
    <n v="0"/>
    <n v="-48"/>
    <n v="-46.56"/>
    <n v="-28.8"/>
    <n v="4800.0000000000009"/>
  </r>
  <r>
    <x v="22"/>
    <x v="0"/>
    <n v="130497206277"/>
    <n v="14029.92"/>
    <n v="10659131.1"/>
    <x v="0"/>
    <m/>
    <m/>
    <n v="0"/>
    <n v="-144"/>
    <n v="-139.68"/>
    <n v="-86.4"/>
    <n v="14400"/>
  </r>
  <r>
    <x v="22"/>
    <x v="0"/>
    <n v="130497161841"/>
    <n v="8378.98"/>
    <n v="10667510.08"/>
    <x v="0"/>
    <m/>
    <m/>
    <n v="0"/>
    <n v="-86"/>
    <n v="-83.42"/>
    <n v="-51.6"/>
    <n v="8600"/>
  </r>
  <r>
    <x v="22"/>
    <x v="0"/>
    <n v="131084083926"/>
    <n v="4534.5600000000004"/>
    <n v="10672044.640000001"/>
    <x v="0"/>
    <m/>
    <m/>
    <n v="0"/>
    <n v="-48"/>
    <n v="-188.64"/>
    <n v="-28.8"/>
    <n v="4800.0000000000009"/>
  </r>
  <r>
    <x v="22"/>
    <x v="0"/>
    <n v="131084512264"/>
    <n v="7557.6"/>
    <n v="10679602.24"/>
    <x v="0"/>
    <m/>
    <m/>
    <n v="0"/>
    <n v="-80"/>
    <n v="-314.39999999999998"/>
    <n v="-48"/>
    <n v="8000"/>
  </r>
  <r>
    <x v="22"/>
    <x v="0"/>
    <n v="131084590632"/>
    <n v="78126.69"/>
    <n v="10757728.93"/>
    <x v="0"/>
    <m/>
    <m/>
    <n v="0"/>
    <n v="-827"/>
    <n v="-3250.11"/>
    <n v="-496.2"/>
    <n v="82700"/>
  </r>
  <r>
    <x v="22"/>
    <x v="0"/>
    <n v="131084662508"/>
    <n v="7794.4"/>
    <n v="10765523.33"/>
    <x v="0"/>
    <m/>
    <m/>
    <n v="0"/>
    <n v="-80"/>
    <n v="-77.599999999999994"/>
    <n v="-48"/>
    <n v="8000"/>
  </r>
  <r>
    <x v="22"/>
    <x v="170"/>
    <n v="130498159109"/>
    <n v="391.6"/>
    <n v="10765914.93"/>
    <x v="0"/>
    <m/>
    <m/>
    <n v="-6"/>
    <n v="0"/>
    <n v="0"/>
    <n v="-2.4"/>
    <n v="400"/>
  </r>
  <r>
    <x v="22"/>
    <x v="0"/>
    <n v="131084747440"/>
    <n v="4286.92"/>
    <n v="10770201.85"/>
    <x v="0"/>
    <m/>
    <m/>
    <n v="0"/>
    <n v="-44"/>
    <n v="-42.68"/>
    <n v="-26.4"/>
    <n v="4400"/>
  </r>
  <r>
    <x v="22"/>
    <x v="0"/>
    <n v="130498345131"/>
    <n v="4092.06"/>
    <n v="10774293.91"/>
    <x v="0"/>
    <m/>
    <m/>
    <n v="0"/>
    <n v="-42"/>
    <n v="-40.74"/>
    <n v="-25.2"/>
    <n v="4199.9999999999991"/>
  </r>
  <r>
    <x v="22"/>
    <x v="0"/>
    <n v="130498487107"/>
    <n v="8573.84"/>
    <n v="10782867.75"/>
    <x v="0"/>
    <m/>
    <m/>
    <n v="0"/>
    <n v="-88"/>
    <n v="-85.36"/>
    <n v="-52.8"/>
    <n v="8800"/>
  </r>
  <r>
    <x v="22"/>
    <x v="0"/>
    <n v="131086009404"/>
    <n v="4676.6400000000003"/>
    <n v="10787544.390000001"/>
    <x v="0"/>
    <m/>
    <m/>
    <n v="0"/>
    <n v="-48"/>
    <n v="-46.56"/>
    <n v="-28.8"/>
    <n v="4800.0000000000009"/>
  </r>
  <r>
    <x v="22"/>
    <x v="0"/>
    <n v="130499575511"/>
    <n v="11691.6"/>
    <n v="10799235.99"/>
    <x v="0"/>
    <m/>
    <m/>
    <n v="0"/>
    <n v="-120"/>
    <n v="-116.4"/>
    <n v="-72"/>
    <n v="12000"/>
  </r>
  <r>
    <x v="22"/>
    <x v="171"/>
    <n v="130499718765"/>
    <n v="587.4"/>
    <n v="10799823.390000001"/>
    <x v="0"/>
    <m/>
    <m/>
    <n v="-9"/>
    <n v="0"/>
    <n v="0"/>
    <n v="-3.6"/>
    <n v="600"/>
  </r>
  <r>
    <x v="22"/>
    <x v="0"/>
    <n v="131086304876"/>
    <n v="20460.3"/>
    <n v="10820283.689999999"/>
    <x v="0"/>
    <m/>
    <m/>
    <n v="0"/>
    <n v="-210"/>
    <n v="-203.7"/>
    <n v="-126"/>
    <n v="21000"/>
  </r>
  <r>
    <x v="22"/>
    <x v="0"/>
    <n v="131086444340"/>
    <n v="36406.79"/>
    <n v="10856690.48"/>
    <x v="0"/>
    <m/>
    <m/>
    <n v="0"/>
    <n v="-401"/>
    <n v="-3051.61"/>
    <n v="-240.6"/>
    <n v="40100"/>
  </r>
  <r>
    <x v="22"/>
    <x v="0"/>
    <n v="131086501014"/>
    <n v="17999.22"/>
    <n v="10874689.699999999"/>
    <x v="0"/>
    <m/>
    <m/>
    <n v="0"/>
    <n v="-186"/>
    <n v="-303.18"/>
    <n v="-111.6"/>
    <n v="18600"/>
  </r>
  <r>
    <x v="22"/>
    <x v="0"/>
    <n v="131086678184"/>
    <n v="7891.83"/>
    <n v="10882581.529999999"/>
    <x v="0"/>
    <m/>
    <m/>
    <n v="0"/>
    <n v="-81"/>
    <n v="-78.569999999999993"/>
    <n v="-48.6"/>
    <n v="8100"/>
  </r>
  <r>
    <x v="22"/>
    <x v="0"/>
    <n v="131087257486"/>
    <n v="4676.6400000000003"/>
    <n v="10887258.17"/>
    <x v="0"/>
    <m/>
    <m/>
    <n v="0"/>
    <n v="-48"/>
    <n v="-46.56"/>
    <n v="-28.8"/>
    <n v="4800.0000000000009"/>
  </r>
  <r>
    <x v="22"/>
    <x v="0"/>
    <n v="131088135338"/>
    <n v="7696.97"/>
    <n v="10894955.140000001"/>
    <x v="0"/>
    <m/>
    <m/>
    <n v="0"/>
    <n v="-79"/>
    <n v="-76.63"/>
    <n v="-47.4"/>
    <n v="7900"/>
  </r>
  <r>
    <x v="22"/>
    <x v="0"/>
    <n v="131088197646"/>
    <n v="65180.67"/>
    <n v="10960135.810000001"/>
    <x v="0"/>
    <m/>
    <m/>
    <n v="0"/>
    <n v="-669"/>
    <n v="-648.92999999999995"/>
    <n v="-401.4"/>
    <n v="66899.999999999985"/>
  </r>
  <r>
    <x v="22"/>
    <x v="0"/>
    <n v="131088652378"/>
    <n v="3897.2"/>
    <n v="10964033.01"/>
    <x v="0"/>
    <m/>
    <m/>
    <n v="0"/>
    <n v="-40"/>
    <n v="-38.799999999999997"/>
    <n v="-24"/>
    <n v="4000"/>
  </r>
  <r>
    <x v="22"/>
    <x v="0"/>
    <n v="130502296115"/>
    <n v="5358.65"/>
    <n v="10969391.66"/>
    <x v="0"/>
    <m/>
    <m/>
    <n v="0"/>
    <n v="-55"/>
    <n v="-53.35"/>
    <n v="-33"/>
    <n v="5500"/>
  </r>
  <r>
    <x v="22"/>
    <x v="0"/>
    <n v="131089296298"/>
    <n v="17829.689999999999"/>
    <n v="10987221.35"/>
    <x v="0"/>
    <m/>
    <m/>
    <n v="0"/>
    <n v="-183"/>
    <n v="-177.51"/>
    <n v="-109.8"/>
    <n v="18299.999999999996"/>
  </r>
  <r>
    <x v="22"/>
    <x v="0"/>
    <n v="131089712824"/>
    <n v="29472.04"/>
    <n v="11016693.390000001"/>
    <x v="0"/>
    <m/>
    <m/>
    <n v="0"/>
    <n v="-314"/>
    <n v="-1425.56"/>
    <n v="-188.4"/>
    <n v="31400.000000000004"/>
  </r>
  <r>
    <x v="22"/>
    <x v="0"/>
    <n v="131089749914"/>
    <n v="14614.5"/>
    <n v="11031307.890000001"/>
    <x v="0"/>
    <m/>
    <m/>
    <n v="0"/>
    <n v="-150"/>
    <n v="-145.5"/>
    <n v="-90"/>
    <n v="15000"/>
  </r>
  <r>
    <x v="22"/>
    <x v="0"/>
    <n v="130503293867"/>
    <n v="18894"/>
    <n v="11050201.890000001"/>
    <x v="0"/>
    <m/>
    <m/>
    <n v="0"/>
    <n v="-200"/>
    <n v="-786"/>
    <n v="-120"/>
    <n v="20000"/>
  </r>
  <r>
    <x v="22"/>
    <x v="0"/>
    <n v="130503430043"/>
    <n v="7557.6"/>
    <n v="11057759.49"/>
    <x v="0"/>
    <m/>
    <m/>
    <n v="0"/>
    <n v="-80"/>
    <n v="-314.39999999999998"/>
    <n v="-48"/>
    <n v="8000"/>
  </r>
  <r>
    <x v="22"/>
    <x v="0"/>
    <n v="130503902335"/>
    <n v="23480.63"/>
    <n v="11081240.119999999"/>
    <x v="0"/>
    <m/>
    <m/>
    <n v="0"/>
    <n v="-241"/>
    <n v="-233.77"/>
    <n v="-144.6"/>
    <n v="24100"/>
  </r>
  <r>
    <x v="22"/>
    <x v="0"/>
    <n v="131090503118"/>
    <n v="11691.6"/>
    <n v="11092931.720000001"/>
    <x v="0"/>
    <m/>
    <m/>
    <n v="0"/>
    <n v="-120"/>
    <n v="-116.4"/>
    <n v="-72"/>
    <n v="12000"/>
  </r>
  <r>
    <x v="22"/>
    <x v="0"/>
    <n v="130504284429"/>
    <n v="4579.21"/>
    <n v="11097510.93"/>
    <x v="0"/>
    <m/>
    <m/>
    <n v="0"/>
    <n v="-47"/>
    <n v="-45.59"/>
    <n v="-28.2"/>
    <n v="4700"/>
  </r>
  <r>
    <x v="22"/>
    <x v="0"/>
    <n v="130504289461"/>
    <n v="18706.560000000001"/>
    <n v="11116217.49"/>
    <x v="0"/>
    <m/>
    <m/>
    <n v="0"/>
    <n v="-192"/>
    <n v="-186.24"/>
    <n v="-115.2"/>
    <n v="19200.000000000004"/>
  </r>
  <r>
    <x v="22"/>
    <x v="172"/>
    <n v="131090844954"/>
    <n v="1879.68"/>
    <n v="11118097.17"/>
    <x v="0"/>
    <m/>
    <m/>
    <n v="-28.8"/>
    <n v="0"/>
    <n v="0"/>
    <n v="-11.52"/>
    <n v="1920"/>
  </r>
  <r>
    <x v="22"/>
    <x v="0"/>
    <n v="131091206920"/>
    <n v="65570.39"/>
    <n v="11183667.560000001"/>
    <x v="0"/>
    <m/>
    <m/>
    <n v="0"/>
    <n v="-673"/>
    <n v="-652.80999999999995"/>
    <n v="-403.8"/>
    <n v="67300"/>
  </r>
  <r>
    <x v="22"/>
    <x v="0"/>
    <n v="130505110651"/>
    <n v="48463.11"/>
    <n v="11232130.67"/>
    <x v="0"/>
    <m/>
    <m/>
    <n v="0"/>
    <n v="-513"/>
    <n v="-2016.09"/>
    <n v="-307.8"/>
    <n v="51300"/>
  </r>
  <r>
    <x v="22"/>
    <x v="0"/>
    <n v="131091722710"/>
    <n v="28057.59"/>
    <n v="11260188.26"/>
    <x v="0"/>
    <m/>
    <m/>
    <n v="0"/>
    <n v="-297"/>
    <n v="-1167.21"/>
    <n v="-178.2"/>
    <n v="29700"/>
  </r>
  <r>
    <x v="22"/>
    <x v="0"/>
    <n v="130505317979"/>
    <n v="13934.88"/>
    <n v="11274123.140000001"/>
    <x v="0"/>
    <m/>
    <m/>
    <n v="0"/>
    <n v="-144"/>
    <n v="-234.72"/>
    <n v="-86.4"/>
    <n v="14399.999999999998"/>
  </r>
  <r>
    <x v="22"/>
    <x v="0"/>
    <n v="131092165922"/>
    <n v="13445.34"/>
    <n v="11287568.48"/>
    <x v="0"/>
    <m/>
    <m/>
    <n v="0"/>
    <n v="-138"/>
    <n v="-133.86000000000001"/>
    <n v="-82.8"/>
    <n v="13800"/>
  </r>
  <r>
    <x v="22"/>
    <x v="0"/>
    <n v="130505544007"/>
    <n v="4676.6400000000003"/>
    <n v="11292245.119999999"/>
    <x v="0"/>
    <m/>
    <m/>
    <n v="0"/>
    <n v="-48"/>
    <n v="-46.56"/>
    <n v="-28.8"/>
    <n v="4800.0000000000009"/>
  </r>
  <r>
    <x v="22"/>
    <x v="0"/>
    <n v="131092388010"/>
    <n v="15588.8"/>
    <n v="11307833.92"/>
    <x v="0"/>
    <m/>
    <m/>
    <n v="0"/>
    <n v="-160"/>
    <n v="-155.19999999999999"/>
    <n v="-96"/>
    <n v="16000"/>
  </r>
  <r>
    <x v="22"/>
    <x v="0"/>
    <n v="131092700948"/>
    <n v="19486"/>
    <n v="11327319.92"/>
    <x v="0"/>
    <m/>
    <m/>
    <n v="0"/>
    <n v="-200"/>
    <n v="-194"/>
    <n v="-120"/>
    <n v="20000"/>
  </r>
  <r>
    <x v="21"/>
    <x v="0"/>
    <n v="130506540145"/>
    <n v="7014.96"/>
    <n v="11334334.880000001"/>
    <x v="0"/>
    <m/>
    <m/>
    <n v="0"/>
    <n v="-72"/>
    <n v="-69.84"/>
    <n v="-43.2"/>
    <n v="7200"/>
  </r>
  <r>
    <x v="21"/>
    <x v="0"/>
    <n v="131093035938"/>
    <n v="9255.85"/>
    <n v="11343590.73"/>
    <x v="0"/>
    <m/>
    <m/>
    <n v="0"/>
    <n v="-95"/>
    <n v="-92.15"/>
    <n v="-57"/>
    <n v="9500"/>
  </r>
  <r>
    <x v="21"/>
    <x v="0"/>
    <n v="130506520857"/>
    <n v="10717.3"/>
    <n v="11354308.029999999"/>
    <x v="0"/>
    <m/>
    <m/>
    <n v="0"/>
    <n v="-110"/>
    <n v="-106.7"/>
    <n v="-66"/>
    <n v="11000"/>
  </r>
  <r>
    <x v="21"/>
    <x v="0"/>
    <n v="130506636747"/>
    <n v="7014.96"/>
    <n v="11361322.99"/>
    <x v="0"/>
    <m/>
    <m/>
    <n v="0"/>
    <n v="-72"/>
    <n v="-69.84"/>
    <n v="-43.2"/>
    <n v="7200"/>
  </r>
  <r>
    <x v="21"/>
    <x v="0"/>
    <n v="130506543981"/>
    <n v="34198.14"/>
    <n v="11395521.130000001"/>
    <x v="0"/>
    <m/>
    <m/>
    <n v="0"/>
    <n v="-362"/>
    <n v="-1422.66"/>
    <n v="-217.2"/>
    <n v="36200"/>
  </r>
  <r>
    <x v="21"/>
    <x v="0"/>
    <n v="131093307644"/>
    <n v="4676.6400000000003"/>
    <n v="11400197.77"/>
    <x v="0"/>
    <m/>
    <m/>
    <n v="0"/>
    <n v="-48"/>
    <n v="-46.56"/>
    <n v="-28.8"/>
    <n v="4800.0000000000009"/>
  </r>
  <r>
    <x v="21"/>
    <x v="0"/>
    <n v="130506875805"/>
    <n v="24357.5"/>
    <n v="11424555.27"/>
    <x v="0"/>
    <m/>
    <m/>
    <n v="0"/>
    <n v="-250"/>
    <n v="-242.5"/>
    <n v="-150"/>
    <n v="25000"/>
  </r>
  <r>
    <x v="21"/>
    <x v="0"/>
    <n v="131093488060"/>
    <n v="41661.269999999997"/>
    <n v="11466216.539999999"/>
    <x v="0"/>
    <m/>
    <m/>
    <n v="0"/>
    <n v="-441"/>
    <n v="-1733.13"/>
    <n v="-264.60000000000002"/>
    <n v="44099.999999999993"/>
  </r>
  <r>
    <x v="21"/>
    <x v="0"/>
    <n v="131093724984"/>
    <n v="37023.4"/>
    <n v="11503239.939999999"/>
    <x v="0"/>
    <m/>
    <m/>
    <n v="0"/>
    <n v="-380"/>
    <n v="-368.6"/>
    <n v="-228"/>
    <n v="38000"/>
  </r>
  <r>
    <x v="21"/>
    <x v="0"/>
    <n v="130507452383"/>
    <n v="139362.65"/>
    <n v="11642602.59"/>
    <x v="0"/>
    <m/>
    <m/>
    <n v="0"/>
    <n v="-1535"/>
    <n v="-11681.35"/>
    <n v="-921"/>
    <n v="153500"/>
  </r>
  <r>
    <x v="21"/>
    <x v="0"/>
    <n v="131093866884"/>
    <n v="81451.48"/>
    <n v="11724054.07"/>
    <x v="0"/>
    <m/>
    <m/>
    <n v="0"/>
    <n v="-836"/>
    <n v="-810.92"/>
    <n v="-501.6"/>
    <n v="83600"/>
  </r>
  <r>
    <x v="21"/>
    <x v="0"/>
    <n v="131094045138"/>
    <n v="27085.54"/>
    <n v="11751139.609999999"/>
    <x v="0"/>
    <m/>
    <m/>
    <n v="0"/>
    <n v="-278"/>
    <n v="-269.66000000000003"/>
    <n v="-166.8"/>
    <n v="27800"/>
  </r>
  <r>
    <x v="21"/>
    <x v="0"/>
    <n v="130507633683"/>
    <n v="52807.06"/>
    <n v="11803946.67"/>
    <x v="0"/>
    <m/>
    <m/>
    <n v="0"/>
    <n v="-542"/>
    <n v="-525.74"/>
    <n v="-325.2"/>
    <n v="54199.999999999993"/>
  </r>
  <r>
    <x v="21"/>
    <x v="0"/>
    <n v="131094372322"/>
    <n v="26403.53"/>
    <n v="11830350.199999999"/>
    <x v="0"/>
    <m/>
    <m/>
    <n v="0"/>
    <n v="-271"/>
    <n v="-262.87"/>
    <n v="-162.6"/>
    <n v="27099.999999999996"/>
  </r>
  <r>
    <x v="21"/>
    <x v="0"/>
    <n v="131094378520"/>
    <n v="18657.84"/>
    <n v="11849008.039999999"/>
    <x v="0"/>
    <m/>
    <m/>
    <n v="0"/>
    <n v="-191.5"/>
    <n v="-185.76"/>
    <n v="-114.9"/>
    <n v="19150"/>
  </r>
  <r>
    <x v="21"/>
    <x v="0"/>
    <n v="130508048215"/>
    <n v="15398.61"/>
    <n v="11864406.65"/>
    <x v="0"/>
    <m/>
    <m/>
    <n v="0"/>
    <n v="-163"/>
    <n v="-640.59"/>
    <n v="-97.8"/>
    <n v="16300"/>
  </r>
  <r>
    <x v="21"/>
    <x v="0"/>
    <n v="130507917861"/>
    <n v="8768.7000000000007"/>
    <n v="11873175.35"/>
    <x v="0"/>
    <m/>
    <m/>
    <n v="0"/>
    <n v="-90"/>
    <n v="-87.3"/>
    <n v="-54"/>
    <n v="9000"/>
  </r>
  <r>
    <x v="21"/>
    <x v="0"/>
    <n v="131094616418"/>
    <n v="8768.7000000000007"/>
    <n v="11881944.050000001"/>
    <x v="0"/>
    <m/>
    <m/>
    <n v="0"/>
    <n v="-90"/>
    <n v="-87.3"/>
    <n v="-54"/>
    <n v="9000"/>
  </r>
  <r>
    <x v="21"/>
    <x v="173"/>
    <n v="130508136391"/>
    <n v="440.55"/>
    <n v="11882384.6"/>
    <x v="0"/>
    <m/>
    <m/>
    <n v="-6.75"/>
    <n v="0"/>
    <n v="0"/>
    <n v="-2.7"/>
    <n v="450"/>
  </r>
  <r>
    <x v="21"/>
    <x v="0"/>
    <n v="130508269613"/>
    <n v="16173.38"/>
    <n v="11898557.98"/>
    <x v="0"/>
    <m/>
    <m/>
    <n v="0"/>
    <n v="-166"/>
    <n v="-161.02000000000001"/>
    <n v="-99.6"/>
    <n v="16599.999999999996"/>
  </r>
  <r>
    <x v="21"/>
    <x v="0"/>
    <n v="130508474545"/>
    <n v="164461.84"/>
    <n v="12063019.82"/>
    <x v="0"/>
    <m/>
    <m/>
    <n v="0"/>
    <n v="-1688"/>
    <n v="-1637.36"/>
    <n v="-1012.8"/>
    <n v="168799.99999999997"/>
  </r>
  <r>
    <x v="21"/>
    <x v="0"/>
    <n v="130508519393"/>
    <n v="14359.44"/>
    <n v="12077379.26"/>
    <x v="0"/>
    <m/>
    <m/>
    <n v="0"/>
    <n v="-152"/>
    <n v="-597.36"/>
    <n v="-91.2"/>
    <n v="15200.000000000002"/>
  </r>
  <r>
    <x v="21"/>
    <x v="0"/>
    <n v="130508644291"/>
    <n v="31469.89"/>
    <n v="12108849.15"/>
    <x v="0"/>
    <m/>
    <m/>
    <n v="0"/>
    <n v="-323"/>
    <n v="-313.31"/>
    <n v="-193.8"/>
    <n v="32300"/>
  </r>
  <r>
    <x v="21"/>
    <x v="174"/>
    <n v="130508600809"/>
    <n v="3162.17"/>
    <n v="12112011.32"/>
    <x v="0"/>
    <m/>
    <m/>
    <n v="-48.45"/>
    <n v="0"/>
    <n v="0"/>
    <n v="-19.38"/>
    <n v="3230"/>
  </r>
  <r>
    <x v="21"/>
    <x v="0"/>
    <n v="130508658823"/>
    <n v="18706.560000000001"/>
    <n v="12130717.880000001"/>
    <x v="0"/>
    <m/>
    <m/>
    <n v="0"/>
    <n v="-192"/>
    <n v="-186.24"/>
    <n v="-115.2"/>
    <n v="19200.000000000004"/>
  </r>
  <r>
    <x v="21"/>
    <x v="0"/>
    <n v="130508778187"/>
    <n v="182096.67"/>
    <n v="12312814.550000001"/>
    <x v="0"/>
    <m/>
    <m/>
    <n v="0"/>
    <n v="-1869"/>
    <n v="-1812.93"/>
    <n v="-1121.4000000000001"/>
    <n v="186900"/>
  </r>
  <r>
    <x v="21"/>
    <x v="0"/>
    <n v="131095221900"/>
    <n v="14711.93"/>
    <n v="12327526.48"/>
    <x v="0"/>
    <m/>
    <m/>
    <n v="0"/>
    <n v="-151"/>
    <n v="-146.47"/>
    <n v="-90.6"/>
    <n v="15100"/>
  </r>
  <r>
    <x v="21"/>
    <x v="0"/>
    <n v="131095368770"/>
    <n v="11241.93"/>
    <n v="12338768.41"/>
    <x v="0"/>
    <m/>
    <m/>
    <n v="0"/>
    <n v="-119"/>
    <n v="-467.67"/>
    <n v="-71.400000000000006"/>
    <n v="11900"/>
  </r>
  <r>
    <x v="21"/>
    <x v="0"/>
    <n v="130508847989"/>
    <n v="18755.27"/>
    <n v="12357523.68"/>
    <x v="0"/>
    <m/>
    <m/>
    <n v="0"/>
    <n v="-192.5"/>
    <n v="-186.73"/>
    <n v="-115.5"/>
    <n v="19250"/>
  </r>
  <r>
    <x v="21"/>
    <x v="175"/>
    <n v="131095516238"/>
    <n v="1884.57"/>
    <n v="12359408.25"/>
    <x v="0"/>
    <m/>
    <m/>
    <n v="-28.88"/>
    <n v="0"/>
    <n v="0"/>
    <n v="-11.55"/>
    <n v="1925"/>
  </r>
  <r>
    <x v="21"/>
    <x v="0"/>
    <n v="131095375852"/>
    <n v="23383.200000000001"/>
    <n v="12382791.449999999"/>
    <x v="0"/>
    <m/>
    <m/>
    <n v="0"/>
    <n v="-240"/>
    <n v="-232.8"/>
    <n v="-144"/>
    <n v="24000"/>
  </r>
  <r>
    <x v="21"/>
    <x v="0"/>
    <n v="130509236797"/>
    <n v="7989.26"/>
    <n v="12390780.710000001"/>
    <x v="0"/>
    <m/>
    <m/>
    <n v="0"/>
    <n v="-82"/>
    <n v="-79.540000000000006"/>
    <n v="-49.2"/>
    <n v="8200"/>
  </r>
  <r>
    <x v="21"/>
    <x v="0"/>
    <n v="131095647968"/>
    <n v="16075.95"/>
    <n v="12406856.66"/>
    <x v="0"/>
    <m/>
    <m/>
    <n v="0"/>
    <n v="-165"/>
    <n v="-160.05000000000001"/>
    <n v="-99"/>
    <n v="16500"/>
  </r>
  <r>
    <x v="21"/>
    <x v="0"/>
    <n v="131095954450"/>
    <n v="23239.62"/>
    <n v="12430096.279999999"/>
    <x v="0"/>
    <m/>
    <m/>
    <n v="0"/>
    <n v="-246"/>
    <n v="-966.78"/>
    <n v="-147.6"/>
    <n v="24599.999999999996"/>
  </r>
  <r>
    <x v="21"/>
    <x v="0"/>
    <n v="130509464861"/>
    <n v="8573.84"/>
    <n v="12438670.119999999"/>
    <x v="0"/>
    <m/>
    <m/>
    <n v="0"/>
    <n v="-88"/>
    <n v="-85.36"/>
    <n v="-52.8"/>
    <n v="8800"/>
  </r>
  <r>
    <x v="21"/>
    <x v="0"/>
    <n v="130509481677"/>
    <n v="14029.92"/>
    <n v="12452700.039999999"/>
    <x v="0"/>
    <m/>
    <m/>
    <n v="0"/>
    <n v="-144"/>
    <n v="-139.68"/>
    <n v="-86.4"/>
    <n v="14400"/>
  </r>
  <r>
    <x v="21"/>
    <x v="0"/>
    <n v="131096089826"/>
    <n v="9353.2800000000007"/>
    <n v="12462053.32"/>
    <x v="0"/>
    <m/>
    <m/>
    <n v="0"/>
    <n v="-96"/>
    <n v="-93.12"/>
    <n v="-57.6"/>
    <n v="9600.0000000000018"/>
  </r>
  <r>
    <x v="21"/>
    <x v="0"/>
    <n v="131096174768"/>
    <n v="16855.39"/>
    <n v="12478908.710000001"/>
    <x v="0"/>
    <m/>
    <m/>
    <n v="0"/>
    <n v="-173"/>
    <n v="-167.81"/>
    <n v="-103.8"/>
    <n v="17300"/>
  </r>
  <r>
    <x v="21"/>
    <x v="0"/>
    <n v="131096234866"/>
    <n v="7794.4"/>
    <n v="12486703.109999999"/>
    <x v="0"/>
    <m/>
    <m/>
    <n v="0"/>
    <n v="-80"/>
    <n v="-77.599999999999994"/>
    <n v="-48"/>
    <n v="8000"/>
  </r>
  <r>
    <x v="21"/>
    <x v="0"/>
    <n v="130509962431"/>
    <n v="4676.6400000000003"/>
    <n v="12491379.75"/>
    <x v="0"/>
    <m/>
    <m/>
    <n v="0"/>
    <n v="-48"/>
    <n v="-46.56"/>
    <n v="-28.8"/>
    <n v="4800.0000000000009"/>
  </r>
  <r>
    <x v="21"/>
    <x v="0"/>
    <n v="131096447346"/>
    <n v="15686.23"/>
    <n v="12507065.98"/>
    <x v="0"/>
    <m/>
    <m/>
    <n v="0"/>
    <n v="-161"/>
    <n v="-156.16999999999999"/>
    <n v="-96.6"/>
    <n v="16100"/>
  </r>
  <r>
    <x v="21"/>
    <x v="0"/>
    <n v="130510019279"/>
    <n v="4505.28"/>
    <n v="12511571.26"/>
    <x v="0"/>
    <m/>
    <m/>
    <n v="0"/>
    <n v="-48"/>
    <n v="-217.92"/>
    <n v="-28.8"/>
    <n v="4800"/>
  </r>
  <r>
    <x v="21"/>
    <x v="0"/>
    <n v="131096730214"/>
    <n v="4676.6400000000003"/>
    <n v="12516247.9"/>
    <x v="0"/>
    <m/>
    <m/>
    <n v="0"/>
    <n v="-48"/>
    <n v="-46.56"/>
    <n v="-28.8"/>
    <n v="4800.0000000000009"/>
  </r>
  <r>
    <x v="21"/>
    <x v="0"/>
    <n v="131096867212"/>
    <n v="4676.6400000000003"/>
    <n v="12520924.539999999"/>
    <x v="0"/>
    <m/>
    <m/>
    <n v="0"/>
    <n v="-48"/>
    <n v="-46.56"/>
    <n v="-28.8"/>
    <n v="4800.0000000000009"/>
  </r>
  <r>
    <x v="21"/>
    <x v="0"/>
    <n v="131097041416"/>
    <n v="89343.31"/>
    <n v="12610267.85"/>
    <x v="0"/>
    <m/>
    <m/>
    <n v="0"/>
    <n v="-917"/>
    <n v="-889.49"/>
    <n v="-550.20000000000005"/>
    <n v="91700"/>
  </r>
  <r>
    <x v="21"/>
    <x v="0"/>
    <n v="131097201364"/>
    <n v="4676.6400000000003"/>
    <n v="12614944.49"/>
    <x v="0"/>
    <m/>
    <m/>
    <n v="0"/>
    <n v="-48"/>
    <n v="-46.56"/>
    <n v="-28.8"/>
    <n v="4800.0000000000009"/>
  </r>
  <r>
    <x v="21"/>
    <x v="0"/>
    <n v="130510711625"/>
    <n v="8378.98"/>
    <n v="12623323.470000001"/>
    <x v="0"/>
    <m/>
    <m/>
    <n v="0"/>
    <n v="-86"/>
    <n v="-83.42"/>
    <n v="-51.6"/>
    <n v="8600"/>
  </r>
  <r>
    <x v="21"/>
    <x v="22"/>
    <n v="130510892843"/>
    <n v="841.94"/>
    <n v="12624165.41"/>
    <x v="0"/>
    <m/>
    <m/>
    <n v="-12.9"/>
    <n v="0"/>
    <n v="0"/>
    <n v="-5.16"/>
    <n v="860"/>
  </r>
  <r>
    <x v="21"/>
    <x v="0"/>
    <n v="130510713801"/>
    <n v="4676.6400000000003"/>
    <n v="12628842.050000001"/>
    <x v="0"/>
    <m/>
    <m/>
    <n v="0"/>
    <n v="-48"/>
    <n v="-46.56"/>
    <n v="-28.8"/>
    <n v="4800.0000000000009"/>
  </r>
  <r>
    <x v="21"/>
    <x v="119"/>
    <n v="130510701953"/>
    <n v="704.88"/>
    <n v="12629546.93"/>
    <x v="0"/>
    <m/>
    <m/>
    <n v="-10.8"/>
    <n v="0"/>
    <n v="0"/>
    <n v="-4.32"/>
    <n v="720"/>
  </r>
  <r>
    <x v="21"/>
    <x v="0"/>
    <n v="130511034159"/>
    <n v="26984.75"/>
    <n v="12656531.68"/>
    <x v="0"/>
    <m/>
    <m/>
    <n v="0"/>
    <n v="-287.5"/>
    <n v="-1305.25"/>
    <n v="-172.5"/>
    <n v="28750"/>
  </r>
  <r>
    <x v="21"/>
    <x v="0"/>
    <n v="130511024259"/>
    <n v="21921.75"/>
    <n v="12678453.43"/>
    <x v="0"/>
    <m/>
    <m/>
    <n v="0"/>
    <n v="-225"/>
    <n v="-218.25"/>
    <n v="-135"/>
    <n v="22500"/>
  </r>
  <r>
    <x v="21"/>
    <x v="0"/>
    <n v="131097471030"/>
    <n v="8018.72"/>
    <n v="12686472.15"/>
    <x v="0"/>
    <m/>
    <m/>
    <n v="0"/>
    <n v="-92"/>
    <n v="-1034.08"/>
    <n v="-55.2"/>
    <n v="9200"/>
  </r>
  <r>
    <x v="21"/>
    <x v="0"/>
    <n v="130510939873"/>
    <n v="9667.58"/>
    <n v="12696139.73"/>
    <x v="0"/>
    <m/>
    <m/>
    <n v="0"/>
    <n v="-103"/>
    <n v="-467.62"/>
    <n v="-61.8"/>
    <n v="10300"/>
  </r>
  <r>
    <x v="21"/>
    <x v="0"/>
    <n v="130510987923"/>
    <n v="15393.04"/>
    <n v="12711532.77"/>
    <x v="0"/>
    <m/>
    <m/>
    <n v="0"/>
    <n v="-164"/>
    <n v="-744.56"/>
    <n v="-98.4"/>
    <n v="16400"/>
  </r>
  <r>
    <x v="21"/>
    <x v="0"/>
    <n v="130511115179"/>
    <n v="14079"/>
    <n v="12725611.77"/>
    <x v="0"/>
    <m/>
    <m/>
    <n v="0"/>
    <n v="-150"/>
    <n v="-681"/>
    <n v="-90"/>
    <n v="15000"/>
  </r>
  <r>
    <x v="21"/>
    <x v="0"/>
    <n v="130511316897"/>
    <n v="23772.92"/>
    <n v="12749384.689999999"/>
    <x v="0"/>
    <m/>
    <m/>
    <n v="0"/>
    <n v="-244"/>
    <n v="-236.68"/>
    <n v="-146.4"/>
    <n v="24400"/>
  </r>
  <r>
    <x v="21"/>
    <x v="0"/>
    <n v="131097846962"/>
    <n v="10717.3"/>
    <n v="12760101.99"/>
    <x v="0"/>
    <m/>
    <m/>
    <n v="0"/>
    <n v="-110"/>
    <n v="-106.7"/>
    <n v="-66"/>
    <n v="11000"/>
  </r>
  <r>
    <x v="21"/>
    <x v="0"/>
    <n v="130511698427"/>
    <n v="17439.97"/>
    <n v="12777541.960000001"/>
    <x v="0"/>
    <m/>
    <m/>
    <n v="0"/>
    <n v="-179"/>
    <n v="-173.63"/>
    <n v="-107.4"/>
    <n v="17900.000000000004"/>
  </r>
  <r>
    <x v="21"/>
    <x v="0"/>
    <n v="131098306232"/>
    <n v="71513.62"/>
    <n v="12849055.58"/>
    <x v="0"/>
    <m/>
    <m/>
    <n v="0"/>
    <n v="-734"/>
    <n v="-711.98"/>
    <n v="-440.4"/>
    <n v="73399.999999999985"/>
  </r>
  <r>
    <x v="21"/>
    <x v="0"/>
    <n v="131098312446"/>
    <n v="4384.3500000000004"/>
    <n v="12853439.93"/>
    <x v="0"/>
    <m/>
    <m/>
    <n v="0"/>
    <n v="-45"/>
    <n v="-43.65"/>
    <n v="-27"/>
    <n v="4500"/>
  </r>
  <r>
    <x v="21"/>
    <x v="0"/>
    <n v="130511872803"/>
    <n v="18803.990000000002"/>
    <n v="12872243.92"/>
    <x v="0"/>
    <m/>
    <m/>
    <n v="0"/>
    <n v="-193"/>
    <n v="-187.21"/>
    <n v="-115.8"/>
    <n v="19300"/>
  </r>
  <r>
    <x v="21"/>
    <x v="0"/>
    <n v="131098450400"/>
    <n v="4183.68"/>
    <n v="12876427.6"/>
    <x v="0"/>
    <m/>
    <m/>
    <n v="0"/>
    <n v="-48"/>
    <n v="-539.52"/>
    <n v="-28.8"/>
    <n v="4800.0000000000009"/>
  </r>
  <r>
    <x v="21"/>
    <x v="0"/>
    <n v="131098620974"/>
    <n v="4286.92"/>
    <n v="12880714.52"/>
    <x v="0"/>
    <m/>
    <m/>
    <n v="0"/>
    <n v="-44"/>
    <n v="-42.68"/>
    <n v="-26.4"/>
    <n v="4400"/>
  </r>
  <r>
    <x v="21"/>
    <x v="0"/>
    <n v="131098699670"/>
    <n v="3778.8"/>
    <n v="12884493.32"/>
    <x v="0"/>
    <m/>
    <m/>
    <n v="0"/>
    <n v="-40"/>
    <n v="-157.19999999999999"/>
    <n v="-24"/>
    <n v="4000"/>
  </r>
  <r>
    <x v="21"/>
    <x v="0"/>
    <n v="130512338739"/>
    <n v="90880.14"/>
    <n v="12975373.460000001"/>
    <x v="0"/>
    <m/>
    <m/>
    <n v="0"/>
    <n v="-962"/>
    <n v="-3780.66"/>
    <n v="-577.20000000000005"/>
    <n v="96200"/>
  </r>
  <r>
    <x v="21"/>
    <x v="0"/>
    <n v="130512335019"/>
    <n v="8866.1299999999992"/>
    <n v="12984239.59"/>
    <x v="0"/>
    <m/>
    <m/>
    <n v="0"/>
    <n v="-91"/>
    <n v="-88.27"/>
    <n v="-54.6"/>
    <n v="9100"/>
  </r>
  <r>
    <x v="21"/>
    <x v="0"/>
    <n v="131099034366"/>
    <n v="18706.560000000001"/>
    <n v="13002946.15"/>
    <x v="0"/>
    <m/>
    <m/>
    <n v="0"/>
    <n v="-192"/>
    <n v="-186.24"/>
    <n v="-115.2"/>
    <n v="19200.000000000004"/>
  </r>
  <r>
    <x v="21"/>
    <x v="0"/>
    <n v="131098837484"/>
    <n v="14809.36"/>
    <n v="13017755.51"/>
    <x v="0"/>
    <m/>
    <m/>
    <n v="0"/>
    <n v="-152"/>
    <n v="-147.44"/>
    <n v="-91.2"/>
    <n v="15200.000000000002"/>
  </r>
  <r>
    <x v="21"/>
    <x v="0"/>
    <n v="130512369709"/>
    <n v="4676.6400000000003"/>
    <n v="13022432.15"/>
    <x v="0"/>
    <m/>
    <m/>
    <n v="0"/>
    <n v="-48"/>
    <n v="-46.56"/>
    <n v="-28.8"/>
    <n v="4800.0000000000009"/>
  </r>
  <r>
    <x v="21"/>
    <x v="176"/>
    <n v="130512480681"/>
    <n v="469.92"/>
    <n v="13022902.07"/>
    <x v="0"/>
    <m/>
    <m/>
    <n v="-7.2"/>
    <n v="0"/>
    <n v="0"/>
    <n v="-2.88"/>
    <n v="480"/>
  </r>
  <r>
    <x v="21"/>
    <x v="0"/>
    <n v="130512724637"/>
    <n v="8573.84"/>
    <n v="13031475.91"/>
    <x v="0"/>
    <m/>
    <m/>
    <n v="0"/>
    <n v="-88"/>
    <n v="-85.36"/>
    <n v="-52.8"/>
    <n v="8800"/>
  </r>
  <r>
    <x v="21"/>
    <x v="0"/>
    <n v="131099256710"/>
    <n v="2338.3200000000002"/>
    <n v="13033814.23"/>
    <x v="0"/>
    <m/>
    <m/>
    <n v="0"/>
    <n v="-24"/>
    <n v="-23.28"/>
    <n v="-14.4"/>
    <n v="2400.0000000000005"/>
  </r>
  <r>
    <x v="21"/>
    <x v="0"/>
    <n v="130512786585"/>
    <n v="26500.959999999999"/>
    <n v="13060315.189999999"/>
    <x v="0"/>
    <m/>
    <m/>
    <n v="0"/>
    <n v="-272"/>
    <n v="-263.83999999999997"/>
    <n v="-163.19999999999999"/>
    <n v="27200"/>
  </r>
  <r>
    <x v="21"/>
    <x v="0"/>
    <n v="131099366712"/>
    <n v="3897.2"/>
    <n v="13064212.390000001"/>
    <x v="0"/>
    <m/>
    <m/>
    <n v="0"/>
    <n v="-40"/>
    <n v="-38.799999999999997"/>
    <n v="-24"/>
    <n v="4000"/>
  </r>
  <r>
    <x v="21"/>
    <x v="0"/>
    <n v="131099538364"/>
    <n v="5358.65"/>
    <n v="13069571.039999999"/>
    <x v="0"/>
    <m/>
    <m/>
    <n v="0"/>
    <n v="-55"/>
    <n v="-53.35"/>
    <n v="-33"/>
    <n v="5500"/>
  </r>
  <r>
    <x v="21"/>
    <x v="0"/>
    <n v="131099810152"/>
    <n v="20649.2"/>
    <n v="13090220.24"/>
    <x v="0"/>
    <m/>
    <m/>
    <n v="0"/>
    <n v="-220"/>
    <n v="-998.8"/>
    <n v="-132"/>
    <n v="22000"/>
  </r>
  <r>
    <x v="21"/>
    <x v="0"/>
    <n v="131099852998"/>
    <n v="12373.61"/>
    <n v="13102593.85"/>
    <x v="0"/>
    <m/>
    <m/>
    <n v="0"/>
    <n v="-127"/>
    <n v="-123.19"/>
    <n v="-76.2"/>
    <n v="12700.000000000002"/>
  </r>
  <r>
    <x v="21"/>
    <x v="0"/>
    <n v="131099953892"/>
    <n v="51443.040000000001"/>
    <n v="13154036.890000001"/>
    <x v="0"/>
    <m/>
    <m/>
    <n v="0"/>
    <n v="-528"/>
    <n v="-512.16"/>
    <n v="-316.8"/>
    <n v="52800.000000000007"/>
  </r>
  <r>
    <x v="21"/>
    <x v="0"/>
    <n v="130513557473"/>
    <n v="57483.7"/>
    <n v="13211520.59"/>
    <x v="0"/>
    <m/>
    <m/>
    <n v="0"/>
    <n v="-590"/>
    <n v="-572.29999999999995"/>
    <n v="-354"/>
    <n v="59000"/>
  </r>
  <r>
    <x v="24"/>
    <x v="6"/>
    <n v="130866917027"/>
    <n v="-1525.96"/>
    <n v="15647080.16"/>
    <x v="2"/>
    <n v="-254326.66666666666"/>
    <m/>
    <n v="0"/>
    <n v="0"/>
    <n v="0"/>
    <m/>
    <n v="-1525.96"/>
  </r>
  <r>
    <x v="24"/>
    <x v="9"/>
    <n v="130866917027"/>
    <n v="-254327"/>
    <n v="15648606.119999999"/>
    <x v="1"/>
    <n v="-252810.13916500992"/>
    <n v="-1516.8608349900751"/>
    <n v="0"/>
    <n v="0"/>
    <n v="0"/>
    <n v="-1525.96"/>
    <n v="-254327"/>
  </r>
  <r>
    <x v="24"/>
    <x v="6"/>
    <n v="130874468153"/>
    <n v="-154.01"/>
    <n v="15621258.15"/>
    <x v="2"/>
    <n v="-25668.333333333332"/>
    <m/>
    <n v="0"/>
    <n v="0"/>
    <n v="0"/>
    <m/>
    <n v="-154.01"/>
  </r>
  <r>
    <x v="24"/>
    <x v="177"/>
    <n v="130874468153"/>
    <n v="-25668"/>
    <n v="15621412.16"/>
    <x v="1"/>
    <n v="-25514.910536779324"/>
    <n v="-153.08946322067641"/>
    <n v="0"/>
    <n v="0"/>
    <n v="0"/>
    <n v="-154.01"/>
    <n v="-25668"/>
  </r>
  <r>
    <x v="21"/>
    <x v="0"/>
    <n v="131188487220"/>
    <n v="12764.96"/>
    <n v="12892147.109999999"/>
    <x v="0"/>
    <m/>
    <m/>
    <n v="0"/>
    <n v="-136"/>
    <n v="-617.44000000000005"/>
    <n v="-81.599999999999994"/>
    <n v="13600"/>
  </r>
  <r>
    <x v="21"/>
    <x v="0"/>
    <n v="131204235834"/>
    <n v="9353.2800000000007"/>
    <n v="12901500.390000001"/>
    <x v="0"/>
    <m/>
    <m/>
    <n v="0"/>
    <n v="-96"/>
    <n v="-93.12"/>
    <n v="-57.6"/>
    <n v="9600.0000000000018"/>
  </r>
  <r>
    <x v="21"/>
    <x v="178"/>
    <n v="130617378717"/>
    <n v="1409.76"/>
    <n v="12902910.15"/>
    <x v="0"/>
    <m/>
    <m/>
    <n v="-21.6"/>
    <n v="0"/>
    <n v="0"/>
    <n v="-8.64"/>
    <n v="1440"/>
  </r>
  <r>
    <x v="21"/>
    <x v="0"/>
    <n v="131207745972"/>
    <n v="4676.6400000000003"/>
    <n v="12907586.789999999"/>
    <x v="0"/>
    <m/>
    <m/>
    <n v="0"/>
    <n v="-48"/>
    <n v="-46.56"/>
    <n v="-28.8"/>
    <n v="4800.0000000000009"/>
  </r>
  <r>
    <x v="21"/>
    <x v="0"/>
    <n v="131207941346"/>
    <n v="11399.31"/>
    <n v="12918986.1"/>
    <x v="0"/>
    <m/>
    <m/>
    <n v="0"/>
    <n v="-117"/>
    <n v="-113.49"/>
    <n v="-70.2"/>
    <n v="11700"/>
  </r>
  <r>
    <x v="21"/>
    <x v="68"/>
    <n v="131207877872"/>
    <n v="572.71"/>
    <n v="12919558.810000001"/>
    <x v="0"/>
    <m/>
    <m/>
    <n v="-8.7799999999999994"/>
    <n v="0"/>
    <n v="0"/>
    <n v="-3.51"/>
    <n v="585"/>
  </r>
  <r>
    <x v="21"/>
    <x v="0"/>
    <n v="130623777749"/>
    <n v="9353.2800000000007"/>
    <n v="12928912.09"/>
    <x v="0"/>
    <m/>
    <m/>
    <n v="0"/>
    <n v="-96"/>
    <n v="-93.12"/>
    <n v="-57.6"/>
    <n v="9600.0000000000018"/>
  </r>
  <r>
    <x v="21"/>
    <x v="0"/>
    <n v="130624176389"/>
    <n v="9353.2800000000007"/>
    <n v="12938265.369999999"/>
    <x v="0"/>
    <m/>
    <m/>
    <n v="0"/>
    <n v="-96"/>
    <n v="-93.12"/>
    <n v="-57.6"/>
    <n v="9600.0000000000018"/>
  </r>
  <r>
    <x v="21"/>
    <x v="0"/>
    <n v="130624345861"/>
    <n v="20216.580000000002"/>
    <n v="12958481.949999999"/>
    <x v="0"/>
    <m/>
    <m/>
    <n v="0"/>
    <n v="-214"/>
    <n v="-841.02"/>
    <n v="-128.4"/>
    <n v="21400.000000000004"/>
  </r>
  <r>
    <x v="21"/>
    <x v="0"/>
    <n v="131212377844"/>
    <n v="41797.47"/>
    <n v="13000279.42"/>
    <x v="0"/>
    <m/>
    <m/>
    <n v="0"/>
    <n v="-429"/>
    <n v="-416.13"/>
    <n v="-257.39999999999998"/>
    <n v="42900"/>
  </r>
  <r>
    <x v="21"/>
    <x v="0"/>
    <n v="131213004572"/>
    <n v="4676.6400000000003"/>
    <n v="13004956.060000001"/>
    <x v="0"/>
    <m/>
    <m/>
    <n v="0"/>
    <n v="-48"/>
    <n v="-46.56"/>
    <n v="-28.8"/>
    <n v="4800.0000000000009"/>
  </r>
  <r>
    <x v="21"/>
    <x v="0"/>
    <n v="130626395735"/>
    <n v="89337.68"/>
    <n v="13094293.74"/>
    <x v="0"/>
    <m/>
    <m/>
    <n v="0"/>
    <n v="-948.2"/>
    <n v="-3913.48"/>
    <n v="-620.64"/>
    <n v="94819.999999999985"/>
  </r>
  <r>
    <x v="21"/>
    <x v="0"/>
    <n v="130626570147"/>
    <n v="4534.5600000000004"/>
    <n v="13098828.300000001"/>
    <x v="0"/>
    <m/>
    <m/>
    <n v="0"/>
    <n v="-48"/>
    <n v="-188.64"/>
    <n v="-28.8"/>
    <n v="4800.0000000000009"/>
  </r>
  <r>
    <x v="21"/>
    <x v="0"/>
    <n v="131215483074"/>
    <n v="9548.14"/>
    <n v="13108376.439999999"/>
    <x v="0"/>
    <m/>
    <m/>
    <n v="0"/>
    <n v="-98"/>
    <n v="-95.06"/>
    <n v="-58.8"/>
    <n v="9799.9999999999982"/>
  </r>
  <r>
    <x v="21"/>
    <x v="0"/>
    <n v="131220424334"/>
    <n v="8768.7000000000007"/>
    <n v="13117145.140000001"/>
    <x v="0"/>
    <m/>
    <m/>
    <n v="0"/>
    <n v="-90"/>
    <n v="-87.3"/>
    <n v="-54"/>
    <n v="9000"/>
  </r>
  <r>
    <x v="21"/>
    <x v="0"/>
    <n v="131222097832"/>
    <n v="16910.13"/>
    <n v="13134055.27"/>
    <x v="0"/>
    <m/>
    <m/>
    <n v="0"/>
    <n v="-179"/>
    <n v="-703.47"/>
    <n v="-107.4"/>
    <n v="17900.000000000004"/>
  </r>
  <r>
    <x v="21"/>
    <x v="0"/>
    <n v="130635351707"/>
    <n v="34764.959999999999"/>
    <n v="13168820.23"/>
    <x v="0"/>
    <m/>
    <m/>
    <n v="0"/>
    <n v="-368"/>
    <n v="-1446.24"/>
    <n v="-220.8"/>
    <n v="36800"/>
  </r>
  <r>
    <x v="21"/>
    <x v="0"/>
    <n v="130635780689"/>
    <n v="4129.84"/>
    <n v="13172950.07"/>
    <x v="0"/>
    <m/>
    <m/>
    <n v="0"/>
    <n v="-44"/>
    <n v="-199.76"/>
    <n v="-26.4"/>
    <n v="4400"/>
  </r>
  <r>
    <x v="23"/>
    <x v="0"/>
    <n v="131223611256"/>
    <n v="58360.57"/>
    <n v="13231310.640000001"/>
    <x v="0"/>
    <m/>
    <m/>
    <n v="0"/>
    <n v="-599"/>
    <n v="-581.03"/>
    <n v="-359.4"/>
    <n v="59900"/>
  </r>
  <r>
    <x v="23"/>
    <x v="0"/>
    <n v="131224705868"/>
    <n v="4912.4399999999996"/>
    <n v="13236223.08"/>
    <x v="0"/>
    <m/>
    <m/>
    <n v="0"/>
    <n v="-52"/>
    <n v="-204.36"/>
    <n v="-31.2"/>
    <n v="5199.9999999999991"/>
  </r>
  <r>
    <x v="23"/>
    <x v="0"/>
    <n v="131224829468"/>
    <n v="98501.73"/>
    <n v="13334724.810000001"/>
    <x v="0"/>
    <m/>
    <m/>
    <n v="0"/>
    <n v="-1011"/>
    <n v="-980.67"/>
    <n v="-606.6"/>
    <n v="101100"/>
  </r>
  <r>
    <x v="23"/>
    <x v="0"/>
    <n v="130637902867"/>
    <n v="9450.7099999999991"/>
    <n v="13344175.52"/>
    <x v="0"/>
    <m/>
    <m/>
    <n v="0"/>
    <n v="-97"/>
    <n v="-94.09"/>
    <n v="-58.2"/>
    <n v="9700"/>
  </r>
  <r>
    <x v="23"/>
    <x v="0"/>
    <n v="130639275959"/>
    <n v="45031.839999999997"/>
    <n v="13389207.359999999"/>
    <x v="0"/>
    <m/>
    <m/>
    <n v="0"/>
    <n v="-496"/>
    <n v="-3774.56"/>
    <n v="-297.60000000000002"/>
    <n v="49599.999999999993"/>
  </r>
  <r>
    <x v="23"/>
    <x v="0"/>
    <n v="130640359985"/>
    <n v="42382.05"/>
    <n v="13431589.41"/>
    <x v="0"/>
    <m/>
    <m/>
    <n v="0"/>
    <n v="-435"/>
    <n v="-421.95"/>
    <n v="-261"/>
    <n v="43500"/>
  </r>
  <r>
    <x v="23"/>
    <x v="0"/>
    <n v="130640958813"/>
    <n v="47740.7"/>
    <n v="13479330.109999999"/>
    <x v="0"/>
    <m/>
    <m/>
    <n v="0"/>
    <n v="-490"/>
    <n v="-475.3"/>
    <n v="-294"/>
    <n v="49000"/>
  </r>
  <r>
    <x v="23"/>
    <x v="119"/>
    <n v="130640843819"/>
    <n v="4797.1000000000004"/>
    <n v="13484127.210000001"/>
    <x v="0"/>
    <m/>
    <m/>
    <n v="-73.5"/>
    <n v="0"/>
    <n v="0"/>
    <n v="-29.4"/>
    <n v="4900"/>
  </r>
  <r>
    <x v="23"/>
    <x v="0"/>
    <n v="130641673553"/>
    <n v="17732.259999999998"/>
    <n v="13501859.470000001"/>
    <x v="0"/>
    <m/>
    <m/>
    <n v="0"/>
    <n v="-182"/>
    <n v="-176.54"/>
    <n v="-109.2"/>
    <n v="18200"/>
  </r>
  <r>
    <x v="23"/>
    <x v="0"/>
    <n v="131229100860"/>
    <n v="8124.42"/>
    <n v="13509983.890000001"/>
    <x v="0"/>
    <m/>
    <m/>
    <n v="0"/>
    <n v="-86"/>
    <n v="-337.98"/>
    <n v="-51.6"/>
    <n v="8600"/>
  </r>
  <r>
    <x v="23"/>
    <x v="0"/>
    <n v="131229851002"/>
    <n v="45986.96"/>
    <n v="13555970.85"/>
    <x v="0"/>
    <m/>
    <m/>
    <n v="0"/>
    <n v="-472"/>
    <n v="-457.84"/>
    <n v="-283.2"/>
    <n v="47199.999999999993"/>
  </r>
  <r>
    <x v="23"/>
    <x v="0"/>
    <n v="130642704973"/>
    <n v="18706.560000000001"/>
    <n v="13574677.41"/>
    <x v="0"/>
    <m/>
    <m/>
    <n v="0"/>
    <n v="-192"/>
    <n v="-186.24"/>
    <n v="-115.2"/>
    <n v="19200.000000000004"/>
  </r>
  <r>
    <x v="23"/>
    <x v="0"/>
    <n v="130642807553"/>
    <n v="28352.13"/>
    <n v="13603029.539999999"/>
    <x v="0"/>
    <m/>
    <m/>
    <n v="0"/>
    <n v="-291"/>
    <n v="-282.27"/>
    <n v="-174.6"/>
    <n v="29100"/>
  </r>
  <r>
    <x v="23"/>
    <x v="179"/>
    <n v="130642851035"/>
    <n v="2848.89"/>
    <n v="13605878.43"/>
    <x v="0"/>
    <m/>
    <m/>
    <n v="-43.65"/>
    <n v="0"/>
    <n v="0"/>
    <n v="-17.46"/>
    <n v="2910"/>
  </r>
  <r>
    <x v="20"/>
    <x v="6"/>
    <n v="130885539658"/>
    <n v="-6445.36"/>
    <n v="11286054.85"/>
    <x v="2"/>
    <n v="-1074226.6666666665"/>
    <m/>
    <n v="0"/>
    <n v="0"/>
    <n v="0"/>
    <m/>
    <n v="-6445.36"/>
  </r>
  <r>
    <x v="20"/>
    <x v="11"/>
    <n v="130885539658"/>
    <n v="-1074225.8999999999"/>
    <n v="11292500.210000001"/>
    <x v="1"/>
    <n v="-1067818.9860834989"/>
    <n v="-6406.9139165009838"/>
    <n v="0"/>
    <n v="0"/>
    <n v="0"/>
    <n v="-6445.36"/>
    <n v="-1074225.8999999999"/>
  </r>
  <r>
    <x v="20"/>
    <x v="8"/>
    <n v="130909261908"/>
    <n v="-36832.06"/>
    <n v="10918996.25"/>
    <x v="1"/>
    <n v="-36612.385685884692"/>
    <n v="-219.67431411530561"/>
    <n v="0"/>
    <n v="0"/>
    <n v="0"/>
    <n v="-219.67"/>
    <n v="-36612.39"/>
  </r>
  <r>
    <x v="25"/>
    <x v="122"/>
    <n v="130992012699"/>
    <n v="-891316"/>
    <n v="14590914.550000001"/>
    <x v="4"/>
    <n v="-886000"/>
    <n v="-5316"/>
    <n v="0"/>
    <n v="0"/>
    <n v="0"/>
    <n v="-5316"/>
    <n v="-886000"/>
  </r>
  <r>
    <x v="22"/>
    <x v="6"/>
    <n v="131007519350"/>
    <n v="-2695.27"/>
    <n v="10861371.960000001"/>
    <x v="2"/>
    <n v="-449211.66666666663"/>
    <m/>
    <n v="0"/>
    <n v="0"/>
    <n v="0"/>
    <m/>
    <n v="-2695.27"/>
  </r>
  <r>
    <x v="22"/>
    <x v="180"/>
    <n v="131007519350"/>
    <n v="-449212.33"/>
    <n v="10864067.23"/>
    <x v="1"/>
    <n v="-446533.13121272367"/>
    <n v="-2679.198787276342"/>
    <n v="0"/>
    <n v="0"/>
    <n v="0"/>
    <n v="-2695.27"/>
    <n v="-449212.33"/>
  </r>
  <r>
    <x v="23"/>
    <x v="0"/>
    <n v="130719097737"/>
    <n v="4335.63"/>
    <n v="13201156.609999999"/>
    <x v="0"/>
    <m/>
    <m/>
    <n v="0"/>
    <n v="-44.5"/>
    <n v="-43.17"/>
    <n v="-26.7"/>
    <n v="4450"/>
  </r>
  <r>
    <x v="23"/>
    <x v="181"/>
    <n v="130719190771"/>
    <n v="217.34"/>
    <n v="13201373.949999999"/>
    <x v="0"/>
    <m/>
    <m/>
    <n v="-3.33"/>
    <n v="0"/>
    <n v="0"/>
    <n v="-1.33"/>
    <n v="222.00000000000003"/>
  </r>
  <r>
    <x v="23"/>
    <x v="0"/>
    <n v="130724478645"/>
    <n v="23578.06"/>
    <n v="13224952.01"/>
    <x v="0"/>
    <m/>
    <m/>
    <n v="0"/>
    <n v="-242"/>
    <n v="-234.74"/>
    <n v="-145.19999999999999"/>
    <n v="24200.000000000004"/>
  </r>
  <r>
    <x v="23"/>
    <x v="0"/>
    <n v="130725052849"/>
    <n v="11301.88"/>
    <n v="13236253.890000001"/>
    <x v="0"/>
    <m/>
    <m/>
    <n v="0"/>
    <n v="-116"/>
    <n v="-112.52"/>
    <n v="-69.599999999999994"/>
    <n v="11600"/>
  </r>
  <r>
    <x v="23"/>
    <x v="0"/>
    <n v="130725248729"/>
    <n v="14029.92"/>
    <n v="13250283.810000001"/>
    <x v="0"/>
    <m/>
    <m/>
    <n v="0"/>
    <n v="-144"/>
    <n v="-139.68"/>
    <n v="-86.4"/>
    <n v="14400"/>
  </r>
  <r>
    <x v="23"/>
    <x v="68"/>
    <n v="130725169621"/>
    <n v="704.88"/>
    <n v="13250988.689999999"/>
    <x v="0"/>
    <m/>
    <m/>
    <n v="-10.8"/>
    <n v="0"/>
    <n v="0"/>
    <n v="-4.32"/>
    <n v="720"/>
  </r>
  <r>
    <x v="23"/>
    <x v="0"/>
    <n v="130725213917"/>
    <n v="4774.07"/>
    <n v="13255762.76"/>
    <x v="0"/>
    <m/>
    <m/>
    <n v="0"/>
    <n v="-49"/>
    <n v="-47.53"/>
    <n v="-29.4"/>
    <n v="4899.9999999999991"/>
  </r>
  <r>
    <x v="23"/>
    <x v="0"/>
    <n v="131314622960"/>
    <n v="18138.240000000002"/>
    <n v="13273901"/>
    <x v="0"/>
    <m/>
    <m/>
    <n v="0"/>
    <n v="-192"/>
    <n v="-754.56"/>
    <n v="-115.2"/>
    <n v="19200.000000000004"/>
  </r>
  <r>
    <x v="23"/>
    <x v="0"/>
    <n v="130727892081"/>
    <n v="15004.22"/>
    <n v="13288905.220000001"/>
    <x v="0"/>
    <m/>
    <m/>
    <n v="0"/>
    <n v="-154"/>
    <n v="-149.38"/>
    <n v="-92.4"/>
    <n v="15399.999999999998"/>
  </r>
  <r>
    <x v="23"/>
    <x v="0"/>
    <n v="131315931076"/>
    <n v="18138.240000000002"/>
    <n v="13307043.460000001"/>
    <x v="0"/>
    <m/>
    <m/>
    <n v="0"/>
    <n v="-192"/>
    <n v="-754.56"/>
    <n v="-115.2"/>
    <n v="19200.000000000004"/>
  </r>
  <r>
    <x v="23"/>
    <x v="0"/>
    <n v="131316106848"/>
    <n v="4676.6400000000003"/>
    <n v="13311720.1"/>
    <x v="0"/>
    <m/>
    <m/>
    <n v="0"/>
    <n v="-48"/>
    <n v="-46.56"/>
    <n v="-28.8"/>
    <n v="4800.0000000000009"/>
  </r>
  <r>
    <x v="23"/>
    <x v="0"/>
    <n v="130728828519"/>
    <n v="8184.12"/>
    <n v="13319904.220000001"/>
    <x v="0"/>
    <m/>
    <m/>
    <n v="0"/>
    <n v="-84"/>
    <n v="-81.48"/>
    <n v="-50.4"/>
    <n v="8399.9999999999982"/>
  </r>
  <r>
    <x v="23"/>
    <x v="0"/>
    <n v="131317335230"/>
    <n v="7935.48"/>
    <n v="13327839.699999999"/>
    <x v="0"/>
    <m/>
    <m/>
    <n v="0"/>
    <n v="-84"/>
    <n v="-330.12"/>
    <n v="-50.4"/>
    <n v="8400"/>
  </r>
  <r>
    <x v="23"/>
    <x v="0"/>
    <n v="130729893207"/>
    <n v="33229.14"/>
    <n v="13361068.84"/>
    <x v="0"/>
    <m/>
    <m/>
    <n v="0"/>
    <n v="-366"/>
    <n v="-2785.26"/>
    <n v="-219.6"/>
    <n v="36600"/>
  </r>
  <r>
    <x v="23"/>
    <x v="0"/>
    <n v="131319128256"/>
    <n v="4774.07"/>
    <n v="13365842.91"/>
    <x v="0"/>
    <m/>
    <m/>
    <n v="0"/>
    <n v="-49"/>
    <n v="-47.53"/>
    <n v="-29.4"/>
    <n v="4899.9999999999991"/>
  </r>
  <r>
    <x v="23"/>
    <x v="0"/>
    <n v="130732522431"/>
    <n v="25034.55"/>
    <n v="13390877.460000001"/>
    <x v="0"/>
    <m/>
    <m/>
    <n v="0"/>
    <n v="-265"/>
    <n v="-1041.45"/>
    <n v="-159"/>
    <n v="26500"/>
  </r>
  <r>
    <x v="23"/>
    <x v="0"/>
    <n v="130733187221"/>
    <n v="8573.84"/>
    <n v="13399451.300000001"/>
    <x v="0"/>
    <m/>
    <m/>
    <n v="0"/>
    <n v="-88"/>
    <n v="-85.36"/>
    <n v="-52.8"/>
    <n v="8800"/>
  </r>
  <r>
    <x v="23"/>
    <x v="0"/>
    <n v="131322059578"/>
    <n v="4357.92"/>
    <n v="13403809.220000001"/>
    <x v="0"/>
    <m/>
    <m/>
    <n v="0"/>
    <n v="-48"/>
    <n v="-365.28"/>
    <n v="-28.8"/>
    <n v="4800"/>
  </r>
  <r>
    <x v="23"/>
    <x v="0"/>
    <n v="131323046338"/>
    <n v="35048.370000000003"/>
    <n v="13438857.59"/>
    <x v="0"/>
    <m/>
    <m/>
    <n v="0"/>
    <n v="-371"/>
    <n v="-1458.03"/>
    <n v="-222.6"/>
    <n v="37100"/>
  </r>
  <r>
    <x v="23"/>
    <x v="0"/>
    <n v="130735353251"/>
    <n v="4345.62"/>
    <n v="13443203.210000001"/>
    <x v="0"/>
    <m/>
    <m/>
    <n v="0"/>
    <n v="-46"/>
    <n v="-180.78"/>
    <n v="-27.6"/>
    <n v="4600"/>
  </r>
  <r>
    <x v="23"/>
    <x v="0"/>
    <n v="130735485837"/>
    <n v="11301.88"/>
    <n v="13454505.09"/>
    <x v="0"/>
    <m/>
    <m/>
    <n v="0"/>
    <n v="-116"/>
    <n v="-112.52"/>
    <n v="-69.599999999999994"/>
    <n v="11600"/>
  </r>
  <r>
    <x v="23"/>
    <x v="0"/>
    <n v="131324787042"/>
    <n v="87249.19"/>
    <n v="13541754.279999999"/>
    <x v="0"/>
    <m/>
    <m/>
    <n v="0"/>
    <n v="-961"/>
    <n v="-7313.21"/>
    <n v="-576.6"/>
    <n v="96100.000000000015"/>
  </r>
  <r>
    <x v="23"/>
    <x v="0"/>
    <n v="131325048714"/>
    <n v="18773.38"/>
    <n v="13560527.66"/>
    <x v="0"/>
    <m/>
    <m/>
    <n v="0"/>
    <n v="-194"/>
    <n v="-316.22000000000003"/>
    <n v="-116.4"/>
    <n v="19400.000000000004"/>
  </r>
  <r>
    <x v="23"/>
    <x v="0"/>
    <n v="131325856646"/>
    <n v="37120.83"/>
    <n v="13597648.49"/>
    <x v="0"/>
    <m/>
    <m/>
    <n v="0"/>
    <n v="-381"/>
    <n v="-369.57"/>
    <n v="-228.6"/>
    <n v="38100"/>
  </r>
  <r>
    <x v="23"/>
    <x v="0"/>
    <n v="131328664518"/>
    <n v="9353.2800000000007"/>
    <n v="13607001.77"/>
    <x v="0"/>
    <m/>
    <m/>
    <n v="0"/>
    <n v="-96"/>
    <n v="-93.12"/>
    <n v="-57.6"/>
    <n v="9600.0000000000018"/>
  </r>
  <r>
    <x v="23"/>
    <x v="0"/>
    <n v="130741580317"/>
    <n v="80964.33"/>
    <n v="13687966.1"/>
    <x v="0"/>
    <m/>
    <m/>
    <n v="0"/>
    <n v="-831"/>
    <n v="-806.07"/>
    <n v="-498.6"/>
    <n v="83100.000000000015"/>
  </r>
  <r>
    <x v="23"/>
    <x v="182"/>
    <n v="130741586205"/>
    <n v="4067.74"/>
    <n v="13692033.84"/>
    <x v="0"/>
    <m/>
    <m/>
    <n v="-62.33"/>
    <n v="0"/>
    <n v="0"/>
    <n v="-24.93"/>
    <n v="4155"/>
  </r>
  <r>
    <x v="23"/>
    <x v="0"/>
    <n v="130743027301"/>
    <n v="40141.160000000003"/>
    <n v="13732175"/>
    <x v="0"/>
    <m/>
    <m/>
    <n v="0"/>
    <n v="-412"/>
    <n v="-399.64"/>
    <n v="-247.2"/>
    <n v="41200"/>
  </r>
  <r>
    <x v="23"/>
    <x v="183"/>
    <n v="130743033185"/>
    <n v="2016.74"/>
    <n v="13734191.74"/>
    <x v="0"/>
    <m/>
    <m/>
    <n v="-30.9"/>
    <n v="0"/>
    <n v="0"/>
    <n v="-12.36"/>
    <n v="2060"/>
  </r>
  <r>
    <x v="23"/>
    <x v="0"/>
    <n v="131330704286"/>
    <n v="37315.69"/>
    <n v="13771507.43"/>
    <x v="0"/>
    <m/>
    <m/>
    <n v="0"/>
    <n v="-383"/>
    <n v="-371.51"/>
    <n v="-229.8"/>
    <n v="38300.000000000007"/>
  </r>
  <r>
    <x v="23"/>
    <x v="0"/>
    <n v="131331474758"/>
    <n v="26695.82"/>
    <n v="13798203.25"/>
    <x v="0"/>
    <m/>
    <m/>
    <n v="0"/>
    <n v="-274"/>
    <n v="-265.77999999999997"/>
    <n v="-164.4"/>
    <n v="27400"/>
  </r>
  <r>
    <x v="23"/>
    <x v="0"/>
    <n v="131332537164"/>
    <n v="30472.71"/>
    <n v="13828675.960000001"/>
    <x v="0"/>
    <m/>
    <m/>
    <n v="0"/>
    <n v="-333.3"/>
    <n v="-2305.83"/>
    <n v="-218.16"/>
    <n v="33330"/>
  </r>
  <r>
    <x v="23"/>
    <x v="0"/>
    <n v="131332603236"/>
    <n v="17147.68"/>
    <n v="13845823.640000001"/>
    <x v="0"/>
    <m/>
    <m/>
    <n v="0"/>
    <n v="-176"/>
    <n v="-170.72"/>
    <n v="-105.6"/>
    <n v="17600"/>
  </r>
  <r>
    <x v="23"/>
    <x v="0"/>
    <n v="130745117635"/>
    <n v="37510.550000000003"/>
    <n v="13883334.189999999"/>
    <x v="0"/>
    <m/>
    <m/>
    <n v="0"/>
    <n v="-385"/>
    <n v="-373.45"/>
    <n v="-231"/>
    <n v="38500"/>
  </r>
  <r>
    <x v="23"/>
    <x v="0"/>
    <n v="130745183261"/>
    <n v="10035.290000000001"/>
    <n v="13893369.48"/>
    <x v="0"/>
    <m/>
    <m/>
    <n v="0"/>
    <n v="-103"/>
    <n v="-99.91"/>
    <n v="-61.8"/>
    <n v="10300"/>
  </r>
  <r>
    <x v="23"/>
    <x v="0"/>
    <n v="130745282565"/>
    <n v="17665.89"/>
    <n v="13911035.369999999"/>
    <x v="0"/>
    <m/>
    <m/>
    <n v="0"/>
    <n v="-187"/>
    <n v="-734.91"/>
    <n v="-112.2"/>
    <n v="18700"/>
  </r>
  <r>
    <x v="23"/>
    <x v="0"/>
    <n v="131333075890"/>
    <n v="42966.63"/>
    <n v="13954002"/>
    <x v="0"/>
    <m/>
    <m/>
    <n v="0"/>
    <n v="-441"/>
    <n v="-427.77"/>
    <n v="-264.60000000000002"/>
    <n v="44099.999999999993"/>
  </r>
  <r>
    <x v="23"/>
    <x v="0"/>
    <n v="131334393716"/>
    <n v="46573.71"/>
    <n v="14000575.710000001"/>
    <x v="0"/>
    <m/>
    <m/>
    <n v="0"/>
    <n v="-493"/>
    <n v="-1937.49"/>
    <n v="-295.8"/>
    <n v="49300"/>
  </r>
  <r>
    <x v="23"/>
    <x v="0"/>
    <n v="130746971109"/>
    <n v="44778.78"/>
    <n v="14045354.49"/>
    <x v="0"/>
    <m/>
    <m/>
    <n v="0"/>
    <n v="-474"/>
    <n v="-1862.82"/>
    <n v="-284.39999999999998"/>
    <n v="47400"/>
  </r>
  <r>
    <x v="23"/>
    <x v="0"/>
    <n v="131334683124"/>
    <n v="38484.85"/>
    <n v="14083839.34"/>
    <x v="0"/>
    <m/>
    <m/>
    <n v="0"/>
    <n v="-395"/>
    <n v="-383.15"/>
    <n v="-237"/>
    <n v="39500"/>
  </r>
  <r>
    <x v="26"/>
    <x v="0"/>
    <n v="131334827174"/>
    <n v="14029.92"/>
    <n v="14097869.26"/>
    <x v="0"/>
    <m/>
    <m/>
    <n v="0"/>
    <n v="-144"/>
    <n v="-139.68"/>
    <n v="-86.4"/>
    <n v="14400"/>
  </r>
  <r>
    <x v="26"/>
    <x v="0"/>
    <n v="131334970938"/>
    <n v="4092.06"/>
    <n v="14101961.32"/>
    <x v="0"/>
    <m/>
    <m/>
    <n v="0"/>
    <n v="-42"/>
    <n v="-40.74"/>
    <n v="-25.2"/>
    <n v="4199.9999999999991"/>
  </r>
  <r>
    <x v="26"/>
    <x v="0"/>
    <n v="130747270087"/>
    <n v="48032.99"/>
    <n v="14149994.310000001"/>
    <x v="0"/>
    <m/>
    <m/>
    <n v="0"/>
    <n v="-493"/>
    <n v="-478.21"/>
    <n v="-295.8"/>
    <n v="49300"/>
  </r>
  <r>
    <x v="26"/>
    <x v="184"/>
    <n v="130747324947"/>
    <n v="4826.47"/>
    <n v="14154820.779999999"/>
    <x v="0"/>
    <m/>
    <m/>
    <n v="-73.95"/>
    <n v="0"/>
    <n v="0"/>
    <n v="-29.58"/>
    <n v="4930"/>
  </r>
  <r>
    <x v="26"/>
    <x v="0"/>
    <n v="131335191102"/>
    <n v="44330.65"/>
    <n v="14199151.43"/>
    <x v="0"/>
    <m/>
    <m/>
    <n v="0"/>
    <n v="-455"/>
    <n v="-441.35"/>
    <n v="-273"/>
    <n v="45500"/>
  </r>
  <r>
    <x v="26"/>
    <x v="0"/>
    <n v="131335286100"/>
    <n v="44622.94"/>
    <n v="14243774.369999999"/>
    <x v="0"/>
    <m/>
    <m/>
    <n v="0"/>
    <n v="-458"/>
    <n v="-444.26"/>
    <n v="-274.8"/>
    <n v="45800.000000000007"/>
  </r>
  <r>
    <x v="26"/>
    <x v="0"/>
    <n v="131406329738"/>
    <n v="5845.8"/>
    <n v="14249620.17"/>
    <x v="0"/>
    <m/>
    <m/>
    <n v="0"/>
    <n v="-60"/>
    <n v="-58.2"/>
    <n v="-36"/>
    <n v="6000"/>
  </r>
  <r>
    <x v="26"/>
    <x v="0"/>
    <n v="130819415363"/>
    <n v="11714.28"/>
    <n v="14261334.449999999"/>
    <x v="0"/>
    <m/>
    <m/>
    <n v="0"/>
    <n v="-124"/>
    <n v="-487.32"/>
    <n v="-74.400000000000006"/>
    <n v="12400"/>
  </r>
  <r>
    <x v="26"/>
    <x v="0"/>
    <n v="130820163603"/>
    <n v="8573.84"/>
    <n v="14269908.289999999"/>
    <x v="0"/>
    <m/>
    <m/>
    <n v="0"/>
    <n v="-88"/>
    <n v="-85.36"/>
    <n v="-52.8"/>
    <n v="8800"/>
  </r>
  <r>
    <x v="26"/>
    <x v="0"/>
    <n v="131408840112"/>
    <n v="8573.84"/>
    <n v="14278482.130000001"/>
    <x v="0"/>
    <m/>
    <m/>
    <n v="0"/>
    <n v="-88"/>
    <n v="-85.36"/>
    <n v="-52.8"/>
    <n v="8800"/>
  </r>
  <r>
    <x v="26"/>
    <x v="0"/>
    <n v="131409048748"/>
    <n v="32931.339999999997"/>
    <n v="14311413.470000001"/>
    <x v="0"/>
    <m/>
    <m/>
    <n v="0"/>
    <n v="-338"/>
    <n v="-327.86"/>
    <n v="-202.8"/>
    <n v="33800"/>
  </r>
  <r>
    <x v="26"/>
    <x v="0"/>
    <n v="130822112395"/>
    <n v="4357.92"/>
    <n v="14315771.390000001"/>
    <x v="0"/>
    <m/>
    <m/>
    <n v="0"/>
    <n v="-48"/>
    <n v="-365.28"/>
    <n v="-28.8"/>
    <n v="4800"/>
  </r>
  <r>
    <x v="26"/>
    <x v="0"/>
    <n v="130822354383"/>
    <n v="4774.07"/>
    <n v="14320545.460000001"/>
    <x v="0"/>
    <m/>
    <m/>
    <n v="0"/>
    <n v="-49"/>
    <n v="-47.53"/>
    <n v="-29.4"/>
    <n v="4899.9999999999991"/>
  </r>
  <r>
    <x v="26"/>
    <x v="0"/>
    <n v="131410397354"/>
    <n v="26354.81"/>
    <n v="14346900.27"/>
    <x v="0"/>
    <m/>
    <m/>
    <n v="0"/>
    <n v="-270.5"/>
    <n v="-262.39"/>
    <n v="-162.30000000000001"/>
    <n v="27050"/>
  </r>
  <r>
    <x v="26"/>
    <x v="0"/>
    <n v="131411820276"/>
    <n v="25330.41"/>
    <n v="14372230.68"/>
    <x v="0"/>
    <m/>
    <m/>
    <n v="0"/>
    <n v="-279"/>
    <n v="-2123.19"/>
    <n v="-167.4"/>
    <n v="27900"/>
  </r>
  <r>
    <x v="26"/>
    <x v="0"/>
    <n v="131412096670"/>
    <n v="14127.35"/>
    <n v="14386358.029999999"/>
    <x v="0"/>
    <m/>
    <m/>
    <n v="0"/>
    <n v="-145"/>
    <n v="-140.65"/>
    <n v="-87"/>
    <n v="14500"/>
  </r>
  <r>
    <x v="26"/>
    <x v="0"/>
    <n v="130824133399"/>
    <n v="15493.08"/>
    <n v="14401851.109999999"/>
    <x v="0"/>
    <m/>
    <m/>
    <n v="0"/>
    <n v="-164"/>
    <n v="-644.52"/>
    <n v="-98.4"/>
    <n v="16400"/>
  </r>
  <r>
    <x v="26"/>
    <x v="0"/>
    <n v="130824222455"/>
    <n v="57089.8"/>
    <n v="14458940.91"/>
    <x v="0"/>
    <m/>
    <m/>
    <n v="0"/>
    <n v="-655"/>
    <n v="-7362.2"/>
    <n v="-393"/>
    <n v="65500"/>
  </r>
  <r>
    <x v="26"/>
    <x v="0"/>
    <n v="130824828049"/>
    <n v="59516.1"/>
    <n v="14518457.01"/>
    <x v="0"/>
    <m/>
    <m/>
    <n v="0"/>
    <n v="-630"/>
    <n v="-2475.9"/>
    <n v="-378"/>
    <n v="63000"/>
  </r>
  <r>
    <x v="26"/>
    <x v="0"/>
    <n v="130826569483"/>
    <n v="80379.75"/>
    <n v="14598836.76"/>
    <x v="0"/>
    <m/>
    <m/>
    <n v="0"/>
    <n v="-825"/>
    <n v="-800.25"/>
    <n v="-495"/>
    <n v="82500"/>
  </r>
  <r>
    <x v="26"/>
    <x v="0"/>
    <n v="131414928320"/>
    <n v="17760.36"/>
    <n v="14616597.119999999"/>
    <x v="0"/>
    <m/>
    <m/>
    <n v="0"/>
    <n v="-188"/>
    <n v="-738.84"/>
    <n v="-112.8"/>
    <n v="18800"/>
  </r>
  <r>
    <x v="26"/>
    <x v="0"/>
    <n v="130826888049"/>
    <n v="32321.18"/>
    <n v="14648918.300000001"/>
    <x v="0"/>
    <m/>
    <m/>
    <n v="0"/>
    <n v="-334"/>
    <n v="-544.41999999999996"/>
    <n v="-200.4"/>
    <n v="33400"/>
  </r>
  <r>
    <x v="26"/>
    <x v="0"/>
    <n v="131415465152"/>
    <n v="13055.62"/>
    <n v="14661973.92"/>
    <x v="0"/>
    <m/>
    <m/>
    <n v="0"/>
    <n v="-134"/>
    <n v="-129.97999999999999"/>
    <n v="-80.400000000000006"/>
    <n v="13400"/>
  </r>
  <r>
    <x v="26"/>
    <x v="0"/>
    <n v="131415773332"/>
    <n v="35951.67"/>
    <n v="14697925.59"/>
    <x v="0"/>
    <m/>
    <m/>
    <n v="0"/>
    <n v="-369"/>
    <n v="-357.93"/>
    <n v="-221.4"/>
    <n v="36900"/>
  </r>
  <r>
    <x v="26"/>
    <x v="185"/>
    <n v="131415785166"/>
    <n v="1806.25"/>
    <n v="14699731.84"/>
    <x v="0"/>
    <m/>
    <m/>
    <n v="-27.68"/>
    <n v="0"/>
    <n v="0"/>
    <n v="-11.07"/>
    <n v="1845"/>
  </r>
  <r>
    <x v="26"/>
    <x v="0"/>
    <n v="131416326220"/>
    <n v="64693.52"/>
    <n v="14764425.359999999"/>
    <x v="0"/>
    <m/>
    <m/>
    <n v="0"/>
    <n v="-664"/>
    <n v="-644.08000000000004"/>
    <n v="-398.4"/>
    <n v="66399.999999999985"/>
  </r>
  <r>
    <x v="26"/>
    <x v="0"/>
    <n v="130829133981"/>
    <n v="96455.7"/>
    <n v="14860881.060000001"/>
    <x v="0"/>
    <m/>
    <m/>
    <n v="0"/>
    <n v="-990"/>
    <n v="-960.3"/>
    <n v="-594"/>
    <n v="99000"/>
  </r>
  <r>
    <x v="26"/>
    <x v="0"/>
    <n v="131417185922"/>
    <n v="65472.959999999999"/>
    <n v="14926354.02"/>
    <x v="0"/>
    <m/>
    <m/>
    <n v="0"/>
    <n v="-672"/>
    <n v="-651.84"/>
    <n v="-403.2"/>
    <n v="67199.999999999985"/>
  </r>
  <r>
    <x v="26"/>
    <x v="0"/>
    <n v="131417419112"/>
    <n v="75995.399999999994"/>
    <n v="15002349.42"/>
    <x v="0"/>
    <m/>
    <m/>
    <n v="0"/>
    <n v="-780"/>
    <n v="-756.6"/>
    <n v="-468"/>
    <n v="78000"/>
  </r>
  <r>
    <x v="26"/>
    <x v="119"/>
    <n v="130829417965"/>
    <n v="3818.1"/>
    <n v="15006167.52"/>
    <x v="0"/>
    <m/>
    <m/>
    <n v="-58.5"/>
    <n v="0"/>
    <n v="0"/>
    <n v="-23.4"/>
    <n v="3900"/>
  </r>
  <r>
    <x v="26"/>
    <x v="0"/>
    <n v="130829609829"/>
    <n v="24454.93"/>
    <n v="15030622.449999999"/>
    <x v="0"/>
    <m/>
    <m/>
    <n v="0"/>
    <n v="-251"/>
    <n v="-243.47"/>
    <n v="-150.6"/>
    <n v="25100"/>
  </r>
  <r>
    <x v="26"/>
    <x v="0"/>
    <n v="130829896373"/>
    <n v="63734.58"/>
    <n v="15094357.029999999"/>
    <x v="0"/>
    <m/>
    <m/>
    <n v="0"/>
    <n v="-702"/>
    <n v="-5342.22"/>
    <n v="-421.2"/>
    <n v="70200"/>
  </r>
  <r>
    <x v="26"/>
    <x v="0"/>
    <n v="131418186586"/>
    <n v="37997.699999999997"/>
    <n v="15132354.73"/>
    <x v="0"/>
    <m/>
    <m/>
    <n v="0"/>
    <n v="-390"/>
    <n v="-378.3"/>
    <n v="-234"/>
    <n v="39000"/>
  </r>
  <r>
    <x v="26"/>
    <x v="0"/>
    <n v="130830174093"/>
    <n v="40492.339999999997"/>
    <n v="15172847.07"/>
    <x v="0"/>
    <m/>
    <m/>
    <n v="0"/>
    <n v="-446"/>
    <n v="-3394.06"/>
    <n v="-267.60000000000002"/>
    <n v="44599.999999999993"/>
  </r>
  <r>
    <x v="26"/>
    <x v="0"/>
    <n v="131419481488"/>
    <n v="46290.3"/>
    <n v="15219137.369999999"/>
    <x v="0"/>
    <m/>
    <m/>
    <n v="0"/>
    <n v="-490"/>
    <n v="-1925.7"/>
    <n v="-294"/>
    <n v="49000"/>
  </r>
  <r>
    <x v="26"/>
    <x v="0"/>
    <n v="131419980308"/>
    <n v="39069.43"/>
    <n v="15258206.800000001"/>
    <x v="0"/>
    <m/>
    <m/>
    <n v="0"/>
    <n v="-401"/>
    <n v="-388.97"/>
    <n v="-240.6"/>
    <n v="40100"/>
  </r>
  <r>
    <x v="26"/>
    <x v="186"/>
    <n v="130832024389"/>
    <n v="1962.89"/>
    <n v="15260169.689999999"/>
    <x v="0"/>
    <m/>
    <m/>
    <n v="-30.08"/>
    <n v="0"/>
    <n v="0"/>
    <n v="-12.03"/>
    <n v="2005"/>
  </r>
  <r>
    <x v="26"/>
    <x v="0"/>
    <n v="131420014070"/>
    <n v="59822.02"/>
    <n v="15319991.710000001"/>
    <x v="0"/>
    <m/>
    <m/>
    <n v="0"/>
    <n v="-614"/>
    <n v="-595.58000000000004"/>
    <n v="-368.4"/>
    <n v="61400"/>
  </r>
  <r>
    <x v="26"/>
    <x v="0"/>
    <n v="130832190117"/>
    <n v="28741.85"/>
    <n v="15348733.560000001"/>
    <x v="0"/>
    <m/>
    <m/>
    <n v="0"/>
    <n v="-295"/>
    <n v="-286.14999999999998"/>
    <n v="-177"/>
    <n v="29500"/>
  </r>
  <r>
    <x v="26"/>
    <x v="0"/>
    <n v="131420396454"/>
    <n v="67547.759999999995"/>
    <n v="15416281.32"/>
    <x v="0"/>
    <m/>
    <m/>
    <n v="0"/>
    <n v="-744"/>
    <n v="-5661.84"/>
    <n v="-446.4"/>
    <n v="74399.999999999985"/>
  </r>
  <r>
    <x v="26"/>
    <x v="0"/>
    <n v="130832438629"/>
    <n v="32998.57"/>
    <n v="15449279.890000001"/>
    <x v="0"/>
    <m/>
    <m/>
    <n v="0"/>
    <n v="-341"/>
    <n v="-555.83000000000004"/>
    <n v="-204.6"/>
    <n v="34100"/>
  </r>
  <r>
    <x v="26"/>
    <x v="0"/>
    <n v="131420714572"/>
    <n v="29911.01"/>
    <n v="15479190.9"/>
    <x v="0"/>
    <m/>
    <m/>
    <n v="0"/>
    <n v="-307"/>
    <n v="-297.79000000000002"/>
    <n v="-184.2"/>
    <n v="30700"/>
  </r>
  <r>
    <x v="26"/>
    <x v="0"/>
    <n v="131420822362"/>
    <n v="14264.97"/>
    <n v="15493455.869999999"/>
    <x v="0"/>
    <m/>
    <m/>
    <n v="0"/>
    <n v="-151"/>
    <n v="-593.42999999999995"/>
    <n v="-90.6"/>
    <n v="15100"/>
  </r>
  <r>
    <x v="26"/>
    <x v="0"/>
    <n v="130832886979"/>
    <n v="29813.58"/>
    <n v="15523269.449999999"/>
    <x v="0"/>
    <m/>
    <m/>
    <n v="0"/>
    <n v="-306"/>
    <n v="-296.82"/>
    <n v="-183.6"/>
    <n v="30600"/>
  </r>
  <r>
    <x v="26"/>
    <x v="0"/>
    <n v="130833236173"/>
    <n v="32684.400000000001"/>
    <n v="15555953.85"/>
    <x v="0"/>
    <m/>
    <m/>
    <n v="0"/>
    <n v="-360"/>
    <n v="-2739.6"/>
    <n v="-216"/>
    <n v="36000"/>
  </r>
  <r>
    <x v="24"/>
    <x v="0"/>
    <n v="131421083902"/>
    <n v="188661.62"/>
    <n v="15744615.470000001"/>
    <x v="0"/>
    <m/>
    <m/>
    <n v="0"/>
    <n v="-2078"/>
    <n v="-15813.58"/>
    <n v="-1246.8"/>
    <n v="207799.99999999997"/>
  </r>
  <r>
    <x v="24"/>
    <x v="0"/>
    <n v="130833658261"/>
    <n v="41377.86"/>
    <n v="15785993.33"/>
    <x v="0"/>
    <m/>
    <m/>
    <n v="0"/>
    <n v="-438"/>
    <n v="-1721.34"/>
    <n v="-262.8"/>
    <n v="43800"/>
  </r>
  <r>
    <x v="24"/>
    <x v="0"/>
    <n v="131422078742"/>
    <n v="73267.360000000001"/>
    <n v="15859260.689999999"/>
    <x v="0"/>
    <m/>
    <m/>
    <n v="0"/>
    <n v="-752"/>
    <n v="-729.44"/>
    <n v="-451.2"/>
    <n v="75200"/>
  </r>
  <r>
    <x v="24"/>
    <x v="187"/>
    <n v="130833937323"/>
    <n v="3681.04"/>
    <n v="15862941.73"/>
    <x v="0"/>
    <m/>
    <m/>
    <n v="-56.4"/>
    <n v="0"/>
    <n v="0"/>
    <n v="-22.56"/>
    <n v="3760"/>
  </r>
  <r>
    <x v="24"/>
    <x v="0"/>
    <n v="131422130626"/>
    <n v="45848.95"/>
    <n v="15908790.68"/>
    <x v="0"/>
    <m/>
    <m/>
    <n v="0"/>
    <n v="-505"/>
    <n v="-3843.05"/>
    <n v="-303"/>
    <n v="50500"/>
  </r>
  <r>
    <x v="24"/>
    <x v="0"/>
    <n v="130835123143"/>
    <n v="4092.06"/>
    <n v="15912882.74"/>
    <x v="0"/>
    <m/>
    <m/>
    <n v="0"/>
    <n v="-42"/>
    <n v="-40.74"/>
    <n v="-25.2"/>
    <n v="4199.9999999999991"/>
  </r>
  <r>
    <x v="24"/>
    <x v="188"/>
    <n v="130835087415"/>
    <n v="411.18"/>
    <n v="15913293.92"/>
    <x v="0"/>
    <m/>
    <m/>
    <n v="-6.3"/>
    <n v="0"/>
    <n v="0"/>
    <n v="-2.52"/>
    <n v="420"/>
  </r>
  <r>
    <x v="24"/>
    <x v="0"/>
    <n v="130835214777"/>
    <n v="9158.42"/>
    <n v="15922452.34"/>
    <x v="0"/>
    <m/>
    <m/>
    <n v="0"/>
    <n v="-94"/>
    <n v="-91.18"/>
    <n v="-56.4"/>
    <n v="9400"/>
  </r>
  <r>
    <x v="24"/>
    <x v="0"/>
    <n v="131423917348"/>
    <n v="28059.84"/>
    <n v="15950512.18"/>
    <x v="0"/>
    <m/>
    <m/>
    <n v="0"/>
    <n v="-288"/>
    <n v="-279.36"/>
    <n v="-172.8"/>
    <n v="28800"/>
  </r>
  <r>
    <x v="24"/>
    <x v="0"/>
    <n v="130836071205"/>
    <n v="9353.2800000000007"/>
    <n v="15959865.460000001"/>
    <x v="0"/>
    <m/>
    <m/>
    <n v="0"/>
    <n v="-96"/>
    <n v="-93.12"/>
    <n v="-57.6"/>
    <n v="9600.0000000000018"/>
  </r>
  <r>
    <x v="24"/>
    <x v="0"/>
    <n v="131424102768"/>
    <n v="90902.19"/>
    <n v="16050767.65"/>
    <x v="0"/>
    <m/>
    <m/>
    <n v="0"/>
    <n v="-933"/>
    <n v="-905.01"/>
    <n v="-559.79999999999995"/>
    <n v="93300"/>
  </r>
  <r>
    <x v="24"/>
    <x v="0"/>
    <n v="131425827694"/>
    <n v="19486"/>
    <n v="16070253.65"/>
    <x v="0"/>
    <m/>
    <m/>
    <n v="0"/>
    <n v="-200"/>
    <n v="-194"/>
    <n v="-120"/>
    <n v="20000"/>
  </r>
  <r>
    <x v="24"/>
    <x v="0"/>
    <n v="130837987485"/>
    <n v="16331.64"/>
    <n v="16086585.289999999"/>
    <x v="0"/>
    <m/>
    <m/>
    <n v="0"/>
    <n v="-174"/>
    <n v="-789.96"/>
    <n v="-104.4"/>
    <n v="17400"/>
  </r>
  <r>
    <x v="22"/>
    <x v="6"/>
    <n v="131007744612"/>
    <n v="-1821.6"/>
    <n v="11313279.560000001"/>
    <x v="2"/>
    <n v="-303600"/>
    <m/>
    <n v="0"/>
    <n v="0"/>
    <n v="0"/>
    <m/>
    <n v="-1821.6"/>
  </r>
  <r>
    <x v="22"/>
    <x v="180"/>
    <n v="131007744612"/>
    <n v="-303600"/>
    <n v="11315101.16"/>
    <x v="1"/>
    <n v="-301789.26441351889"/>
    <n v="-1810.7355864811107"/>
    <n v="0"/>
    <n v="0"/>
    <n v="0"/>
    <n v="-1821.6"/>
    <n v="-303600"/>
  </r>
  <r>
    <x v="22"/>
    <x v="8"/>
    <n v="131021496516"/>
    <n v="-374232"/>
    <n v="10487139.960000001"/>
    <x v="1"/>
    <n v="-372000"/>
    <n v="-2232"/>
    <n v="0"/>
    <n v="0"/>
    <n v="0"/>
    <n v="-2232"/>
    <n v="-372000"/>
  </r>
  <r>
    <x v="22"/>
    <x v="59"/>
    <n v="131024553804"/>
    <n v="-22534.41"/>
    <n v="10464605.550000001"/>
    <x v="1"/>
    <n v="-22400.009940357853"/>
    <n v="-134.40005964214652"/>
    <n v="0"/>
    <n v="0"/>
    <n v="0"/>
    <n v="-134.40005964214652"/>
    <n v="-22400.009940357853"/>
  </r>
  <r>
    <x v="25"/>
    <x v="10"/>
    <n v="131044883445"/>
    <n v="-1502661.19"/>
    <n v="12359909.359999999"/>
    <x v="1"/>
    <n v="-1493698.9960238568"/>
    <n v="-8962.1939761431422"/>
    <n v="0"/>
    <n v="0"/>
    <n v="0"/>
    <n v="-8962.1939761431422"/>
    <n v="-1493698.9960238568"/>
  </r>
  <r>
    <x v="27"/>
    <x v="6"/>
    <n v="131115803725"/>
    <n v="-1171.8"/>
    <n v="12163437.560000001"/>
    <x v="2"/>
    <n v="-195300"/>
    <m/>
    <n v="0"/>
    <n v="0"/>
    <n v="0"/>
    <m/>
    <n v="-1171.8"/>
  </r>
  <r>
    <x v="27"/>
    <x v="189"/>
    <n v="131115803725"/>
    <n v="-195300"/>
    <n v="12164609.359999999"/>
    <x v="1"/>
    <n v="-194135.1888667992"/>
    <n v="-1164.8111332007975"/>
    <n v="0"/>
    <n v="0"/>
    <n v="0"/>
    <n v="-1171.8"/>
    <n v="-195300"/>
  </r>
  <r>
    <x v="27"/>
    <x v="129"/>
    <n v="131118655135"/>
    <n v="-148027.37"/>
    <n v="11764302.529999999"/>
    <x v="1"/>
    <n v="-147144.50298210734"/>
    <n v="-882.86701789265499"/>
    <n v="0"/>
    <n v="0"/>
    <n v="0"/>
    <n v="-882.86701789265499"/>
    <n v="-147144.50298210734"/>
  </r>
  <r>
    <x v="27"/>
    <x v="6"/>
    <n v="131129710683"/>
    <n v="-1200"/>
    <n v="11563102.529999999"/>
    <x v="2"/>
    <n v="-200000"/>
    <m/>
    <n v="0"/>
    <n v="0"/>
    <n v="0"/>
    <m/>
    <n v="-1200"/>
  </r>
  <r>
    <x v="27"/>
    <x v="122"/>
    <n v="131129710683"/>
    <n v="-200000"/>
    <n v="11564302.529999999"/>
    <x v="4"/>
    <n v="-198807.15705765408"/>
    <n v="-1192.8429423459165"/>
    <n v="0"/>
    <n v="0"/>
    <n v="0"/>
    <n v="-1200"/>
    <n v="-200000"/>
  </r>
  <r>
    <x v="23"/>
    <x v="6"/>
    <n v="131259089018"/>
    <n v="-394.19"/>
    <n v="13539785.67"/>
    <x v="2"/>
    <n v="-65698.333333333328"/>
    <m/>
    <n v="0"/>
    <n v="0"/>
    <n v="0"/>
    <m/>
    <n v="-394.19"/>
  </r>
  <r>
    <x v="23"/>
    <x v="7"/>
    <n v="131259089018"/>
    <n v="-65698.570000000007"/>
    <n v="13540179.859999999"/>
    <x v="1"/>
    <n v="-65306.729622266408"/>
    <n v="-391.84037773359887"/>
    <n v="0"/>
    <n v="0"/>
    <n v="0"/>
    <n v="-394.19"/>
    <n v="-65698.570000000007"/>
  </r>
  <r>
    <x v="23"/>
    <x v="6"/>
    <n v="131265070110"/>
    <n v="-702.12"/>
    <n v="13422064.380000001"/>
    <x v="2"/>
    <n v="-117020"/>
    <m/>
    <n v="0"/>
    <n v="0"/>
    <n v="0"/>
    <m/>
    <n v="-702.12"/>
  </r>
  <r>
    <x v="23"/>
    <x v="61"/>
    <n v="131265070110"/>
    <n v="-117019.17"/>
    <n v="13422766.5"/>
    <x v="1"/>
    <n v="-116321.24254473161"/>
    <n v="-697.92745526839281"/>
    <n v="0"/>
    <n v="0"/>
    <n v="0"/>
    <n v="-702.12"/>
    <n v="-117019.17"/>
  </r>
  <r>
    <x v="23"/>
    <x v="63"/>
    <n v="131300098174"/>
    <n v="-150807.45000000001"/>
    <n v="13196820.98"/>
    <x v="1"/>
    <n v="-149908.00198807157"/>
    <n v="-899.4480119284417"/>
    <n v="0"/>
    <n v="0"/>
    <n v="0"/>
    <n v="-899.4480119284417"/>
    <n v="-149908.00198807157"/>
  </r>
  <r>
    <x v="28"/>
    <x v="6"/>
    <n v="131300148317"/>
    <n v="-3309.17"/>
    <n v="9528415.1899999995"/>
    <x v="2"/>
    <n v="-551528.33333333337"/>
    <m/>
    <n v="0"/>
    <n v="0"/>
    <n v="0"/>
    <m/>
    <n v="-3309.17"/>
  </r>
  <r>
    <x v="28"/>
    <x v="81"/>
    <n v="131300148317"/>
    <n v="-551528.92000000004"/>
    <n v="9531724.3599999994"/>
    <x v="1"/>
    <n v="-548239.4831013917"/>
    <n v="-3289.4368986083427"/>
    <n v="0"/>
    <n v="0"/>
    <n v="0"/>
    <n v="-3309.17"/>
    <n v="-551528.92000000004"/>
  </r>
  <r>
    <x v="29"/>
    <x v="6"/>
    <n v="131360969785"/>
    <n v="-748.35"/>
    <n v="11246848.01"/>
    <x v="2"/>
    <n v="-124725"/>
    <m/>
    <n v="0"/>
    <n v="0"/>
    <n v="0"/>
    <m/>
    <n v="-748.35"/>
  </r>
  <r>
    <x v="29"/>
    <x v="9"/>
    <n v="131360969785"/>
    <n v="-124724.4"/>
    <n v="11247596.359999999"/>
    <x v="1"/>
    <n v="-123980.51689860834"/>
    <n v="-743.88310139164969"/>
    <n v="0"/>
    <n v="0"/>
    <n v="0"/>
    <n v="-748.35"/>
    <n v="-124724.4"/>
  </r>
  <r>
    <x v="29"/>
    <x v="6"/>
    <n v="131361245633"/>
    <n v="-1212.44"/>
    <n v="11043562.01"/>
    <x v="2"/>
    <n v="-202073.33333333334"/>
    <m/>
    <n v="0"/>
    <n v="0"/>
    <n v="0"/>
    <m/>
    <n v="-1212.44"/>
  </r>
  <r>
    <x v="27"/>
    <x v="0"/>
    <n v="131769417760"/>
    <n v="44622.94"/>
    <n v="11607725.470000001"/>
    <x v="0"/>
    <m/>
    <m/>
    <n v="0"/>
    <n v="-458"/>
    <n v="-444.26"/>
    <n v="-274.8"/>
    <n v="45800.000000000007"/>
  </r>
  <r>
    <x v="27"/>
    <x v="190"/>
    <n v="131769443928"/>
    <n v="4483.82"/>
    <n v="11612209.289999999"/>
    <x v="0"/>
    <m/>
    <m/>
    <n v="-68.7"/>
    <n v="0"/>
    <n v="0"/>
    <n v="-27.48"/>
    <n v="4579.9999999999991"/>
  </r>
  <r>
    <x v="27"/>
    <x v="0"/>
    <n v="131772095336"/>
    <n v="11611.44"/>
    <n v="11623820.73"/>
    <x v="0"/>
    <m/>
    <m/>
    <n v="0"/>
    <n v="-119.99"/>
    <n v="-195.58"/>
    <n v="-71.989999999999995"/>
    <n v="11999"/>
  </r>
  <r>
    <x v="27"/>
    <x v="0"/>
    <n v="131774856988"/>
    <n v="8184.12"/>
    <n v="11632004.85"/>
    <x v="0"/>
    <m/>
    <m/>
    <n v="0"/>
    <n v="-84"/>
    <n v="-81.48"/>
    <n v="-50.4"/>
    <n v="8399.9999999999982"/>
  </r>
  <r>
    <x v="27"/>
    <x v="191"/>
    <n v="131180187819"/>
    <n v="411.18"/>
    <n v="11632416.029999999"/>
    <x v="0"/>
    <m/>
    <m/>
    <n v="-6.3"/>
    <n v="0"/>
    <n v="0"/>
    <n v="-2.52"/>
    <n v="420"/>
  </r>
  <r>
    <x v="27"/>
    <x v="0"/>
    <n v="131181171991"/>
    <n v="33319.03"/>
    <n v="11665735.060000001"/>
    <x v="0"/>
    <m/>
    <m/>
    <n v="0"/>
    <n v="-366.99"/>
    <n v="-2792.79"/>
    <n v="-220.19"/>
    <n v="36699"/>
  </r>
  <r>
    <x v="27"/>
    <x v="0"/>
    <n v="131777732222"/>
    <n v="58099.05"/>
    <n v="11723834.109999999"/>
    <x v="0"/>
    <m/>
    <m/>
    <n v="0"/>
    <n v="-615"/>
    <n v="-2416.9499999999998"/>
    <n v="-369"/>
    <n v="61500"/>
  </r>
  <r>
    <x v="27"/>
    <x v="0"/>
    <n v="131778003664"/>
    <n v="49007.29"/>
    <n v="11772841.4"/>
    <x v="0"/>
    <m/>
    <m/>
    <n v="0"/>
    <n v="-503"/>
    <n v="-487.91"/>
    <n v="-301.8"/>
    <n v="50300.000000000007"/>
  </r>
  <r>
    <x v="27"/>
    <x v="0"/>
    <n v="131778463862"/>
    <n v="35071.879999999997"/>
    <n v="11807913.279999999"/>
    <x v="0"/>
    <m/>
    <m/>
    <n v="0"/>
    <n v="-359.97"/>
    <n v="-349.17"/>
    <n v="-215.98"/>
    <n v="35997"/>
  </r>
  <r>
    <x v="27"/>
    <x v="0"/>
    <n v="131184379239"/>
    <n v="22524.52"/>
    <n v="11830437.800000001"/>
    <x v="0"/>
    <m/>
    <m/>
    <n v="0"/>
    <n v="-239.98"/>
    <n v="-1089.51"/>
    <n v="-143.99"/>
    <n v="23998"/>
  </r>
  <r>
    <x v="27"/>
    <x v="0"/>
    <n v="131778914868"/>
    <n v="35071.879999999997"/>
    <n v="11865509.68"/>
    <x v="0"/>
    <m/>
    <m/>
    <n v="0"/>
    <n v="-359.97"/>
    <n v="-349.17"/>
    <n v="-215.98"/>
    <n v="35997"/>
  </r>
  <r>
    <x v="27"/>
    <x v="0"/>
    <n v="131185425007"/>
    <n v="40920.6"/>
    <n v="11906430.279999999"/>
    <x v="0"/>
    <m/>
    <m/>
    <n v="0"/>
    <n v="-420"/>
    <n v="-407.4"/>
    <n v="-252"/>
    <n v="42000"/>
  </r>
  <r>
    <x v="27"/>
    <x v="0"/>
    <n v="131781695512"/>
    <n v="47046.06"/>
    <n v="11953476.34"/>
    <x v="0"/>
    <m/>
    <m/>
    <n v="0"/>
    <n v="-498"/>
    <n v="-1957.14"/>
    <n v="-298.8"/>
    <n v="49800"/>
  </r>
  <r>
    <x v="27"/>
    <x v="0"/>
    <n v="131782498642"/>
    <n v="105414.39"/>
    <n v="12058890.73"/>
    <x v="0"/>
    <m/>
    <m/>
    <n v="0"/>
    <n v="-1081.95"/>
    <n v="-1049.49"/>
    <n v="-649.16999999999996"/>
    <n v="108195"/>
  </r>
  <r>
    <x v="27"/>
    <x v="0"/>
    <n v="131783903282"/>
    <n v="47253.55"/>
    <n v="12106144.279999999"/>
    <x v="0"/>
    <m/>
    <m/>
    <n v="0"/>
    <n v="-485"/>
    <n v="-470.45"/>
    <n v="-291"/>
    <n v="48500"/>
  </r>
  <r>
    <x v="28"/>
    <x v="0"/>
    <n v="131190834783"/>
    <n v="21787.78"/>
    <n v="12127932.060000001"/>
    <x v="0"/>
    <m/>
    <m/>
    <n v="0"/>
    <n v="-239.98"/>
    <n v="-1826.25"/>
    <n v="-143.99"/>
    <n v="23998"/>
  </r>
  <r>
    <x v="28"/>
    <x v="0"/>
    <n v="131786100454"/>
    <n v="21787.78"/>
    <n v="12149719.84"/>
    <x v="0"/>
    <m/>
    <m/>
    <n v="0"/>
    <n v="-239.98"/>
    <n v="-1826.25"/>
    <n v="-143.99"/>
    <n v="23998"/>
  </r>
  <r>
    <x v="28"/>
    <x v="0"/>
    <n v="131786628190"/>
    <n v="21434.6"/>
    <n v="12171154.439999999"/>
    <x v="0"/>
    <m/>
    <m/>
    <n v="0"/>
    <n v="-220"/>
    <n v="-213.4"/>
    <n v="-132"/>
    <n v="22000"/>
  </r>
  <r>
    <x v="28"/>
    <x v="0"/>
    <n v="131789264688"/>
    <n v="18702.740000000002"/>
    <n v="12189857.18"/>
    <x v="0"/>
    <m/>
    <m/>
    <n v="0"/>
    <n v="-206"/>
    <n v="-1567.66"/>
    <n v="-123.6"/>
    <n v="20600"/>
  </r>
  <r>
    <x v="29"/>
    <x v="9"/>
    <n v="131361245633"/>
    <n v="-202073.56"/>
    <n v="11044774.449999999"/>
    <x v="1"/>
    <n v="-200868.34990059643"/>
    <n v="-1205.2100994035718"/>
    <n v="0"/>
    <n v="0"/>
    <n v="0"/>
    <n v="-1212.44"/>
    <n v="-202073.56"/>
  </r>
  <r>
    <x v="29"/>
    <x v="6"/>
    <n v="131361361133"/>
    <n v="-425.89"/>
    <n v="11372320.76"/>
    <x v="2"/>
    <n v="-70981.666666666657"/>
    <m/>
    <n v="0"/>
    <n v="0"/>
    <n v="0"/>
    <m/>
    <n v="-425.89"/>
  </r>
  <r>
    <x v="29"/>
    <x v="9"/>
    <n v="131361361133"/>
    <n v="-70981.84"/>
    <n v="11372746.65"/>
    <x v="1"/>
    <n v="-70558.489065606351"/>
    <n v="-423.35093439364573"/>
    <n v="0"/>
    <n v="0"/>
    <n v="0"/>
    <n v="-425.89"/>
    <n v="-70981.84"/>
  </r>
  <r>
    <x v="29"/>
    <x v="192"/>
    <n v="131372254051"/>
    <n v="-39334.620000000003"/>
    <n v="11004227.390000001"/>
    <x v="1"/>
    <n v="-39100.019880715707"/>
    <n v="-234.60011928429594"/>
    <n v="0"/>
    <n v="0"/>
    <n v="0"/>
    <n v="-234.60011928429594"/>
    <n v="-39100.019880715707"/>
  </r>
  <r>
    <x v="28"/>
    <x v="0"/>
    <n v="131286438671"/>
    <n v="4062.21"/>
    <n v="9943872.0199999996"/>
    <x v="0"/>
    <m/>
    <m/>
    <n v="0"/>
    <n v="-43"/>
    <n v="-168.99"/>
    <n v="-25.8"/>
    <n v="4300"/>
  </r>
  <r>
    <x v="28"/>
    <x v="0"/>
    <n v="131885222868"/>
    <n v="16368.24"/>
    <n v="9960240.2599999998"/>
    <x v="0"/>
    <m/>
    <m/>
    <n v="0"/>
    <n v="-168"/>
    <n v="-162.96"/>
    <n v="-100.8"/>
    <n v="16799.999999999996"/>
  </r>
  <r>
    <x v="28"/>
    <x v="0"/>
    <n v="131293843097"/>
    <n v="3897.2"/>
    <n v="9964137.4600000009"/>
    <x v="0"/>
    <m/>
    <m/>
    <n v="0"/>
    <n v="-40"/>
    <n v="-38.799999999999997"/>
    <n v="-24"/>
    <n v="4000"/>
  </r>
  <r>
    <x v="28"/>
    <x v="193"/>
    <n v="131293868791"/>
    <n v="195.8"/>
    <n v="9964333.2599999998"/>
    <x v="0"/>
    <m/>
    <m/>
    <n v="-3"/>
    <n v="0"/>
    <n v="0"/>
    <n v="-1.2"/>
    <n v="200"/>
  </r>
  <r>
    <x v="28"/>
    <x v="0"/>
    <n v="131890487764"/>
    <n v="25239.62"/>
    <n v="9989572.8800000008"/>
    <x v="0"/>
    <m/>
    <m/>
    <n v="0"/>
    <n v="-278"/>
    <n v="-2115.58"/>
    <n v="-166.8"/>
    <n v="27799.999999999996"/>
  </r>
  <r>
    <x v="28"/>
    <x v="27"/>
    <n v="131890471796"/>
    <n v="1360.81"/>
    <n v="9990933.6899999995"/>
    <x v="0"/>
    <m/>
    <m/>
    <n v="-20.85"/>
    <n v="0"/>
    <n v="0"/>
    <n v="-8.34"/>
    <n v="1389.9999999999998"/>
  </r>
  <r>
    <x v="28"/>
    <x v="0"/>
    <n v="131890761018"/>
    <n v="45499.81"/>
    <n v="10036433.5"/>
    <x v="0"/>
    <m/>
    <m/>
    <n v="0"/>
    <n v="-467"/>
    <n v="-452.99"/>
    <n v="-280.2"/>
    <n v="46699.999999999993"/>
  </r>
  <r>
    <x v="28"/>
    <x v="0"/>
    <n v="131298223245"/>
    <n v="7263.2"/>
    <n v="10043696.699999999"/>
    <x v="0"/>
    <m/>
    <m/>
    <n v="0"/>
    <n v="-80"/>
    <n v="-608.79999999999995"/>
    <n v="-48"/>
    <n v="8000"/>
  </r>
  <r>
    <x v="28"/>
    <x v="0"/>
    <n v="131896819466"/>
    <n v="39556.58"/>
    <n v="10083253.279999999"/>
    <x v="0"/>
    <m/>
    <m/>
    <n v="0"/>
    <n v="-406"/>
    <n v="-393.82"/>
    <n v="-243.6"/>
    <n v="40600"/>
  </r>
  <r>
    <x v="29"/>
    <x v="6"/>
    <n v="131421618225"/>
    <n v="-7005.9"/>
    <n v="9712674.2899999991"/>
    <x v="2"/>
    <n v="-1167650"/>
    <m/>
    <n v="0"/>
    <n v="0"/>
    <n v="0"/>
    <m/>
    <n v="-7005.9"/>
  </r>
  <r>
    <x v="29"/>
    <x v="194"/>
    <n v="131421618225"/>
    <n v="-1167650"/>
    <n v="9719680.1899999995"/>
    <x v="1"/>
    <n v="-1160685.8846918489"/>
    <n v="-6964.1153081511147"/>
    <n v="0"/>
    <n v="0"/>
    <n v="0"/>
    <n v="-7005.9"/>
    <n v="-1167650"/>
  </r>
  <r>
    <x v="28"/>
    <x v="0"/>
    <n v="131901497916"/>
    <n v="8715.84"/>
    <n v="9537131.0299999993"/>
    <x v="0"/>
    <m/>
    <m/>
    <n v="0"/>
    <n v="-96"/>
    <n v="-730.56"/>
    <n v="-57.6"/>
    <n v="9600"/>
  </r>
  <r>
    <x v="28"/>
    <x v="0"/>
    <n v="131901950294"/>
    <n v="5358.65"/>
    <n v="9542489.6799999997"/>
    <x v="0"/>
    <m/>
    <m/>
    <n v="0"/>
    <n v="-55"/>
    <n v="-53.35"/>
    <n v="-33"/>
    <n v="5500"/>
  </r>
  <r>
    <x v="28"/>
    <x v="195"/>
    <n v="131901914752"/>
    <n v="269.22000000000003"/>
    <n v="9542758.9000000004"/>
    <x v="0"/>
    <m/>
    <m/>
    <n v="-4.13"/>
    <n v="0"/>
    <n v="0"/>
    <n v="-1.65"/>
    <n v="275"/>
  </r>
  <r>
    <x v="28"/>
    <x v="0"/>
    <n v="131305593613"/>
    <n v="19973.150000000001"/>
    <n v="9562732.0500000007"/>
    <x v="0"/>
    <m/>
    <m/>
    <n v="0"/>
    <n v="-205"/>
    <n v="-198.85"/>
    <n v="-123"/>
    <n v="20500"/>
  </r>
  <r>
    <x v="28"/>
    <x v="0"/>
    <n v="131305925337"/>
    <n v="4676.6400000000003"/>
    <n v="9567408.6899999995"/>
    <x v="0"/>
    <m/>
    <m/>
    <n v="0"/>
    <n v="-48"/>
    <n v="-46.56"/>
    <n v="-28.8"/>
    <n v="4800.0000000000009"/>
  </r>
  <r>
    <x v="28"/>
    <x v="0"/>
    <n v="131902908484"/>
    <n v="3897.2"/>
    <n v="9571305.8900000006"/>
    <x v="0"/>
    <m/>
    <m/>
    <n v="0"/>
    <n v="-40"/>
    <n v="-38.799999999999997"/>
    <n v="-24"/>
    <n v="4000"/>
  </r>
  <r>
    <x v="28"/>
    <x v="0"/>
    <n v="131902863112"/>
    <n v="3778.8"/>
    <n v="9575084.6899999995"/>
    <x v="0"/>
    <m/>
    <m/>
    <n v="0"/>
    <n v="-40"/>
    <n v="-157.19999999999999"/>
    <n v="-24"/>
    <n v="4000"/>
  </r>
  <r>
    <x v="28"/>
    <x v="0"/>
    <n v="131903448136"/>
    <n v="4676.6400000000003"/>
    <n v="9579761.3300000001"/>
    <x v="0"/>
    <m/>
    <m/>
    <n v="0"/>
    <n v="-48"/>
    <n v="-46.56"/>
    <n v="-28.8"/>
    <n v="4800.0000000000009"/>
  </r>
  <r>
    <x v="28"/>
    <x v="57"/>
    <n v="131306274905"/>
    <n v="234.96"/>
    <n v="9579996.2899999991"/>
    <x v="0"/>
    <m/>
    <m/>
    <n v="-3.6"/>
    <n v="0"/>
    <n v="0"/>
    <n v="-1.44"/>
    <n v="240"/>
  </r>
  <r>
    <x v="28"/>
    <x v="0"/>
    <n v="131306395943"/>
    <n v="2338.3200000000002"/>
    <n v="9582334.6099999994"/>
    <x v="0"/>
    <m/>
    <m/>
    <n v="0"/>
    <n v="-24"/>
    <n v="-23.28"/>
    <n v="-14.4"/>
    <n v="2400.0000000000005"/>
  </r>
  <r>
    <x v="28"/>
    <x v="57"/>
    <n v="131306413635"/>
    <n v="117.48"/>
    <n v="9582452.0899999999"/>
    <x v="0"/>
    <m/>
    <m/>
    <n v="-1.8"/>
    <n v="0"/>
    <n v="0"/>
    <n v="-0.72"/>
    <n v="120"/>
  </r>
  <r>
    <x v="28"/>
    <x v="0"/>
    <n v="131903795584"/>
    <n v="12847.92"/>
    <n v="9595300.0099999998"/>
    <x v="0"/>
    <m/>
    <m/>
    <n v="0"/>
    <n v="-136"/>
    <n v="-534.48"/>
    <n v="-81.599999999999994"/>
    <n v="13600"/>
  </r>
  <r>
    <x v="28"/>
    <x v="0"/>
    <n v="131306924489"/>
    <n v="4092.06"/>
    <n v="9599392.0700000003"/>
    <x v="0"/>
    <m/>
    <m/>
    <n v="0"/>
    <n v="-42"/>
    <n v="-40.74"/>
    <n v="-25.2"/>
    <n v="4199.9999999999991"/>
  </r>
  <r>
    <x v="28"/>
    <x v="0"/>
    <n v="131904338486"/>
    <n v="10391.700000000001"/>
    <n v="9609783.7699999996"/>
    <x v="0"/>
    <m/>
    <m/>
    <n v="0"/>
    <n v="-110"/>
    <n v="-432.3"/>
    <n v="-66"/>
    <n v="11000"/>
  </r>
  <r>
    <x v="28"/>
    <x v="0"/>
    <n v="131904438130"/>
    <n v="4993.45"/>
    <n v="9614777.2200000007"/>
    <x v="0"/>
    <m/>
    <m/>
    <n v="0"/>
    <n v="-55"/>
    <n v="-418.55"/>
    <n v="-33"/>
    <n v="5500"/>
  </r>
  <r>
    <x v="28"/>
    <x v="0"/>
    <n v="131307691391"/>
    <n v="4676.6400000000003"/>
    <n v="9619453.8599999994"/>
    <x v="0"/>
    <m/>
    <m/>
    <n v="0"/>
    <n v="-48"/>
    <n v="-46.56"/>
    <n v="-28.8"/>
    <n v="4800.0000000000009"/>
  </r>
  <r>
    <x v="28"/>
    <x v="196"/>
    <n v="131307866811"/>
    <n v="469.92"/>
    <n v="9619923.7799999993"/>
    <x v="0"/>
    <m/>
    <m/>
    <n v="-7.2"/>
    <n v="0"/>
    <n v="0"/>
    <n v="-2.88"/>
    <n v="480"/>
  </r>
  <r>
    <x v="28"/>
    <x v="0"/>
    <n v="131308959291"/>
    <n v="43175.6"/>
    <n v="9663099.3800000008"/>
    <x v="0"/>
    <m/>
    <m/>
    <n v="0"/>
    <n v="-460"/>
    <n v="-2088.4"/>
    <n v="-276"/>
    <n v="46000"/>
  </r>
  <r>
    <x v="28"/>
    <x v="0"/>
    <n v="131905568532"/>
    <n v="8573.84"/>
    <n v="9671673.2200000007"/>
    <x v="0"/>
    <m/>
    <m/>
    <n v="0"/>
    <n v="-88"/>
    <n v="-85.36"/>
    <n v="-52.8"/>
    <n v="8800"/>
  </r>
  <r>
    <x v="28"/>
    <x v="0"/>
    <n v="131905809004"/>
    <n v="4676.6400000000003"/>
    <n v="9676349.8599999994"/>
    <x v="0"/>
    <m/>
    <m/>
    <n v="0"/>
    <n v="-48"/>
    <n v="-46.56"/>
    <n v="-28.8"/>
    <n v="4800.0000000000009"/>
  </r>
  <r>
    <x v="28"/>
    <x v="57"/>
    <n v="131905932386"/>
    <n v="234.96"/>
    <n v="9676584.8200000003"/>
    <x v="0"/>
    <m/>
    <m/>
    <n v="-3.6"/>
    <n v="0"/>
    <n v="0"/>
    <n v="-1.44"/>
    <n v="240"/>
  </r>
  <r>
    <x v="28"/>
    <x v="0"/>
    <n v="131309391639"/>
    <n v="4481.78"/>
    <n v="9681066.5999999996"/>
    <x v="0"/>
    <m/>
    <m/>
    <n v="0"/>
    <n v="-46"/>
    <n v="-44.62"/>
    <n v="-27.6"/>
    <n v="4600"/>
  </r>
  <r>
    <x v="28"/>
    <x v="0"/>
    <n v="131309712763"/>
    <n v="25039.51"/>
    <n v="9706106.1099999994"/>
    <x v="0"/>
    <m/>
    <m/>
    <n v="0"/>
    <n v="-257"/>
    <n v="-249.29"/>
    <n v="-154.19999999999999"/>
    <n v="25700"/>
  </r>
  <r>
    <x v="28"/>
    <x v="0"/>
    <n v="131906789090"/>
    <n v="33579.19"/>
    <n v="9739685.3000000007"/>
    <x v="0"/>
    <m/>
    <m/>
    <n v="0"/>
    <n v="-347"/>
    <n v="-565.61"/>
    <n v="-208.2"/>
    <n v="34700"/>
  </r>
  <r>
    <x v="28"/>
    <x v="0"/>
    <n v="131907151016"/>
    <n v="27864.98"/>
    <n v="9767550.2799999993"/>
    <x v="0"/>
    <m/>
    <m/>
    <n v="0"/>
    <n v="-286"/>
    <n v="-277.42"/>
    <n v="-171.6"/>
    <n v="28599.999999999996"/>
  </r>
  <r>
    <x v="28"/>
    <x v="0"/>
    <n v="131907151510"/>
    <n v="4579.21"/>
    <n v="9772129.4900000002"/>
    <x v="0"/>
    <m/>
    <m/>
    <n v="0"/>
    <n v="-47"/>
    <n v="-45.59"/>
    <n v="-28.2"/>
    <n v="4700"/>
  </r>
  <r>
    <x v="28"/>
    <x v="0"/>
    <n v="131907367616"/>
    <n v="19388.57"/>
    <n v="9791518.0600000005"/>
    <x v="0"/>
    <m/>
    <m/>
    <n v="0"/>
    <n v="-199"/>
    <n v="-193.03"/>
    <n v="-119.4"/>
    <n v="19900"/>
  </r>
  <r>
    <x v="28"/>
    <x v="0"/>
    <n v="131310426325"/>
    <n v="18706.560000000001"/>
    <n v="9810224.6199999992"/>
    <x v="0"/>
    <m/>
    <m/>
    <n v="0"/>
    <n v="-192"/>
    <n v="-186.24"/>
    <n v="-115.2"/>
    <n v="19200.000000000004"/>
  </r>
  <r>
    <x v="28"/>
    <x v="0"/>
    <n v="131310354047"/>
    <n v="7794.4"/>
    <n v="9818019.0199999996"/>
    <x v="0"/>
    <m/>
    <m/>
    <n v="0"/>
    <n v="-80"/>
    <n v="-77.599999999999994"/>
    <n v="-48"/>
    <n v="8000"/>
  </r>
  <r>
    <x v="28"/>
    <x v="0"/>
    <n v="131310713093"/>
    <n v="30579.32"/>
    <n v="9848598.3399999999"/>
    <x v="0"/>
    <m/>
    <m/>
    <n v="0"/>
    <n v="-316"/>
    <n v="-515.08000000000004"/>
    <n v="-189.6"/>
    <n v="31600"/>
  </r>
  <r>
    <x v="28"/>
    <x v="0"/>
    <n v="131310863993"/>
    <n v="9353.2800000000007"/>
    <n v="9857951.6199999992"/>
    <x v="0"/>
    <m/>
    <m/>
    <n v="0"/>
    <n v="-96"/>
    <n v="-93.12"/>
    <n v="-57.6"/>
    <n v="9600.0000000000018"/>
  </r>
  <r>
    <x v="28"/>
    <x v="0"/>
    <n v="131908282314"/>
    <n v="29131.57"/>
    <n v="9887083.1899999995"/>
    <x v="0"/>
    <m/>
    <m/>
    <n v="0"/>
    <n v="-299"/>
    <n v="-290.02999999999997"/>
    <n v="-179.4"/>
    <n v="29900"/>
  </r>
  <r>
    <x v="28"/>
    <x v="0"/>
    <n v="131311356653"/>
    <n v="16075.95"/>
    <n v="9903159.1400000006"/>
    <x v="0"/>
    <m/>
    <m/>
    <n v="0"/>
    <n v="-165"/>
    <n v="-160.05000000000001"/>
    <n v="-99"/>
    <n v="16500"/>
  </r>
  <r>
    <x v="28"/>
    <x v="0"/>
    <n v="131908241628"/>
    <n v="26111.24"/>
    <n v="9929270.3800000008"/>
    <x v="0"/>
    <m/>
    <m/>
    <n v="0"/>
    <n v="-268"/>
    <n v="-259.95999999999998"/>
    <n v="-160.80000000000001"/>
    <n v="26800"/>
  </r>
  <r>
    <x v="28"/>
    <x v="0"/>
    <n v="131311443397"/>
    <n v="47058.69"/>
    <n v="9976329.0700000003"/>
    <x v="0"/>
    <m/>
    <m/>
    <n v="0"/>
    <n v="-483"/>
    <n v="-468.51"/>
    <n v="-289.8"/>
    <n v="48300.000000000007"/>
  </r>
  <r>
    <x v="28"/>
    <x v="0"/>
    <n v="131311573781"/>
    <n v="9010.56"/>
    <n v="9985339.6300000008"/>
    <x v="0"/>
    <m/>
    <m/>
    <n v="0"/>
    <n v="-96"/>
    <n v="-435.84"/>
    <n v="-57.6"/>
    <n v="9600"/>
  </r>
  <r>
    <x v="28"/>
    <x v="0"/>
    <n v="131311969845"/>
    <n v="7989.26"/>
    <n v="9993328.8900000006"/>
    <x v="0"/>
    <m/>
    <m/>
    <n v="0"/>
    <n v="-82"/>
    <n v="-79.540000000000006"/>
    <n v="-49.2"/>
    <n v="8200"/>
  </r>
  <r>
    <x v="28"/>
    <x v="0"/>
    <n v="131312518579"/>
    <n v="24357.5"/>
    <n v="10017686.390000001"/>
    <x v="0"/>
    <m/>
    <m/>
    <n v="0"/>
    <n v="-250"/>
    <n v="-242.5"/>
    <n v="-150"/>
    <n v="25000"/>
  </r>
  <r>
    <x v="28"/>
    <x v="0"/>
    <n v="131312521617"/>
    <n v="9353.2800000000007"/>
    <n v="10027039.67"/>
    <x v="0"/>
    <m/>
    <m/>
    <n v="0"/>
    <n v="-96"/>
    <n v="-93.12"/>
    <n v="-57.6"/>
    <n v="9600.0000000000018"/>
  </r>
  <r>
    <x v="28"/>
    <x v="0"/>
    <n v="131312526083"/>
    <n v="41998.18"/>
    <n v="10069037.85"/>
    <x v="0"/>
    <m/>
    <m/>
    <n v="0"/>
    <n v="-434"/>
    <n v="-707.42"/>
    <n v="-260.39999999999998"/>
    <n v="43400"/>
  </r>
  <r>
    <x v="28"/>
    <x v="0"/>
    <n v="131312741747"/>
    <n v="8866.1299999999992"/>
    <n v="10077903.98"/>
    <x v="0"/>
    <m/>
    <m/>
    <n v="0"/>
    <n v="-91"/>
    <n v="-88.27"/>
    <n v="-54.6"/>
    <n v="9100"/>
  </r>
  <r>
    <x v="28"/>
    <x v="0"/>
    <n v="131312947683"/>
    <n v="8691.24"/>
    <n v="10086595.220000001"/>
    <x v="0"/>
    <m/>
    <m/>
    <n v="0"/>
    <n v="-92"/>
    <n v="-361.56"/>
    <n v="-55.2"/>
    <n v="9200"/>
  </r>
  <r>
    <x v="28"/>
    <x v="0"/>
    <n v="131909518870"/>
    <n v="40449.86"/>
    <n v="10127045.08"/>
    <x v="0"/>
    <m/>
    <m/>
    <n v="0"/>
    <n v="-418"/>
    <n v="-681.34"/>
    <n v="-250.8"/>
    <n v="41800"/>
  </r>
  <r>
    <x v="28"/>
    <x v="0"/>
    <n v="131313176875"/>
    <n v="3897.2"/>
    <n v="10130942.279999999"/>
    <x v="0"/>
    <m/>
    <m/>
    <n v="0"/>
    <n v="-40"/>
    <n v="-38.799999999999997"/>
    <n v="-24"/>
    <n v="4000"/>
  </r>
  <r>
    <x v="28"/>
    <x v="197"/>
    <n v="131909574080"/>
    <n v="195.8"/>
    <n v="10131138.08"/>
    <x v="0"/>
    <m/>
    <m/>
    <n v="-3"/>
    <n v="0"/>
    <n v="0"/>
    <n v="-1.2"/>
    <n v="200"/>
  </r>
  <r>
    <x v="28"/>
    <x v="0"/>
    <n v="131910008744"/>
    <n v="4286.92"/>
    <n v="10135425"/>
    <x v="0"/>
    <m/>
    <m/>
    <n v="0"/>
    <n v="-44"/>
    <n v="-42.68"/>
    <n v="-26.4"/>
    <n v="4400"/>
  </r>
  <r>
    <x v="28"/>
    <x v="0"/>
    <n v="131910231374"/>
    <n v="7989.26"/>
    <n v="10143414.26"/>
    <x v="0"/>
    <m/>
    <m/>
    <n v="0"/>
    <n v="-82"/>
    <n v="-79.540000000000006"/>
    <n v="-49.2"/>
    <n v="8200"/>
  </r>
  <r>
    <x v="28"/>
    <x v="0"/>
    <n v="131910426998"/>
    <n v="33710.78"/>
    <n v="10177125.039999999"/>
    <x v="0"/>
    <m/>
    <m/>
    <n v="0"/>
    <n v="-346"/>
    <n v="-335.62"/>
    <n v="-207.6"/>
    <n v="34600"/>
  </r>
  <r>
    <x v="28"/>
    <x v="0"/>
    <n v="131313630355"/>
    <n v="19338.27"/>
    <n v="10196463.310000001"/>
    <x v="0"/>
    <m/>
    <m/>
    <n v="0"/>
    <n v="-213"/>
    <n v="-1620.93"/>
    <n v="-127.8"/>
    <n v="21300"/>
  </r>
  <r>
    <x v="28"/>
    <x v="198"/>
    <n v="131910726814"/>
    <n v="1042.6300000000001"/>
    <n v="10197505.939999999"/>
    <x v="0"/>
    <m/>
    <m/>
    <n v="-15.98"/>
    <n v="0"/>
    <n v="0"/>
    <n v="-6.39"/>
    <n v="1065.0000000000002"/>
  </r>
  <r>
    <x v="28"/>
    <x v="0"/>
    <n v="131313557783"/>
    <n v="4676.6400000000003"/>
    <n v="10202182.58"/>
    <x v="0"/>
    <m/>
    <m/>
    <n v="0"/>
    <n v="-48"/>
    <n v="-46.56"/>
    <n v="-28.8"/>
    <n v="4800.0000000000009"/>
  </r>
  <r>
    <x v="28"/>
    <x v="133"/>
    <n v="131313734591"/>
    <n v="469.92"/>
    <n v="10202652.5"/>
    <x v="0"/>
    <m/>
    <m/>
    <n v="-7.2"/>
    <n v="0"/>
    <n v="0"/>
    <n v="-2.88"/>
    <n v="480"/>
  </r>
  <r>
    <x v="28"/>
    <x v="0"/>
    <n v="131313650019"/>
    <n v="83794.89"/>
    <n v="10286447.390000001"/>
    <x v="0"/>
    <m/>
    <m/>
    <n v="0"/>
    <n v="-887"/>
    <n v="-3485.91"/>
    <n v="-532.20000000000005"/>
    <n v="88700"/>
  </r>
  <r>
    <x v="28"/>
    <x v="0"/>
    <n v="131910955522"/>
    <n v="5447.4"/>
    <n v="10291894.789999999"/>
    <x v="0"/>
    <m/>
    <m/>
    <n v="0"/>
    <n v="-60"/>
    <n v="-456.6"/>
    <n v="-36"/>
    <n v="6000"/>
  </r>
  <r>
    <x v="28"/>
    <x v="0"/>
    <n v="131314138549"/>
    <n v="9069.1200000000008"/>
    <n v="10300963.91"/>
    <x v="0"/>
    <m/>
    <m/>
    <n v="0"/>
    <n v="-96"/>
    <n v="-377.28"/>
    <n v="-57.6"/>
    <n v="9600.0000000000018"/>
  </r>
  <r>
    <x v="29"/>
    <x v="0"/>
    <n v="131314279823"/>
    <n v="47350.98"/>
    <n v="10348314.890000001"/>
    <x v="0"/>
    <m/>
    <m/>
    <n v="0"/>
    <n v="-486"/>
    <n v="-471.42"/>
    <n v="-291.60000000000002"/>
    <n v="48600"/>
  </r>
  <r>
    <x v="29"/>
    <x v="0"/>
    <n v="131911569716"/>
    <n v="15296.51"/>
    <n v="10363611.4"/>
    <x v="0"/>
    <m/>
    <m/>
    <n v="0"/>
    <n v="-157"/>
    <n v="-152.29"/>
    <n v="-94.2"/>
    <n v="15700.000000000002"/>
  </r>
  <r>
    <x v="29"/>
    <x v="0"/>
    <n v="131911758332"/>
    <n v="4676.6400000000003"/>
    <n v="10368288.039999999"/>
    <x v="0"/>
    <m/>
    <m/>
    <n v="0"/>
    <n v="-48"/>
    <n v="-46.56"/>
    <n v="-28.8"/>
    <n v="4800.0000000000009"/>
  </r>
  <r>
    <x v="29"/>
    <x v="0"/>
    <n v="131911994644"/>
    <n v="3897.2"/>
    <n v="10372185.24"/>
    <x v="0"/>
    <m/>
    <m/>
    <n v="0"/>
    <n v="-40"/>
    <n v="-38.799999999999997"/>
    <n v="-24"/>
    <n v="4000"/>
  </r>
  <r>
    <x v="29"/>
    <x v="0"/>
    <n v="131911831956"/>
    <n v="31865.47"/>
    <n v="10404050.710000001"/>
    <x v="0"/>
    <m/>
    <m/>
    <n v="0"/>
    <n v="-339.5"/>
    <n v="-1541.33"/>
    <n v="-203.7"/>
    <n v="33950"/>
  </r>
  <r>
    <x v="29"/>
    <x v="0"/>
    <n v="131315445485"/>
    <n v="33126.199999999997"/>
    <n v="10437176.91"/>
    <x v="0"/>
    <m/>
    <m/>
    <n v="0"/>
    <n v="-340"/>
    <n v="-329.8"/>
    <n v="-204"/>
    <n v="34000"/>
  </r>
  <r>
    <x v="29"/>
    <x v="0"/>
    <n v="131315798133"/>
    <n v="10324.6"/>
    <n v="10447501.51"/>
    <x v="0"/>
    <m/>
    <m/>
    <n v="0"/>
    <n v="-110"/>
    <n v="-499.4"/>
    <n v="-66"/>
    <n v="11000"/>
  </r>
  <r>
    <x v="29"/>
    <x v="0"/>
    <n v="131315537649"/>
    <n v="48812.43"/>
    <n v="10496313.939999999"/>
    <x v="0"/>
    <m/>
    <m/>
    <n v="0"/>
    <n v="-501"/>
    <n v="-485.97"/>
    <n v="-300.60000000000002"/>
    <n v="50100"/>
  </r>
  <r>
    <x v="29"/>
    <x v="0"/>
    <n v="131912442132"/>
    <n v="8502.2999999999993"/>
    <n v="10504816.24"/>
    <x v="0"/>
    <m/>
    <m/>
    <n v="0"/>
    <n v="-90"/>
    <n v="-353.7"/>
    <n v="-54"/>
    <n v="9000"/>
  </r>
  <r>
    <x v="29"/>
    <x v="0"/>
    <n v="131315987293"/>
    <n v="11984.28"/>
    <n v="10516800.52"/>
    <x v="0"/>
    <m/>
    <m/>
    <n v="0"/>
    <n v="-132"/>
    <n v="-1004.52"/>
    <n v="-79.2"/>
    <n v="13200.000000000002"/>
  </r>
  <r>
    <x v="29"/>
    <x v="0"/>
    <n v="131316170617"/>
    <n v="13445.34"/>
    <n v="10530245.859999999"/>
    <x v="0"/>
    <m/>
    <m/>
    <n v="0"/>
    <n v="-138"/>
    <n v="-133.86000000000001"/>
    <n v="-82.8"/>
    <n v="13800"/>
  </r>
  <r>
    <x v="29"/>
    <x v="0"/>
    <n v="131316233559"/>
    <n v="10717.3"/>
    <n v="10540963.16"/>
    <x v="0"/>
    <m/>
    <m/>
    <n v="0"/>
    <n v="-110"/>
    <n v="-106.7"/>
    <n v="-66"/>
    <n v="11000"/>
  </r>
  <r>
    <x v="29"/>
    <x v="0"/>
    <n v="131316259873"/>
    <n v="31930.86"/>
    <n v="10572894.02"/>
    <x v="0"/>
    <m/>
    <m/>
    <n v="0"/>
    <n v="-338"/>
    <n v="-1328.34"/>
    <n v="-202.8"/>
    <n v="33800"/>
  </r>
  <r>
    <x v="29"/>
    <x v="0"/>
    <n v="131913233904"/>
    <n v="30105.87"/>
    <n v="10602999.890000001"/>
    <x v="0"/>
    <m/>
    <m/>
    <n v="0"/>
    <n v="-309"/>
    <n v="-299.73"/>
    <n v="-185.4"/>
    <n v="30900"/>
  </r>
  <r>
    <x v="29"/>
    <x v="0"/>
    <n v="131913625570"/>
    <n v="62842.35"/>
    <n v="10665842.24"/>
    <x v="0"/>
    <m/>
    <m/>
    <n v="0"/>
    <n v="-645"/>
    <n v="-625.65"/>
    <n v="-387"/>
    <n v="64500"/>
  </r>
  <r>
    <x v="29"/>
    <x v="89"/>
    <n v="131913722710"/>
    <n v="3157.27"/>
    <n v="10668999.51"/>
    <x v="0"/>
    <m/>
    <m/>
    <n v="-48.38"/>
    <n v="0"/>
    <n v="0"/>
    <n v="-19.350000000000001"/>
    <n v="3225"/>
  </r>
  <r>
    <x v="29"/>
    <x v="0"/>
    <n v="131913776076"/>
    <n v="18138.240000000002"/>
    <n v="10687137.75"/>
    <x v="0"/>
    <m/>
    <m/>
    <n v="0"/>
    <n v="-192"/>
    <n v="-754.56"/>
    <n v="-115.2"/>
    <n v="19200.000000000004"/>
  </r>
  <r>
    <x v="29"/>
    <x v="0"/>
    <n v="131914000620"/>
    <n v="50955.89"/>
    <n v="10738093.640000001"/>
    <x v="0"/>
    <m/>
    <m/>
    <n v="0"/>
    <n v="-523"/>
    <n v="-507.31"/>
    <n v="-313.8"/>
    <n v="52300"/>
  </r>
  <r>
    <x v="29"/>
    <x v="0"/>
    <n v="131317503951"/>
    <n v="8768.7000000000007"/>
    <n v="10746862.34"/>
    <x v="0"/>
    <m/>
    <m/>
    <n v="0"/>
    <n v="-90"/>
    <n v="-87.3"/>
    <n v="-54"/>
    <n v="9000"/>
  </r>
  <r>
    <x v="29"/>
    <x v="0"/>
    <n v="131317701455"/>
    <n v="49202.15"/>
    <n v="10796064.49"/>
    <x v="0"/>
    <m/>
    <m/>
    <n v="0"/>
    <n v="-505"/>
    <n v="-489.85"/>
    <n v="-303"/>
    <n v="50500"/>
  </r>
  <r>
    <x v="29"/>
    <x v="0"/>
    <n v="131317789095"/>
    <n v="9353.2800000000007"/>
    <n v="10805417.77"/>
    <x v="0"/>
    <m/>
    <m/>
    <n v="0"/>
    <n v="-96"/>
    <n v="-93.12"/>
    <n v="-57.6"/>
    <n v="9600.0000000000018"/>
  </r>
  <r>
    <x v="29"/>
    <x v="22"/>
    <n v="131914675008"/>
    <n v="939.84"/>
    <n v="10806357.609999999"/>
    <x v="0"/>
    <m/>
    <m/>
    <n v="-14.4"/>
    <n v="0"/>
    <n v="0"/>
    <n v="-5.76"/>
    <n v="960"/>
  </r>
  <r>
    <x v="29"/>
    <x v="0"/>
    <n v="131914746862"/>
    <n v="9353.2800000000007"/>
    <n v="10815710.890000001"/>
    <x v="0"/>
    <m/>
    <m/>
    <n v="0"/>
    <n v="-96"/>
    <n v="-93.12"/>
    <n v="-57.6"/>
    <n v="9600.0000000000018"/>
  </r>
  <r>
    <x v="29"/>
    <x v="0"/>
    <n v="131317780025"/>
    <n v="30398.16"/>
    <n v="10846109.050000001"/>
    <x v="0"/>
    <m/>
    <m/>
    <n v="0"/>
    <n v="-312"/>
    <n v="-302.64"/>
    <n v="-187.2"/>
    <n v="31200"/>
  </r>
  <r>
    <x v="29"/>
    <x v="0"/>
    <n v="131318108529"/>
    <n v="16075.95"/>
    <n v="10862185"/>
    <x v="0"/>
    <m/>
    <m/>
    <n v="0"/>
    <n v="-165"/>
    <n v="-160.05000000000001"/>
    <n v="-99"/>
    <n v="16500"/>
  </r>
  <r>
    <x v="29"/>
    <x v="0"/>
    <n v="131914914580"/>
    <n v="40141.160000000003"/>
    <n v="10902326.16"/>
    <x v="0"/>
    <m/>
    <m/>
    <n v="0"/>
    <n v="-412"/>
    <n v="-399.64"/>
    <n v="-247.2"/>
    <n v="41200"/>
  </r>
  <r>
    <x v="29"/>
    <x v="0"/>
    <n v="131318226099"/>
    <n v="3942.12"/>
    <n v="10906268.279999999"/>
    <x v="0"/>
    <m/>
    <m/>
    <n v="0"/>
    <n v="-42"/>
    <n v="-190.68"/>
    <n v="-25.2"/>
    <n v="4200"/>
  </r>
  <r>
    <x v="29"/>
    <x v="0"/>
    <n v="131915208972"/>
    <n v="9010.56"/>
    <n v="10915278.84"/>
    <x v="0"/>
    <m/>
    <m/>
    <n v="0"/>
    <n v="-96"/>
    <n v="-435.84"/>
    <n v="-57.6"/>
    <n v="9600"/>
  </r>
  <r>
    <x v="29"/>
    <x v="0"/>
    <n v="131915245194"/>
    <n v="13737.63"/>
    <n v="10929016.470000001"/>
    <x v="0"/>
    <m/>
    <m/>
    <n v="0"/>
    <n v="-141"/>
    <n v="-136.77000000000001"/>
    <n v="-84.6"/>
    <n v="14100"/>
  </r>
  <r>
    <x v="29"/>
    <x v="0"/>
    <n v="131915199812"/>
    <n v="13542.77"/>
    <n v="10942559.24"/>
    <x v="0"/>
    <m/>
    <m/>
    <n v="0"/>
    <n v="-139"/>
    <n v="-134.83000000000001"/>
    <n v="-83.4"/>
    <n v="13900"/>
  </r>
  <r>
    <x v="29"/>
    <x v="195"/>
    <n v="131915191964"/>
    <n v="1360.81"/>
    <n v="10943920.050000001"/>
    <x v="0"/>
    <m/>
    <m/>
    <n v="-20.85"/>
    <n v="0"/>
    <n v="0"/>
    <n v="-8.34"/>
    <n v="1389.9999999999998"/>
  </r>
  <r>
    <x v="29"/>
    <x v="0"/>
    <n v="131318475295"/>
    <n v="15978.52"/>
    <n v="10959898.57"/>
    <x v="0"/>
    <m/>
    <m/>
    <n v="0"/>
    <n v="-164"/>
    <n v="-159.08000000000001"/>
    <n v="-98.4"/>
    <n v="16400"/>
  </r>
  <r>
    <x v="29"/>
    <x v="170"/>
    <n v="131915273768"/>
    <n v="802.78"/>
    <n v="10960701.35"/>
    <x v="0"/>
    <m/>
    <m/>
    <n v="-12.3"/>
    <n v="0"/>
    <n v="0"/>
    <n v="-4.92"/>
    <n v="819.99999999999989"/>
  </r>
  <r>
    <x v="29"/>
    <x v="0"/>
    <n v="131318639651"/>
    <n v="4129.84"/>
    <n v="10964831.189999999"/>
    <x v="0"/>
    <m/>
    <m/>
    <n v="0"/>
    <n v="-44"/>
    <n v="-199.76"/>
    <n v="-26.4"/>
    <n v="4400"/>
  </r>
  <r>
    <x v="29"/>
    <x v="0"/>
    <n v="131915750288"/>
    <n v="4481.78"/>
    <n v="10969312.970000001"/>
    <x v="0"/>
    <m/>
    <m/>
    <n v="0"/>
    <n v="-46"/>
    <n v="-44.62"/>
    <n v="-27.6"/>
    <n v="4600"/>
  </r>
  <r>
    <x v="29"/>
    <x v="0"/>
    <n v="131915932200"/>
    <n v="11594.17"/>
    <n v="10980907.140000001"/>
    <x v="0"/>
    <m/>
    <m/>
    <n v="0"/>
    <n v="-119"/>
    <n v="-115.43"/>
    <n v="-71.400000000000006"/>
    <n v="11900"/>
  </r>
  <r>
    <x v="29"/>
    <x v="199"/>
    <n v="131319123549"/>
    <n v="582.5"/>
    <n v="10981489.640000001"/>
    <x v="0"/>
    <m/>
    <m/>
    <n v="-8.93"/>
    <n v="0"/>
    <n v="0"/>
    <n v="-3.57"/>
    <n v="595"/>
  </r>
  <r>
    <x v="29"/>
    <x v="0"/>
    <n v="131319369569"/>
    <n v="9548.14"/>
    <n v="10991037.779999999"/>
    <x v="0"/>
    <m/>
    <m/>
    <n v="0"/>
    <n v="-98"/>
    <n v="-95.06"/>
    <n v="-58.8"/>
    <n v="9799.9999999999982"/>
  </r>
  <r>
    <x v="29"/>
    <x v="0"/>
    <n v="131319428755"/>
    <n v="15588.8"/>
    <n v="11006626.58"/>
    <x v="0"/>
    <m/>
    <m/>
    <n v="0"/>
    <n v="-160"/>
    <n v="-155.19999999999999"/>
    <n v="-96"/>
    <n v="16000"/>
  </r>
  <r>
    <x v="29"/>
    <x v="0"/>
    <n v="131916032026"/>
    <n v="4505.28"/>
    <n v="11011131.859999999"/>
    <x v="0"/>
    <m/>
    <m/>
    <n v="0"/>
    <n v="-48"/>
    <n v="-217.92"/>
    <n v="-28.8"/>
    <n v="4800"/>
  </r>
  <r>
    <x v="29"/>
    <x v="0"/>
    <n v="131916342834"/>
    <n v="4676.6400000000003"/>
    <n v="11015808.5"/>
    <x v="0"/>
    <m/>
    <m/>
    <n v="0"/>
    <n v="-48"/>
    <n v="-46.56"/>
    <n v="-28.8"/>
    <n v="4800.0000000000009"/>
  </r>
  <r>
    <x v="29"/>
    <x v="0"/>
    <n v="131916342992"/>
    <n v="25429.23"/>
    <n v="11041237.73"/>
    <x v="0"/>
    <m/>
    <m/>
    <n v="0"/>
    <n v="-261"/>
    <n v="-253.17"/>
    <n v="-156.6"/>
    <n v="26099.999999999996"/>
  </r>
  <r>
    <x v="29"/>
    <x v="200"/>
    <n v="131319469609"/>
    <n v="2555.19"/>
    <n v="11043792.92"/>
    <x v="0"/>
    <m/>
    <m/>
    <n v="-39.15"/>
    <n v="0"/>
    <n v="0"/>
    <n v="-15.66"/>
    <n v="2610"/>
  </r>
  <r>
    <x v="29"/>
    <x v="0"/>
    <n v="131916546200"/>
    <n v="4505.28"/>
    <n v="11048298.199999999"/>
    <x v="0"/>
    <m/>
    <m/>
    <n v="0"/>
    <n v="-48"/>
    <n v="-217.92"/>
    <n v="-28.8"/>
    <n v="4800"/>
  </r>
  <r>
    <x v="29"/>
    <x v="0"/>
    <n v="131319845291"/>
    <n v="16075.95"/>
    <n v="11064374.15"/>
    <x v="0"/>
    <m/>
    <m/>
    <n v="0"/>
    <n v="-165"/>
    <n v="-160.05000000000001"/>
    <n v="-99"/>
    <n v="16500"/>
  </r>
  <r>
    <x v="29"/>
    <x v="201"/>
    <n v="131916458918"/>
    <n v="807.67"/>
    <n v="11065181.82"/>
    <x v="0"/>
    <m/>
    <m/>
    <n v="-12.38"/>
    <n v="0"/>
    <n v="0"/>
    <n v="-4.95"/>
    <n v="825"/>
  </r>
  <r>
    <x v="29"/>
    <x v="0"/>
    <n v="131916575874"/>
    <n v="23188.34"/>
    <n v="11088370.16"/>
    <x v="0"/>
    <m/>
    <m/>
    <n v="0"/>
    <n v="-238"/>
    <n v="-230.86"/>
    <n v="-142.80000000000001"/>
    <n v="23800"/>
  </r>
  <r>
    <x v="29"/>
    <x v="0"/>
    <n v="131320133169"/>
    <n v="40149.75"/>
    <n v="11128519.91"/>
    <x v="0"/>
    <m/>
    <m/>
    <n v="0"/>
    <n v="-425"/>
    <n v="-1670.25"/>
    <n v="-255"/>
    <n v="42500"/>
  </r>
  <r>
    <x v="29"/>
    <x v="0"/>
    <n v="131319977785"/>
    <n v="4676.6400000000003"/>
    <n v="11133196.550000001"/>
    <x v="0"/>
    <m/>
    <m/>
    <n v="0"/>
    <n v="-48"/>
    <n v="-46.56"/>
    <n v="-28.8"/>
    <n v="4800.0000000000009"/>
  </r>
  <r>
    <x v="29"/>
    <x v="24"/>
    <n v="131320260817"/>
    <n v="234.96"/>
    <n v="11133431.51"/>
    <x v="0"/>
    <m/>
    <m/>
    <n v="-3.6"/>
    <n v="0"/>
    <n v="0"/>
    <n v="-1.44"/>
    <n v="240"/>
  </r>
  <r>
    <x v="29"/>
    <x v="0"/>
    <n v="131320310663"/>
    <n v="154913.70000000001"/>
    <n v="11288345.210000001"/>
    <x v="0"/>
    <m/>
    <m/>
    <n v="0"/>
    <n v="-1590"/>
    <n v="-1542.3"/>
    <n v="-954"/>
    <n v="159000"/>
  </r>
  <r>
    <x v="29"/>
    <x v="0"/>
    <n v="131320327125"/>
    <n v="8573.84"/>
    <n v="11296919.050000001"/>
    <x v="0"/>
    <m/>
    <m/>
    <n v="0"/>
    <n v="-88"/>
    <n v="-85.36"/>
    <n v="-52.8"/>
    <n v="8800"/>
  </r>
  <r>
    <x v="29"/>
    <x v="202"/>
    <n v="131917132592"/>
    <n v="430.76"/>
    <n v="11297349.810000001"/>
    <x v="0"/>
    <m/>
    <m/>
    <n v="-6.6"/>
    <n v="0"/>
    <n v="0"/>
    <n v="-2.64"/>
    <n v="440"/>
  </r>
  <r>
    <x v="29"/>
    <x v="0"/>
    <n v="131917265204"/>
    <n v="26111.24"/>
    <n v="11323461.050000001"/>
    <x v="0"/>
    <m/>
    <m/>
    <n v="0"/>
    <n v="-268"/>
    <n v="-259.95999999999998"/>
    <n v="-160.80000000000001"/>
    <n v="26800"/>
  </r>
  <r>
    <x v="29"/>
    <x v="0"/>
    <n v="131917283282"/>
    <n v="7794.4"/>
    <n v="11331255.449999999"/>
    <x v="0"/>
    <m/>
    <m/>
    <n v="0"/>
    <n v="-80"/>
    <n v="-77.599999999999994"/>
    <n v="-48"/>
    <n v="8000"/>
  </r>
  <r>
    <x v="29"/>
    <x v="203"/>
    <n v="131320680825"/>
    <n v="391.6"/>
    <n v="11331647.050000001"/>
    <x v="0"/>
    <m/>
    <m/>
    <n v="-6"/>
    <n v="0"/>
    <n v="0"/>
    <n v="-2.4"/>
    <n v="400"/>
  </r>
  <r>
    <x v="29"/>
    <x v="0"/>
    <n v="131320695005"/>
    <n v="22311.47"/>
    <n v="11353958.52"/>
    <x v="0"/>
    <m/>
    <m/>
    <n v="0"/>
    <n v="-229"/>
    <n v="-222.13"/>
    <n v="-137.4"/>
    <n v="22900.000000000004"/>
  </r>
  <r>
    <x v="29"/>
    <x v="0"/>
    <n v="131320643815"/>
    <n v="44038.36"/>
    <n v="11397996.880000001"/>
    <x v="0"/>
    <m/>
    <m/>
    <n v="0"/>
    <n v="-452"/>
    <n v="-438.44"/>
    <n v="-271.2"/>
    <n v="45200"/>
  </r>
  <r>
    <x v="29"/>
    <x v="0"/>
    <n v="131320786849"/>
    <n v="9069.1200000000008"/>
    <n v="11407066"/>
    <x v="0"/>
    <m/>
    <m/>
    <n v="0"/>
    <n v="-96"/>
    <n v="-377.28"/>
    <n v="-57.6"/>
    <n v="9600.0000000000018"/>
  </r>
  <r>
    <x v="29"/>
    <x v="0"/>
    <n v="131917566708"/>
    <n v="4534.5600000000004"/>
    <n v="11411600.560000001"/>
    <x v="0"/>
    <m/>
    <m/>
    <n v="0"/>
    <n v="-48"/>
    <n v="-188.64"/>
    <n v="-28.8"/>
    <n v="4800.0000000000009"/>
  </r>
  <r>
    <x v="29"/>
    <x v="0"/>
    <n v="131917577150"/>
    <n v="4092.06"/>
    <n v="11415692.619999999"/>
    <x v="0"/>
    <m/>
    <m/>
    <n v="0"/>
    <n v="-42"/>
    <n v="-40.74"/>
    <n v="-25.2"/>
    <n v="4199.9999999999991"/>
  </r>
  <r>
    <x v="29"/>
    <x v="204"/>
    <n v="131917606846"/>
    <n v="616.77"/>
    <n v="11416309.390000001"/>
    <x v="0"/>
    <m/>
    <m/>
    <n v="-9.4499999999999993"/>
    <n v="0"/>
    <n v="0"/>
    <n v="-3.78"/>
    <n v="630"/>
  </r>
  <r>
    <x v="29"/>
    <x v="0"/>
    <n v="131320829761"/>
    <n v="13835.06"/>
    <n v="11430144.449999999"/>
    <x v="0"/>
    <m/>
    <m/>
    <n v="0"/>
    <n v="-142"/>
    <n v="-137.74"/>
    <n v="-85.2"/>
    <n v="14200"/>
  </r>
  <r>
    <x v="29"/>
    <x v="0"/>
    <n v="131917714840"/>
    <n v="24162.639999999999"/>
    <n v="11454307.09"/>
    <x v="0"/>
    <m/>
    <m/>
    <n v="0"/>
    <n v="-248"/>
    <n v="-240.56"/>
    <n v="-148.80000000000001"/>
    <n v="24800"/>
  </r>
  <r>
    <x v="29"/>
    <x v="0"/>
    <n v="131917669410"/>
    <n v="4481.78"/>
    <n v="11458788.869999999"/>
    <x v="0"/>
    <m/>
    <m/>
    <n v="0"/>
    <n v="-46"/>
    <n v="-44.62"/>
    <n v="-27.6"/>
    <n v="4600"/>
  </r>
  <r>
    <x v="29"/>
    <x v="0"/>
    <n v="131321198139"/>
    <n v="4676.6400000000003"/>
    <n v="11463465.51"/>
    <x v="0"/>
    <m/>
    <m/>
    <n v="0"/>
    <n v="-48"/>
    <n v="-46.56"/>
    <n v="-28.8"/>
    <n v="4800.0000000000009"/>
  </r>
  <r>
    <x v="29"/>
    <x v="0"/>
    <n v="131918000406"/>
    <n v="25331.8"/>
    <n v="11488797.310000001"/>
    <x v="0"/>
    <m/>
    <m/>
    <n v="0"/>
    <n v="-260"/>
    <n v="-252.2"/>
    <n v="-156"/>
    <n v="26000"/>
  </r>
  <r>
    <x v="24"/>
    <x v="6"/>
    <n v="131465299312"/>
    <n v="-829.19"/>
    <n v="15482230.550000001"/>
    <x v="2"/>
    <n v="-138198.33333333334"/>
    <m/>
    <n v="0"/>
    <n v="0"/>
    <n v="0"/>
    <m/>
    <n v="-829.19"/>
  </r>
  <r>
    <x v="24"/>
    <x v="160"/>
    <n v="131465299312"/>
    <n v="-138198.41"/>
    <n v="15483059.74"/>
    <x v="1"/>
    <n v="-137374.16500994036"/>
    <n v="-824.24499005964026"/>
    <n v="0"/>
    <n v="0"/>
    <n v="0"/>
    <n v="-829.19"/>
    <n v="-138198.41"/>
  </r>
  <r>
    <x v="25"/>
    <x v="122"/>
    <n v="131604351324"/>
    <n v="-728344"/>
    <n v="13862570.550000001"/>
    <x v="4"/>
    <n v="-724000"/>
    <n v="-4344"/>
    <n v="0"/>
    <n v="0"/>
    <n v="0"/>
    <n v="-4344"/>
    <n v="-724000"/>
  </r>
  <r>
    <x v="27"/>
    <x v="129"/>
    <n v="131709692626"/>
    <n v="-123536.8"/>
    <n v="12039900.76"/>
    <x v="1"/>
    <n v="-122800"/>
    <n v="-736.80000000000291"/>
    <n v="0"/>
    <n v="0"/>
    <n v="0"/>
    <n v="-736.80000000000291"/>
    <n v="-122800"/>
  </r>
  <r>
    <x v="27"/>
    <x v="64"/>
    <n v="131710063412"/>
    <n v="-127570.86"/>
    <n v="11912329.9"/>
    <x v="1"/>
    <n v="-126810"/>
    <n v="-760.86000000000058"/>
    <n v="0"/>
    <n v="0"/>
    <n v="0"/>
    <n v="-760.86000000000058"/>
    <n v="-126810"/>
  </r>
  <r>
    <x v="28"/>
    <x v="6"/>
    <n v="131814061112"/>
    <n v="-6211.37"/>
    <n v="11148418.210000001"/>
    <x v="2"/>
    <n v="-1035228.3333333333"/>
    <m/>
    <n v="0"/>
    <n v="0"/>
    <n v="0"/>
    <m/>
    <n v="-6211.37"/>
  </r>
  <r>
    <x v="28"/>
    <x v="11"/>
    <n v="131814061112"/>
    <n v="-1035227.6"/>
    <n v="11154629.58"/>
    <x v="1"/>
    <n v="-1029053.2803180914"/>
    <n v="-6174.3196819085861"/>
    <n v="0"/>
    <n v="0"/>
    <n v="0"/>
    <n v="-6211.37"/>
    <n v="-1035227.6"/>
  </r>
  <r>
    <x v="28"/>
    <x v="6"/>
    <n v="131845873060"/>
    <n v="-7208.4"/>
    <n v="9939809.8100000005"/>
    <x v="2"/>
    <n v="-1201400"/>
    <m/>
    <n v="0"/>
    <n v="0"/>
    <n v="0"/>
    <m/>
    <n v="-7208.4"/>
  </r>
  <r>
    <x v="28"/>
    <x v="205"/>
    <n v="131845873060"/>
    <n v="-1201400"/>
    <n v="9947018.2100000009"/>
    <x v="1"/>
    <n v="-1194234.5924453281"/>
    <n v="-7165.4075546718668"/>
    <n v="0"/>
    <n v="0"/>
    <n v="0"/>
    <n v="-7208.4"/>
    <n v="-1201400"/>
  </r>
  <r>
    <x v="29"/>
    <x v="59"/>
    <n v="131958297698"/>
    <n v="-45068.82"/>
    <n v="11443728.49"/>
    <x v="1"/>
    <n v="-44800.019880715707"/>
    <n v="-268.80011928429303"/>
    <n v="0"/>
    <n v="0"/>
    <n v="0"/>
    <n v="-268.80011928429303"/>
    <n v="-44800.019880715707"/>
  </r>
  <r>
    <x v="29"/>
    <x v="192"/>
    <n v="131969974252"/>
    <n v="-116897.2"/>
    <n v="10887330.189999999"/>
    <x v="1"/>
    <n v="-116200"/>
    <n v="-697.19999999999709"/>
    <n v="0"/>
    <n v="0"/>
    <n v="0"/>
    <n v="-697.19999999999709"/>
    <n v="-116200"/>
  </r>
  <r>
    <x v="29"/>
    <x v="0"/>
    <n v="131426444169"/>
    <n v="9353.2800000000007"/>
    <n v="9722027.5700000003"/>
    <x v="0"/>
    <m/>
    <m/>
    <n v="0"/>
    <n v="-96"/>
    <n v="-93.12"/>
    <n v="-57.6"/>
    <n v="9600.0000000000018"/>
  </r>
  <r>
    <x v="29"/>
    <x v="206"/>
    <n v="131426410673"/>
    <n v="469.92"/>
    <n v="9722497.4900000002"/>
    <x v="0"/>
    <m/>
    <m/>
    <n v="-7.2"/>
    <n v="0"/>
    <n v="0"/>
    <n v="-2.88"/>
    <n v="480"/>
  </r>
  <r>
    <x v="29"/>
    <x v="0"/>
    <n v="132024371420"/>
    <n v="9353.2800000000007"/>
    <n v="9731850.7699999996"/>
    <x v="0"/>
    <m/>
    <m/>
    <n v="0"/>
    <n v="-96"/>
    <n v="-93.12"/>
    <n v="-57.6"/>
    <n v="9600.0000000000018"/>
  </r>
  <r>
    <x v="29"/>
    <x v="0"/>
    <n v="132026588886"/>
    <n v="8573.84"/>
    <n v="9740424.6099999994"/>
    <x v="0"/>
    <m/>
    <m/>
    <n v="0"/>
    <n v="-88"/>
    <n v="-85.36"/>
    <n v="-52.8"/>
    <n v="8800"/>
  </r>
  <r>
    <x v="29"/>
    <x v="0"/>
    <n v="131431493777"/>
    <n v="11496.74"/>
    <n v="9751921.3499999996"/>
    <x v="0"/>
    <m/>
    <m/>
    <n v="0"/>
    <n v="-118"/>
    <n v="-114.46"/>
    <n v="-70.8"/>
    <n v="11799.999999999998"/>
  </r>
  <r>
    <x v="29"/>
    <x v="0"/>
    <n v="132032843916"/>
    <n v="3967.74"/>
    <n v="9755889.0899999999"/>
    <x v="0"/>
    <m/>
    <m/>
    <n v="0"/>
    <n v="-42"/>
    <n v="-165.06"/>
    <n v="-25.2"/>
    <n v="4200"/>
  </r>
  <r>
    <x v="29"/>
    <x v="0"/>
    <n v="132033280404"/>
    <n v="19388.57"/>
    <n v="9775277.6600000001"/>
    <x v="0"/>
    <m/>
    <m/>
    <n v="0"/>
    <n v="-199"/>
    <n v="-193.03"/>
    <n v="-119.4"/>
    <n v="19900"/>
  </r>
  <r>
    <x v="29"/>
    <x v="207"/>
    <n v="132033306284"/>
    <n v="1948.21"/>
    <n v="9777225.8699999992"/>
    <x v="0"/>
    <m/>
    <m/>
    <n v="-29.85"/>
    <n v="0"/>
    <n v="0"/>
    <n v="-11.94"/>
    <n v="1990"/>
  </r>
  <r>
    <x v="29"/>
    <x v="0"/>
    <n v="131437180631"/>
    <n v="9353.2800000000007"/>
    <n v="9786579.1500000004"/>
    <x v="0"/>
    <m/>
    <m/>
    <n v="0"/>
    <n v="-96"/>
    <n v="-93.12"/>
    <n v="-57.6"/>
    <n v="9600.0000000000018"/>
  </r>
  <r>
    <x v="29"/>
    <x v="103"/>
    <n v="131437083607"/>
    <n v="939.84"/>
    <n v="9787518.9900000002"/>
    <x v="0"/>
    <m/>
    <m/>
    <n v="-14.4"/>
    <n v="0"/>
    <n v="0"/>
    <n v="-5.76"/>
    <n v="960"/>
  </r>
  <r>
    <x v="29"/>
    <x v="0"/>
    <n v="132035156628"/>
    <n v="9069.1200000000008"/>
    <n v="9796588.1099999994"/>
    <x v="0"/>
    <m/>
    <m/>
    <n v="0"/>
    <n v="-96"/>
    <n v="-377.28"/>
    <n v="-57.6"/>
    <n v="9600.0000000000018"/>
  </r>
  <r>
    <x v="29"/>
    <x v="0"/>
    <n v="131438131109"/>
    <n v="9353.2800000000007"/>
    <n v="9805941.3900000006"/>
    <x v="0"/>
    <m/>
    <m/>
    <n v="0"/>
    <n v="-96"/>
    <n v="-93.12"/>
    <n v="-57.6"/>
    <n v="9600.0000000000018"/>
  </r>
  <r>
    <x v="29"/>
    <x v="0"/>
    <n v="132035989400"/>
    <n v="9353.2800000000007"/>
    <n v="9815294.6699999999"/>
    <x v="0"/>
    <m/>
    <m/>
    <n v="0"/>
    <n v="-96"/>
    <n v="-93.12"/>
    <n v="-57.6"/>
    <n v="9600.0000000000018"/>
  </r>
  <r>
    <x v="29"/>
    <x v="0"/>
    <n v="131440599777"/>
    <n v="49934.5"/>
    <n v="9865229.1699999999"/>
    <x v="0"/>
    <m/>
    <m/>
    <n v="0"/>
    <n v="-550"/>
    <n v="-4185.5"/>
    <n v="-330"/>
    <n v="55000"/>
  </r>
  <r>
    <x v="29"/>
    <x v="0"/>
    <n v="131440703545"/>
    <n v="38777.14"/>
    <n v="9904006.3100000005"/>
    <x v="0"/>
    <m/>
    <m/>
    <n v="0"/>
    <n v="-398"/>
    <n v="-386.06"/>
    <n v="-238.8"/>
    <n v="39800"/>
  </r>
  <r>
    <x v="29"/>
    <x v="208"/>
    <n v="132038062836"/>
    <n v="1948.21"/>
    <n v="9905954.5199999996"/>
    <x v="0"/>
    <m/>
    <m/>
    <n v="-29.85"/>
    <n v="0"/>
    <n v="0"/>
    <n v="-11.94"/>
    <n v="1990"/>
  </r>
  <r>
    <x v="29"/>
    <x v="0"/>
    <n v="132038856812"/>
    <n v="39312.07"/>
    <n v="9945266.5899999999"/>
    <x v="0"/>
    <m/>
    <m/>
    <n v="0"/>
    <n v="-433"/>
    <n v="-3295.13"/>
    <n v="-259.8"/>
    <n v="43300"/>
  </r>
  <r>
    <x v="29"/>
    <x v="0"/>
    <n v="131442369167"/>
    <n v="32346.76"/>
    <n v="9977613.3499999996"/>
    <x v="0"/>
    <m/>
    <m/>
    <n v="0"/>
    <n v="-332"/>
    <n v="-322.04000000000002"/>
    <n v="-199.2"/>
    <n v="33199.999999999993"/>
  </r>
  <r>
    <x v="29"/>
    <x v="0"/>
    <n v="132040086204"/>
    <n v="47545.84"/>
    <n v="10025159.189999999"/>
    <x v="0"/>
    <m/>
    <m/>
    <n v="0"/>
    <n v="-488"/>
    <n v="-473.36"/>
    <n v="-292.8"/>
    <n v="48800"/>
  </r>
  <r>
    <x v="29"/>
    <x v="0"/>
    <n v="131442820443"/>
    <n v="5573.73"/>
    <n v="10030732.92"/>
    <x v="0"/>
    <m/>
    <m/>
    <n v="0"/>
    <n v="-59"/>
    <n v="-231.87"/>
    <n v="-35.4"/>
    <n v="5899.9999999999991"/>
  </r>
  <r>
    <x v="29"/>
    <x v="0"/>
    <n v="131442949423"/>
    <n v="27207.360000000001"/>
    <n v="10057940.279999999"/>
    <x v="0"/>
    <m/>
    <m/>
    <n v="0"/>
    <n v="-288"/>
    <n v="-1131.8399999999999"/>
    <n v="-172.8"/>
    <n v="28800"/>
  </r>
  <r>
    <x v="29"/>
    <x v="0"/>
    <n v="131443126827"/>
    <n v="28449.56"/>
    <n v="10086389.84"/>
    <x v="0"/>
    <m/>
    <m/>
    <n v="0"/>
    <n v="-292"/>
    <n v="-283.24"/>
    <n v="-175.2"/>
    <n v="29200.000000000004"/>
  </r>
  <r>
    <x v="29"/>
    <x v="0"/>
    <n v="132040871854"/>
    <n v="10477.44"/>
    <n v="10096867.279999999"/>
    <x v="0"/>
    <m/>
    <m/>
    <n v="0"/>
    <n v="-110.4"/>
    <n v="-377.28"/>
    <n v="-74.88"/>
    <n v="11040"/>
  </r>
  <r>
    <x v="29"/>
    <x v="0"/>
    <n v="132042598568"/>
    <n v="18959.72"/>
    <n v="10115827"/>
    <x v="0"/>
    <m/>
    <m/>
    <n v="0"/>
    <n v="-202"/>
    <n v="-917.08"/>
    <n v="-121.2"/>
    <n v="20200.000000000004"/>
  </r>
  <r>
    <x v="29"/>
    <x v="0"/>
    <n v="131445281177"/>
    <n v="54887.07"/>
    <n v="10170714.07"/>
    <x v="0"/>
    <m/>
    <m/>
    <n v="0"/>
    <n v="-581"/>
    <n v="-2283.33"/>
    <n v="-348.6"/>
    <n v="58100"/>
  </r>
  <r>
    <x v="29"/>
    <x v="0"/>
    <n v="131446697595"/>
    <n v="44778.78"/>
    <n v="10215492.85"/>
    <x v="0"/>
    <m/>
    <m/>
    <n v="0"/>
    <n v="-474"/>
    <n v="-1862.82"/>
    <n v="-284.39999999999998"/>
    <n v="47400"/>
  </r>
  <r>
    <x v="29"/>
    <x v="0"/>
    <n v="131447307481"/>
    <n v="4676.6400000000003"/>
    <n v="10220169.49"/>
    <x v="0"/>
    <m/>
    <m/>
    <n v="0"/>
    <n v="-48"/>
    <n v="-46.56"/>
    <n v="-28.8"/>
    <n v="4800.0000000000009"/>
  </r>
  <r>
    <x v="29"/>
    <x v="0"/>
    <n v="131449789851"/>
    <n v="62939.78"/>
    <n v="10283109.27"/>
    <x v="0"/>
    <m/>
    <m/>
    <n v="0"/>
    <n v="-646"/>
    <n v="-626.62"/>
    <n v="-387.6"/>
    <n v="64600"/>
  </r>
  <r>
    <x v="29"/>
    <x v="0"/>
    <n v="131450205625"/>
    <n v="8963.56"/>
    <n v="10292072.83"/>
    <x v="0"/>
    <m/>
    <m/>
    <n v="0"/>
    <n v="-92"/>
    <n v="-89.24"/>
    <n v="-55.2"/>
    <n v="9200"/>
  </r>
  <r>
    <x v="29"/>
    <x v="0"/>
    <n v="131450361471"/>
    <n v="42762.09"/>
    <n v="10334834.92"/>
    <x v="0"/>
    <m/>
    <m/>
    <n v="0"/>
    <n v="-471"/>
    <n v="-3584.31"/>
    <n v="-282.60000000000002"/>
    <n v="47099.999999999993"/>
  </r>
  <r>
    <x v="29"/>
    <x v="0"/>
    <n v="131450649595"/>
    <n v="13932.49"/>
    <n v="10348767.41"/>
    <x v="0"/>
    <m/>
    <m/>
    <n v="0"/>
    <n v="-143"/>
    <n v="-138.71"/>
    <n v="-85.8"/>
    <n v="14299.999999999998"/>
  </r>
  <r>
    <x v="29"/>
    <x v="0"/>
    <n v="132048145386"/>
    <n v="53747.68"/>
    <n v="10402515.09"/>
    <x v="0"/>
    <m/>
    <m/>
    <n v="0"/>
    <n v="-592"/>
    <n v="-4505.12"/>
    <n v="-355.2"/>
    <n v="59200"/>
  </r>
  <r>
    <x v="29"/>
    <x v="0"/>
    <n v="131450909125"/>
    <n v="8866.1299999999992"/>
    <n v="10411381.220000001"/>
    <x v="0"/>
    <m/>
    <m/>
    <n v="0"/>
    <n v="-91"/>
    <n v="-88.27"/>
    <n v="-54.6"/>
    <n v="9100"/>
  </r>
  <r>
    <x v="29"/>
    <x v="0"/>
    <n v="132048712642"/>
    <n v="32444.19"/>
    <n v="10443825.41"/>
    <x v="0"/>
    <m/>
    <m/>
    <n v="0"/>
    <n v="-333"/>
    <n v="-323.01"/>
    <n v="-199.8"/>
    <n v="33300.000000000007"/>
  </r>
  <r>
    <x v="29"/>
    <x v="0"/>
    <n v="131451440131"/>
    <n v="34490.22"/>
    <n v="10478315.630000001"/>
    <x v="0"/>
    <m/>
    <m/>
    <n v="0"/>
    <n v="-354"/>
    <n v="-343.38"/>
    <n v="-212.4"/>
    <n v="35400"/>
  </r>
  <r>
    <x v="29"/>
    <x v="0"/>
    <n v="132049026310"/>
    <n v="12665.9"/>
    <n v="10490981.529999999"/>
    <x v="0"/>
    <m/>
    <m/>
    <n v="0"/>
    <n v="-130"/>
    <n v="-126.1"/>
    <n v="-78"/>
    <n v="13000"/>
  </r>
  <r>
    <x v="29"/>
    <x v="0"/>
    <n v="132051231038"/>
    <n v="57379.28"/>
    <n v="10548360.810000001"/>
    <x v="0"/>
    <m/>
    <m/>
    <n v="0"/>
    <n v="-632"/>
    <n v="-4809.5200000000004"/>
    <n v="-379.2"/>
    <n v="63200"/>
  </r>
  <r>
    <x v="29"/>
    <x v="0"/>
    <n v="131454294961"/>
    <n v="80184.89"/>
    <n v="10628545.699999999"/>
    <x v="0"/>
    <m/>
    <m/>
    <n v="0"/>
    <n v="-823"/>
    <n v="-798.31"/>
    <n v="-493.8"/>
    <n v="82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9" cacheId="1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H214" firstHeaderRow="1" firstDataRow="2" firstDataCol="1"/>
  <pivotFields count="13">
    <pivotField showAll="0">
      <items count="31">
        <item x="0"/>
        <item x="1"/>
        <item x="4"/>
        <item x="5"/>
        <item x="6"/>
        <item x="3"/>
        <item x="7"/>
        <item x="8"/>
        <item x="10"/>
        <item x="2"/>
        <item x="11"/>
        <item x="9"/>
        <item x="12"/>
        <item x="13"/>
        <item x="14"/>
        <item x="15"/>
        <item x="18"/>
        <item x="19"/>
        <item x="16"/>
        <item x="17"/>
        <item x="20"/>
        <item x="22"/>
        <item x="21"/>
        <item x="23"/>
        <item x="26"/>
        <item x="24"/>
        <item x="25"/>
        <item x="27"/>
        <item x="28"/>
        <item x="29"/>
        <item t="default"/>
      </items>
    </pivotField>
    <pivotField axis="axisRow" showAll="0">
      <items count="210">
        <item x="8"/>
        <item x="5"/>
        <item x="128"/>
        <item x="161"/>
        <item x="6"/>
        <item x="0"/>
        <item x="19"/>
        <item x="62"/>
        <item x="77"/>
        <item x="78"/>
        <item x="59"/>
        <item x="205"/>
        <item x="11"/>
        <item x="81"/>
        <item x="189"/>
        <item x="79"/>
        <item x="122"/>
        <item x="180"/>
        <item x="80"/>
        <item x="129"/>
        <item x="7"/>
        <item x="10"/>
        <item x="9"/>
        <item x="158"/>
        <item x="192"/>
        <item x="26"/>
        <item x="177"/>
        <item x="63"/>
        <item x="65"/>
        <item x="159"/>
        <item x="64"/>
        <item x="160"/>
        <item x="61"/>
        <item x="130"/>
        <item x="194"/>
        <item x="66"/>
        <item x="60"/>
        <item x="86"/>
        <item x="171"/>
        <item x="175"/>
        <item x="112"/>
        <item x="28"/>
        <item x="191"/>
        <item x="131"/>
        <item x="105"/>
        <item x="34"/>
        <item x="123"/>
        <item x="88"/>
        <item x="100"/>
        <item x="113"/>
        <item x="54"/>
        <item x="187"/>
        <item x="44"/>
        <item x="12"/>
        <item x="83"/>
        <item x="134"/>
        <item x="22"/>
        <item x="117"/>
        <item x="206"/>
        <item x="120"/>
        <item x="23"/>
        <item x="193"/>
        <item x="20"/>
        <item x="151"/>
        <item x="182"/>
        <item x="68"/>
        <item x="174"/>
        <item x="143"/>
        <item x="179"/>
        <item x="173"/>
        <item x="39"/>
        <item x="207"/>
        <item x="48"/>
        <item x="102"/>
        <item x="107"/>
        <item x="147"/>
        <item x="42"/>
        <item x="73"/>
        <item x="150"/>
        <item x="40"/>
        <item x="85"/>
        <item x="188"/>
        <item x="116"/>
        <item x="13"/>
        <item x="190"/>
        <item x="32"/>
        <item x="30"/>
        <item x="46"/>
        <item x="99"/>
        <item x="145"/>
        <item x="140"/>
        <item x="29"/>
        <item x="195"/>
        <item x="37"/>
        <item x="38"/>
        <item x="92"/>
        <item x="197"/>
        <item x="149"/>
        <item x="168"/>
        <item x="141"/>
        <item x="106"/>
        <item x="204"/>
        <item x="144"/>
        <item x="15"/>
        <item x="132"/>
        <item x="186"/>
        <item x="164"/>
        <item x="72"/>
        <item x="87"/>
        <item x="27"/>
        <item x="98"/>
        <item x="185"/>
        <item x="74"/>
        <item x="18"/>
        <item x="165"/>
        <item x="137"/>
        <item x="136"/>
        <item x="162"/>
        <item x="125"/>
        <item x="196"/>
        <item x="84"/>
        <item x="154"/>
        <item x="153"/>
        <item x="172"/>
        <item x="43"/>
        <item x="146"/>
        <item x="181"/>
        <item x="56"/>
        <item x="51"/>
        <item x="200"/>
        <item x="21"/>
        <item x="167"/>
        <item x="133"/>
        <item x="49"/>
        <item x="47"/>
        <item x="53"/>
        <item x="67"/>
        <item x="170"/>
        <item x="184"/>
        <item x="157"/>
        <item x="96"/>
        <item x="126"/>
        <item x="135"/>
        <item x="89"/>
        <item x="121"/>
        <item x="163"/>
        <item x="199"/>
        <item x="45"/>
        <item x="139"/>
        <item x="111"/>
        <item x="127"/>
        <item x="93"/>
        <item x="138"/>
        <item x="4"/>
        <item x="55"/>
        <item x="152"/>
        <item x="101"/>
        <item x="31"/>
        <item x="76"/>
        <item x="202"/>
        <item x="91"/>
        <item x="71"/>
        <item x="166"/>
        <item x="115"/>
        <item x="155"/>
        <item x="103"/>
        <item x="90"/>
        <item x="198"/>
        <item x="24"/>
        <item x="114"/>
        <item x="110"/>
        <item x="2"/>
        <item x="108"/>
        <item x="52"/>
        <item x="3"/>
        <item x="97"/>
        <item x="14"/>
        <item x="50"/>
        <item x="183"/>
        <item x="35"/>
        <item x="178"/>
        <item x="36"/>
        <item x="104"/>
        <item x="95"/>
        <item x="58"/>
        <item x="82"/>
        <item x="94"/>
        <item x="1"/>
        <item x="124"/>
        <item x="57"/>
        <item x="118"/>
        <item x="69"/>
        <item x="169"/>
        <item x="75"/>
        <item x="156"/>
        <item x="41"/>
        <item x="109"/>
        <item x="142"/>
        <item x="119"/>
        <item x="208"/>
        <item x="176"/>
        <item x="148"/>
        <item x="25"/>
        <item x="203"/>
        <item x="201"/>
        <item x="17"/>
        <item x="70"/>
        <item x="33"/>
        <item x="16"/>
        <item t="default"/>
      </items>
    </pivotField>
    <pivotField numFmtId="1" showAll="0"/>
    <pivotField showAll="0"/>
    <pivotField numFmtId="4" showAll="0"/>
    <pivotField axis="axisCol" showAll="0">
      <items count="7">
        <item x="3"/>
        <item x="0"/>
        <item x="2"/>
        <item x="1"/>
        <item x="5"/>
        <item x="4"/>
        <item t="default"/>
      </items>
    </pivotField>
    <pivotField showAll="0"/>
    <pivotField showAll="0"/>
    <pivotField numFmtId="43" showAll="0"/>
    <pivotField numFmtId="43" showAll="0"/>
    <pivotField numFmtId="43" showAll="0"/>
    <pivotField showAll="0"/>
    <pivotField dataField="1" numFmtId="43" showAll="0"/>
  </pivotFields>
  <rowFields count="1">
    <field x="1"/>
  </rowFields>
  <rowItems count="2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MOV TOTAL" fld="12" baseField="0" baseItem="0"/>
  </dataFields>
  <formats count="39">
    <format dxfId="69">
      <pivotArea dataOnly="0" fieldPosition="0">
        <references count="1">
          <reference field="1" count="1">
            <x v="0"/>
          </reference>
        </references>
      </pivotArea>
    </format>
    <format dxfId="68">
      <pivotArea collapsedLevelsAreSubtotals="1" fieldPosition="0">
        <references count="1">
          <reference field="1" count="1">
            <x v="1"/>
          </reference>
        </references>
      </pivotArea>
    </format>
    <format dxfId="67">
      <pivotArea dataOnly="0" labelOnly="1" fieldPosition="0">
        <references count="1">
          <reference field="1" count="1">
            <x v="1"/>
          </reference>
        </references>
      </pivotArea>
    </format>
    <format dxfId="66">
      <pivotArea collapsedLevelsAreSubtotals="1" fieldPosition="0">
        <references count="1">
          <reference field="1" count="1">
            <x v="4"/>
          </reference>
        </references>
      </pivotArea>
    </format>
    <format dxfId="65">
      <pivotArea dataOnly="0" labelOnly="1" fieldPosition="0">
        <references count="1">
          <reference field="1" count="1">
            <x v="4"/>
          </reference>
        </references>
      </pivotArea>
    </format>
    <format dxfId="64">
      <pivotArea collapsedLevelsAreSubtotals="1" fieldPosition="0">
        <references count="1">
          <reference field="1" count="2">
            <x v="2"/>
            <x v="3"/>
          </reference>
        </references>
      </pivotArea>
    </format>
    <format dxfId="63">
      <pivotArea dataOnly="0" labelOnly="1" fieldPosition="0">
        <references count="1">
          <reference field="1" count="2">
            <x v="2"/>
            <x v="3"/>
          </reference>
        </references>
      </pivotArea>
    </format>
    <format dxfId="62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61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60">
      <pivotArea collapsedLevelsAreSubtotals="1" fieldPosition="0">
        <references count="1">
          <reference field="1" count="17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59">
      <pivotArea dataOnly="0" labelOnly="1" fieldPosition="0">
        <references count="1">
          <reference field="1" count="50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58">
      <pivotArea dataOnly="0" labelOnly="1" fieldPosition="0">
        <references count="1">
          <reference field="1" count="50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57">
      <pivotArea dataOnly="0" labelOnly="1" fieldPosition="0">
        <references count="1">
          <reference field="1" count="50"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56">
      <pivotArea dataOnly="0" labelOnly="1" fieldPosition="0">
        <references count="1">
          <reference field="1" count="22"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55">
      <pivotArea collapsedLevelsAreSubtotals="1" fieldPosition="0">
        <references count="1">
          <reference field="1" count="1">
            <x v="9"/>
          </reference>
        </references>
      </pivotArea>
    </format>
    <format dxfId="54">
      <pivotArea dataOnly="0" labelOnly="1" fieldPosition="0">
        <references count="1">
          <reference field="1" count="1">
            <x v="9"/>
          </reference>
        </references>
      </pivotArea>
    </format>
    <format dxfId="53">
      <pivotArea collapsedLevelsAreSubtotals="1" fieldPosition="0">
        <references count="1">
          <reference field="1" count="1">
            <x v="33"/>
          </reference>
        </references>
      </pivotArea>
    </format>
    <format dxfId="52">
      <pivotArea dataOnly="0" labelOnly="1" fieldPosition="0">
        <references count="1">
          <reference field="1" count="1">
            <x v="33"/>
          </reference>
        </references>
      </pivotArea>
    </format>
    <format dxfId="51">
      <pivotArea collapsedLevelsAreSubtotals="1" fieldPosition="0">
        <references count="1">
          <reference field="1" count="2">
            <x v="7"/>
            <x v="8"/>
          </reference>
        </references>
      </pivotArea>
    </format>
    <format dxfId="50">
      <pivotArea dataOnly="0" labelOnly="1" fieldPosition="0">
        <references count="1">
          <reference field="1" count="2">
            <x v="7"/>
            <x v="8"/>
          </reference>
        </references>
      </pivotArea>
    </format>
    <format dxfId="49">
      <pivotArea collapsedLevelsAreSubtotals="1" fieldPosition="0">
        <references count="1">
          <reference field="1" count="23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48">
      <pivotArea dataOnly="0" labelOnly="1" fieldPosition="0">
        <references count="1">
          <reference field="1" count="23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47">
      <pivotArea collapsedLevelsAreSubtotals="1" fieldPosition="0">
        <references count="1">
          <reference field="1" count="3">
            <x v="34"/>
            <x v="35"/>
            <x v="36"/>
          </reference>
        </references>
      </pivotArea>
    </format>
    <format dxfId="46">
      <pivotArea dataOnly="0" labelOnly="1" fieldPosition="0">
        <references count="1">
          <reference field="1" count="3">
            <x v="34"/>
            <x v="35"/>
            <x v="36"/>
          </reference>
        </references>
      </pivotArea>
    </format>
    <format dxfId="45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44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43">
      <pivotArea collapsedLevelsAreSubtotals="1" fieldPosition="0">
        <references count="1">
          <reference field="1" count="2">
            <x v="7"/>
            <x v="8"/>
          </reference>
        </references>
      </pivotArea>
    </format>
    <format dxfId="42">
      <pivotArea dataOnly="0" labelOnly="1" fieldPosition="0">
        <references count="1">
          <reference field="1" count="2">
            <x v="7"/>
            <x v="8"/>
          </reference>
        </references>
      </pivotArea>
    </format>
    <format dxfId="41">
      <pivotArea collapsedLevelsAreSubtotals="1" fieldPosition="0">
        <references count="1">
          <reference field="1" count="23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40">
      <pivotArea dataOnly="0" labelOnly="1" fieldPosition="0">
        <references count="1">
          <reference field="1" count="23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39">
      <pivotArea collapsedLevelsAreSubtotals="1" fieldPosition="0">
        <references count="1">
          <reference field="1" count="3">
            <x v="34"/>
            <x v="35"/>
            <x v="36"/>
          </reference>
        </references>
      </pivotArea>
    </format>
    <format dxfId="38">
      <pivotArea dataOnly="0" labelOnly="1" fieldPosition="0">
        <references count="1">
          <reference field="1" count="3">
            <x v="34"/>
            <x v="35"/>
            <x v="36"/>
          </reference>
        </references>
      </pivotArea>
    </format>
    <format dxfId="37">
      <pivotArea collapsedLevelsAreSubtotals="1" fieldPosition="0">
        <references count="1">
          <reference field="1" count="17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36">
      <pivotArea dataOnly="0" labelOnly="1" fieldPosition="0">
        <references count="1">
          <reference field="1" count="50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35">
      <pivotArea dataOnly="0" labelOnly="1" fieldPosition="0">
        <references count="1">
          <reference field="1" count="50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34">
      <pivotArea dataOnly="0" labelOnly="1" fieldPosition="0">
        <references count="1">
          <reference field="1" count="50"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3">
      <pivotArea dataOnly="0" labelOnly="1" fieldPosition="0">
        <references count="1">
          <reference field="1" count="22"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32">
      <pivotArea collapsedLevelsAreSubtotals="1" fieldPosition="0">
        <references count="1">
          <reference field="1" count="1">
            <x v="16"/>
          </reference>
        </references>
      </pivotArea>
    </format>
    <format dxfId="31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5" cacheId="1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213" firstHeaderRow="1" firstDataRow="1" firstDataCol="1"/>
  <pivotFields count="5">
    <pivotField showAll="0"/>
    <pivotField axis="axisRow" showAll="0">
      <items count="210">
        <item x="7"/>
        <item x="96"/>
        <item x="129"/>
        <item x="157"/>
        <item x="6"/>
        <item x="0"/>
        <item x="16"/>
        <item x="65"/>
        <item x="58"/>
        <item x="62"/>
        <item x="61"/>
        <item x="192"/>
        <item x="59"/>
        <item x="122"/>
        <item x="189"/>
        <item x="63"/>
        <item x="78"/>
        <item x="167"/>
        <item x="79"/>
        <item x="158"/>
        <item x="5"/>
        <item x="56"/>
        <item x="8"/>
        <item x="159"/>
        <item x="204"/>
        <item x="60"/>
        <item x="188"/>
        <item x="76"/>
        <item x="80"/>
        <item x="160"/>
        <item x="77"/>
        <item x="177"/>
        <item x="64"/>
        <item x="128"/>
        <item x="205"/>
        <item x="57"/>
        <item x="23"/>
        <item x="85"/>
        <item x="171"/>
        <item x="175"/>
        <item x="112"/>
        <item x="25"/>
        <item x="191"/>
        <item x="130"/>
        <item x="105"/>
        <item x="31"/>
        <item x="123"/>
        <item x="87"/>
        <item x="100"/>
        <item x="113"/>
        <item x="51"/>
        <item x="186"/>
        <item x="41"/>
        <item x="9"/>
        <item x="82"/>
        <item x="133"/>
        <item x="19"/>
        <item x="117"/>
        <item x="206"/>
        <item x="120"/>
        <item x="20"/>
        <item x="193"/>
        <item x="17"/>
        <item x="150"/>
        <item x="181"/>
        <item x="67"/>
        <item x="174"/>
        <item x="142"/>
        <item x="179"/>
        <item x="173"/>
        <item x="36"/>
        <item x="207"/>
        <item x="45"/>
        <item x="102"/>
        <item x="107"/>
        <item x="146"/>
        <item x="39"/>
        <item x="72"/>
        <item x="149"/>
        <item x="37"/>
        <item x="84"/>
        <item x="187"/>
        <item x="116"/>
        <item x="10"/>
        <item x="190"/>
        <item x="29"/>
        <item x="27"/>
        <item x="43"/>
        <item x="99"/>
        <item x="144"/>
        <item x="139"/>
        <item x="26"/>
        <item x="194"/>
        <item x="34"/>
        <item x="35"/>
        <item x="91"/>
        <item x="196"/>
        <item x="148"/>
        <item x="168"/>
        <item x="140"/>
        <item x="106"/>
        <item x="203"/>
        <item x="143"/>
        <item x="12"/>
        <item x="131"/>
        <item x="185"/>
        <item x="163"/>
        <item x="71"/>
        <item x="86"/>
        <item x="24"/>
        <item x="98"/>
        <item x="184"/>
        <item x="73"/>
        <item x="15"/>
        <item x="164"/>
        <item x="136"/>
        <item x="135"/>
        <item x="161"/>
        <item x="125"/>
        <item x="195"/>
        <item x="83"/>
        <item x="153"/>
        <item x="152"/>
        <item x="172"/>
        <item x="40"/>
        <item x="145"/>
        <item x="180"/>
        <item x="53"/>
        <item x="48"/>
        <item x="199"/>
        <item x="18"/>
        <item x="166"/>
        <item x="132"/>
        <item x="46"/>
        <item x="44"/>
        <item x="50"/>
        <item x="66"/>
        <item x="170"/>
        <item x="183"/>
        <item x="156"/>
        <item x="95"/>
        <item x="126"/>
        <item x="134"/>
        <item x="88"/>
        <item x="121"/>
        <item x="162"/>
        <item x="198"/>
        <item x="42"/>
        <item x="138"/>
        <item x="111"/>
        <item x="127"/>
        <item x="92"/>
        <item x="137"/>
        <item x="4"/>
        <item x="52"/>
        <item x="151"/>
        <item x="101"/>
        <item x="28"/>
        <item x="75"/>
        <item x="201"/>
        <item x="90"/>
        <item x="70"/>
        <item x="165"/>
        <item x="115"/>
        <item x="154"/>
        <item x="103"/>
        <item x="89"/>
        <item x="197"/>
        <item x="21"/>
        <item x="114"/>
        <item x="110"/>
        <item x="2"/>
        <item x="108"/>
        <item x="49"/>
        <item x="3"/>
        <item x="97"/>
        <item x="11"/>
        <item x="47"/>
        <item x="182"/>
        <item x="32"/>
        <item x="178"/>
        <item x="33"/>
        <item x="104"/>
        <item x="94"/>
        <item x="55"/>
        <item x="81"/>
        <item x="93"/>
        <item x="1"/>
        <item x="124"/>
        <item x="54"/>
        <item x="118"/>
        <item x="68"/>
        <item x="169"/>
        <item x="74"/>
        <item x="155"/>
        <item x="38"/>
        <item x="109"/>
        <item x="141"/>
        <item x="119"/>
        <item x="208"/>
        <item x="176"/>
        <item x="147"/>
        <item x="22"/>
        <item x="202"/>
        <item x="200"/>
        <item x="14"/>
        <item x="69"/>
        <item x="30"/>
        <item x="13"/>
        <item t="default"/>
      </items>
    </pivotField>
    <pivotField showAll="0"/>
    <pivotField dataField="1" showAll="0"/>
    <pivotField numFmtId="4" showAll="0"/>
  </pivotFields>
  <rowFields count="1">
    <field x="1"/>
  </rowFields>
  <rowItems count="2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Items count="1">
    <i/>
  </colItems>
  <dataFields count="1">
    <dataField name="Suma de TRANSACTION_NET_AMOUNT" fld="3" baseField="0" baseItem="0"/>
  </dataFields>
  <formats count="31">
    <format dxfId="30">
      <pivotArea collapsedLevelsAreSubtotals="1" fieldPosition="0">
        <references count="1">
          <reference field="1" count="1">
            <x v="0"/>
          </reference>
        </references>
      </pivotArea>
    </format>
    <format dxfId="29">
      <pivotArea dataOnly="0" labelOnly="1" fieldPosition="0">
        <references count="1">
          <reference field="1" count="1">
            <x v="0"/>
          </reference>
        </references>
      </pivotArea>
    </format>
    <format dxfId="28">
      <pivotArea collapsedLevelsAreSubtotals="1" fieldPosition="0">
        <references count="1">
          <reference field="1" count="1">
            <x v="1"/>
          </reference>
        </references>
      </pivotArea>
    </format>
    <format dxfId="27">
      <pivotArea dataOnly="0" labelOnly="1" fieldPosition="0">
        <references count="1">
          <reference field="1" count="1">
            <x v="1"/>
          </reference>
        </references>
      </pivotArea>
    </format>
    <format dxfId="26">
      <pivotArea collapsedLevelsAreSubtotals="1" fieldPosition="0">
        <references count="1">
          <reference field="1" count="1">
            <x v="4"/>
          </reference>
        </references>
      </pivotArea>
    </format>
    <format dxfId="25">
      <pivotArea dataOnly="0" labelOnly="1" fieldPosition="0">
        <references count="1">
          <reference field="1" count="1">
            <x v="4"/>
          </reference>
        </references>
      </pivotArea>
    </format>
    <format dxfId="24">
      <pivotArea collapsedLevelsAreSubtotals="1" fieldPosition="0">
        <references count="1">
          <reference field="1" count="1">
            <x v="10"/>
          </reference>
        </references>
      </pivotArea>
    </format>
    <format dxfId="23">
      <pivotArea dataOnly="0" labelOnly="1" fieldPosition="0">
        <references count="1">
          <reference field="1" count="1">
            <x v="10"/>
          </reference>
        </references>
      </pivotArea>
    </format>
    <format dxfId="22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21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20">
      <pivotArea collapsedLevelsAreSubtotals="1" fieldPosition="0">
        <references count="1">
          <reference field="1" count="2">
            <x v="7"/>
            <x v="8"/>
          </reference>
        </references>
      </pivotArea>
    </format>
    <format dxfId="19">
      <pivotArea dataOnly="0" labelOnly="1" fieldPosition="0">
        <references count="1">
          <reference field="1" count="2">
            <x v="7"/>
            <x v="8"/>
          </reference>
        </references>
      </pivotArea>
    </format>
    <format dxfId="18">
      <pivotArea collapsedLevelsAreSubtotals="1" fieldPosition="0">
        <references count="1">
          <reference field="1" count="1">
            <x v="9"/>
          </reference>
        </references>
      </pivotArea>
    </format>
    <format dxfId="17">
      <pivotArea dataOnly="0" labelOnly="1" fieldPosition="0">
        <references count="1">
          <reference field="1" count="1">
            <x v="9"/>
          </reference>
        </references>
      </pivotArea>
    </format>
    <format dxfId="16">
      <pivotArea collapsedLevelsAreSubtotals="1" fieldPosition="0">
        <references count="1">
          <reference field="1" count="5">
            <x v="11"/>
            <x v="12"/>
            <x v="13"/>
            <x v="14"/>
            <x v="15"/>
          </reference>
        </references>
      </pivotArea>
    </format>
    <format dxfId="15">
      <pivotArea dataOnly="0" labelOnly="1" fieldPosition="0">
        <references count="1">
          <reference field="1" count="5">
            <x v="11"/>
            <x v="12"/>
            <x v="13"/>
            <x v="14"/>
            <x v="15"/>
          </reference>
        </references>
      </pivotArea>
    </format>
    <format dxfId="14">
      <pivotArea collapsedLevelsAreSubtotals="1" fieldPosition="0">
        <references count="1">
          <reference field="1" count="1">
            <x v="16"/>
          </reference>
        </references>
      </pivotArea>
    </format>
    <format dxfId="13">
      <pivotArea dataOnly="0" labelOnly="1" fieldPosition="0">
        <references count="1">
          <reference field="1" count="1">
            <x v="16"/>
          </reference>
        </references>
      </pivotArea>
    </format>
    <format dxfId="12">
      <pivotArea collapsedLevelsAreSubtotals="1" fieldPosition="0">
        <references count="1">
          <reference field="1" count="2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1">
      <pivotArea dataOnly="0" labelOnly="1" fieldPosition="0">
        <references count="1">
          <reference field="1" count="2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0">
      <pivotArea collapsedLevelsAreSubtotals="1" fieldPosition="0">
        <references count="1">
          <reference field="1" count="17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9">
      <pivotArea dataOnly="0" labelOnly="1" fieldPosition="0">
        <references count="1">
          <reference field="1" count="50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8">
      <pivotArea dataOnly="0" labelOnly="1" fieldPosition="0">
        <references count="1">
          <reference field="1" count="50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7">
      <pivotArea dataOnly="0" labelOnly="1" fieldPosition="0">
        <references count="1">
          <reference field="1" count="50"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6">
      <pivotArea dataOnly="0" labelOnly="1" fieldPosition="0">
        <references count="1">
          <reference field="1" count="22"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</reference>
        </references>
      </pivotArea>
    </format>
    <format dxfId="5">
      <pivotArea collapsedLevelsAreSubtotals="1" fieldPosition="0">
        <references count="1">
          <reference field="1" count="2">
            <x v="2"/>
            <x v="3"/>
          </reference>
        </references>
      </pivotArea>
    </format>
    <format dxfId="4">
      <pivotArea dataOnly="0" labelOnly="1" fieldPosition="0">
        <references count="1">
          <reference field="1" count="2">
            <x v="2"/>
            <x v="3"/>
          </reference>
        </references>
      </pivotArea>
    </format>
    <format dxfId="3">
      <pivotArea collapsedLevelsAreSubtotals="1" fieldPosition="0">
        <references count="1">
          <reference field="1" count="1">
            <x v="33"/>
          </reference>
        </references>
      </pivotArea>
    </format>
    <format dxfId="2">
      <pivotArea dataOnly="0" labelOnly="1" fieldPosition="0">
        <references count="1">
          <reference field="1" count="1">
            <x v="33"/>
          </reference>
        </references>
      </pivotArea>
    </format>
    <format dxfId="1">
      <pivotArea collapsedLevelsAreSubtotals="1" fieldPosition="0">
        <references count="1">
          <reference field="1" count="1">
            <x v="31"/>
          </reference>
        </references>
      </pivotArea>
    </format>
    <format dxfId="0">
      <pivotArea dataOnly="0" labelOnly="1" fieldPosition="0">
        <references count="1">
          <reference field="1" count="1">
            <x v="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om.ar/reporting/activity/detail?id=51179460956" TargetMode="External"/><Relationship Id="rId170" Type="http://schemas.openxmlformats.org/officeDocument/2006/relationships/hyperlink" Target="https://www.mercadolibre.com.ar/reporting/activity/detail?id=51436802328" TargetMode="External"/><Relationship Id="rId268" Type="http://schemas.openxmlformats.org/officeDocument/2006/relationships/hyperlink" Target="https://www.mercadolibre.com.ar/reporting/activity/detail?id=51490251192" TargetMode="External"/><Relationship Id="rId475" Type="http://schemas.openxmlformats.org/officeDocument/2006/relationships/hyperlink" Target="https://www.mercadolibre.com.ar/reporting/activity/detail?id=51788090050" TargetMode="External"/><Relationship Id="rId682" Type="http://schemas.openxmlformats.org/officeDocument/2006/relationships/hyperlink" Target="https://www.mercadolibre.com.ar/reporting/activity/detail?id=52055020506" TargetMode="External"/><Relationship Id="rId128" Type="http://schemas.openxmlformats.org/officeDocument/2006/relationships/hyperlink" Target="https://www.mercadolibre.com.ar/reporting/activity/detail?id=51431046339" TargetMode="External"/><Relationship Id="rId335" Type="http://schemas.openxmlformats.org/officeDocument/2006/relationships/hyperlink" Target="https://www.mercadolibre.com.ar/reporting/activity/detail?id=51536246570" TargetMode="External"/><Relationship Id="rId542" Type="http://schemas.openxmlformats.org/officeDocument/2006/relationships/hyperlink" Target="https://www.mercadolibre.com.ar/reporting/activity/detail?id=51838320192" TargetMode="External"/><Relationship Id="rId987" Type="http://schemas.openxmlformats.org/officeDocument/2006/relationships/hyperlink" Target="https://www.mercadolibre.com.ar/reporting/activity/detail?id=52415205348" TargetMode="External"/><Relationship Id="rId1172" Type="http://schemas.openxmlformats.org/officeDocument/2006/relationships/hyperlink" Target="https://www.mercadolibre.com.ar/reporting/activity/detail?id=52554252887" TargetMode="External"/><Relationship Id="rId402" Type="http://schemas.openxmlformats.org/officeDocument/2006/relationships/hyperlink" Target="https://www.mercadolibre.com.ar/reporting/activity/detail?id=51572941851" TargetMode="External"/><Relationship Id="rId847" Type="http://schemas.openxmlformats.org/officeDocument/2006/relationships/hyperlink" Target="https://www.mercadolibre.com.ar/reporting/activity/detail?id=52188760604" TargetMode="External"/><Relationship Id="rId1032" Type="http://schemas.openxmlformats.org/officeDocument/2006/relationships/hyperlink" Target="https://www.mercadolibre.com.ar/reporting/activity/detail?id=52457955566" TargetMode="External"/><Relationship Id="rId707" Type="http://schemas.openxmlformats.org/officeDocument/2006/relationships/hyperlink" Target="https://www.mercadolibre.com.ar/reporting/activity/detail?id=52097366376" TargetMode="External"/><Relationship Id="rId914" Type="http://schemas.openxmlformats.org/officeDocument/2006/relationships/hyperlink" Target="https://www.mercadolibre.com.ar/reporting/activity/detail?id=52362787985" TargetMode="External"/><Relationship Id="rId1337" Type="http://schemas.openxmlformats.org/officeDocument/2006/relationships/hyperlink" Target="https://www.mercadolibre.com.ar/reporting/activity/detail?id=51129180621" TargetMode="External"/><Relationship Id="rId43" Type="http://schemas.openxmlformats.org/officeDocument/2006/relationships/hyperlink" Target="https://www.mercadolibre.com.ar/reporting/activity/detail?id=51180514913" TargetMode="External"/><Relationship Id="rId192" Type="http://schemas.openxmlformats.org/officeDocument/2006/relationships/hyperlink" Target="https://www.mercadolibre.com.ar/reporting/activity/detail?id=51438270186" TargetMode="External"/><Relationship Id="rId497" Type="http://schemas.openxmlformats.org/officeDocument/2006/relationships/hyperlink" Target="https://www.mercadolibre.com.ar/reporting/activity/detail?id=51790066149" TargetMode="External"/><Relationship Id="rId357" Type="http://schemas.openxmlformats.org/officeDocument/2006/relationships/hyperlink" Target="https://www.mercadolibre.com.ar/reporting/activity/detail?id=51537708711" TargetMode="External"/><Relationship Id="rId1194" Type="http://schemas.openxmlformats.org/officeDocument/2006/relationships/hyperlink" Target="https://www.mercadolibre.com.ar/reporting/activity/detail?id=51024399946" TargetMode="External"/><Relationship Id="rId217" Type="http://schemas.openxmlformats.org/officeDocument/2006/relationships/hyperlink" Target="https://www.mercadolibre.com.ar/reporting/activity/detail?id=51483732978" TargetMode="External"/><Relationship Id="rId564" Type="http://schemas.openxmlformats.org/officeDocument/2006/relationships/hyperlink" Target="https://www.mercadolibre.com.ar/reporting/activity/detail?id=51882253249" TargetMode="External"/><Relationship Id="rId771" Type="http://schemas.openxmlformats.org/officeDocument/2006/relationships/hyperlink" Target="https://www.mercadolibre.com.ar/reporting/activity/detail?id=52103127623" TargetMode="External"/><Relationship Id="rId869" Type="http://schemas.openxmlformats.org/officeDocument/2006/relationships/hyperlink" Target="https://www.mercadolibre.com.ar/reporting/activity/detail?id=52224336818" TargetMode="External"/><Relationship Id="rId424" Type="http://schemas.openxmlformats.org/officeDocument/2006/relationships/hyperlink" Target="https://www.mercadolibre.com.ar/reporting/activity/detail?id=51727197265" TargetMode="External"/><Relationship Id="rId631" Type="http://schemas.openxmlformats.org/officeDocument/2006/relationships/hyperlink" Target="https://www.mercadolibre.com.ar/reporting/activity/detail?id=51888352885" TargetMode="External"/><Relationship Id="rId729" Type="http://schemas.openxmlformats.org/officeDocument/2006/relationships/hyperlink" Target="https://www.mercadolibre.com.ar/reporting/activity/detail?id=52099863438" TargetMode="External"/><Relationship Id="rId1054" Type="http://schemas.openxmlformats.org/officeDocument/2006/relationships/hyperlink" Target="https://www.mercadolibre.com.ar/reporting/activity/detail?id=52464386605" TargetMode="External"/><Relationship Id="rId1261" Type="http://schemas.openxmlformats.org/officeDocument/2006/relationships/hyperlink" Target="https://www.mercadolibre.com.ar/reporting/activity/detail?id=51076766921" TargetMode="External"/><Relationship Id="rId1359" Type="http://schemas.openxmlformats.org/officeDocument/2006/relationships/hyperlink" Target="https://www.mercadolibre.com.ar/reporting/activity/detail?id=51169037106" TargetMode="External"/><Relationship Id="rId936" Type="http://schemas.openxmlformats.org/officeDocument/2006/relationships/hyperlink" Target="https://www.mercadolibre.com.ar/reporting/activity/detail?id=52410992217" TargetMode="External"/><Relationship Id="rId1121" Type="http://schemas.openxmlformats.org/officeDocument/2006/relationships/hyperlink" Target="https://www.mercadolibre.com.ar/reporting/activity/detail?id=52515285018" TargetMode="External"/><Relationship Id="rId1219" Type="http://schemas.openxmlformats.org/officeDocument/2006/relationships/hyperlink" Target="https://www.mercadolibre.com.ar/reporting/activity/detail?id=51072893244" TargetMode="External"/><Relationship Id="rId65" Type="http://schemas.openxmlformats.org/officeDocument/2006/relationships/hyperlink" Target="https://www.mercadolibre.com.ar/reporting/activity/detail?id=51217290379" TargetMode="External"/><Relationship Id="rId281" Type="http://schemas.openxmlformats.org/officeDocument/2006/relationships/hyperlink" Target="https://www.mercadolibre.com.ar/reporting/activity/detail?id=51491310272" TargetMode="External"/><Relationship Id="rId141" Type="http://schemas.openxmlformats.org/officeDocument/2006/relationships/hyperlink" Target="https://www.mercadolibre.com.ar/reporting/activity/detail?id=51432785468" TargetMode="External"/><Relationship Id="rId379" Type="http://schemas.openxmlformats.org/officeDocument/2006/relationships/hyperlink" Target="https://www.mercadolibre.com.ar/reporting/activity/detail?id=51539124069" TargetMode="External"/><Relationship Id="rId586" Type="http://schemas.openxmlformats.org/officeDocument/2006/relationships/hyperlink" Target="https://www.mercadolibre.com.ar/reporting/activity/detail?id=51885419206" TargetMode="External"/><Relationship Id="rId793" Type="http://schemas.openxmlformats.org/officeDocument/2006/relationships/hyperlink" Target="https://www.mercadolibre.com.ar/reporting/activity/detail?id=52103939846" TargetMode="External"/><Relationship Id="rId7" Type="http://schemas.openxmlformats.org/officeDocument/2006/relationships/hyperlink" Target="https://www.mercadolibre.com.ar/reporting/activity/detail?id=51178168234" TargetMode="External"/><Relationship Id="rId239" Type="http://schemas.openxmlformats.org/officeDocument/2006/relationships/hyperlink" Target="https://www.mercadolibre.com.ar/reporting/activity/detail?id=51487471597" TargetMode="External"/><Relationship Id="rId446" Type="http://schemas.openxmlformats.org/officeDocument/2006/relationships/hyperlink" Target="https://www.mercadolibre.com.ar/reporting/activity/detail?id=51783828572" TargetMode="External"/><Relationship Id="rId653" Type="http://schemas.openxmlformats.org/officeDocument/2006/relationships/hyperlink" Target="https://www.mercadolibre.com.ar/reporting/activity/detail?id=51921657059" TargetMode="External"/><Relationship Id="rId1076" Type="http://schemas.openxmlformats.org/officeDocument/2006/relationships/hyperlink" Target="https://www.mercadolibre.com.ar/reporting/activity/detail?id=52468608761" TargetMode="External"/><Relationship Id="rId1283" Type="http://schemas.openxmlformats.org/officeDocument/2006/relationships/hyperlink" Target="https://www.mercadolibre.com.ar/reporting/activity/detail?id=51078187330" TargetMode="External"/><Relationship Id="rId306" Type="http://schemas.openxmlformats.org/officeDocument/2006/relationships/hyperlink" Target="https://www.mercadolibre.com.ar/reporting/activity/detail?id=51531711867" TargetMode="External"/><Relationship Id="rId860" Type="http://schemas.openxmlformats.org/officeDocument/2006/relationships/hyperlink" Target="https://www.mercadolibre.com.ar/reporting/activity/detail?id=52192209245" TargetMode="External"/><Relationship Id="rId958" Type="http://schemas.openxmlformats.org/officeDocument/2006/relationships/hyperlink" Target="https://www.mercadolibre.com.ar/reporting/activity/detail?id=52413135296" TargetMode="External"/><Relationship Id="rId1143" Type="http://schemas.openxmlformats.org/officeDocument/2006/relationships/hyperlink" Target="https://www.mercadolibre.com.ar/reporting/activity/detail?id=52516742765" TargetMode="External"/><Relationship Id="rId87" Type="http://schemas.openxmlformats.org/officeDocument/2006/relationships/hyperlink" Target="https://www.mercadolibre.com.ar/reporting/activity/detail?id=51377691151" TargetMode="External"/><Relationship Id="rId513" Type="http://schemas.openxmlformats.org/officeDocument/2006/relationships/hyperlink" Target="https://www.mercadolibre.com.ar/reporting/activity/detail?id=51790877179" TargetMode="External"/><Relationship Id="rId720" Type="http://schemas.openxmlformats.org/officeDocument/2006/relationships/hyperlink" Target="https://www.mercadolibre.com.ar/reporting/activity/detail?id=52098832388" TargetMode="External"/><Relationship Id="rId818" Type="http://schemas.openxmlformats.org/officeDocument/2006/relationships/hyperlink" Target="https://www.mercadolibre.com.ar/reporting/activity/detail?id=52147940413" TargetMode="External"/><Relationship Id="rId1350" Type="http://schemas.openxmlformats.org/officeDocument/2006/relationships/hyperlink" Target="https://www.mercadolibre.com.ar/reporting/activity/detail?id=51130835626" TargetMode="External"/><Relationship Id="rId1003" Type="http://schemas.openxmlformats.org/officeDocument/2006/relationships/hyperlink" Target="https://www.mercadolibre.com.ar/reporting/activity/detail?id=52416080861" TargetMode="External"/><Relationship Id="rId1210" Type="http://schemas.openxmlformats.org/officeDocument/2006/relationships/hyperlink" Target="https://www.mercadolibre.com.ar/reporting/activity/detail?id=51071840848" TargetMode="External"/><Relationship Id="rId1308" Type="http://schemas.openxmlformats.org/officeDocument/2006/relationships/hyperlink" Target="https://www.mercadolibre.com.ar/reporting/activity/detail?id=51126221396" TargetMode="External"/><Relationship Id="rId14" Type="http://schemas.openxmlformats.org/officeDocument/2006/relationships/hyperlink" Target="https://www.mercadolibre.com.ar/reporting/activity/detail?id=51178850715" TargetMode="External"/><Relationship Id="rId163" Type="http://schemas.openxmlformats.org/officeDocument/2006/relationships/hyperlink" Target="https://www.mercadolibre.com.ar/reporting/activity/detail?id=51436267891" TargetMode="External"/><Relationship Id="rId370" Type="http://schemas.openxmlformats.org/officeDocument/2006/relationships/hyperlink" Target="https://www.mercadolibre.com.ar/reporting/activity/detail?id=51538619132" TargetMode="External"/><Relationship Id="rId230" Type="http://schemas.openxmlformats.org/officeDocument/2006/relationships/hyperlink" Target="https://www.mercadolibre.com.ar/reporting/activity/detail?id=51486217275" TargetMode="External"/><Relationship Id="rId468" Type="http://schemas.openxmlformats.org/officeDocument/2006/relationships/hyperlink" Target="https://www.mercadolibre.com.ar/reporting/activity/detail?id=51787270529" TargetMode="External"/><Relationship Id="rId675" Type="http://schemas.openxmlformats.org/officeDocument/2006/relationships/hyperlink" Target="https://www.mercadolibre.com.ar/reporting/activity/detail?id=52052393468" TargetMode="External"/><Relationship Id="rId882" Type="http://schemas.openxmlformats.org/officeDocument/2006/relationships/hyperlink" Target="https://www.mercadolibre.com.ar/reporting/activity/detail?id=52227716583" TargetMode="External"/><Relationship Id="rId1098" Type="http://schemas.openxmlformats.org/officeDocument/2006/relationships/hyperlink" Target="https://www.mercadolibre.com.ar/reporting/activity/detail?id=52513400992" TargetMode="External"/><Relationship Id="rId328" Type="http://schemas.openxmlformats.org/officeDocument/2006/relationships/hyperlink" Target="https://www.mercadolibre.com.ar/reporting/activity/detail?id=51535419650" TargetMode="External"/><Relationship Id="rId535" Type="http://schemas.openxmlformats.org/officeDocument/2006/relationships/hyperlink" Target="https://www.mercadolibre.com.ar/reporting/activity/detail?id=51835636137" TargetMode="External"/><Relationship Id="rId742" Type="http://schemas.openxmlformats.org/officeDocument/2006/relationships/hyperlink" Target="https://www.mercadolibre.com.ar/reporting/activity/detail?id=52101402315" TargetMode="External"/><Relationship Id="rId1165" Type="http://schemas.openxmlformats.org/officeDocument/2006/relationships/hyperlink" Target="https://www.mercadolibre.com.ar/reporting/activity/detail?id=52552100598" TargetMode="External"/><Relationship Id="rId1372" Type="http://schemas.openxmlformats.org/officeDocument/2006/relationships/hyperlink" Target="https://www.mercadolibre.com.ar/reporting/activity/detail?id=51174147316" TargetMode="External"/><Relationship Id="rId602" Type="http://schemas.openxmlformats.org/officeDocument/2006/relationships/hyperlink" Target="https://www.mercadolibre.com.ar/reporting/activity/detail?id=51886190651" TargetMode="External"/><Relationship Id="rId1025" Type="http://schemas.openxmlformats.org/officeDocument/2006/relationships/hyperlink" Target="https://www.mercadolibre.com.ar/reporting/activity/detail?id=52416722456" TargetMode="External"/><Relationship Id="rId1232" Type="http://schemas.openxmlformats.org/officeDocument/2006/relationships/hyperlink" Target="https://www.mercadolibre.com.ar/reporting/activity/detail?id=51074498467" TargetMode="External"/><Relationship Id="rId907" Type="http://schemas.openxmlformats.org/officeDocument/2006/relationships/hyperlink" Target="https://www.mercadolibre.com.ar/reporting/activity/detail?id=52231073436" TargetMode="External"/><Relationship Id="rId36" Type="http://schemas.openxmlformats.org/officeDocument/2006/relationships/hyperlink" Target="https://www.mercadolibre.com.ar/reporting/activity/detail?id=51180182058" TargetMode="External"/><Relationship Id="rId185" Type="http://schemas.openxmlformats.org/officeDocument/2006/relationships/hyperlink" Target="https://www.mercadolibre.com.ar/reporting/activity/detail?id=51438045803" TargetMode="External"/><Relationship Id="rId392" Type="http://schemas.openxmlformats.org/officeDocument/2006/relationships/hyperlink" Target="https://www.mercadolibre.com.ar/reporting/activity/detail?id=51540269501" TargetMode="External"/><Relationship Id="rId697" Type="http://schemas.openxmlformats.org/officeDocument/2006/relationships/hyperlink" Target="https://www.mercadolibre.com.ar/reporting/activity/detail?id=52094468910" TargetMode="External"/><Relationship Id="rId252" Type="http://schemas.openxmlformats.org/officeDocument/2006/relationships/hyperlink" Target="https://www.mercadolibre.com.ar/reporting/activity/detail?id=51488844791" TargetMode="External"/><Relationship Id="rId1187" Type="http://schemas.openxmlformats.org/officeDocument/2006/relationships/hyperlink" Target="https://www.mercadolibre.com.ar/reporting/activity/detail?id=51022672306" TargetMode="External"/><Relationship Id="rId112" Type="http://schemas.openxmlformats.org/officeDocument/2006/relationships/hyperlink" Target="https://www.mercadolibre.com.ar/reporting/activity/detail?id=51422689775" TargetMode="External"/><Relationship Id="rId557" Type="http://schemas.openxmlformats.org/officeDocument/2006/relationships/hyperlink" Target="https://www.mercadolibre.com.ar/reporting/activity/detail?id=51841789384" TargetMode="External"/><Relationship Id="rId764" Type="http://schemas.openxmlformats.org/officeDocument/2006/relationships/hyperlink" Target="https://www.mercadolibre.com.ar/reporting/activity/detail?id=52102832392" TargetMode="External"/><Relationship Id="rId971" Type="http://schemas.openxmlformats.org/officeDocument/2006/relationships/hyperlink" Target="https://www.mercadolibre.com.ar/reporting/activity/detail?id=52413979910" TargetMode="External"/><Relationship Id="rId1394" Type="http://schemas.openxmlformats.org/officeDocument/2006/relationships/hyperlink" Target="https://www.mercadolibre.com.ar/reporting/activity/detail?id=51177398066" TargetMode="External"/><Relationship Id="rId417" Type="http://schemas.openxmlformats.org/officeDocument/2006/relationships/hyperlink" Target="https://www.mercadolibre.com.ar/reporting/activity/detail?id=51579283996" TargetMode="External"/><Relationship Id="rId624" Type="http://schemas.openxmlformats.org/officeDocument/2006/relationships/hyperlink" Target="https://www.mercadolibre.com.ar/reporting/activity/detail?id=51888023446" TargetMode="External"/><Relationship Id="rId831" Type="http://schemas.openxmlformats.org/officeDocument/2006/relationships/hyperlink" Target="https://www.mercadolibre.com.ar/reporting/activity/detail?id=52151419211" TargetMode="External"/><Relationship Id="rId1047" Type="http://schemas.openxmlformats.org/officeDocument/2006/relationships/hyperlink" Target="https://www.mercadolibre.com.ar/reporting/activity/detail?id=52461902040" TargetMode="External"/><Relationship Id="rId1254" Type="http://schemas.openxmlformats.org/officeDocument/2006/relationships/hyperlink" Target="https://www.mercadolibre.com.ar/reporting/activity/detail?id=51076271763" TargetMode="External"/><Relationship Id="rId929" Type="http://schemas.openxmlformats.org/officeDocument/2006/relationships/hyperlink" Target="https://www.mercadolibre.com.ar/reporting/activity/detail?id=52406187025" TargetMode="External"/><Relationship Id="rId1114" Type="http://schemas.openxmlformats.org/officeDocument/2006/relationships/hyperlink" Target="https://www.mercadolibre.com.ar/reporting/activity/detail?id=52514572871" TargetMode="External"/><Relationship Id="rId1321" Type="http://schemas.openxmlformats.org/officeDocument/2006/relationships/hyperlink" Target="https://www.mercadolibre.com.ar/reporting/activity/detail?id=51127463794" TargetMode="External"/><Relationship Id="rId58" Type="http://schemas.openxmlformats.org/officeDocument/2006/relationships/hyperlink" Target="https://www.mercadolibre.com.ar/reporting/activity/detail?id=51215959081" TargetMode="External"/><Relationship Id="rId274" Type="http://schemas.openxmlformats.org/officeDocument/2006/relationships/hyperlink" Target="https://www.mercadolibre.com.ar/reporting/activity/detail?id=51490780663" TargetMode="External"/><Relationship Id="rId481" Type="http://schemas.openxmlformats.org/officeDocument/2006/relationships/hyperlink" Target="https://www.mercadolibre.com.ar/reporting/activity/detail?id=51788555164" TargetMode="External"/><Relationship Id="rId134" Type="http://schemas.openxmlformats.org/officeDocument/2006/relationships/hyperlink" Target="https://www.mercadolibre.com.ar/reporting/activity/detail?id=51432446092" TargetMode="External"/><Relationship Id="rId579" Type="http://schemas.openxmlformats.org/officeDocument/2006/relationships/hyperlink" Target="https://www.mercadolibre.com.ar/reporting/activity/detail?id=51884762911" TargetMode="External"/><Relationship Id="rId786" Type="http://schemas.openxmlformats.org/officeDocument/2006/relationships/hyperlink" Target="https://www.mercadolibre.com.ar/reporting/activity/detail?id=52103661875" TargetMode="External"/><Relationship Id="rId993" Type="http://schemas.openxmlformats.org/officeDocument/2006/relationships/hyperlink" Target="https://www.mercadolibre.com.ar/reporting/activity/detail?id=52415645067" TargetMode="External"/><Relationship Id="rId341" Type="http://schemas.openxmlformats.org/officeDocument/2006/relationships/hyperlink" Target="https://www.mercadolibre.com.ar/reporting/activity/detail?id=51536631914" TargetMode="External"/><Relationship Id="rId439" Type="http://schemas.openxmlformats.org/officeDocument/2006/relationships/hyperlink" Target="https://www.mercadolibre.com.ar/reporting/activity/detail?id=51780584468" TargetMode="External"/><Relationship Id="rId646" Type="http://schemas.openxmlformats.org/officeDocument/2006/relationships/hyperlink" Target="https://www.mercadolibre.com.ar/reporting/activity/detail?id=51919671352" TargetMode="External"/><Relationship Id="rId1069" Type="http://schemas.openxmlformats.org/officeDocument/2006/relationships/hyperlink" Target="https://www.mercadolibre.com.ar/reporting/activity/detail?id=52467826406" TargetMode="External"/><Relationship Id="rId1276" Type="http://schemas.openxmlformats.org/officeDocument/2006/relationships/hyperlink" Target="https://www.mercadolibre.com.ar/reporting/activity/detail?id=51077855664" TargetMode="External"/><Relationship Id="rId201" Type="http://schemas.openxmlformats.org/officeDocument/2006/relationships/hyperlink" Target="https://www.mercadolibre.com.ar/reporting/activity/detail?id=51439067562" TargetMode="External"/><Relationship Id="rId506" Type="http://schemas.openxmlformats.org/officeDocument/2006/relationships/hyperlink" Target="https://www.mercadolibre.com.ar/reporting/activity/detail?id=51790612627" TargetMode="External"/><Relationship Id="rId853" Type="http://schemas.openxmlformats.org/officeDocument/2006/relationships/hyperlink" Target="https://www.mercadolibre.com.ar/reporting/activity/detail?id=52190936225" TargetMode="External"/><Relationship Id="rId1136" Type="http://schemas.openxmlformats.org/officeDocument/2006/relationships/hyperlink" Target="https://www.mercadolibre.com.ar/reporting/activity/detail?id=52516342156" TargetMode="External"/><Relationship Id="rId713" Type="http://schemas.openxmlformats.org/officeDocument/2006/relationships/hyperlink" Target="https://www.mercadolibre.com.ar/reporting/activity/detail?id=52098158235" TargetMode="External"/><Relationship Id="rId920" Type="http://schemas.openxmlformats.org/officeDocument/2006/relationships/hyperlink" Target="https://www.mercadolibre.com.ar/reporting/activity/detail?id=52364489151" TargetMode="External"/><Relationship Id="rId1343" Type="http://schemas.openxmlformats.org/officeDocument/2006/relationships/hyperlink" Target="https://www.mercadolibre.com.ar/reporting/activity/detail?id=51130250652" TargetMode="External"/><Relationship Id="rId1203" Type="http://schemas.openxmlformats.org/officeDocument/2006/relationships/hyperlink" Target="https://www.mercadolibre.com.ar/reporting/activity/detail?id=51067798581" TargetMode="External"/><Relationship Id="rId296" Type="http://schemas.openxmlformats.org/officeDocument/2006/relationships/hyperlink" Target="https://www.mercadolibre.com.ar/reporting/activity/detail?id=51528554810" TargetMode="External"/><Relationship Id="rId156" Type="http://schemas.openxmlformats.org/officeDocument/2006/relationships/hyperlink" Target="https://www.mercadolibre.com.ar/reporting/activity/detail?id=51435274705" TargetMode="External"/><Relationship Id="rId363" Type="http://schemas.openxmlformats.org/officeDocument/2006/relationships/hyperlink" Target="https://www.mercadolibre.com.ar/reporting/activity/detail?id=51538172511" TargetMode="External"/><Relationship Id="rId570" Type="http://schemas.openxmlformats.org/officeDocument/2006/relationships/hyperlink" Target="https://www.mercadolibre.com.ar/reporting/activity/detail?id=51882980482" TargetMode="External"/><Relationship Id="rId223" Type="http://schemas.openxmlformats.org/officeDocument/2006/relationships/hyperlink" Target="https://www.mercadolibre.com.ar/reporting/activity/detail?id=51485486360" TargetMode="External"/><Relationship Id="rId430" Type="http://schemas.openxmlformats.org/officeDocument/2006/relationships/hyperlink" Target="https://www.mercadolibre.com.ar/reporting/activity/detail?id=51731000495" TargetMode="External"/><Relationship Id="rId668" Type="http://schemas.openxmlformats.org/officeDocument/2006/relationships/hyperlink" Target="https://www.mercadolibre.com.ar/reporting/activity/detail?id=52049235481" TargetMode="External"/><Relationship Id="rId875" Type="http://schemas.openxmlformats.org/officeDocument/2006/relationships/hyperlink" Target="https://www.mercadolibre.com.ar/reporting/activity/detail?id=52225881114" TargetMode="External"/><Relationship Id="rId1060" Type="http://schemas.openxmlformats.org/officeDocument/2006/relationships/hyperlink" Target="https://www.mercadolibre.com.ar/reporting/activity/detail?id=52465509879" TargetMode="External"/><Relationship Id="rId1298" Type="http://schemas.openxmlformats.org/officeDocument/2006/relationships/hyperlink" Target="https://www.mercadolibre.com.ar/reporting/activity/detail?id=51122618011" TargetMode="External"/><Relationship Id="rId528" Type="http://schemas.openxmlformats.org/officeDocument/2006/relationships/hyperlink" Target="https://www.mercadolibre.com.ar/reporting/activity/detail?id=51831687875" TargetMode="External"/><Relationship Id="rId735" Type="http://schemas.openxmlformats.org/officeDocument/2006/relationships/hyperlink" Target="https://www.mercadolibre.com.ar/reporting/activity/detail?id=52100526571" TargetMode="External"/><Relationship Id="rId942" Type="http://schemas.openxmlformats.org/officeDocument/2006/relationships/hyperlink" Target="https://www.mercadolibre.com.ar/reporting/activity/detail?id=52411875432" TargetMode="External"/><Relationship Id="rId1158" Type="http://schemas.openxmlformats.org/officeDocument/2006/relationships/hyperlink" Target="https://www.mercadolibre.com.ar/reporting/activity/detail?id=52550165630" TargetMode="External"/><Relationship Id="rId1365" Type="http://schemas.openxmlformats.org/officeDocument/2006/relationships/hyperlink" Target="https://www.mercadolibre.com.ar/reporting/activity/detail?id=51172508651" TargetMode="External"/><Relationship Id="rId1018" Type="http://schemas.openxmlformats.org/officeDocument/2006/relationships/hyperlink" Target="https://www.mercadolibre.com.ar/reporting/activity/detail?id=52416579141" TargetMode="External"/><Relationship Id="rId1225" Type="http://schemas.openxmlformats.org/officeDocument/2006/relationships/hyperlink" Target="https://www.mercadolibre.com.ar/reporting/activity/detail?id=51073905240" TargetMode="External"/><Relationship Id="rId71" Type="http://schemas.openxmlformats.org/officeDocument/2006/relationships/hyperlink" Target="https://www.mercadolibre.com.ar/reporting/activity/detail?id=51221495021" TargetMode="External"/><Relationship Id="rId802" Type="http://schemas.openxmlformats.org/officeDocument/2006/relationships/hyperlink" Target="https://www.mercadolibre.com.ar/reporting/activity/detail?id=52104239734" TargetMode="External"/><Relationship Id="rId29" Type="http://schemas.openxmlformats.org/officeDocument/2006/relationships/hyperlink" Target="https://www.mercadolibre.com.ar/reporting/activity/detail?id=51179986981" TargetMode="External"/><Relationship Id="rId178" Type="http://schemas.openxmlformats.org/officeDocument/2006/relationships/hyperlink" Target="https://www.mercadolibre.com.ar/reporting/activity/detail?id=51437750544" TargetMode="External"/><Relationship Id="rId385" Type="http://schemas.openxmlformats.org/officeDocument/2006/relationships/hyperlink" Target="https://www.mercadolibre.com.ar/reporting/activity/detail?id=51539723623" TargetMode="External"/><Relationship Id="rId592" Type="http://schemas.openxmlformats.org/officeDocument/2006/relationships/hyperlink" Target="https://www.mercadolibre.com.ar/reporting/activity/detail?id=51885632786" TargetMode="External"/><Relationship Id="rId245" Type="http://schemas.openxmlformats.org/officeDocument/2006/relationships/hyperlink" Target="https://www.mercadolibre.com.ar/reporting/activity/detail?id=51487821987" TargetMode="External"/><Relationship Id="rId452" Type="http://schemas.openxmlformats.org/officeDocument/2006/relationships/hyperlink" Target="https://www.mercadolibre.com.ar/reporting/activity/detail?id=51785068785" TargetMode="External"/><Relationship Id="rId897" Type="http://schemas.openxmlformats.org/officeDocument/2006/relationships/hyperlink" Target="https://www.mercadolibre.com.ar/reporting/activity/detail?id=52229923592" TargetMode="External"/><Relationship Id="rId1082" Type="http://schemas.openxmlformats.org/officeDocument/2006/relationships/hyperlink" Target="https://www.mercadolibre.com.ar/reporting/activity/detail?id=52507699854" TargetMode="External"/><Relationship Id="rId105" Type="http://schemas.openxmlformats.org/officeDocument/2006/relationships/hyperlink" Target="https://www.mercadolibre.com.ar/reporting/activity/detail?id=51382357462" TargetMode="External"/><Relationship Id="rId312" Type="http://schemas.openxmlformats.org/officeDocument/2006/relationships/hyperlink" Target="https://www.mercadolibre.com.ar/reporting/activity/detail?id=51532778181" TargetMode="External"/><Relationship Id="rId757" Type="http://schemas.openxmlformats.org/officeDocument/2006/relationships/hyperlink" Target="https://www.mercadolibre.com.ar/reporting/activity/detail?id=52102507903" TargetMode="External"/><Relationship Id="rId964" Type="http://schemas.openxmlformats.org/officeDocument/2006/relationships/hyperlink" Target="https://www.mercadolibre.com.ar/reporting/activity/detail?id=52413533297" TargetMode="External"/><Relationship Id="rId1387" Type="http://schemas.openxmlformats.org/officeDocument/2006/relationships/hyperlink" Target="https://www.mercadolibre.com.ar/reporting/activity/detail?id=51176784627" TargetMode="External"/><Relationship Id="rId93" Type="http://schemas.openxmlformats.org/officeDocument/2006/relationships/hyperlink" Target="https://www.mercadolibre.com.ar/reporting/activity/detail?id=51379254213" TargetMode="External"/><Relationship Id="rId617" Type="http://schemas.openxmlformats.org/officeDocument/2006/relationships/hyperlink" Target="https://www.mercadolibre.com.ar/reporting/activity/detail?id=51887706471" TargetMode="External"/><Relationship Id="rId824" Type="http://schemas.openxmlformats.org/officeDocument/2006/relationships/hyperlink" Target="https://www.mercadolibre.com.ar/reporting/activity/detail?id=52149066427" TargetMode="External"/><Relationship Id="rId1247" Type="http://schemas.openxmlformats.org/officeDocument/2006/relationships/hyperlink" Target="https://www.mercadolibre.com.ar/reporting/activity/detail?id=51075756052" TargetMode="External"/><Relationship Id="rId1107" Type="http://schemas.openxmlformats.org/officeDocument/2006/relationships/hyperlink" Target="https://www.mercadolibre.com.ar/reporting/activity/detail?id=52514107017" TargetMode="External"/><Relationship Id="rId1314" Type="http://schemas.openxmlformats.org/officeDocument/2006/relationships/hyperlink" Target="https://www.mercadolibre.com.ar/reporting/activity/detail?id=51126907213" TargetMode="External"/><Relationship Id="rId20" Type="http://schemas.openxmlformats.org/officeDocument/2006/relationships/hyperlink" Target="https://www.mercadolibre.com.ar/reporting/activity/detail?id=51179419107" TargetMode="External"/><Relationship Id="rId267" Type="http://schemas.openxmlformats.org/officeDocument/2006/relationships/hyperlink" Target="https://www.mercadolibre.com.ar/reporting/activity/detail?id=51490122739" TargetMode="External"/><Relationship Id="rId474" Type="http://schemas.openxmlformats.org/officeDocument/2006/relationships/hyperlink" Target="https://www.mercadolibre.com.ar/reporting/activity/detail?id=51787896284" TargetMode="External"/><Relationship Id="rId127" Type="http://schemas.openxmlformats.org/officeDocument/2006/relationships/hyperlink" Target="https://www.mercadolibre.com.ar/reporting/activity/detail?id=51430981124" TargetMode="External"/><Relationship Id="rId681" Type="http://schemas.openxmlformats.org/officeDocument/2006/relationships/hyperlink" Target="https://www.mercadolibre.com.ar/reporting/activity/detail?id=52054574048" TargetMode="External"/><Relationship Id="rId779" Type="http://schemas.openxmlformats.org/officeDocument/2006/relationships/hyperlink" Target="https://www.mercadolibre.com.ar/reporting/activity/detail?id=52103347329" TargetMode="External"/><Relationship Id="rId986" Type="http://schemas.openxmlformats.org/officeDocument/2006/relationships/hyperlink" Target="https://www.mercadolibre.com.ar/reporting/activity/detail?id=52415093222" TargetMode="External"/><Relationship Id="rId334" Type="http://schemas.openxmlformats.org/officeDocument/2006/relationships/hyperlink" Target="https://www.mercadolibre.com.ar/reporting/activity/detail?id=51536196316" TargetMode="External"/><Relationship Id="rId541" Type="http://schemas.openxmlformats.org/officeDocument/2006/relationships/hyperlink" Target="https://www.mercadolibre.com.ar/reporting/activity/detail?id=51838120973" TargetMode="External"/><Relationship Id="rId639" Type="http://schemas.openxmlformats.org/officeDocument/2006/relationships/hyperlink" Target="https://www.mercadolibre.com.ar/reporting/activity/detail?id=51917101252" TargetMode="External"/><Relationship Id="rId1171" Type="http://schemas.openxmlformats.org/officeDocument/2006/relationships/hyperlink" Target="https://www.mercadolibre.com.ar/reporting/activity/detail?id=52553833436" TargetMode="External"/><Relationship Id="rId1269" Type="http://schemas.openxmlformats.org/officeDocument/2006/relationships/hyperlink" Target="https://www.mercadolibre.com.ar/reporting/activity/detail?id=51077332779" TargetMode="External"/><Relationship Id="rId401" Type="http://schemas.openxmlformats.org/officeDocument/2006/relationships/hyperlink" Target="https://www.mercadolibre.com.ar/reporting/activity/detail?id=51571303690" TargetMode="External"/><Relationship Id="rId846" Type="http://schemas.openxmlformats.org/officeDocument/2006/relationships/hyperlink" Target="https://www.mercadolibre.com.ar/reporting/activity/detail?id=52188737569" TargetMode="External"/><Relationship Id="rId1031" Type="http://schemas.openxmlformats.org/officeDocument/2006/relationships/hyperlink" Target="https://www.mercadolibre.com.ar/reporting/activity/detail?id=52457868377" TargetMode="External"/><Relationship Id="rId1129" Type="http://schemas.openxmlformats.org/officeDocument/2006/relationships/hyperlink" Target="https://www.mercadolibre.com.ar/reporting/activity/detail?id=52515878639" TargetMode="External"/><Relationship Id="rId706" Type="http://schemas.openxmlformats.org/officeDocument/2006/relationships/hyperlink" Target="https://www.mercadolibre.com.ar/reporting/activity/detail?id=52097107045" TargetMode="External"/><Relationship Id="rId913" Type="http://schemas.openxmlformats.org/officeDocument/2006/relationships/hyperlink" Target="https://www.mercadolibre.com.ar/reporting/activity/detail?id=52361809831" TargetMode="External"/><Relationship Id="rId1336" Type="http://schemas.openxmlformats.org/officeDocument/2006/relationships/hyperlink" Target="https://www.mercadolibre.com.ar/reporting/activity/detail?id=51128905560" TargetMode="External"/><Relationship Id="rId42" Type="http://schemas.openxmlformats.org/officeDocument/2006/relationships/hyperlink" Target="https://www.mercadolibre.com.ar/reporting/activity/detail?id=51180487699" TargetMode="External"/><Relationship Id="rId191" Type="http://schemas.openxmlformats.org/officeDocument/2006/relationships/hyperlink" Target="https://www.mercadolibre.com.ar/reporting/activity/detail?id=51438228624" TargetMode="External"/><Relationship Id="rId289" Type="http://schemas.openxmlformats.org/officeDocument/2006/relationships/hyperlink" Target="https://www.mercadolibre.com.ar/reporting/activity/detail?id=51492236139" TargetMode="External"/><Relationship Id="rId496" Type="http://schemas.openxmlformats.org/officeDocument/2006/relationships/hyperlink" Target="https://www.mercadolibre.com.ar/reporting/activity/detail?id=51790040248" TargetMode="External"/><Relationship Id="rId149" Type="http://schemas.openxmlformats.org/officeDocument/2006/relationships/hyperlink" Target="https://www.mercadolibre.com.ar/reporting/activity/detail?id=51433835683" TargetMode="External"/><Relationship Id="rId356" Type="http://schemas.openxmlformats.org/officeDocument/2006/relationships/hyperlink" Target="https://www.mercadolibre.com.ar/reporting/activity/detail?id=51537684462" TargetMode="External"/><Relationship Id="rId563" Type="http://schemas.openxmlformats.org/officeDocument/2006/relationships/hyperlink" Target="https://www.mercadolibre.com.ar/reporting/activity/detail?id=51882244606" TargetMode="External"/><Relationship Id="rId770" Type="http://schemas.openxmlformats.org/officeDocument/2006/relationships/hyperlink" Target="https://www.mercadolibre.com.ar/reporting/activity/detail?id=52103094264" TargetMode="External"/><Relationship Id="rId1193" Type="http://schemas.openxmlformats.org/officeDocument/2006/relationships/hyperlink" Target="https://www.mercadolibre.com.ar/reporting/activity/detail?id=51024243433" TargetMode="External"/><Relationship Id="rId216" Type="http://schemas.openxmlformats.org/officeDocument/2006/relationships/hyperlink" Target="https://www.mercadolibre.com.ar/reporting/activity/detail?id=51483350727" TargetMode="External"/><Relationship Id="rId423" Type="http://schemas.openxmlformats.org/officeDocument/2006/relationships/hyperlink" Target="https://www.mercadolibre.com.ar/reporting/activity/detail?id=51726235525" TargetMode="External"/><Relationship Id="rId868" Type="http://schemas.openxmlformats.org/officeDocument/2006/relationships/hyperlink" Target="https://www.mercadolibre.com.ar/reporting/activity/detail?id=52193039670" TargetMode="External"/><Relationship Id="rId1053" Type="http://schemas.openxmlformats.org/officeDocument/2006/relationships/hyperlink" Target="https://www.mercadolibre.com.ar/reporting/activity/detail?id=52463459929" TargetMode="External"/><Relationship Id="rId1260" Type="http://schemas.openxmlformats.org/officeDocument/2006/relationships/hyperlink" Target="https://www.mercadolibre.com.ar/reporting/activity/detail?id=51076756213" TargetMode="External"/><Relationship Id="rId630" Type="http://schemas.openxmlformats.org/officeDocument/2006/relationships/hyperlink" Target="https://www.mercadolibre.com.ar/reporting/activity/detail?id=51888337856" TargetMode="External"/><Relationship Id="rId728" Type="http://schemas.openxmlformats.org/officeDocument/2006/relationships/hyperlink" Target="https://www.mercadolibre.com.ar/reporting/activity/detail?id=52099786336" TargetMode="External"/><Relationship Id="rId935" Type="http://schemas.openxmlformats.org/officeDocument/2006/relationships/hyperlink" Target="https://www.mercadolibre.com.ar/reporting/activity/detail?id=52410838988" TargetMode="External"/><Relationship Id="rId1358" Type="http://schemas.openxmlformats.org/officeDocument/2006/relationships/hyperlink" Target="https://www.mercadolibre.com.ar/reporting/activity/detail?id=51168891318" TargetMode="External"/><Relationship Id="rId64" Type="http://schemas.openxmlformats.org/officeDocument/2006/relationships/hyperlink" Target="https://www.mercadolibre.com.ar/reporting/activity/detail?id=51217023688" TargetMode="External"/><Relationship Id="rId1120" Type="http://schemas.openxmlformats.org/officeDocument/2006/relationships/hyperlink" Target="https://www.mercadolibre.com.ar/reporting/activity/detail?id=52515279615" TargetMode="External"/><Relationship Id="rId1218" Type="http://schemas.openxmlformats.org/officeDocument/2006/relationships/hyperlink" Target="https://www.mercadolibre.com.ar/reporting/activity/detail?id=51072713993" TargetMode="External"/><Relationship Id="rId280" Type="http://schemas.openxmlformats.org/officeDocument/2006/relationships/hyperlink" Target="https://www.mercadolibre.com.ar/reporting/activity/detail?id=51491291048" TargetMode="External"/><Relationship Id="rId140" Type="http://schemas.openxmlformats.org/officeDocument/2006/relationships/hyperlink" Target="https://www.mercadolibre.com.ar/reporting/activity/detail?id=51432773504" TargetMode="External"/><Relationship Id="rId378" Type="http://schemas.openxmlformats.org/officeDocument/2006/relationships/hyperlink" Target="https://www.mercadolibre.com.ar/reporting/activity/detail?id=51539041629" TargetMode="External"/><Relationship Id="rId585" Type="http://schemas.openxmlformats.org/officeDocument/2006/relationships/hyperlink" Target="https://www.mercadolibre.com.ar/reporting/activity/detail?id=51885153498" TargetMode="External"/><Relationship Id="rId792" Type="http://schemas.openxmlformats.org/officeDocument/2006/relationships/hyperlink" Target="https://www.mercadolibre.com.ar/reporting/activity/detail?id=52103914402" TargetMode="External"/><Relationship Id="rId6" Type="http://schemas.openxmlformats.org/officeDocument/2006/relationships/hyperlink" Target="https://www.mercadolibre.com.ar/reporting/activity/detail?id=51178105488" TargetMode="External"/><Relationship Id="rId238" Type="http://schemas.openxmlformats.org/officeDocument/2006/relationships/hyperlink" Target="https://www.mercadolibre.com.ar/reporting/activity/detail?id=51487456854" TargetMode="External"/><Relationship Id="rId445" Type="http://schemas.openxmlformats.org/officeDocument/2006/relationships/hyperlink" Target="https://www.mercadolibre.com.ar/reporting/activity/detail?id=51783720879" TargetMode="External"/><Relationship Id="rId652" Type="http://schemas.openxmlformats.org/officeDocument/2006/relationships/hyperlink" Target="https://www.mercadolibre.com.ar/reporting/activity/detail?id=51920773140" TargetMode="External"/><Relationship Id="rId1075" Type="http://schemas.openxmlformats.org/officeDocument/2006/relationships/hyperlink" Target="https://www.mercadolibre.com.ar/reporting/activity/detail?id=52468602806" TargetMode="External"/><Relationship Id="rId1282" Type="http://schemas.openxmlformats.org/officeDocument/2006/relationships/hyperlink" Target="https://www.mercadolibre.com.ar/reporting/activity/detail?id=51078125776" TargetMode="External"/><Relationship Id="rId305" Type="http://schemas.openxmlformats.org/officeDocument/2006/relationships/hyperlink" Target="https://www.mercadolibre.com.ar/reporting/activity/detail?id=51531461639" TargetMode="External"/><Relationship Id="rId512" Type="http://schemas.openxmlformats.org/officeDocument/2006/relationships/hyperlink" Target="https://www.mercadolibre.com.ar/reporting/activity/detail?id=51790853660" TargetMode="External"/><Relationship Id="rId957" Type="http://schemas.openxmlformats.org/officeDocument/2006/relationships/hyperlink" Target="https://www.mercadolibre.com.ar/reporting/activity/detail?id=52413019912" TargetMode="External"/><Relationship Id="rId1142" Type="http://schemas.openxmlformats.org/officeDocument/2006/relationships/hyperlink" Target="https://www.mercadolibre.com.ar/reporting/activity/detail?id=52516737682" TargetMode="External"/><Relationship Id="rId86" Type="http://schemas.openxmlformats.org/officeDocument/2006/relationships/hyperlink" Target="https://www.mercadolibre.com.ar/reporting/activity/detail?id=51377076915" TargetMode="External"/><Relationship Id="rId817" Type="http://schemas.openxmlformats.org/officeDocument/2006/relationships/hyperlink" Target="https://www.mercadolibre.com.ar/reporting/activity/detail?id=52147300393" TargetMode="External"/><Relationship Id="rId1002" Type="http://schemas.openxmlformats.org/officeDocument/2006/relationships/hyperlink" Target="https://www.mercadolibre.com.ar/reporting/activity/detail?id=52415959048" TargetMode="External"/><Relationship Id="rId1307" Type="http://schemas.openxmlformats.org/officeDocument/2006/relationships/hyperlink" Target="https://www.mercadolibre.com.ar/reporting/activity/detail?id=51125967663" TargetMode="External"/><Relationship Id="rId13" Type="http://schemas.openxmlformats.org/officeDocument/2006/relationships/hyperlink" Target="https://www.mercadolibre.com.ar/reporting/activity/detail?id=51178699815" TargetMode="External"/><Relationship Id="rId162" Type="http://schemas.openxmlformats.org/officeDocument/2006/relationships/hyperlink" Target="https://www.mercadolibre.com.ar/reporting/activity/detail?id=51436063423" TargetMode="External"/><Relationship Id="rId467" Type="http://schemas.openxmlformats.org/officeDocument/2006/relationships/hyperlink" Target="https://www.mercadolibre.com.ar/reporting/activity/detail?id=51787224470" TargetMode="External"/><Relationship Id="rId1097" Type="http://schemas.openxmlformats.org/officeDocument/2006/relationships/hyperlink" Target="https://www.mercadolibre.com.ar/reporting/activity/detail?id=52513158523" TargetMode="External"/><Relationship Id="rId674" Type="http://schemas.openxmlformats.org/officeDocument/2006/relationships/hyperlink" Target="https://www.mercadolibre.com.ar/reporting/activity/detail?id=52052337162" TargetMode="External"/><Relationship Id="rId881" Type="http://schemas.openxmlformats.org/officeDocument/2006/relationships/hyperlink" Target="https://www.mercadolibre.com.ar/reporting/activity/detail?id=52227620831" TargetMode="External"/><Relationship Id="rId979" Type="http://schemas.openxmlformats.org/officeDocument/2006/relationships/hyperlink" Target="https://www.mercadolibre.com.ar/reporting/activity/detail?id=52414648615" TargetMode="External"/><Relationship Id="rId327" Type="http://schemas.openxmlformats.org/officeDocument/2006/relationships/hyperlink" Target="https://www.mercadolibre.com.ar/reporting/activity/detail?id=51535294135" TargetMode="External"/><Relationship Id="rId534" Type="http://schemas.openxmlformats.org/officeDocument/2006/relationships/hyperlink" Target="https://www.mercadolibre.com.ar/reporting/activity/detail?id=51835555231" TargetMode="External"/><Relationship Id="rId741" Type="http://schemas.openxmlformats.org/officeDocument/2006/relationships/hyperlink" Target="https://www.mercadolibre.com.ar/reporting/activity/detail?id=52101331992" TargetMode="External"/><Relationship Id="rId839" Type="http://schemas.openxmlformats.org/officeDocument/2006/relationships/hyperlink" Target="https://www.mercadolibre.com.ar/reporting/activity/detail?id=52186337023" TargetMode="External"/><Relationship Id="rId1164" Type="http://schemas.openxmlformats.org/officeDocument/2006/relationships/hyperlink" Target="https://www.mercadolibre.com.ar/reporting/activity/detail?id=52551989016" TargetMode="External"/><Relationship Id="rId1371" Type="http://schemas.openxmlformats.org/officeDocument/2006/relationships/hyperlink" Target="https://www.mercadolibre.com.ar/reporting/activity/detail?id=51174129733" TargetMode="External"/><Relationship Id="rId601" Type="http://schemas.openxmlformats.org/officeDocument/2006/relationships/hyperlink" Target="https://www.mercadolibre.com.ar/reporting/activity/detail?id=51886109272" TargetMode="External"/><Relationship Id="rId1024" Type="http://schemas.openxmlformats.org/officeDocument/2006/relationships/hyperlink" Target="https://www.mercadolibre.com.ar/reporting/activity/detail?id=52416717483" TargetMode="External"/><Relationship Id="rId1231" Type="http://schemas.openxmlformats.org/officeDocument/2006/relationships/hyperlink" Target="https://www.mercadolibre.com.ar/reporting/activity/detail?id=51074283341" TargetMode="External"/><Relationship Id="rId906" Type="http://schemas.openxmlformats.org/officeDocument/2006/relationships/hyperlink" Target="https://www.mercadolibre.com.ar/reporting/activity/detail?id=52230689679" TargetMode="External"/><Relationship Id="rId1329" Type="http://schemas.openxmlformats.org/officeDocument/2006/relationships/hyperlink" Target="https://www.mercadolibre.com.ar/reporting/activity/detail?id=51128078480" TargetMode="External"/><Relationship Id="rId35" Type="http://schemas.openxmlformats.org/officeDocument/2006/relationships/hyperlink" Target="https://www.mercadolibre.com.ar/reporting/activity/detail?id=51180101392" TargetMode="External"/><Relationship Id="rId184" Type="http://schemas.openxmlformats.org/officeDocument/2006/relationships/hyperlink" Target="https://www.mercadolibre.com.ar/reporting/activity/detail?id=51437924528" TargetMode="External"/><Relationship Id="rId391" Type="http://schemas.openxmlformats.org/officeDocument/2006/relationships/hyperlink" Target="https://www.mercadolibre.com.ar/reporting/activity/detail?id=51540266242" TargetMode="External"/><Relationship Id="rId251" Type="http://schemas.openxmlformats.org/officeDocument/2006/relationships/hyperlink" Target="https://www.mercadolibre.com.ar/reporting/activity/detail?id=51488841285" TargetMode="External"/><Relationship Id="rId489" Type="http://schemas.openxmlformats.org/officeDocument/2006/relationships/hyperlink" Target="https://www.mercadolibre.com.ar/reporting/activity/detail?id=51789325577" TargetMode="External"/><Relationship Id="rId696" Type="http://schemas.openxmlformats.org/officeDocument/2006/relationships/hyperlink" Target="https://www.mercadolibre.com.ar/reporting/activity/detail?id=52093595329" TargetMode="External"/><Relationship Id="rId349" Type="http://schemas.openxmlformats.org/officeDocument/2006/relationships/hyperlink" Target="https://www.mercadolibre.com.ar/reporting/activity/detail?id=51537323083" TargetMode="External"/><Relationship Id="rId556" Type="http://schemas.openxmlformats.org/officeDocument/2006/relationships/hyperlink" Target="https://www.mercadolibre.com.ar/reporting/activity/detail?id=51841466269" TargetMode="External"/><Relationship Id="rId763" Type="http://schemas.openxmlformats.org/officeDocument/2006/relationships/hyperlink" Target="https://www.mercadolibre.com.ar/reporting/activity/detail?id=52102800691" TargetMode="External"/><Relationship Id="rId1186" Type="http://schemas.openxmlformats.org/officeDocument/2006/relationships/hyperlink" Target="https://www.mercadolibre.com.ar/reporting/activity/detail?id=51022393777" TargetMode="External"/><Relationship Id="rId1393" Type="http://schemas.openxmlformats.org/officeDocument/2006/relationships/hyperlink" Target="https://www.mercadolibre.com.ar/reporting/activity/detail?id=51177308402" TargetMode="External"/><Relationship Id="rId111" Type="http://schemas.openxmlformats.org/officeDocument/2006/relationships/hyperlink" Target="https://www.mercadolibre.com.ar/reporting/activity/detail?id=51383822685" TargetMode="External"/><Relationship Id="rId209" Type="http://schemas.openxmlformats.org/officeDocument/2006/relationships/hyperlink" Target="https://www.mercadolibre.com.ar/reporting/activity/detail?id=51478040877" TargetMode="External"/><Relationship Id="rId416" Type="http://schemas.openxmlformats.org/officeDocument/2006/relationships/hyperlink" Target="https://www.mercadolibre.com.ar/reporting/activity/detail?id=51578212437" TargetMode="External"/><Relationship Id="rId970" Type="http://schemas.openxmlformats.org/officeDocument/2006/relationships/hyperlink" Target="https://www.mercadolibre.com.ar/reporting/activity/detail?id=52413902084" TargetMode="External"/><Relationship Id="rId1046" Type="http://schemas.openxmlformats.org/officeDocument/2006/relationships/hyperlink" Target="https://www.mercadolibre.com.ar/reporting/activity/detail?id=52461709609" TargetMode="External"/><Relationship Id="rId1253" Type="http://schemas.openxmlformats.org/officeDocument/2006/relationships/hyperlink" Target="https://www.mercadolibre.com.ar/reporting/activity/detail?id=51076184214" TargetMode="External"/><Relationship Id="rId623" Type="http://schemas.openxmlformats.org/officeDocument/2006/relationships/hyperlink" Target="https://www.mercadolibre.com.ar/reporting/activity/detail?id=51888004783" TargetMode="External"/><Relationship Id="rId830" Type="http://schemas.openxmlformats.org/officeDocument/2006/relationships/hyperlink" Target="https://www.mercadolibre.com.ar/reporting/activity/detail?id=52151355635" TargetMode="External"/><Relationship Id="rId928" Type="http://schemas.openxmlformats.org/officeDocument/2006/relationships/hyperlink" Target="https://www.mercadolibre.com.ar/reporting/activity/detail?id=52406039359" TargetMode="External"/><Relationship Id="rId57" Type="http://schemas.openxmlformats.org/officeDocument/2006/relationships/hyperlink" Target="https://www.mercadolibre.com.ar/reporting/activity/detail?id=51215840367" TargetMode="External"/><Relationship Id="rId1113" Type="http://schemas.openxmlformats.org/officeDocument/2006/relationships/hyperlink" Target="https://www.mercadolibre.com.ar/reporting/activity/detail?id=52514418478" TargetMode="External"/><Relationship Id="rId1320" Type="http://schemas.openxmlformats.org/officeDocument/2006/relationships/hyperlink" Target="https://www.mercadolibre.com.ar/reporting/activity/detail?id=51127319691" TargetMode="External"/><Relationship Id="rId122" Type="http://schemas.openxmlformats.org/officeDocument/2006/relationships/hyperlink" Target="https://www.mercadolibre.com.ar/reporting/activity/detail?id=51430520853" TargetMode="External"/><Relationship Id="rId774" Type="http://schemas.openxmlformats.org/officeDocument/2006/relationships/hyperlink" Target="https://www.mercadolibre.com.ar/reporting/activity/detail?id=52103210533" TargetMode="External"/><Relationship Id="rId981" Type="http://schemas.openxmlformats.org/officeDocument/2006/relationships/hyperlink" Target="https://www.mercadolibre.com.ar/reporting/activity/detail?id=52414744176" TargetMode="External"/><Relationship Id="rId1057" Type="http://schemas.openxmlformats.org/officeDocument/2006/relationships/hyperlink" Target="https://www.mercadolibre.com.ar/reporting/activity/detail?id=52464936296" TargetMode="External"/><Relationship Id="rId427" Type="http://schemas.openxmlformats.org/officeDocument/2006/relationships/hyperlink" Target="https://www.mercadolibre.com.ar/reporting/activity/detail?id=51729753864" TargetMode="External"/><Relationship Id="rId634" Type="http://schemas.openxmlformats.org/officeDocument/2006/relationships/hyperlink" Target="https://www.mercadolibre.com.ar/reporting/activity/detail?id=51888465557" TargetMode="External"/><Relationship Id="rId841" Type="http://schemas.openxmlformats.org/officeDocument/2006/relationships/hyperlink" Target="https://www.mercadolibre.com.ar/reporting/activity/detail?id=52186752778" TargetMode="External"/><Relationship Id="rId1264" Type="http://schemas.openxmlformats.org/officeDocument/2006/relationships/hyperlink" Target="https://www.mercadolibre.com.ar/reporting/activity/detail?id=51076984733" TargetMode="External"/><Relationship Id="rId273" Type="http://schemas.openxmlformats.org/officeDocument/2006/relationships/hyperlink" Target="https://www.mercadolibre.com.ar/reporting/activity/detail?id=51490753594" TargetMode="External"/><Relationship Id="rId480" Type="http://schemas.openxmlformats.org/officeDocument/2006/relationships/hyperlink" Target="https://www.mercadolibre.com.ar/reporting/activity/detail?id=51788550678" TargetMode="External"/><Relationship Id="rId701" Type="http://schemas.openxmlformats.org/officeDocument/2006/relationships/hyperlink" Target="https://www.mercadolibre.com.ar/reporting/activity/detail?id=52096170804" TargetMode="External"/><Relationship Id="rId939" Type="http://schemas.openxmlformats.org/officeDocument/2006/relationships/hyperlink" Target="https://www.mercadolibre.com.ar/reporting/activity/detail?id=52411290515" TargetMode="External"/><Relationship Id="rId1124" Type="http://schemas.openxmlformats.org/officeDocument/2006/relationships/hyperlink" Target="https://www.mercadolibre.com.ar/reporting/activity/detail?id=52515572126" TargetMode="External"/><Relationship Id="rId1331" Type="http://schemas.openxmlformats.org/officeDocument/2006/relationships/hyperlink" Target="https://www.mercadolibre.com.ar/reporting/activity/detail?id=51128286206" TargetMode="External"/><Relationship Id="rId68" Type="http://schemas.openxmlformats.org/officeDocument/2006/relationships/hyperlink" Target="https://www.mercadolibre.com.ar/reporting/activity/detail?id=51218040761" TargetMode="External"/><Relationship Id="rId133" Type="http://schemas.openxmlformats.org/officeDocument/2006/relationships/hyperlink" Target="https://www.mercadolibre.com.ar/reporting/activity/detail?id=51431980157" TargetMode="External"/><Relationship Id="rId340" Type="http://schemas.openxmlformats.org/officeDocument/2006/relationships/hyperlink" Target="https://www.mercadolibre.com.ar/reporting/activity/detail?id=51536608709" TargetMode="External"/><Relationship Id="rId578" Type="http://schemas.openxmlformats.org/officeDocument/2006/relationships/hyperlink" Target="https://www.mercadolibre.com.ar/reporting/activity/detail?id=51884520092" TargetMode="External"/><Relationship Id="rId785" Type="http://schemas.openxmlformats.org/officeDocument/2006/relationships/hyperlink" Target="https://www.mercadolibre.com.ar/reporting/activity/detail?id=52103641901" TargetMode="External"/><Relationship Id="rId992" Type="http://schemas.openxmlformats.org/officeDocument/2006/relationships/hyperlink" Target="https://www.mercadolibre.com.ar/reporting/activity/detail?id=52415618160" TargetMode="External"/><Relationship Id="rId200" Type="http://schemas.openxmlformats.org/officeDocument/2006/relationships/hyperlink" Target="https://www.mercadolibre.com.ar/reporting/activity/detail?id=51439039812" TargetMode="External"/><Relationship Id="rId438" Type="http://schemas.openxmlformats.org/officeDocument/2006/relationships/hyperlink" Target="https://www.mercadolibre.com.ar/reporting/activity/detail?id=51779333385" TargetMode="External"/><Relationship Id="rId645" Type="http://schemas.openxmlformats.org/officeDocument/2006/relationships/hyperlink" Target="https://www.mercadolibre.com.ar/reporting/activity/detail?id=51919657155" TargetMode="External"/><Relationship Id="rId852" Type="http://schemas.openxmlformats.org/officeDocument/2006/relationships/hyperlink" Target="https://www.mercadolibre.com.ar/reporting/activity/detail?id=52190748293" TargetMode="External"/><Relationship Id="rId1068" Type="http://schemas.openxmlformats.org/officeDocument/2006/relationships/hyperlink" Target="https://www.mercadolibre.com.ar/reporting/activity/detail?id=52467570346" TargetMode="External"/><Relationship Id="rId1275" Type="http://schemas.openxmlformats.org/officeDocument/2006/relationships/hyperlink" Target="https://www.mercadolibre.com.ar/reporting/activity/detail?id=51077723573" TargetMode="External"/><Relationship Id="rId284" Type="http://schemas.openxmlformats.org/officeDocument/2006/relationships/hyperlink" Target="https://www.mercadolibre.com.ar/reporting/activity/detail?id=51491653585" TargetMode="External"/><Relationship Id="rId491" Type="http://schemas.openxmlformats.org/officeDocument/2006/relationships/hyperlink" Target="https://www.mercadolibre.com.ar/reporting/activity/detail?id=51789352298" TargetMode="External"/><Relationship Id="rId505" Type="http://schemas.openxmlformats.org/officeDocument/2006/relationships/hyperlink" Target="https://www.mercadolibre.com.ar/reporting/activity/detail?id=51790605539" TargetMode="External"/><Relationship Id="rId712" Type="http://schemas.openxmlformats.org/officeDocument/2006/relationships/hyperlink" Target="https://www.mercadolibre.com.ar/reporting/activity/detail?id=52098012802" TargetMode="External"/><Relationship Id="rId1135" Type="http://schemas.openxmlformats.org/officeDocument/2006/relationships/hyperlink" Target="https://www.mercadolibre.com.ar/reporting/activity/detail?id=52516182987" TargetMode="External"/><Relationship Id="rId1342" Type="http://schemas.openxmlformats.org/officeDocument/2006/relationships/hyperlink" Target="https://www.mercadolibre.com.ar/reporting/activity/detail?id=51130234001" TargetMode="External"/><Relationship Id="rId79" Type="http://schemas.openxmlformats.org/officeDocument/2006/relationships/hyperlink" Target="https://www.mercadolibre.com.ar/reporting/activity/detail?id=51376298406" TargetMode="External"/><Relationship Id="rId144" Type="http://schemas.openxmlformats.org/officeDocument/2006/relationships/hyperlink" Target="https://www.mercadolibre.com.ar/reporting/activity/detail?id=51433010358" TargetMode="External"/><Relationship Id="rId589" Type="http://schemas.openxmlformats.org/officeDocument/2006/relationships/hyperlink" Target="https://www.mercadolibre.com.ar/reporting/activity/detail?id=51885511148" TargetMode="External"/><Relationship Id="rId796" Type="http://schemas.openxmlformats.org/officeDocument/2006/relationships/hyperlink" Target="https://www.mercadolibre.com.ar/reporting/activity/detail?id=52104097425" TargetMode="External"/><Relationship Id="rId1202" Type="http://schemas.openxmlformats.org/officeDocument/2006/relationships/hyperlink" Target="https://www.mercadolibre.com.ar/reporting/activity/detail?id=51067161325" TargetMode="External"/><Relationship Id="rId351" Type="http://schemas.openxmlformats.org/officeDocument/2006/relationships/hyperlink" Target="https://www.mercadolibre.com.ar/reporting/activity/detail?id=51537425943" TargetMode="External"/><Relationship Id="rId449" Type="http://schemas.openxmlformats.org/officeDocument/2006/relationships/hyperlink" Target="https://www.mercadolibre.com.ar/reporting/activity/detail?id=51784836067" TargetMode="External"/><Relationship Id="rId656" Type="http://schemas.openxmlformats.org/officeDocument/2006/relationships/hyperlink" Target="https://www.mercadolibre.com.ar/reporting/activity/detail?id=51923069243" TargetMode="External"/><Relationship Id="rId863" Type="http://schemas.openxmlformats.org/officeDocument/2006/relationships/hyperlink" Target="https://www.mercadolibre.com.ar/reporting/activity/detail?id=52192819974" TargetMode="External"/><Relationship Id="rId1079" Type="http://schemas.openxmlformats.org/officeDocument/2006/relationships/hyperlink" Target="https://www.mercadolibre.com.ar/reporting/activity/detail?id=52507287560" TargetMode="External"/><Relationship Id="rId1286" Type="http://schemas.openxmlformats.org/officeDocument/2006/relationships/hyperlink" Target="https://www.mercadolibre.com.ar/reporting/activity/detail?id=51078296179" TargetMode="External"/><Relationship Id="rId211" Type="http://schemas.openxmlformats.org/officeDocument/2006/relationships/hyperlink" Target="https://www.mercadolibre.com.ar/reporting/activity/detail?id=51479590942" TargetMode="External"/><Relationship Id="rId295" Type="http://schemas.openxmlformats.org/officeDocument/2006/relationships/hyperlink" Target="https://www.mercadolibre.com.ar/reporting/activity/detail?id=51527192065" TargetMode="External"/><Relationship Id="rId309" Type="http://schemas.openxmlformats.org/officeDocument/2006/relationships/hyperlink" Target="https://www.mercadolibre.com.ar/reporting/activity/detail?id=51531934200" TargetMode="External"/><Relationship Id="rId516" Type="http://schemas.openxmlformats.org/officeDocument/2006/relationships/hyperlink" Target="https://www.mercadolibre.com.ar/reporting/activity/detail?id=51791213047" TargetMode="External"/><Relationship Id="rId1146" Type="http://schemas.openxmlformats.org/officeDocument/2006/relationships/hyperlink" Target="https://www.mercadolibre.com.ar/reporting/activity/detail?id=52516776139" TargetMode="External"/><Relationship Id="rId723" Type="http://schemas.openxmlformats.org/officeDocument/2006/relationships/hyperlink" Target="https://www.mercadolibre.com.ar/reporting/activity/detail?id=52098998777" TargetMode="External"/><Relationship Id="rId930" Type="http://schemas.openxmlformats.org/officeDocument/2006/relationships/hyperlink" Target="https://www.mercadolibre.com.ar/reporting/activity/detail?id=52407725889" TargetMode="External"/><Relationship Id="rId1006" Type="http://schemas.openxmlformats.org/officeDocument/2006/relationships/hyperlink" Target="https://www.mercadolibre.com.ar/reporting/activity/detail?id=52416215150" TargetMode="External"/><Relationship Id="rId1353" Type="http://schemas.openxmlformats.org/officeDocument/2006/relationships/hyperlink" Target="https://www.mercadolibre.com.ar/reporting/activity/detail?id=51131575493" TargetMode="External"/><Relationship Id="rId155" Type="http://schemas.openxmlformats.org/officeDocument/2006/relationships/hyperlink" Target="https://www.mercadolibre.com.ar/reporting/activity/detail?id=51435159069" TargetMode="External"/><Relationship Id="rId362" Type="http://schemas.openxmlformats.org/officeDocument/2006/relationships/hyperlink" Target="https://www.mercadolibre.com.ar/reporting/activity/detail?id=51538159832" TargetMode="External"/><Relationship Id="rId1213" Type="http://schemas.openxmlformats.org/officeDocument/2006/relationships/hyperlink" Target="https://www.mercadolibre.com.ar/reporting/activity/detail?id=51072196991" TargetMode="External"/><Relationship Id="rId1297" Type="http://schemas.openxmlformats.org/officeDocument/2006/relationships/hyperlink" Target="https://www.mercadolibre.com.ar/reporting/activity/detail?id=51120671162" TargetMode="External"/><Relationship Id="rId222" Type="http://schemas.openxmlformats.org/officeDocument/2006/relationships/hyperlink" Target="https://www.mercadolibre.com.ar/reporting/activity/detail?id=51485256184" TargetMode="External"/><Relationship Id="rId667" Type="http://schemas.openxmlformats.org/officeDocument/2006/relationships/hyperlink" Target="https://www.mercadolibre.com.ar/reporting/activity/detail?id=52048174808" TargetMode="External"/><Relationship Id="rId874" Type="http://schemas.openxmlformats.org/officeDocument/2006/relationships/hyperlink" Target="https://www.mercadolibre.com.ar/reporting/activity/detail?id=52225807957" TargetMode="External"/><Relationship Id="rId17" Type="http://schemas.openxmlformats.org/officeDocument/2006/relationships/hyperlink" Target="https://www.mercadolibre.com.ar/reporting/activity/detail?id=51179051593" TargetMode="External"/><Relationship Id="rId527" Type="http://schemas.openxmlformats.org/officeDocument/2006/relationships/hyperlink" Target="https://www.mercadolibre.com.ar/reporting/activity/detail?id=51831611612" TargetMode="External"/><Relationship Id="rId734" Type="http://schemas.openxmlformats.org/officeDocument/2006/relationships/hyperlink" Target="https://www.mercadolibre.com.ar/reporting/activity/detail?id=52100472906" TargetMode="External"/><Relationship Id="rId941" Type="http://schemas.openxmlformats.org/officeDocument/2006/relationships/hyperlink" Target="https://www.mercadolibre.com.ar/reporting/activity/detail?id=52411451687" TargetMode="External"/><Relationship Id="rId1157" Type="http://schemas.openxmlformats.org/officeDocument/2006/relationships/hyperlink" Target="https://www.mercadolibre.com.ar/reporting/activity/detail?id=52549395663" TargetMode="External"/><Relationship Id="rId1364" Type="http://schemas.openxmlformats.org/officeDocument/2006/relationships/hyperlink" Target="https://www.mercadolibre.com.ar/reporting/activity/detail?id=51171805799" TargetMode="External"/><Relationship Id="rId70" Type="http://schemas.openxmlformats.org/officeDocument/2006/relationships/hyperlink" Target="https://www.mercadolibre.com.ar/reporting/activity/detail?id=51220412816" TargetMode="External"/><Relationship Id="rId166" Type="http://schemas.openxmlformats.org/officeDocument/2006/relationships/hyperlink" Target="https://www.mercadolibre.com.ar/reporting/activity/detail?id=51436436315" TargetMode="External"/><Relationship Id="rId373" Type="http://schemas.openxmlformats.org/officeDocument/2006/relationships/hyperlink" Target="https://www.mercadolibre.com.ar/reporting/activity/detail?id=51538760520" TargetMode="External"/><Relationship Id="rId580" Type="http://schemas.openxmlformats.org/officeDocument/2006/relationships/hyperlink" Target="https://www.mercadolibre.com.ar/reporting/activity/detail?id=51884795116" TargetMode="External"/><Relationship Id="rId801" Type="http://schemas.openxmlformats.org/officeDocument/2006/relationships/hyperlink" Target="https://www.mercadolibre.com.ar/reporting/activity/detail?id=52104212176" TargetMode="External"/><Relationship Id="rId1017" Type="http://schemas.openxmlformats.org/officeDocument/2006/relationships/hyperlink" Target="https://www.mercadolibre.com.ar/reporting/activity/detail?id=52416575641" TargetMode="External"/><Relationship Id="rId1224" Type="http://schemas.openxmlformats.org/officeDocument/2006/relationships/hyperlink" Target="https://www.mercadolibre.com.ar/reporting/activity/detail?id=51073486283" TargetMode="External"/><Relationship Id="rId1" Type="http://schemas.openxmlformats.org/officeDocument/2006/relationships/hyperlink" Target="https://www.mercadolibre.com.ar/reporting/activity/detail?id=51177628289" TargetMode="External"/><Relationship Id="rId233" Type="http://schemas.openxmlformats.org/officeDocument/2006/relationships/hyperlink" Target="https://www.mercadolibre.com.ar/reporting/activity/detail?id=51486492507" TargetMode="External"/><Relationship Id="rId440" Type="http://schemas.openxmlformats.org/officeDocument/2006/relationships/hyperlink" Target="https://www.mercadolibre.com.ar/reporting/activity/detail?id=51781055596" TargetMode="External"/><Relationship Id="rId678" Type="http://schemas.openxmlformats.org/officeDocument/2006/relationships/hyperlink" Target="https://www.mercadolibre.com.ar/reporting/activity/detail?id=52053912403" TargetMode="External"/><Relationship Id="rId885" Type="http://schemas.openxmlformats.org/officeDocument/2006/relationships/hyperlink" Target="https://www.mercadolibre.com.ar/reporting/activity/detail?id=52228316037" TargetMode="External"/><Relationship Id="rId1070" Type="http://schemas.openxmlformats.org/officeDocument/2006/relationships/hyperlink" Target="https://www.mercadolibre.com.ar/reporting/activity/detail?id=52468034137" TargetMode="External"/><Relationship Id="rId28" Type="http://schemas.openxmlformats.org/officeDocument/2006/relationships/hyperlink" Target="https://www.mercadolibre.com.ar/reporting/activity/detail?id=51179970765" TargetMode="External"/><Relationship Id="rId300" Type="http://schemas.openxmlformats.org/officeDocument/2006/relationships/hyperlink" Target="https://www.mercadolibre.com.ar/reporting/activity/detail?id=51530575232" TargetMode="External"/><Relationship Id="rId538" Type="http://schemas.openxmlformats.org/officeDocument/2006/relationships/hyperlink" Target="https://www.mercadolibre.com.ar/reporting/activity/detail?id=51836419604" TargetMode="External"/><Relationship Id="rId745" Type="http://schemas.openxmlformats.org/officeDocument/2006/relationships/hyperlink" Target="https://www.mercadolibre.com.ar/reporting/activity/detail?id=52101818731" TargetMode="External"/><Relationship Id="rId952" Type="http://schemas.openxmlformats.org/officeDocument/2006/relationships/hyperlink" Target="https://www.mercadolibre.com.ar/reporting/activity/detail?id=52412875245" TargetMode="External"/><Relationship Id="rId1168" Type="http://schemas.openxmlformats.org/officeDocument/2006/relationships/hyperlink" Target="https://www.mercadolibre.com.ar/reporting/activity/detail?id=52552873948" TargetMode="External"/><Relationship Id="rId1375" Type="http://schemas.openxmlformats.org/officeDocument/2006/relationships/hyperlink" Target="https://www.mercadolibre.com.ar/reporting/activity/detail?id=51174461923" TargetMode="External"/><Relationship Id="rId81" Type="http://schemas.openxmlformats.org/officeDocument/2006/relationships/hyperlink" Target="https://www.mercadolibre.com.ar/reporting/activity/detail?id=51376394129" TargetMode="External"/><Relationship Id="rId177" Type="http://schemas.openxmlformats.org/officeDocument/2006/relationships/hyperlink" Target="https://www.mercadolibre.com.ar/reporting/activity/detail?id=51437713442" TargetMode="External"/><Relationship Id="rId384" Type="http://schemas.openxmlformats.org/officeDocument/2006/relationships/hyperlink" Target="https://www.mercadolibre.com.ar/reporting/activity/detail?id=51539706757" TargetMode="External"/><Relationship Id="rId591" Type="http://schemas.openxmlformats.org/officeDocument/2006/relationships/hyperlink" Target="https://www.mercadolibre.com.ar/reporting/activity/detail?id=51885563261" TargetMode="External"/><Relationship Id="rId605" Type="http://schemas.openxmlformats.org/officeDocument/2006/relationships/hyperlink" Target="https://www.mercadolibre.com.ar/reporting/activity/detail?id=51886416787" TargetMode="External"/><Relationship Id="rId812" Type="http://schemas.openxmlformats.org/officeDocument/2006/relationships/hyperlink" Target="https://www.mercadolibre.com.ar/reporting/activity/detail?id=52144349887" TargetMode="External"/><Relationship Id="rId1028" Type="http://schemas.openxmlformats.org/officeDocument/2006/relationships/hyperlink" Target="https://www.mercadolibre.com.ar/reporting/activity/detail?id=52454817738" TargetMode="External"/><Relationship Id="rId1235" Type="http://schemas.openxmlformats.org/officeDocument/2006/relationships/hyperlink" Target="https://www.mercadolibre.com.ar/reporting/activity/detail?id=51074929612" TargetMode="External"/><Relationship Id="rId244" Type="http://schemas.openxmlformats.org/officeDocument/2006/relationships/hyperlink" Target="https://www.mercadolibre.com.ar/reporting/activity/detail?id=51487746360" TargetMode="External"/><Relationship Id="rId689" Type="http://schemas.openxmlformats.org/officeDocument/2006/relationships/hyperlink" Target="https://www.mercadolibre.com.ar/reporting/activity/detail?id=52056473673" TargetMode="External"/><Relationship Id="rId896" Type="http://schemas.openxmlformats.org/officeDocument/2006/relationships/hyperlink" Target="https://www.mercadolibre.com.ar/reporting/activity/detail?id=52229847857" TargetMode="External"/><Relationship Id="rId1081" Type="http://schemas.openxmlformats.org/officeDocument/2006/relationships/hyperlink" Target="https://www.mercadolibre.com.ar/reporting/activity/detail?id=52507568439" TargetMode="External"/><Relationship Id="rId1302" Type="http://schemas.openxmlformats.org/officeDocument/2006/relationships/hyperlink" Target="https://www.mercadolibre.com.ar/reporting/activity/detail?id=51123658020" TargetMode="External"/><Relationship Id="rId39" Type="http://schemas.openxmlformats.org/officeDocument/2006/relationships/hyperlink" Target="https://www.mercadolibre.com.ar/reporting/activity/detail?id=51180357615" TargetMode="External"/><Relationship Id="rId451" Type="http://schemas.openxmlformats.org/officeDocument/2006/relationships/hyperlink" Target="https://www.mercadolibre.com.ar/reporting/activity/detail?id=51785016924" TargetMode="External"/><Relationship Id="rId549" Type="http://schemas.openxmlformats.org/officeDocument/2006/relationships/hyperlink" Target="https://www.mercadolibre.com.ar/reporting/activity/detail?id=51840238973" TargetMode="External"/><Relationship Id="rId756" Type="http://schemas.openxmlformats.org/officeDocument/2006/relationships/hyperlink" Target="https://www.mercadolibre.com.ar/reporting/activity/detail?id=52102496655" TargetMode="External"/><Relationship Id="rId1179" Type="http://schemas.openxmlformats.org/officeDocument/2006/relationships/hyperlink" Target="https://www.mercadolibre.com.ar/reporting/activity/detail?id=52558006535" TargetMode="External"/><Relationship Id="rId1386" Type="http://schemas.openxmlformats.org/officeDocument/2006/relationships/hyperlink" Target="https://www.mercadolibre.com.ar/reporting/activity/detail?id=51176679097" TargetMode="External"/><Relationship Id="rId104" Type="http://schemas.openxmlformats.org/officeDocument/2006/relationships/hyperlink" Target="https://www.mercadolibre.com.ar/reporting/activity/detail?id=51382044375" TargetMode="External"/><Relationship Id="rId188" Type="http://schemas.openxmlformats.org/officeDocument/2006/relationships/hyperlink" Target="https://www.mercadolibre.com.ar/reporting/activity/detail?id=51438141642" TargetMode="External"/><Relationship Id="rId311" Type="http://schemas.openxmlformats.org/officeDocument/2006/relationships/hyperlink" Target="https://www.mercadolibre.com.ar/reporting/activity/detail?id=51532171630" TargetMode="External"/><Relationship Id="rId395" Type="http://schemas.openxmlformats.org/officeDocument/2006/relationships/hyperlink" Target="https://www.mercadolibre.com.ar/reporting/activity/detail?id=51540346833" TargetMode="External"/><Relationship Id="rId409" Type="http://schemas.openxmlformats.org/officeDocument/2006/relationships/hyperlink" Target="https://www.mercadolibre.com.ar/reporting/activity/detail?id=51576960136" TargetMode="External"/><Relationship Id="rId963" Type="http://schemas.openxmlformats.org/officeDocument/2006/relationships/hyperlink" Target="https://www.mercadolibre.com.ar/reporting/activity/detail?id=52413512451" TargetMode="External"/><Relationship Id="rId1039" Type="http://schemas.openxmlformats.org/officeDocument/2006/relationships/hyperlink" Target="https://www.mercadolibre.com.ar/reporting/activity/detail?id=52460185998" TargetMode="External"/><Relationship Id="rId1246" Type="http://schemas.openxmlformats.org/officeDocument/2006/relationships/hyperlink" Target="https://www.mercadolibre.com.ar/reporting/activity/detail?id=51075722797" TargetMode="External"/><Relationship Id="rId92" Type="http://schemas.openxmlformats.org/officeDocument/2006/relationships/hyperlink" Target="https://www.mercadolibre.com.ar/reporting/activity/detail?id=51378631337" TargetMode="External"/><Relationship Id="rId616" Type="http://schemas.openxmlformats.org/officeDocument/2006/relationships/hyperlink" Target="https://www.mercadolibre.com.ar/reporting/activity/detail?id=51887604499" TargetMode="External"/><Relationship Id="rId823" Type="http://schemas.openxmlformats.org/officeDocument/2006/relationships/hyperlink" Target="https://www.mercadolibre.com.ar/reporting/activity/detail?id=52148988781" TargetMode="External"/><Relationship Id="rId255" Type="http://schemas.openxmlformats.org/officeDocument/2006/relationships/hyperlink" Target="https://www.mercadolibre.com.ar/reporting/activity/detail?id=51489032908" TargetMode="External"/><Relationship Id="rId462" Type="http://schemas.openxmlformats.org/officeDocument/2006/relationships/hyperlink" Target="https://www.mercadolibre.com.ar/reporting/activity/detail?id=51786574397" TargetMode="External"/><Relationship Id="rId1092" Type="http://schemas.openxmlformats.org/officeDocument/2006/relationships/hyperlink" Target="https://www.mercadolibre.com.ar/reporting/activity/detail?id=52511836129" TargetMode="External"/><Relationship Id="rId1106" Type="http://schemas.openxmlformats.org/officeDocument/2006/relationships/hyperlink" Target="https://www.mercadolibre.com.ar/reporting/activity/detail?id=52514012804" TargetMode="External"/><Relationship Id="rId1313" Type="http://schemas.openxmlformats.org/officeDocument/2006/relationships/hyperlink" Target="https://www.mercadolibre.com.ar/reporting/activity/detail?id=51126836071" TargetMode="External"/><Relationship Id="rId1397" Type="http://schemas.openxmlformats.org/officeDocument/2006/relationships/hyperlink" Target="https://www.mercadolibre.com.ar/reporting/activity/detail?id=51177515427" TargetMode="External"/><Relationship Id="rId115" Type="http://schemas.openxmlformats.org/officeDocument/2006/relationships/hyperlink" Target="https://www.mercadolibre.com.ar/reporting/activity/detail?id=51428862295" TargetMode="External"/><Relationship Id="rId322" Type="http://schemas.openxmlformats.org/officeDocument/2006/relationships/hyperlink" Target="https://www.mercadolibre.com.ar/reporting/activity/detail?id=51534703753" TargetMode="External"/><Relationship Id="rId767" Type="http://schemas.openxmlformats.org/officeDocument/2006/relationships/hyperlink" Target="https://www.mercadolibre.com.ar/reporting/activity/detail?id=52102933735" TargetMode="External"/><Relationship Id="rId974" Type="http://schemas.openxmlformats.org/officeDocument/2006/relationships/hyperlink" Target="https://www.mercadolibre.com.ar/reporting/activity/detail?id=52414325900" TargetMode="External"/><Relationship Id="rId199" Type="http://schemas.openxmlformats.org/officeDocument/2006/relationships/hyperlink" Target="https://www.mercadolibre.com.ar/reporting/activity/detail?id=51438959330" TargetMode="External"/><Relationship Id="rId627" Type="http://schemas.openxmlformats.org/officeDocument/2006/relationships/hyperlink" Target="https://www.mercadolibre.com.ar/reporting/activity/detail?id=51888278815" TargetMode="External"/><Relationship Id="rId834" Type="http://schemas.openxmlformats.org/officeDocument/2006/relationships/hyperlink" Target="https://www.mercadolibre.com.ar/reporting/activity/detail?id=52185109416" TargetMode="External"/><Relationship Id="rId1257" Type="http://schemas.openxmlformats.org/officeDocument/2006/relationships/hyperlink" Target="https://www.mercadolibre.com.ar/reporting/activity/detail?id=51076504649" TargetMode="External"/><Relationship Id="rId266" Type="http://schemas.openxmlformats.org/officeDocument/2006/relationships/hyperlink" Target="https://www.mercadolibre.com.ar/reporting/activity/detail?id=51489997149" TargetMode="External"/><Relationship Id="rId473" Type="http://schemas.openxmlformats.org/officeDocument/2006/relationships/hyperlink" Target="https://www.mercadolibre.com.ar/reporting/activity/detail?id=51787768675" TargetMode="External"/><Relationship Id="rId680" Type="http://schemas.openxmlformats.org/officeDocument/2006/relationships/hyperlink" Target="https://www.mercadolibre.com.ar/reporting/activity/detail?id=52054563956" TargetMode="External"/><Relationship Id="rId901" Type="http://schemas.openxmlformats.org/officeDocument/2006/relationships/hyperlink" Target="https://www.mercadolibre.com.ar/reporting/activity/detail?id=52230138759" TargetMode="External"/><Relationship Id="rId1117" Type="http://schemas.openxmlformats.org/officeDocument/2006/relationships/hyperlink" Target="https://www.mercadolibre.com.ar/reporting/activity/detail?id=52514962649" TargetMode="External"/><Relationship Id="rId1324" Type="http://schemas.openxmlformats.org/officeDocument/2006/relationships/hyperlink" Target="https://www.mercadolibre.com.ar/reporting/activity/detail?id=51127652000" TargetMode="External"/><Relationship Id="rId30" Type="http://schemas.openxmlformats.org/officeDocument/2006/relationships/hyperlink" Target="https://www.mercadolibre.com.ar/reporting/activity/detail?id=51179999925" TargetMode="External"/><Relationship Id="rId126" Type="http://schemas.openxmlformats.org/officeDocument/2006/relationships/hyperlink" Target="https://www.mercadolibre.com.ar/reporting/activity/detail?id=51430846471" TargetMode="External"/><Relationship Id="rId333" Type="http://schemas.openxmlformats.org/officeDocument/2006/relationships/hyperlink" Target="https://www.mercadolibre.com.ar/reporting/activity/detail?id=51535949918" TargetMode="External"/><Relationship Id="rId540" Type="http://schemas.openxmlformats.org/officeDocument/2006/relationships/hyperlink" Target="https://www.mercadolibre.com.ar/reporting/activity/detail?id=51836896219" TargetMode="External"/><Relationship Id="rId778" Type="http://schemas.openxmlformats.org/officeDocument/2006/relationships/hyperlink" Target="https://www.mercadolibre.com.ar/reporting/activity/detail?id=52103326295" TargetMode="External"/><Relationship Id="rId985" Type="http://schemas.openxmlformats.org/officeDocument/2006/relationships/hyperlink" Target="https://www.mercadolibre.com.ar/reporting/activity/detail?id=52414995547" TargetMode="External"/><Relationship Id="rId1170" Type="http://schemas.openxmlformats.org/officeDocument/2006/relationships/hyperlink" Target="https://www.mercadolibre.com.ar/reporting/activity/detail?id=52553247605" TargetMode="External"/><Relationship Id="rId638" Type="http://schemas.openxmlformats.org/officeDocument/2006/relationships/hyperlink" Target="https://www.mercadolibre.com.ar/reporting/activity/detail?id=51916066582" TargetMode="External"/><Relationship Id="rId845" Type="http://schemas.openxmlformats.org/officeDocument/2006/relationships/hyperlink" Target="https://www.mercadolibre.com.ar/reporting/activity/detail?id=52188413204" TargetMode="External"/><Relationship Id="rId1030" Type="http://schemas.openxmlformats.org/officeDocument/2006/relationships/hyperlink" Target="https://www.mercadolibre.com.ar/reporting/activity/detail?id=52456458726" TargetMode="External"/><Relationship Id="rId1268" Type="http://schemas.openxmlformats.org/officeDocument/2006/relationships/hyperlink" Target="https://www.mercadolibre.com.ar/reporting/activity/detail?id=51077288637" TargetMode="External"/><Relationship Id="rId277" Type="http://schemas.openxmlformats.org/officeDocument/2006/relationships/hyperlink" Target="https://www.mercadolibre.com.ar/reporting/activity/detail?id=51491083989" TargetMode="External"/><Relationship Id="rId400" Type="http://schemas.openxmlformats.org/officeDocument/2006/relationships/hyperlink" Target="https://www.mercadolibre.com.ar/reporting/activity/detail?id=51570981168" TargetMode="External"/><Relationship Id="rId484" Type="http://schemas.openxmlformats.org/officeDocument/2006/relationships/hyperlink" Target="https://www.mercadolibre.com.ar/reporting/activity/detail?id=51788820290" TargetMode="External"/><Relationship Id="rId705" Type="http://schemas.openxmlformats.org/officeDocument/2006/relationships/hyperlink" Target="https://www.mercadolibre.com.ar/reporting/activity/detail?id=52097012905" TargetMode="External"/><Relationship Id="rId1128" Type="http://schemas.openxmlformats.org/officeDocument/2006/relationships/hyperlink" Target="https://www.mercadolibre.com.ar/reporting/activity/detail?id=52515838704" TargetMode="External"/><Relationship Id="rId1335" Type="http://schemas.openxmlformats.org/officeDocument/2006/relationships/hyperlink" Target="https://www.mercadolibre.com.ar/reporting/activity/detail?id=51128870602" TargetMode="External"/><Relationship Id="rId137" Type="http://schemas.openxmlformats.org/officeDocument/2006/relationships/hyperlink" Target="https://www.mercadolibre.com.ar/reporting/activity/detail?id=51432555082" TargetMode="External"/><Relationship Id="rId344" Type="http://schemas.openxmlformats.org/officeDocument/2006/relationships/hyperlink" Target="https://www.mercadolibre.com.ar/reporting/activity/detail?id=51537199868" TargetMode="External"/><Relationship Id="rId691" Type="http://schemas.openxmlformats.org/officeDocument/2006/relationships/hyperlink" Target="https://www.mercadolibre.com.ar/reporting/activity/detail?id=52056537108" TargetMode="External"/><Relationship Id="rId789" Type="http://schemas.openxmlformats.org/officeDocument/2006/relationships/hyperlink" Target="https://www.mercadolibre.com.ar/reporting/activity/detail?id=52103734816" TargetMode="External"/><Relationship Id="rId912" Type="http://schemas.openxmlformats.org/officeDocument/2006/relationships/hyperlink" Target="https://www.mercadolibre.com.ar/reporting/activity/detail?id=52360829999" TargetMode="External"/><Relationship Id="rId996" Type="http://schemas.openxmlformats.org/officeDocument/2006/relationships/hyperlink" Target="https://www.mercadolibre.com.ar/reporting/activity/detail?id=52415743969" TargetMode="External"/><Relationship Id="rId41" Type="http://schemas.openxmlformats.org/officeDocument/2006/relationships/hyperlink" Target="https://www.mercadolibre.com.ar/reporting/activity/detail?id=51180437512" TargetMode="External"/><Relationship Id="rId551" Type="http://schemas.openxmlformats.org/officeDocument/2006/relationships/hyperlink" Target="https://www.mercadolibre.com.ar/reporting/activity/detail?id=51840850446" TargetMode="External"/><Relationship Id="rId649" Type="http://schemas.openxmlformats.org/officeDocument/2006/relationships/hyperlink" Target="https://www.mercadolibre.com.ar/reporting/activity/detail?id=51920256140" TargetMode="External"/><Relationship Id="rId856" Type="http://schemas.openxmlformats.org/officeDocument/2006/relationships/hyperlink" Target="https://www.mercadolibre.com.ar/reporting/activity/detail?id=52191712105" TargetMode="External"/><Relationship Id="rId1181" Type="http://schemas.openxmlformats.org/officeDocument/2006/relationships/hyperlink" Target="https://www.mercadolibre.com.ar/reporting/activity/detail?id=51018944973" TargetMode="External"/><Relationship Id="rId1279" Type="http://schemas.openxmlformats.org/officeDocument/2006/relationships/hyperlink" Target="https://www.mercadolibre.com.ar/reporting/activity/detail?id=51077969805" TargetMode="External"/><Relationship Id="rId190" Type="http://schemas.openxmlformats.org/officeDocument/2006/relationships/hyperlink" Target="https://www.mercadolibre.com.ar/reporting/activity/detail?id=51438187477" TargetMode="External"/><Relationship Id="rId204" Type="http://schemas.openxmlformats.org/officeDocument/2006/relationships/hyperlink" Target="https://www.mercadolibre.com.ar/reporting/activity/detail?id=51474602484" TargetMode="External"/><Relationship Id="rId288" Type="http://schemas.openxmlformats.org/officeDocument/2006/relationships/hyperlink" Target="https://www.mercadolibre.com.ar/reporting/activity/detail?id=51492206593" TargetMode="External"/><Relationship Id="rId411" Type="http://schemas.openxmlformats.org/officeDocument/2006/relationships/hyperlink" Target="https://www.mercadolibre.com.ar/reporting/activity/detail?id=51577273584" TargetMode="External"/><Relationship Id="rId509" Type="http://schemas.openxmlformats.org/officeDocument/2006/relationships/hyperlink" Target="https://www.mercadolibre.com.ar/reporting/activity/detail?id=51790705516" TargetMode="External"/><Relationship Id="rId1041" Type="http://schemas.openxmlformats.org/officeDocument/2006/relationships/hyperlink" Target="https://www.mercadolibre.com.ar/reporting/activity/detail?id=52460359235" TargetMode="External"/><Relationship Id="rId1139" Type="http://schemas.openxmlformats.org/officeDocument/2006/relationships/hyperlink" Target="https://www.mercadolibre.com.ar/reporting/activity/detail?id=52516614559" TargetMode="External"/><Relationship Id="rId1346" Type="http://schemas.openxmlformats.org/officeDocument/2006/relationships/hyperlink" Target="https://www.mercadolibre.com.ar/reporting/activity/detail?id=51130636170" TargetMode="External"/><Relationship Id="rId495" Type="http://schemas.openxmlformats.org/officeDocument/2006/relationships/hyperlink" Target="https://www.mercadolibre.com.ar/reporting/activity/detail?id=51789932576" TargetMode="External"/><Relationship Id="rId716" Type="http://schemas.openxmlformats.org/officeDocument/2006/relationships/hyperlink" Target="https://www.mercadolibre.com.ar/reporting/activity/detail?id=52098332681" TargetMode="External"/><Relationship Id="rId923" Type="http://schemas.openxmlformats.org/officeDocument/2006/relationships/hyperlink" Target="https://www.mercadolibre.com.ar/reporting/activity/detail?id=52367854630" TargetMode="External"/><Relationship Id="rId52" Type="http://schemas.openxmlformats.org/officeDocument/2006/relationships/hyperlink" Target="https://www.mercadolibre.com.ar/reporting/activity/detail?id=51213996868" TargetMode="External"/><Relationship Id="rId148" Type="http://schemas.openxmlformats.org/officeDocument/2006/relationships/hyperlink" Target="https://www.mercadolibre.com.ar/reporting/activity/detail?id=51433816163" TargetMode="External"/><Relationship Id="rId355" Type="http://schemas.openxmlformats.org/officeDocument/2006/relationships/hyperlink" Target="https://www.mercadolibre.com.ar/reporting/activity/detail?id=51537563049" TargetMode="External"/><Relationship Id="rId562" Type="http://schemas.openxmlformats.org/officeDocument/2006/relationships/hyperlink" Target="https://www.mercadolibre.com.ar/reporting/activity/detail?id=51881520465" TargetMode="External"/><Relationship Id="rId1192" Type="http://schemas.openxmlformats.org/officeDocument/2006/relationships/hyperlink" Target="https://www.mercadolibre.com.ar/reporting/activity/detail?id=51024212327" TargetMode="External"/><Relationship Id="rId1206" Type="http://schemas.openxmlformats.org/officeDocument/2006/relationships/hyperlink" Target="https://www.mercadolibre.com.ar/reporting/activity/detail?id=51070698024" TargetMode="External"/><Relationship Id="rId215" Type="http://schemas.openxmlformats.org/officeDocument/2006/relationships/hyperlink" Target="https://www.mercadolibre.com.ar/reporting/activity/detail?id=51482659896" TargetMode="External"/><Relationship Id="rId422" Type="http://schemas.openxmlformats.org/officeDocument/2006/relationships/hyperlink" Target="https://www.mercadolibre.com.ar/reporting/activity/detail?id=51725789678" TargetMode="External"/><Relationship Id="rId867" Type="http://schemas.openxmlformats.org/officeDocument/2006/relationships/hyperlink" Target="https://www.mercadolibre.com.ar/reporting/activity/detail?id=52192972952" TargetMode="External"/><Relationship Id="rId1052" Type="http://schemas.openxmlformats.org/officeDocument/2006/relationships/hyperlink" Target="https://www.mercadolibre.com.ar/reporting/activity/detail?id=52463399261" TargetMode="External"/><Relationship Id="rId299" Type="http://schemas.openxmlformats.org/officeDocument/2006/relationships/hyperlink" Target="https://www.mercadolibre.com.ar/reporting/activity/detail?id=51530302492" TargetMode="External"/><Relationship Id="rId727" Type="http://schemas.openxmlformats.org/officeDocument/2006/relationships/hyperlink" Target="https://www.mercadolibre.com.ar/reporting/activity/detail?id=52099730961" TargetMode="External"/><Relationship Id="rId934" Type="http://schemas.openxmlformats.org/officeDocument/2006/relationships/hyperlink" Target="https://www.mercadolibre.com.ar/reporting/activity/detail?id=52410730864" TargetMode="External"/><Relationship Id="rId1357" Type="http://schemas.openxmlformats.org/officeDocument/2006/relationships/hyperlink" Target="https://www.mercadolibre.com.ar/reporting/activity/detail?id=51168475299" TargetMode="External"/><Relationship Id="rId63" Type="http://schemas.openxmlformats.org/officeDocument/2006/relationships/hyperlink" Target="https://www.mercadolibre.com.ar/reporting/activity/detail?id=51216790759" TargetMode="External"/><Relationship Id="rId159" Type="http://schemas.openxmlformats.org/officeDocument/2006/relationships/hyperlink" Target="https://www.mercadolibre.com.ar/reporting/activity/detail?id=51435878473" TargetMode="External"/><Relationship Id="rId366" Type="http://schemas.openxmlformats.org/officeDocument/2006/relationships/hyperlink" Target="https://www.mercadolibre.com.ar/reporting/activity/detail?id=51538293143" TargetMode="External"/><Relationship Id="rId573" Type="http://schemas.openxmlformats.org/officeDocument/2006/relationships/hyperlink" Target="https://www.mercadolibre.com.ar/reporting/activity/detail?id=51883790771" TargetMode="External"/><Relationship Id="rId780" Type="http://schemas.openxmlformats.org/officeDocument/2006/relationships/hyperlink" Target="https://www.mercadolibre.com.ar/reporting/activity/detail?id=52103534343" TargetMode="External"/><Relationship Id="rId1217" Type="http://schemas.openxmlformats.org/officeDocument/2006/relationships/hyperlink" Target="https://www.mercadolibre.com.ar/reporting/activity/detail?id=51072586350" TargetMode="External"/><Relationship Id="rId226" Type="http://schemas.openxmlformats.org/officeDocument/2006/relationships/hyperlink" Target="https://www.mercadolibre.com.ar/reporting/activity/detail?id=51485973058" TargetMode="External"/><Relationship Id="rId433" Type="http://schemas.openxmlformats.org/officeDocument/2006/relationships/hyperlink" Target="https://www.mercadolibre.com.ar/reporting/activity/detail?id=51731414122" TargetMode="External"/><Relationship Id="rId878" Type="http://schemas.openxmlformats.org/officeDocument/2006/relationships/hyperlink" Target="https://www.mercadolibre.com.ar/reporting/activity/detail?id=52226616449" TargetMode="External"/><Relationship Id="rId1063" Type="http://schemas.openxmlformats.org/officeDocument/2006/relationships/hyperlink" Target="https://www.mercadolibre.com.ar/reporting/activity/detail?id=52466617692" TargetMode="External"/><Relationship Id="rId1270" Type="http://schemas.openxmlformats.org/officeDocument/2006/relationships/hyperlink" Target="https://www.mercadolibre.com.ar/reporting/activity/detail?id=51077435770" TargetMode="External"/><Relationship Id="rId640" Type="http://schemas.openxmlformats.org/officeDocument/2006/relationships/hyperlink" Target="https://www.mercadolibre.com.ar/reporting/activity/detail?id=51918172800" TargetMode="External"/><Relationship Id="rId738" Type="http://schemas.openxmlformats.org/officeDocument/2006/relationships/hyperlink" Target="https://www.mercadolibre.com.ar/reporting/activity/detail?id=52100793939" TargetMode="External"/><Relationship Id="rId945" Type="http://schemas.openxmlformats.org/officeDocument/2006/relationships/hyperlink" Target="https://www.mercadolibre.com.ar/reporting/activity/detail?id=52412297046" TargetMode="External"/><Relationship Id="rId1368" Type="http://schemas.openxmlformats.org/officeDocument/2006/relationships/hyperlink" Target="https://www.mercadolibre.com.ar/reporting/activity/detail?id=51173532611" TargetMode="External"/><Relationship Id="rId74" Type="http://schemas.openxmlformats.org/officeDocument/2006/relationships/hyperlink" Target="https://www.mercadolibre.com.ar/reporting/activity/detail?id=51371402293" TargetMode="External"/><Relationship Id="rId377" Type="http://schemas.openxmlformats.org/officeDocument/2006/relationships/hyperlink" Target="https://www.mercadolibre.com.ar/reporting/activity/detail?id=51539028135" TargetMode="External"/><Relationship Id="rId500" Type="http://schemas.openxmlformats.org/officeDocument/2006/relationships/hyperlink" Target="https://www.mercadolibre.com.ar/reporting/activity/detail?id=51790477724" TargetMode="External"/><Relationship Id="rId584" Type="http://schemas.openxmlformats.org/officeDocument/2006/relationships/hyperlink" Target="https://www.mercadolibre.com.ar/reporting/activity/detail?id=51885112471" TargetMode="External"/><Relationship Id="rId805" Type="http://schemas.openxmlformats.org/officeDocument/2006/relationships/hyperlink" Target="https://www.mercadolibre.com.ar/reporting/activity/detail?id=52104361036" TargetMode="External"/><Relationship Id="rId1130" Type="http://schemas.openxmlformats.org/officeDocument/2006/relationships/hyperlink" Target="https://www.mercadolibre.com.ar/reporting/activity/detail?id=52515933108" TargetMode="External"/><Relationship Id="rId1228" Type="http://schemas.openxmlformats.org/officeDocument/2006/relationships/hyperlink" Target="https://www.mercadolibre.com.ar/reporting/activity/detail?id=51074051714" TargetMode="External"/><Relationship Id="rId5" Type="http://schemas.openxmlformats.org/officeDocument/2006/relationships/hyperlink" Target="https://www.mercadolibre.com.ar/reporting/activity/detail?id=51178008135" TargetMode="External"/><Relationship Id="rId237" Type="http://schemas.openxmlformats.org/officeDocument/2006/relationships/hyperlink" Target="https://www.mercadolibre.com.ar/reporting/activity/detail?id=51487378653" TargetMode="External"/><Relationship Id="rId791" Type="http://schemas.openxmlformats.org/officeDocument/2006/relationships/hyperlink" Target="https://www.mercadolibre.com.ar/reporting/activity/detail?id=52103897689" TargetMode="External"/><Relationship Id="rId889" Type="http://schemas.openxmlformats.org/officeDocument/2006/relationships/hyperlink" Target="https://www.mercadolibre.com.ar/reporting/activity/detail?id=52228840018" TargetMode="External"/><Relationship Id="rId1074" Type="http://schemas.openxmlformats.org/officeDocument/2006/relationships/hyperlink" Target="https://www.mercadolibre.com.ar/reporting/activity/detail?id=52468523409" TargetMode="External"/><Relationship Id="rId444" Type="http://schemas.openxmlformats.org/officeDocument/2006/relationships/hyperlink" Target="https://www.mercadolibre.com.ar/reporting/activity/detail?id=51782728481" TargetMode="External"/><Relationship Id="rId651" Type="http://schemas.openxmlformats.org/officeDocument/2006/relationships/hyperlink" Target="https://www.mercadolibre.com.ar/reporting/activity/detail?id=51920764247" TargetMode="External"/><Relationship Id="rId749" Type="http://schemas.openxmlformats.org/officeDocument/2006/relationships/hyperlink" Target="https://www.mercadolibre.com.ar/reporting/activity/detail?id=52102115064" TargetMode="External"/><Relationship Id="rId1281" Type="http://schemas.openxmlformats.org/officeDocument/2006/relationships/hyperlink" Target="https://www.mercadolibre.com.ar/reporting/activity/detail?id=51078123640" TargetMode="External"/><Relationship Id="rId1379" Type="http://schemas.openxmlformats.org/officeDocument/2006/relationships/hyperlink" Target="https://www.mercadolibre.com.ar/reporting/activity/detail?id=51174886542" TargetMode="External"/><Relationship Id="rId290" Type="http://schemas.openxmlformats.org/officeDocument/2006/relationships/hyperlink" Target="https://www.mercadolibre.com.ar/reporting/activity/detail?id=51492317217" TargetMode="External"/><Relationship Id="rId304" Type="http://schemas.openxmlformats.org/officeDocument/2006/relationships/hyperlink" Target="https://www.mercadolibre.com.ar/reporting/activity/detail?id=51531389710" TargetMode="External"/><Relationship Id="rId388" Type="http://schemas.openxmlformats.org/officeDocument/2006/relationships/hyperlink" Target="https://www.mercadolibre.com.ar/reporting/activity/detail?id=51540059726" TargetMode="External"/><Relationship Id="rId511" Type="http://schemas.openxmlformats.org/officeDocument/2006/relationships/hyperlink" Target="https://www.mercadolibre.com.ar/reporting/activity/detail?id=51790828607" TargetMode="External"/><Relationship Id="rId609" Type="http://schemas.openxmlformats.org/officeDocument/2006/relationships/hyperlink" Target="https://www.mercadolibre.com.ar/reporting/activity/detail?id=51886773611" TargetMode="External"/><Relationship Id="rId956" Type="http://schemas.openxmlformats.org/officeDocument/2006/relationships/hyperlink" Target="https://www.mercadolibre.com.ar/reporting/activity/detail?id=52412983590" TargetMode="External"/><Relationship Id="rId1141" Type="http://schemas.openxmlformats.org/officeDocument/2006/relationships/hyperlink" Target="https://www.mercadolibre.com.ar/reporting/activity/detail?id=52516692121" TargetMode="External"/><Relationship Id="rId1239" Type="http://schemas.openxmlformats.org/officeDocument/2006/relationships/hyperlink" Target="https://www.mercadolibre.com.ar/reporting/activity/detail?id=51075232500" TargetMode="External"/><Relationship Id="rId85" Type="http://schemas.openxmlformats.org/officeDocument/2006/relationships/hyperlink" Target="https://www.mercadolibre.com.ar/reporting/activity/detail?id=51377018929" TargetMode="External"/><Relationship Id="rId150" Type="http://schemas.openxmlformats.org/officeDocument/2006/relationships/hyperlink" Target="https://www.mercadolibre.com.ar/reporting/activity/detail?id=51433858869" TargetMode="External"/><Relationship Id="rId595" Type="http://schemas.openxmlformats.org/officeDocument/2006/relationships/hyperlink" Target="https://www.mercadolibre.com.ar/reporting/activity/detail?id=51885738282" TargetMode="External"/><Relationship Id="rId816" Type="http://schemas.openxmlformats.org/officeDocument/2006/relationships/hyperlink" Target="https://www.mercadolibre.com.ar/reporting/activity/detail?id=52145490389" TargetMode="External"/><Relationship Id="rId1001" Type="http://schemas.openxmlformats.org/officeDocument/2006/relationships/hyperlink" Target="https://www.mercadolibre.com.ar/reporting/activity/detail?id=52415899146" TargetMode="External"/><Relationship Id="rId248" Type="http://schemas.openxmlformats.org/officeDocument/2006/relationships/hyperlink" Target="https://www.mercadolibre.com.ar/reporting/activity/detail?id=51488563989" TargetMode="External"/><Relationship Id="rId455" Type="http://schemas.openxmlformats.org/officeDocument/2006/relationships/hyperlink" Target="https://www.mercadolibre.com.ar/reporting/activity/detail?id=51785302819" TargetMode="External"/><Relationship Id="rId662" Type="http://schemas.openxmlformats.org/officeDocument/2006/relationships/hyperlink" Target="https://www.mercadolibre.com.ar/reporting/activity/detail?id=51924174800" TargetMode="External"/><Relationship Id="rId1085" Type="http://schemas.openxmlformats.org/officeDocument/2006/relationships/hyperlink" Target="https://www.mercadolibre.com.ar/reporting/activity/detail?id=52509430891" TargetMode="External"/><Relationship Id="rId1292" Type="http://schemas.openxmlformats.org/officeDocument/2006/relationships/hyperlink" Target="https://www.mercadolibre.com.ar/reporting/activity/detail?id=51119504805" TargetMode="External"/><Relationship Id="rId1306" Type="http://schemas.openxmlformats.org/officeDocument/2006/relationships/hyperlink" Target="https://www.mercadolibre.com.ar/reporting/activity/detail?id=51124939066" TargetMode="External"/><Relationship Id="rId12" Type="http://schemas.openxmlformats.org/officeDocument/2006/relationships/hyperlink" Target="https://www.mercadolibre.com.ar/reporting/activity/detail?id=51178673200" TargetMode="External"/><Relationship Id="rId108" Type="http://schemas.openxmlformats.org/officeDocument/2006/relationships/hyperlink" Target="https://www.mercadolibre.com.ar/reporting/activity/detail?id=51383215595" TargetMode="External"/><Relationship Id="rId315" Type="http://schemas.openxmlformats.org/officeDocument/2006/relationships/hyperlink" Target="https://www.mercadolibre.com.ar/reporting/activity/detail?id=51532919445" TargetMode="External"/><Relationship Id="rId522" Type="http://schemas.openxmlformats.org/officeDocument/2006/relationships/hyperlink" Target="https://www.mercadolibre.com.ar/reporting/activity/detail?id=51829205660" TargetMode="External"/><Relationship Id="rId967" Type="http://schemas.openxmlformats.org/officeDocument/2006/relationships/hyperlink" Target="https://www.mercadolibre.com.ar/reporting/activity/detail?id=52413756487" TargetMode="External"/><Relationship Id="rId1152" Type="http://schemas.openxmlformats.org/officeDocument/2006/relationships/hyperlink" Target="https://www.mercadolibre.com.ar/reporting/activity/detail?id=52517048434" TargetMode="External"/><Relationship Id="rId96" Type="http://schemas.openxmlformats.org/officeDocument/2006/relationships/hyperlink" Target="https://www.mercadolibre.com.ar/reporting/activity/detail?id=51380164838" TargetMode="External"/><Relationship Id="rId161" Type="http://schemas.openxmlformats.org/officeDocument/2006/relationships/hyperlink" Target="https://www.mercadolibre.com.ar/reporting/activity/detail?id=51436051036" TargetMode="External"/><Relationship Id="rId399" Type="http://schemas.openxmlformats.org/officeDocument/2006/relationships/hyperlink" Target="https://www.mercadolibre.com.ar/reporting/activity/detail?id=51569454460" TargetMode="External"/><Relationship Id="rId827" Type="http://schemas.openxmlformats.org/officeDocument/2006/relationships/hyperlink" Target="https://www.mercadolibre.com.ar/reporting/activity/detail?id=52150458021" TargetMode="External"/><Relationship Id="rId1012" Type="http://schemas.openxmlformats.org/officeDocument/2006/relationships/hyperlink" Target="https://www.mercadolibre.com.ar/reporting/activity/detail?id=52416377650" TargetMode="External"/><Relationship Id="rId259" Type="http://schemas.openxmlformats.org/officeDocument/2006/relationships/hyperlink" Target="https://www.mercadolibre.com.ar/reporting/activity/detail?id=51489371790" TargetMode="External"/><Relationship Id="rId466" Type="http://schemas.openxmlformats.org/officeDocument/2006/relationships/hyperlink" Target="https://www.mercadolibre.com.ar/reporting/activity/detail?id=51787114950" TargetMode="External"/><Relationship Id="rId673" Type="http://schemas.openxmlformats.org/officeDocument/2006/relationships/hyperlink" Target="https://www.mercadolibre.com.ar/reporting/activity/detail?id=52051189572" TargetMode="External"/><Relationship Id="rId880" Type="http://schemas.openxmlformats.org/officeDocument/2006/relationships/hyperlink" Target="https://www.mercadolibre.com.ar/reporting/activity/detail?id=52226937311" TargetMode="External"/><Relationship Id="rId1096" Type="http://schemas.openxmlformats.org/officeDocument/2006/relationships/hyperlink" Target="https://www.mercadolibre.com.ar/reporting/activity/detail?id=52512935645" TargetMode="External"/><Relationship Id="rId1317" Type="http://schemas.openxmlformats.org/officeDocument/2006/relationships/hyperlink" Target="https://www.mercadolibre.com.ar/reporting/activity/detail?id=51127105765" TargetMode="External"/><Relationship Id="rId23" Type="http://schemas.openxmlformats.org/officeDocument/2006/relationships/hyperlink" Target="https://www.mercadolibre.com.ar/reporting/activity/detail?id=51179599905" TargetMode="External"/><Relationship Id="rId119" Type="http://schemas.openxmlformats.org/officeDocument/2006/relationships/hyperlink" Target="https://www.mercadolibre.com.ar/reporting/activity/detail?id=51429532982" TargetMode="External"/><Relationship Id="rId326" Type="http://schemas.openxmlformats.org/officeDocument/2006/relationships/hyperlink" Target="https://www.mercadolibre.com.ar/reporting/activity/detail?id=51535279161" TargetMode="External"/><Relationship Id="rId533" Type="http://schemas.openxmlformats.org/officeDocument/2006/relationships/hyperlink" Target="https://www.mercadolibre.com.ar/reporting/activity/detail?id=51834920751" TargetMode="External"/><Relationship Id="rId978" Type="http://schemas.openxmlformats.org/officeDocument/2006/relationships/hyperlink" Target="https://www.mercadolibre.com.ar/reporting/activity/detail?id=52414631788" TargetMode="External"/><Relationship Id="rId1163" Type="http://schemas.openxmlformats.org/officeDocument/2006/relationships/hyperlink" Target="https://www.mercadolibre.com.ar/reporting/activity/detail?id=52551881534" TargetMode="External"/><Relationship Id="rId1370" Type="http://schemas.openxmlformats.org/officeDocument/2006/relationships/hyperlink" Target="https://www.mercadolibre.com.ar/reporting/activity/detail?id=51174058771" TargetMode="External"/><Relationship Id="rId740" Type="http://schemas.openxmlformats.org/officeDocument/2006/relationships/hyperlink" Target="https://www.mercadolibre.com.ar/reporting/activity/detail?id=52101163240" TargetMode="External"/><Relationship Id="rId838" Type="http://schemas.openxmlformats.org/officeDocument/2006/relationships/hyperlink" Target="https://www.mercadolibre.com.ar/reporting/activity/detail?id=52186307689" TargetMode="External"/><Relationship Id="rId1023" Type="http://schemas.openxmlformats.org/officeDocument/2006/relationships/hyperlink" Target="https://www.mercadolibre.com.ar/reporting/activity/detail?id=52416682628" TargetMode="External"/><Relationship Id="rId172" Type="http://schemas.openxmlformats.org/officeDocument/2006/relationships/hyperlink" Target="https://www.mercadolibre.com.ar/reporting/activity/detail?id=51437017565" TargetMode="External"/><Relationship Id="rId477" Type="http://schemas.openxmlformats.org/officeDocument/2006/relationships/hyperlink" Target="https://www.mercadolibre.com.ar/reporting/activity/detail?id=51788210523" TargetMode="External"/><Relationship Id="rId600" Type="http://schemas.openxmlformats.org/officeDocument/2006/relationships/hyperlink" Target="https://www.mercadolibre.com.ar/reporting/activity/detail?id=51886056916" TargetMode="External"/><Relationship Id="rId684" Type="http://schemas.openxmlformats.org/officeDocument/2006/relationships/hyperlink" Target="https://www.mercadolibre.com.ar/reporting/activity/detail?id=52055124124" TargetMode="External"/><Relationship Id="rId1230" Type="http://schemas.openxmlformats.org/officeDocument/2006/relationships/hyperlink" Target="https://www.mercadolibre.com.ar/reporting/activity/detail?id=51074220836" TargetMode="External"/><Relationship Id="rId1328" Type="http://schemas.openxmlformats.org/officeDocument/2006/relationships/hyperlink" Target="https://www.mercadolibre.com.ar/reporting/activity/detail?id=51128072843" TargetMode="External"/><Relationship Id="rId337" Type="http://schemas.openxmlformats.org/officeDocument/2006/relationships/hyperlink" Target="https://www.mercadolibre.com.ar/reporting/activity/detail?id=51536372710" TargetMode="External"/><Relationship Id="rId891" Type="http://schemas.openxmlformats.org/officeDocument/2006/relationships/hyperlink" Target="https://www.mercadolibre.com.ar/reporting/activity/detail?id=52229050891" TargetMode="External"/><Relationship Id="rId905" Type="http://schemas.openxmlformats.org/officeDocument/2006/relationships/hyperlink" Target="https://www.mercadolibre.com.ar/reporting/activity/detail?id=52230665326" TargetMode="External"/><Relationship Id="rId989" Type="http://schemas.openxmlformats.org/officeDocument/2006/relationships/hyperlink" Target="https://www.mercadolibre.com.ar/reporting/activity/detail?id=52415357410" TargetMode="External"/><Relationship Id="rId34" Type="http://schemas.openxmlformats.org/officeDocument/2006/relationships/hyperlink" Target="https://www.mercadolibre.com.ar/reporting/activity/detail?id=51180055128" TargetMode="External"/><Relationship Id="rId544" Type="http://schemas.openxmlformats.org/officeDocument/2006/relationships/hyperlink" Target="https://www.mercadolibre.com.ar/reporting/activity/detail?id=51838481328" TargetMode="External"/><Relationship Id="rId751" Type="http://schemas.openxmlformats.org/officeDocument/2006/relationships/hyperlink" Target="https://www.mercadolibre.com.ar/reporting/activity/detail?id=52102229532" TargetMode="External"/><Relationship Id="rId849" Type="http://schemas.openxmlformats.org/officeDocument/2006/relationships/hyperlink" Target="https://www.mercadolibre.com.ar/reporting/activity/detail?id=52189355329" TargetMode="External"/><Relationship Id="rId1174" Type="http://schemas.openxmlformats.org/officeDocument/2006/relationships/hyperlink" Target="https://www.mercadolibre.com.ar/reporting/activity/detail?id=52554565050" TargetMode="External"/><Relationship Id="rId1381" Type="http://schemas.openxmlformats.org/officeDocument/2006/relationships/hyperlink" Target="https://www.mercadolibre.com.ar/reporting/activity/detail?id=51175427367" TargetMode="External"/><Relationship Id="rId183" Type="http://schemas.openxmlformats.org/officeDocument/2006/relationships/hyperlink" Target="https://www.mercadolibre.com.ar/reporting/activity/detail?id=51437866385" TargetMode="External"/><Relationship Id="rId390" Type="http://schemas.openxmlformats.org/officeDocument/2006/relationships/hyperlink" Target="https://www.mercadolibre.com.ar/reporting/activity/detail?id=51540256850" TargetMode="External"/><Relationship Id="rId404" Type="http://schemas.openxmlformats.org/officeDocument/2006/relationships/hyperlink" Target="https://www.mercadolibre.com.ar/reporting/activity/detail?id=51575060555" TargetMode="External"/><Relationship Id="rId611" Type="http://schemas.openxmlformats.org/officeDocument/2006/relationships/hyperlink" Target="https://www.mercadolibre.com.ar/reporting/activity/detail?id=51887097282" TargetMode="External"/><Relationship Id="rId1034" Type="http://schemas.openxmlformats.org/officeDocument/2006/relationships/hyperlink" Target="https://www.mercadolibre.com.ar/reporting/activity/detail?id=52458629927" TargetMode="External"/><Relationship Id="rId1241" Type="http://schemas.openxmlformats.org/officeDocument/2006/relationships/hyperlink" Target="https://www.mercadolibre.com.ar/reporting/activity/detail?id=51075365368" TargetMode="External"/><Relationship Id="rId1339" Type="http://schemas.openxmlformats.org/officeDocument/2006/relationships/hyperlink" Target="https://www.mercadolibre.com.ar/reporting/activity/detail?id=51130055042" TargetMode="External"/><Relationship Id="rId250" Type="http://schemas.openxmlformats.org/officeDocument/2006/relationships/hyperlink" Target="https://www.mercadolibre.com.ar/reporting/activity/detail?id=51488756659" TargetMode="External"/><Relationship Id="rId488" Type="http://schemas.openxmlformats.org/officeDocument/2006/relationships/hyperlink" Target="https://www.mercadolibre.com.ar/reporting/activity/detail?id=51789185750" TargetMode="External"/><Relationship Id="rId695" Type="http://schemas.openxmlformats.org/officeDocument/2006/relationships/hyperlink" Target="https://www.mercadolibre.com.ar/reporting/activity/detail?id=52057183609" TargetMode="External"/><Relationship Id="rId709" Type="http://schemas.openxmlformats.org/officeDocument/2006/relationships/hyperlink" Target="https://www.mercadolibre.com.ar/reporting/activity/detail?id=52097683515" TargetMode="External"/><Relationship Id="rId916" Type="http://schemas.openxmlformats.org/officeDocument/2006/relationships/hyperlink" Target="https://www.mercadolibre.com.ar/reporting/activity/detail?id=52363947091" TargetMode="External"/><Relationship Id="rId1101" Type="http://schemas.openxmlformats.org/officeDocument/2006/relationships/hyperlink" Target="https://www.mercadolibre.com.ar/reporting/activity/detail?id=52513715926" TargetMode="External"/><Relationship Id="rId45" Type="http://schemas.openxmlformats.org/officeDocument/2006/relationships/hyperlink" Target="https://www.mercadolibre.com.ar/reporting/activity/detail?id=51180577734" TargetMode="External"/><Relationship Id="rId110" Type="http://schemas.openxmlformats.org/officeDocument/2006/relationships/hyperlink" Target="https://www.mercadolibre.com.ar/reporting/activity/detail?id=51383517487" TargetMode="External"/><Relationship Id="rId348" Type="http://schemas.openxmlformats.org/officeDocument/2006/relationships/hyperlink" Target="https://www.mercadolibre.com.ar/reporting/activity/detail?id=51537292228" TargetMode="External"/><Relationship Id="rId555" Type="http://schemas.openxmlformats.org/officeDocument/2006/relationships/hyperlink" Target="https://www.mercadolibre.com.ar/reporting/activity/detail?id=51841413166" TargetMode="External"/><Relationship Id="rId762" Type="http://schemas.openxmlformats.org/officeDocument/2006/relationships/hyperlink" Target="https://www.mercadolibre.com.ar/reporting/activity/detail?id=52102779219" TargetMode="External"/><Relationship Id="rId1185" Type="http://schemas.openxmlformats.org/officeDocument/2006/relationships/hyperlink" Target="https://www.mercadolibre.com.ar/reporting/activity/detail?id=51021737062" TargetMode="External"/><Relationship Id="rId1392" Type="http://schemas.openxmlformats.org/officeDocument/2006/relationships/hyperlink" Target="https://www.mercadolibre.com.ar/reporting/activity/detail?id=51177294982" TargetMode="External"/><Relationship Id="rId194" Type="http://schemas.openxmlformats.org/officeDocument/2006/relationships/hyperlink" Target="https://www.mercadolibre.com.ar/reporting/activity/detail?id=51438555704" TargetMode="External"/><Relationship Id="rId208" Type="http://schemas.openxmlformats.org/officeDocument/2006/relationships/hyperlink" Target="https://www.mercadolibre.com.ar/reporting/activity/detail?id=51477576008" TargetMode="External"/><Relationship Id="rId415" Type="http://schemas.openxmlformats.org/officeDocument/2006/relationships/hyperlink" Target="https://www.mercadolibre.com.ar/reporting/activity/detail?id=51577462270" TargetMode="External"/><Relationship Id="rId622" Type="http://schemas.openxmlformats.org/officeDocument/2006/relationships/hyperlink" Target="https://www.mercadolibre.com.ar/reporting/activity/detail?id=51888001462" TargetMode="External"/><Relationship Id="rId1045" Type="http://schemas.openxmlformats.org/officeDocument/2006/relationships/hyperlink" Target="https://www.mercadolibre.com.ar/reporting/activity/detail?id=52461200839" TargetMode="External"/><Relationship Id="rId1252" Type="http://schemas.openxmlformats.org/officeDocument/2006/relationships/hyperlink" Target="https://www.mercadolibre.com.ar/reporting/activity/detail?id=51076097235" TargetMode="External"/><Relationship Id="rId261" Type="http://schemas.openxmlformats.org/officeDocument/2006/relationships/hyperlink" Target="https://www.mercadolibre.com.ar/reporting/activity/detail?id=51489451814" TargetMode="External"/><Relationship Id="rId499" Type="http://schemas.openxmlformats.org/officeDocument/2006/relationships/hyperlink" Target="https://www.mercadolibre.com.ar/reporting/activity/detail?id=51790326844" TargetMode="External"/><Relationship Id="rId927" Type="http://schemas.openxmlformats.org/officeDocument/2006/relationships/hyperlink" Target="https://www.mercadolibre.com.ar/reporting/activity/detail?id=52404006630" TargetMode="External"/><Relationship Id="rId1112" Type="http://schemas.openxmlformats.org/officeDocument/2006/relationships/hyperlink" Target="https://www.mercadolibre.com.ar/reporting/activity/detail?id=52514400934" TargetMode="External"/><Relationship Id="rId56" Type="http://schemas.openxmlformats.org/officeDocument/2006/relationships/hyperlink" Target="https://www.mercadolibre.com.ar/reporting/activity/detail?id=51215319988" TargetMode="External"/><Relationship Id="rId359" Type="http://schemas.openxmlformats.org/officeDocument/2006/relationships/hyperlink" Target="https://www.mercadolibre.com.ar/reporting/activity/detail?id=51537835055" TargetMode="External"/><Relationship Id="rId566" Type="http://schemas.openxmlformats.org/officeDocument/2006/relationships/hyperlink" Target="https://www.mercadolibre.com.ar/reporting/activity/detail?id=51882698924" TargetMode="External"/><Relationship Id="rId773" Type="http://schemas.openxmlformats.org/officeDocument/2006/relationships/hyperlink" Target="https://www.mercadolibre.com.ar/reporting/activity/detail?id=52103194859" TargetMode="External"/><Relationship Id="rId1196" Type="http://schemas.openxmlformats.org/officeDocument/2006/relationships/hyperlink" Target="https://www.mercadolibre.com.ar/reporting/activity/detail?id=51025508118" TargetMode="External"/><Relationship Id="rId121" Type="http://schemas.openxmlformats.org/officeDocument/2006/relationships/hyperlink" Target="https://www.mercadolibre.com.ar/reporting/activity/detail?id=51429804329" TargetMode="External"/><Relationship Id="rId219" Type="http://schemas.openxmlformats.org/officeDocument/2006/relationships/hyperlink" Target="https://www.mercadolibre.com.ar/reporting/activity/detail?id=51485026962" TargetMode="External"/><Relationship Id="rId426" Type="http://schemas.openxmlformats.org/officeDocument/2006/relationships/hyperlink" Target="https://www.mercadolibre.com.ar/reporting/activity/detail?id=51728912525" TargetMode="External"/><Relationship Id="rId633" Type="http://schemas.openxmlformats.org/officeDocument/2006/relationships/hyperlink" Target="https://www.mercadolibre.com.ar/reporting/activity/detail?id=51888438880" TargetMode="External"/><Relationship Id="rId980" Type="http://schemas.openxmlformats.org/officeDocument/2006/relationships/hyperlink" Target="https://www.mercadolibre.com.ar/reporting/activity/detail?id=52414669078" TargetMode="External"/><Relationship Id="rId1056" Type="http://schemas.openxmlformats.org/officeDocument/2006/relationships/hyperlink" Target="https://www.mercadolibre.com.ar/reporting/activity/detail?id=52464809693" TargetMode="External"/><Relationship Id="rId1263" Type="http://schemas.openxmlformats.org/officeDocument/2006/relationships/hyperlink" Target="https://www.mercadolibre.com.ar/reporting/activity/detail?id=51076951050" TargetMode="External"/><Relationship Id="rId840" Type="http://schemas.openxmlformats.org/officeDocument/2006/relationships/hyperlink" Target="https://www.mercadolibre.com.ar/reporting/activity/detail?id=52186452237" TargetMode="External"/><Relationship Id="rId938" Type="http://schemas.openxmlformats.org/officeDocument/2006/relationships/hyperlink" Target="https://www.mercadolibre.com.ar/reporting/activity/detail?id=52411215369" TargetMode="External"/><Relationship Id="rId67" Type="http://schemas.openxmlformats.org/officeDocument/2006/relationships/hyperlink" Target="https://www.mercadolibre.com.ar/reporting/activity/detail?id=51217932286" TargetMode="External"/><Relationship Id="rId272" Type="http://schemas.openxmlformats.org/officeDocument/2006/relationships/hyperlink" Target="https://www.mercadolibre.com.ar/reporting/activity/detail?id=51490412668" TargetMode="External"/><Relationship Id="rId577" Type="http://schemas.openxmlformats.org/officeDocument/2006/relationships/hyperlink" Target="https://www.mercadolibre.com.ar/reporting/activity/detail?id=51884473974" TargetMode="External"/><Relationship Id="rId700" Type="http://schemas.openxmlformats.org/officeDocument/2006/relationships/hyperlink" Target="https://www.mercadolibre.com.ar/reporting/activity/detail?id=52096089011" TargetMode="External"/><Relationship Id="rId1123" Type="http://schemas.openxmlformats.org/officeDocument/2006/relationships/hyperlink" Target="https://www.mercadolibre.com.ar/reporting/activity/detail?id=52515560125" TargetMode="External"/><Relationship Id="rId1330" Type="http://schemas.openxmlformats.org/officeDocument/2006/relationships/hyperlink" Target="https://www.mercadolibre.com.ar/reporting/activity/detail?id=51128228251" TargetMode="External"/><Relationship Id="rId132" Type="http://schemas.openxmlformats.org/officeDocument/2006/relationships/hyperlink" Target="https://www.mercadolibre.com.ar/reporting/activity/detail?id=51431856724" TargetMode="External"/><Relationship Id="rId784" Type="http://schemas.openxmlformats.org/officeDocument/2006/relationships/hyperlink" Target="https://www.mercadolibre.com.ar/reporting/activity/detail?id=52103639094" TargetMode="External"/><Relationship Id="rId991" Type="http://schemas.openxmlformats.org/officeDocument/2006/relationships/hyperlink" Target="https://www.mercadolibre.com.ar/reporting/activity/detail?id=52415568306" TargetMode="External"/><Relationship Id="rId1067" Type="http://schemas.openxmlformats.org/officeDocument/2006/relationships/hyperlink" Target="https://www.mercadolibre.com.ar/reporting/activity/detail?id=52467555237" TargetMode="External"/><Relationship Id="rId437" Type="http://schemas.openxmlformats.org/officeDocument/2006/relationships/hyperlink" Target="https://www.mercadolibre.com.ar/reporting/activity/detail?id=51732597234" TargetMode="External"/><Relationship Id="rId644" Type="http://schemas.openxmlformats.org/officeDocument/2006/relationships/hyperlink" Target="https://www.mercadolibre.com.ar/reporting/activity/detail?id=51919538816" TargetMode="External"/><Relationship Id="rId851" Type="http://schemas.openxmlformats.org/officeDocument/2006/relationships/hyperlink" Target="https://www.mercadolibre.com.ar/reporting/activity/detail?id=52189728984" TargetMode="External"/><Relationship Id="rId1274" Type="http://schemas.openxmlformats.org/officeDocument/2006/relationships/hyperlink" Target="https://www.mercadolibre.com.ar/reporting/activity/detail?id=51077706194" TargetMode="External"/><Relationship Id="rId283" Type="http://schemas.openxmlformats.org/officeDocument/2006/relationships/hyperlink" Target="https://www.mercadolibre.com.ar/reporting/activity/detail?id=51491573427" TargetMode="External"/><Relationship Id="rId490" Type="http://schemas.openxmlformats.org/officeDocument/2006/relationships/hyperlink" Target="https://www.mercadolibre.com.ar/reporting/activity/detail?id=51789328101" TargetMode="External"/><Relationship Id="rId504" Type="http://schemas.openxmlformats.org/officeDocument/2006/relationships/hyperlink" Target="https://www.mercadolibre.com.ar/reporting/activity/detail?id=51790590411" TargetMode="External"/><Relationship Id="rId711" Type="http://schemas.openxmlformats.org/officeDocument/2006/relationships/hyperlink" Target="https://www.mercadolibre.com.ar/reporting/activity/detail?id=52097957895" TargetMode="External"/><Relationship Id="rId949" Type="http://schemas.openxmlformats.org/officeDocument/2006/relationships/hyperlink" Target="https://www.mercadolibre.com.ar/reporting/activity/detail?id=52412552160" TargetMode="External"/><Relationship Id="rId1134" Type="http://schemas.openxmlformats.org/officeDocument/2006/relationships/hyperlink" Target="https://www.mercadolibre.com.ar/reporting/activity/detail?id=52516166936" TargetMode="External"/><Relationship Id="rId1341" Type="http://schemas.openxmlformats.org/officeDocument/2006/relationships/hyperlink" Target="https://www.mercadolibre.com.ar/reporting/activity/detail?id=51130231328" TargetMode="External"/><Relationship Id="rId78" Type="http://schemas.openxmlformats.org/officeDocument/2006/relationships/hyperlink" Target="https://www.mercadolibre.com.ar/reporting/activity/detail?id=51375726681" TargetMode="External"/><Relationship Id="rId143" Type="http://schemas.openxmlformats.org/officeDocument/2006/relationships/hyperlink" Target="https://www.mercadolibre.com.ar/reporting/activity/detail?id=51432934213" TargetMode="External"/><Relationship Id="rId350" Type="http://schemas.openxmlformats.org/officeDocument/2006/relationships/hyperlink" Target="https://www.mercadolibre.com.ar/reporting/activity/detail?id=51537410625" TargetMode="External"/><Relationship Id="rId588" Type="http://schemas.openxmlformats.org/officeDocument/2006/relationships/hyperlink" Target="https://www.mercadolibre.com.ar/reporting/activity/detail?id=51885505035" TargetMode="External"/><Relationship Id="rId795" Type="http://schemas.openxmlformats.org/officeDocument/2006/relationships/hyperlink" Target="https://www.mercadolibre.com.ar/reporting/activity/detail?id=52104081479" TargetMode="External"/><Relationship Id="rId809" Type="http://schemas.openxmlformats.org/officeDocument/2006/relationships/hyperlink" Target="https://www.mercadolibre.com.ar/reporting/activity/detail?id=52141572299" TargetMode="External"/><Relationship Id="rId1201" Type="http://schemas.openxmlformats.org/officeDocument/2006/relationships/hyperlink" Target="https://www.mercadolibre.com.ar/reporting/activity/detail?id=51065013549" TargetMode="External"/><Relationship Id="rId9" Type="http://schemas.openxmlformats.org/officeDocument/2006/relationships/hyperlink" Target="https://www.mercadolibre.com.ar/reporting/activity/detail?id=51178525273" TargetMode="External"/><Relationship Id="rId210" Type="http://schemas.openxmlformats.org/officeDocument/2006/relationships/hyperlink" Target="https://www.mercadolibre.com.ar/reporting/activity/detail?id=51479435233" TargetMode="External"/><Relationship Id="rId448" Type="http://schemas.openxmlformats.org/officeDocument/2006/relationships/hyperlink" Target="https://www.mercadolibre.com.ar/reporting/activity/detail?id=51784747052" TargetMode="External"/><Relationship Id="rId655" Type="http://schemas.openxmlformats.org/officeDocument/2006/relationships/hyperlink" Target="https://www.mercadolibre.com.ar/reporting/activity/detail?id=51922316550" TargetMode="External"/><Relationship Id="rId862" Type="http://schemas.openxmlformats.org/officeDocument/2006/relationships/hyperlink" Target="https://www.mercadolibre.com.ar/reporting/activity/detail?id=52192345855" TargetMode="External"/><Relationship Id="rId1078" Type="http://schemas.openxmlformats.org/officeDocument/2006/relationships/hyperlink" Target="https://www.mercadolibre.com.ar/reporting/activity/detail?id=52505863623" TargetMode="External"/><Relationship Id="rId1285" Type="http://schemas.openxmlformats.org/officeDocument/2006/relationships/hyperlink" Target="https://www.mercadolibre.com.ar/reporting/activity/detail?id=51078245780" TargetMode="External"/><Relationship Id="rId294" Type="http://schemas.openxmlformats.org/officeDocument/2006/relationships/hyperlink" Target="https://www.mercadolibre.com.ar/reporting/activity/detail?id=51492425982" TargetMode="External"/><Relationship Id="rId308" Type="http://schemas.openxmlformats.org/officeDocument/2006/relationships/hyperlink" Target="https://www.mercadolibre.com.ar/reporting/activity/detail?id=51531928607" TargetMode="External"/><Relationship Id="rId515" Type="http://schemas.openxmlformats.org/officeDocument/2006/relationships/hyperlink" Target="https://www.mercadolibre.com.ar/reporting/activity/detail?id=51791044504" TargetMode="External"/><Relationship Id="rId722" Type="http://schemas.openxmlformats.org/officeDocument/2006/relationships/hyperlink" Target="https://www.mercadolibre.com.ar/reporting/activity/detail?id=52098980987" TargetMode="External"/><Relationship Id="rId1145" Type="http://schemas.openxmlformats.org/officeDocument/2006/relationships/hyperlink" Target="https://www.mercadolibre.com.ar/reporting/activity/detail?id=52516763657" TargetMode="External"/><Relationship Id="rId1352" Type="http://schemas.openxmlformats.org/officeDocument/2006/relationships/hyperlink" Target="https://www.mercadolibre.com.ar/reporting/activity/detail?id=51131461603" TargetMode="External"/><Relationship Id="rId89" Type="http://schemas.openxmlformats.org/officeDocument/2006/relationships/hyperlink" Target="https://www.mercadolibre.com.ar/reporting/activity/detail?id=51377905775" TargetMode="External"/><Relationship Id="rId154" Type="http://schemas.openxmlformats.org/officeDocument/2006/relationships/hyperlink" Target="https://www.mercadolibre.com.ar/reporting/activity/detail?id=51435131907" TargetMode="External"/><Relationship Id="rId361" Type="http://schemas.openxmlformats.org/officeDocument/2006/relationships/hyperlink" Target="https://www.mercadolibre.com.ar/reporting/activity/detail?id=51537905127" TargetMode="External"/><Relationship Id="rId599" Type="http://schemas.openxmlformats.org/officeDocument/2006/relationships/hyperlink" Target="https://www.mercadolibre.com.ar/reporting/activity/detail?id=51885947612" TargetMode="External"/><Relationship Id="rId1005" Type="http://schemas.openxmlformats.org/officeDocument/2006/relationships/hyperlink" Target="https://www.mercadolibre.com.ar/reporting/activity/detail?id=52416196281" TargetMode="External"/><Relationship Id="rId1212" Type="http://schemas.openxmlformats.org/officeDocument/2006/relationships/hyperlink" Target="https://www.mercadolibre.com.ar/reporting/activity/detail?id=51072099422" TargetMode="External"/><Relationship Id="rId459" Type="http://schemas.openxmlformats.org/officeDocument/2006/relationships/hyperlink" Target="https://www.mercadolibre.com.ar/reporting/activity/detail?id=51786296293" TargetMode="External"/><Relationship Id="rId666" Type="http://schemas.openxmlformats.org/officeDocument/2006/relationships/hyperlink" Target="https://www.mercadolibre.com.ar/reporting/activity/detail?id=52047741450" TargetMode="External"/><Relationship Id="rId873" Type="http://schemas.openxmlformats.org/officeDocument/2006/relationships/hyperlink" Target="https://www.mercadolibre.com.ar/reporting/activity/detail?id=52225401474" TargetMode="External"/><Relationship Id="rId1089" Type="http://schemas.openxmlformats.org/officeDocument/2006/relationships/hyperlink" Target="https://www.mercadolibre.com.ar/reporting/activity/detail?id=52511553569" TargetMode="External"/><Relationship Id="rId1296" Type="http://schemas.openxmlformats.org/officeDocument/2006/relationships/hyperlink" Target="https://www.mercadolibre.com.ar/reporting/activity/detail?id=51120624090" TargetMode="External"/><Relationship Id="rId16" Type="http://schemas.openxmlformats.org/officeDocument/2006/relationships/hyperlink" Target="https://www.mercadolibre.com.ar/reporting/activity/detail?id=51178972540" TargetMode="External"/><Relationship Id="rId221" Type="http://schemas.openxmlformats.org/officeDocument/2006/relationships/hyperlink" Target="https://www.mercadolibre.com.ar/reporting/activity/detail?id=51485200516" TargetMode="External"/><Relationship Id="rId319" Type="http://schemas.openxmlformats.org/officeDocument/2006/relationships/hyperlink" Target="https://www.mercadolibre.com.ar/reporting/activity/detail?id=51533634550" TargetMode="External"/><Relationship Id="rId526" Type="http://schemas.openxmlformats.org/officeDocument/2006/relationships/hyperlink" Target="https://www.mercadolibre.com.ar/reporting/activity/detail?id=51831262347" TargetMode="External"/><Relationship Id="rId1156" Type="http://schemas.openxmlformats.org/officeDocument/2006/relationships/hyperlink" Target="https://www.mercadolibre.com.ar/reporting/activity/detail?id=52548618189" TargetMode="External"/><Relationship Id="rId1363" Type="http://schemas.openxmlformats.org/officeDocument/2006/relationships/hyperlink" Target="https://www.mercadolibre.com.ar/reporting/activity/detail?id=51171289766" TargetMode="External"/><Relationship Id="rId733" Type="http://schemas.openxmlformats.org/officeDocument/2006/relationships/hyperlink" Target="https://www.mercadolibre.com.ar/reporting/activity/detail?id=52100404747" TargetMode="External"/><Relationship Id="rId940" Type="http://schemas.openxmlformats.org/officeDocument/2006/relationships/hyperlink" Target="https://www.mercadolibre.com.ar/reporting/activity/detail?id=52411330103" TargetMode="External"/><Relationship Id="rId1016" Type="http://schemas.openxmlformats.org/officeDocument/2006/relationships/hyperlink" Target="https://www.mercadolibre.com.ar/reporting/activity/detail?id=52416541334" TargetMode="External"/><Relationship Id="rId165" Type="http://schemas.openxmlformats.org/officeDocument/2006/relationships/hyperlink" Target="https://www.mercadolibre.com.ar/reporting/activity/detail?id=51436416841" TargetMode="External"/><Relationship Id="rId372" Type="http://schemas.openxmlformats.org/officeDocument/2006/relationships/hyperlink" Target="https://www.mercadolibre.com.ar/reporting/activity/detail?id=51538643607" TargetMode="External"/><Relationship Id="rId677" Type="http://schemas.openxmlformats.org/officeDocument/2006/relationships/hyperlink" Target="https://www.mercadolibre.com.ar/reporting/activity/detail?id=52053788108" TargetMode="External"/><Relationship Id="rId800" Type="http://schemas.openxmlformats.org/officeDocument/2006/relationships/hyperlink" Target="https://www.mercadolibre.com.ar/reporting/activity/detail?id=52104137732" TargetMode="External"/><Relationship Id="rId1223" Type="http://schemas.openxmlformats.org/officeDocument/2006/relationships/hyperlink" Target="https://www.mercadolibre.com.ar/reporting/activity/detail?id=51073369185" TargetMode="External"/><Relationship Id="rId232" Type="http://schemas.openxmlformats.org/officeDocument/2006/relationships/hyperlink" Target="https://www.mercadolibre.com.ar/reporting/activity/detail?id=51486433653" TargetMode="External"/><Relationship Id="rId884" Type="http://schemas.openxmlformats.org/officeDocument/2006/relationships/hyperlink" Target="https://www.mercadolibre.com.ar/reporting/activity/detail?id=52228103437" TargetMode="External"/><Relationship Id="rId27" Type="http://schemas.openxmlformats.org/officeDocument/2006/relationships/hyperlink" Target="https://www.mercadolibre.com.ar/reporting/activity/detail?id=51179753051" TargetMode="External"/><Relationship Id="rId537" Type="http://schemas.openxmlformats.org/officeDocument/2006/relationships/hyperlink" Target="https://www.mercadolibre.com.ar/reporting/activity/detail?id=51836161442" TargetMode="External"/><Relationship Id="rId744" Type="http://schemas.openxmlformats.org/officeDocument/2006/relationships/hyperlink" Target="https://www.mercadolibre.com.ar/reporting/activity/detail?id=52101570931" TargetMode="External"/><Relationship Id="rId951" Type="http://schemas.openxmlformats.org/officeDocument/2006/relationships/hyperlink" Target="https://www.mercadolibre.com.ar/reporting/activity/detail?id=52412761551" TargetMode="External"/><Relationship Id="rId1167" Type="http://schemas.openxmlformats.org/officeDocument/2006/relationships/hyperlink" Target="https://www.mercadolibre.com.ar/reporting/activity/detail?id=52552827959" TargetMode="External"/><Relationship Id="rId1374" Type="http://schemas.openxmlformats.org/officeDocument/2006/relationships/hyperlink" Target="https://www.mercadolibre.com.ar/reporting/activity/detail?id=51174418104" TargetMode="External"/><Relationship Id="rId80" Type="http://schemas.openxmlformats.org/officeDocument/2006/relationships/hyperlink" Target="https://www.mercadolibre.com.ar/reporting/activity/detail?id=51376362237" TargetMode="External"/><Relationship Id="rId176" Type="http://schemas.openxmlformats.org/officeDocument/2006/relationships/hyperlink" Target="https://www.mercadolibre.com.ar/reporting/activity/detail?id=51437590800" TargetMode="External"/><Relationship Id="rId383" Type="http://schemas.openxmlformats.org/officeDocument/2006/relationships/hyperlink" Target="https://www.mercadolibre.com.ar/reporting/activity/detail?id=51539703294" TargetMode="External"/><Relationship Id="rId590" Type="http://schemas.openxmlformats.org/officeDocument/2006/relationships/hyperlink" Target="https://www.mercadolibre.com.ar/reporting/activity/detail?id=51885549199" TargetMode="External"/><Relationship Id="rId604" Type="http://schemas.openxmlformats.org/officeDocument/2006/relationships/hyperlink" Target="https://www.mercadolibre.com.ar/reporting/activity/detail?id=51886389799" TargetMode="External"/><Relationship Id="rId811" Type="http://schemas.openxmlformats.org/officeDocument/2006/relationships/hyperlink" Target="https://www.mercadolibre.com.ar/reporting/activity/detail?id=52144038002" TargetMode="External"/><Relationship Id="rId1027" Type="http://schemas.openxmlformats.org/officeDocument/2006/relationships/hyperlink" Target="https://www.mercadolibre.com.ar/reporting/activity/detail?id=52454641539" TargetMode="External"/><Relationship Id="rId1234" Type="http://schemas.openxmlformats.org/officeDocument/2006/relationships/hyperlink" Target="https://www.mercadolibre.com.ar/reporting/activity/detail?id=51074769774" TargetMode="External"/><Relationship Id="rId243" Type="http://schemas.openxmlformats.org/officeDocument/2006/relationships/hyperlink" Target="https://www.mercadolibre.com.ar/reporting/activity/detail?id=51487608673" TargetMode="External"/><Relationship Id="rId450" Type="http://schemas.openxmlformats.org/officeDocument/2006/relationships/hyperlink" Target="https://www.mercadolibre.com.ar/reporting/activity/detail?id=51784990688" TargetMode="External"/><Relationship Id="rId688" Type="http://schemas.openxmlformats.org/officeDocument/2006/relationships/hyperlink" Target="https://www.mercadolibre.com.ar/reporting/activity/detail?id=52056434533" TargetMode="External"/><Relationship Id="rId895" Type="http://schemas.openxmlformats.org/officeDocument/2006/relationships/hyperlink" Target="https://www.mercadolibre.com.ar/reporting/activity/detail?id=52229837744" TargetMode="External"/><Relationship Id="rId909" Type="http://schemas.openxmlformats.org/officeDocument/2006/relationships/hyperlink" Target="https://www.mercadolibre.com.ar/reporting/activity/detail?id=52231330892" TargetMode="External"/><Relationship Id="rId1080" Type="http://schemas.openxmlformats.org/officeDocument/2006/relationships/hyperlink" Target="https://www.mercadolibre.com.ar/reporting/activity/detail?id=52507477654" TargetMode="External"/><Relationship Id="rId1301" Type="http://schemas.openxmlformats.org/officeDocument/2006/relationships/hyperlink" Target="https://www.mercadolibre.com.ar/reporting/activity/detail?id=51123360340" TargetMode="External"/><Relationship Id="rId38" Type="http://schemas.openxmlformats.org/officeDocument/2006/relationships/hyperlink" Target="https://www.mercadolibre.com.ar/reporting/activity/detail?id=51180331388" TargetMode="External"/><Relationship Id="rId103" Type="http://schemas.openxmlformats.org/officeDocument/2006/relationships/hyperlink" Target="https://www.mercadolibre.com.ar/reporting/activity/detail?id=51381958096" TargetMode="External"/><Relationship Id="rId310" Type="http://schemas.openxmlformats.org/officeDocument/2006/relationships/hyperlink" Target="https://www.mercadolibre.com.ar/reporting/activity/detail?id=51532090638" TargetMode="External"/><Relationship Id="rId548" Type="http://schemas.openxmlformats.org/officeDocument/2006/relationships/hyperlink" Target="https://www.mercadolibre.com.ar/reporting/activity/detail?id=51840174852" TargetMode="External"/><Relationship Id="rId755" Type="http://schemas.openxmlformats.org/officeDocument/2006/relationships/hyperlink" Target="https://www.mercadolibre.com.ar/reporting/activity/detail?id=52102432018" TargetMode="External"/><Relationship Id="rId962" Type="http://schemas.openxmlformats.org/officeDocument/2006/relationships/hyperlink" Target="https://www.mercadolibre.com.ar/reporting/activity/detail?id=52413456037" TargetMode="External"/><Relationship Id="rId1178" Type="http://schemas.openxmlformats.org/officeDocument/2006/relationships/hyperlink" Target="https://www.mercadolibre.com.ar/reporting/activity/detail?id=52554960740" TargetMode="External"/><Relationship Id="rId1385" Type="http://schemas.openxmlformats.org/officeDocument/2006/relationships/hyperlink" Target="https://www.mercadolibre.com.ar/reporting/activity/detail?id=51176554216" TargetMode="External"/><Relationship Id="rId91" Type="http://schemas.openxmlformats.org/officeDocument/2006/relationships/hyperlink" Target="https://www.mercadolibre.com.ar/reporting/activity/detail?id=51378553024" TargetMode="External"/><Relationship Id="rId187" Type="http://schemas.openxmlformats.org/officeDocument/2006/relationships/hyperlink" Target="https://www.mercadolibre.com.ar/reporting/activity/detail?id=51438117617" TargetMode="External"/><Relationship Id="rId394" Type="http://schemas.openxmlformats.org/officeDocument/2006/relationships/hyperlink" Target="https://www.mercadolibre.com.ar/reporting/activity/detail?id=51540302342" TargetMode="External"/><Relationship Id="rId408" Type="http://schemas.openxmlformats.org/officeDocument/2006/relationships/hyperlink" Target="https://www.mercadolibre.com.ar/reporting/activity/detail?id=51576927181" TargetMode="External"/><Relationship Id="rId615" Type="http://schemas.openxmlformats.org/officeDocument/2006/relationships/hyperlink" Target="https://www.mercadolibre.com.ar/reporting/activity/detail?id=51887510605" TargetMode="External"/><Relationship Id="rId822" Type="http://schemas.openxmlformats.org/officeDocument/2006/relationships/hyperlink" Target="https://www.mercadolibre.com.ar/reporting/activity/detail?id=52148941663" TargetMode="External"/><Relationship Id="rId1038" Type="http://schemas.openxmlformats.org/officeDocument/2006/relationships/hyperlink" Target="https://www.mercadolibre.com.ar/reporting/activity/detail?id=52459857435" TargetMode="External"/><Relationship Id="rId1245" Type="http://schemas.openxmlformats.org/officeDocument/2006/relationships/hyperlink" Target="https://www.mercadolibre.com.ar/reporting/activity/detail?id=51075694431" TargetMode="External"/><Relationship Id="rId254" Type="http://schemas.openxmlformats.org/officeDocument/2006/relationships/hyperlink" Target="https://www.mercadolibre.com.ar/reporting/activity/detail?id=51488915178" TargetMode="External"/><Relationship Id="rId699" Type="http://schemas.openxmlformats.org/officeDocument/2006/relationships/hyperlink" Target="https://www.mercadolibre.com.ar/reporting/activity/detail?id=52095172724" TargetMode="External"/><Relationship Id="rId1091" Type="http://schemas.openxmlformats.org/officeDocument/2006/relationships/hyperlink" Target="https://www.mercadolibre.com.ar/reporting/activity/detail?id=52511782345" TargetMode="External"/><Relationship Id="rId1105" Type="http://schemas.openxmlformats.org/officeDocument/2006/relationships/hyperlink" Target="https://www.mercadolibre.com.ar/reporting/activity/detail?id=52513953987" TargetMode="External"/><Relationship Id="rId1312" Type="http://schemas.openxmlformats.org/officeDocument/2006/relationships/hyperlink" Target="https://www.mercadolibre.com.ar/reporting/activity/detail?id=51126696572" TargetMode="External"/><Relationship Id="rId49" Type="http://schemas.openxmlformats.org/officeDocument/2006/relationships/hyperlink" Target="https://www.mercadolibre.com.ar/reporting/activity/detail?id=51181056037" TargetMode="External"/><Relationship Id="rId114" Type="http://schemas.openxmlformats.org/officeDocument/2006/relationships/hyperlink" Target="https://www.mercadolibre.com.ar/reporting/activity/detail?id=51427422767" TargetMode="External"/><Relationship Id="rId461" Type="http://schemas.openxmlformats.org/officeDocument/2006/relationships/hyperlink" Target="https://www.mercadolibre.com.ar/reporting/activity/detail?id=51786439275" TargetMode="External"/><Relationship Id="rId559" Type="http://schemas.openxmlformats.org/officeDocument/2006/relationships/hyperlink" Target="https://www.mercadolibre.com.ar/reporting/activity/detail?id=51877053559" TargetMode="External"/><Relationship Id="rId766" Type="http://schemas.openxmlformats.org/officeDocument/2006/relationships/hyperlink" Target="https://www.mercadolibre.com.ar/reporting/activity/detail?id=52102915925" TargetMode="External"/><Relationship Id="rId1189" Type="http://schemas.openxmlformats.org/officeDocument/2006/relationships/hyperlink" Target="https://www.mercadolibre.com.ar/reporting/activity/detail?id=51022961871" TargetMode="External"/><Relationship Id="rId1396" Type="http://schemas.openxmlformats.org/officeDocument/2006/relationships/hyperlink" Target="https://www.mercadolibre.com.ar/reporting/activity/detail?id=51177465134" TargetMode="External"/><Relationship Id="rId198" Type="http://schemas.openxmlformats.org/officeDocument/2006/relationships/hyperlink" Target="https://www.mercadolibre.com.ar/reporting/activity/detail?id=51438881752" TargetMode="External"/><Relationship Id="rId321" Type="http://schemas.openxmlformats.org/officeDocument/2006/relationships/hyperlink" Target="https://www.mercadolibre.com.ar/reporting/activity/detail?id=51534503770" TargetMode="External"/><Relationship Id="rId419" Type="http://schemas.openxmlformats.org/officeDocument/2006/relationships/hyperlink" Target="https://www.mercadolibre.com.ar/reporting/activity/detail?id=51720339135" TargetMode="External"/><Relationship Id="rId626" Type="http://schemas.openxmlformats.org/officeDocument/2006/relationships/hyperlink" Target="https://www.mercadolibre.com.ar/reporting/activity/detail?id=51888251774" TargetMode="External"/><Relationship Id="rId973" Type="http://schemas.openxmlformats.org/officeDocument/2006/relationships/hyperlink" Target="https://www.mercadolibre.com.ar/reporting/activity/detail?id=52414133895" TargetMode="External"/><Relationship Id="rId1049" Type="http://schemas.openxmlformats.org/officeDocument/2006/relationships/hyperlink" Target="https://www.mercadolibre.com.ar/reporting/activity/detail?id=52463040730" TargetMode="External"/><Relationship Id="rId1256" Type="http://schemas.openxmlformats.org/officeDocument/2006/relationships/hyperlink" Target="https://www.mercadolibre.com.ar/reporting/activity/detail?id=51076415056" TargetMode="External"/><Relationship Id="rId833" Type="http://schemas.openxmlformats.org/officeDocument/2006/relationships/hyperlink" Target="https://www.mercadolibre.com.ar/reporting/activity/detail?id=52184907262" TargetMode="External"/><Relationship Id="rId1116" Type="http://schemas.openxmlformats.org/officeDocument/2006/relationships/hyperlink" Target="https://www.mercadolibre.com.ar/reporting/activity/detail?id=52514823998" TargetMode="External"/><Relationship Id="rId265" Type="http://schemas.openxmlformats.org/officeDocument/2006/relationships/hyperlink" Target="https://www.mercadolibre.com.ar/reporting/activity/detail?id=51489675415" TargetMode="External"/><Relationship Id="rId472" Type="http://schemas.openxmlformats.org/officeDocument/2006/relationships/hyperlink" Target="https://www.mercadolibre.com.ar/reporting/activity/detail?id=51787680667" TargetMode="External"/><Relationship Id="rId900" Type="http://schemas.openxmlformats.org/officeDocument/2006/relationships/hyperlink" Target="https://www.mercadolibre.com.ar/reporting/activity/detail?id=52230084046" TargetMode="External"/><Relationship Id="rId1323" Type="http://schemas.openxmlformats.org/officeDocument/2006/relationships/hyperlink" Target="https://www.mercadolibre.com.ar/reporting/activity/detail?id=51127624405" TargetMode="External"/><Relationship Id="rId125" Type="http://schemas.openxmlformats.org/officeDocument/2006/relationships/hyperlink" Target="https://www.mercadolibre.com.ar/reporting/activity/detail?id=51430783966" TargetMode="External"/><Relationship Id="rId332" Type="http://schemas.openxmlformats.org/officeDocument/2006/relationships/hyperlink" Target="https://www.mercadolibre.com.ar/reporting/activity/detail?id=51535780794" TargetMode="External"/><Relationship Id="rId777" Type="http://schemas.openxmlformats.org/officeDocument/2006/relationships/hyperlink" Target="https://www.mercadolibre.com.ar/reporting/activity/detail?id=52103324154" TargetMode="External"/><Relationship Id="rId984" Type="http://schemas.openxmlformats.org/officeDocument/2006/relationships/hyperlink" Target="https://www.mercadolibre.com.ar/reporting/activity/detail?id=52414955941" TargetMode="External"/><Relationship Id="rId637" Type="http://schemas.openxmlformats.org/officeDocument/2006/relationships/hyperlink" Target="https://www.mercadolibre.com.ar/reporting/activity/detail?id=51888500989" TargetMode="External"/><Relationship Id="rId844" Type="http://schemas.openxmlformats.org/officeDocument/2006/relationships/hyperlink" Target="https://www.mercadolibre.com.ar/reporting/activity/detail?id=52187996172" TargetMode="External"/><Relationship Id="rId1267" Type="http://schemas.openxmlformats.org/officeDocument/2006/relationships/hyperlink" Target="https://www.mercadolibre.com.ar/reporting/activity/detail?id=51077204394" TargetMode="External"/><Relationship Id="rId276" Type="http://schemas.openxmlformats.org/officeDocument/2006/relationships/hyperlink" Target="https://www.mercadolibre.com.ar/reporting/activity/detail?id=51490920827" TargetMode="External"/><Relationship Id="rId483" Type="http://schemas.openxmlformats.org/officeDocument/2006/relationships/hyperlink" Target="https://www.mercadolibre.com.ar/reporting/activity/detail?id=51788731643" TargetMode="External"/><Relationship Id="rId690" Type="http://schemas.openxmlformats.org/officeDocument/2006/relationships/hyperlink" Target="https://www.mercadolibre.com.ar/reporting/activity/detail?id=52056510531" TargetMode="External"/><Relationship Id="rId704" Type="http://schemas.openxmlformats.org/officeDocument/2006/relationships/hyperlink" Target="https://www.mercadolibre.com.ar/reporting/activity/detail?id=52096858223" TargetMode="External"/><Relationship Id="rId911" Type="http://schemas.openxmlformats.org/officeDocument/2006/relationships/hyperlink" Target="https://www.mercadolibre.com.ar/reporting/activity/detail?id=52231855123" TargetMode="External"/><Relationship Id="rId1127" Type="http://schemas.openxmlformats.org/officeDocument/2006/relationships/hyperlink" Target="https://www.mercadolibre.com.ar/reporting/activity/detail?id=52515792385" TargetMode="External"/><Relationship Id="rId1334" Type="http://schemas.openxmlformats.org/officeDocument/2006/relationships/hyperlink" Target="https://www.mercadolibre.com.ar/reporting/activity/detail?id=51128695368" TargetMode="External"/><Relationship Id="rId40" Type="http://schemas.openxmlformats.org/officeDocument/2006/relationships/hyperlink" Target="https://www.mercadolibre.com.ar/reporting/activity/detail?id=51180373615" TargetMode="External"/><Relationship Id="rId136" Type="http://schemas.openxmlformats.org/officeDocument/2006/relationships/hyperlink" Target="https://www.mercadolibre.com.ar/reporting/activity/detail?id=51432479421" TargetMode="External"/><Relationship Id="rId343" Type="http://schemas.openxmlformats.org/officeDocument/2006/relationships/hyperlink" Target="https://www.mercadolibre.com.ar/reporting/activity/detail?id=51537117783" TargetMode="External"/><Relationship Id="rId550" Type="http://schemas.openxmlformats.org/officeDocument/2006/relationships/hyperlink" Target="https://www.mercadolibre.com.ar/reporting/activity/detail?id=51840428355" TargetMode="External"/><Relationship Id="rId788" Type="http://schemas.openxmlformats.org/officeDocument/2006/relationships/hyperlink" Target="https://www.mercadolibre.com.ar/reporting/activity/detail?id=52103732732" TargetMode="External"/><Relationship Id="rId995" Type="http://schemas.openxmlformats.org/officeDocument/2006/relationships/hyperlink" Target="https://www.mercadolibre.com.ar/reporting/activity/detail?id=52415655949" TargetMode="External"/><Relationship Id="rId1180" Type="http://schemas.openxmlformats.org/officeDocument/2006/relationships/hyperlink" Target="https://www.mercadolibre.com.ar/reporting/activity/detail?id=51014460439" TargetMode="External"/><Relationship Id="rId203" Type="http://schemas.openxmlformats.org/officeDocument/2006/relationships/hyperlink" Target="https://www.mercadolibre.com.ar/reporting/activity/detail?id=51439244334" TargetMode="External"/><Relationship Id="rId648" Type="http://schemas.openxmlformats.org/officeDocument/2006/relationships/hyperlink" Target="https://www.mercadolibre.com.ar/reporting/activity/detail?id=51920125675" TargetMode="External"/><Relationship Id="rId855" Type="http://schemas.openxmlformats.org/officeDocument/2006/relationships/hyperlink" Target="https://www.mercadolibre.com.ar/reporting/activity/detail?id=52191469917" TargetMode="External"/><Relationship Id="rId1040" Type="http://schemas.openxmlformats.org/officeDocument/2006/relationships/hyperlink" Target="https://www.mercadolibre.com.ar/reporting/activity/detail?id=52460294118" TargetMode="External"/><Relationship Id="rId1278" Type="http://schemas.openxmlformats.org/officeDocument/2006/relationships/hyperlink" Target="https://www.mercadolibre.com.ar/reporting/activity/detail?id=51077901558" TargetMode="External"/><Relationship Id="rId287" Type="http://schemas.openxmlformats.org/officeDocument/2006/relationships/hyperlink" Target="https://www.mercadolibre.com.ar/reporting/activity/detail?id=51492094222" TargetMode="External"/><Relationship Id="rId410" Type="http://schemas.openxmlformats.org/officeDocument/2006/relationships/hyperlink" Target="https://www.mercadolibre.com.ar/reporting/activity/detail?id=51577058777" TargetMode="External"/><Relationship Id="rId494" Type="http://schemas.openxmlformats.org/officeDocument/2006/relationships/hyperlink" Target="https://www.mercadolibre.com.ar/reporting/activity/detail?id=51789862637" TargetMode="External"/><Relationship Id="rId508" Type="http://schemas.openxmlformats.org/officeDocument/2006/relationships/hyperlink" Target="https://www.mercadolibre.com.ar/reporting/activity/detail?id=51790670800" TargetMode="External"/><Relationship Id="rId715" Type="http://schemas.openxmlformats.org/officeDocument/2006/relationships/hyperlink" Target="https://www.mercadolibre.com.ar/reporting/activity/detail?id=52098280060" TargetMode="External"/><Relationship Id="rId922" Type="http://schemas.openxmlformats.org/officeDocument/2006/relationships/hyperlink" Target="https://www.mercadolibre.com.ar/reporting/activity/detail?id=52367528328" TargetMode="External"/><Relationship Id="rId1138" Type="http://schemas.openxmlformats.org/officeDocument/2006/relationships/hyperlink" Target="https://www.mercadolibre.com.ar/reporting/activity/detail?id=52516598823" TargetMode="External"/><Relationship Id="rId1345" Type="http://schemas.openxmlformats.org/officeDocument/2006/relationships/hyperlink" Target="https://www.mercadolibre.com.ar/reporting/activity/detail?id=51130628116" TargetMode="External"/><Relationship Id="rId147" Type="http://schemas.openxmlformats.org/officeDocument/2006/relationships/hyperlink" Target="https://www.mercadolibre.com.ar/reporting/activity/detail?id=51433664949" TargetMode="External"/><Relationship Id="rId354" Type="http://schemas.openxmlformats.org/officeDocument/2006/relationships/hyperlink" Target="https://www.mercadolibre.com.ar/reporting/activity/detail?id=51537495338" TargetMode="External"/><Relationship Id="rId799" Type="http://schemas.openxmlformats.org/officeDocument/2006/relationships/hyperlink" Target="https://www.mercadolibre.com.ar/reporting/activity/detail?id=52104132822" TargetMode="External"/><Relationship Id="rId1191" Type="http://schemas.openxmlformats.org/officeDocument/2006/relationships/hyperlink" Target="https://www.mercadolibre.com.ar/reporting/activity/detail?id=51023567216" TargetMode="External"/><Relationship Id="rId1205" Type="http://schemas.openxmlformats.org/officeDocument/2006/relationships/hyperlink" Target="https://www.mercadolibre.com.ar/reporting/activity/detail?id=51068461860" TargetMode="External"/><Relationship Id="rId51" Type="http://schemas.openxmlformats.org/officeDocument/2006/relationships/hyperlink" Target="https://www.mercadolibre.com.ar/reporting/activity/detail?id=51212914170" TargetMode="External"/><Relationship Id="rId561" Type="http://schemas.openxmlformats.org/officeDocument/2006/relationships/hyperlink" Target="https://www.mercadolibre.com.ar/reporting/activity/detail?id=51880774878" TargetMode="External"/><Relationship Id="rId659" Type="http://schemas.openxmlformats.org/officeDocument/2006/relationships/hyperlink" Target="https://www.mercadolibre.com.ar/reporting/activity/detail?id=51923165687" TargetMode="External"/><Relationship Id="rId866" Type="http://schemas.openxmlformats.org/officeDocument/2006/relationships/hyperlink" Target="https://www.mercadolibre.com.ar/reporting/activity/detail?id=52192957291" TargetMode="External"/><Relationship Id="rId1289" Type="http://schemas.openxmlformats.org/officeDocument/2006/relationships/hyperlink" Target="https://www.mercadolibre.com.ar/reporting/activity/detail?id=51118134676" TargetMode="External"/><Relationship Id="rId214" Type="http://schemas.openxmlformats.org/officeDocument/2006/relationships/hyperlink" Target="https://www.mercadolibre.com.ar/reporting/activity/detail?id=51482631904" TargetMode="External"/><Relationship Id="rId298" Type="http://schemas.openxmlformats.org/officeDocument/2006/relationships/hyperlink" Target="https://www.mercadolibre.com.ar/reporting/activity/detail?id=51529889537" TargetMode="External"/><Relationship Id="rId421" Type="http://schemas.openxmlformats.org/officeDocument/2006/relationships/hyperlink" Target="https://www.mercadolibre.com.ar/reporting/activity/detail?id=51723988664" TargetMode="External"/><Relationship Id="rId519" Type="http://schemas.openxmlformats.org/officeDocument/2006/relationships/hyperlink" Target="https://www.mercadolibre.com.ar/reporting/activity/detail?id=51791551527" TargetMode="External"/><Relationship Id="rId1051" Type="http://schemas.openxmlformats.org/officeDocument/2006/relationships/hyperlink" Target="https://www.mercadolibre.com.ar/reporting/activity/detail?id=52463206360" TargetMode="External"/><Relationship Id="rId1149" Type="http://schemas.openxmlformats.org/officeDocument/2006/relationships/hyperlink" Target="https://www.mercadolibre.com.ar/reporting/activity/detail?id=52516917404" TargetMode="External"/><Relationship Id="rId1356" Type="http://schemas.openxmlformats.org/officeDocument/2006/relationships/hyperlink" Target="https://www.mercadolibre.com.ar/reporting/activity/detail?id=51166842128" TargetMode="External"/><Relationship Id="rId158" Type="http://schemas.openxmlformats.org/officeDocument/2006/relationships/hyperlink" Target="https://www.mercadolibre.com.ar/reporting/activity/detail?id=51435491307" TargetMode="External"/><Relationship Id="rId726" Type="http://schemas.openxmlformats.org/officeDocument/2006/relationships/hyperlink" Target="https://www.mercadolibre.com.ar/reporting/activity/detail?id=52099358854" TargetMode="External"/><Relationship Id="rId933" Type="http://schemas.openxmlformats.org/officeDocument/2006/relationships/hyperlink" Target="https://www.mercadolibre.com.ar/reporting/activity/detail?id=52410701252" TargetMode="External"/><Relationship Id="rId1009" Type="http://schemas.openxmlformats.org/officeDocument/2006/relationships/hyperlink" Target="https://www.mercadolibre.com.ar/reporting/activity/detail?id=52416259976" TargetMode="External"/><Relationship Id="rId62" Type="http://schemas.openxmlformats.org/officeDocument/2006/relationships/hyperlink" Target="https://www.mercadolibre.com.ar/reporting/activity/detail?id=51216643399" TargetMode="External"/><Relationship Id="rId365" Type="http://schemas.openxmlformats.org/officeDocument/2006/relationships/hyperlink" Target="https://www.mercadolibre.com.ar/reporting/activity/detail?id=51538278104" TargetMode="External"/><Relationship Id="rId572" Type="http://schemas.openxmlformats.org/officeDocument/2006/relationships/hyperlink" Target="https://www.mercadolibre.com.ar/reporting/activity/detail?id=51883371162" TargetMode="External"/><Relationship Id="rId1216" Type="http://schemas.openxmlformats.org/officeDocument/2006/relationships/hyperlink" Target="https://www.mercadolibre.com.ar/reporting/activity/detail?id=51072555831" TargetMode="External"/><Relationship Id="rId225" Type="http://schemas.openxmlformats.org/officeDocument/2006/relationships/hyperlink" Target="https://www.mercadolibre.com.ar/reporting/activity/detail?id=51485571836" TargetMode="External"/><Relationship Id="rId432" Type="http://schemas.openxmlformats.org/officeDocument/2006/relationships/hyperlink" Target="https://www.mercadolibre.com.ar/reporting/activity/detail?id=51731390272" TargetMode="External"/><Relationship Id="rId877" Type="http://schemas.openxmlformats.org/officeDocument/2006/relationships/hyperlink" Target="https://www.mercadolibre.com.ar/reporting/activity/detail?id=52226613145" TargetMode="External"/><Relationship Id="rId1062" Type="http://schemas.openxmlformats.org/officeDocument/2006/relationships/hyperlink" Target="https://www.mercadolibre.com.ar/reporting/activity/detail?id=52466477883" TargetMode="External"/><Relationship Id="rId737" Type="http://schemas.openxmlformats.org/officeDocument/2006/relationships/hyperlink" Target="https://www.mercadolibre.com.ar/reporting/activity/detail?id=52100689732" TargetMode="External"/><Relationship Id="rId944" Type="http://schemas.openxmlformats.org/officeDocument/2006/relationships/hyperlink" Target="https://www.mercadolibre.com.ar/reporting/activity/detail?id=52412214678" TargetMode="External"/><Relationship Id="rId1367" Type="http://schemas.openxmlformats.org/officeDocument/2006/relationships/hyperlink" Target="https://www.mercadolibre.com.ar/reporting/activity/detail?id=51173491473" TargetMode="External"/><Relationship Id="rId73" Type="http://schemas.openxmlformats.org/officeDocument/2006/relationships/hyperlink" Target="https://www.mercadolibre.com.ar/reporting/activity/detail?id=51370555954" TargetMode="External"/><Relationship Id="rId169" Type="http://schemas.openxmlformats.org/officeDocument/2006/relationships/hyperlink" Target="https://www.mercadolibre.com.ar/reporting/activity/detail?id=51436728951" TargetMode="External"/><Relationship Id="rId376" Type="http://schemas.openxmlformats.org/officeDocument/2006/relationships/hyperlink" Target="https://www.mercadolibre.com.ar/reporting/activity/detail?id=51538971300" TargetMode="External"/><Relationship Id="rId583" Type="http://schemas.openxmlformats.org/officeDocument/2006/relationships/hyperlink" Target="https://www.mercadolibre.com.ar/reporting/activity/detail?id=51885097802" TargetMode="External"/><Relationship Id="rId790" Type="http://schemas.openxmlformats.org/officeDocument/2006/relationships/hyperlink" Target="https://www.mercadolibre.com.ar/reporting/activity/detail?id=52103752514" TargetMode="External"/><Relationship Id="rId804" Type="http://schemas.openxmlformats.org/officeDocument/2006/relationships/hyperlink" Target="https://www.mercadolibre.com.ar/reporting/activity/detail?id=52104317324" TargetMode="External"/><Relationship Id="rId1227" Type="http://schemas.openxmlformats.org/officeDocument/2006/relationships/hyperlink" Target="https://www.mercadolibre.com.ar/reporting/activity/detail?id=51074044454" TargetMode="External"/><Relationship Id="rId4" Type="http://schemas.openxmlformats.org/officeDocument/2006/relationships/hyperlink" Target="https://www.mercadolibre.com.ar/reporting/activity/detail?id=51177925762" TargetMode="External"/><Relationship Id="rId236" Type="http://schemas.openxmlformats.org/officeDocument/2006/relationships/hyperlink" Target="https://www.mercadolibre.com.ar/reporting/activity/detail?id=51487355034" TargetMode="External"/><Relationship Id="rId443" Type="http://schemas.openxmlformats.org/officeDocument/2006/relationships/hyperlink" Target="https://www.mercadolibre.com.ar/reporting/activity/detail?id=51781688989" TargetMode="External"/><Relationship Id="rId650" Type="http://schemas.openxmlformats.org/officeDocument/2006/relationships/hyperlink" Target="https://www.mercadolibre.com.ar/reporting/activity/detail?id=51920685603" TargetMode="External"/><Relationship Id="rId888" Type="http://schemas.openxmlformats.org/officeDocument/2006/relationships/hyperlink" Target="https://www.mercadolibre.com.ar/reporting/activity/detail?id=52228776187" TargetMode="External"/><Relationship Id="rId1073" Type="http://schemas.openxmlformats.org/officeDocument/2006/relationships/hyperlink" Target="https://www.mercadolibre.com.ar/reporting/activity/detail?id=52468494945" TargetMode="External"/><Relationship Id="rId1280" Type="http://schemas.openxmlformats.org/officeDocument/2006/relationships/hyperlink" Target="https://www.mercadolibre.com.ar/reporting/activity/detail?id=51078091018" TargetMode="External"/><Relationship Id="rId303" Type="http://schemas.openxmlformats.org/officeDocument/2006/relationships/hyperlink" Target="https://www.mercadolibre.com.ar/reporting/activity/detail?id=51531174113" TargetMode="External"/><Relationship Id="rId748" Type="http://schemas.openxmlformats.org/officeDocument/2006/relationships/hyperlink" Target="https://www.mercadolibre.com.ar/reporting/activity/detail?id=52101923455" TargetMode="External"/><Relationship Id="rId955" Type="http://schemas.openxmlformats.org/officeDocument/2006/relationships/hyperlink" Target="https://www.mercadolibre.com.ar/reporting/activity/detail?id=52412957081" TargetMode="External"/><Relationship Id="rId1140" Type="http://schemas.openxmlformats.org/officeDocument/2006/relationships/hyperlink" Target="https://www.mercadolibre.com.ar/reporting/activity/detail?id=52516629436" TargetMode="External"/><Relationship Id="rId1378" Type="http://schemas.openxmlformats.org/officeDocument/2006/relationships/hyperlink" Target="https://www.mercadolibre.com.ar/reporting/activity/detail?id=51174706774" TargetMode="External"/><Relationship Id="rId84" Type="http://schemas.openxmlformats.org/officeDocument/2006/relationships/hyperlink" Target="https://www.mercadolibre.com.ar/reporting/activity/detail?id=51376651437" TargetMode="External"/><Relationship Id="rId387" Type="http://schemas.openxmlformats.org/officeDocument/2006/relationships/hyperlink" Target="https://www.mercadolibre.com.ar/reporting/activity/detail?id=51540031526" TargetMode="External"/><Relationship Id="rId510" Type="http://schemas.openxmlformats.org/officeDocument/2006/relationships/hyperlink" Target="https://www.mercadolibre.com.ar/reporting/activity/detail?id=51790816661" TargetMode="External"/><Relationship Id="rId594" Type="http://schemas.openxmlformats.org/officeDocument/2006/relationships/hyperlink" Target="https://www.mercadolibre.com.ar/reporting/activity/detail?id=51885715561" TargetMode="External"/><Relationship Id="rId608" Type="http://schemas.openxmlformats.org/officeDocument/2006/relationships/hyperlink" Target="https://www.mercadolibre.com.ar/reporting/activity/detail?id=51886559242" TargetMode="External"/><Relationship Id="rId815" Type="http://schemas.openxmlformats.org/officeDocument/2006/relationships/hyperlink" Target="https://www.mercadolibre.com.ar/reporting/activity/detail?id=52144753482" TargetMode="External"/><Relationship Id="rId1238" Type="http://schemas.openxmlformats.org/officeDocument/2006/relationships/hyperlink" Target="https://www.mercadolibre.com.ar/reporting/activity/detail?id=51075195068" TargetMode="External"/><Relationship Id="rId247" Type="http://schemas.openxmlformats.org/officeDocument/2006/relationships/hyperlink" Target="https://www.mercadolibre.com.ar/reporting/activity/detail?id=51488146507" TargetMode="External"/><Relationship Id="rId899" Type="http://schemas.openxmlformats.org/officeDocument/2006/relationships/hyperlink" Target="https://www.mercadolibre.com.ar/reporting/activity/detail?id=52230052155" TargetMode="External"/><Relationship Id="rId1000" Type="http://schemas.openxmlformats.org/officeDocument/2006/relationships/hyperlink" Target="https://www.mercadolibre.com.ar/reporting/activity/detail?id=52415866310" TargetMode="External"/><Relationship Id="rId1084" Type="http://schemas.openxmlformats.org/officeDocument/2006/relationships/hyperlink" Target="https://www.mercadolibre.com.ar/reporting/activity/detail?id=52508448629" TargetMode="External"/><Relationship Id="rId1305" Type="http://schemas.openxmlformats.org/officeDocument/2006/relationships/hyperlink" Target="https://www.mercadolibre.com.ar/reporting/activity/detail?id=51124884034" TargetMode="External"/><Relationship Id="rId107" Type="http://schemas.openxmlformats.org/officeDocument/2006/relationships/hyperlink" Target="https://www.mercadolibre.com.ar/reporting/activity/detail?id=51382751363" TargetMode="External"/><Relationship Id="rId454" Type="http://schemas.openxmlformats.org/officeDocument/2006/relationships/hyperlink" Target="https://www.mercadolibre.com.ar/reporting/activity/detail?id=51785255604" TargetMode="External"/><Relationship Id="rId661" Type="http://schemas.openxmlformats.org/officeDocument/2006/relationships/hyperlink" Target="https://www.mercadolibre.com.ar/reporting/activity/detail?id=51923981061" TargetMode="External"/><Relationship Id="rId759" Type="http://schemas.openxmlformats.org/officeDocument/2006/relationships/hyperlink" Target="https://www.mercadolibre.com.ar/reporting/activity/detail?id=52102674469" TargetMode="External"/><Relationship Id="rId966" Type="http://schemas.openxmlformats.org/officeDocument/2006/relationships/hyperlink" Target="https://www.mercadolibre.com.ar/reporting/activity/detail?id=52413652395" TargetMode="External"/><Relationship Id="rId1291" Type="http://schemas.openxmlformats.org/officeDocument/2006/relationships/hyperlink" Target="https://www.mercadolibre.com.ar/reporting/activity/detail?id=51119357105" TargetMode="External"/><Relationship Id="rId1389" Type="http://schemas.openxmlformats.org/officeDocument/2006/relationships/hyperlink" Target="https://www.mercadolibre.com.ar/reporting/activity/detail?id=51176849893" TargetMode="External"/><Relationship Id="rId11" Type="http://schemas.openxmlformats.org/officeDocument/2006/relationships/hyperlink" Target="https://www.mercadolibre.com.ar/reporting/activity/detail?id=51178656402" TargetMode="External"/><Relationship Id="rId314" Type="http://schemas.openxmlformats.org/officeDocument/2006/relationships/hyperlink" Target="https://www.mercadolibre.com.ar/reporting/activity/detail?id=51532889237" TargetMode="External"/><Relationship Id="rId398" Type="http://schemas.openxmlformats.org/officeDocument/2006/relationships/hyperlink" Target="https://www.mercadolibre.com.ar/reporting/activity/detail?id=51540417124" TargetMode="External"/><Relationship Id="rId521" Type="http://schemas.openxmlformats.org/officeDocument/2006/relationships/hyperlink" Target="https://www.mercadolibre.com.ar/reporting/activity/detail?id=51828406447" TargetMode="External"/><Relationship Id="rId619" Type="http://schemas.openxmlformats.org/officeDocument/2006/relationships/hyperlink" Target="https://www.mercadolibre.com.ar/reporting/activity/detail?id=51887785302" TargetMode="External"/><Relationship Id="rId1151" Type="http://schemas.openxmlformats.org/officeDocument/2006/relationships/hyperlink" Target="https://www.mercadolibre.com.ar/reporting/activity/detail?id=52516984736" TargetMode="External"/><Relationship Id="rId1249" Type="http://schemas.openxmlformats.org/officeDocument/2006/relationships/hyperlink" Target="https://www.mercadolibre.com.ar/reporting/activity/detail?id=51075972722" TargetMode="External"/><Relationship Id="rId95" Type="http://schemas.openxmlformats.org/officeDocument/2006/relationships/hyperlink" Target="https://www.mercadolibre.com.ar/reporting/activity/detail?id=51380007388" TargetMode="External"/><Relationship Id="rId160" Type="http://schemas.openxmlformats.org/officeDocument/2006/relationships/hyperlink" Target="https://www.mercadolibre.com.ar/reporting/activity/detail?id=51435943063" TargetMode="External"/><Relationship Id="rId826" Type="http://schemas.openxmlformats.org/officeDocument/2006/relationships/hyperlink" Target="https://www.mercadolibre.com.ar/reporting/activity/detail?id=52150226490" TargetMode="External"/><Relationship Id="rId1011" Type="http://schemas.openxmlformats.org/officeDocument/2006/relationships/hyperlink" Target="https://www.mercadolibre.com.ar/reporting/activity/detail?id=52416370690" TargetMode="External"/><Relationship Id="rId1109" Type="http://schemas.openxmlformats.org/officeDocument/2006/relationships/hyperlink" Target="https://www.mercadolibre.com.ar/reporting/activity/detail?id=52514204221" TargetMode="External"/><Relationship Id="rId258" Type="http://schemas.openxmlformats.org/officeDocument/2006/relationships/hyperlink" Target="https://www.mercadolibre.com.ar/reporting/activity/detail?id=51489303442" TargetMode="External"/><Relationship Id="rId465" Type="http://schemas.openxmlformats.org/officeDocument/2006/relationships/hyperlink" Target="https://www.mercadolibre.com.ar/reporting/activity/detail?id=51786943846" TargetMode="External"/><Relationship Id="rId672" Type="http://schemas.openxmlformats.org/officeDocument/2006/relationships/hyperlink" Target="https://www.mercadolibre.com.ar/reporting/activity/detail?id=52051140553" TargetMode="External"/><Relationship Id="rId1095" Type="http://schemas.openxmlformats.org/officeDocument/2006/relationships/hyperlink" Target="https://www.mercadolibre.com.ar/reporting/activity/detail?id=52512840396" TargetMode="External"/><Relationship Id="rId1316" Type="http://schemas.openxmlformats.org/officeDocument/2006/relationships/hyperlink" Target="https://www.mercadolibre.com.ar/reporting/activity/detail?id=51126970482" TargetMode="External"/><Relationship Id="rId22" Type="http://schemas.openxmlformats.org/officeDocument/2006/relationships/hyperlink" Target="https://www.mercadolibre.com.ar/reporting/activity/detail?id=51179465593" TargetMode="External"/><Relationship Id="rId118" Type="http://schemas.openxmlformats.org/officeDocument/2006/relationships/hyperlink" Target="https://www.mercadolibre.com.ar/reporting/activity/detail?id=51429489897" TargetMode="External"/><Relationship Id="rId325" Type="http://schemas.openxmlformats.org/officeDocument/2006/relationships/hyperlink" Target="https://www.mercadolibre.com.ar/reporting/activity/detail?id=51534942475" TargetMode="External"/><Relationship Id="rId532" Type="http://schemas.openxmlformats.org/officeDocument/2006/relationships/hyperlink" Target="https://www.mercadolibre.com.ar/reporting/activity/detail?id=51834315802" TargetMode="External"/><Relationship Id="rId977" Type="http://schemas.openxmlformats.org/officeDocument/2006/relationships/hyperlink" Target="https://www.mercadolibre.com.ar/reporting/activity/detail?id=52414542255" TargetMode="External"/><Relationship Id="rId1162" Type="http://schemas.openxmlformats.org/officeDocument/2006/relationships/hyperlink" Target="https://www.mercadolibre.com.ar/reporting/activity/detail?id=52551544527" TargetMode="External"/><Relationship Id="rId171" Type="http://schemas.openxmlformats.org/officeDocument/2006/relationships/hyperlink" Target="https://www.mercadolibre.com.ar/reporting/activity/detail?id=51436947416" TargetMode="External"/><Relationship Id="rId837" Type="http://schemas.openxmlformats.org/officeDocument/2006/relationships/hyperlink" Target="https://www.mercadolibre.com.ar/reporting/activity/detail?id=52186146103" TargetMode="External"/><Relationship Id="rId1022" Type="http://schemas.openxmlformats.org/officeDocument/2006/relationships/hyperlink" Target="https://www.mercadolibre.com.ar/reporting/activity/detail?id=52416669568" TargetMode="External"/><Relationship Id="rId269" Type="http://schemas.openxmlformats.org/officeDocument/2006/relationships/hyperlink" Target="https://www.mercadolibre.com.ar/reporting/activity/detail?id=51490328294" TargetMode="External"/><Relationship Id="rId476" Type="http://schemas.openxmlformats.org/officeDocument/2006/relationships/hyperlink" Target="https://www.mercadolibre.com.ar/reporting/activity/detail?id=51788137065" TargetMode="External"/><Relationship Id="rId683" Type="http://schemas.openxmlformats.org/officeDocument/2006/relationships/hyperlink" Target="https://www.mercadolibre.com.ar/reporting/activity/detail?id=52055083862" TargetMode="External"/><Relationship Id="rId890" Type="http://schemas.openxmlformats.org/officeDocument/2006/relationships/hyperlink" Target="https://www.mercadolibre.com.ar/reporting/activity/detail?id=52228852603" TargetMode="External"/><Relationship Id="rId904" Type="http://schemas.openxmlformats.org/officeDocument/2006/relationships/hyperlink" Target="https://www.mercadolibre.com.ar/reporting/activity/detail?id=52230481757" TargetMode="External"/><Relationship Id="rId1327" Type="http://schemas.openxmlformats.org/officeDocument/2006/relationships/hyperlink" Target="https://www.mercadolibre.com.ar/reporting/activity/detail?id=51127936813" TargetMode="External"/><Relationship Id="rId33" Type="http://schemas.openxmlformats.org/officeDocument/2006/relationships/hyperlink" Target="https://www.mercadolibre.com.ar/reporting/activity/detail?id=51180026999" TargetMode="External"/><Relationship Id="rId129" Type="http://schemas.openxmlformats.org/officeDocument/2006/relationships/hyperlink" Target="https://www.mercadolibre.com.ar/reporting/activity/detail?id=51431103613" TargetMode="External"/><Relationship Id="rId336" Type="http://schemas.openxmlformats.org/officeDocument/2006/relationships/hyperlink" Target="https://www.mercadolibre.com.ar/reporting/activity/detail?id=51536286598" TargetMode="External"/><Relationship Id="rId543" Type="http://schemas.openxmlformats.org/officeDocument/2006/relationships/hyperlink" Target="https://www.mercadolibre.com.ar/reporting/activity/detail?id=51838340515" TargetMode="External"/><Relationship Id="rId988" Type="http://schemas.openxmlformats.org/officeDocument/2006/relationships/hyperlink" Target="https://www.mercadolibre.com.ar/reporting/activity/detail?id=52415270578" TargetMode="External"/><Relationship Id="rId1173" Type="http://schemas.openxmlformats.org/officeDocument/2006/relationships/hyperlink" Target="https://www.mercadolibre.com.ar/reporting/activity/detail?id=52554337283" TargetMode="External"/><Relationship Id="rId1380" Type="http://schemas.openxmlformats.org/officeDocument/2006/relationships/hyperlink" Target="https://www.mercadolibre.com.ar/reporting/activity/detail?id=51175354970" TargetMode="External"/><Relationship Id="rId182" Type="http://schemas.openxmlformats.org/officeDocument/2006/relationships/hyperlink" Target="https://www.mercadolibre.com.ar/reporting/activity/detail?id=51437860757" TargetMode="External"/><Relationship Id="rId403" Type="http://schemas.openxmlformats.org/officeDocument/2006/relationships/hyperlink" Target="https://www.mercadolibre.com.ar/reporting/activity/detail?id=51574211161" TargetMode="External"/><Relationship Id="rId750" Type="http://schemas.openxmlformats.org/officeDocument/2006/relationships/hyperlink" Target="https://www.mercadolibre.com.ar/reporting/activity/detail?id=52102157443" TargetMode="External"/><Relationship Id="rId848" Type="http://schemas.openxmlformats.org/officeDocument/2006/relationships/hyperlink" Target="https://www.mercadolibre.com.ar/reporting/activity/detail?id=52188815351" TargetMode="External"/><Relationship Id="rId1033" Type="http://schemas.openxmlformats.org/officeDocument/2006/relationships/hyperlink" Target="https://www.mercadolibre.com.ar/reporting/activity/detail?id=52458407479" TargetMode="External"/><Relationship Id="rId487" Type="http://schemas.openxmlformats.org/officeDocument/2006/relationships/hyperlink" Target="https://www.mercadolibre.com.ar/reporting/activity/detail?id=51789025302" TargetMode="External"/><Relationship Id="rId610" Type="http://schemas.openxmlformats.org/officeDocument/2006/relationships/hyperlink" Target="https://www.mercadolibre.com.ar/reporting/activity/detail?id=51887010247" TargetMode="External"/><Relationship Id="rId694" Type="http://schemas.openxmlformats.org/officeDocument/2006/relationships/hyperlink" Target="https://www.mercadolibre.com.ar/reporting/activity/detail?id=52057128307" TargetMode="External"/><Relationship Id="rId708" Type="http://schemas.openxmlformats.org/officeDocument/2006/relationships/hyperlink" Target="https://www.mercadolibre.com.ar/reporting/activity/detail?id=52097435792" TargetMode="External"/><Relationship Id="rId915" Type="http://schemas.openxmlformats.org/officeDocument/2006/relationships/hyperlink" Target="https://www.mercadolibre.com.ar/reporting/activity/detail?id=52363188654" TargetMode="External"/><Relationship Id="rId1240" Type="http://schemas.openxmlformats.org/officeDocument/2006/relationships/hyperlink" Target="https://www.mercadolibre.com.ar/reporting/activity/detail?id=51075281569" TargetMode="External"/><Relationship Id="rId1338" Type="http://schemas.openxmlformats.org/officeDocument/2006/relationships/hyperlink" Target="https://www.mercadolibre.com.ar/reporting/activity/detail?id=51129484447" TargetMode="External"/><Relationship Id="rId347" Type="http://schemas.openxmlformats.org/officeDocument/2006/relationships/hyperlink" Target="https://www.mercadolibre.com.ar/reporting/activity/detail?id=51537274648" TargetMode="External"/><Relationship Id="rId999" Type="http://schemas.openxmlformats.org/officeDocument/2006/relationships/hyperlink" Target="https://www.mercadolibre.com.ar/reporting/activity/detail?id=52415819862" TargetMode="External"/><Relationship Id="rId1100" Type="http://schemas.openxmlformats.org/officeDocument/2006/relationships/hyperlink" Target="https://www.mercadolibre.com.ar/reporting/activity/detail?id=52513645226" TargetMode="External"/><Relationship Id="rId1184" Type="http://schemas.openxmlformats.org/officeDocument/2006/relationships/hyperlink" Target="https://www.mercadolibre.com.ar/reporting/activity/detail?id=51020539495" TargetMode="External"/><Relationship Id="rId44" Type="http://schemas.openxmlformats.org/officeDocument/2006/relationships/hyperlink" Target="https://www.mercadolibre.com.ar/reporting/activity/detail?id=51180546436" TargetMode="External"/><Relationship Id="rId554" Type="http://schemas.openxmlformats.org/officeDocument/2006/relationships/hyperlink" Target="https://www.mercadolibre.com.ar/reporting/activity/detail?id=51841304458" TargetMode="External"/><Relationship Id="rId761" Type="http://schemas.openxmlformats.org/officeDocument/2006/relationships/hyperlink" Target="https://www.mercadolibre.com.ar/reporting/activity/detail?id=52102751371" TargetMode="External"/><Relationship Id="rId859" Type="http://schemas.openxmlformats.org/officeDocument/2006/relationships/hyperlink" Target="https://www.mercadolibre.com.ar/reporting/activity/detail?id=52192205166" TargetMode="External"/><Relationship Id="rId1391" Type="http://schemas.openxmlformats.org/officeDocument/2006/relationships/hyperlink" Target="https://www.mercadolibre.com.ar/reporting/activity/detail?id=51177198017" TargetMode="External"/><Relationship Id="rId193" Type="http://schemas.openxmlformats.org/officeDocument/2006/relationships/hyperlink" Target="https://www.mercadolibre.com.ar/reporting/activity/detail?id=51438477435" TargetMode="External"/><Relationship Id="rId207" Type="http://schemas.openxmlformats.org/officeDocument/2006/relationships/hyperlink" Target="https://www.mercadolibre.com.ar/reporting/activity/detail?id=51476540416" TargetMode="External"/><Relationship Id="rId414" Type="http://schemas.openxmlformats.org/officeDocument/2006/relationships/hyperlink" Target="https://www.mercadolibre.com.ar/reporting/activity/detail?id=51577452797" TargetMode="External"/><Relationship Id="rId498" Type="http://schemas.openxmlformats.org/officeDocument/2006/relationships/hyperlink" Target="https://www.mercadolibre.com.ar/reporting/activity/detail?id=51790213541" TargetMode="External"/><Relationship Id="rId621" Type="http://schemas.openxmlformats.org/officeDocument/2006/relationships/hyperlink" Target="https://www.mercadolibre.com.ar/reporting/activity/detail?id=51887963257" TargetMode="External"/><Relationship Id="rId1044" Type="http://schemas.openxmlformats.org/officeDocument/2006/relationships/hyperlink" Target="https://www.mercadolibre.com.ar/reporting/activity/detail?id=52461185259" TargetMode="External"/><Relationship Id="rId1251" Type="http://schemas.openxmlformats.org/officeDocument/2006/relationships/hyperlink" Target="https://www.mercadolibre.com.ar/reporting/activity/detail?id=51076067301" TargetMode="External"/><Relationship Id="rId1349" Type="http://schemas.openxmlformats.org/officeDocument/2006/relationships/hyperlink" Target="https://www.mercadolibre.com.ar/reporting/activity/detail?id=51130793305" TargetMode="External"/><Relationship Id="rId260" Type="http://schemas.openxmlformats.org/officeDocument/2006/relationships/hyperlink" Target="https://www.mercadolibre.com.ar/reporting/activity/detail?id=51489430768" TargetMode="External"/><Relationship Id="rId719" Type="http://schemas.openxmlformats.org/officeDocument/2006/relationships/hyperlink" Target="https://www.mercadolibre.com.ar/reporting/activity/detail?id=52098500401" TargetMode="External"/><Relationship Id="rId926" Type="http://schemas.openxmlformats.org/officeDocument/2006/relationships/hyperlink" Target="https://www.mercadolibre.com.ar/reporting/activity/detail?id=52403457780" TargetMode="External"/><Relationship Id="rId1111" Type="http://schemas.openxmlformats.org/officeDocument/2006/relationships/hyperlink" Target="https://www.mercadolibre.com.ar/reporting/activity/detail?id=52514372421" TargetMode="External"/><Relationship Id="rId55" Type="http://schemas.openxmlformats.org/officeDocument/2006/relationships/hyperlink" Target="https://www.mercadolibre.com.ar/reporting/activity/detail?id=51214707046" TargetMode="External"/><Relationship Id="rId120" Type="http://schemas.openxmlformats.org/officeDocument/2006/relationships/hyperlink" Target="https://www.mercadolibre.com.ar/reporting/activity/detail?id=51429668439" TargetMode="External"/><Relationship Id="rId358" Type="http://schemas.openxmlformats.org/officeDocument/2006/relationships/hyperlink" Target="https://www.mercadolibre.com.ar/reporting/activity/detail?id=51537731913" TargetMode="External"/><Relationship Id="rId565" Type="http://schemas.openxmlformats.org/officeDocument/2006/relationships/hyperlink" Target="https://www.mercadolibre.com.ar/reporting/activity/detail?id=51882344290" TargetMode="External"/><Relationship Id="rId772" Type="http://schemas.openxmlformats.org/officeDocument/2006/relationships/hyperlink" Target="https://www.mercadolibre.com.ar/reporting/activity/detail?id=52103139128" TargetMode="External"/><Relationship Id="rId1195" Type="http://schemas.openxmlformats.org/officeDocument/2006/relationships/hyperlink" Target="https://www.mercadolibre.com.ar/reporting/activity/detail?id=51024686385" TargetMode="External"/><Relationship Id="rId1209" Type="http://schemas.openxmlformats.org/officeDocument/2006/relationships/hyperlink" Target="https://www.mercadolibre.com.ar/reporting/activity/detail?id=51071698369" TargetMode="External"/><Relationship Id="rId218" Type="http://schemas.openxmlformats.org/officeDocument/2006/relationships/hyperlink" Target="https://www.mercadolibre.com.ar/reporting/activity/detail?id=51483811620" TargetMode="External"/><Relationship Id="rId425" Type="http://schemas.openxmlformats.org/officeDocument/2006/relationships/hyperlink" Target="https://www.mercadolibre.com.ar/reporting/activity/detail?id=51727837165" TargetMode="External"/><Relationship Id="rId632" Type="http://schemas.openxmlformats.org/officeDocument/2006/relationships/hyperlink" Target="https://www.mercadolibre.com.ar/reporting/activity/detail?id=51888390600" TargetMode="External"/><Relationship Id="rId1055" Type="http://schemas.openxmlformats.org/officeDocument/2006/relationships/hyperlink" Target="https://www.mercadolibre.com.ar/reporting/activity/detail?id=52464557818" TargetMode="External"/><Relationship Id="rId1262" Type="http://schemas.openxmlformats.org/officeDocument/2006/relationships/hyperlink" Target="https://www.mercadolibre.com.ar/reporting/activity/detail?id=51076813741" TargetMode="External"/><Relationship Id="rId271" Type="http://schemas.openxmlformats.org/officeDocument/2006/relationships/hyperlink" Target="https://www.mercadolibre.com.ar/reporting/activity/detail?id=51490392233" TargetMode="External"/><Relationship Id="rId937" Type="http://schemas.openxmlformats.org/officeDocument/2006/relationships/hyperlink" Target="https://www.mercadolibre.com.ar/reporting/activity/detail?id=52411012603" TargetMode="External"/><Relationship Id="rId1122" Type="http://schemas.openxmlformats.org/officeDocument/2006/relationships/hyperlink" Target="https://www.mercadolibre.com.ar/reporting/activity/detail?id=52515362871" TargetMode="External"/><Relationship Id="rId66" Type="http://schemas.openxmlformats.org/officeDocument/2006/relationships/hyperlink" Target="https://www.mercadolibre.com.ar/reporting/activity/detail?id=51217466278" TargetMode="External"/><Relationship Id="rId131" Type="http://schemas.openxmlformats.org/officeDocument/2006/relationships/hyperlink" Target="https://www.mercadolibre.com.ar/reporting/activity/detail?id=51431433445" TargetMode="External"/><Relationship Id="rId369" Type="http://schemas.openxmlformats.org/officeDocument/2006/relationships/hyperlink" Target="https://www.mercadolibre.com.ar/reporting/activity/detail?id=51538534927" TargetMode="External"/><Relationship Id="rId576" Type="http://schemas.openxmlformats.org/officeDocument/2006/relationships/hyperlink" Target="https://www.mercadolibre.com.ar/reporting/activity/detail?id=51884283664" TargetMode="External"/><Relationship Id="rId783" Type="http://schemas.openxmlformats.org/officeDocument/2006/relationships/hyperlink" Target="https://www.mercadolibre.com.ar/reporting/activity/detail?id=52103629401" TargetMode="External"/><Relationship Id="rId990" Type="http://schemas.openxmlformats.org/officeDocument/2006/relationships/hyperlink" Target="https://www.mercadolibre.com.ar/reporting/activity/detail?id=52415467470" TargetMode="External"/><Relationship Id="rId229" Type="http://schemas.openxmlformats.org/officeDocument/2006/relationships/hyperlink" Target="https://www.mercadolibre.com.ar/reporting/activity/detail?id=51486187883" TargetMode="External"/><Relationship Id="rId436" Type="http://schemas.openxmlformats.org/officeDocument/2006/relationships/hyperlink" Target="https://www.mercadolibre.com.ar/reporting/activity/detail?id=51732381890" TargetMode="External"/><Relationship Id="rId643" Type="http://schemas.openxmlformats.org/officeDocument/2006/relationships/hyperlink" Target="https://www.mercadolibre.com.ar/reporting/activity/detail?id=51919264466" TargetMode="External"/><Relationship Id="rId1066" Type="http://schemas.openxmlformats.org/officeDocument/2006/relationships/hyperlink" Target="https://www.mercadolibre.com.ar/reporting/activity/detail?id=52467261466" TargetMode="External"/><Relationship Id="rId1273" Type="http://schemas.openxmlformats.org/officeDocument/2006/relationships/hyperlink" Target="https://www.mercadolibre.com.ar/reporting/activity/detail?id=51077657699" TargetMode="External"/><Relationship Id="rId850" Type="http://schemas.openxmlformats.org/officeDocument/2006/relationships/hyperlink" Target="https://www.mercadolibre.com.ar/reporting/activity/detail?id=52189409949" TargetMode="External"/><Relationship Id="rId948" Type="http://schemas.openxmlformats.org/officeDocument/2006/relationships/hyperlink" Target="https://www.mercadolibre.com.ar/reporting/activity/detail?id=52412493869" TargetMode="External"/><Relationship Id="rId1133" Type="http://schemas.openxmlformats.org/officeDocument/2006/relationships/hyperlink" Target="https://www.mercadolibre.com.ar/reporting/activity/detail?id=52516150030" TargetMode="External"/><Relationship Id="rId77" Type="http://schemas.openxmlformats.org/officeDocument/2006/relationships/hyperlink" Target="https://www.mercadolibre.com.ar/reporting/activity/detail?id=51375160594" TargetMode="External"/><Relationship Id="rId282" Type="http://schemas.openxmlformats.org/officeDocument/2006/relationships/hyperlink" Target="https://www.mercadolibre.com.ar/reporting/activity/detail?id=51491323667" TargetMode="External"/><Relationship Id="rId503" Type="http://schemas.openxmlformats.org/officeDocument/2006/relationships/hyperlink" Target="https://www.mercadolibre.com.ar/reporting/activity/detail?id=51790573680" TargetMode="External"/><Relationship Id="rId587" Type="http://schemas.openxmlformats.org/officeDocument/2006/relationships/hyperlink" Target="https://www.mercadolibre.com.ar/reporting/activity/detail?id=51885452340" TargetMode="External"/><Relationship Id="rId710" Type="http://schemas.openxmlformats.org/officeDocument/2006/relationships/hyperlink" Target="https://www.mercadolibre.com.ar/reporting/activity/detail?id=52097841431" TargetMode="External"/><Relationship Id="rId808" Type="http://schemas.openxmlformats.org/officeDocument/2006/relationships/hyperlink" Target="https://www.mercadolibre.com.ar/reporting/activity/detail?id=52135917806" TargetMode="External"/><Relationship Id="rId1340" Type="http://schemas.openxmlformats.org/officeDocument/2006/relationships/hyperlink" Target="https://www.mercadolibre.com.ar/reporting/activity/detail?id=51130227965" TargetMode="External"/><Relationship Id="rId8" Type="http://schemas.openxmlformats.org/officeDocument/2006/relationships/hyperlink" Target="https://www.mercadolibre.com.ar/reporting/activity/detail?id=51178511670" TargetMode="External"/><Relationship Id="rId142" Type="http://schemas.openxmlformats.org/officeDocument/2006/relationships/hyperlink" Target="https://www.mercadolibre.com.ar/reporting/activity/detail?id=51432888456" TargetMode="External"/><Relationship Id="rId447" Type="http://schemas.openxmlformats.org/officeDocument/2006/relationships/hyperlink" Target="https://www.mercadolibre.com.ar/reporting/activity/detail?id=51783830690" TargetMode="External"/><Relationship Id="rId794" Type="http://schemas.openxmlformats.org/officeDocument/2006/relationships/hyperlink" Target="https://www.mercadolibre.com.ar/reporting/activity/detail?id=52103962043" TargetMode="External"/><Relationship Id="rId1077" Type="http://schemas.openxmlformats.org/officeDocument/2006/relationships/hyperlink" Target="https://www.mercadolibre.com.ar/reporting/activity/detail?id=52502431153" TargetMode="External"/><Relationship Id="rId1200" Type="http://schemas.openxmlformats.org/officeDocument/2006/relationships/hyperlink" Target="https://www.mercadolibre.com.ar/reporting/activity/detail?id=51026805316" TargetMode="External"/><Relationship Id="rId654" Type="http://schemas.openxmlformats.org/officeDocument/2006/relationships/hyperlink" Target="https://www.mercadolibre.com.ar/reporting/activity/detail?id=51922104623" TargetMode="External"/><Relationship Id="rId861" Type="http://schemas.openxmlformats.org/officeDocument/2006/relationships/hyperlink" Target="https://www.mercadolibre.com.ar/reporting/activity/detail?id=52192235780" TargetMode="External"/><Relationship Id="rId959" Type="http://schemas.openxmlformats.org/officeDocument/2006/relationships/hyperlink" Target="https://www.mercadolibre.com.ar/reporting/activity/detail?id=52413257766" TargetMode="External"/><Relationship Id="rId1284" Type="http://schemas.openxmlformats.org/officeDocument/2006/relationships/hyperlink" Target="https://www.mercadolibre.com.ar/reporting/activity/detail?id=51078215402" TargetMode="External"/><Relationship Id="rId293" Type="http://schemas.openxmlformats.org/officeDocument/2006/relationships/hyperlink" Target="https://www.mercadolibre.com.ar/reporting/activity/detail?id=51492367872" TargetMode="External"/><Relationship Id="rId307" Type="http://schemas.openxmlformats.org/officeDocument/2006/relationships/hyperlink" Target="https://www.mercadolibre.com.ar/reporting/activity/detail?id=51531751638" TargetMode="External"/><Relationship Id="rId514" Type="http://schemas.openxmlformats.org/officeDocument/2006/relationships/hyperlink" Target="https://www.mercadolibre.com.ar/reporting/activity/detail?id=51790994466" TargetMode="External"/><Relationship Id="rId721" Type="http://schemas.openxmlformats.org/officeDocument/2006/relationships/hyperlink" Target="https://www.mercadolibre.com.ar/reporting/activity/detail?id=52098956509" TargetMode="External"/><Relationship Id="rId1144" Type="http://schemas.openxmlformats.org/officeDocument/2006/relationships/hyperlink" Target="https://www.mercadolibre.com.ar/reporting/activity/detail?id=52516748410" TargetMode="External"/><Relationship Id="rId1351" Type="http://schemas.openxmlformats.org/officeDocument/2006/relationships/hyperlink" Target="https://www.mercadolibre.com.ar/reporting/activity/detail?id=51130855135" TargetMode="External"/><Relationship Id="rId88" Type="http://schemas.openxmlformats.org/officeDocument/2006/relationships/hyperlink" Target="https://www.mercadolibre.com.ar/reporting/activity/detail?id=51377796790" TargetMode="External"/><Relationship Id="rId153" Type="http://schemas.openxmlformats.org/officeDocument/2006/relationships/hyperlink" Target="https://www.mercadolibre.com.ar/reporting/activity/detail?id=51434920154" TargetMode="External"/><Relationship Id="rId360" Type="http://schemas.openxmlformats.org/officeDocument/2006/relationships/hyperlink" Target="https://www.mercadolibre.com.ar/reporting/activity/detail?id=51537842564" TargetMode="External"/><Relationship Id="rId598" Type="http://schemas.openxmlformats.org/officeDocument/2006/relationships/hyperlink" Target="https://www.mercadolibre.com.ar/reporting/activity/detail?id=51885854352" TargetMode="External"/><Relationship Id="rId819" Type="http://schemas.openxmlformats.org/officeDocument/2006/relationships/hyperlink" Target="https://www.mercadolibre.com.ar/reporting/activity/detail?id=52148049866" TargetMode="External"/><Relationship Id="rId1004" Type="http://schemas.openxmlformats.org/officeDocument/2006/relationships/hyperlink" Target="https://www.mercadolibre.com.ar/reporting/activity/detail?id=52416159062" TargetMode="External"/><Relationship Id="rId1211" Type="http://schemas.openxmlformats.org/officeDocument/2006/relationships/hyperlink" Target="https://www.mercadolibre.com.ar/reporting/activity/detail?id=51071924758" TargetMode="External"/><Relationship Id="rId220" Type="http://schemas.openxmlformats.org/officeDocument/2006/relationships/hyperlink" Target="https://www.mercadolibre.com.ar/reporting/activity/detail?id=51485078965" TargetMode="External"/><Relationship Id="rId458" Type="http://schemas.openxmlformats.org/officeDocument/2006/relationships/hyperlink" Target="https://www.mercadolibre.com.ar/reporting/activity/detail?id=51785999943" TargetMode="External"/><Relationship Id="rId665" Type="http://schemas.openxmlformats.org/officeDocument/2006/relationships/hyperlink" Target="https://www.mercadolibre.com.ar/reporting/activity/detail?id=52047721857" TargetMode="External"/><Relationship Id="rId872" Type="http://schemas.openxmlformats.org/officeDocument/2006/relationships/hyperlink" Target="https://www.mercadolibre.com.ar/reporting/activity/detail?id=52225314494" TargetMode="External"/><Relationship Id="rId1088" Type="http://schemas.openxmlformats.org/officeDocument/2006/relationships/hyperlink" Target="https://www.mercadolibre.com.ar/reporting/activity/detail?id=52511519253" TargetMode="External"/><Relationship Id="rId1295" Type="http://schemas.openxmlformats.org/officeDocument/2006/relationships/hyperlink" Target="https://www.mercadolibre.com.ar/reporting/activity/detail?id=51120591358" TargetMode="External"/><Relationship Id="rId1309" Type="http://schemas.openxmlformats.org/officeDocument/2006/relationships/hyperlink" Target="https://www.mercadolibre.com.ar/reporting/activity/detail?id=51126503699" TargetMode="External"/><Relationship Id="rId15" Type="http://schemas.openxmlformats.org/officeDocument/2006/relationships/hyperlink" Target="https://www.mercadolibre.com.ar/reporting/activity/detail?id=51178902267" TargetMode="External"/><Relationship Id="rId318" Type="http://schemas.openxmlformats.org/officeDocument/2006/relationships/hyperlink" Target="https://www.mercadolibre.com.ar/reporting/activity/detail?id=51533613853" TargetMode="External"/><Relationship Id="rId525" Type="http://schemas.openxmlformats.org/officeDocument/2006/relationships/hyperlink" Target="https://www.mercadolibre.com.ar/reporting/activity/detail?id=51831251780" TargetMode="External"/><Relationship Id="rId732" Type="http://schemas.openxmlformats.org/officeDocument/2006/relationships/hyperlink" Target="https://www.mercadolibre.com.ar/reporting/activity/detail?id=52100333145" TargetMode="External"/><Relationship Id="rId1155" Type="http://schemas.openxmlformats.org/officeDocument/2006/relationships/hyperlink" Target="https://www.mercadolibre.com.ar/reporting/activity/detail?id=52548052592" TargetMode="External"/><Relationship Id="rId1362" Type="http://schemas.openxmlformats.org/officeDocument/2006/relationships/hyperlink" Target="https://www.mercadolibre.com.ar/reporting/activity/detail?id=51171216332" TargetMode="External"/><Relationship Id="rId99" Type="http://schemas.openxmlformats.org/officeDocument/2006/relationships/hyperlink" Target="https://www.mercadolibre.com.ar/reporting/activity/detail?id=51380382805" TargetMode="External"/><Relationship Id="rId164" Type="http://schemas.openxmlformats.org/officeDocument/2006/relationships/hyperlink" Target="https://www.mercadolibre.com.ar/reporting/activity/detail?id=51436351148" TargetMode="External"/><Relationship Id="rId371" Type="http://schemas.openxmlformats.org/officeDocument/2006/relationships/hyperlink" Target="https://www.mercadolibre.com.ar/reporting/activity/detail?id=51538630516" TargetMode="External"/><Relationship Id="rId1015" Type="http://schemas.openxmlformats.org/officeDocument/2006/relationships/hyperlink" Target="https://www.mercadolibre.com.ar/reporting/activity/detail?id=52416533685" TargetMode="External"/><Relationship Id="rId1222" Type="http://schemas.openxmlformats.org/officeDocument/2006/relationships/hyperlink" Target="https://www.mercadolibre.com.ar/reporting/activity/detail?id=51073144177" TargetMode="External"/><Relationship Id="rId469" Type="http://schemas.openxmlformats.org/officeDocument/2006/relationships/hyperlink" Target="https://www.mercadolibre.com.ar/reporting/activity/detail?id=51787456710" TargetMode="External"/><Relationship Id="rId676" Type="http://schemas.openxmlformats.org/officeDocument/2006/relationships/hyperlink" Target="https://www.mercadolibre.com.ar/reporting/activity/detail?id=52053518850" TargetMode="External"/><Relationship Id="rId883" Type="http://schemas.openxmlformats.org/officeDocument/2006/relationships/hyperlink" Target="https://www.mercadolibre.com.ar/reporting/activity/detail?id=52227787878" TargetMode="External"/><Relationship Id="rId1099" Type="http://schemas.openxmlformats.org/officeDocument/2006/relationships/hyperlink" Target="https://www.mercadolibre.com.ar/reporting/activity/detail?id=52513459672" TargetMode="External"/><Relationship Id="rId26" Type="http://schemas.openxmlformats.org/officeDocument/2006/relationships/hyperlink" Target="https://www.mercadolibre.com.ar/reporting/activity/detail?id=51179658690" TargetMode="External"/><Relationship Id="rId231" Type="http://schemas.openxmlformats.org/officeDocument/2006/relationships/hyperlink" Target="https://www.mercadolibre.com.ar/reporting/activity/detail?id=51486421702" TargetMode="External"/><Relationship Id="rId329" Type="http://schemas.openxmlformats.org/officeDocument/2006/relationships/hyperlink" Target="https://www.mercadolibre.com.ar/reporting/activity/detail?id=51535526860" TargetMode="External"/><Relationship Id="rId536" Type="http://schemas.openxmlformats.org/officeDocument/2006/relationships/hyperlink" Target="https://www.mercadolibre.com.ar/reporting/activity/detail?id=51835749788" TargetMode="External"/><Relationship Id="rId1166" Type="http://schemas.openxmlformats.org/officeDocument/2006/relationships/hyperlink" Target="https://www.mercadolibre.com.ar/reporting/activity/detail?id=52552751608" TargetMode="External"/><Relationship Id="rId1373" Type="http://schemas.openxmlformats.org/officeDocument/2006/relationships/hyperlink" Target="https://www.mercadolibre.com.ar/reporting/activity/detail?id=51174333256" TargetMode="External"/><Relationship Id="rId175" Type="http://schemas.openxmlformats.org/officeDocument/2006/relationships/hyperlink" Target="https://www.mercadolibre.com.ar/reporting/activity/detail?id=51437189091" TargetMode="External"/><Relationship Id="rId743" Type="http://schemas.openxmlformats.org/officeDocument/2006/relationships/hyperlink" Target="https://www.mercadolibre.com.ar/reporting/activity/detail?id=52101436864" TargetMode="External"/><Relationship Id="rId950" Type="http://schemas.openxmlformats.org/officeDocument/2006/relationships/hyperlink" Target="https://www.mercadolibre.com.ar/reporting/activity/detail?id=52412629863" TargetMode="External"/><Relationship Id="rId1026" Type="http://schemas.openxmlformats.org/officeDocument/2006/relationships/hyperlink" Target="https://www.mercadolibre.com.ar/reporting/activity/detail?id=52416755020" TargetMode="External"/><Relationship Id="rId382" Type="http://schemas.openxmlformats.org/officeDocument/2006/relationships/hyperlink" Target="https://www.mercadolibre.com.ar/reporting/activity/detail?id=51539649569" TargetMode="External"/><Relationship Id="rId603" Type="http://schemas.openxmlformats.org/officeDocument/2006/relationships/hyperlink" Target="https://www.mercadolibre.com.ar/reporting/activity/detail?id=51886376381" TargetMode="External"/><Relationship Id="rId687" Type="http://schemas.openxmlformats.org/officeDocument/2006/relationships/hyperlink" Target="https://www.mercadolibre.com.ar/reporting/activity/detail?id=52056372684" TargetMode="External"/><Relationship Id="rId810" Type="http://schemas.openxmlformats.org/officeDocument/2006/relationships/hyperlink" Target="https://www.mercadolibre.com.ar/reporting/activity/detail?id=52142829020" TargetMode="External"/><Relationship Id="rId908" Type="http://schemas.openxmlformats.org/officeDocument/2006/relationships/hyperlink" Target="https://www.mercadolibre.com.ar/reporting/activity/detail?id=52231074992" TargetMode="External"/><Relationship Id="rId1233" Type="http://schemas.openxmlformats.org/officeDocument/2006/relationships/hyperlink" Target="https://www.mercadolibre.com.ar/reporting/activity/detail?id=51074740234" TargetMode="External"/><Relationship Id="rId242" Type="http://schemas.openxmlformats.org/officeDocument/2006/relationships/hyperlink" Target="https://www.mercadolibre.com.ar/reporting/activity/detail?id=51487591958" TargetMode="External"/><Relationship Id="rId894" Type="http://schemas.openxmlformats.org/officeDocument/2006/relationships/hyperlink" Target="https://www.mercadolibre.com.ar/reporting/activity/detail?id=52229769642" TargetMode="External"/><Relationship Id="rId1177" Type="http://schemas.openxmlformats.org/officeDocument/2006/relationships/hyperlink" Target="https://www.mercadolibre.com.ar/reporting/activity/detail?id=52554748955" TargetMode="External"/><Relationship Id="rId1300" Type="http://schemas.openxmlformats.org/officeDocument/2006/relationships/hyperlink" Target="https://www.mercadolibre.com.ar/reporting/activity/detail?id=51123295230" TargetMode="External"/><Relationship Id="rId37" Type="http://schemas.openxmlformats.org/officeDocument/2006/relationships/hyperlink" Target="https://www.mercadolibre.com.ar/reporting/activity/detail?id=51180223219" TargetMode="External"/><Relationship Id="rId102" Type="http://schemas.openxmlformats.org/officeDocument/2006/relationships/hyperlink" Target="https://www.mercadolibre.com.ar/reporting/activity/detail?id=51381853861" TargetMode="External"/><Relationship Id="rId547" Type="http://schemas.openxmlformats.org/officeDocument/2006/relationships/hyperlink" Target="https://www.mercadolibre.com.ar/reporting/activity/detail?id=51839845100" TargetMode="External"/><Relationship Id="rId754" Type="http://schemas.openxmlformats.org/officeDocument/2006/relationships/hyperlink" Target="https://www.mercadolibre.com.ar/reporting/activity/detail?id=52102398414" TargetMode="External"/><Relationship Id="rId961" Type="http://schemas.openxmlformats.org/officeDocument/2006/relationships/hyperlink" Target="https://www.mercadolibre.com.ar/reporting/activity/detail?id=52413355222" TargetMode="External"/><Relationship Id="rId1384" Type="http://schemas.openxmlformats.org/officeDocument/2006/relationships/hyperlink" Target="https://www.mercadolibre.com.ar/reporting/activity/detail?id=51176155120" TargetMode="External"/><Relationship Id="rId90" Type="http://schemas.openxmlformats.org/officeDocument/2006/relationships/hyperlink" Target="https://www.mercadolibre.com.ar/reporting/activity/detail?id=51377988518" TargetMode="External"/><Relationship Id="rId186" Type="http://schemas.openxmlformats.org/officeDocument/2006/relationships/hyperlink" Target="https://www.mercadolibre.com.ar/reporting/activity/detail?id=51438114355" TargetMode="External"/><Relationship Id="rId393" Type="http://schemas.openxmlformats.org/officeDocument/2006/relationships/hyperlink" Target="https://www.mercadolibre.com.ar/reporting/activity/detail?id=51540296714" TargetMode="External"/><Relationship Id="rId407" Type="http://schemas.openxmlformats.org/officeDocument/2006/relationships/hyperlink" Target="https://www.mercadolibre.com.ar/reporting/activity/detail?id=51576898509" TargetMode="External"/><Relationship Id="rId614" Type="http://schemas.openxmlformats.org/officeDocument/2006/relationships/hyperlink" Target="https://www.mercadolibre.com.ar/reporting/activity/detail?id=51887342568" TargetMode="External"/><Relationship Id="rId821" Type="http://schemas.openxmlformats.org/officeDocument/2006/relationships/hyperlink" Target="https://www.mercadolibre.com.ar/reporting/activity/detail?id=52148503584" TargetMode="External"/><Relationship Id="rId1037" Type="http://schemas.openxmlformats.org/officeDocument/2006/relationships/hyperlink" Target="https://www.mercadolibre.com.ar/reporting/activity/detail?id=52459599358" TargetMode="External"/><Relationship Id="rId1244" Type="http://schemas.openxmlformats.org/officeDocument/2006/relationships/hyperlink" Target="https://www.mercadolibre.com.ar/reporting/activity/detail?id=51075495766" TargetMode="External"/><Relationship Id="rId253" Type="http://schemas.openxmlformats.org/officeDocument/2006/relationships/hyperlink" Target="https://www.mercadolibre.com.ar/reporting/activity/detail?id=51488852794" TargetMode="External"/><Relationship Id="rId460" Type="http://schemas.openxmlformats.org/officeDocument/2006/relationships/hyperlink" Target="https://www.mercadolibre.com.ar/reporting/activity/detail?id=51786354490" TargetMode="External"/><Relationship Id="rId698" Type="http://schemas.openxmlformats.org/officeDocument/2006/relationships/hyperlink" Target="https://www.mercadolibre.com.ar/reporting/activity/detail?id=52094625250" TargetMode="External"/><Relationship Id="rId919" Type="http://schemas.openxmlformats.org/officeDocument/2006/relationships/hyperlink" Target="https://www.mercadolibre.com.ar/reporting/activity/detail?id=52364465643" TargetMode="External"/><Relationship Id="rId1090" Type="http://schemas.openxmlformats.org/officeDocument/2006/relationships/hyperlink" Target="https://www.mercadolibre.com.ar/reporting/activity/detail?id=52511741657" TargetMode="External"/><Relationship Id="rId1104" Type="http://schemas.openxmlformats.org/officeDocument/2006/relationships/hyperlink" Target="https://www.mercadolibre.com.ar/reporting/activity/detail?id=52513931320" TargetMode="External"/><Relationship Id="rId1311" Type="http://schemas.openxmlformats.org/officeDocument/2006/relationships/hyperlink" Target="https://www.mercadolibre.com.ar/reporting/activity/detail?id=51126644221" TargetMode="External"/><Relationship Id="rId48" Type="http://schemas.openxmlformats.org/officeDocument/2006/relationships/hyperlink" Target="https://www.mercadolibre.com.ar/reporting/activity/detail?id=51181032466" TargetMode="External"/><Relationship Id="rId113" Type="http://schemas.openxmlformats.org/officeDocument/2006/relationships/hyperlink" Target="https://www.mercadolibre.com.ar/reporting/activity/detail?id=51425496152" TargetMode="External"/><Relationship Id="rId320" Type="http://schemas.openxmlformats.org/officeDocument/2006/relationships/hyperlink" Target="https://www.mercadolibre.com.ar/reporting/activity/detail?id=51533842670" TargetMode="External"/><Relationship Id="rId558" Type="http://schemas.openxmlformats.org/officeDocument/2006/relationships/hyperlink" Target="https://www.mercadolibre.com.ar/reporting/activity/detail?id=51876233307" TargetMode="External"/><Relationship Id="rId765" Type="http://schemas.openxmlformats.org/officeDocument/2006/relationships/hyperlink" Target="https://www.mercadolibre.com.ar/reporting/activity/detail?id=52102868846" TargetMode="External"/><Relationship Id="rId972" Type="http://schemas.openxmlformats.org/officeDocument/2006/relationships/hyperlink" Target="https://www.mercadolibre.com.ar/reporting/activity/detail?id=52414010852" TargetMode="External"/><Relationship Id="rId1188" Type="http://schemas.openxmlformats.org/officeDocument/2006/relationships/hyperlink" Target="https://www.mercadolibre.com.ar/reporting/activity/detail?id=51022869175" TargetMode="External"/><Relationship Id="rId1395" Type="http://schemas.openxmlformats.org/officeDocument/2006/relationships/hyperlink" Target="https://www.mercadolibre.com.ar/reporting/activity/detail?id=51177429153" TargetMode="External"/><Relationship Id="rId197" Type="http://schemas.openxmlformats.org/officeDocument/2006/relationships/hyperlink" Target="https://www.mercadolibre.com.ar/reporting/activity/detail?id=51438876341" TargetMode="External"/><Relationship Id="rId418" Type="http://schemas.openxmlformats.org/officeDocument/2006/relationships/hyperlink" Target="https://www.mercadolibre.com.ar/reporting/activity/detail?id=51580418980" TargetMode="External"/><Relationship Id="rId625" Type="http://schemas.openxmlformats.org/officeDocument/2006/relationships/hyperlink" Target="https://www.mercadolibre.com.ar/reporting/activity/detail?id=51888209913" TargetMode="External"/><Relationship Id="rId832" Type="http://schemas.openxmlformats.org/officeDocument/2006/relationships/hyperlink" Target="https://www.mercadolibre.com.ar/reporting/activity/detail?id=52182989495" TargetMode="External"/><Relationship Id="rId1048" Type="http://schemas.openxmlformats.org/officeDocument/2006/relationships/hyperlink" Target="https://www.mercadolibre.com.ar/reporting/activity/detail?id=52462983961" TargetMode="External"/><Relationship Id="rId1255" Type="http://schemas.openxmlformats.org/officeDocument/2006/relationships/hyperlink" Target="https://www.mercadolibre.com.ar/reporting/activity/detail?id=51076333606" TargetMode="External"/><Relationship Id="rId264" Type="http://schemas.openxmlformats.org/officeDocument/2006/relationships/hyperlink" Target="https://www.mercadolibre.com.ar/reporting/activity/detail?id=51489588850" TargetMode="External"/><Relationship Id="rId471" Type="http://schemas.openxmlformats.org/officeDocument/2006/relationships/hyperlink" Target="https://www.mercadolibre.com.ar/reporting/activity/detail?id=51787594051" TargetMode="External"/><Relationship Id="rId1115" Type="http://schemas.openxmlformats.org/officeDocument/2006/relationships/hyperlink" Target="https://www.mercadolibre.com.ar/reporting/activity/detail?id=52514763468" TargetMode="External"/><Relationship Id="rId1322" Type="http://schemas.openxmlformats.org/officeDocument/2006/relationships/hyperlink" Target="https://www.mercadolibre.com.ar/reporting/activity/detail?id=51127618751" TargetMode="External"/><Relationship Id="rId59" Type="http://schemas.openxmlformats.org/officeDocument/2006/relationships/hyperlink" Target="https://www.mercadolibre.com.ar/reporting/activity/detail?id=51216180728" TargetMode="External"/><Relationship Id="rId124" Type="http://schemas.openxmlformats.org/officeDocument/2006/relationships/hyperlink" Target="https://www.mercadolibre.com.ar/reporting/activity/detail?id=51430677976" TargetMode="External"/><Relationship Id="rId569" Type="http://schemas.openxmlformats.org/officeDocument/2006/relationships/hyperlink" Target="https://www.mercadolibre.com.ar/reporting/activity/detail?id=51882927899" TargetMode="External"/><Relationship Id="rId776" Type="http://schemas.openxmlformats.org/officeDocument/2006/relationships/hyperlink" Target="https://www.mercadolibre.com.ar/reporting/activity/detail?id=52103255689" TargetMode="External"/><Relationship Id="rId983" Type="http://schemas.openxmlformats.org/officeDocument/2006/relationships/hyperlink" Target="https://www.mercadolibre.com.ar/reporting/activity/detail?id=52414871392" TargetMode="External"/><Relationship Id="rId1199" Type="http://schemas.openxmlformats.org/officeDocument/2006/relationships/hyperlink" Target="https://www.mercadolibre.com.ar/reporting/activity/detail?id=51025888777" TargetMode="External"/><Relationship Id="rId331" Type="http://schemas.openxmlformats.org/officeDocument/2006/relationships/hyperlink" Target="https://www.mercadolibre.com.ar/reporting/activity/detail?id=51535731160" TargetMode="External"/><Relationship Id="rId429" Type="http://schemas.openxmlformats.org/officeDocument/2006/relationships/hyperlink" Target="https://www.mercadolibre.com.ar/reporting/activity/detail?id=51730150918" TargetMode="External"/><Relationship Id="rId636" Type="http://schemas.openxmlformats.org/officeDocument/2006/relationships/hyperlink" Target="https://www.mercadolibre.com.ar/reporting/activity/detail?id=51888477260" TargetMode="External"/><Relationship Id="rId1059" Type="http://schemas.openxmlformats.org/officeDocument/2006/relationships/hyperlink" Target="https://www.mercadolibre.com.ar/reporting/activity/detail?id=52465250552" TargetMode="External"/><Relationship Id="rId1266" Type="http://schemas.openxmlformats.org/officeDocument/2006/relationships/hyperlink" Target="https://www.mercadolibre.com.ar/reporting/activity/detail?id=51077115042" TargetMode="External"/><Relationship Id="rId843" Type="http://schemas.openxmlformats.org/officeDocument/2006/relationships/hyperlink" Target="https://www.mercadolibre.com.ar/reporting/activity/detail?id=52187778305" TargetMode="External"/><Relationship Id="rId1126" Type="http://schemas.openxmlformats.org/officeDocument/2006/relationships/hyperlink" Target="https://www.mercadolibre.com.ar/reporting/activity/detail?id=52515758679" TargetMode="External"/><Relationship Id="rId275" Type="http://schemas.openxmlformats.org/officeDocument/2006/relationships/hyperlink" Target="https://www.mercadolibre.com.ar/reporting/activity/detail?id=51490891002" TargetMode="External"/><Relationship Id="rId482" Type="http://schemas.openxmlformats.org/officeDocument/2006/relationships/hyperlink" Target="https://www.mercadolibre.com.ar/reporting/activity/detail?id=51788577817" TargetMode="External"/><Relationship Id="rId703" Type="http://schemas.openxmlformats.org/officeDocument/2006/relationships/hyperlink" Target="https://www.mercadolibre.com.ar/reporting/activity/detail?id=52096347266" TargetMode="External"/><Relationship Id="rId910" Type="http://schemas.openxmlformats.org/officeDocument/2006/relationships/hyperlink" Target="https://www.mercadolibre.com.ar/reporting/activity/detail?id=52231351005" TargetMode="External"/><Relationship Id="rId1333" Type="http://schemas.openxmlformats.org/officeDocument/2006/relationships/hyperlink" Target="https://www.mercadolibre.com.ar/reporting/activity/detail?id=51128617031" TargetMode="External"/><Relationship Id="rId135" Type="http://schemas.openxmlformats.org/officeDocument/2006/relationships/hyperlink" Target="https://www.mercadolibre.com.ar/reporting/activity/detail?id=51432474803" TargetMode="External"/><Relationship Id="rId342" Type="http://schemas.openxmlformats.org/officeDocument/2006/relationships/hyperlink" Target="https://www.mercadolibre.com.ar/reporting/activity/detail?id=51537088321" TargetMode="External"/><Relationship Id="rId787" Type="http://schemas.openxmlformats.org/officeDocument/2006/relationships/hyperlink" Target="https://www.mercadolibre.com.ar/reporting/activity/detail?id=52103665056" TargetMode="External"/><Relationship Id="rId994" Type="http://schemas.openxmlformats.org/officeDocument/2006/relationships/hyperlink" Target="https://www.mercadolibre.com.ar/reporting/activity/detail?id=52415654105" TargetMode="External"/><Relationship Id="rId202" Type="http://schemas.openxmlformats.org/officeDocument/2006/relationships/hyperlink" Target="https://www.mercadolibre.com.ar/reporting/activity/detail?id=51439215812" TargetMode="External"/><Relationship Id="rId647" Type="http://schemas.openxmlformats.org/officeDocument/2006/relationships/hyperlink" Target="https://www.mercadolibre.com.ar/reporting/activity/detail?id=51920008097" TargetMode="External"/><Relationship Id="rId854" Type="http://schemas.openxmlformats.org/officeDocument/2006/relationships/hyperlink" Target="https://www.mercadolibre.com.ar/reporting/activity/detail?id=52191449250" TargetMode="External"/><Relationship Id="rId1277" Type="http://schemas.openxmlformats.org/officeDocument/2006/relationships/hyperlink" Target="https://www.mercadolibre.com.ar/reporting/activity/detail?id=51077884630" TargetMode="External"/><Relationship Id="rId286" Type="http://schemas.openxmlformats.org/officeDocument/2006/relationships/hyperlink" Target="https://www.mercadolibre.com.ar/reporting/activity/detail?id=51491945756" TargetMode="External"/><Relationship Id="rId493" Type="http://schemas.openxmlformats.org/officeDocument/2006/relationships/hyperlink" Target="https://www.mercadolibre.com.ar/reporting/activity/detail?id=51789533142" TargetMode="External"/><Relationship Id="rId507" Type="http://schemas.openxmlformats.org/officeDocument/2006/relationships/hyperlink" Target="https://www.mercadolibre.com.ar/reporting/activity/detail?id=51790628424" TargetMode="External"/><Relationship Id="rId714" Type="http://schemas.openxmlformats.org/officeDocument/2006/relationships/hyperlink" Target="https://www.mercadolibre.com.ar/reporting/activity/detail?id=52098228571" TargetMode="External"/><Relationship Id="rId921" Type="http://schemas.openxmlformats.org/officeDocument/2006/relationships/hyperlink" Target="https://www.mercadolibre.com.ar/reporting/activity/detail?id=52365766185" TargetMode="External"/><Relationship Id="rId1137" Type="http://schemas.openxmlformats.org/officeDocument/2006/relationships/hyperlink" Target="https://www.mercadolibre.com.ar/reporting/activity/detail?id=52516369713" TargetMode="External"/><Relationship Id="rId1344" Type="http://schemas.openxmlformats.org/officeDocument/2006/relationships/hyperlink" Target="https://www.mercadolibre.com.ar/reporting/activity/detail?id=51130512087" TargetMode="External"/><Relationship Id="rId50" Type="http://schemas.openxmlformats.org/officeDocument/2006/relationships/hyperlink" Target="https://www.mercadolibre.com.ar/reporting/activity/detail?id=51212140144" TargetMode="External"/><Relationship Id="rId146" Type="http://schemas.openxmlformats.org/officeDocument/2006/relationships/hyperlink" Target="https://www.mercadolibre.com.ar/reporting/activity/detail?id=51433330630" TargetMode="External"/><Relationship Id="rId353" Type="http://schemas.openxmlformats.org/officeDocument/2006/relationships/hyperlink" Target="https://www.mercadolibre.com.ar/reporting/activity/detail?id=51537494378" TargetMode="External"/><Relationship Id="rId560" Type="http://schemas.openxmlformats.org/officeDocument/2006/relationships/hyperlink" Target="https://www.mercadolibre.com.ar/reporting/activity/detail?id=51878844367" TargetMode="External"/><Relationship Id="rId798" Type="http://schemas.openxmlformats.org/officeDocument/2006/relationships/hyperlink" Target="https://www.mercadolibre.com.ar/reporting/activity/detail?id=52104123727" TargetMode="External"/><Relationship Id="rId1190" Type="http://schemas.openxmlformats.org/officeDocument/2006/relationships/hyperlink" Target="https://www.mercadolibre.com.ar/reporting/activity/detail?id=51023319638" TargetMode="External"/><Relationship Id="rId1204" Type="http://schemas.openxmlformats.org/officeDocument/2006/relationships/hyperlink" Target="https://www.mercadolibre.com.ar/reporting/activity/detail?id=51068449111" TargetMode="External"/><Relationship Id="rId213" Type="http://schemas.openxmlformats.org/officeDocument/2006/relationships/hyperlink" Target="https://www.mercadolibre.com.ar/reporting/activity/detail?id=51482480017" TargetMode="External"/><Relationship Id="rId420" Type="http://schemas.openxmlformats.org/officeDocument/2006/relationships/hyperlink" Target="https://www.mercadolibre.com.ar/reporting/activity/detail?id=51723663063" TargetMode="External"/><Relationship Id="rId658" Type="http://schemas.openxmlformats.org/officeDocument/2006/relationships/hyperlink" Target="https://www.mercadolibre.com.ar/reporting/activity/detail?id=51923159966" TargetMode="External"/><Relationship Id="rId865" Type="http://schemas.openxmlformats.org/officeDocument/2006/relationships/hyperlink" Target="https://www.mercadolibre.com.ar/reporting/activity/detail?id=52192915031" TargetMode="External"/><Relationship Id="rId1050" Type="http://schemas.openxmlformats.org/officeDocument/2006/relationships/hyperlink" Target="https://www.mercadolibre.com.ar/reporting/activity/detail?id=52463133640" TargetMode="External"/><Relationship Id="rId1288" Type="http://schemas.openxmlformats.org/officeDocument/2006/relationships/hyperlink" Target="https://www.mercadolibre.com.ar/reporting/activity/detail?id=51115802717" TargetMode="External"/><Relationship Id="rId297" Type="http://schemas.openxmlformats.org/officeDocument/2006/relationships/hyperlink" Target="https://www.mercadolibre.com.ar/reporting/activity/detail?id=51529094013" TargetMode="External"/><Relationship Id="rId518" Type="http://schemas.openxmlformats.org/officeDocument/2006/relationships/hyperlink" Target="https://www.mercadolibre.com.ar/reporting/activity/detail?id=51791536927" TargetMode="External"/><Relationship Id="rId725" Type="http://schemas.openxmlformats.org/officeDocument/2006/relationships/hyperlink" Target="https://www.mercadolibre.com.ar/reporting/activity/detail?id=52099072887" TargetMode="External"/><Relationship Id="rId932" Type="http://schemas.openxmlformats.org/officeDocument/2006/relationships/hyperlink" Target="https://www.mercadolibre.com.ar/reporting/activity/detail?id=52410452071" TargetMode="External"/><Relationship Id="rId1148" Type="http://schemas.openxmlformats.org/officeDocument/2006/relationships/hyperlink" Target="https://www.mercadolibre.com.ar/reporting/activity/detail?id=52516891475" TargetMode="External"/><Relationship Id="rId1355" Type="http://schemas.openxmlformats.org/officeDocument/2006/relationships/hyperlink" Target="https://www.mercadolibre.com.ar/reporting/activity/detail?id=51131782197" TargetMode="External"/><Relationship Id="rId157" Type="http://schemas.openxmlformats.org/officeDocument/2006/relationships/hyperlink" Target="https://www.mercadolibre.com.ar/reporting/activity/detail?id=51435342040" TargetMode="External"/><Relationship Id="rId364" Type="http://schemas.openxmlformats.org/officeDocument/2006/relationships/hyperlink" Target="https://www.mercadolibre.com.ar/reporting/activity/detail?id=51538207831" TargetMode="External"/><Relationship Id="rId1008" Type="http://schemas.openxmlformats.org/officeDocument/2006/relationships/hyperlink" Target="https://www.mercadolibre.com.ar/reporting/activity/detail?id=52416243917" TargetMode="External"/><Relationship Id="rId1215" Type="http://schemas.openxmlformats.org/officeDocument/2006/relationships/hyperlink" Target="https://www.mercadolibre.com.ar/reporting/activity/detail?id=51072515266" TargetMode="External"/><Relationship Id="rId61" Type="http://schemas.openxmlformats.org/officeDocument/2006/relationships/hyperlink" Target="https://www.mercadolibre.com.ar/reporting/activity/detail?id=51216634327" TargetMode="External"/><Relationship Id="rId571" Type="http://schemas.openxmlformats.org/officeDocument/2006/relationships/hyperlink" Target="https://www.mercadolibre.com.ar/reporting/activity/detail?id=51883099057" TargetMode="External"/><Relationship Id="rId669" Type="http://schemas.openxmlformats.org/officeDocument/2006/relationships/hyperlink" Target="https://www.mercadolibre.com.ar/reporting/activity/detail?id=52049470981" TargetMode="External"/><Relationship Id="rId876" Type="http://schemas.openxmlformats.org/officeDocument/2006/relationships/hyperlink" Target="https://www.mercadolibre.com.ar/reporting/activity/detail?id=52226477214" TargetMode="External"/><Relationship Id="rId1299" Type="http://schemas.openxmlformats.org/officeDocument/2006/relationships/hyperlink" Target="https://www.mercadolibre.com.ar/reporting/activity/detail?id=51122972630" TargetMode="External"/><Relationship Id="rId19" Type="http://schemas.openxmlformats.org/officeDocument/2006/relationships/hyperlink" Target="https://www.mercadolibre.com.ar/reporting/activity/detail?id=51179303831" TargetMode="External"/><Relationship Id="rId224" Type="http://schemas.openxmlformats.org/officeDocument/2006/relationships/hyperlink" Target="https://www.mercadolibre.com.ar/reporting/activity/detail?id=51485536623" TargetMode="External"/><Relationship Id="rId431" Type="http://schemas.openxmlformats.org/officeDocument/2006/relationships/hyperlink" Target="https://www.mercadolibre.com.ar/reporting/activity/detail?id=51731255840" TargetMode="External"/><Relationship Id="rId529" Type="http://schemas.openxmlformats.org/officeDocument/2006/relationships/hyperlink" Target="https://www.mercadolibre.com.ar/reporting/activity/detail?id=51832056668" TargetMode="External"/><Relationship Id="rId736" Type="http://schemas.openxmlformats.org/officeDocument/2006/relationships/hyperlink" Target="https://www.mercadolibre.com.ar/reporting/activity/detail?id=52100604152" TargetMode="External"/><Relationship Id="rId1061" Type="http://schemas.openxmlformats.org/officeDocument/2006/relationships/hyperlink" Target="https://www.mercadolibre.com.ar/reporting/activity/detail?id=52466032806" TargetMode="External"/><Relationship Id="rId1159" Type="http://schemas.openxmlformats.org/officeDocument/2006/relationships/hyperlink" Target="https://www.mercadolibre.com.ar/reporting/activity/detail?id=52550236935" TargetMode="External"/><Relationship Id="rId1366" Type="http://schemas.openxmlformats.org/officeDocument/2006/relationships/hyperlink" Target="https://www.mercadolibre.com.ar/reporting/activity/detail?id=51173438949" TargetMode="External"/><Relationship Id="rId168" Type="http://schemas.openxmlformats.org/officeDocument/2006/relationships/hyperlink" Target="https://www.mercadolibre.com.ar/reporting/activity/detail?id=51436533062" TargetMode="External"/><Relationship Id="rId943" Type="http://schemas.openxmlformats.org/officeDocument/2006/relationships/hyperlink" Target="https://www.mercadolibre.com.ar/reporting/activity/detail?id=52412047553" TargetMode="External"/><Relationship Id="rId1019" Type="http://schemas.openxmlformats.org/officeDocument/2006/relationships/hyperlink" Target="https://www.mercadolibre.com.ar/reporting/activity/detail?id=52416619563" TargetMode="External"/><Relationship Id="rId72" Type="http://schemas.openxmlformats.org/officeDocument/2006/relationships/hyperlink" Target="https://www.mercadolibre.com.ar/reporting/activity/detail?id=51369437480" TargetMode="External"/><Relationship Id="rId375" Type="http://schemas.openxmlformats.org/officeDocument/2006/relationships/hyperlink" Target="https://www.mercadolibre.com.ar/reporting/activity/detail?id=51538916417" TargetMode="External"/><Relationship Id="rId582" Type="http://schemas.openxmlformats.org/officeDocument/2006/relationships/hyperlink" Target="https://www.mercadolibre.com.ar/reporting/activity/detail?id=51884998631" TargetMode="External"/><Relationship Id="rId803" Type="http://schemas.openxmlformats.org/officeDocument/2006/relationships/hyperlink" Target="https://www.mercadolibre.com.ar/reporting/activity/detail?id=52104263667" TargetMode="External"/><Relationship Id="rId1226" Type="http://schemas.openxmlformats.org/officeDocument/2006/relationships/hyperlink" Target="https://www.mercadolibre.com.ar/reporting/activity/detail?id=51073958760" TargetMode="External"/><Relationship Id="rId3" Type="http://schemas.openxmlformats.org/officeDocument/2006/relationships/hyperlink" Target="https://www.mercadolibre.com.ar/reporting/activity/detail?id=51177887902" TargetMode="External"/><Relationship Id="rId235" Type="http://schemas.openxmlformats.org/officeDocument/2006/relationships/hyperlink" Target="https://www.mercadolibre.com.ar/reporting/activity/detail?id=51487224650" TargetMode="External"/><Relationship Id="rId442" Type="http://schemas.openxmlformats.org/officeDocument/2006/relationships/hyperlink" Target="https://www.mercadolibre.com.ar/reporting/activity/detail?id=51781510828" TargetMode="External"/><Relationship Id="rId887" Type="http://schemas.openxmlformats.org/officeDocument/2006/relationships/hyperlink" Target="https://www.mercadolibre.com.ar/reporting/activity/detail?id=52228677748" TargetMode="External"/><Relationship Id="rId1072" Type="http://schemas.openxmlformats.org/officeDocument/2006/relationships/hyperlink" Target="https://www.mercadolibre.com.ar/reporting/activity/detail?id=52468371775" TargetMode="External"/><Relationship Id="rId302" Type="http://schemas.openxmlformats.org/officeDocument/2006/relationships/hyperlink" Target="https://www.mercadolibre.com.ar/reporting/activity/detail?id=51531106479" TargetMode="External"/><Relationship Id="rId747" Type="http://schemas.openxmlformats.org/officeDocument/2006/relationships/hyperlink" Target="https://www.mercadolibre.com.ar/reporting/activity/detail?id=52101899286" TargetMode="External"/><Relationship Id="rId954" Type="http://schemas.openxmlformats.org/officeDocument/2006/relationships/hyperlink" Target="https://www.mercadolibre.com.ar/reporting/activity/detail?id=52412903352" TargetMode="External"/><Relationship Id="rId1377" Type="http://schemas.openxmlformats.org/officeDocument/2006/relationships/hyperlink" Target="https://www.mercadolibre.com.ar/reporting/activity/detail?id=51174667059" TargetMode="External"/><Relationship Id="rId83" Type="http://schemas.openxmlformats.org/officeDocument/2006/relationships/hyperlink" Target="https://www.mercadolibre.com.ar/reporting/activity/detail?id=51376587950" TargetMode="External"/><Relationship Id="rId179" Type="http://schemas.openxmlformats.org/officeDocument/2006/relationships/hyperlink" Target="https://www.mercadolibre.com.ar/reporting/activity/detail?id=51437794339" TargetMode="External"/><Relationship Id="rId386" Type="http://schemas.openxmlformats.org/officeDocument/2006/relationships/hyperlink" Target="https://www.mercadolibre.com.ar/reporting/activity/detail?id=51539846041" TargetMode="External"/><Relationship Id="rId593" Type="http://schemas.openxmlformats.org/officeDocument/2006/relationships/hyperlink" Target="https://www.mercadolibre.com.ar/reporting/activity/detail?id=51885696206" TargetMode="External"/><Relationship Id="rId607" Type="http://schemas.openxmlformats.org/officeDocument/2006/relationships/hyperlink" Target="https://www.mercadolibre.com.ar/reporting/activity/detail?id=51886533652" TargetMode="External"/><Relationship Id="rId814" Type="http://schemas.openxmlformats.org/officeDocument/2006/relationships/hyperlink" Target="https://www.mercadolibre.com.ar/reporting/activity/detail?id=52144723712" TargetMode="External"/><Relationship Id="rId1237" Type="http://schemas.openxmlformats.org/officeDocument/2006/relationships/hyperlink" Target="https://www.mercadolibre.com.ar/reporting/activity/detail?id=51075078022" TargetMode="External"/><Relationship Id="rId246" Type="http://schemas.openxmlformats.org/officeDocument/2006/relationships/hyperlink" Target="https://www.mercadolibre.com.ar/reporting/activity/detail?id=51487886408" TargetMode="External"/><Relationship Id="rId453" Type="http://schemas.openxmlformats.org/officeDocument/2006/relationships/hyperlink" Target="https://www.mercadolibre.com.ar/reporting/activity/detail?id=51785106809" TargetMode="External"/><Relationship Id="rId660" Type="http://schemas.openxmlformats.org/officeDocument/2006/relationships/hyperlink" Target="https://www.mercadolibre.com.ar/reporting/activity/detail?id=51923385359" TargetMode="External"/><Relationship Id="rId898" Type="http://schemas.openxmlformats.org/officeDocument/2006/relationships/hyperlink" Target="https://www.mercadolibre.com.ar/reporting/activity/detail?id=52229975862" TargetMode="External"/><Relationship Id="rId1083" Type="http://schemas.openxmlformats.org/officeDocument/2006/relationships/hyperlink" Target="https://www.mercadolibre.com.ar/reporting/activity/detail?id=52508277962" TargetMode="External"/><Relationship Id="rId1290" Type="http://schemas.openxmlformats.org/officeDocument/2006/relationships/hyperlink" Target="https://www.mercadolibre.com.ar/reporting/activity/detail?id=51119071969" TargetMode="External"/><Relationship Id="rId1304" Type="http://schemas.openxmlformats.org/officeDocument/2006/relationships/hyperlink" Target="https://www.mercadolibre.com.ar/reporting/activity/detail?id=51124686808" TargetMode="External"/><Relationship Id="rId106" Type="http://schemas.openxmlformats.org/officeDocument/2006/relationships/hyperlink" Target="https://www.mercadolibre.com.ar/reporting/activity/detail?id=51382402484" TargetMode="External"/><Relationship Id="rId313" Type="http://schemas.openxmlformats.org/officeDocument/2006/relationships/hyperlink" Target="https://www.mercadolibre.com.ar/reporting/activity/detail?id=51532859626" TargetMode="External"/><Relationship Id="rId758" Type="http://schemas.openxmlformats.org/officeDocument/2006/relationships/hyperlink" Target="https://www.mercadolibre.com.ar/reporting/activity/detail?id=52102544278" TargetMode="External"/><Relationship Id="rId965" Type="http://schemas.openxmlformats.org/officeDocument/2006/relationships/hyperlink" Target="https://www.mercadolibre.com.ar/reporting/activity/detail?id=52413646090" TargetMode="External"/><Relationship Id="rId1150" Type="http://schemas.openxmlformats.org/officeDocument/2006/relationships/hyperlink" Target="https://www.mercadolibre.com.ar/reporting/activity/detail?id=52516970077" TargetMode="External"/><Relationship Id="rId1388" Type="http://schemas.openxmlformats.org/officeDocument/2006/relationships/hyperlink" Target="https://www.mercadolibre.com.ar/reporting/activity/detail?id=51176815682" TargetMode="External"/><Relationship Id="rId10" Type="http://schemas.openxmlformats.org/officeDocument/2006/relationships/hyperlink" Target="https://www.mercadolibre.com.ar/reporting/activity/detail?id=51178567644" TargetMode="External"/><Relationship Id="rId94" Type="http://schemas.openxmlformats.org/officeDocument/2006/relationships/hyperlink" Target="https://www.mercadolibre.com.ar/reporting/activity/detail?id=51379753623" TargetMode="External"/><Relationship Id="rId397" Type="http://schemas.openxmlformats.org/officeDocument/2006/relationships/hyperlink" Target="https://www.mercadolibre.com.ar/reporting/activity/detail?id=51540401121" TargetMode="External"/><Relationship Id="rId520" Type="http://schemas.openxmlformats.org/officeDocument/2006/relationships/hyperlink" Target="https://www.mercadolibre.com.ar/reporting/activity/detail?id=51791666333" TargetMode="External"/><Relationship Id="rId618" Type="http://schemas.openxmlformats.org/officeDocument/2006/relationships/hyperlink" Target="https://www.mercadolibre.com.ar/reporting/activity/detail?id=51887727923" TargetMode="External"/><Relationship Id="rId825" Type="http://schemas.openxmlformats.org/officeDocument/2006/relationships/hyperlink" Target="https://www.mercadolibre.com.ar/reporting/activity/detail?id=52149699794" TargetMode="External"/><Relationship Id="rId1248" Type="http://schemas.openxmlformats.org/officeDocument/2006/relationships/hyperlink" Target="https://www.mercadolibre.com.ar/reporting/activity/detail?id=51075823571" TargetMode="External"/><Relationship Id="rId257" Type="http://schemas.openxmlformats.org/officeDocument/2006/relationships/hyperlink" Target="https://www.mercadolibre.com.ar/reporting/activity/detail?id=51489177964" TargetMode="External"/><Relationship Id="rId464" Type="http://schemas.openxmlformats.org/officeDocument/2006/relationships/hyperlink" Target="https://www.mercadolibre.com.ar/reporting/activity/detail?id=51786847798" TargetMode="External"/><Relationship Id="rId1010" Type="http://schemas.openxmlformats.org/officeDocument/2006/relationships/hyperlink" Target="https://www.mercadolibre.com.ar/reporting/activity/detail?id=52416329853" TargetMode="External"/><Relationship Id="rId1094" Type="http://schemas.openxmlformats.org/officeDocument/2006/relationships/hyperlink" Target="https://www.mercadolibre.com.ar/reporting/activity/detail?id=52512716553" TargetMode="External"/><Relationship Id="rId1108" Type="http://schemas.openxmlformats.org/officeDocument/2006/relationships/hyperlink" Target="https://www.mercadolibre.com.ar/reporting/activity/detail?id=52514133625" TargetMode="External"/><Relationship Id="rId1315" Type="http://schemas.openxmlformats.org/officeDocument/2006/relationships/hyperlink" Target="https://www.mercadolibre.com.ar/reporting/activity/detail?id=51126933405" TargetMode="External"/><Relationship Id="rId117" Type="http://schemas.openxmlformats.org/officeDocument/2006/relationships/hyperlink" Target="https://www.mercadolibre.com.ar/reporting/activity/detail?id=51429481061" TargetMode="External"/><Relationship Id="rId671" Type="http://schemas.openxmlformats.org/officeDocument/2006/relationships/hyperlink" Target="https://www.mercadolibre.com.ar/reporting/activity/detail?id=52050289825" TargetMode="External"/><Relationship Id="rId769" Type="http://schemas.openxmlformats.org/officeDocument/2006/relationships/hyperlink" Target="https://www.mercadolibre.com.ar/reporting/activity/detail?id=52103056168" TargetMode="External"/><Relationship Id="rId976" Type="http://schemas.openxmlformats.org/officeDocument/2006/relationships/hyperlink" Target="https://www.mercadolibre.com.ar/reporting/activity/detail?id=52414539152" TargetMode="External"/><Relationship Id="rId1399" Type="http://schemas.openxmlformats.org/officeDocument/2006/relationships/hyperlink" Target="https://www.mercadolibre.com.ar/reporting/activity/detail?id=51177567681" TargetMode="External"/><Relationship Id="rId324" Type="http://schemas.openxmlformats.org/officeDocument/2006/relationships/hyperlink" Target="https://www.mercadolibre.com.ar/reporting/activity/detail?id=51534824919" TargetMode="External"/><Relationship Id="rId531" Type="http://schemas.openxmlformats.org/officeDocument/2006/relationships/hyperlink" Target="https://www.mercadolibre.com.ar/reporting/activity/detail?id=51833358770" TargetMode="External"/><Relationship Id="rId629" Type="http://schemas.openxmlformats.org/officeDocument/2006/relationships/hyperlink" Target="https://www.mercadolibre.com.ar/reporting/activity/detail?id=51888333026" TargetMode="External"/><Relationship Id="rId1161" Type="http://schemas.openxmlformats.org/officeDocument/2006/relationships/hyperlink" Target="https://www.mercadolibre.com.ar/reporting/activity/detail?id=52551420557" TargetMode="External"/><Relationship Id="rId1259" Type="http://schemas.openxmlformats.org/officeDocument/2006/relationships/hyperlink" Target="https://www.mercadolibre.com.ar/reporting/activity/detail?id=51076716350" TargetMode="External"/><Relationship Id="rId836" Type="http://schemas.openxmlformats.org/officeDocument/2006/relationships/hyperlink" Target="https://www.mercadolibre.com.ar/reporting/activity/detail?id=52185783993" TargetMode="External"/><Relationship Id="rId1021" Type="http://schemas.openxmlformats.org/officeDocument/2006/relationships/hyperlink" Target="https://www.mercadolibre.com.ar/reporting/activity/detail?id=52416665478" TargetMode="External"/><Relationship Id="rId1119" Type="http://schemas.openxmlformats.org/officeDocument/2006/relationships/hyperlink" Target="https://www.mercadolibre.com.ar/reporting/activity/detail?id=52515267820" TargetMode="External"/><Relationship Id="rId903" Type="http://schemas.openxmlformats.org/officeDocument/2006/relationships/hyperlink" Target="https://www.mercadolibre.com.ar/reporting/activity/detail?id=52230305333" TargetMode="External"/><Relationship Id="rId1326" Type="http://schemas.openxmlformats.org/officeDocument/2006/relationships/hyperlink" Target="https://www.mercadolibre.com.ar/reporting/activity/detail?id=51127913011" TargetMode="External"/><Relationship Id="rId32" Type="http://schemas.openxmlformats.org/officeDocument/2006/relationships/hyperlink" Target="https://www.mercadolibre.com.ar/reporting/activity/detail?id=51180023837" TargetMode="External"/><Relationship Id="rId181" Type="http://schemas.openxmlformats.org/officeDocument/2006/relationships/hyperlink" Target="https://www.mercadolibre.com.ar/reporting/activity/detail?id=51437831891" TargetMode="External"/><Relationship Id="rId279" Type="http://schemas.openxmlformats.org/officeDocument/2006/relationships/hyperlink" Target="https://www.mercadolibre.com.ar/reporting/activity/detail?id=51491229526" TargetMode="External"/><Relationship Id="rId486" Type="http://schemas.openxmlformats.org/officeDocument/2006/relationships/hyperlink" Target="https://www.mercadolibre.com.ar/reporting/activity/detail?id=51788916648" TargetMode="External"/><Relationship Id="rId693" Type="http://schemas.openxmlformats.org/officeDocument/2006/relationships/hyperlink" Target="https://www.mercadolibre.com.ar/reporting/activity/detail?id=52057091805" TargetMode="External"/><Relationship Id="rId139" Type="http://schemas.openxmlformats.org/officeDocument/2006/relationships/hyperlink" Target="https://www.mercadolibre.com.ar/reporting/activity/detail?id=51432599716" TargetMode="External"/><Relationship Id="rId346" Type="http://schemas.openxmlformats.org/officeDocument/2006/relationships/hyperlink" Target="https://www.mercadolibre.com.ar/reporting/activity/detail?id=51537274388" TargetMode="External"/><Relationship Id="rId553" Type="http://schemas.openxmlformats.org/officeDocument/2006/relationships/hyperlink" Target="https://www.mercadolibre.com.ar/reporting/activity/detail?id=51841243925" TargetMode="External"/><Relationship Id="rId760" Type="http://schemas.openxmlformats.org/officeDocument/2006/relationships/hyperlink" Target="https://www.mercadolibre.com.ar/reporting/activity/detail?id=52102700045" TargetMode="External"/><Relationship Id="rId998" Type="http://schemas.openxmlformats.org/officeDocument/2006/relationships/hyperlink" Target="https://www.mercadolibre.com.ar/reporting/activity/detail?id=52415811864" TargetMode="External"/><Relationship Id="rId1183" Type="http://schemas.openxmlformats.org/officeDocument/2006/relationships/hyperlink" Target="https://www.mercadolibre.com.ar/reporting/activity/detail?id=51020088068" TargetMode="External"/><Relationship Id="rId1390" Type="http://schemas.openxmlformats.org/officeDocument/2006/relationships/hyperlink" Target="https://www.mercadolibre.com.ar/reporting/activity/detail?id=51176923634" TargetMode="External"/><Relationship Id="rId206" Type="http://schemas.openxmlformats.org/officeDocument/2006/relationships/hyperlink" Target="https://www.mercadolibre.com.ar/reporting/activity/detail?id=51475990299" TargetMode="External"/><Relationship Id="rId413" Type="http://schemas.openxmlformats.org/officeDocument/2006/relationships/hyperlink" Target="https://www.mercadolibre.com.ar/reporting/activity/detail?id=51577378083" TargetMode="External"/><Relationship Id="rId858" Type="http://schemas.openxmlformats.org/officeDocument/2006/relationships/hyperlink" Target="https://www.mercadolibre.com.ar/reporting/activity/detail?id=52192161291" TargetMode="External"/><Relationship Id="rId1043" Type="http://schemas.openxmlformats.org/officeDocument/2006/relationships/hyperlink" Target="https://www.mercadolibre.com.ar/reporting/activity/detail?id=52460563233" TargetMode="External"/><Relationship Id="rId620" Type="http://schemas.openxmlformats.org/officeDocument/2006/relationships/hyperlink" Target="https://www.mercadolibre.com.ar/reporting/activity/detail?id=51887918994" TargetMode="External"/><Relationship Id="rId718" Type="http://schemas.openxmlformats.org/officeDocument/2006/relationships/hyperlink" Target="https://www.mercadolibre.com.ar/reporting/activity/detail?id=52098448330" TargetMode="External"/><Relationship Id="rId925" Type="http://schemas.openxmlformats.org/officeDocument/2006/relationships/hyperlink" Target="https://www.mercadolibre.com.ar/reporting/activity/detail?id=52369174395" TargetMode="External"/><Relationship Id="rId1250" Type="http://schemas.openxmlformats.org/officeDocument/2006/relationships/hyperlink" Target="https://www.mercadolibre.com.ar/reporting/activity/detail?id=51075994138" TargetMode="External"/><Relationship Id="rId1348" Type="http://schemas.openxmlformats.org/officeDocument/2006/relationships/hyperlink" Target="https://www.mercadolibre.com.ar/reporting/activity/detail?id=51130776120" TargetMode="External"/><Relationship Id="rId1110" Type="http://schemas.openxmlformats.org/officeDocument/2006/relationships/hyperlink" Target="https://www.mercadolibre.com.ar/reporting/activity/detail?id=52514352065" TargetMode="External"/><Relationship Id="rId1208" Type="http://schemas.openxmlformats.org/officeDocument/2006/relationships/hyperlink" Target="https://www.mercadolibre.com.ar/reporting/activity/detail?id=51071274580" TargetMode="External"/><Relationship Id="rId54" Type="http://schemas.openxmlformats.org/officeDocument/2006/relationships/hyperlink" Target="https://www.mercadolibre.com.ar/reporting/activity/detail?id=51214420719" TargetMode="External"/><Relationship Id="rId270" Type="http://schemas.openxmlformats.org/officeDocument/2006/relationships/hyperlink" Target="https://www.mercadolibre.com.ar/reporting/activity/detail?id=51490368229" TargetMode="External"/><Relationship Id="rId130" Type="http://schemas.openxmlformats.org/officeDocument/2006/relationships/hyperlink" Target="https://www.mercadolibre.com.ar/reporting/activity/detail?id=51431376917" TargetMode="External"/><Relationship Id="rId368" Type="http://schemas.openxmlformats.org/officeDocument/2006/relationships/hyperlink" Target="https://www.mercadolibre.com.ar/reporting/activity/detail?id=51538473538" TargetMode="External"/><Relationship Id="rId575" Type="http://schemas.openxmlformats.org/officeDocument/2006/relationships/hyperlink" Target="https://www.mercadolibre.com.ar/reporting/activity/detail?id=51884210161" TargetMode="External"/><Relationship Id="rId782" Type="http://schemas.openxmlformats.org/officeDocument/2006/relationships/hyperlink" Target="https://www.mercadolibre.com.ar/reporting/activity/detail?id=52103598771" TargetMode="External"/><Relationship Id="rId228" Type="http://schemas.openxmlformats.org/officeDocument/2006/relationships/hyperlink" Target="https://www.mercadolibre.com.ar/reporting/activity/detail?id=51486176782" TargetMode="External"/><Relationship Id="rId435" Type="http://schemas.openxmlformats.org/officeDocument/2006/relationships/hyperlink" Target="https://www.mercadolibre.com.ar/reporting/activity/detail?id=51732326530" TargetMode="External"/><Relationship Id="rId642" Type="http://schemas.openxmlformats.org/officeDocument/2006/relationships/hyperlink" Target="https://www.mercadolibre.com.ar/reporting/activity/detail?id=51918778734" TargetMode="External"/><Relationship Id="rId1065" Type="http://schemas.openxmlformats.org/officeDocument/2006/relationships/hyperlink" Target="https://www.mercadolibre.com.ar/reporting/activity/detail?id=52466851758" TargetMode="External"/><Relationship Id="rId1272" Type="http://schemas.openxmlformats.org/officeDocument/2006/relationships/hyperlink" Target="https://www.mercadolibre.com.ar/reporting/activity/detail?id=51077624113" TargetMode="External"/><Relationship Id="rId502" Type="http://schemas.openxmlformats.org/officeDocument/2006/relationships/hyperlink" Target="https://www.mercadolibre.com.ar/reporting/activity/detail?id=51790536382" TargetMode="External"/><Relationship Id="rId947" Type="http://schemas.openxmlformats.org/officeDocument/2006/relationships/hyperlink" Target="https://www.mercadolibre.com.ar/reporting/activity/detail?id=52412436720" TargetMode="External"/><Relationship Id="rId1132" Type="http://schemas.openxmlformats.org/officeDocument/2006/relationships/hyperlink" Target="https://www.mercadolibre.com.ar/reporting/activity/detail?id=52516093901" TargetMode="External"/><Relationship Id="rId76" Type="http://schemas.openxmlformats.org/officeDocument/2006/relationships/hyperlink" Target="https://www.mercadolibre.com.ar/reporting/activity/detail?id=51374283105" TargetMode="External"/><Relationship Id="rId807" Type="http://schemas.openxmlformats.org/officeDocument/2006/relationships/hyperlink" Target="https://www.mercadolibre.com.ar/reporting/activity/detail?id=52104588818" TargetMode="External"/><Relationship Id="rId292" Type="http://schemas.openxmlformats.org/officeDocument/2006/relationships/hyperlink" Target="https://www.mercadolibre.com.ar/reporting/activity/detail?id=51492337855" TargetMode="External"/><Relationship Id="rId597" Type="http://schemas.openxmlformats.org/officeDocument/2006/relationships/hyperlink" Target="https://www.mercadolibre.com.ar/reporting/activity/detail?id=51885754269" TargetMode="External"/><Relationship Id="rId152" Type="http://schemas.openxmlformats.org/officeDocument/2006/relationships/hyperlink" Target="https://www.mercadolibre.com.ar/reporting/activity/detail?id=51434830331" TargetMode="External"/><Relationship Id="rId457" Type="http://schemas.openxmlformats.org/officeDocument/2006/relationships/hyperlink" Target="https://www.mercadolibre.com.ar/reporting/activity/detail?id=51785803785" TargetMode="External"/><Relationship Id="rId1087" Type="http://schemas.openxmlformats.org/officeDocument/2006/relationships/hyperlink" Target="https://www.mercadolibre.com.ar/reporting/activity/detail?id=52511499068" TargetMode="External"/><Relationship Id="rId1294" Type="http://schemas.openxmlformats.org/officeDocument/2006/relationships/hyperlink" Target="https://www.mercadolibre.com.ar/reporting/activity/detail?id=51120584180" TargetMode="External"/><Relationship Id="rId664" Type="http://schemas.openxmlformats.org/officeDocument/2006/relationships/hyperlink" Target="https://www.mercadolibre.com.ar/reporting/activity/detail?id=51924853401" TargetMode="External"/><Relationship Id="rId871" Type="http://schemas.openxmlformats.org/officeDocument/2006/relationships/hyperlink" Target="https://www.mercadolibre.com.ar/reporting/activity/detail?id=52225058063" TargetMode="External"/><Relationship Id="rId969" Type="http://schemas.openxmlformats.org/officeDocument/2006/relationships/hyperlink" Target="https://www.mercadolibre.com.ar/reporting/activity/detail?id=52413868469" TargetMode="External"/><Relationship Id="rId317" Type="http://schemas.openxmlformats.org/officeDocument/2006/relationships/hyperlink" Target="https://www.mercadolibre.com.ar/reporting/activity/detail?id=51533497284" TargetMode="External"/><Relationship Id="rId524" Type="http://schemas.openxmlformats.org/officeDocument/2006/relationships/hyperlink" Target="https://www.mercadolibre.com.ar/reporting/activity/detail?id=51831101682" TargetMode="External"/><Relationship Id="rId731" Type="http://schemas.openxmlformats.org/officeDocument/2006/relationships/hyperlink" Target="https://www.mercadolibre.com.ar/reporting/activity/detail?id=52100092515" TargetMode="External"/><Relationship Id="rId1154" Type="http://schemas.openxmlformats.org/officeDocument/2006/relationships/hyperlink" Target="https://www.mercadolibre.com.ar/reporting/activity/detail?id=52546984847" TargetMode="External"/><Relationship Id="rId1361" Type="http://schemas.openxmlformats.org/officeDocument/2006/relationships/hyperlink" Target="https://www.mercadolibre.com.ar/reporting/activity/detail?id=51170441653" TargetMode="External"/><Relationship Id="rId98" Type="http://schemas.openxmlformats.org/officeDocument/2006/relationships/hyperlink" Target="https://www.mercadolibre.com.ar/reporting/activity/detail?id=51380243566" TargetMode="External"/><Relationship Id="rId829" Type="http://schemas.openxmlformats.org/officeDocument/2006/relationships/hyperlink" Target="https://www.mercadolibre.com.ar/reporting/activity/detail?id=52151329642" TargetMode="External"/><Relationship Id="rId1014" Type="http://schemas.openxmlformats.org/officeDocument/2006/relationships/hyperlink" Target="https://www.mercadolibre.com.ar/reporting/activity/detail?id=52416447043" TargetMode="External"/><Relationship Id="rId1221" Type="http://schemas.openxmlformats.org/officeDocument/2006/relationships/hyperlink" Target="https://www.mercadolibre.com.ar/reporting/activity/detail?id=51073043510" TargetMode="External"/><Relationship Id="rId1319" Type="http://schemas.openxmlformats.org/officeDocument/2006/relationships/hyperlink" Target="https://www.mercadolibre.com.ar/reporting/activity/detail?id=51127262411" TargetMode="External"/><Relationship Id="rId25" Type="http://schemas.openxmlformats.org/officeDocument/2006/relationships/hyperlink" Target="https://www.mercadolibre.com.ar/reporting/activity/detail?id=51179658152" TargetMode="External"/><Relationship Id="rId174" Type="http://schemas.openxmlformats.org/officeDocument/2006/relationships/hyperlink" Target="https://www.mercadolibre.com.ar/reporting/activity/detail?id=51437146450" TargetMode="External"/><Relationship Id="rId381" Type="http://schemas.openxmlformats.org/officeDocument/2006/relationships/hyperlink" Target="https://www.mercadolibre.com.ar/reporting/activity/detail?id=51539214053" TargetMode="External"/><Relationship Id="rId241" Type="http://schemas.openxmlformats.org/officeDocument/2006/relationships/hyperlink" Target="https://www.mercadolibre.com.ar/reporting/activity/detail?id=51487561170" TargetMode="External"/><Relationship Id="rId479" Type="http://schemas.openxmlformats.org/officeDocument/2006/relationships/hyperlink" Target="https://www.mercadolibre.com.ar/reporting/activity/detail?id=51788536595" TargetMode="External"/><Relationship Id="rId686" Type="http://schemas.openxmlformats.org/officeDocument/2006/relationships/hyperlink" Target="https://www.mercadolibre.com.ar/reporting/activity/detail?id=52055572953" TargetMode="External"/><Relationship Id="rId893" Type="http://schemas.openxmlformats.org/officeDocument/2006/relationships/hyperlink" Target="https://www.mercadolibre.com.ar/reporting/activity/detail?id=52229611915" TargetMode="External"/><Relationship Id="rId339" Type="http://schemas.openxmlformats.org/officeDocument/2006/relationships/hyperlink" Target="https://www.mercadolibre.com.ar/reporting/activity/detail?id=51536538473" TargetMode="External"/><Relationship Id="rId546" Type="http://schemas.openxmlformats.org/officeDocument/2006/relationships/hyperlink" Target="https://www.mercadolibre.com.ar/reporting/activity/detail?id=51839742176" TargetMode="External"/><Relationship Id="rId753" Type="http://schemas.openxmlformats.org/officeDocument/2006/relationships/hyperlink" Target="https://www.mercadolibre.com.ar/reporting/activity/detail?id=52102314324" TargetMode="External"/><Relationship Id="rId1176" Type="http://schemas.openxmlformats.org/officeDocument/2006/relationships/hyperlink" Target="https://www.mercadolibre.com.ar/reporting/activity/detail?id=52554727155" TargetMode="External"/><Relationship Id="rId1383" Type="http://schemas.openxmlformats.org/officeDocument/2006/relationships/hyperlink" Target="https://www.mercadolibre.com.ar/reporting/activity/detail?id=51175813085" TargetMode="External"/><Relationship Id="rId101" Type="http://schemas.openxmlformats.org/officeDocument/2006/relationships/hyperlink" Target="https://www.mercadolibre.com.ar/reporting/activity/detail?id=51381716603" TargetMode="External"/><Relationship Id="rId406" Type="http://schemas.openxmlformats.org/officeDocument/2006/relationships/hyperlink" Target="https://www.mercadolibre.com.ar/reporting/activity/detail?id=51575436549" TargetMode="External"/><Relationship Id="rId960" Type="http://schemas.openxmlformats.org/officeDocument/2006/relationships/hyperlink" Target="https://www.mercadolibre.com.ar/reporting/activity/detail?id=52413317348" TargetMode="External"/><Relationship Id="rId1036" Type="http://schemas.openxmlformats.org/officeDocument/2006/relationships/hyperlink" Target="https://www.mercadolibre.com.ar/reporting/activity/detail?id=52459578386" TargetMode="External"/><Relationship Id="rId1243" Type="http://schemas.openxmlformats.org/officeDocument/2006/relationships/hyperlink" Target="https://www.mercadolibre.com.ar/reporting/activity/detail?id=51075465472" TargetMode="External"/><Relationship Id="rId613" Type="http://schemas.openxmlformats.org/officeDocument/2006/relationships/hyperlink" Target="https://www.mercadolibre.com.ar/reporting/activity/detail?id=51887222070" TargetMode="External"/><Relationship Id="rId820" Type="http://schemas.openxmlformats.org/officeDocument/2006/relationships/hyperlink" Target="https://www.mercadolibre.com.ar/reporting/activity/detail?id=52148221882" TargetMode="External"/><Relationship Id="rId918" Type="http://schemas.openxmlformats.org/officeDocument/2006/relationships/hyperlink" Target="https://www.mercadolibre.com.ar/reporting/activity/detail?id=52364348707" TargetMode="External"/><Relationship Id="rId1103" Type="http://schemas.openxmlformats.org/officeDocument/2006/relationships/hyperlink" Target="https://www.mercadolibre.com.ar/reporting/activity/detail?id=52513776454" TargetMode="External"/><Relationship Id="rId1310" Type="http://schemas.openxmlformats.org/officeDocument/2006/relationships/hyperlink" Target="https://www.mercadolibre.com.ar/reporting/activity/detail?id=51126607365" TargetMode="External"/><Relationship Id="rId47" Type="http://schemas.openxmlformats.org/officeDocument/2006/relationships/hyperlink" Target="https://www.mercadolibre.com.ar/reporting/activity/detail?id=51180782950" TargetMode="External"/><Relationship Id="rId196" Type="http://schemas.openxmlformats.org/officeDocument/2006/relationships/hyperlink" Target="https://www.mercadolibre.com.ar/reporting/activity/detail?id=51438680195" TargetMode="External"/><Relationship Id="rId263" Type="http://schemas.openxmlformats.org/officeDocument/2006/relationships/hyperlink" Target="https://www.mercadolibre.com.ar/reporting/activity/detail?id=51489495714" TargetMode="External"/><Relationship Id="rId470" Type="http://schemas.openxmlformats.org/officeDocument/2006/relationships/hyperlink" Target="https://www.mercadolibre.com.ar/reporting/activity/detail?id=51787564530" TargetMode="External"/><Relationship Id="rId123" Type="http://schemas.openxmlformats.org/officeDocument/2006/relationships/hyperlink" Target="https://www.mercadolibre.com.ar/reporting/activity/detail?id=51430560743" TargetMode="External"/><Relationship Id="rId330" Type="http://schemas.openxmlformats.org/officeDocument/2006/relationships/hyperlink" Target="https://www.mercadolibre.com.ar/reporting/activity/detail?id=51535666591" TargetMode="External"/><Relationship Id="rId568" Type="http://schemas.openxmlformats.org/officeDocument/2006/relationships/hyperlink" Target="https://www.mercadolibre.com.ar/reporting/activity/detail?id=51882729376" TargetMode="External"/><Relationship Id="rId775" Type="http://schemas.openxmlformats.org/officeDocument/2006/relationships/hyperlink" Target="https://www.mercadolibre.com.ar/reporting/activity/detail?id=52103226793" TargetMode="External"/><Relationship Id="rId982" Type="http://schemas.openxmlformats.org/officeDocument/2006/relationships/hyperlink" Target="https://www.mercadolibre.com.ar/reporting/activity/detail?id=52414848350" TargetMode="External"/><Relationship Id="rId1198" Type="http://schemas.openxmlformats.org/officeDocument/2006/relationships/hyperlink" Target="https://www.mercadolibre.com.ar/reporting/activity/detail?id=51025769014" TargetMode="External"/><Relationship Id="rId428" Type="http://schemas.openxmlformats.org/officeDocument/2006/relationships/hyperlink" Target="https://www.mercadolibre.com.ar/reporting/activity/detail?id=51730037874" TargetMode="External"/><Relationship Id="rId635" Type="http://schemas.openxmlformats.org/officeDocument/2006/relationships/hyperlink" Target="https://www.mercadolibre.com.ar/reporting/activity/detail?id=51888471443" TargetMode="External"/><Relationship Id="rId842" Type="http://schemas.openxmlformats.org/officeDocument/2006/relationships/hyperlink" Target="https://www.mercadolibre.com.ar/reporting/activity/detail?id=52186856616" TargetMode="External"/><Relationship Id="rId1058" Type="http://schemas.openxmlformats.org/officeDocument/2006/relationships/hyperlink" Target="https://www.mercadolibre.com.ar/reporting/activity/detail?id=52465110983" TargetMode="External"/><Relationship Id="rId1265" Type="http://schemas.openxmlformats.org/officeDocument/2006/relationships/hyperlink" Target="https://www.mercadolibre.com.ar/reporting/activity/detail?id=51077036011" TargetMode="External"/><Relationship Id="rId702" Type="http://schemas.openxmlformats.org/officeDocument/2006/relationships/hyperlink" Target="https://www.mercadolibre.com.ar/reporting/activity/detail?id=52096255328" TargetMode="External"/><Relationship Id="rId1125" Type="http://schemas.openxmlformats.org/officeDocument/2006/relationships/hyperlink" Target="https://www.mercadolibre.com.ar/reporting/activity/detail?id=52515609625" TargetMode="External"/><Relationship Id="rId1332" Type="http://schemas.openxmlformats.org/officeDocument/2006/relationships/hyperlink" Target="https://www.mercadolibre.com.ar/reporting/activity/detail?id=51128554369" TargetMode="External"/><Relationship Id="rId69" Type="http://schemas.openxmlformats.org/officeDocument/2006/relationships/hyperlink" Target="https://www.mercadolibre.com.ar/reporting/activity/detail?id=51219103176" TargetMode="External"/><Relationship Id="rId285" Type="http://schemas.openxmlformats.org/officeDocument/2006/relationships/hyperlink" Target="https://www.mercadolibre.com.ar/reporting/activity/detail?id=51491717537" TargetMode="External"/><Relationship Id="rId492" Type="http://schemas.openxmlformats.org/officeDocument/2006/relationships/hyperlink" Target="https://www.mercadolibre.com.ar/reporting/activity/detail?id=51789528557" TargetMode="External"/><Relationship Id="rId797" Type="http://schemas.openxmlformats.org/officeDocument/2006/relationships/hyperlink" Target="https://www.mercadolibre.com.ar/reporting/activity/detail?id=52104099553" TargetMode="External"/><Relationship Id="rId145" Type="http://schemas.openxmlformats.org/officeDocument/2006/relationships/hyperlink" Target="https://www.mercadolibre.com.ar/reporting/activity/detail?id=51433196925" TargetMode="External"/><Relationship Id="rId352" Type="http://schemas.openxmlformats.org/officeDocument/2006/relationships/hyperlink" Target="https://www.mercadolibre.com.ar/reporting/activity/detail?id=51537461424" TargetMode="External"/><Relationship Id="rId1287" Type="http://schemas.openxmlformats.org/officeDocument/2006/relationships/hyperlink" Target="https://www.mercadolibre.com.ar/reporting/activity/detail?id=51078309863" TargetMode="External"/><Relationship Id="rId212" Type="http://schemas.openxmlformats.org/officeDocument/2006/relationships/hyperlink" Target="https://www.mercadolibre.com.ar/reporting/activity/detail?id=51481357847" TargetMode="External"/><Relationship Id="rId657" Type="http://schemas.openxmlformats.org/officeDocument/2006/relationships/hyperlink" Target="https://www.mercadolibre.com.ar/reporting/activity/detail?id=51923089014" TargetMode="External"/><Relationship Id="rId864" Type="http://schemas.openxmlformats.org/officeDocument/2006/relationships/hyperlink" Target="https://www.mercadolibre.com.ar/reporting/activity/detail?id=52192860823" TargetMode="External"/><Relationship Id="rId517" Type="http://schemas.openxmlformats.org/officeDocument/2006/relationships/hyperlink" Target="https://www.mercadolibre.com.ar/reporting/activity/detail?id=51791217533" TargetMode="External"/><Relationship Id="rId724" Type="http://schemas.openxmlformats.org/officeDocument/2006/relationships/hyperlink" Target="https://www.mercadolibre.com.ar/reporting/activity/detail?id=52099031776" TargetMode="External"/><Relationship Id="rId931" Type="http://schemas.openxmlformats.org/officeDocument/2006/relationships/hyperlink" Target="https://www.mercadolibre.com.ar/reporting/activity/detail?id=52410318943" TargetMode="External"/><Relationship Id="rId1147" Type="http://schemas.openxmlformats.org/officeDocument/2006/relationships/hyperlink" Target="https://www.mercadolibre.com.ar/reporting/activity/detail?id=52516801913" TargetMode="External"/><Relationship Id="rId1354" Type="http://schemas.openxmlformats.org/officeDocument/2006/relationships/hyperlink" Target="https://www.mercadolibre.com.ar/reporting/activity/detail?id=51131768298" TargetMode="External"/><Relationship Id="rId60" Type="http://schemas.openxmlformats.org/officeDocument/2006/relationships/hyperlink" Target="https://www.mercadolibre.com.ar/reporting/activity/detail?id=51216477091" TargetMode="External"/><Relationship Id="rId1007" Type="http://schemas.openxmlformats.org/officeDocument/2006/relationships/hyperlink" Target="https://www.mercadolibre.com.ar/reporting/activity/detail?id=52416217609" TargetMode="External"/><Relationship Id="rId1214" Type="http://schemas.openxmlformats.org/officeDocument/2006/relationships/hyperlink" Target="https://www.mercadolibre.com.ar/reporting/activity/detail?id=51072236357" TargetMode="External"/><Relationship Id="rId18" Type="http://schemas.openxmlformats.org/officeDocument/2006/relationships/hyperlink" Target="https://www.mercadolibre.com.ar/reporting/activity/detail?id=51179233655" TargetMode="External"/><Relationship Id="rId167" Type="http://schemas.openxmlformats.org/officeDocument/2006/relationships/hyperlink" Target="https://www.mercadolibre.com.ar/reporting/activity/detail?id=51436501752" TargetMode="External"/><Relationship Id="rId374" Type="http://schemas.openxmlformats.org/officeDocument/2006/relationships/hyperlink" Target="https://www.mercadolibre.com.ar/reporting/activity/detail?id=51538913771" TargetMode="External"/><Relationship Id="rId581" Type="http://schemas.openxmlformats.org/officeDocument/2006/relationships/hyperlink" Target="https://www.mercadolibre.com.ar/reporting/activity/detail?id=51884913186" TargetMode="External"/><Relationship Id="rId234" Type="http://schemas.openxmlformats.org/officeDocument/2006/relationships/hyperlink" Target="https://www.mercadolibre.com.ar/reporting/activity/detail?id=51486681759" TargetMode="External"/><Relationship Id="rId679" Type="http://schemas.openxmlformats.org/officeDocument/2006/relationships/hyperlink" Target="https://www.mercadolibre.com.ar/reporting/activity/detail?id=52054103442" TargetMode="External"/><Relationship Id="rId886" Type="http://schemas.openxmlformats.org/officeDocument/2006/relationships/hyperlink" Target="https://www.mercadolibre.com.ar/reporting/activity/detail?id=52228661950" TargetMode="External"/><Relationship Id="rId2" Type="http://schemas.openxmlformats.org/officeDocument/2006/relationships/hyperlink" Target="https://www.mercadolibre.com.ar/reporting/activity/detail?id=51177836724" TargetMode="External"/><Relationship Id="rId441" Type="http://schemas.openxmlformats.org/officeDocument/2006/relationships/hyperlink" Target="https://www.mercadolibre.com.ar/reporting/activity/detail?id=51781435441" TargetMode="External"/><Relationship Id="rId539" Type="http://schemas.openxmlformats.org/officeDocument/2006/relationships/hyperlink" Target="https://www.mercadolibre.com.ar/reporting/activity/detail?id=51836846504" TargetMode="External"/><Relationship Id="rId746" Type="http://schemas.openxmlformats.org/officeDocument/2006/relationships/hyperlink" Target="https://www.mercadolibre.com.ar/reporting/activity/detail?id=52101823505" TargetMode="External"/><Relationship Id="rId1071" Type="http://schemas.openxmlformats.org/officeDocument/2006/relationships/hyperlink" Target="https://www.mercadolibre.com.ar/reporting/activity/detail?id=52468044618" TargetMode="External"/><Relationship Id="rId1169" Type="http://schemas.openxmlformats.org/officeDocument/2006/relationships/hyperlink" Target="https://www.mercadolibre.com.ar/reporting/activity/detail?id=52552910840" TargetMode="External"/><Relationship Id="rId1376" Type="http://schemas.openxmlformats.org/officeDocument/2006/relationships/hyperlink" Target="https://www.mercadolibre.com.ar/reporting/activity/detail?id=51174474689" TargetMode="External"/><Relationship Id="rId301" Type="http://schemas.openxmlformats.org/officeDocument/2006/relationships/hyperlink" Target="https://www.mercadolibre.com.ar/reporting/activity/detail?id=51531065126" TargetMode="External"/><Relationship Id="rId953" Type="http://schemas.openxmlformats.org/officeDocument/2006/relationships/hyperlink" Target="https://www.mercadolibre.com.ar/reporting/activity/detail?id=52412888813" TargetMode="External"/><Relationship Id="rId1029" Type="http://schemas.openxmlformats.org/officeDocument/2006/relationships/hyperlink" Target="https://www.mercadolibre.com.ar/reporting/activity/detail?id=52455629282" TargetMode="External"/><Relationship Id="rId1236" Type="http://schemas.openxmlformats.org/officeDocument/2006/relationships/hyperlink" Target="https://www.mercadolibre.com.ar/reporting/activity/detail?id=51074996784" TargetMode="External"/><Relationship Id="rId82" Type="http://schemas.openxmlformats.org/officeDocument/2006/relationships/hyperlink" Target="https://www.mercadolibre.com.ar/reporting/activity/detail?id=51376533057" TargetMode="External"/><Relationship Id="rId606" Type="http://schemas.openxmlformats.org/officeDocument/2006/relationships/hyperlink" Target="https://www.mercadolibre.com.ar/reporting/activity/detail?id=51886528900" TargetMode="External"/><Relationship Id="rId813" Type="http://schemas.openxmlformats.org/officeDocument/2006/relationships/hyperlink" Target="https://www.mercadolibre.com.ar/reporting/activity/detail?id=52144566087" TargetMode="External"/><Relationship Id="rId1303" Type="http://schemas.openxmlformats.org/officeDocument/2006/relationships/hyperlink" Target="https://www.mercadolibre.com.ar/reporting/activity/detail?id=51124603360" TargetMode="External"/><Relationship Id="rId189" Type="http://schemas.openxmlformats.org/officeDocument/2006/relationships/hyperlink" Target="https://www.mercadolibre.com.ar/reporting/activity/detail?id=51438148680" TargetMode="External"/><Relationship Id="rId396" Type="http://schemas.openxmlformats.org/officeDocument/2006/relationships/hyperlink" Target="https://www.mercadolibre.com.ar/reporting/activity/detail?id=51540376432" TargetMode="External"/><Relationship Id="rId256" Type="http://schemas.openxmlformats.org/officeDocument/2006/relationships/hyperlink" Target="https://www.mercadolibre.com.ar/reporting/activity/detail?id=51489126144" TargetMode="External"/><Relationship Id="rId463" Type="http://schemas.openxmlformats.org/officeDocument/2006/relationships/hyperlink" Target="https://www.mercadolibre.com.ar/reporting/activity/detail?id=51786715815" TargetMode="External"/><Relationship Id="rId670" Type="http://schemas.openxmlformats.org/officeDocument/2006/relationships/hyperlink" Target="https://www.mercadolibre.com.ar/reporting/activity/detail?id=52050001680" TargetMode="External"/><Relationship Id="rId1093" Type="http://schemas.openxmlformats.org/officeDocument/2006/relationships/hyperlink" Target="https://www.mercadolibre.com.ar/reporting/activity/detail?id=52512228186" TargetMode="External"/><Relationship Id="rId116" Type="http://schemas.openxmlformats.org/officeDocument/2006/relationships/hyperlink" Target="https://www.mercadolibre.com.ar/reporting/activity/detail?id=51429460432" TargetMode="External"/><Relationship Id="rId323" Type="http://schemas.openxmlformats.org/officeDocument/2006/relationships/hyperlink" Target="https://www.mercadolibre.com.ar/reporting/activity/detail?id=51534750866" TargetMode="External"/><Relationship Id="rId530" Type="http://schemas.openxmlformats.org/officeDocument/2006/relationships/hyperlink" Target="https://www.mercadolibre.com.ar/reporting/activity/detail?id=51832228708" TargetMode="External"/><Relationship Id="rId768" Type="http://schemas.openxmlformats.org/officeDocument/2006/relationships/hyperlink" Target="https://www.mercadolibre.com.ar/reporting/activity/detail?id=52102943330" TargetMode="External"/><Relationship Id="rId975" Type="http://schemas.openxmlformats.org/officeDocument/2006/relationships/hyperlink" Target="https://www.mercadolibre.com.ar/reporting/activity/detail?id=52414369778" TargetMode="External"/><Relationship Id="rId1160" Type="http://schemas.openxmlformats.org/officeDocument/2006/relationships/hyperlink" Target="https://www.mercadolibre.com.ar/reporting/activity/detail?id=52550458702" TargetMode="External"/><Relationship Id="rId1398" Type="http://schemas.openxmlformats.org/officeDocument/2006/relationships/hyperlink" Target="https://www.mercadolibre.com.ar/reporting/activity/detail?id=51177519735" TargetMode="External"/><Relationship Id="rId628" Type="http://schemas.openxmlformats.org/officeDocument/2006/relationships/hyperlink" Target="https://www.mercadolibre.com.ar/reporting/activity/detail?id=51888284587" TargetMode="External"/><Relationship Id="rId835" Type="http://schemas.openxmlformats.org/officeDocument/2006/relationships/hyperlink" Target="https://www.mercadolibre.com.ar/reporting/activity/detail?id=52185174140" TargetMode="External"/><Relationship Id="rId1258" Type="http://schemas.openxmlformats.org/officeDocument/2006/relationships/hyperlink" Target="https://www.mercadolibre.com.ar/reporting/activity/detail?id=51076548535" TargetMode="External"/><Relationship Id="rId1020" Type="http://schemas.openxmlformats.org/officeDocument/2006/relationships/hyperlink" Target="https://www.mercadolibre.com.ar/reporting/activity/detail?id=52416625326" TargetMode="External"/><Relationship Id="rId1118" Type="http://schemas.openxmlformats.org/officeDocument/2006/relationships/hyperlink" Target="https://www.mercadolibre.com.ar/reporting/activity/detail?id=52515018980" TargetMode="External"/><Relationship Id="rId1325" Type="http://schemas.openxmlformats.org/officeDocument/2006/relationships/hyperlink" Target="https://www.mercadolibre.com.ar/reporting/activity/detail?id=51127765400" TargetMode="External"/><Relationship Id="rId902" Type="http://schemas.openxmlformats.org/officeDocument/2006/relationships/hyperlink" Target="https://www.mercadolibre.com.ar/reporting/activity/detail?id=52230268267" TargetMode="External"/><Relationship Id="rId31" Type="http://schemas.openxmlformats.org/officeDocument/2006/relationships/hyperlink" Target="https://www.mercadolibre.com.ar/reporting/activity/detail?id=51180010027" TargetMode="External"/><Relationship Id="rId180" Type="http://schemas.openxmlformats.org/officeDocument/2006/relationships/hyperlink" Target="https://www.mercadolibre.com.ar/reporting/activity/detail?id=51437811094" TargetMode="External"/><Relationship Id="rId278" Type="http://schemas.openxmlformats.org/officeDocument/2006/relationships/hyperlink" Target="https://www.mercadolibre.com.ar/reporting/activity/detail?id=51491089726" TargetMode="External"/><Relationship Id="rId485" Type="http://schemas.openxmlformats.org/officeDocument/2006/relationships/hyperlink" Target="https://www.mercadolibre.com.ar/reporting/activity/detail?id=51788843179" TargetMode="External"/><Relationship Id="rId692" Type="http://schemas.openxmlformats.org/officeDocument/2006/relationships/hyperlink" Target="https://www.mercadolibre.com.ar/reporting/activity/detail?id=52056559137" TargetMode="External"/><Relationship Id="rId138" Type="http://schemas.openxmlformats.org/officeDocument/2006/relationships/hyperlink" Target="https://www.mercadolibre.com.ar/reporting/activity/detail?id=51432580519" TargetMode="External"/><Relationship Id="rId345" Type="http://schemas.openxmlformats.org/officeDocument/2006/relationships/hyperlink" Target="https://www.mercadolibre.com.ar/reporting/activity/detail?id=51537235280" TargetMode="External"/><Relationship Id="rId552" Type="http://schemas.openxmlformats.org/officeDocument/2006/relationships/hyperlink" Target="https://www.mercadolibre.com.ar/reporting/activity/detail?id=51841156136" TargetMode="External"/><Relationship Id="rId997" Type="http://schemas.openxmlformats.org/officeDocument/2006/relationships/hyperlink" Target="https://www.mercadolibre.com.ar/reporting/activity/detail?id=52415797408" TargetMode="External"/><Relationship Id="rId1182" Type="http://schemas.openxmlformats.org/officeDocument/2006/relationships/hyperlink" Target="https://www.mercadolibre.com.ar/reporting/activity/detail?id=51019339506" TargetMode="External"/><Relationship Id="rId205" Type="http://schemas.openxmlformats.org/officeDocument/2006/relationships/hyperlink" Target="https://www.mercadolibre.com.ar/reporting/activity/detail?id=51475458028" TargetMode="External"/><Relationship Id="rId412" Type="http://schemas.openxmlformats.org/officeDocument/2006/relationships/hyperlink" Target="https://www.mercadolibre.com.ar/reporting/activity/detail?id=51577335294" TargetMode="External"/><Relationship Id="rId857" Type="http://schemas.openxmlformats.org/officeDocument/2006/relationships/hyperlink" Target="https://www.mercadolibre.com.ar/reporting/activity/detail?id=52192139960" TargetMode="External"/><Relationship Id="rId1042" Type="http://schemas.openxmlformats.org/officeDocument/2006/relationships/hyperlink" Target="https://www.mercadolibre.com.ar/reporting/activity/detail?id=52460402828" TargetMode="External"/><Relationship Id="rId717" Type="http://schemas.openxmlformats.org/officeDocument/2006/relationships/hyperlink" Target="https://www.mercadolibre.com.ar/reporting/activity/detail?id=52098407657" TargetMode="External"/><Relationship Id="rId924" Type="http://schemas.openxmlformats.org/officeDocument/2006/relationships/hyperlink" Target="https://www.mercadolibre.com.ar/reporting/activity/detail?id=52368068479" TargetMode="External"/><Relationship Id="rId1347" Type="http://schemas.openxmlformats.org/officeDocument/2006/relationships/hyperlink" Target="https://www.mercadolibre.com.ar/reporting/activity/detail?id=51130642321" TargetMode="External"/><Relationship Id="rId53" Type="http://schemas.openxmlformats.org/officeDocument/2006/relationships/hyperlink" Target="https://www.mercadolibre.com.ar/reporting/activity/detail?id=51214286758" TargetMode="External"/><Relationship Id="rId1207" Type="http://schemas.openxmlformats.org/officeDocument/2006/relationships/hyperlink" Target="https://www.mercadolibre.com.ar/reporting/activity/detail?id=51070854546" TargetMode="External"/><Relationship Id="rId367" Type="http://schemas.openxmlformats.org/officeDocument/2006/relationships/hyperlink" Target="https://www.mercadolibre.com.ar/reporting/activity/detail?id=51538310835" TargetMode="External"/><Relationship Id="rId574" Type="http://schemas.openxmlformats.org/officeDocument/2006/relationships/hyperlink" Target="https://www.mercadolibre.com.ar/reporting/activity/detail?id=51884103150" TargetMode="External"/><Relationship Id="rId227" Type="http://schemas.openxmlformats.org/officeDocument/2006/relationships/hyperlink" Target="https://www.mercadolibre.com.ar/reporting/activity/detail?id=51486053302" TargetMode="External"/><Relationship Id="rId781" Type="http://schemas.openxmlformats.org/officeDocument/2006/relationships/hyperlink" Target="https://www.mercadolibre.com.ar/reporting/activity/detail?id=52103584315" TargetMode="External"/><Relationship Id="rId879" Type="http://schemas.openxmlformats.org/officeDocument/2006/relationships/hyperlink" Target="https://www.mercadolibre.com.ar/reporting/activity/detail?id=52226630758" TargetMode="External"/><Relationship Id="rId434" Type="http://schemas.openxmlformats.org/officeDocument/2006/relationships/hyperlink" Target="https://www.mercadolibre.com.ar/reporting/activity/detail?id=51732236663" TargetMode="External"/><Relationship Id="rId641" Type="http://schemas.openxmlformats.org/officeDocument/2006/relationships/hyperlink" Target="https://www.mercadolibre.com.ar/reporting/activity/detail?id=51918473949" TargetMode="External"/><Relationship Id="rId739" Type="http://schemas.openxmlformats.org/officeDocument/2006/relationships/hyperlink" Target="https://www.mercadolibre.com.ar/reporting/activity/detail?id=52101127188" TargetMode="External"/><Relationship Id="rId1064" Type="http://schemas.openxmlformats.org/officeDocument/2006/relationships/hyperlink" Target="https://www.mercadolibre.com.ar/reporting/activity/detail?id=52466639131" TargetMode="External"/><Relationship Id="rId1271" Type="http://schemas.openxmlformats.org/officeDocument/2006/relationships/hyperlink" Target="https://www.mercadolibre.com.ar/reporting/activity/detail?id=51077496713" TargetMode="External"/><Relationship Id="rId1369" Type="http://schemas.openxmlformats.org/officeDocument/2006/relationships/hyperlink" Target="https://www.mercadolibre.com.ar/reporting/activity/detail?id=51173754140" TargetMode="External"/><Relationship Id="rId501" Type="http://schemas.openxmlformats.org/officeDocument/2006/relationships/hyperlink" Target="https://www.mercadolibre.com.ar/reporting/activity/detail?id=51790495845" TargetMode="External"/><Relationship Id="rId946" Type="http://schemas.openxmlformats.org/officeDocument/2006/relationships/hyperlink" Target="https://www.mercadolibre.com.ar/reporting/activity/detail?id=52412398016" TargetMode="External"/><Relationship Id="rId1131" Type="http://schemas.openxmlformats.org/officeDocument/2006/relationships/hyperlink" Target="https://www.mercadolibre.com.ar/reporting/activity/detail?id=52515946196" TargetMode="External"/><Relationship Id="rId1229" Type="http://schemas.openxmlformats.org/officeDocument/2006/relationships/hyperlink" Target="https://www.mercadolibre.com.ar/reporting/activity/detail?id=51074215056" TargetMode="External"/><Relationship Id="rId75" Type="http://schemas.openxmlformats.org/officeDocument/2006/relationships/hyperlink" Target="https://www.mercadolibre.com.ar/reporting/activity/detail?id=51373749024" TargetMode="External"/><Relationship Id="rId806" Type="http://schemas.openxmlformats.org/officeDocument/2006/relationships/hyperlink" Target="https://www.mercadolibre.com.ar/reporting/activity/detail?id=52104528220" TargetMode="External"/><Relationship Id="rId291" Type="http://schemas.openxmlformats.org/officeDocument/2006/relationships/hyperlink" Target="https://www.mercadolibre.com.ar/reporting/activity/detail?id=51492330104" TargetMode="External"/><Relationship Id="rId151" Type="http://schemas.openxmlformats.org/officeDocument/2006/relationships/hyperlink" Target="https://www.mercadolibre.com.ar/reporting/activity/detail?id=51434054580" TargetMode="External"/><Relationship Id="rId389" Type="http://schemas.openxmlformats.org/officeDocument/2006/relationships/hyperlink" Target="https://www.mercadolibre.com.ar/reporting/activity/detail?id=51540161424" TargetMode="External"/><Relationship Id="rId596" Type="http://schemas.openxmlformats.org/officeDocument/2006/relationships/hyperlink" Target="https://www.mercadolibre.com.ar/reporting/activity/detail?id=51885743333" TargetMode="External"/><Relationship Id="rId249" Type="http://schemas.openxmlformats.org/officeDocument/2006/relationships/hyperlink" Target="https://www.mercadolibre.com.ar/reporting/activity/detail?id=51488662762" TargetMode="External"/><Relationship Id="rId456" Type="http://schemas.openxmlformats.org/officeDocument/2006/relationships/hyperlink" Target="https://www.mercadolibre.com.ar/reporting/activity/detail?id=51785649813" TargetMode="External"/><Relationship Id="rId663" Type="http://schemas.openxmlformats.org/officeDocument/2006/relationships/hyperlink" Target="https://www.mercadolibre.com.ar/reporting/activity/detail?id=51924590816" TargetMode="External"/><Relationship Id="rId870" Type="http://schemas.openxmlformats.org/officeDocument/2006/relationships/hyperlink" Target="https://www.mercadolibre.com.ar/reporting/activity/detail?id=52224750582" TargetMode="External"/><Relationship Id="rId1086" Type="http://schemas.openxmlformats.org/officeDocument/2006/relationships/hyperlink" Target="https://www.mercadolibre.com.ar/reporting/activity/detail?id=52509632705" TargetMode="External"/><Relationship Id="rId1293" Type="http://schemas.openxmlformats.org/officeDocument/2006/relationships/hyperlink" Target="https://www.mercadolibre.com.ar/reporting/activity/detail?id=51120089039" TargetMode="External"/><Relationship Id="rId109" Type="http://schemas.openxmlformats.org/officeDocument/2006/relationships/hyperlink" Target="https://www.mercadolibre.com.ar/reporting/activity/detail?id=51383414079" TargetMode="External"/><Relationship Id="rId316" Type="http://schemas.openxmlformats.org/officeDocument/2006/relationships/hyperlink" Target="https://www.mercadolibre.com.ar/reporting/activity/detail?id=51533464336" TargetMode="External"/><Relationship Id="rId523" Type="http://schemas.openxmlformats.org/officeDocument/2006/relationships/hyperlink" Target="https://www.mercadolibre.com.ar/reporting/activity/detail?id=51829995767" TargetMode="External"/><Relationship Id="rId968" Type="http://schemas.openxmlformats.org/officeDocument/2006/relationships/hyperlink" Target="https://www.mercadolibre.com.ar/reporting/activity/detail?id=52413781567" TargetMode="External"/><Relationship Id="rId1153" Type="http://schemas.openxmlformats.org/officeDocument/2006/relationships/hyperlink" Target="https://www.mercadolibre.com.ar/reporting/activity/detail?id=52544232722" TargetMode="External"/><Relationship Id="rId97" Type="http://schemas.openxmlformats.org/officeDocument/2006/relationships/hyperlink" Target="https://www.mercadolibre.com.ar/reporting/activity/detail?id=51380181713" TargetMode="External"/><Relationship Id="rId730" Type="http://schemas.openxmlformats.org/officeDocument/2006/relationships/hyperlink" Target="https://www.mercadolibre.com.ar/reporting/activity/detail?id=52099965281" TargetMode="External"/><Relationship Id="rId828" Type="http://schemas.openxmlformats.org/officeDocument/2006/relationships/hyperlink" Target="https://www.mercadolibre.com.ar/reporting/activity/detail?id=52150948497" TargetMode="External"/><Relationship Id="rId1013" Type="http://schemas.openxmlformats.org/officeDocument/2006/relationships/hyperlink" Target="https://www.mercadolibre.com.ar/reporting/activity/detail?id=52416389434" TargetMode="External"/><Relationship Id="rId1360" Type="http://schemas.openxmlformats.org/officeDocument/2006/relationships/hyperlink" Target="https://www.mercadolibre.com.ar/reporting/activity/detail?id=51169745206" TargetMode="External"/><Relationship Id="rId1220" Type="http://schemas.openxmlformats.org/officeDocument/2006/relationships/hyperlink" Target="https://www.mercadolibre.com.ar/reporting/activity/detail?id=51072976223" TargetMode="External"/><Relationship Id="rId1318" Type="http://schemas.openxmlformats.org/officeDocument/2006/relationships/hyperlink" Target="https://www.mercadolibre.com.ar/reporting/activity/detail?id=51127168512" TargetMode="External"/><Relationship Id="rId24" Type="http://schemas.openxmlformats.org/officeDocument/2006/relationships/hyperlink" Target="https://www.mercadolibre.com.ar/reporting/activity/detail?id=51179622941" TargetMode="External"/><Relationship Id="rId173" Type="http://schemas.openxmlformats.org/officeDocument/2006/relationships/hyperlink" Target="https://www.mercadolibre.com.ar/reporting/activity/detail?id=51437046183" TargetMode="External"/><Relationship Id="rId380" Type="http://schemas.openxmlformats.org/officeDocument/2006/relationships/hyperlink" Target="https://www.mercadolibre.com.ar/reporting/activity/detail?id=51539150588" TargetMode="External"/><Relationship Id="rId240" Type="http://schemas.openxmlformats.org/officeDocument/2006/relationships/hyperlink" Target="https://www.mercadolibre.com.ar/reporting/activity/detail?id=51487498960" TargetMode="External"/><Relationship Id="rId478" Type="http://schemas.openxmlformats.org/officeDocument/2006/relationships/hyperlink" Target="https://www.mercadolibre.com.ar/reporting/activity/detail?id=51788464598" TargetMode="External"/><Relationship Id="rId685" Type="http://schemas.openxmlformats.org/officeDocument/2006/relationships/hyperlink" Target="https://www.mercadolibre.com.ar/reporting/activity/detail?id=52055498221" TargetMode="External"/><Relationship Id="rId892" Type="http://schemas.openxmlformats.org/officeDocument/2006/relationships/hyperlink" Target="https://www.mercadolibre.com.ar/reporting/activity/detail?id=52229064714" TargetMode="External"/><Relationship Id="rId100" Type="http://schemas.openxmlformats.org/officeDocument/2006/relationships/hyperlink" Target="https://www.mercadolibre.com.ar/reporting/activity/detail?id=51380521052" TargetMode="External"/><Relationship Id="rId338" Type="http://schemas.openxmlformats.org/officeDocument/2006/relationships/hyperlink" Target="https://www.mercadolibre.com.ar/reporting/activity/detail?id=51536404385" TargetMode="External"/><Relationship Id="rId545" Type="http://schemas.openxmlformats.org/officeDocument/2006/relationships/hyperlink" Target="https://www.mercadolibre.com.ar/reporting/activity/detail?id=51839339087" TargetMode="External"/><Relationship Id="rId752" Type="http://schemas.openxmlformats.org/officeDocument/2006/relationships/hyperlink" Target="https://www.mercadolibre.com.ar/reporting/activity/detail?id=52102232932" TargetMode="External"/><Relationship Id="rId1175" Type="http://schemas.openxmlformats.org/officeDocument/2006/relationships/hyperlink" Target="https://www.mercadolibre.com.ar/reporting/activity/detail?id=52554617475" TargetMode="External"/><Relationship Id="rId1382" Type="http://schemas.openxmlformats.org/officeDocument/2006/relationships/hyperlink" Target="https://www.mercadolibre.com.ar/reporting/activity/detail?id=51175803289" TargetMode="External"/><Relationship Id="rId405" Type="http://schemas.openxmlformats.org/officeDocument/2006/relationships/hyperlink" Target="https://www.mercadolibre.com.ar/reporting/activity/detail?id=51575203245" TargetMode="External"/><Relationship Id="rId612" Type="http://schemas.openxmlformats.org/officeDocument/2006/relationships/hyperlink" Target="https://www.mercadolibre.com.ar/reporting/activity/detail?id=51887179607" TargetMode="External"/><Relationship Id="rId1035" Type="http://schemas.openxmlformats.org/officeDocument/2006/relationships/hyperlink" Target="https://www.mercadolibre.com.ar/reporting/activity/detail?id=52458739407" TargetMode="External"/><Relationship Id="rId1242" Type="http://schemas.openxmlformats.org/officeDocument/2006/relationships/hyperlink" Target="https://www.mercadolibre.com.ar/reporting/activity/detail?id=51075386088" TargetMode="External"/><Relationship Id="rId917" Type="http://schemas.openxmlformats.org/officeDocument/2006/relationships/hyperlink" Target="https://www.mercadolibre.com.ar/reporting/activity/detail?id=52364138256" TargetMode="External"/><Relationship Id="rId1102" Type="http://schemas.openxmlformats.org/officeDocument/2006/relationships/hyperlink" Target="https://www.mercadolibre.com.ar/reporting/activity/detail?id=52513722146" TargetMode="External"/><Relationship Id="rId46" Type="http://schemas.openxmlformats.org/officeDocument/2006/relationships/hyperlink" Target="https://www.mercadolibre.com.ar/reporting/activity/detail?id=51180601716" TargetMode="External"/><Relationship Id="rId195" Type="http://schemas.openxmlformats.org/officeDocument/2006/relationships/hyperlink" Target="https://www.mercadolibre.com.ar/reporting/activity/detail?id=51438645743" TargetMode="External"/><Relationship Id="rId262" Type="http://schemas.openxmlformats.org/officeDocument/2006/relationships/hyperlink" Target="https://www.mercadolibre.com.ar/reporting/activity/detail?id=51489477302" TargetMode="External"/><Relationship Id="rId567" Type="http://schemas.openxmlformats.org/officeDocument/2006/relationships/hyperlink" Target="https://www.mercadolibre.com.ar/reporting/activity/detail?id=51882728330" TargetMode="External"/><Relationship Id="rId1197" Type="http://schemas.openxmlformats.org/officeDocument/2006/relationships/hyperlink" Target="https://www.mercadolibre.com.ar/reporting/activity/detail?id=510256300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pago.com.ar/banking/mov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R1824"/>
  <sheetViews>
    <sheetView zoomScale="85" zoomScaleNormal="85" workbookViewId="0">
      <pane xSplit="5" ySplit="4" topLeftCell="K36" activePane="bottomRight" state="frozen"/>
      <selection activeCell="B1496" sqref="B1496"/>
      <selection pane="topRight" activeCell="B1496" sqref="B1496"/>
      <selection pane="bottomLeft" activeCell="B1496" sqref="B1496"/>
      <selection pane="bottomRight" activeCell="N1233" sqref="N1233"/>
    </sheetView>
  </sheetViews>
  <sheetFormatPr baseColWidth="10" defaultColWidth="9.140625" defaultRowHeight="15"/>
  <cols>
    <col min="1" max="2" width="35" customWidth="1"/>
    <col min="3" max="3" width="20.140625" style="71" customWidth="1"/>
    <col min="4" max="4" width="20.5703125" customWidth="1"/>
    <col min="5" max="5" width="19.85546875" hidden="1" customWidth="1"/>
    <col min="6" max="6" width="29.7109375" bestFit="1" customWidth="1"/>
    <col min="7" max="7" width="13.140625" style="19" bestFit="1" customWidth="1"/>
    <col min="8" max="8" width="17.140625" style="19" bestFit="1" customWidth="1"/>
    <col min="9" max="9" width="14.140625" style="19" bestFit="1" customWidth="1"/>
    <col min="10" max="10" width="16.5703125" style="19" bestFit="1" customWidth="1"/>
    <col min="11" max="12" width="11.5703125" style="19" bestFit="1" customWidth="1"/>
    <col min="13" max="13" width="15.28515625" style="19" bestFit="1" customWidth="1"/>
    <col min="16" max="16" width="14.140625" style="19" bestFit="1" customWidth="1"/>
    <col min="17" max="17" width="13.28515625" style="19" bestFit="1" customWidth="1"/>
  </cols>
  <sheetData>
    <row r="1" spans="1:16">
      <c r="A1" s="1" t="s">
        <v>0</v>
      </c>
      <c r="B1" s="1" t="s">
        <v>1</v>
      </c>
      <c r="C1" s="71" t="s">
        <v>2</v>
      </c>
      <c r="D1" s="1" t="s">
        <v>3</v>
      </c>
    </row>
    <row r="2" spans="1:16">
      <c r="A2" s="3">
        <v>10882608.51</v>
      </c>
      <c r="B2" s="3">
        <v>36455184.880000003</v>
      </c>
      <c r="C2" s="71">
        <v>-36709247.689999998</v>
      </c>
      <c r="D2" s="3">
        <v>10628545.699999999</v>
      </c>
    </row>
    <row r="3" spans="1:16">
      <c r="A3" s="1" t="s">
        <v>8</v>
      </c>
    </row>
    <row r="4" spans="1:16">
      <c r="A4" s="1" t="s">
        <v>9</v>
      </c>
      <c r="B4" s="1" t="s">
        <v>10</v>
      </c>
      <c r="C4" s="71" t="s">
        <v>11</v>
      </c>
      <c r="D4" s="1" t="s">
        <v>12</v>
      </c>
      <c r="E4" s="1" t="s">
        <v>13</v>
      </c>
      <c r="F4" s="19" t="s">
        <v>3038</v>
      </c>
      <c r="G4" s="19" t="s">
        <v>3039</v>
      </c>
      <c r="H4" s="19" t="s">
        <v>3040</v>
      </c>
      <c r="I4" s="19" t="s">
        <v>3059</v>
      </c>
      <c r="J4" s="19" t="s">
        <v>3060</v>
      </c>
      <c r="K4" s="19" t="s">
        <v>3061</v>
      </c>
      <c r="L4" s="19" t="s">
        <v>3062</v>
      </c>
      <c r="M4" s="94" t="s">
        <v>3063</v>
      </c>
      <c r="N4" s="19"/>
      <c r="O4" s="19" t="s">
        <v>3064</v>
      </c>
    </row>
    <row r="5" spans="1:16" hidden="1">
      <c r="A5" s="1" t="s">
        <v>14</v>
      </c>
      <c r="B5" s="1" t="s">
        <v>15</v>
      </c>
      <c r="C5" s="71">
        <v>127694553001</v>
      </c>
      <c r="D5" s="3">
        <v>8502.2999999999993</v>
      </c>
      <c r="E5" s="3">
        <v>10891110.810000001</v>
      </c>
      <c r="F5" t="s">
        <v>3065</v>
      </c>
      <c r="G5"/>
      <c r="H5"/>
      <c r="I5" s="19">
        <f>-IFERROR(VLOOKUP(C5,SIRCUPA!$A$21:$H$221,8,0),0)</f>
        <v>0</v>
      </c>
      <c r="J5" s="86">
        <f>-IFERROR(VLOOKUP(C5,SIRTAC!$A$16:$H$1458,8,0),0)</f>
        <v>-90</v>
      </c>
      <c r="K5" s="86">
        <f>-IFERROR(VLOOKUP(C5,Gastos!$A$9:$J$1451,10,0),0)</f>
        <v>-353.7</v>
      </c>
      <c r="L5" s="86">
        <f>-IFERROR(VLOOKUP(C5,IDC!$A$20:$H$1763,8,0),0)</f>
        <v>-54</v>
      </c>
      <c r="M5" s="95">
        <f>+D5-I5-J5-K5-L5</f>
        <v>9000</v>
      </c>
      <c r="O5" s="1"/>
    </row>
    <row r="6" spans="1:16" hidden="1">
      <c r="A6" s="1" t="s">
        <v>14</v>
      </c>
      <c r="B6" s="1" t="s">
        <v>15</v>
      </c>
      <c r="C6" s="71">
        <v>127706300651</v>
      </c>
      <c r="D6" s="3">
        <v>7794.4</v>
      </c>
      <c r="E6" s="3">
        <v>10898905.210000001</v>
      </c>
      <c r="F6" s="1" t="s">
        <v>3065</v>
      </c>
      <c r="G6"/>
      <c r="H6"/>
      <c r="I6" s="19">
        <f>-IFERROR(VLOOKUP(C6,SIRCUPA!$A$21:$H$221,8,0),0)</f>
        <v>0</v>
      </c>
      <c r="J6" s="86">
        <f>-IFERROR(VLOOKUP(C6,SIRTAC!$A$16:$H$1458,8,0),0)</f>
        <v>-80</v>
      </c>
      <c r="K6" s="86">
        <f>-IFERROR(VLOOKUP(C6,Gastos!$A$9:$J$1451,10,0),0)</f>
        <v>-77.599999999999994</v>
      </c>
      <c r="L6" s="86">
        <f>-IFERROR(VLOOKUP(C6,IDC!$A$20:$H$1763,8,0),0)</f>
        <v>-48</v>
      </c>
      <c r="M6" s="95">
        <f t="shared" ref="M6:M10" si="0">+D6-I6-J6-K6-L6</f>
        <v>8000</v>
      </c>
      <c r="O6" s="1"/>
    </row>
    <row r="7" spans="1:16" hidden="1">
      <c r="A7" s="1" t="s">
        <v>14</v>
      </c>
      <c r="B7" s="1" t="s">
        <v>15</v>
      </c>
      <c r="C7" s="71">
        <v>127707346037</v>
      </c>
      <c r="D7" s="3">
        <v>8768.7000000000007</v>
      </c>
      <c r="E7" s="3">
        <v>10907673.91</v>
      </c>
      <c r="F7" s="1" t="s">
        <v>3065</v>
      </c>
      <c r="G7"/>
      <c r="H7"/>
      <c r="I7" s="19">
        <f>-IFERROR(VLOOKUP(C7,SIRCUPA!$A$21:$H$221,8,0),0)</f>
        <v>0</v>
      </c>
      <c r="J7" s="86">
        <f>-IFERROR(VLOOKUP(C7,SIRTAC!$A$16:$H$1458,8,0),0)</f>
        <v>-90</v>
      </c>
      <c r="K7" s="86">
        <f>-IFERROR(VLOOKUP(C7,Gastos!$A$9:$J$1451,10,0),0)</f>
        <v>-87.3</v>
      </c>
      <c r="L7" s="86">
        <f>-IFERROR(VLOOKUP(C7,IDC!$A$20:$H$1763,8,0),0)</f>
        <v>-54</v>
      </c>
      <c r="M7" s="95">
        <f t="shared" si="0"/>
        <v>9000</v>
      </c>
      <c r="O7" s="1"/>
    </row>
    <row r="8" spans="1:16" hidden="1">
      <c r="A8" s="1" t="s">
        <v>14</v>
      </c>
      <c r="B8" s="1" t="s">
        <v>15</v>
      </c>
      <c r="C8" s="71">
        <v>128274716662</v>
      </c>
      <c r="D8" s="3">
        <v>10912.16</v>
      </c>
      <c r="E8" s="3">
        <v>10918586.07</v>
      </c>
      <c r="F8" s="1" t="s">
        <v>3065</v>
      </c>
      <c r="G8"/>
      <c r="H8"/>
      <c r="I8" s="19">
        <f>-IFERROR(VLOOKUP(C8,SIRCUPA!$A$21:$H$221,8,0),0)</f>
        <v>0</v>
      </c>
      <c r="J8" s="86">
        <f>-IFERROR(VLOOKUP(C8,SIRTAC!$A$16:$H$1458,8,0),0)</f>
        <v>-112</v>
      </c>
      <c r="K8" s="86">
        <f>-IFERROR(VLOOKUP(C8,Gastos!$A$9:$J$1451,10,0),0)</f>
        <v>-108.64</v>
      </c>
      <c r="L8" s="86">
        <f>-IFERROR(VLOOKUP(C8,IDC!$A$20:$H$1763,8,0),0)</f>
        <v>-67.2</v>
      </c>
      <c r="M8" s="95">
        <f t="shared" si="0"/>
        <v>11200</v>
      </c>
      <c r="O8" s="1"/>
    </row>
    <row r="9" spans="1:16" hidden="1">
      <c r="A9" s="1" t="s">
        <v>14</v>
      </c>
      <c r="B9" s="1" t="s">
        <v>15</v>
      </c>
      <c r="C9" s="71">
        <v>128275855374</v>
      </c>
      <c r="D9" s="3">
        <v>44131.89</v>
      </c>
      <c r="E9" s="3">
        <v>10962717.960000001</v>
      </c>
      <c r="F9" s="1" t="s">
        <v>3065</v>
      </c>
      <c r="G9"/>
      <c r="H9"/>
      <c r="I9" s="19">
        <f>-IFERROR(VLOOKUP(C9,SIRCUPA!$A$21:$H$221,8,0),0)</f>
        <v>0</v>
      </c>
      <c r="J9" s="86">
        <f>-IFERROR(VLOOKUP(C9,SIRTAC!$A$16:$H$1458,8,0),0)</f>
        <v>-452.96</v>
      </c>
      <c r="K9" s="86">
        <f>-IFERROR(VLOOKUP(C9,Gastos!$A$9:$J$1451,10,0),0)</f>
        <v>-439.37</v>
      </c>
      <c r="L9" s="86">
        <f>-IFERROR(VLOOKUP(C9,IDC!$A$20:$H$1763,8,0),0)</f>
        <v>-271.77999999999997</v>
      </c>
      <c r="M9" s="95">
        <f t="shared" si="0"/>
        <v>45296</v>
      </c>
      <c r="O9" s="1"/>
    </row>
    <row r="10" spans="1:16" hidden="1">
      <c r="A10" s="1" t="s">
        <v>14</v>
      </c>
      <c r="B10" s="1" t="s">
        <v>21</v>
      </c>
      <c r="C10" s="71">
        <v>128275829832</v>
      </c>
      <c r="D10" s="3">
        <v>2216.46</v>
      </c>
      <c r="E10" s="3">
        <v>10964934.42</v>
      </c>
      <c r="F10" t="s">
        <v>3065</v>
      </c>
      <c r="G10"/>
      <c r="H10"/>
      <c r="I10" s="19">
        <f>-IFERROR(VLOOKUP(C10,SIRCUPA!$A$21:$H$221,8,0),0)</f>
        <v>-33.96</v>
      </c>
      <c r="J10" s="86">
        <f>-IFERROR(VLOOKUP(C10,SIRTAC!$A$16:$H$1458,8,0),0)</f>
        <v>0</v>
      </c>
      <c r="K10" s="86">
        <f>-IFERROR(VLOOKUP(C10,Gastos!$A$9:$J$1451,10,0),0)</f>
        <v>0</v>
      </c>
      <c r="L10" s="86">
        <f>-IFERROR(VLOOKUP(C10,IDC!$A$20:$H$1763,8,0),0)</f>
        <v>-13.58</v>
      </c>
      <c r="M10" s="95">
        <f t="shared" si="0"/>
        <v>2264</v>
      </c>
      <c r="O10" s="1"/>
      <c r="P10" s="97"/>
    </row>
    <row r="11" spans="1:16" hidden="1">
      <c r="A11" s="1" t="s">
        <v>14</v>
      </c>
      <c r="B11" s="1" t="s">
        <v>15</v>
      </c>
      <c r="C11" s="71">
        <v>127713602167</v>
      </c>
      <c r="D11" s="2">
        <v>487.15</v>
      </c>
      <c r="E11" s="3">
        <v>10965421.57</v>
      </c>
      <c r="F11" s="1" t="s">
        <v>3065</v>
      </c>
      <c r="G11"/>
      <c r="H11"/>
      <c r="I11" s="19">
        <f>-IFERROR(VLOOKUP(C11,SIRCUPA!$A$21:$H$221,8,0),0)</f>
        <v>0</v>
      </c>
      <c r="J11" s="86">
        <f>-IFERROR(VLOOKUP(C11,SIRTAC!$A$16:$H$1458,8,0),0)</f>
        <v>-5</v>
      </c>
      <c r="K11" s="86">
        <f>-IFERROR(VLOOKUP(C11,Gastos!$A$9:$J$1451,10,0),0)</f>
        <v>-4.8499999999999996</v>
      </c>
      <c r="L11" s="86">
        <f>-IFERROR(VLOOKUP(C11,IDC!$A$20:$H$1763,8,0),0)</f>
        <v>-3</v>
      </c>
      <c r="M11" s="95">
        <f t="shared" ref="M11:M15" si="1">+D11-I11-J11-K11-L11</f>
        <v>500</v>
      </c>
      <c r="O11" s="1"/>
    </row>
    <row r="12" spans="1:16" hidden="1">
      <c r="A12" s="1" t="s">
        <v>14</v>
      </c>
      <c r="B12" s="1" t="s">
        <v>15</v>
      </c>
      <c r="C12" s="71">
        <v>127715107443</v>
      </c>
      <c r="D12" s="3">
        <v>30103.919999999998</v>
      </c>
      <c r="E12" s="3">
        <v>10995525.49</v>
      </c>
      <c r="F12" s="1" t="s">
        <v>3065</v>
      </c>
      <c r="G12"/>
      <c r="H12"/>
      <c r="I12" s="19">
        <f>-IFERROR(VLOOKUP(C12,SIRCUPA!$A$21:$H$221,8,0),0)</f>
        <v>0</v>
      </c>
      <c r="J12" s="86">
        <f>-IFERROR(VLOOKUP(C12,SIRTAC!$A$16:$H$1458,8,0),0)</f>
        <v>-308.98</v>
      </c>
      <c r="K12" s="86">
        <f>-IFERROR(VLOOKUP(C12,Gastos!$A$9:$J$1451,10,0),0)</f>
        <v>-299.70999999999998</v>
      </c>
      <c r="L12" s="86">
        <f>-IFERROR(VLOOKUP(C12,IDC!$A$20:$H$1763,8,0),0)</f>
        <v>-185.39</v>
      </c>
      <c r="M12" s="95">
        <f t="shared" si="1"/>
        <v>30897.999999999996</v>
      </c>
      <c r="O12" s="1"/>
    </row>
    <row r="13" spans="1:16" hidden="1">
      <c r="A13" s="1" t="s">
        <v>14</v>
      </c>
      <c r="B13" s="1" t="s">
        <v>15</v>
      </c>
      <c r="C13" s="71">
        <v>127715769581</v>
      </c>
      <c r="D13" s="3">
        <v>38704.129999999997</v>
      </c>
      <c r="E13" s="3">
        <v>11034229.619999999</v>
      </c>
      <c r="F13" s="1" t="s">
        <v>3065</v>
      </c>
      <c r="G13"/>
      <c r="H13"/>
      <c r="I13" s="19">
        <f>-IFERROR(VLOOKUP(C13,SIRCUPA!$A$21:$H$221,8,0),0)</f>
        <v>0</v>
      </c>
      <c r="J13" s="86">
        <f>-IFERROR(VLOOKUP(C13,SIRTAC!$A$16:$H$1458,8,0),0)</f>
        <v>-399.96</v>
      </c>
      <c r="K13" s="86">
        <f>-IFERROR(VLOOKUP(C13,Gastos!$A$9:$J$1451,10,0),0)</f>
        <v>-651.92999999999995</v>
      </c>
      <c r="L13" s="86">
        <f>-IFERROR(VLOOKUP(C13,IDC!$A$20:$H$1763,8,0),0)</f>
        <v>-239.98</v>
      </c>
      <c r="M13" s="95">
        <f t="shared" si="1"/>
        <v>39996</v>
      </c>
      <c r="O13" s="1"/>
    </row>
    <row r="14" spans="1:16" hidden="1">
      <c r="A14" s="1" t="s">
        <v>14</v>
      </c>
      <c r="B14" s="1" t="s">
        <v>15</v>
      </c>
      <c r="C14" s="71">
        <v>128281546618</v>
      </c>
      <c r="D14" s="3">
        <v>25721.52</v>
      </c>
      <c r="E14" s="3">
        <v>11059951.140000001</v>
      </c>
      <c r="F14" s="1" t="s">
        <v>3065</v>
      </c>
      <c r="G14"/>
      <c r="H14"/>
      <c r="I14" s="19">
        <f>-IFERROR(VLOOKUP(C14,SIRCUPA!$A$21:$H$221,8,0),0)</f>
        <v>0</v>
      </c>
      <c r="J14" s="86">
        <f>-IFERROR(VLOOKUP(C14,SIRTAC!$A$16:$H$1458,8,0),0)</f>
        <v>-264</v>
      </c>
      <c r="K14" s="86">
        <f>-IFERROR(VLOOKUP(C14,Gastos!$A$9:$J$1451,10,0),0)</f>
        <v>-256.08</v>
      </c>
      <c r="L14" s="86">
        <f>-IFERROR(VLOOKUP(C14,IDC!$A$20:$H$1763,8,0),0)</f>
        <v>-158.4</v>
      </c>
      <c r="M14" s="95">
        <f t="shared" si="1"/>
        <v>26400.000000000004</v>
      </c>
      <c r="O14" s="1"/>
    </row>
    <row r="15" spans="1:16" hidden="1">
      <c r="A15" s="1" t="s">
        <v>14</v>
      </c>
      <c r="B15" s="1" t="s">
        <v>27</v>
      </c>
      <c r="C15" s="71">
        <v>128281517156</v>
      </c>
      <c r="D15" s="3">
        <v>2584.56</v>
      </c>
      <c r="E15" s="3">
        <v>11062535.699999999</v>
      </c>
      <c r="F15" s="1" t="s">
        <v>3065</v>
      </c>
      <c r="G15"/>
      <c r="H15"/>
      <c r="I15" s="19">
        <f>-IFERROR(VLOOKUP(C15,SIRCUPA!$A$21:$H$221,8,0),0)</f>
        <v>-39.6</v>
      </c>
      <c r="J15" s="86">
        <f>-IFERROR(VLOOKUP(C15,SIRTAC!$A$16:$H$1458,8,0),0)</f>
        <v>0</v>
      </c>
      <c r="K15" s="86">
        <f>-IFERROR(VLOOKUP(C15,Gastos!$A$9:$J$1451,10,0),0)</f>
        <v>0</v>
      </c>
      <c r="L15" s="86">
        <f>-IFERROR(VLOOKUP(C15,IDC!$A$20:$H$1763,8,0),0)</f>
        <v>-15.84</v>
      </c>
      <c r="M15" s="95">
        <f t="shared" si="1"/>
        <v>2640</v>
      </c>
      <c r="O15" s="1"/>
    </row>
    <row r="16" spans="1:16" hidden="1">
      <c r="A16" s="1" t="s">
        <v>14</v>
      </c>
      <c r="B16" s="1" t="s">
        <v>15</v>
      </c>
      <c r="C16" s="71">
        <v>128281806306</v>
      </c>
      <c r="D16" s="3">
        <v>12665.9</v>
      </c>
      <c r="E16" s="3">
        <v>11075201.6</v>
      </c>
      <c r="F16" s="1" t="s">
        <v>3065</v>
      </c>
      <c r="G16"/>
      <c r="H16"/>
      <c r="I16" s="19">
        <f>-IFERROR(VLOOKUP(C16,SIRCUPA!$A$21:$H$221,8,0),0)</f>
        <v>0</v>
      </c>
      <c r="J16" s="86">
        <f>-IFERROR(VLOOKUP(C16,SIRTAC!$A$16:$H$1458,8,0),0)</f>
        <v>-130</v>
      </c>
      <c r="K16" s="86">
        <f>-IFERROR(VLOOKUP(C16,Gastos!$A$9:$J$1451,10,0),0)</f>
        <v>-126.1</v>
      </c>
      <c r="L16" s="86">
        <f>-IFERROR(VLOOKUP(C16,IDC!$A$20:$H$1763,8,0),0)</f>
        <v>-78</v>
      </c>
      <c r="M16" s="95">
        <f>+D16-I16-J16-K16-L16</f>
        <v>13000</v>
      </c>
      <c r="O16" s="1"/>
    </row>
    <row r="17" spans="1:15" hidden="1">
      <c r="A17" s="1" t="s">
        <v>14</v>
      </c>
      <c r="B17" s="1" t="s">
        <v>30</v>
      </c>
      <c r="C17" s="71">
        <v>128281760842</v>
      </c>
      <c r="D17" s="2">
        <v>636.35</v>
      </c>
      <c r="E17" s="3">
        <v>11075837.949999999</v>
      </c>
      <c r="F17" s="1" t="s">
        <v>3065</v>
      </c>
      <c r="G17"/>
      <c r="H17"/>
      <c r="I17" s="19">
        <f>-IFERROR(VLOOKUP(C17,SIRCUPA!$A$21:$H$221,8,0),0)</f>
        <v>-9.75</v>
      </c>
      <c r="J17" s="86">
        <f>-IFERROR(VLOOKUP(C17,SIRTAC!$A$16:$H$1458,8,0),0)</f>
        <v>0</v>
      </c>
      <c r="K17" s="86">
        <f>-IFERROR(VLOOKUP(C17,Gastos!$A$9:$J$1451,10,0),0)</f>
        <v>0</v>
      </c>
      <c r="L17" s="86">
        <f>-IFERROR(VLOOKUP(C17,IDC!$A$20:$H$1763,8,0),0)</f>
        <v>-3.9</v>
      </c>
      <c r="M17" s="95">
        <f t="shared" ref="M17" si="2">+D17-I17-J17-K17-L17</f>
        <v>650</v>
      </c>
      <c r="O17" s="1"/>
    </row>
    <row r="18" spans="1:15" hidden="1">
      <c r="A18" s="1" t="s">
        <v>14</v>
      </c>
      <c r="B18" s="1" t="s">
        <v>15</v>
      </c>
      <c r="C18" s="71">
        <v>128282615258</v>
      </c>
      <c r="D18" s="3">
        <v>20215.64</v>
      </c>
      <c r="E18" s="3">
        <v>11096053.59</v>
      </c>
      <c r="F18" s="1" t="s">
        <v>3065</v>
      </c>
      <c r="G18"/>
      <c r="H18"/>
      <c r="I18" s="19">
        <f>-IFERROR(VLOOKUP(C18,SIRCUPA!$A$21:$H$221,8,0),0)</f>
        <v>0</v>
      </c>
      <c r="J18" s="86">
        <f>-IFERROR(VLOOKUP(C18,SIRTAC!$A$16:$H$1458,8,0),0)</f>
        <v>-213.99</v>
      </c>
      <c r="K18" s="86">
        <f>-IFERROR(VLOOKUP(C18,Gastos!$A$9:$J$1451,10,0),0)</f>
        <v>-840.98</v>
      </c>
      <c r="L18" s="86">
        <f>-IFERROR(VLOOKUP(C18,IDC!$A$20:$H$1763,8,0),0)</f>
        <v>-128.38999999999999</v>
      </c>
      <c r="M18" s="95">
        <f t="shared" ref="M18:M29" si="3">+D18-I18-J18-K18-L18</f>
        <v>21399</v>
      </c>
      <c r="O18" s="1"/>
    </row>
    <row r="19" spans="1:15" hidden="1">
      <c r="A19" s="1" t="s">
        <v>14</v>
      </c>
      <c r="B19" s="1" t="s">
        <v>15</v>
      </c>
      <c r="C19" s="71">
        <v>127717828761</v>
      </c>
      <c r="D19" s="3">
        <v>28761.05</v>
      </c>
      <c r="E19" s="3">
        <v>11124814.640000001</v>
      </c>
      <c r="F19" s="1" t="s">
        <v>3065</v>
      </c>
      <c r="G19"/>
      <c r="H19"/>
      <c r="I19" s="19">
        <f>-IFERROR(VLOOKUP(C19,SIRCUPA!$A$21:$H$221,8,0),0)</f>
        <v>0</v>
      </c>
      <c r="J19" s="86">
        <f>-IFERROR(VLOOKUP(C19,SIRTAC!$A$16:$H$1458,8,0),0)</f>
        <v>-329.98</v>
      </c>
      <c r="K19" s="86">
        <f>-IFERROR(VLOOKUP(C19,Gastos!$A$9:$J$1451,10,0),0)</f>
        <v>-3708.98</v>
      </c>
      <c r="L19" s="86">
        <f>-IFERROR(VLOOKUP(C19,IDC!$A$20:$H$1763,8,0),0)</f>
        <v>-197.99</v>
      </c>
      <c r="M19" s="95">
        <f t="shared" si="3"/>
        <v>32998</v>
      </c>
      <c r="O19" s="1"/>
    </row>
    <row r="20" spans="1:15" hidden="1">
      <c r="A20" s="1" t="s">
        <v>14</v>
      </c>
      <c r="B20" s="1" t="s">
        <v>15</v>
      </c>
      <c r="C20" s="71">
        <v>127719464653</v>
      </c>
      <c r="D20" s="3">
        <v>13160.72</v>
      </c>
      <c r="E20" s="3">
        <v>11137975.359999999</v>
      </c>
      <c r="F20" s="1" t="s">
        <v>3065</v>
      </c>
      <c r="G20"/>
      <c r="H20"/>
      <c r="I20" s="19">
        <f>-IFERROR(VLOOKUP(C20,SIRCUPA!$A$21:$H$221,8,0),0)</f>
        <v>0</v>
      </c>
      <c r="J20" s="86">
        <f>-IFERROR(VLOOKUP(C20,SIRTAC!$A$16:$H$1458,8,0),0)</f>
        <v>-136</v>
      </c>
      <c r="K20" s="86">
        <f>-IFERROR(VLOOKUP(C20,Gastos!$A$9:$J$1451,10,0),0)</f>
        <v>-221.68</v>
      </c>
      <c r="L20" s="86">
        <f>-IFERROR(VLOOKUP(C20,IDC!$A$20:$H$1763,8,0),0)</f>
        <v>-81.599999999999994</v>
      </c>
      <c r="M20" s="95">
        <f t="shared" si="3"/>
        <v>13600</v>
      </c>
      <c r="O20" s="1"/>
    </row>
    <row r="21" spans="1:15" hidden="1">
      <c r="A21" s="1" t="s">
        <v>14</v>
      </c>
      <c r="B21" s="1" t="s">
        <v>15</v>
      </c>
      <c r="C21" s="71">
        <v>127719431701</v>
      </c>
      <c r="D21" s="3">
        <v>19484.05</v>
      </c>
      <c r="E21" s="3">
        <v>11157459.41</v>
      </c>
      <c r="F21" s="1" t="s">
        <v>3065</v>
      </c>
      <c r="G21"/>
      <c r="H21"/>
      <c r="I21" s="19">
        <f>-IFERROR(VLOOKUP(C21,SIRCUPA!$A$21:$H$221,8,0),0)</f>
        <v>0</v>
      </c>
      <c r="J21" s="86">
        <f>-IFERROR(VLOOKUP(C21,SIRTAC!$A$16:$H$1458,8,0),0)</f>
        <v>-199.98</v>
      </c>
      <c r="K21" s="86">
        <f>-IFERROR(VLOOKUP(C21,Gastos!$A$9:$J$1451,10,0),0)</f>
        <v>-193.98</v>
      </c>
      <c r="L21" s="86">
        <f>-IFERROR(VLOOKUP(C21,IDC!$A$20:$H$1763,8,0),0)</f>
        <v>-119.99</v>
      </c>
      <c r="M21" s="95">
        <f t="shared" si="3"/>
        <v>19998</v>
      </c>
      <c r="O21" s="1"/>
    </row>
    <row r="22" spans="1:15" hidden="1">
      <c r="A22" s="1" t="s">
        <v>14</v>
      </c>
      <c r="B22" s="1" t="s">
        <v>15</v>
      </c>
      <c r="C22" s="71">
        <v>128285003346</v>
      </c>
      <c r="D22" s="3">
        <v>24747.22</v>
      </c>
      <c r="E22" s="3">
        <v>11182206.630000001</v>
      </c>
      <c r="F22" s="1" t="s">
        <v>3065</v>
      </c>
      <c r="G22"/>
      <c r="H22"/>
      <c r="I22" s="19">
        <f>-IFERROR(VLOOKUP(C22,SIRCUPA!$A$21:$H$221,8,0),0)</f>
        <v>0</v>
      </c>
      <c r="J22" s="86">
        <f>-IFERROR(VLOOKUP(C22,SIRTAC!$A$16:$H$1458,8,0),0)</f>
        <v>-254</v>
      </c>
      <c r="K22" s="86">
        <f>-IFERROR(VLOOKUP(C22,Gastos!$A$9:$J$1451,10,0),0)</f>
        <v>-246.38</v>
      </c>
      <c r="L22" s="86">
        <f>-IFERROR(VLOOKUP(C22,IDC!$A$20:$H$1763,8,0),0)</f>
        <v>-152.4</v>
      </c>
      <c r="M22" s="95">
        <f t="shared" si="3"/>
        <v>25400.000000000004</v>
      </c>
      <c r="O22" s="1"/>
    </row>
    <row r="23" spans="1:15" hidden="1">
      <c r="A23" s="1" t="s">
        <v>14</v>
      </c>
      <c r="B23" s="1" t="s">
        <v>15</v>
      </c>
      <c r="C23" s="71">
        <v>127719758089</v>
      </c>
      <c r="D23" s="3">
        <v>73459.3</v>
      </c>
      <c r="E23" s="3">
        <v>11255665.93</v>
      </c>
      <c r="F23" s="1" t="s">
        <v>3065</v>
      </c>
      <c r="G23"/>
      <c r="H23"/>
      <c r="I23" s="19">
        <f>-IFERROR(VLOOKUP(C23,SIRCUPA!$A$21:$H$221,8,0),0)</f>
        <v>0</v>
      </c>
      <c r="J23" s="86">
        <f>-IFERROR(VLOOKUP(C23,SIRTAC!$A$16:$H$1458,8,0),0)</f>
        <v>-753.97</v>
      </c>
      <c r="K23" s="86">
        <f>-IFERROR(VLOOKUP(C23,Gastos!$A$9:$J$1451,10,0),0)</f>
        <v>-731.35</v>
      </c>
      <c r="L23" s="86">
        <f>-IFERROR(VLOOKUP(C23,IDC!$A$20:$H$1763,8,0),0)</f>
        <v>-452.38</v>
      </c>
      <c r="M23" s="95">
        <f t="shared" si="3"/>
        <v>75397.000000000015</v>
      </c>
      <c r="O23" s="1"/>
    </row>
    <row r="24" spans="1:15" hidden="1">
      <c r="A24" s="1" t="s">
        <v>14</v>
      </c>
      <c r="B24" s="1" t="s">
        <v>15</v>
      </c>
      <c r="C24" s="71">
        <v>128285683510</v>
      </c>
      <c r="D24" s="3">
        <v>38972</v>
      </c>
      <c r="E24" s="3">
        <v>11294637.93</v>
      </c>
      <c r="F24" s="1" t="s">
        <v>3065</v>
      </c>
      <c r="G24"/>
      <c r="H24"/>
      <c r="I24" s="19">
        <f>-IFERROR(VLOOKUP(C24,SIRCUPA!$A$21:$H$221,8,0),0)</f>
        <v>0</v>
      </c>
      <c r="J24" s="86">
        <f>-IFERROR(VLOOKUP(C24,SIRTAC!$A$16:$H$1458,8,0),0)</f>
        <v>-400</v>
      </c>
      <c r="K24" s="86">
        <f>-IFERROR(VLOOKUP(C24,Gastos!$A$9:$J$1451,10,0),0)</f>
        <v>-388</v>
      </c>
      <c r="L24" s="86">
        <f>-IFERROR(VLOOKUP(C24,IDC!$A$20:$H$1763,8,0),0)</f>
        <v>-240</v>
      </c>
      <c r="M24" s="95">
        <f t="shared" si="3"/>
        <v>40000</v>
      </c>
      <c r="O24" s="1"/>
    </row>
    <row r="25" spans="1:15" hidden="1">
      <c r="A25" s="1" t="s">
        <v>14</v>
      </c>
      <c r="B25" s="1" t="s">
        <v>15</v>
      </c>
      <c r="C25" s="71">
        <v>127720557799</v>
      </c>
      <c r="D25" s="3">
        <v>29226.080000000002</v>
      </c>
      <c r="E25" s="3">
        <v>11323864.01</v>
      </c>
      <c r="F25" s="1" t="s">
        <v>3065</v>
      </c>
      <c r="G25"/>
      <c r="H25"/>
      <c r="I25" s="19">
        <f>-IFERROR(VLOOKUP(C25,SIRCUPA!$A$21:$H$221,8,0),0)</f>
        <v>0</v>
      </c>
      <c r="J25" s="86">
        <f>-IFERROR(VLOOKUP(C25,SIRTAC!$A$16:$H$1458,8,0),0)</f>
        <v>-299.97000000000003</v>
      </c>
      <c r="K25" s="86">
        <f>-IFERROR(VLOOKUP(C25,Gastos!$A$9:$J$1451,10,0),0)</f>
        <v>-290.97000000000003</v>
      </c>
      <c r="L25" s="86">
        <f>-IFERROR(VLOOKUP(C25,IDC!$A$20:$H$1763,8,0),0)</f>
        <v>-179.98</v>
      </c>
      <c r="M25" s="95">
        <f t="shared" si="3"/>
        <v>29997.000000000004</v>
      </c>
      <c r="O25" s="1"/>
    </row>
    <row r="26" spans="1:15" hidden="1">
      <c r="A26" s="1" t="s">
        <v>14</v>
      </c>
      <c r="B26" s="1" t="s">
        <v>15</v>
      </c>
      <c r="C26" s="71">
        <v>128286715036</v>
      </c>
      <c r="D26" s="3">
        <v>17050.25</v>
      </c>
      <c r="E26" s="3">
        <v>11340914.26</v>
      </c>
      <c r="F26" s="1" t="s">
        <v>3065</v>
      </c>
      <c r="G26"/>
      <c r="H26"/>
      <c r="I26" s="19">
        <f>-IFERROR(VLOOKUP(C26,SIRCUPA!$A$21:$H$221,8,0),0)</f>
        <v>0</v>
      </c>
      <c r="J26" s="86">
        <f>-IFERROR(VLOOKUP(C26,SIRTAC!$A$16:$H$1458,8,0),0)</f>
        <v>-175</v>
      </c>
      <c r="K26" s="86">
        <f>-IFERROR(VLOOKUP(C26,Gastos!$A$9:$J$1451,10,0),0)</f>
        <v>-169.75</v>
      </c>
      <c r="L26" s="86">
        <f>-IFERROR(VLOOKUP(C26,IDC!$A$20:$H$1763,8,0),0)</f>
        <v>-105</v>
      </c>
      <c r="M26" s="95">
        <f t="shared" si="3"/>
        <v>17500</v>
      </c>
      <c r="O26" s="1"/>
    </row>
    <row r="27" spans="1:15" hidden="1">
      <c r="A27" s="1" t="s">
        <v>41</v>
      </c>
      <c r="B27" s="1" t="s">
        <v>15</v>
      </c>
      <c r="C27" s="71">
        <v>128287489024</v>
      </c>
      <c r="D27" s="3">
        <v>9645.57</v>
      </c>
      <c r="E27" s="3">
        <v>11350559.83</v>
      </c>
      <c r="F27" s="1" t="s">
        <v>3065</v>
      </c>
      <c r="G27"/>
      <c r="H27"/>
      <c r="I27" s="19">
        <f>-IFERROR(VLOOKUP(C27,SIRCUPA!$A$21:$H$221,8,0),0)</f>
        <v>0</v>
      </c>
      <c r="J27" s="86">
        <f>-IFERROR(VLOOKUP(C27,SIRTAC!$A$16:$H$1458,8,0),0)</f>
        <v>-99</v>
      </c>
      <c r="K27" s="86">
        <f>-IFERROR(VLOOKUP(C27,Gastos!$A$9:$J$1451,10,0),0)</f>
        <v>-96.03</v>
      </c>
      <c r="L27" s="86">
        <f>-IFERROR(VLOOKUP(C27,IDC!$A$20:$H$1763,8,0),0)</f>
        <v>-59.4</v>
      </c>
      <c r="M27" s="95">
        <f t="shared" si="3"/>
        <v>9900</v>
      </c>
      <c r="O27" s="1"/>
    </row>
    <row r="28" spans="1:15" hidden="1">
      <c r="A28" s="1" t="s">
        <v>41</v>
      </c>
      <c r="B28" s="1" t="s">
        <v>15</v>
      </c>
      <c r="C28" s="71">
        <v>128287673862</v>
      </c>
      <c r="D28" s="3">
        <v>14321.24</v>
      </c>
      <c r="E28" s="3">
        <v>11364881.07</v>
      </c>
      <c r="F28" s="1" t="s">
        <v>3065</v>
      </c>
      <c r="G28"/>
      <c r="H28"/>
      <c r="I28" s="19">
        <f>-IFERROR(VLOOKUP(C28,SIRCUPA!$A$21:$H$221,8,0),0)</f>
        <v>0</v>
      </c>
      <c r="J28" s="86">
        <f>-IFERROR(VLOOKUP(C28,SIRTAC!$A$16:$H$1458,8,0),0)</f>
        <v>-146.99</v>
      </c>
      <c r="K28" s="86">
        <f>-IFERROR(VLOOKUP(C28,Gastos!$A$9:$J$1451,10,0),0)</f>
        <v>-142.58000000000001</v>
      </c>
      <c r="L28" s="86">
        <f>-IFERROR(VLOOKUP(C28,IDC!$A$20:$H$1763,8,0),0)</f>
        <v>-88.19</v>
      </c>
      <c r="M28" s="95">
        <f t="shared" si="3"/>
        <v>14699</v>
      </c>
      <c r="O28" s="1"/>
    </row>
    <row r="29" spans="1:15" hidden="1">
      <c r="A29" s="1" t="s">
        <v>41</v>
      </c>
      <c r="B29" s="1" t="s">
        <v>44</v>
      </c>
      <c r="C29" s="71">
        <v>128287834208</v>
      </c>
      <c r="D29" s="3">
        <v>2157.7199999999998</v>
      </c>
      <c r="E29" s="3">
        <v>11367038.789999999</v>
      </c>
      <c r="F29" s="1" t="s">
        <v>3065</v>
      </c>
      <c r="G29"/>
      <c r="H29"/>
      <c r="I29" s="19">
        <f>-IFERROR(VLOOKUP(C29,SIRCUPA!$A$21:$H$221,8,0),0)</f>
        <v>-33.06</v>
      </c>
      <c r="J29" s="86">
        <f>-IFERROR(VLOOKUP(C29,SIRTAC!$A$16:$H$1458,8,0),0)</f>
        <v>0</v>
      </c>
      <c r="K29" s="86">
        <f>-IFERROR(VLOOKUP(C29,Gastos!$A$9:$J$1451,10,0),0)</f>
        <v>0</v>
      </c>
      <c r="L29" s="86">
        <f>-IFERROR(VLOOKUP(C29,IDC!$A$20:$H$1763,8,0),0)</f>
        <v>-13.22</v>
      </c>
      <c r="M29" s="95">
        <f t="shared" si="3"/>
        <v>2203.9999999999995</v>
      </c>
      <c r="O29" s="1"/>
    </row>
    <row r="30" spans="1:15" hidden="1">
      <c r="A30" s="1" t="s">
        <v>41</v>
      </c>
      <c r="B30" s="1" t="s">
        <v>15</v>
      </c>
      <c r="C30" s="71">
        <v>127722493817</v>
      </c>
      <c r="D30" s="3">
        <v>32970.03</v>
      </c>
      <c r="E30" s="3">
        <v>11400008.82</v>
      </c>
      <c r="F30" s="1" t="s">
        <v>3065</v>
      </c>
      <c r="G30"/>
      <c r="H30"/>
      <c r="I30" s="19">
        <f>-IFERROR(VLOOKUP(C30,SIRCUPA!$A$21:$H$221,8,0),0)</f>
        <v>0</v>
      </c>
      <c r="J30" s="86">
        <f>-IFERROR(VLOOKUP(C30,SIRTAC!$A$16:$H$1458,8,0),0)</f>
        <v>-349</v>
      </c>
      <c r="K30" s="86">
        <f>-IFERROR(VLOOKUP(C30,Gastos!$A$9:$J$1451,10,0),0)</f>
        <v>-1371.57</v>
      </c>
      <c r="L30" s="86">
        <f>-IFERROR(VLOOKUP(C30,IDC!$A$20:$H$1763,8,0),0)</f>
        <v>-209.4</v>
      </c>
      <c r="M30" s="95">
        <f t="shared" ref="M30:M32" si="4">+D30-I30-J30-K30-L30</f>
        <v>34900</v>
      </c>
      <c r="O30" s="1"/>
    </row>
    <row r="31" spans="1:15" hidden="1">
      <c r="A31" s="1" t="s">
        <v>41</v>
      </c>
      <c r="B31" s="1" t="s">
        <v>15</v>
      </c>
      <c r="C31" s="71">
        <v>128288249068</v>
      </c>
      <c r="D31" s="3">
        <v>33192.11</v>
      </c>
      <c r="E31" s="3">
        <v>11433200.93</v>
      </c>
      <c r="F31" s="1" t="s">
        <v>3065</v>
      </c>
      <c r="G31"/>
      <c r="H31"/>
      <c r="I31" s="19">
        <f>-IFERROR(VLOOKUP(C31,SIRCUPA!$A$21:$H$221,8,0),0)</f>
        <v>0</v>
      </c>
      <c r="J31" s="86">
        <f>-IFERROR(VLOOKUP(C31,SIRTAC!$A$16:$H$1458,8,0),0)</f>
        <v>-343</v>
      </c>
      <c r="K31" s="86">
        <f>-IFERROR(VLOOKUP(C31,Gastos!$A$9:$J$1451,10,0),0)</f>
        <v>-559.09</v>
      </c>
      <c r="L31" s="86">
        <f>-IFERROR(VLOOKUP(C31,IDC!$A$20:$H$1763,8,0),0)</f>
        <v>-205.8</v>
      </c>
      <c r="M31" s="95">
        <f t="shared" si="4"/>
        <v>34300</v>
      </c>
      <c r="O31" s="1"/>
    </row>
    <row r="32" spans="1:15" hidden="1">
      <c r="A32" s="1" t="s">
        <v>41</v>
      </c>
      <c r="B32" s="1" t="s">
        <v>15</v>
      </c>
      <c r="C32" s="71">
        <v>127724766231</v>
      </c>
      <c r="D32" s="3">
        <v>4354.6499999999996</v>
      </c>
      <c r="E32" s="3">
        <v>11437555.58</v>
      </c>
      <c r="F32" s="1" t="s">
        <v>3065</v>
      </c>
      <c r="G32"/>
      <c r="H32"/>
      <c r="I32" s="19">
        <f>-IFERROR(VLOOKUP(C32,SIRCUPA!$A$21:$H$221,8,0),0)</f>
        <v>0</v>
      </c>
      <c r="J32" s="86">
        <f>-IFERROR(VLOOKUP(C32,SIRTAC!$A$16:$H$1458,8,0),0)</f>
        <v>-45</v>
      </c>
      <c r="K32" s="86">
        <f>-IFERROR(VLOOKUP(C32,Gastos!$A$9:$J$1451,10,0),0)</f>
        <v>-73.349999999999994</v>
      </c>
      <c r="L32" s="86">
        <f>-IFERROR(VLOOKUP(C32,IDC!$A$20:$H$1763,8,0),0)</f>
        <v>-27</v>
      </c>
      <c r="M32" s="95">
        <f t="shared" si="4"/>
        <v>4500</v>
      </c>
      <c r="O32" s="1"/>
    </row>
    <row r="33" spans="1:17" hidden="1">
      <c r="A33" s="1" t="s">
        <v>761</v>
      </c>
      <c r="B33" s="1" t="s">
        <v>773</v>
      </c>
      <c r="C33" s="71">
        <v>2430883946</v>
      </c>
      <c r="D33" s="3">
        <v>-30049.69</v>
      </c>
      <c r="E33" s="3">
        <v>11485499.34</v>
      </c>
      <c r="F33" t="s">
        <v>3066</v>
      </c>
      <c r="G33" s="19">
        <f>+D33/1.006</f>
        <v>-29870.467196819085</v>
      </c>
      <c r="H33" s="19">
        <f>+D33-G33</f>
        <v>-179.22280318091362</v>
      </c>
      <c r="I33" s="19">
        <f>-IFERROR(VLOOKUP(C33,SIRCUPA!$A$21:$H$221,8,0),0)</f>
        <v>0</v>
      </c>
      <c r="J33" s="86">
        <f>-IFERROR(VLOOKUP(C33,SIRTAC!$A$16:$H$1458,8,0),0)</f>
        <v>0</v>
      </c>
      <c r="K33" s="86">
        <f>-IFERROR(VLOOKUP(C33,Gastos!$A$9:$J$1451,10,0),0)</f>
        <v>0</v>
      </c>
      <c r="L33" s="86">
        <f>+D33-G33</f>
        <v>-179.22280318091362</v>
      </c>
      <c r="M33" s="94">
        <f>+D33-I33-J33-K33-L33</f>
        <v>-29870.467196819085</v>
      </c>
      <c r="O33" s="1"/>
    </row>
    <row r="34" spans="1:17" s="67" customFormat="1" hidden="1">
      <c r="A34" s="67" t="s">
        <v>41</v>
      </c>
      <c r="B34" s="67" t="s">
        <v>51</v>
      </c>
      <c r="C34" s="75">
        <v>127751261829</v>
      </c>
      <c r="D34" s="68">
        <v>-1759.76</v>
      </c>
      <c r="E34" s="3">
        <v>10947597.15</v>
      </c>
      <c r="F34" s="67" t="s">
        <v>3062</v>
      </c>
      <c r="G34" s="69">
        <f>+D34/0.006</f>
        <v>-293293.33333333331</v>
      </c>
      <c r="H34" s="69"/>
      <c r="I34" s="69">
        <f>-IFERROR(VLOOKUP(C34,SIRCUPA!$A$21:$H$221,8,0),0)</f>
        <v>0</v>
      </c>
      <c r="J34" s="69">
        <f>-IFERROR(VLOOKUP(C34,SIRTAC!$A$16:$H$1458,8,0),0)</f>
        <v>0</v>
      </c>
      <c r="K34" s="69">
        <f>-IFERROR(VLOOKUP(C34,Gastos!$A$9:$J$1451,10,0),0)</f>
        <v>0</v>
      </c>
      <c r="L34" s="69"/>
      <c r="M34" s="96">
        <f>+D34</f>
        <v>-1759.76</v>
      </c>
      <c r="P34" s="19"/>
      <c r="Q34" s="19"/>
    </row>
    <row r="35" spans="1:17" s="67" customFormat="1" hidden="1">
      <c r="A35" s="67" t="s">
        <v>41</v>
      </c>
      <c r="B35" s="67" t="s">
        <v>49</v>
      </c>
      <c r="C35" s="75">
        <v>127751261829</v>
      </c>
      <c r="D35" s="68">
        <v>-293293.89</v>
      </c>
      <c r="E35" s="3">
        <v>10949356.91</v>
      </c>
      <c r="F35" s="67" t="s">
        <v>3066</v>
      </c>
      <c r="G35" s="69">
        <f>+D35/1.006</f>
        <v>-291544.62226640159</v>
      </c>
      <c r="H35" s="69">
        <f>+D35-G35</f>
        <v>-1749.267733598419</v>
      </c>
      <c r="I35" s="69">
        <f>-IFERROR(VLOOKUP(C35,SIRCUPA!$A$21:$H$221,8,0),0)</f>
        <v>0</v>
      </c>
      <c r="J35" s="69">
        <f>-IFERROR(VLOOKUP(C35,SIRTAC!$A$16:$H$1458,8,0),0)</f>
        <v>0</v>
      </c>
      <c r="K35" s="69">
        <f>-IFERROR(VLOOKUP(C35,Gastos!$A$9:$J$1451,10,0),0)</f>
        <v>0</v>
      </c>
      <c r="L35" s="69">
        <f>-IFERROR(VLOOKUP(C35,IDC!$A$20:$H$1763,8,0),0)</f>
        <v>-1759.76</v>
      </c>
      <c r="M35" s="96">
        <f>+D35</f>
        <v>-293293.89</v>
      </c>
      <c r="P35" s="19"/>
      <c r="Q35" s="19"/>
    </row>
    <row r="36" spans="1:17" hidden="1">
      <c r="A36" s="1" t="s">
        <v>41</v>
      </c>
      <c r="B36" s="1" t="s">
        <v>53</v>
      </c>
      <c r="C36" s="71">
        <v>127758769693</v>
      </c>
      <c r="D36" s="3">
        <v>-84292.74</v>
      </c>
      <c r="E36" s="3">
        <v>10863304.41</v>
      </c>
      <c r="F36" s="1" t="s">
        <v>3066</v>
      </c>
      <c r="G36" s="19">
        <f>+D36/1.006</f>
        <v>-83790</v>
      </c>
      <c r="H36" s="19">
        <f>+D36-G36</f>
        <v>-502.74000000000524</v>
      </c>
      <c r="I36" s="19">
        <f>-IFERROR(VLOOKUP(C36,SIRCUPA!$A$21:$H$221,8,0),0)</f>
        <v>0</v>
      </c>
      <c r="J36" s="86">
        <f>-IFERROR(VLOOKUP(C36,SIRTAC!$A$16:$H$1458,8,0),0)</f>
        <v>0</v>
      </c>
      <c r="K36" s="86">
        <f>-IFERROR(VLOOKUP(C36,Gastos!$A$9:$J$1451,10,0),0)</f>
        <v>0</v>
      </c>
      <c r="L36" s="86">
        <f>-IFERROR(VLOOKUP(C36,IDC!$A$20:$H$1763,8,0),0)</f>
        <v>-502.74</v>
      </c>
      <c r="M36" s="94">
        <f>+D36-I36-J36-K36-L36</f>
        <v>-83790</v>
      </c>
      <c r="O36" s="1" t="s">
        <v>2022</v>
      </c>
    </row>
    <row r="37" spans="1:17" s="67" customFormat="1" hidden="1">
      <c r="A37" s="67" t="s">
        <v>41</v>
      </c>
      <c r="B37" s="67" t="s">
        <v>51</v>
      </c>
      <c r="C37" s="75">
        <v>127775080827</v>
      </c>
      <c r="D37" s="68">
        <v>-1306.01</v>
      </c>
      <c r="E37" s="3">
        <v>10385055.92</v>
      </c>
      <c r="F37" s="67" t="s">
        <v>3062</v>
      </c>
      <c r="G37" s="69">
        <f>+D37/0.006</f>
        <v>-217668.33333333331</v>
      </c>
      <c r="H37" s="69"/>
      <c r="I37" s="69">
        <f>-IFERROR(VLOOKUP(C37,SIRCUPA!$A$21:$H$221,8,0),0)</f>
        <v>0</v>
      </c>
      <c r="J37" s="69">
        <f>-IFERROR(VLOOKUP(C37,SIRTAC!$A$16:$H$1458,8,0),0)</f>
        <v>0</v>
      </c>
      <c r="K37" s="69">
        <f>-IFERROR(VLOOKUP(C37,Gastos!$A$9:$J$1451,10,0),0)</f>
        <v>0</v>
      </c>
      <c r="L37" s="69"/>
      <c r="M37" s="96">
        <f>+D37</f>
        <v>-1306.01</v>
      </c>
      <c r="P37" s="19"/>
      <c r="Q37" s="19"/>
    </row>
    <row r="38" spans="1:17" s="67" customFormat="1" hidden="1">
      <c r="A38" s="67" t="s">
        <v>41</v>
      </c>
      <c r="B38" s="67" t="s">
        <v>55</v>
      </c>
      <c r="C38" s="75">
        <v>127775080827</v>
      </c>
      <c r="D38" s="68">
        <v>-217667.97</v>
      </c>
      <c r="E38" s="3">
        <v>10386361.93</v>
      </c>
      <c r="F38" s="67" t="s">
        <v>3066</v>
      </c>
      <c r="G38" s="69">
        <f>+D38/1.006</f>
        <v>-216369.75149105367</v>
      </c>
      <c r="H38" s="69">
        <f>+D38-G38</f>
        <v>-1298.218508946331</v>
      </c>
      <c r="I38" s="69">
        <f>-IFERROR(VLOOKUP(C38,SIRCUPA!$A$21:$H$221,8,0),0)</f>
        <v>0</v>
      </c>
      <c r="J38" s="69">
        <f>-IFERROR(VLOOKUP(C38,SIRTAC!$A$16:$H$1458,8,0),0)</f>
        <v>0</v>
      </c>
      <c r="K38" s="69">
        <f>-IFERROR(VLOOKUP(C38,Gastos!$A$9:$J$1451,10,0),0)</f>
        <v>0</v>
      </c>
      <c r="L38" s="69">
        <f>-IFERROR(VLOOKUP(C38,IDC!$A$20:$H$1763,8,0),0)</f>
        <v>-1306.01</v>
      </c>
      <c r="M38" s="96">
        <f>+D38</f>
        <v>-217667.97</v>
      </c>
      <c r="P38" s="19"/>
      <c r="Q38" s="19"/>
    </row>
    <row r="39" spans="1:17" s="67" customFormat="1" hidden="1">
      <c r="A39" s="67" t="s">
        <v>41</v>
      </c>
      <c r="B39" s="67" t="s">
        <v>51</v>
      </c>
      <c r="C39" s="75">
        <v>127775364243</v>
      </c>
      <c r="D39" s="68">
        <v>-1222.1600000000001</v>
      </c>
      <c r="E39" s="3">
        <v>10658388.35</v>
      </c>
      <c r="F39" s="67" t="s">
        <v>3062</v>
      </c>
      <c r="G39" s="69">
        <f>+D39/0.006</f>
        <v>-203693.33333333334</v>
      </c>
      <c r="H39" s="69"/>
      <c r="I39" s="69">
        <f>-IFERROR(VLOOKUP(C39,SIRCUPA!$A$21:$H$221,8,0),0)</f>
        <v>0</v>
      </c>
      <c r="J39" s="69">
        <f>-IFERROR(VLOOKUP(C39,SIRTAC!$A$16:$H$1458,8,0),0)</f>
        <v>0</v>
      </c>
      <c r="K39" s="69">
        <f>-IFERROR(VLOOKUP(C39,Gastos!$A$9:$J$1451,10,0),0)</f>
        <v>0</v>
      </c>
      <c r="L39" s="69"/>
      <c r="M39" s="96">
        <f>+D39</f>
        <v>-1222.1600000000001</v>
      </c>
      <c r="P39" s="19"/>
      <c r="Q39" s="19"/>
    </row>
    <row r="40" spans="1:17" s="67" customFormat="1" hidden="1">
      <c r="A40" s="67" t="s">
        <v>41</v>
      </c>
      <c r="B40" s="67" t="s">
        <v>55</v>
      </c>
      <c r="C40" s="75">
        <v>127775364243</v>
      </c>
      <c r="D40" s="68">
        <v>-203693.9</v>
      </c>
      <c r="E40" s="3">
        <v>10659610.51</v>
      </c>
      <c r="F40" s="67" t="s">
        <v>3066</v>
      </c>
      <c r="G40" s="69">
        <f>+D40/1.006</f>
        <v>-202479.02584493041</v>
      </c>
      <c r="H40" s="69">
        <f>+D40-G40</f>
        <v>-1214.874155069585</v>
      </c>
      <c r="I40" s="69">
        <f>-IFERROR(VLOOKUP(C40,SIRCUPA!$A$21:$H$221,8,0),0)</f>
        <v>0</v>
      </c>
      <c r="J40" s="69">
        <f>-IFERROR(VLOOKUP(C40,SIRTAC!$A$16:$H$1458,8,0),0)</f>
        <v>0</v>
      </c>
      <c r="K40" s="69">
        <f>-IFERROR(VLOOKUP(C40,Gastos!$A$9:$J$1451,10,0),0)</f>
        <v>0</v>
      </c>
      <c r="L40" s="69">
        <f>-IFERROR(VLOOKUP(C40,IDC!$A$20:$H$1763,8,0),0)</f>
        <v>-1222.1600000000001</v>
      </c>
      <c r="M40" s="96">
        <f>+D40</f>
        <v>-203693.9</v>
      </c>
      <c r="P40" s="19"/>
      <c r="Q40" s="19"/>
    </row>
    <row r="41" spans="1:17" hidden="1">
      <c r="A41" s="1" t="s">
        <v>461</v>
      </c>
      <c r="B41" s="1" t="s">
        <v>465</v>
      </c>
      <c r="C41" s="71">
        <v>128258988637</v>
      </c>
      <c r="D41" s="3">
        <v>-960111.31</v>
      </c>
      <c r="E41" s="3">
        <v>15917896.390000001</v>
      </c>
      <c r="F41" s="1" t="s">
        <v>3066</v>
      </c>
      <c r="G41" s="19">
        <f>+D41/1.006</f>
        <v>-954385</v>
      </c>
      <c r="H41" s="19">
        <f>+D41-G41</f>
        <v>-5726.3100000000559</v>
      </c>
      <c r="I41" s="19">
        <f>-IFERROR(VLOOKUP(C41,SIRCUPA!$A$21:$H$221,8,0),0)</f>
        <v>0</v>
      </c>
      <c r="J41" s="86">
        <f>-IFERROR(VLOOKUP(C41,SIRTAC!$A$16:$H$1458,8,0),0)</f>
        <v>0</v>
      </c>
      <c r="K41" s="86">
        <f>-IFERROR(VLOOKUP(C41,Gastos!$A$9:$J$1451,10,0),0)</f>
        <v>0</v>
      </c>
      <c r="L41" s="86">
        <f>+D41-G41</f>
        <v>-5726.3100000000559</v>
      </c>
      <c r="M41" s="94">
        <f>+D41-I41-J41-K41-L41</f>
        <v>-954385</v>
      </c>
      <c r="O41" s="1"/>
    </row>
    <row r="42" spans="1:17" s="67" customFormat="1" hidden="1">
      <c r="A42" s="67" t="s">
        <v>461</v>
      </c>
      <c r="B42" s="67" t="s">
        <v>51</v>
      </c>
      <c r="C42" s="75">
        <v>128290347795</v>
      </c>
      <c r="D42" s="68">
        <v>-9232.32</v>
      </c>
      <c r="E42" s="3">
        <v>13058557.539999999</v>
      </c>
      <c r="F42" s="67" t="s">
        <v>3062</v>
      </c>
      <c r="G42" s="69">
        <f>+D42/0.006</f>
        <v>-1538720</v>
      </c>
      <c r="H42" s="69"/>
      <c r="I42" s="69">
        <f>-IFERROR(VLOOKUP(C42,SIRCUPA!$A$21:$H$221,8,0),0)</f>
        <v>0</v>
      </c>
      <c r="J42" s="69">
        <f>-IFERROR(VLOOKUP(C42,SIRTAC!$A$16:$H$1458,8,0),0)</f>
        <v>0</v>
      </c>
      <c r="K42" s="69">
        <f>-IFERROR(VLOOKUP(C42,Gastos!$A$9:$J$1451,10,0),0)</f>
        <v>0</v>
      </c>
      <c r="L42" s="69"/>
      <c r="M42" s="96">
        <f>+D42</f>
        <v>-9232.32</v>
      </c>
      <c r="P42" s="19"/>
      <c r="Q42" s="19"/>
    </row>
    <row r="43" spans="1:17" s="67" customFormat="1" hidden="1">
      <c r="A43" s="67" t="s">
        <v>461</v>
      </c>
      <c r="B43" s="67" t="s">
        <v>471</v>
      </c>
      <c r="C43" s="75">
        <v>128290347795</v>
      </c>
      <c r="D43" s="68">
        <v>-1538720.7</v>
      </c>
      <c r="E43" s="3">
        <v>13067789.859999999</v>
      </c>
      <c r="F43" s="67" t="s">
        <v>3066</v>
      </c>
      <c r="G43" s="69">
        <f>+D43/1.006</f>
        <v>-1529543.439363817</v>
      </c>
      <c r="H43" s="69">
        <f>+D43-G43</f>
        <v>-9177.2606361829676</v>
      </c>
      <c r="I43" s="69">
        <f>-IFERROR(VLOOKUP(C43,SIRCUPA!$A$21:$H$221,8,0),0)</f>
        <v>0</v>
      </c>
      <c r="J43" s="69">
        <f>-IFERROR(VLOOKUP(C43,SIRTAC!$A$16:$H$1458,8,0),0)</f>
        <v>0</v>
      </c>
      <c r="K43" s="69">
        <f>-IFERROR(VLOOKUP(C43,Gastos!$A$9:$J$1451,10,0),0)</f>
        <v>0</v>
      </c>
      <c r="L43" s="69">
        <f>-IFERROR(VLOOKUP(C43,IDC!$A$20:$H$1763,8,0),0)</f>
        <v>-9232.32</v>
      </c>
      <c r="M43" s="96">
        <f>+D43</f>
        <v>-1538720.7</v>
      </c>
      <c r="P43" s="19"/>
      <c r="Q43" s="19"/>
    </row>
    <row r="44" spans="1:17" hidden="1">
      <c r="A44" s="1" t="s">
        <v>41</v>
      </c>
      <c r="B44" s="1" t="s">
        <v>15</v>
      </c>
      <c r="C44" s="71">
        <v>127826757701</v>
      </c>
      <c r="D44" s="3">
        <v>9548.14</v>
      </c>
      <c r="E44" s="3">
        <v>10394604.060000001</v>
      </c>
      <c r="F44" s="1" t="s">
        <v>3065</v>
      </c>
      <c r="G44"/>
      <c r="H44"/>
      <c r="I44" s="19">
        <f>-IFERROR(VLOOKUP(C44,SIRCUPA!$A$21:$H$221,8,0),0)</f>
        <v>0</v>
      </c>
      <c r="J44" s="86">
        <f>-IFERROR(VLOOKUP(C44,SIRTAC!$A$16:$H$1458,8,0),0)</f>
        <v>-98</v>
      </c>
      <c r="K44" s="86">
        <f>-IFERROR(VLOOKUP(C44,Gastos!$A$9:$J$1451,10,0),0)</f>
        <v>-95.06</v>
      </c>
      <c r="L44" s="86">
        <f>-IFERROR(VLOOKUP(C44,IDC!$A$20:$H$1763,8,0),0)</f>
        <v>-58.8</v>
      </c>
      <c r="M44" s="95">
        <f t="shared" ref="M44:M75" si="5">+D44-I44-J44-K44-L44</f>
        <v>9799.9999999999982</v>
      </c>
      <c r="O44" s="1"/>
    </row>
    <row r="45" spans="1:17" hidden="1">
      <c r="A45" s="1" t="s">
        <v>41</v>
      </c>
      <c r="B45" s="1" t="s">
        <v>15</v>
      </c>
      <c r="C45" s="71">
        <v>128398739964</v>
      </c>
      <c r="D45" s="3">
        <v>9353.2800000000007</v>
      </c>
      <c r="E45" s="3">
        <v>10403957.34</v>
      </c>
      <c r="F45" s="1" t="s">
        <v>3065</v>
      </c>
      <c r="G45"/>
      <c r="H45"/>
      <c r="I45" s="19">
        <f>-IFERROR(VLOOKUP(C45,SIRCUPA!$A$21:$H$221,8,0),0)</f>
        <v>0</v>
      </c>
      <c r="J45" s="86">
        <f>-IFERROR(VLOOKUP(C45,SIRTAC!$A$16:$H$1458,8,0),0)</f>
        <v>-96</v>
      </c>
      <c r="K45" s="86">
        <f>-IFERROR(VLOOKUP(C45,Gastos!$A$9:$J$1451,10,0),0)</f>
        <v>-93.12</v>
      </c>
      <c r="L45" s="86">
        <f>-IFERROR(VLOOKUP(C45,IDC!$A$20:$H$1763,8,0),0)</f>
        <v>-57.6</v>
      </c>
      <c r="M45" s="95">
        <f t="shared" si="5"/>
        <v>9600.0000000000018</v>
      </c>
      <c r="O45" s="1"/>
    </row>
    <row r="46" spans="1:17" hidden="1">
      <c r="A46" s="1" t="s">
        <v>41</v>
      </c>
      <c r="B46" s="1" t="s">
        <v>15</v>
      </c>
      <c r="C46" s="71">
        <v>127834309851</v>
      </c>
      <c r="D46" s="3">
        <v>13932.49</v>
      </c>
      <c r="E46" s="3">
        <v>10417889.83</v>
      </c>
      <c r="F46" s="1" t="s">
        <v>3065</v>
      </c>
      <c r="G46"/>
      <c r="H46"/>
      <c r="I46" s="19">
        <f>-IFERROR(VLOOKUP(C46,SIRCUPA!$A$21:$H$221,8,0),0)</f>
        <v>0</v>
      </c>
      <c r="J46" s="86">
        <f>-IFERROR(VLOOKUP(C46,SIRTAC!$A$16:$H$1458,8,0),0)</f>
        <v>-143</v>
      </c>
      <c r="K46" s="86">
        <f>-IFERROR(VLOOKUP(C46,Gastos!$A$9:$J$1451,10,0),0)</f>
        <v>-138.71</v>
      </c>
      <c r="L46" s="86">
        <f>-IFERROR(VLOOKUP(C46,IDC!$A$20:$H$1763,8,0),0)</f>
        <v>-85.8</v>
      </c>
      <c r="M46" s="95">
        <f t="shared" si="5"/>
        <v>14299.999999999998</v>
      </c>
      <c r="O46" s="1"/>
    </row>
    <row r="47" spans="1:17" hidden="1">
      <c r="A47" s="1" t="s">
        <v>41</v>
      </c>
      <c r="B47" s="1" t="s">
        <v>62</v>
      </c>
      <c r="C47" s="71">
        <v>127834303877</v>
      </c>
      <c r="D47" s="3">
        <v>2099.9499999999998</v>
      </c>
      <c r="E47" s="3">
        <v>10419989.779999999</v>
      </c>
      <c r="F47" s="1" t="s">
        <v>3065</v>
      </c>
      <c r="G47"/>
      <c r="H47"/>
      <c r="I47" s="19">
        <f>-IFERROR(VLOOKUP(C47,SIRCUPA!$A$21:$H$221,8,0),0)</f>
        <v>-32.18</v>
      </c>
      <c r="J47" s="86">
        <f>-IFERROR(VLOOKUP(C47,SIRTAC!$A$16:$H$1458,8,0),0)</f>
        <v>0</v>
      </c>
      <c r="K47" s="86">
        <f>-IFERROR(VLOOKUP(C47,Gastos!$A$9:$J$1451,10,0),0)</f>
        <v>0</v>
      </c>
      <c r="L47" s="86">
        <f>-IFERROR(VLOOKUP(C47,IDC!$A$20:$H$1763,8,0),0)</f>
        <v>-12.87</v>
      </c>
      <c r="M47" s="95">
        <f t="shared" si="5"/>
        <v>2144.9999999999995</v>
      </c>
      <c r="O47" s="1"/>
    </row>
    <row r="48" spans="1:17" hidden="1">
      <c r="A48" s="1" t="s">
        <v>41</v>
      </c>
      <c r="B48" s="1" t="s">
        <v>15</v>
      </c>
      <c r="C48" s="71">
        <v>128402388274</v>
      </c>
      <c r="D48" s="3">
        <v>12958.19</v>
      </c>
      <c r="E48" s="3">
        <v>10432947.970000001</v>
      </c>
      <c r="F48" s="1" t="s">
        <v>3065</v>
      </c>
      <c r="G48"/>
      <c r="H48"/>
      <c r="I48" s="19">
        <f>-IFERROR(VLOOKUP(C48,SIRCUPA!$A$21:$H$221,8,0),0)</f>
        <v>0</v>
      </c>
      <c r="J48" s="86">
        <f>-IFERROR(VLOOKUP(C48,SIRTAC!$A$16:$H$1458,8,0),0)</f>
        <v>-133</v>
      </c>
      <c r="K48" s="86">
        <f>-IFERROR(VLOOKUP(C48,Gastos!$A$9:$J$1451,10,0),0)</f>
        <v>-129.01</v>
      </c>
      <c r="L48" s="86">
        <f>-IFERROR(VLOOKUP(C48,IDC!$A$20:$H$1763,8,0),0)</f>
        <v>-79.8</v>
      </c>
      <c r="M48" s="95">
        <f t="shared" si="5"/>
        <v>13300</v>
      </c>
      <c r="O48" s="1"/>
    </row>
    <row r="49" spans="1:15" hidden="1">
      <c r="A49" s="1" t="s">
        <v>41</v>
      </c>
      <c r="B49" s="1" t="s">
        <v>65</v>
      </c>
      <c r="C49" s="71">
        <v>128402325040</v>
      </c>
      <c r="D49" s="3">
        <v>1302.07</v>
      </c>
      <c r="E49" s="3">
        <v>10434250.039999999</v>
      </c>
      <c r="F49" s="1" t="s">
        <v>3065</v>
      </c>
      <c r="G49"/>
      <c r="H49"/>
      <c r="I49" s="19">
        <f>-IFERROR(VLOOKUP(C49,SIRCUPA!$A$21:$H$221,8,0),0)</f>
        <v>-19.95</v>
      </c>
      <c r="J49" s="86">
        <f>-IFERROR(VLOOKUP(C49,SIRTAC!$A$16:$H$1458,8,0),0)</f>
        <v>0</v>
      </c>
      <c r="K49" s="86">
        <f>-IFERROR(VLOOKUP(C49,Gastos!$A$9:$J$1451,10,0),0)</f>
        <v>0</v>
      </c>
      <c r="L49" s="86">
        <f>-IFERROR(VLOOKUP(C49,IDC!$A$20:$H$1763,8,0),0)</f>
        <v>-7.98</v>
      </c>
      <c r="M49" s="95">
        <f t="shared" si="5"/>
        <v>1330</v>
      </c>
      <c r="O49" s="1"/>
    </row>
    <row r="50" spans="1:15" hidden="1">
      <c r="A50" s="1" t="s">
        <v>41</v>
      </c>
      <c r="B50" s="1" t="s">
        <v>15</v>
      </c>
      <c r="C50" s="71">
        <v>127836305261</v>
      </c>
      <c r="D50" s="3">
        <v>30598.36</v>
      </c>
      <c r="E50" s="3">
        <v>10464848.4</v>
      </c>
      <c r="F50" s="1" t="s">
        <v>3065</v>
      </c>
      <c r="G50"/>
      <c r="H50"/>
      <c r="I50" s="19">
        <f>-IFERROR(VLOOKUP(C50,SIRCUPA!$A$21:$H$221,8,0),0)</f>
        <v>0</v>
      </c>
      <c r="J50" s="86">
        <f>-IFERROR(VLOOKUP(C50,SIRTAC!$A$16:$H$1458,8,0),0)</f>
        <v>-326</v>
      </c>
      <c r="K50" s="86">
        <f>-IFERROR(VLOOKUP(C50,Gastos!$A$9:$J$1451,10,0),0)</f>
        <v>-1480.04</v>
      </c>
      <c r="L50" s="86">
        <f>-IFERROR(VLOOKUP(C50,IDC!$A$20:$H$1763,8,0),0)</f>
        <v>-195.6</v>
      </c>
      <c r="M50" s="95">
        <f t="shared" si="5"/>
        <v>32600</v>
      </c>
      <c r="O50" s="1"/>
    </row>
    <row r="51" spans="1:15" hidden="1">
      <c r="A51" s="1" t="s">
        <v>41</v>
      </c>
      <c r="B51" s="1" t="s">
        <v>15</v>
      </c>
      <c r="C51" s="71">
        <v>128408491342</v>
      </c>
      <c r="D51" s="3">
        <v>4676.6400000000003</v>
      </c>
      <c r="E51" s="3">
        <v>10469525.039999999</v>
      </c>
      <c r="F51" s="1" t="s">
        <v>3065</v>
      </c>
      <c r="G51"/>
      <c r="H51"/>
      <c r="I51" s="19">
        <f>-IFERROR(VLOOKUP(C51,SIRCUPA!$A$21:$H$221,8,0),0)</f>
        <v>0</v>
      </c>
      <c r="J51" s="86">
        <f>-IFERROR(VLOOKUP(C51,SIRTAC!$A$16:$H$1458,8,0),0)</f>
        <v>-48</v>
      </c>
      <c r="K51" s="86">
        <f>-IFERROR(VLOOKUP(C51,Gastos!$A$9:$J$1451,10,0),0)</f>
        <v>-46.56</v>
      </c>
      <c r="L51" s="86">
        <f>-IFERROR(VLOOKUP(C51,IDC!$A$20:$H$1763,8,0),0)</f>
        <v>-28.8</v>
      </c>
      <c r="M51" s="95">
        <f t="shared" si="5"/>
        <v>4800.0000000000009</v>
      </c>
      <c r="O51" s="1"/>
    </row>
    <row r="52" spans="1:15" hidden="1">
      <c r="A52" s="1" t="s">
        <v>41</v>
      </c>
      <c r="B52" s="1" t="s">
        <v>15</v>
      </c>
      <c r="C52" s="71">
        <v>128408853332</v>
      </c>
      <c r="D52" s="3">
        <v>4534.5600000000004</v>
      </c>
      <c r="E52" s="3">
        <v>10474059.6</v>
      </c>
      <c r="F52" s="1" t="s">
        <v>3065</v>
      </c>
      <c r="G52"/>
      <c r="H52"/>
      <c r="I52" s="19">
        <f>-IFERROR(VLOOKUP(C52,SIRCUPA!$A$21:$H$221,8,0),0)</f>
        <v>0</v>
      </c>
      <c r="J52" s="86">
        <f>-IFERROR(VLOOKUP(C52,SIRTAC!$A$16:$H$1458,8,0),0)</f>
        <v>-48</v>
      </c>
      <c r="K52" s="86">
        <f>-IFERROR(VLOOKUP(C52,Gastos!$A$9:$J$1451,10,0),0)</f>
        <v>-188.64</v>
      </c>
      <c r="L52" s="86">
        <f>-IFERROR(VLOOKUP(C52,IDC!$A$20:$H$1763,8,0),0)</f>
        <v>-28.8</v>
      </c>
      <c r="M52" s="95">
        <f t="shared" si="5"/>
        <v>4800.0000000000009</v>
      </c>
      <c r="O52" s="1"/>
    </row>
    <row r="53" spans="1:15" hidden="1">
      <c r="A53" s="1" t="s">
        <v>41</v>
      </c>
      <c r="B53" s="1" t="s">
        <v>15</v>
      </c>
      <c r="C53" s="71">
        <v>127843829541</v>
      </c>
      <c r="D53" s="3">
        <v>37705.410000000003</v>
      </c>
      <c r="E53" s="3">
        <v>10511765.01</v>
      </c>
      <c r="F53" s="1" t="s">
        <v>3065</v>
      </c>
      <c r="G53"/>
      <c r="H53"/>
      <c r="I53" s="19">
        <f>-IFERROR(VLOOKUP(C53,SIRCUPA!$A$21:$H$221,8,0),0)</f>
        <v>0</v>
      </c>
      <c r="J53" s="86">
        <f>-IFERROR(VLOOKUP(C53,SIRTAC!$A$16:$H$1458,8,0),0)</f>
        <v>-387</v>
      </c>
      <c r="K53" s="86">
        <f>-IFERROR(VLOOKUP(C53,Gastos!$A$9:$J$1451,10,0),0)</f>
        <v>-375.39</v>
      </c>
      <c r="L53" s="86">
        <f>-IFERROR(VLOOKUP(C53,IDC!$A$20:$H$1763,8,0),0)</f>
        <v>-232.2</v>
      </c>
      <c r="M53" s="95">
        <f t="shared" si="5"/>
        <v>38700</v>
      </c>
      <c r="O53" s="1"/>
    </row>
    <row r="54" spans="1:15" hidden="1">
      <c r="A54" s="1" t="s">
        <v>41</v>
      </c>
      <c r="B54" s="1" t="s">
        <v>71</v>
      </c>
      <c r="C54" s="71">
        <v>128410134666</v>
      </c>
      <c r="D54" s="3">
        <v>1894.36</v>
      </c>
      <c r="E54" s="3">
        <v>10513659.369999999</v>
      </c>
      <c r="F54" s="1" t="s">
        <v>3065</v>
      </c>
      <c r="G54"/>
      <c r="H54"/>
      <c r="I54" s="19">
        <f>-IFERROR(VLOOKUP(C54,SIRCUPA!$A$21:$H$221,8,0),0)</f>
        <v>-29.03</v>
      </c>
      <c r="J54" s="86">
        <f>-IFERROR(VLOOKUP(C54,SIRTAC!$A$16:$H$1458,8,0),0)</f>
        <v>0</v>
      </c>
      <c r="K54" s="86">
        <f>-IFERROR(VLOOKUP(C54,Gastos!$A$9:$J$1451,10,0),0)</f>
        <v>0</v>
      </c>
      <c r="L54" s="86">
        <f>-IFERROR(VLOOKUP(C54,IDC!$A$20:$H$1763,8,0),0)</f>
        <v>-11.61</v>
      </c>
      <c r="M54" s="95">
        <f t="shared" si="5"/>
        <v>1934.9999999999998</v>
      </c>
      <c r="O54" s="1"/>
    </row>
    <row r="55" spans="1:15" hidden="1">
      <c r="A55" s="1" t="s">
        <v>41</v>
      </c>
      <c r="B55" s="1" t="s">
        <v>15</v>
      </c>
      <c r="C55" s="71">
        <v>127845010923</v>
      </c>
      <c r="D55" s="3">
        <v>8768.7000000000007</v>
      </c>
      <c r="E55" s="3">
        <v>10522428.07</v>
      </c>
      <c r="F55" s="1" t="s">
        <v>3065</v>
      </c>
      <c r="G55"/>
      <c r="H55"/>
      <c r="I55" s="19">
        <f>-IFERROR(VLOOKUP(C55,SIRCUPA!$A$21:$H$221,8,0),0)</f>
        <v>0</v>
      </c>
      <c r="J55" s="86">
        <f>-IFERROR(VLOOKUP(C55,SIRTAC!$A$16:$H$1458,8,0),0)</f>
        <v>-90</v>
      </c>
      <c r="K55" s="86">
        <f>-IFERROR(VLOOKUP(C55,Gastos!$A$9:$J$1451,10,0),0)</f>
        <v>-87.3</v>
      </c>
      <c r="L55" s="86">
        <f>-IFERROR(VLOOKUP(C55,IDC!$A$20:$H$1763,8,0),0)</f>
        <v>-54</v>
      </c>
      <c r="M55" s="95">
        <f t="shared" si="5"/>
        <v>9000</v>
      </c>
      <c r="O55" s="1"/>
    </row>
    <row r="56" spans="1:15" hidden="1">
      <c r="A56" s="1" t="s">
        <v>41</v>
      </c>
      <c r="B56" s="1" t="s">
        <v>15</v>
      </c>
      <c r="C56" s="71">
        <v>127845412065</v>
      </c>
      <c r="D56" s="3">
        <v>4676.6400000000003</v>
      </c>
      <c r="E56" s="3">
        <v>10527104.710000001</v>
      </c>
      <c r="F56" s="1" t="s">
        <v>3065</v>
      </c>
      <c r="G56"/>
      <c r="H56"/>
      <c r="I56" s="19">
        <f>-IFERROR(VLOOKUP(C56,SIRCUPA!$A$21:$H$221,8,0),0)</f>
        <v>0</v>
      </c>
      <c r="J56" s="86">
        <f>-IFERROR(VLOOKUP(C56,SIRTAC!$A$16:$H$1458,8,0),0)</f>
        <v>-48</v>
      </c>
      <c r="K56" s="86">
        <f>-IFERROR(VLOOKUP(C56,Gastos!$A$9:$J$1451,10,0),0)</f>
        <v>-46.56</v>
      </c>
      <c r="L56" s="86">
        <f>-IFERROR(VLOOKUP(C56,IDC!$A$20:$H$1763,8,0),0)</f>
        <v>-28.8</v>
      </c>
      <c r="M56" s="95">
        <f t="shared" si="5"/>
        <v>4800.0000000000009</v>
      </c>
      <c r="O56" s="1"/>
    </row>
    <row r="57" spans="1:15" hidden="1">
      <c r="A57" s="1" t="s">
        <v>41</v>
      </c>
      <c r="B57" s="1" t="s">
        <v>75</v>
      </c>
      <c r="C57" s="71">
        <v>128411521730</v>
      </c>
      <c r="D57" s="2">
        <v>469.92</v>
      </c>
      <c r="E57" s="3">
        <v>10527574.630000001</v>
      </c>
      <c r="F57" s="1" t="s">
        <v>3065</v>
      </c>
      <c r="G57"/>
      <c r="H57"/>
      <c r="I57" s="19">
        <f>-IFERROR(VLOOKUP(C57,SIRCUPA!$A$21:$H$221,8,0),0)</f>
        <v>-7.2</v>
      </c>
      <c r="J57" s="86">
        <f>-IFERROR(VLOOKUP(C57,SIRTAC!$A$16:$H$1458,8,0),0)</f>
        <v>0</v>
      </c>
      <c r="K57" s="86">
        <f>-IFERROR(VLOOKUP(C57,Gastos!$A$9:$J$1451,10,0),0)</f>
        <v>0</v>
      </c>
      <c r="L57" s="86">
        <f>-IFERROR(VLOOKUP(C57,IDC!$A$20:$H$1763,8,0),0)</f>
        <v>-2.88</v>
      </c>
      <c r="M57" s="95">
        <f t="shared" si="5"/>
        <v>480</v>
      </c>
      <c r="O57" s="1"/>
    </row>
    <row r="58" spans="1:15" hidden="1">
      <c r="A58" s="1" t="s">
        <v>41</v>
      </c>
      <c r="B58" s="1" t="s">
        <v>15</v>
      </c>
      <c r="C58" s="71">
        <v>127845621093</v>
      </c>
      <c r="D58" s="3">
        <v>4286.92</v>
      </c>
      <c r="E58" s="3">
        <v>10531861.550000001</v>
      </c>
      <c r="F58" s="1" t="s">
        <v>3065</v>
      </c>
      <c r="G58"/>
      <c r="H58"/>
      <c r="I58" s="19">
        <f>-IFERROR(VLOOKUP(C58,SIRCUPA!$A$21:$H$221,8,0),0)</f>
        <v>0</v>
      </c>
      <c r="J58" s="86">
        <f>-IFERROR(VLOOKUP(C58,SIRTAC!$A$16:$H$1458,8,0),0)</f>
        <v>-44</v>
      </c>
      <c r="K58" s="86">
        <f>-IFERROR(VLOOKUP(C58,Gastos!$A$9:$J$1451,10,0),0)</f>
        <v>-42.68</v>
      </c>
      <c r="L58" s="86">
        <f>-IFERROR(VLOOKUP(C58,IDC!$A$20:$H$1763,8,0),0)</f>
        <v>-26.4</v>
      </c>
      <c r="M58" s="95">
        <f t="shared" si="5"/>
        <v>4400</v>
      </c>
      <c r="O58" s="1"/>
    </row>
    <row r="59" spans="1:15" hidden="1">
      <c r="A59" s="1" t="s">
        <v>41</v>
      </c>
      <c r="B59" s="1" t="s">
        <v>15</v>
      </c>
      <c r="C59" s="71">
        <v>127846108405</v>
      </c>
      <c r="D59" s="3">
        <v>3967.74</v>
      </c>
      <c r="E59" s="3">
        <v>10535829.289999999</v>
      </c>
      <c r="F59" s="1" t="s">
        <v>3065</v>
      </c>
      <c r="G59"/>
      <c r="H59"/>
      <c r="I59" s="19">
        <f>-IFERROR(VLOOKUP(C59,SIRCUPA!$A$21:$H$221,8,0),0)</f>
        <v>0</v>
      </c>
      <c r="J59" s="86">
        <f>-IFERROR(VLOOKUP(C59,SIRTAC!$A$16:$H$1458,8,0),0)</f>
        <v>-42</v>
      </c>
      <c r="K59" s="86">
        <f>-IFERROR(VLOOKUP(C59,Gastos!$A$9:$J$1451,10,0),0)</f>
        <v>-165.06</v>
      </c>
      <c r="L59" s="86">
        <f>-IFERROR(VLOOKUP(C59,IDC!$A$20:$H$1763,8,0),0)</f>
        <v>-25.2</v>
      </c>
      <c r="M59" s="95">
        <f t="shared" si="5"/>
        <v>4200</v>
      </c>
      <c r="O59" s="1"/>
    </row>
    <row r="60" spans="1:15" hidden="1">
      <c r="A60" s="1" t="s">
        <v>41</v>
      </c>
      <c r="B60" s="1" t="s">
        <v>15</v>
      </c>
      <c r="C60" s="71">
        <v>127846250789</v>
      </c>
      <c r="D60" s="3">
        <v>3967.74</v>
      </c>
      <c r="E60" s="3">
        <v>10539797.029999999</v>
      </c>
      <c r="F60" s="1" t="s">
        <v>3065</v>
      </c>
      <c r="G60"/>
      <c r="H60"/>
      <c r="I60" s="19">
        <f>-IFERROR(VLOOKUP(C60,SIRCUPA!$A$21:$H$221,8,0),0)</f>
        <v>0</v>
      </c>
      <c r="J60" s="86">
        <f>-IFERROR(VLOOKUP(C60,SIRTAC!$A$16:$H$1458,8,0),0)</f>
        <v>-42</v>
      </c>
      <c r="K60" s="86">
        <f>-IFERROR(VLOOKUP(C60,Gastos!$A$9:$J$1451,10,0),0)</f>
        <v>-165.06</v>
      </c>
      <c r="L60" s="86">
        <f>-IFERROR(VLOOKUP(C60,IDC!$A$20:$H$1763,8,0),0)</f>
        <v>-25.2</v>
      </c>
      <c r="M60" s="95">
        <f t="shared" si="5"/>
        <v>4200</v>
      </c>
      <c r="O60" s="1"/>
    </row>
    <row r="61" spans="1:15" hidden="1">
      <c r="A61" s="1" t="s">
        <v>41</v>
      </c>
      <c r="B61" s="1" t="s">
        <v>15</v>
      </c>
      <c r="C61" s="71">
        <v>128412427806</v>
      </c>
      <c r="D61" s="3">
        <v>25342.2</v>
      </c>
      <c r="E61" s="3">
        <v>10565139.23</v>
      </c>
      <c r="F61" s="1" t="s">
        <v>3065</v>
      </c>
      <c r="G61"/>
      <c r="H61"/>
      <c r="I61" s="19">
        <f>-IFERROR(VLOOKUP(C61,SIRCUPA!$A$21:$H$221,8,0),0)</f>
        <v>0</v>
      </c>
      <c r="J61" s="86">
        <f>-IFERROR(VLOOKUP(C61,SIRTAC!$A$16:$H$1458,8,0),0)</f>
        <v>-270</v>
      </c>
      <c r="K61" s="86">
        <f>-IFERROR(VLOOKUP(C61,Gastos!$A$9:$J$1451,10,0),0)</f>
        <v>-1225.8</v>
      </c>
      <c r="L61" s="86">
        <f>-IFERROR(VLOOKUP(C61,IDC!$A$20:$H$1763,8,0),0)</f>
        <v>-162</v>
      </c>
      <c r="M61" s="95">
        <f t="shared" si="5"/>
        <v>27000</v>
      </c>
      <c r="O61" s="1"/>
    </row>
    <row r="62" spans="1:15" hidden="1">
      <c r="A62" s="1" t="s">
        <v>41</v>
      </c>
      <c r="B62" s="1" t="s">
        <v>15</v>
      </c>
      <c r="C62" s="71">
        <v>127847014705</v>
      </c>
      <c r="D62" s="3">
        <v>14322.21</v>
      </c>
      <c r="E62" s="3">
        <v>10579461.439999999</v>
      </c>
      <c r="F62" s="1" t="s">
        <v>3065</v>
      </c>
      <c r="G62"/>
      <c r="H62"/>
      <c r="I62" s="19">
        <f>-IFERROR(VLOOKUP(C62,SIRCUPA!$A$21:$H$221,8,0),0)</f>
        <v>0</v>
      </c>
      <c r="J62" s="86">
        <f>-IFERROR(VLOOKUP(C62,SIRTAC!$A$16:$H$1458,8,0),0)</f>
        <v>-147</v>
      </c>
      <c r="K62" s="86">
        <f>-IFERROR(VLOOKUP(C62,Gastos!$A$9:$J$1451,10,0),0)</f>
        <v>-142.59</v>
      </c>
      <c r="L62" s="86">
        <f>-IFERROR(VLOOKUP(C62,IDC!$A$20:$H$1763,8,0),0)</f>
        <v>-88.2</v>
      </c>
      <c r="M62" s="95">
        <f t="shared" si="5"/>
        <v>14700</v>
      </c>
      <c r="O62" s="1"/>
    </row>
    <row r="63" spans="1:15" hidden="1">
      <c r="A63" s="1" t="s">
        <v>41</v>
      </c>
      <c r="B63" s="1" t="s">
        <v>15</v>
      </c>
      <c r="C63" s="71">
        <v>128413285526</v>
      </c>
      <c r="D63" s="3">
        <v>4534.5600000000004</v>
      </c>
      <c r="E63" s="3">
        <v>10583996</v>
      </c>
      <c r="F63" s="1" t="s">
        <v>3065</v>
      </c>
      <c r="G63"/>
      <c r="H63"/>
      <c r="I63" s="19">
        <f>-IFERROR(VLOOKUP(C63,SIRCUPA!$A$21:$H$221,8,0),0)</f>
        <v>0</v>
      </c>
      <c r="J63" s="86">
        <f>-IFERROR(VLOOKUP(C63,SIRTAC!$A$16:$H$1458,8,0),0)</f>
        <v>-48</v>
      </c>
      <c r="K63" s="86">
        <f>-IFERROR(VLOOKUP(C63,Gastos!$A$9:$J$1451,10,0),0)</f>
        <v>-188.64</v>
      </c>
      <c r="L63" s="86">
        <f>-IFERROR(VLOOKUP(C63,IDC!$A$20:$H$1763,8,0),0)</f>
        <v>-28.8</v>
      </c>
      <c r="M63" s="95">
        <f t="shared" si="5"/>
        <v>4800.0000000000009</v>
      </c>
      <c r="O63" s="1"/>
    </row>
    <row r="64" spans="1:15" hidden="1">
      <c r="A64" s="1" t="s">
        <v>41</v>
      </c>
      <c r="B64" s="1" t="s">
        <v>15</v>
      </c>
      <c r="C64" s="71">
        <v>127847143045</v>
      </c>
      <c r="D64" s="3">
        <v>4676.6400000000003</v>
      </c>
      <c r="E64" s="3">
        <v>10588672.640000001</v>
      </c>
      <c r="F64" s="1" t="s">
        <v>3065</v>
      </c>
      <c r="G64"/>
      <c r="H64"/>
      <c r="I64" s="19">
        <f>-IFERROR(VLOOKUP(C64,SIRCUPA!$A$21:$H$221,8,0),0)</f>
        <v>0</v>
      </c>
      <c r="J64" s="86">
        <f>-IFERROR(VLOOKUP(C64,SIRTAC!$A$16:$H$1458,8,0),0)</f>
        <v>-48</v>
      </c>
      <c r="K64" s="86">
        <f>-IFERROR(VLOOKUP(C64,Gastos!$A$9:$J$1451,10,0),0)</f>
        <v>-46.56</v>
      </c>
      <c r="L64" s="86">
        <f>-IFERROR(VLOOKUP(C64,IDC!$A$20:$H$1763,8,0),0)</f>
        <v>-28.8</v>
      </c>
      <c r="M64" s="95">
        <f t="shared" si="5"/>
        <v>4800.0000000000009</v>
      </c>
      <c r="O64" s="1"/>
    </row>
    <row r="65" spans="1:15" hidden="1">
      <c r="A65" s="1" t="s">
        <v>41</v>
      </c>
      <c r="B65" s="1" t="s">
        <v>15</v>
      </c>
      <c r="C65" s="71">
        <v>128413748622</v>
      </c>
      <c r="D65" s="3">
        <v>9743</v>
      </c>
      <c r="E65" s="3">
        <v>10598415.640000001</v>
      </c>
      <c r="F65" s="1" t="s">
        <v>3065</v>
      </c>
      <c r="G65"/>
      <c r="H65"/>
      <c r="I65" s="19">
        <f>-IFERROR(VLOOKUP(C65,SIRCUPA!$A$21:$H$221,8,0),0)</f>
        <v>0</v>
      </c>
      <c r="J65" s="86">
        <f>-IFERROR(VLOOKUP(C65,SIRTAC!$A$16:$H$1458,8,0),0)</f>
        <v>-100</v>
      </c>
      <c r="K65" s="86">
        <f>-IFERROR(VLOOKUP(C65,Gastos!$A$9:$J$1451,10,0),0)</f>
        <v>-97</v>
      </c>
      <c r="L65" s="86">
        <f>-IFERROR(VLOOKUP(C65,IDC!$A$20:$H$1763,8,0),0)</f>
        <v>-60</v>
      </c>
      <c r="M65" s="95">
        <f t="shared" si="5"/>
        <v>10000</v>
      </c>
      <c r="O65" s="1"/>
    </row>
    <row r="66" spans="1:15" hidden="1">
      <c r="A66" s="1" t="s">
        <v>41</v>
      </c>
      <c r="B66" s="1" t="s">
        <v>15</v>
      </c>
      <c r="C66" s="71">
        <v>127847979869</v>
      </c>
      <c r="D66" s="3">
        <v>29234.38</v>
      </c>
      <c r="E66" s="3">
        <v>10627650.02</v>
      </c>
      <c r="F66" s="1" t="s">
        <v>3065</v>
      </c>
      <c r="G66"/>
      <c r="H66"/>
      <c r="I66" s="19">
        <f>-IFERROR(VLOOKUP(C66,SIRCUPA!$A$21:$H$221,8,0),0)</f>
        <v>0</v>
      </c>
      <c r="J66" s="86">
        <f>-IFERROR(VLOOKUP(C66,SIRTAC!$A$16:$H$1458,8,0),0)</f>
        <v>-322</v>
      </c>
      <c r="K66" s="86">
        <f>-IFERROR(VLOOKUP(C66,Gastos!$A$9:$J$1451,10,0),0)</f>
        <v>-2450.42</v>
      </c>
      <c r="L66" s="86">
        <f>-IFERROR(VLOOKUP(C66,IDC!$A$20:$H$1763,8,0),0)</f>
        <v>-193.2</v>
      </c>
      <c r="M66" s="95">
        <f t="shared" si="5"/>
        <v>32200.000000000004</v>
      </c>
      <c r="O66" s="1"/>
    </row>
    <row r="67" spans="1:15" hidden="1">
      <c r="A67" s="1" t="s">
        <v>41</v>
      </c>
      <c r="B67" s="1" t="s">
        <v>15</v>
      </c>
      <c r="C67" s="71">
        <v>127848195943</v>
      </c>
      <c r="D67" s="3">
        <v>33905.64</v>
      </c>
      <c r="E67" s="3">
        <v>10661555.66</v>
      </c>
      <c r="F67" s="1" t="s">
        <v>3065</v>
      </c>
      <c r="G67"/>
      <c r="H67"/>
      <c r="I67" s="19">
        <f>-IFERROR(VLOOKUP(C67,SIRCUPA!$A$21:$H$221,8,0),0)</f>
        <v>0</v>
      </c>
      <c r="J67" s="86">
        <f>-IFERROR(VLOOKUP(C67,SIRTAC!$A$16:$H$1458,8,0),0)</f>
        <v>-348</v>
      </c>
      <c r="K67" s="86">
        <f>-IFERROR(VLOOKUP(C67,Gastos!$A$9:$J$1451,10,0),0)</f>
        <v>-337.56</v>
      </c>
      <c r="L67" s="86">
        <f>-IFERROR(VLOOKUP(C67,IDC!$A$20:$H$1763,8,0),0)</f>
        <v>-208.8</v>
      </c>
      <c r="M67" s="95">
        <f t="shared" si="5"/>
        <v>34800</v>
      </c>
      <c r="O67" s="1"/>
    </row>
    <row r="68" spans="1:15" hidden="1">
      <c r="A68" s="1" t="s">
        <v>41</v>
      </c>
      <c r="B68" s="1" t="s">
        <v>44</v>
      </c>
      <c r="C68" s="71">
        <v>128414396282</v>
      </c>
      <c r="D68" s="3">
        <v>5110.38</v>
      </c>
      <c r="E68" s="3">
        <v>10666666.039999999</v>
      </c>
      <c r="F68" s="1" t="s">
        <v>3065</v>
      </c>
      <c r="G68"/>
      <c r="H68"/>
      <c r="I68" s="19">
        <f>-IFERROR(VLOOKUP(C68,SIRCUPA!$A$21:$H$221,8,0),0)</f>
        <v>-78.3</v>
      </c>
      <c r="J68" s="86">
        <f>-IFERROR(VLOOKUP(C68,SIRTAC!$A$16:$H$1458,8,0),0)</f>
        <v>0</v>
      </c>
      <c r="K68" s="86">
        <f>-IFERROR(VLOOKUP(C68,Gastos!$A$9:$J$1451,10,0),0)</f>
        <v>0</v>
      </c>
      <c r="L68" s="86">
        <f>-IFERROR(VLOOKUP(C68,IDC!$A$20:$H$1763,8,0),0)</f>
        <v>-31.32</v>
      </c>
      <c r="M68" s="95">
        <f t="shared" si="5"/>
        <v>5220</v>
      </c>
      <c r="O68" s="1"/>
    </row>
    <row r="69" spans="1:15" hidden="1">
      <c r="A69" s="1" t="s">
        <v>41</v>
      </c>
      <c r="B69" s="1" t="s">
        <v>15</v>
      </c>
      <c r="C69" s="71">
        <v>128414602122</v>
      </c>
      <c r="D69" s="3">
        <v>5628.98</v>
      </c>
      <c r="E69" s="3">
        <v>10672295.02</v>
      </c>
      <c r="F69" s="1" t="s">
        <v>3065</v>
      </c>
      <c r="G69"/>
      <c r="H69"/>
      <c r="I69" s="19">
        <f>-IFERROR(VLOOKUP(C69,SIRCUPA!$A$21:$H$221,8,0),0)</f>
        <v>0</v>
      </c>
      <c r="J69" s="86">
        <f>-IFERROR(VLOOKUP(C69,SIRTAC!$A$16:$H$1458,8,0),0)</f>
        <v>-62</v>
      </c>
      <c r="K69" s="86">
        <f>-IFERROR(VLOOKUP(C69,Gastos!$A$9:$J$1451,10,0),0)</f>
        <v>-471.82</v>
      </c>
      <c r="L69" s="86">
        <f>-IFERROR(VLOOKUP(C69,IDC!$A$20:$H$1763,8,0),0)</f>
        <v>-37.200000000000003</v>
      </c>
      <c r="M69" s="95">
        <f t="shared" si="5"/>
        <v>6199.9999999999991</v>
      </c>
      <c r="O69" s="1"/>
    </row>
    <row r="70" spans="1:15" hidden="1">
      <c r="A70" s="1" t="s">
        <v>41</v>
      </c>
      <c r="B70" s="1" t="s">
        <v>15</v>
      </c>
      <c r="C70" s="71">
        <v>127848730441</v>
      </c>
      <c r="D70" s="3">
        <v>8768.7000000000007</v>
      </c>
      <c r="E70" s="3">
        <v>10681063.720000001</v>
      </c>
      <c r="F70" s="1" t="s">
        <v>3065</v>
      </c>
      <c r="G70"/>
      <c r="H70"/>
      <c r="I70" s="19">
        <f>-IFERROR(VLOOKUP(C70,SIRCUPA!$A$21:$H$221,8,0),0)</f>
        <v>0</v>
      </c>
      <c r="J70" s="86">
        <f>-IFERROR(VLOOKUP(C70,SIRTAC!$A$16:$H$1458,8,0),0)</f>
        <v>-90</v>
      </c>
      <c r="K70" s="86">
        <f>-IFERROR(VLOOKUP(C70,Gastos!$A$9:$J$1451,10,0),0)</f>
        <v>-87.3</v>
      </c>
      <c r="L70" s="86">
        <f>-IFERROR(VLOOKUP(C70,IDC!$A$20:$H$1763,8,0),0)</f>
        <v>-54</v>
      </c>
      <c r="M70" s="95">
        <f t="shared" si="5"/>
        <v>9000</v>
      </c>
      <c r="O70" s="1"/>
    </row>
    <row r="71" spans="1:15" hidden="1">
      <c r="A71" s="1" t="s">
        <v>41</v>
      </c>
      <c r="B71" s="1" t="s">
        <v>15</v>
      </c>
      <c r="C71" s="71">
        <v>127849129705</v>
      </c>
      <c r="D71" s="3">
        <v>4676.6400000000003</v>
      </c>
      <c r="E71" s="3">
        <v>10685740.359999999</v>
      </c>
      <c r="F71" s="1" t="s">
        <v>3065</v>
      </c>
      <c r="G71"/>
      <c r="H71"/>
      <c r="I71" s="19">
        <f>-IFERROR(VLOOKUP(C71,SIRCUPA!$A$21:$H$221,8,0),0)</f>
        <v>0</v>
      </c>
      <c r="J71" s="86">
        <f>-IFERROR(VLOOKUP(C71,SIRTAC!$A$16:$H$1458,8,0),0)</f>
        <v>-48</v>
      </c>
      <c r="K71" s="86">
        <f>-IFERROR(VLOOKUP(C71,Gastos!$A$9:$J$1451,10,0),0)</f>
        <v>-46.56</v>
      </c>
      <c r="L71" s="86">
        <f>-IFERROR(VLOOKUP(C71,IDC!$A$20:$H$1763,8,0),0)</f>
        <v>-28.8</v>
      </c>
      <c r="M71" s="95">
        <f t="shared" si="5"/>
        <v>4800.0000000000009</v>
      </c>
      <c r="O71" s="1"/>
    </row>
    <row r="72" spans="1:15" hidden="1">
      <c r="A72" s="1" t="s">
        <v>41</v>
      </c>
      <c r="B72" s="1" t="s">
        <v>15</v>
      </c>
      <c r="C72" s="71">
        <v>128415782272</v>
      </c>
      <c r="D72" s="3">
        <v>3897.2</v>
      </c>
      <c r="E72" s="3">
        <v>10689637.560000001</v>
      </c>
      <c r="F72" s="1" t="s">
        <v>3065</v>
      </c>
      <c r="G72"/>
      <c r="H72"/>
      <c r="I72" s="19">
        <f>-IFERROR(VLOOKUP(C72,SIRCUPA!$A$21:$H$221,8,0),0)</f>
        <v>0</v>
      </c>
      <c r="J72" s="86">
        <f>-IFERROR(VLOOKUP(C72,SIRTAC!$A$16:$H$1458,8,0),0)</f>
        <v>-40</v>
      </c>
      <c r="K72" s="86">
        <f>-IFERROR(VLOOKUP(C72,Gastos!$A$9:$J$1451,10,0),0)</f>
        <v>-38.799999999999997</v>
      </c>
      <c r="L72" s="86">
        <f>-IFERROR(VLOOKUP(C72,IDC!$A$20:$H$1763,8,0),0)</f>
        <v>-24</v>
      </c>
      <c r="M72" s="95">
        <f t="shared" si="5"/>
        <v>4000</v>
      </c>
      <c r="O72" s="1"/>
    </row>
    <row r="73" spans="1:15" hidden="1">
      <c r="A73" s="1" t="s">
        <v>41</v>
      </c>
      <c r="B73" s="1" t="s">
        <v>15</v>
      </c>
      <c r="C73" s="71">
        <v>127850379377</v>
      </c>
      <c r="D73" s="3">
        <v>11301.88</v>
      </c>
      <c r="E73" s="3">
        <v>10700939.439999999</v>
      </c>
      <c r="F73" s="1" t="s">
        <v>3065</v>
      </c>
      <c r="G73"/>
      <c r="H73"/>
      <c r="I73" s="19">
        <f>-IFERROR(VLOOKUP(C73,SIRCUPA!$A$21:$H$221,8,0),0)</f>
        <v>0</v>
      </c>
      <c r="J73" s="86">
        <f>-IFERROR(VLOOKUP(C73,SIRTAC!$A$16:$H$1458,8,0),0)</f>
        <v>-116</v>
      </c>
      <c r="K73" s="86">
        <f>-IFERROR(VLOOKUP(C73,Gastos!$A$9:$J$1451,10,0),0)</f>
        <v>-112.52</v>
      </c>
      <c r="L73" s="86">
        <f>-IFERROR(VLOOKUP(C73,IDC!$A$20:$H$1763,8,0),0)</f>
        <v>-69.599999999999994</v>
      </c>
      <c r="M73" s="95">
        <f t="shared" si="5"/>
        <v>11600</v>
      </c>
      <c r="O73" s="1"/>
    </row>
    <row r="74" spans="1:15" hidden="1">
      <c r="A74" s="1" t="s">
        <v>41</v>
      </c>
      <c r="B74" s="1" t="s">
        <v>15</v>
      </c>
      <c r="C74" s="71">
        <v>127850602909</v>
      </c>
      <c r="D74" s="3">
        <v>3897.2</v>
      </c>
      <c r="E74" s="3">
        <v>10704836.640000001</v>
      </c>
      <c r="F74" s="1" t="s">
        <v>3065</v>
      </c>
      <c r="G74"/>
      <c r="H74"/>
      <c r="I74" s="19">
        <f>-IFERROR(VLOOKUP(C74,SIRCUPA!$A$21:$H$221,8,0),0)</f>
        <v>0</v>
      </c>
      <c r="J74" s="86">
        <f>-IFERROR(VLOOKUP(C74,SIRTAC!$A$16:$H$1458,8,0),0)</f>
        <v>-40</v>
      </c>
      <c r="K74" s="86">
        <f>-IFERROR(VLOOKUP(C74,Gastos!$A$9:$J$1451,10,0),0)</f>
        <v>-38.799999999999997</v>
      </c>
      <c r="L74" s="86">
        <f>-IFERROR(VLOOKUP(C74,IDC!$A$20:$H$1763,8,0),0)</f>
        <v>-24</v>
      </c>
      <c r="M74" s="95">
        <f t="shared" si="5"/>
        <v>4000</v>
      </c>
      <c r="O74" s="1"/>
    </row>
    <row r="75" spans="1:15" hidden="1">
      <c r="A75" s="1" t="s">
        <v>41</v>
      </c>
      <c r="B75" s="1" t="s">
        <v>15</v>
      </c>
      <c r="C75" s="71">
        <v>127850717607</v>
      </c>
      <c r="D75" s="3">
        <v>11169.34</v>
      </c>
      <c r="E75" s="3">
        <v>10716005.98</v>
      </c>
      <c r="F75" s="1" t="s">
        <v>3065</v>
      </c>
      <c r="G75"/>
      <c r="H75"/>
      <c r="I75" s="19">
        <f>-IFERROR(VLOOKUP(C75,SIRCUPA!$A$21:$H$221,8,0),0)</f>
        <v>0</v>
      </c>
      <c r="J75" s="86">
        <f>-IFERROR(VLOOKUP(C75,SIRTAC!$A$16:$H$1458,8,0),0)</f>
        <v>-119</v>
      </c>
      <c r="K75" s="86">
        <f>-IFERROR(VLOOKUP(C75,Gastos!$A$9:$J$1451,10,0),0)</f>
        <v>-540.26</v>
      </c>
      <c r="L75" s="86">
        <f>-IFERROR(VLOOKUP(C75,IDC!$A$20:$H$1763,8,0),0)</f>
        <v>-71.400000000000006</v>
      </c>
      <c r="M75" s="95">
        <f t="shared" si="5"/>
        <v>11900</v>
      </c>
      <c r="O75" s="1"/>
    </row>
    <row r="76" spans="1:15" hidden="1">
      <c r="A76" s="1" t="s">
        <v>41</v>
      </c>
      <c r="B76" s="1" t="s">
        <v>15</v>
      </c>
      <c r="C76" s="71">
        <v>128416983560</v>
      </c>
      <c r="D76" s="3">
        <v>7404.68</v>
      </c>
      <c r="E76" s="3">
        <v>10723410.66</v>
      </c>
      <c r="F76" s="1" t="s">
        <v>3065</v>
      </c>
      <c r="G76"/>
      <c r="H76"/>
      <c r="I76" s="19">
        <f>-IFERROR(VLOOKUP(C76,SIRCUPA!$A$21:$H$221,8,0),0)</f>
        <v>0</v>
      </c>
      <c r="J76" s="86">
        <f>-IFERROR(VLOOKUP(C76,SIRTAC!$A$16:$H$1458,8,0),0)</f>
        <v>-76</v>
      </c>
      <c r="K76" s="86">
        <f>-IFERROR(VLOOKUP(C76,Gastos!$A$9:$J$1451,10,0),0)</f>
        <v>-73.72</v>
      </c>
      <c r="L76" s="86">
        <f>-IFERROR(VLOOKUP(C76,IDC!$A$20:$H$1763,8,0),0)</f>
        <v>-45.6</v>
      </c>
      <c r="M76" s="95">
        <f t="shared" ref="M76:M107" si="6">+D76-I76-J76-K76-L76</f>
        <v>7600.0000000000009</v>
      </c>
      <c r="O76" s="1"/>
    </row>
    <row r="77" spans="1:15" hidden="1">
      <c r="A77" s="1" t="s">
        <v>41</v>
      </c>
      <c r="B77" s="1" t="s">
        <v>15</v>
      </c>
      <c r="C77" s="71">
        <v>128417090472</v>
      </c>
      <c r="D77" s="3">
        <v>33955.46</v>
      </c>
      <c r="E77" s="3">
        <v>10757366.119999999</v>
      </c>
      <c r="F77" s="1" t="s">
        <v>3065</v>
      </c>
      <c r="G77"/>
      <c r="H77"/>
      <c r="I77" s="19">
        <f>-IFERROR(VLOOKUP(C77,SIRCUPA!$A$21:$H$221,8,0),0)</f>
        <v>0</v>
      </c>
      <c r="J77" s="86">
        <f>-IFERROR(VLOOKUP(C77,SIRTAC!$A$16:$H$1458,8,0),0)</f>
        <v>-374</v>
      </c>
      <c r="K77" s="86">
        <f>-IFERROR(VLOOKUP(C77,Gastos!$A$9:$J$1451,10,0),0)</f>
        <v>-2846.14</v>
      </c>
      <c r="L77" s="86">
        <f>-IFERROR(VLOOKUP(C77,IDC!$A$20:$H$1763,8,0),0)</f>
        <v>-224.4</v>
      </c>
      <c r="M77" s="95">
        <f t="shared" si="6"/>
        <v>37400</v>
      </c>
      <c r="O77" s="1"/>
    </row>
    <row r="78" spans="1:15" hidden="1">
      <c r="A78" s="1" t="s">
        <v>41</v>
      </c>
      <c r="B78" s="1" t="s">
        <v>97</v>
      </c>
      <c r="C78" s="71">
        <v>128417023642</v>
      </c>
      <c r="D78" s="3">
        <v>3661.46</v>
      </c>
      <c r="E78" s="3">
        <v>10761027.58</v>
      </c>
      <c r="F78" s="1" t="s">
        <v>3065</v>
      </c>
      <c r="G78"/>
      <c r="H78"/>
      <c r="I78" s="19">
        <f>-IFERROR(VLOOKUP(C78,SIRCUPA!$A$21:$H$221,8,0),0)</f>
        <v>-56.1</v>
      </c>
      <c r="J78" s="86">
        <f>-IFERROR(VLOOKUP(C78,SIRTAC!$A$16:$H$1458,8,0),0)</f>
        <v>0</v>
      </c>
      <c r="K78" s="86">
        <f>-IFERROR(VLOOKUP(C78,Gastos!$A$9:$J$1451,10,0),0)</f>
        <v>0</v>
      </c>
      <c r="L78" s="86">
        <f>-IFERROR(VLOOKUP(C78,IDC!$A$20:$H$1763,8,0),0)</f>
        <v>-22.44</v>
      </c>
      <c r="M78" s="95">
        <f t="shared" si="6"/>
        <v>3740</v>
      </c>
      <c r="O78" s="1"/>
    </row>
    <row r="79" spans="1:15" hidden="1">
      <c r="A79" s="1" t="s">
        <v>41</v>
      </c>
      <c r="B79" s="1" t="s">
        <v>15</v>
      </c>
      <c r="C79" s="71">
        <v>128417478168</v>
      </c>
      <c r="D79" s="3">
        <v>4384.3500000000004</v>
      </c>
      <c r="E79" s="3">
        <v>10765411.93</v>
      </c>
      <c r="F79" s="1" t="s">
        <v>3065</v>
      </c>
      <c r="G79"/>
      <c r="H79"/>
      <c r="I79" s="19">
        <f>-IFERROR(VLOOKUP(C79,SIRCUPA!$A$21:$H$221,8,0),0)</f>
        <v>0</v>
      </c>
      <c r="J79" s="86">
        <f>-IFERROR(VLOOKUP(C79,SIRTAC!$A$16:$H$1458,8,0),0)</f>
        <v>-45</v>
      </c>
      <c r="K79" s="86">
        <f>-IFERROR(VLOOKUP(C79,Gastos!$A$9:$J$1451,10,0),0)</f>
        <v>-43.65</v>
      </c>
      <c r="L79" s="86">
        <f>-IFERROR(VLOOKUP(C79,IDC!$A$20:$H$1763,8,0),0)</f>
        <v>-27</v>
      </c>
      <c r="M79" s="95">
        <f t="shared" si="6"/>
        <v>4500</v>
      </c>
      <c r="O79" s="1"/>
    </row>
    <row r="80" spans="1:15" hidden="1">
      <c r="A80" s="1" t="s">
        <v>41</v>
      </c>
      <c r="B80" s="1" t="s">
        <v>15</v>
      </c>
      <c r="C80" s="71">
        <v>127851297553</v>
      </c>
      <c r="D80" s="3">
        <v>3967.74</v>
      </c>
      <c r="E80" s="3">
        <v>10769379.67</v>
      </c>
      <c r="F80" s="1" t="s">
        <v>3065</v>
      </c>
      <c r="G80"/>
      <c r="H80"/>
      <c r="I80" s="19">
        <f>-IFERROR(VLOOKUP(C80,SIRCUPA!$A$21:$H$221,8,0),0)</f>
        <v>0</v>
      </c>
      <c r="J80" s="86">
        <f>-IFERROR(VLOOKUP(C80,SIRTAC!$A$16:$H$1458,8,0),0)</f>
        <v>-42</v>
      </c>
      <c r="K80" s="86">
        <f>-IFERROR(VLOOKUP(C80,Gastos!$A$9:$J$1451,10,0),0)</f>
        <v>-165.06</v>
      </c>
      <c r="L80" s="86">
        <f>-IFERROR(VLOOKUP(C80,IDC!$A$20:$H$1763,8,0),0)</f>
        <v>-25.2</v>
      </c>
      <c r="M80" s="95">
        <f t="shared" si="6"/>
        <v>4200</v>
      </c>
      <c r="O80" s="1"/>
    </row>
    <row r="81" spans="1:15" hidden="1">
      <c r="A81" s="1" t="s">
        <v>41</v>
      </c>
      <c r="B81" s="1" t="s">
        <v>15</v>
      </c>
      <c r="C81" s="71">
        <v>127851529137</v>
      </c>
      <c r="D81" s="3">
        <v>9743</v>
      </c>
      <c r="E81" s="3">
        <v>10779122.67</v>
      </c>
      <c r="F81" s="1" t="s">
        <v>3065</v>
      </c>
      <c r="G81"/>
      <c r="H81"/>
      <c r="I81" s="19">
        <f>-IFERROR(VLOOKUP(C81,SIRCUPA!$A$21:$H$221,8,0),0)</f>
        <v>0</v>
      </c>
      <c r="J81" s="86">
        <f>-IFERROR(VLOOKUP(C81,SIRTAC!$A$16:$H$1458,8,0),0)</f>
        <v>-100</v>
      </c>
      <c r="K81" s="86">
        <f>-IFERROR(VLOOKUP(C81,Gastos!$A$9:$J$1451,10,0),0)</f>
        <v>-97</v>
      </c>
      <c r="L81" s="86">
        <f>-IFERROR(VLOOKUP(C81,IDC!$A$20:$H$1763,8,0),0)</f>
        <v>-60</v>
      </c>
      <c r="M81" s="95">
        <f t="shared" si="6"/>
        <v>10000</v>
      </c>
      <c r="O81" s="1"/>
    </row>
    <row r="82" spans="1:15" hidden="1">
      <c r="A82" s="1" t="s">
        <v>41</v>
      </c>
      <c r="B82" s="1" t="s">
        <v>15</v>
      </c>
      <c r="C82" s="71">
        <v>127852042311</v>
      </c>
      <c r="D82" s="3">
        <v>2338.3200000000002</v>
      </c>
      <c r="E82" s="3">
        <v>10781460.99</v>
      </c>
      <c r="F82" s="1" t="s">
        <v>3065</v>
      </c>
      <c r="G82"/>
      <c r="H82"/>
      <c r="I82" s="19">
        <f>-IFERROR(VLOOKUP(C82,SIRCUPA!$A$21:$H$221,8,0),0)</f>
        <v>0</v>
      </c>
      <c r="J82" s="86">
        <f>-IFERROR(VLOOKUP(C82,SIRTAC!$A$16:$H$1458,8,0),0)</f>
        <v>-24</v>
      </c>
      <c r="K82" s="86">
        <f>-IFERROR(VLOOKUP(C82,Gastos!$A$9:$J$1451,10,0),0)</f>
        <v>-23.28</v>
      </c>
      <c r="L82" s="86">
        <f>-IFERROR(VLOOKUP(C82,IDC!$A$20:$H$1763,8,0),0)</f>
        <v>-14.4</v>
      </c>
      <c r="M82" s="95">
        <f t="shared" si="6"/>
        <v>2400.0000000000005</v>
      </c>
      <c r="O82" s="1"/>
    </row>
    <row r="83" spans="1:15" hidden="1">
      <c r="A83" s="1" t="s">
        <v>41</v>
      </c>
      <c r="B83" s="1" t="s">
        <v>15</v>
      </c>
      <c r="C83" s="71">
        <v>127852662327</v>
      </c>
      <c r="D83" s="3">
        <v>29911.01</v>
      </c>
      <c r="E83" s="3">
        <v>10811372</v>
      </c>
      <c r="F83" s="1" t="s">
        <v>3065</v>
      </c>
      <c r="G83"/>
      <c r="H83"/>
      <c r="I83" s="19">
        <f>-IFERROR(VLOOKUP(C83,SIRCUPA!$A$21:$H$221,8,0),0)</f>
        <v>0</v>
      </c>
      <c r="J83" s="86">
        <f>-IFERROR(VLOOKUP(C83,SIRTAC!$A$16:$H$1458,8,0),0)</f>
        <v>-307</v>
      </c>
      <c r="K83" s="86">
        <f>-IFERROR(VLOOKUP(C83,Gastos!$A$9:$J$1451,10,0),0)</f>
        <v>-297.79000000000002</v>
      </c>
      <c r="L83" s="86">
        <f>-IFERROR(VLOOKUP(C83,IDC!$A$20:$H$1763,8,0),0)</f>
        <v>-184.2</v>
      </c>
      <c r="M83" s="95">
        <f t="shared" si="6"/>
        <v>30700</v>
      </c>
      <c r="O83" s="1"/>
    </row>
    <row r="84" spans="1:15" hidden="1">
      <c r="A84" s="1" t="s">
        <v>41</v>
      </c>
      <c r="B84" s="1" t="s">
        <v>15</v>
      </c>
      <c r="C84" s="71">
        <v>128418794938</v>
      </c>
      <c r="D84" s="3">
        <v>3897.2</v>
      </c>
      <c r="E84" s="3">
        <v>10815269.199999999</v>
      </c>
      <c r="F84" s="1" t="s">
        <v>3065</v>
      </c>
      <c r="G84"/>
      <c r="H84"/>
      <c r="I84" s="19">
        <f>-IFERROR(VLOOKUP(C84,SIRCUPA!$A$21:$H$221,8,0),0)</f>
        <v>0</v>
      </c>
      <c r="J84" s="86">
        <f>-IFERROR(VLOOKUP(C84,SIRTAC!$A$16:$H$1458,8,0),0)</f>
        <v>-40</v>
      </c>
      <c r="K84" s="86">
        <f>-IFERROR(VLOOKUP(C84,Gastos!$A$9:$J$1451,10,0),0)</f>
        <v>-38.799999999999997</v>
      </c>
      <c r="L84" s="86">
        <f>-IFERROR(VLOOKUP(C84,IDC!$A$20:$H$1763,8,0),0)</f>
        <v>-24</v>
      </c>
      <c r="M84" s="95">
        <f t="shared" si="6"/>
        <v>4000</v>
      </c>
      <c r="O84" s="1"/>
    </row>
    <row r="85" spans="1:15" hidden="1">
      <c r="A85" s="1" t="s">
        <v>41</v>
      </c>
      <c r="B85" s="1" t="s">
        <v>15</v>
      </c>
      <c r="C85" s="71">
        <v>127852972373</v>
      </c>
      <c r="D85" s="3">
        <v>4676.6400000000003</v>
      </c>
      <c r="E85" s="3">
        <v>10819945.84</v>
      </c>
      <c r="F85" s="1" t="s">
        <v>3065</v>
      </c>
      <c r="G85"/>
      <c r="H85"/>
      <c r="I85" s="19">
        <f>-IFERROR(VLOOKUP(C85,SIRCUPA!$A$21:$H$221,8,0),0)</f>
        <v>0</v>
      </c>
      <c r="J85" s="86">
        <f>-IFERROR(VLOOKUP(C85,SIRTAC!$A$16:$H$1458,8,0),0)</f>
        <v>-48</v>
      </c>
      <c r="K85" s="86">
        <f>-IFERROR(VLOOKUP(C85,Gastos!$A$9:$J$1451,10,0),0)</f>
        <v>-46.56</v>
      </c>
      <c r="L85" s="86">
        <f>-IFERROR(VLOOKUP(C85,IDC!$A$20:$H$1763,8,0),0)</f>
        <v>-28.8</v>
      </c>
      <c r="M85" s="95">
        <f t="shared" si="6"/>
        <v>4800.0000000000009</v>
      </c>
      <c r="O85" s="1"/>
    </row>
    <row r="86" spans="1:15" hidden="1">
      <c r="A86" s="1" t="s">
        <v>41</v>
      </c>
      <c r="B86" s="1" t="s">
        <v>15</v>
      </c>
      <c r="C86" s="71">
        <v>128419226662</v>
      </c>
      <c r="D86" s="3">
        <v>3967.74</v>
      </c>
      <c r="E86" s="3">
        <v>10823913.58</v>
      </c>
      <c r="F86" s="1" t="s">
        <v>3065</v>
      </c>
      <c r="G86"/>
      <c r="H86"/>
      <c r="I86" s="19">
        <f>-IFERROR(VLOOKUP(C86,SIRCUPA!$A$21:$H$221,8,0),0)</f>
        <v>0</v>
      </c>
      <c r="J86" s="86">
        <f>-IFERROR(VLOOKUP(C86,SIRTAC!$A$16:$H$1458,8,0),0)</f>
        <v>-42</v>
      </c>
      <c r="K86" s="86">
        <f>-IFERROR(VLOOKUP(C86,Gastos!$A$9:$J$1451,10,0),0)</f>
        <v>-165.06</v>
      </c>
      <c r="L86" s="86">
        <f>-IFERROR(VLOOKUP(C86,IDC!$A$20:$H$1763,8,0),0)</f>
        <v>-25.2</v>
      </c>
      <c r="M86" s="95">
        <f t="shared" si="6"/>
        <v>4200</v>
      </c>
      <c r="O86" s="1"/>
    </row>
    <row r="87" spans="1:15" hidden="1">
      <c r="A87" s="1" t="s">
        <v>41</v>
      </c>
      <c r="B87" s="1" t="s">
        <v>15</v>
      </c>
      <c r="C87" s="71">
        <v>128419350310</v>
      </c>
      <c r="D87" s="3">
        <v>93825.09</v>
      </c>
      <c r="E87" s="3">
        <v>10917738.67</v>
      </c>
      <c r="F87" s="1" t="s">
        <v>3065</v>
      </c>
      <c r="G87"/>
      <c r="H87"/>
      <c r="I87" s="19">
        <f>-IFERROR(VLOOKUP(C87,SIRCUPA!$A$21:$H$221,8,0),0)</f>
        <v>0</v>
      </c>
      <c r="J87" s="86">
        <f>-IFERROR(VLOOKUP(C87,SIRTAC!$A$16:$H$1458,8,0),0)</f>
        <v>-963</v>
      </c>
      <c r="K87" s="86">
        <f>-IFERROR(VLOOKUP(C87,Gastos!$A$9:$J$1451,10,0),0)</f>
        <v>-934.11</v>
      </c>
      <c r="L87" s="86">
        <f>-IFERROR(VLOOKUP(C87,IDC!$A$20:$H$1763,8,0),0)</f>
        <v>-577.79999999999995</v>
      </c>
      <c r="M87" s="95">
        <f t="shared" si="6"/>
        <v>96300</v>
      </c>
      <c r="O87" s="1"/>
    </row>
    <row r="88" spans="1:15" hidden="1">
      <c r="A88" s="1" t="s">
        <v>41</v>
      </c>
      <c r="B88" s="1" t="s">
        <v>15</v>
      </c>
      <c r="C88" s="71">
        <v>128419431770</v>
      </c>
      <c r="D88" s="3">
        <v>23772.92</v>
      </c>
      <c r="E88" s="3">
        <v>10941511.59</v>
      </c>
      <c r="F88" s="1" t="s">
        <v>3065</v>
      </c>
      <c r="G88"/>
      <c r="H88"/>
      <c r="I88" s="19">
        <f>-IFERROR(VLOOKUP(C88,SIRCUPA!$A$21:$H$221,8,0),0)</f>
        <v>0</v>
      </c>
      <c r="J88" s="86">
        <f>-IFERROR(VLOOKUP(C88,SIRTAC!$A$16:$H$1458,8,0),0)</f>
        <v>-244</v>
      </c>
      <c r="K88" s="86">
        <f>-IFERROR(VLOOKUP(C88,Gastos!$A$9:$J$1451,10,0),0)</f>
        <v>-236.68</v>
      </c>
      <c r="L88" s="86">
        <f>-IFERROR(VLOOKUP(C88,IDC!$A$20:$H$1763,8,0),0)</f>
        <v>-146.4</v>
      </c>
      <c r="M88" s="95">
        <f t="shared" si="6"/>
        <v>24400</v>
      </c>
      <c r="O88" s="1"/>
    </row>
    <row r="89" spans="1:15" hidden="1">
      <c r="A89" s="1" t="s">
        <v>41</v>
      </c>
      <c r="B89" s="1" t="s">
        <v>15</v>
      </c>
      <c r="C89" s="71">
        <v>128419732970</v>
      </c>
      <c r="D89" s="3">
        <v>4676.6400000000003</v>
      </c>
      <c r="E89" s="3">
        <v>10946188.23</v>
      </c>
      <c r="F89" s="1" t="s">
        <v>3065</v>
      </c>
      <c r="G89"/>
      <c r="H89"/>
      <c r="I89" s="19">
        <f>-IFERROR(VLOOKUP(C89,SIRCUPA!$A$21:$H$221,8,0),0)</f>
        <v>0</v>
      </c>
      <c r="J89" s="86">
        <f>-IFERROR(VLOOKUP(C89,SIRTAC!$A$16:$H$1458,8,0),0)</f>
        <v>-48</v>
      </c>
      <c r="K89" s="86">
        <f>-IFERROR(VLOOKUP(C89,Gastos!$A$9:$J$1451,10,0),0)</f>
        <v>-46.56</v>
      </c>
      <c r="L89" s="86">
        <f>-IFERROR(VLOOKUP(C89,IDC!$A$20:$H$1763,8,0),0)</f>
        <v>-28.8</v>
      </c>
      <c r="M89" s="95">
        <f t="shared" si="6"/>
        <v>4800.0000000000009</v>
      </c>
      <c r="O89" s="1"/>
    </row>
    <row r="90" spans="1:15" hidden="1">
      <c r="A90" s="1" t="s">
        <v>41</v>
      </c>
      <c r="B90" s="1" t="s">
        <v>15</v>
      </c>
      <c r="C90" s="71">
        <v>127853704713</v>
      </c>
      <c r="D90" s="3">
        <v>9743</v>
      </c>
      <c r="E90" s="3">
        <v>10955931.23</v>
      </c>
      <c r="F90" s="1" t="s">
        <v>3065</v>
      </c>
      <c r="G90"/>
      <c r="H90"/>
      <c r="I90" s="19">
        <f>-IFERROR(VLOOKUP(C90,SIRCUPA!$A$21:$H$221,8,0),0)</f>
        <v>0</v>
      </c>
      <c r="J90" s="86">
        <f>-IFERROR(VLOOKUP(C90,SIRTAC!$A$16:$H$1458,8,0),0)</f>
        <v>-100</v>
      </c>
      <c r="K90" s="86">
        <f>-IFERROR(VLOOKUP(C90,Gastos!$A$9:$J$1451,10,0),0)</f>
        <v>-97</v>
      </c>
      <c r="L90" s="86">
        <f>-IFERROR(VLOOKUP(C90,IDC!$A$20:$H$1763,8,0),0)</f>
        <v>-60</v>
      </c>
      <c r="M90" s="95">
        <f t="shared" si="6"/>
        <v>10000</v>
      </c>
      <c r="O90" s="1"/>
    </row>
    <row r="91" spans="1:15" hidden="1">
      <c r="A91" s="1" t="s">
        <v>41</v>
      </c>
      <c r="B91" s="1" t="s">
        <v>111</v>
      </c>
      <c r="C91" s="71">
        <v>127853669293</v>
      </c>
      <c r="D91" s="2">
        <v>489.5</v>
      </c>
      <c r="E91" s="3">
        <v>10956420.73</v>
      </c>
      <c r="F91" s="1" t="s">
        <v>3065</v>
      </c>
      <c r="G91"/>
      <c r="H91"/>
      <c r="I91" s="19">
        <f>-IFERROR(VLOOKUP(C91,SIRCUPA!$A$21:$H$221,8,0),0)</f>
        <v>-7.5</v>
      </c>
      <c r="J91" s="86">
        <f>-IFERROR(VLOOKUP(C91,SIRTAC!$A$16:$H$1458,8,0),0)</f>
        <v>0</v>
      </c>
      <c r="K91" s="86">
        <f>-IFERROR(VLOOKUP(C91,Gastos!$A$9:$J$1451,10,0),0)</f>
        <v>0</v>
      </c>
      <c r="L91" s="86">
        <f>-IFERROR(VLOOKUP(C91,IDC!$A$20:$H$1763,8,0),0)</f>
        <v>-3</v>
      </c>
      <c r="M91" s="95">
        <f t="shared" si="6"/>
        <v>500</v>
      </c>
      <c r="O91" s="1"/>
    </row>
    <row r="92" spans="1:15" hidden="1">
      <c r="A92" s="1" t="s">
        <v>41</v>
      </c>
      <c r="B92" s="1" t="s">
        <v>15</v>
      </c>
      <c r="C92" s="71">
        <v>127853815447</v>
      </c>
      <c r="D92" s="3">
        <v>18121.98</v>
      </c>
      <c r="E92" s="3">
        <v>10974542.710000001</v>
      </c>
      <c r="F92" s="1" t="s">
        <v>3065</v>
      </c>
      <c r="G92"/>
      <c r="H92"/>
      <c r="I92" s="19">
        <f>-IFERROR(VLOOKUP(C92,SIRCUPA!$A$21:$H$221,8,0),0)</f>
        <v>0</v>
      </c>
      <c r="J92" s="86">
        <f>-IFERROR(VLOOKUP(C92,SIRTAC!$A$16:$H$1458,8,0),0)</f>
        <v>-186</v>
      </c>
      <c r="K92" s="86">
        <f>-IFERROR(VLOOKUP(C92,Gastos!$A$9:$J$1451,10,0),0)</f>
        <v>-180.42</v>
      </c>
      <c r="L92" s="86">
        <f>-IFERROR(VLOOKUP(C92,IDC!$A$20:$H$1763,8,0),0)</f>
        <v>-111.6</v>
      </c>
      <c r="M92" s="95">
        <f t="shared" si="6"/>
        <v>18599.999999999996</v>
      </c>
      <c r="O92" s="1"/>
    </row>
    <row r="93" spans="1:15" hidden="1">
      <c r="A93" s="1" t="s">
        <v>41</v>
      </c>
      <c r="B93" s="1" t="s">
        <v>15</v>
      </c>
      <c r="C93" s="71">
        <v>128420232980</v>
      </c>
      <c r="D93" s="3">
        <v>41661.269999999997</v>
      </c>
      <c r="E93" s="3">
        <v>11016203.98</v>
      </c>
      <c r="F93" s="1" t="s">
        <v>3065</v>
      </c>
      <c r="G93"/>
      <c r="H93"/>
      <c r="I93" s="19">
        <f>-IFERROR(VLOOKUP(C93,SIRCUPA!$A$21:$H$221,8,0),0)</f>
        <v>0</v>
      </c>
      <c r="J93" s="86">
        <f>-IFERROR(VLOOKUP(C93,SIRTAC!$A$16:$H$1458,8,0),0)</f>
        <v>-441</v>
      </c>
      <c r="K93" s="86">
        <f>-IFERROR(VLOOKUP(C93,Gastos!$A$9:$J$1451,10,0),0)</f>
        <v>-1733.13</v>
      </c>
      <c r="L93" s="86">
        <f>-IFERROR(VLOOKUP(C93,IDC!$A$20:$H$1763,8,0),0)</f>
        <v>-264.60000000000002</v>
      </c>
      <c r="M93" s="95">
        <f t="shared" si="6"/>
        <v>44099.999999999993</v>
      </c>
      <c r="O93" s="1"/>
    </row>
    <row r="94" spans="1:15" hidden="1">
      <c r="A94" s="1" t="s">
        <v>41</v>
      </c>
      <c r="B94" s="1" t="s">
        <v>15</v>
      </c>
      <c r="C94" s="71">
        <v>127854076319</v>
      </c>
      <c r="D94" s="3">
        <v>6138.09</v>
      </c>
      <c r="E94" s="3">
        <v>11022342.07</v>
      </c>
      <c r="F94" s="1" t="s">
        <v>3065</v>
      </c>
      <c r="G94"/>
      <c r="H94"/>
      <c r="I94" s="19">
        <f>-IFERROR(VLOOKUP(C94,SIRCUPA!$A$21:$H$221,8,0),0)</f>
        <v>0</v>
      </c>
      <c r="J94" s="86">
        <f>-IFERROR(VLOOKUP(C94,SIRTAC!$A$16:$H$1458,8,0),0)</f>
        <v>-63</v>
      </c>
      <c r="K94" s="86">
        <f>-IFERROR(VLOOKUP(C94,Gastos!$A$9:$J$1451,10,0),0)</f>
        <v>-61.11</v>
      </c>
      <c r="L94" s="86">
        <f>-IFERROR(VLOOKUP(C94,IDC!$A$20:$H$1763,8,0),0)</f>
        <v>-37.799999999999997</v>
      </c>
      <c r="M94" s="95">
        <f t="shared" si="6"/>
        <v>6300</v>
      </c>
      <c r="O94" s="1"/>
    </row>
    <row r="95" spans="1:15" hidden="1">
      <c r="A95" s="1" t="s">
        <v>41</v>
      </c>
      <c r="B95" s="1" t="s">
        <v>15</v>
      </c>
      <c r="C95" s="71">
        <v>128420407042</v>
      </c>
      <c r="D95" s="3">
        <v>210340.26</v>
      </c>
      <c r="E95" s="3">
        <v>11232682.33</v>
      </c>
      <c r="F95" s="1" t="s">
        <v>3065</v>
      </c>
      <c r="G95"/>
      <c r="H95"/>
      <c r="I95" s="19">
        <f>-IFERROR(VLOOKUP(C95,SIRCUPA!$A$21:$H$221,8,0),0)</f>
        <v>0</v>
      </c>
      <c r="J95" s="86">
        <f>-IFERROR(VLOOKUP(C95,SIRTAC!$A$16:$H$1458,8,0),0)</f>
        <v>-2241</v>
      </c>
      <c r="K95" s="86">
        <f>-IFERROR(VLOOKUP(C95,Gastos!$A$9:$J$1451,10,0),0)</f>
        <v>-10174.14</v>
      </c>
      <c r="L95" s="86">
        <f>-IFERROR(VLOOKUP(C95,IDC!$A$20:$H$1763,8,0),0)</f>
        <v>-1344.6</v>
      </c>
      <c r="M95" s="95">
        <f t="shared" si="6"/>
        <v>224100.00000000003</v>
      </c>
      <c r="O95" s="1"/>
    </row>
    <row r="96" spans="1:15" hidden="1">
      <c r="A96" s="1" t="s">
        <v>41</v>
      </c>
      <c r="B96" s="1" t="s">
        <v>15</v>
      </c>
      <c r="C96" s="71">
        <v>127854278121</v>
      </c>
      <c r="D96" s="3">
        <v>6138.09</v>
      </c>
      <c r="E96" s="3">
        <v>11238820.42</v>
      </c>
      <c r="F96" s="1" t="s">
        <v>3065</v>
      </c>
      <c r="G96"/>
      <c r="H96"/>
      <c r="I96" s="19">
        <f>-IFERROR(VLOOKUP(C96,SIRCUPA!$A$21:$H$221,8,0),0)</f>
        <v>0</v>
      </c>
      <c r="J96" s="86">
        <f>-IFERROR(VLOOKUP(C96,SIRTAC!$A$16:$H$1458,8,0),0)</f>
        <v>-63</v>
      </c>
      <c r="K96" s="86">
        <f>-IFERROR(VLOOKUP(C96,Gastos!$A$9:$J$1451,10,0),0)</f>
        <v>-61.11</v>
      </c>
      <c r="L96" s="86">
        <f>-IFERROR(VLOOKUP(C96,IDC!$A$20:$H$1763,8,0),0)</f>
        <v>-37.799999999999997</v>
      </c>
      <c r="M96" s="95">
        <f t="shared" si="6"/>
        <v>6300</v>
      </c>
      <c r="O96" s="1"/>
    </row>
    <row r="97" spans="1:15" hidden="1">
      <c r="A97" s="1" t="s">
        <v>41</v>
      </c>
      <c r="B97" s="1" t="s">
        <v>15</v>
      </c>
      <c r="C97" s="71">
        <v>128420454022</v>
      </c>
      <c r="D97" s="3">
        <v>9743</v>
      </c>
      <c r="E97" s="3">
        <v>11248563.42</v>
      </c>
      <c r="F97" s="1" t="s">
        <v>3065</v>
      </c>
      <c r="G97"/>
      <c r="H97"/>
      <c r="I97" s="19">
        <f>-IFERROR(VLOOKUP(C97,SIRCUPA!$A$21:$H$221,8,0),0)</f>
        <v>0</v>
      </c>
      <c r="J97" s="86">
        <f>-IFERROR(VLOOKUP(C97,SIRTAC!$A$16:$H$1458,8,0),0)</f>
        <v>-100</v>
      </c>
      <c r="K97" s="86">
        <f>-IFERROR(VLOOKUP(C97,Gastos!$A$9:$J$1451,10,0),0)</f>
        <v>-97</v>
      </c>
      <c r="L97" s="86">
        <f>-IFERROR(VLOOKUP(C97,IDC!$A$20:$H$1763,8,0),0)</f>
        <v>-60</v>
      </c>
      <c r="M97" s="95">
        <f t="shared" si="6"/>
        <v>10000</v>
      </c>
      <c r="O97" s="1"/>
    </row>
    <row r="98" spans="1:15" hidden="1">
      <c r="A98" s="1" t="s">
        <v>41</v>
      </c>
      <c r="B98" s="1" t="s">
        <v>15</v>
      </c>
      <c r="C98" s="71">
        <v>127854437157</v>
      </c>
      <c r="D98" s="3">
        <v>46376.68</v>
      </c>
      <c r="E98" s="3">
        <v>11294940.1</v>
      </c>
      <c r="F98" s="1" t="s">
        <v>3065</v>
      </c>
      <c r="G98"/>
      <c r="H98"/>
      <c r="I98" s="19">
        <f>-IFERROR(VLOOKUP(C98,SIRCUPA!$A$21:$H$221,8,0),0)</f>
        <v>0</v>
      </c>
      <c r="J98" s="86">
        <f>-IFERROR(VLOOKUP(C98,SIRTAC!$A$16:$H$1458,8,0),0)</f>
        <v>-476</v>
      </c>
      <c r="K98" s="86">
        <f>-IFERROR(VLOOKUP(C98,Gastos!$A$9:$J$1451,10,0),0)</f>
        <v>-461.72</v>
      </c>
      <c r="L98" s="86">
        <f>-IFERROR(VLOOKUP(C98,IDC!$A$20:$H$1763,8,0),0)</f>
        <v>-285.60000000000002</v>
      </c>
      <c r="M98" s="95">
        <f t="shared" si="6"/>
        <v>47600</v>
      </c>
      <c r="O98" s="1"/>
    </row>
    <row r="99" spans="1:15" hidden="1">
      <c r="A99" s="1" t="s">
        <v>41</v>
      </c>
      <c r="B99" s="1" t="s">
        <v>15</v>
      </c>
      <c r="C99" s="71">
        <v>128420793726</v>
      </c>
      <c r="D99" s="3">
        <v>7112.39</v>
      </c>
      <c r="E99" s="3">
        <v>11302052.49</v>
      </c>
      <c r="F99" s="1" t="s">
        <v>3065</v>
      </c>
      <c r="G99"/>
      <c r="H99"/>
      <c r="I99" s="19">
        <f>-IFERROR(VLOOKUP(C99,SIRCUPA!$A$21:$H$221,8,0),0)</f>
        <v>0</v>
      </c>
      <c r="J99" s="86">
        <f>-IFERROR(VLOOKUP(C99,SIRTAC!$A$16:$H$1458,8,0),0)</f>
        <v>-73</v>
      </c>
      <c r="K99" s="86">
        <f>-IFERROR(VLOOKUP(C99,Gastos!$A$9:$J$1451,10,0),0)</f>
        <v>-70.81</v>
      </c>
      <c r="L99" s="86">
        <f>-IFERROR(VLOOKUP(C99,IDC!$A$20:$H$1763,8,0),0)</f>
        <v>-43.8</v>
      </c>
      <c r="M99" s="95">
        <f t="shared" si="6"/>
        <v>7300.0000000000009</v>
      </c>
      <c r="O99" s="1"/>
    </row>
    <row r="100" spans="1:15" hidden="1">
      <c r="A100" s="1" t="s">
        <v>121</v>
      </c>
      <c r="B100" s="1" t="s">
        <v>15</v>
      </c>
      <c r="C100" s="71">
        <v>127854884711</v>
      </c>
      <c r="D100" s="3">
        <v>4871.5</v>
      </c>
      <c r="E100" s="3">
        <v>11306923.99</v>
      </c>
      <c r="F100" s="1" t="s">
        <v>3065</v>
      </c>
      <c r="G100"/>
      <c r="H100"/>
      <c r="I100" s="19">
        <f>-IFERROR(VLOOKUP(C100,SIRCUPA!$A$21:$H$221,8,0),0)</f>
        <v>0</v>
      </c>
      <c r="J100" s="86">
        <f>-IFERROR(VLOOKUP(C100,SIRTAC!$A$16:$H$1458,8,0),0)</f>
        <v>-50</v>
      </c>
      <c r="K100" s="86">
        <f>-IFERROR(VLOOKUP(C100,Gastos!$A$9:$J$1451,10,0),0)</f>
        <v>-48.5</v>
      </c>
      <c r="L100" s="86">
        <f>-IFERROR(VLOOKUP(C100,IDC!$A$20:$H$1763,8,0),0)</f>
        <v>-30</v>
      </c>
      <c r="M100" s="95">
        <f t="shared" si="6"/>
        <v>5000</v>
      </c>
      <c r="O100" s="1"/>
    </row>
    <row r="101" spans="1:15" hidden="1">
      <c r="A101" s="1" t="s">
        <v>121</v>
      </c>
      <c r="B101" s="1" t="s">
        <v>15</v>
      </c>
      <c r="C101" s="71">
        <v>127854922579</v>
      </c>
      <c r="D101" s="3">
        <v>29597.54</v>
      </c>
      <c r="E101" s="3">
        <v>11336521.529999999</v>
      </c>
      <c r="F101" s="1" t="s">
        <v>3065</v>
      </c>
      <c r="G101"/>
      <c r="H101"/>
      <c r="I101" s="19">
        <f>-IFERROR(VLOOKUP(C101,SIRCUPA!$A$21:$H$221,8,0),0)</f>
        <v>0</v>
      </c>
      <c r="J101" s="86">
        <f>-IFERROR(VLOOKUP(C101,SIRTAC!$A$16:$H$1458,8,0),0)</f>
        <v>-326</v>
      </c>
      <c r="K101" s="86">
        <f>-IFERROR(VLOOKUP(C101,Gastos!$A$9:$J$1451,10,0),0)</f>
        <v>-2480.86</v>
      </c>
      <c r="L101" s="86">
        <f>-IFERROR(VLOOKUP(C101,IDC!$A$20:$H$1763,8,0),0)</f>
        <v>-195.6</v>
      </c>
      <c r="M101" s="95">
        <f t="shared" si="6"/>
        <v>32600</v>
      </c>
      <c r="O101" s="1"/>
    </row>
    <row r="102" spans="1:15" hidden="1">
      <c r="A102" s="1" t="s">
        <v>121</v>
      </c>
      <c r="B102" s="1" t="s">
        <v>15</v>
      </c>
      <c r="C102" s="71">
        <v>127854974679</v>
      </c>
      <c r="D102" s="3">
        <v>18316.84</v>
      </c>
      <c r="E102" s="3">
        <v>11354838.369999999</v>
      </c>
      <c r="F102" s="1" t="s">
        <v>3065</v>
      </c>
      <c r="G102"/>
      <c r="H102"/>
      <c r="I102" s="19">
        <f>-IFERROR(VLOOKUP(C102,SIRCUPA!$A$21:$H$221,8,0),0)</f>
        <v>0</v>
      </c>
      <c r="J102" s="86">
        <f>-IFERROR(VLOOKUP(C102,SIRTAC!$A$16:$H$1458,8,0),0)</f>
        <v>-188</v>
      </c>
      <c r="K102" s="86">
        <f>-IFERROR(VLOOKUP(C102,Gastos!$A$9:$J$1451,10,0),0)</f>
        <v>-182.36</v>
      </c>
      <c r="L102" s="86">
        <f>-IFERROR(VLOOKUP(C102,IDC!$A$20:$H$1763,8,0),0)</f>
        <v>-112.8</v>
      </c>
      <c r="M102" s="95">
        <f t="shared" si="6"/>
        <v>18800</v>
      </c>
      <c r="O102" s="1"/>
    </row>
    <row r="103" spans="1:15" hidden="1">
      <c r="A103" s="1" t="s">
        <v>121</v>
      </c>
      <c r="B103" s="1" t="s">
        <v>15</v>
      </c>
      <c r="C103" s="71">
        <v>128421075828</v>
      </c>
      <c r="D103" s="3">
        <v>106718.82</v>
      </c>
      <c r="E103" s="3">
        <v>11461557.189999999</v>
      </c>
      <c r="F103" s="1" t="s">
        <v>3065</v>
      </c>
      <c r="G103"/>
      <c r="H103"/>
      <c r="I103" s="19">
        <f>-IFERROR(VLOOKUP(C103,SIRCUPA!$A$21:$H$221,8,0),0)</f>
        <v>0</v>
      </c>
      <c r="J103" s="86">
        <v>-1137</v>
      </c>
      <c r="K103" s="86">
        <f>-IFERROR(VLOOKUP(C103,Gastos!$A$9:$J$1451,10,0),0)</f>
        <v>-5161.9799999999996</v>
      </c>
      <c r="L103" s="86">
        <v>-682.2</v>
      </c>
      <c r="M103" s="95">
        <f t="shared" si="6"/>
        <v>113700</v>
      </c>
      <c r="O103" s="1"/>
    </row>
    <row r="104" spans="1:15" hidden="1">
      <c r="A104" s="1" t="s">
        <v>121</v>
      </c>
      <c r="B104" s="1" t="s">
        <v>15</v>
      </c>
      <c r="C104" s="71">
        <v>128421266626</v>
      </c>
      <c r="D104" s="3">
        <v>4189.49</v>
      </c>
      <c r="E104" s="3">
        <v>11465746.68</v>
      </c>
      <c r="F104" s="1" t="s">
        <v>3065</v>
      </c>
      <c r="G104"/>
      <c r="H104"/>
      <c r="I104" s="19">
        <f>-IFERROR(VLOOKUP(C104,SIRCUPA!$A$21:$H$221,8,0),0)</f>
        <v>0</v>
      </c>
      <c r="J104" s="86">
        <f>-IFERROR(VLOOKUP(C104,SIRTAC!$A$16:$H$1458,8,0),0)</f>
        <v>-43</v>
      </c>
      <c r="K104" s="86">
        <f>-IFERROR(VLOOKUP(C104,Gastos!$A$9:$J$1451,10,0),0)</f>
        <v>-41.71</v>
      </c>
      <c r="L104" s="86">
        <f>-IFERROR(VLOOKUP(C104,IDC!$A$20:$H$1763,8,0),0)</f>
        <v>-25.8</v>
      </c>
      <c r="M104" s="95">
        <f t="shared" si="6"/>
        <v>4300</v>
      </c>
      <c r="O104" s="1"/>
    </row>
    <row r="105" spans="1:15" hidden="1">
      <c r="A105" s="1" t="s">
        <v>121</v>
      </c>
      <c r="B105" s="1" t="s">
        <v>15</v>
      </c>
      <c r="C105" s="71">
        <v>128421434434</v>
      </c>
      <c r="D105" s="3">
        <v>9353.2800000000007</v>
      </c>
      <c r="E105" s="3">
        <v>11475099.960000001</v>
      </c>
      <c r="F105" s="1" t="s">
        <v>3065</v>
      </c>
      <c r="G105"/>
      <c r="H105"/>
      <c r="I105" s="19">
        <f>-IFERROR(VLOOKUP(C105,SIRCUPA!$A$21:$H$221,8,0),0)</f>
        <v>0</v>
      </c>
      <c r="J105" s="86">
        <f>-IFERROR(VLOOKUP(C105,SIRTAC!$A$16:$H$1458,8,0),0)</f>
        <v>-96</v>
      </c>
      <c r="K105" s="86">
        <f>-IFERROR(VLOOKUP(C105,Gastos!$A$9:$J$1451,10,0),0)</f>
        <v>-93.12</v>
      </c>
      <c r="L105" s="86">
        <f>-IFERROR(VLOOKUP(C105,IDC!$A$20:$H$1763,8,0),0)</f>
        <v>-57.6</v>
      </c>
      <c r="M105" s="95">
        <f t="shared" si="6"/>
        <v>9600.0000000000018</v>
      </c>
      <c r="O105" s="1"/>
    </row>
    <row r="106" spans="1:15" hidden="1">
      <c r="A106" s="1" t="s">
        <v>121</v>
      </c>
      <c r="B106" s="1" t="s">
        <v>15</v>
      </c>
      <c r="C106" s="71">
        <v>128421490336</v>
      </c>
      <c r="D106" s="3">
        <v>13250.48</v>
      </c>
      <c r="E106" s="3">
        <v>11488350.439999999</v>
      </c>
      <c r="F106" s="1" t="s">
        <v>3065</v>
      </c>
      <c r="G106"/>
      <c r="H106"/>
      <c r="I106" s="19">
        <f>-IFERROR(VLOOKUP(C106,SIRCUPA!$A$21:$H$221,8,0),0)</f>
        <v>0</v>
      </c>
      <c r="J106" s="86">
        <f>-IFERROR(VLOOKUP(C106,SIRTAC!$A$16:$H$1458,8,0),0)</f>
        <v>-136</v>
      </c>
      <c r="K106" s="86">
        <f>-IFERROR(VLOOKUP(C106,Gastos!$A$9:$J$1451,10,0),0)</f>
        <v>-131.91999999999999</v>
      </c>
      <c r="L106" s="86">
        <f>-IFERROR(VLOOKUP(C106,IDC!$A$20:$H$1763,8,0),0)</f>
        <v>-81.599999999999994</v>
      </c>
      <c r="M106" s="95">
        <f t="shared" si="6"/>
        <v>13600</v>
      </c>
      <c r="O106" s="1"/>
    </row>
    <row r="107" spans="1:15" hidden="1">
      <c r="A107" s="1" t="s">
        <v>121</v>
      </c>
      <c r="B107" s="1" t="s">
        <v>15</v>
      </c>
      <c r="C107" s="71">
        <v>128421501412</v>
      </c>
      <c r="D107" s="3">
        <v>154252.21</v>
      </c>
      <c r="E107" s="3">
        <v>11642602.65</v>
      </c>
      <c r="F107" s="1" t="s">
        <v>3065</v>
      </c>
      <c r="G107"/>
      <c r="H107"/>
      <c r="I107" s="19">
        <f>-IFERROR(VLOOKUP(C107,SIRCUPA!$A$21:$H$221,8,0),0)</f>
        <v>0</v>
      </c>
      <c r="J107" s="86">
        <f>-IFERROR(VLOOKUP(C107,SIRTAC!$A$16:$H$1458,8,0),0)</f>
        <v>-1699</v>
      </c>
      <c r="K107" s="86">
        <f>-IFERROR(VLOOKUP(C107,Gastos!$A$9:$J$1451,10,0),0)</f>
        <v>-12929.39</v>
      </c>
      <c r="L107" s="86">
        <f>-IFERROR(VLOOKUP(C107,IDC!$A$20:$H$1763,8,0),0)</f>
        <v>-1019.4</v>
      </c>
      <c r="M107" s="95">
        <f t="shared" si="6"/>
        <v>169899.99999999997</v>
      </c>
      <c r="O107" s="1"/>
    </row>
    <row r="108" spans="1:15" hidden="1">
      <c r="A108" s="1" t="s">
        <v>121</v>
      </c>
      <c r="B108" s="1" t="s">
        <v>15</v>
      </c>
      <c r="C108" s="71">
        <v>127855461023</v>
      </c>
      <c r="D108" s="3">
        <v>15209.67</v>
      </c>
      <c r="E108" s="3">
        <v>11657812.32</v>
      </c>
      <c r="F108" s="1" t="s">
        <v>3065</v>
      </c>
      <c r="G108"/>
      <c r="H108"/>
      <c r="I108" s="19">
        <f>-IFERROR(VLOOKUP(C108,SIRCUPA!$A$21:$H$221,8,0),0)</f>
        <v>0</v>
      </c>
      <c r="J108" s="86">
        <f>-IFERROR(VLOOKUP(C108,SIRTAC!$A$16:$H$1458,8,0),0)</f>
        <v>-161</v>
      </c>
      <c r="K108" s="86">
        <f>-IFERROR(VLOOKUP(C108,Gastos!$A$9:$J$1451,10,0),0)</f>
        <v>-632.73</v>
      </c>
      <c r="L108" s="86">
        <f>-IFERROR(VLOOKUP(C108,IDC!$A$20:$H$1763,8,0),0)</f>
        <v>-96.6</v>
      </c>
      <c r="M108" s="95">
        <f t="shared" ref="M108:M139" si="7">+D108-I108-J108-K108-L108</f>
        <v>16100</v>
      </c>
      <c r="O108" s="1"/>
    </row>
    <row r="109" spans="1:15" hidden="1">
      <c r="A109" s="1" t="s">
        <v>121</v>
      </c>
      <c r="B109" s="1" t="s">
        <v>15</v>
      </c>
      <c r="C109" s="71">
        <v>127855560075</v>
      </c>
      <c r="D109" s="3">
        <v>25154.48</v>
      </c>
      <c r="E109" s="3">
        <v>11682966.800000001</v>
      </c>
      <c r="F109" s="1" t="s">
        <v>3065</v>
      </c>
      <c r="G109"/>
      <c r="H109"/>
      <c r="I109" s="19">
        <f>-IFERROR(VLOOKUP(C109,SIRCUPA!$A$21:$H$221,8,0),0)</f>
        <v>0</v>
      </c>
      <c r="J109" s="86">
        <f>-IFERROR(VLOOKUP(C109,SIRTAC!$A$16:$H$1458,8,0),0)</f>
        <v>-268</v>
      </c>
      <c r="K109" s="86">
        <f>-IFERROR(VLOOKUP(C109,Gastos!$A$9:$J$1451,10,0),0)</f>
        <v>-1216.72</v>
      </c>
      <c r="L109" s="86">
        <f>-IFERROR(VLOOKUP(C109,IDC!$A$20:$H$1763,8,0),0)</f>
        <v>-160.80000000000001</v>
      </c>
      <c r="M109" s="95">
        <f t="shared" si="7"/>
        <v>26800</v>
      </c>
      <c r="O109" s="1"/>
    </row>
    <row r="110" spans="1:15" hidden="1">
      <c r="A110" s="1" t="s">
        <v>121</v>
      </c>
      <c r="B110" s="1" t="s">
        <v>15</v>
      </c>
      <c r="C110" s="71">
        <v>127855916129</v>
      </c>
      <c r="D110" s="3">
        <v>7502.11</v>
      </c>
      <c r="E110" s="3">
        <v>11690468.91</v>
      </c>
      <c r="F110" s="1" t="s">
        <v>3065</v>
      </c>
      <c r="G110"/>
      <c r="H110"/>
      <c r="I110" s="19">
        <f>-IFERROR(VLOOKUP(C110,SIRCUPA!$A$21:$H$221,8,0),0)</f>
        <v>0</v>
      </c>
      <c r="J110" s="86">
        <f>-IFERROR(VLOOKUP(C110,SIRTAC!$A$16:$H$1458,8,0),0)</f>
        <v>-77</v>
      </c>
      <c r="K110" s="86">
        <f>-IFERROR(VLOOKUP(C110,Gastos!$A$9:$J$1451,10,0),0)</f>
        <v>-74.69</v>
      </c>
      <c r="L110" s="86">
        <f>-IFERROR(VLOOKUP(C110,IDC!$A$20:$H$1763,8,0),0)</f>
        <v>-46.2</v>
      </c>
      <c r="M110" s="95">
        <f t="shared" si="7"/>
        <v>7699.9999999999991</v>
      </c>
      <c r="O110" s="1"/>
    </row>
    <row r="111" spans="1:15" hidden="1">
      <c r="A111" s="1" t="s">
        <v>121</v>
      </c>
      <c r="B111" s="1" t="s">
        <v>15</v>
      </c>
      <c r="C111" s="71">
        <v>128422197004</v>
      </c>
      <c r="D111" s="3">
        <v>3897.2</v>
      </c>
      <c r="E111" s="3">
        <v>11694366.109999999</v>
      </c>
      <c r="F111" s="1" t="s">
        <v>3065</v>
      </c>
      <c r="G111"/>
      <c r="H111"/>
      <c r="I111" s="19">
        <f>-IFERROR(VLOOKUP(C111,SIRCUPA!$A$21:$H$221,8,0),0)</f>
        <v>0</v>
      </c>
      <c r="J111" s="86">
        <f>-IFERROR(VLOOKUP(C111,SIRTAC!$A$16:$H$1458,8,0),0)</f>
        <v>-40</v>
      </c>
      <c r="K111" s="86">
        <f>-IFERROR(VLOOKUP(C111,Gastos!$A$9:$J$1451,10,0),0)</f>
        <v>-38.799999999999997</v>
      </c>
      <c r="L111" s="86">
        <f>-IFERROR(VLOOKUP(C111,IDC!$A$20:$H$1763,8,0),0)</f>
        <v>-24</v>
      </c>
      <c r="M111" s="95">
        <f t="shared" si="7"/>
        <v>4000</v>
      </c>
      <c r="O111" s="1"/>
    </row>
    <row r="112" spans="1:15" hidden="1">
      <c r="A112" s="1" t="s">
        <v>121</v>
      </c>
      <c r="B112" s="1" t="s">
        <v>134</v>
      </c>
      <c r="C112" s="71">
        <v>128422276166</v>
      </c>
      <c r="D112" s="2">
        <v>587.4</v>
      </c>
      <c r="E112" s="3">
        <v>11694953.51</v>
      </c>
      <c r="F112" s="1" t="s">
        <v>3065</v>
      </c>
      <c r="G112"/>
      <c r="H112"/>
      <c r="I112" s="19">
        <f>-IFERROR(VLOOKUP(C112,SIRCUPA!$A$21:$H$221,8,0),0)</f>
        <v>-9</v>
      </c>
      <c r="J112" s="86">
        <f>-IFERROR(VLOOKUP(C112,SIRTAC!$A$16:$H$1458,8,0),0)</f>
        <v>0</v>
      </c>
      <c r="K112" s="86">
        <f>-IFERROR(VLOOKUP(C112,Gastos!$A$9:$J$1451,10,0),0)</f>
        <v>0</v>
      </c>
      <c r="L112" s="86">
        <f>-IFERROR(VLOOKUP(C112,IDC!$A$20:$H$1763,8,0),0)</f>
        <v>-3.6</v>
      </c>
      <c r="M112" s="95">
        <f t="shared" si="7"/>
        <v>600</v>
      </c>
      <c r="O112" s="1"/>
    </row>
    <row r="113" spans="1:15" hidden="1">
      <c r="A113" s="1" t="s">
        <v>121</v>
      </c>
      <c r="B113" s="1" t="s">
        <v>136</v>
      </c>
      <c r="C113" s="71">
        <v>128421075828</v>
      </c>
      <c r="D113" s="3">
        <v>-106718.82</v>
      </c>
      <c r="E113" s="3">
        <v>11588234.689999999</v>
      </c>
      <c r="F113" s="1" t="s">
        <v>3065</v>
      </c>
      <c r="G113"/>
      <c r="H113"/>
      <c r="I113" s="19">
        <f>-IFERROR(VLOOKUP(C113,SIRCUPA!$A$21:$H$221,8,0),0)</f>
        <v>0</v>
      </c>
      <c r="J113" s="86">
        <f>-IFERROR(VLOOKUP(C113,SIRTAC!$A$16:$H$1458,8,0),0)</f>
        <v>1137</v>
      </c>
      <c r="K113" s="86">
        <v>5161.9799999999996</v>
      </c>
      <c r="L113" s="86">
        <f>-IFERROR(VLOOKUP(C113,IDC!$A$20:$H$1763,8,0),0)</f>
        <v>682.2</v>
      </c>
      <c r="M113" s="95">
        <f t="shared" si="7"/>
        <v>-113700</v>
      </c>
      <c r="O113" s="1"/>
    </row>
    <row r="114" spans="1:15" hidden="1">
      <c r="A114" s="1" t="s">
        <v>121</v>
      </c>
      <c r="B114" s="1" t="s">
        <v>15</v>
      </c>
      <c r="C114" s="71">
        <v>127856005159</v>
      </c>
      <c r="D114" s="3">
        <v>9353.2800000000007</v>
      </c>
      <c r="E114" s="3">
        <v>11597587.970000001</v>
      </c>
      <c r="F114" s="1" t="s">
        <v>3065</v>
      </c>
      <c r="G114"/>
      <c r="H114"/>
      <c r="I114" s="19">
        <f>-IFERROR(VLOOKUP(C114,SIRCUPA!$A$21:$H$221,8,0),0)</f>
        <v>0</v>
      </c>
      <c r="J114" s="86">
        <f>-IFERROR(VLOOKUP(C114,SIRTAC!$A$16:$H$1458,8,0),0)</f>
        <v>-96</v>
      </c>
      <c r="K114" s="86">
        <f>-IFERROR(VLOOKUP(C114,Gastos!$A$9:$J$1451,10,0),0)</f>
        <v>-93.12</v>
      </c>
      <c r="L114" s="86">
        <f>-IFERROR(VLOOKUP(C114,IDC!$A$20:$H$1763,8,0),0)</f>
        <v>-57.6</v>
      </c>
      <c r="M114" s="95">
        <f t="shared" si="7"/>
        <v>9600.0000000000018</v>
      </c>
      <c r="O114" s="1"/>
    </row>
    <row r="115" spans="1:15" hidden="1">
      <c r="A115" s="1" t="s">
        <v>121</v>
      </c>
      <c r="B115" s="1" t="s">
        <v>15</v>
      </c>
      <c r="C115" s="71">
        <v>127856064757</v>
      </c>
      <c r="D115" s="3">
        <v>34352.76</v>
      </c>
      <c r="E115" s="3">
        <v>11631940.73</v>
      </c>
      <c r="F115" s="1" t="s">
        <v>3065</v>
      </c>
      <c r="G115"/>
      <c r="H115"/>
      <c r="I115" s="19">
        <f>-IFERROR(VLOOKUP(C115,SIRCUPA!$A$21:$H$221,8,0),0)</f>
        <v>0</v>
      </c>
      <c r="J115" s="86">
        <f>-IFERROR(VLOOKUP(C115,SIRTAC!$A$16:$H$1458,8,0),0)</f>
        <v>-366</v>
      </c>
      <c r="K115" s="86">
        <f>-IFERROR(VLOOKUP(C115,Gastos!$A$9:$J$1451,10,0),0)</f>
        <v>-1661.64</v>
      </c>
      <c r="L115" s="86">
        <f>-IFERROR(VLOOKUP(C115,IDC!$A$20:$H$1763,8,0),0)</f>
        <v>-219.6</v>
      </c>
      <c r="M115" s="95">
        <f t="shared" si="7"/>
        <v>36600</v>
      </c>
      <c r="O115" s="1"/>
    </row>
    <row r="116" spans="1:15" hidden="1">
      <c r="A116" s="1" t="s">
        <v>121</v>
      </c>
      <c r="B116" s="1" t="s">
        <v>15</v>
      </c>
      <c r="C116" s="71">
        <v>127856418189</v>
      </c>
      <c r="D116" s="3">
        <v>6820.1</v>
      </c>
      <c r="E116" s="3">
        <v>11638760.83</v>
      </c>
      <c r="F116" s="1" t="s">
        <v>3065</v>
      </c>
      <c r="G116"/>
      <c r="H116"/>
      <c r="I116" s="19">
        <f>-IFERROR(VLOOKUP(C116,SIRCUPA!$A$21:$H$221,8,0),0)</f>
        <v>0</v>
      </c>
      <c r="J116" s="86">
        <f>-IFERROR(VLOOKUP(C116,SIRTAC!$A$16:$H$1458,8,0),0)</f>
        <v>-70</v>
      </c>
      <c r="K116" s="86">
        <f>-IFERROR(VLOOKUP(C116,Gastos!$A$9:$J$1451,10,0),0)</f>
        <v>-67.900000000000006</v>
      </c>
      <c r="L116" s="86">
        <f>-IFERROR(VLOOKUP(C116,IDC!$A$20:$H$1763,8,0),0)</f>
        <v>-42</v>
      </c>
      <c r="M116" s="95">
        <f t="shared" si="7"/>
        <v>7000</v>
      </c>
      <c r="O116" s="1"/>
    </row>
    <row r="117" spans="1:15" hidden="1">
      <c r="A117" s="1" t="s">
        <v>121</v>
      </c>
      <c r="B117" s="1" t="s">
        <v>15</v>
      </c>
      <c r="C117" s="71">
        <v>127856497497</v>
      </c>
      <c r="D117" s="3">
        <v>4092.06</v>
      </c>
      <c r="E117" s="3">
        <v>11642852.890000001</v>
      </c>
      <c r="F117" s="1" t="s">
        <v>3065</v>
      </c>
      <c r="G117"/>
      <c r="H117"/>
      <c r="I117" s="19">
        <f>-IFERROR(VLOOKUP(C117,SIRCUPA!$A$21:$H$221,8,0),0)</f>
        <v>0</v>
      </c>
      <c r="J117" s="86">
        <f>-IFERROR(VLOOKUP(C117,SIRTAC!$A$16:$H$1458,8,0),0)</f>
        <v>-42</v>
      </c>
      <c r="K117" s="86">
        <f>-IFERROR(VLOOKUP(C117,Gastos!$A$9:$J$1451,10,0),0)</f>
        <v>-40.74</v>
      </c>
      <c r="L117" s="86">
        <f>-IFERROR(VLOOKUP(C117,IDC!$A$20:$H$1763,8,0),0)</f>
        <v>-25.2</v>
      </c>
      <c r="M117" s="95">
        <f t="shared" si="7"/>
        <v>4199.9999999999991</v>
      </c>
      <c r="O117" s="1"/>
    </row>
    <row r="118" spans="1:15" hidden="1">
      <c r="A118" s="1" t="s">
        <v>121</v>
      </c>
      <c r="B118" s="1" t="s">
        <v>15</v>
      </c>
      <c r="C118" s="71">
        <v>128422949584</v>
      </c>
      <c r="D118" s="3">
        <v>58263.14</v>
      </c>
      <c r="E118" s="3">
        <v>11701116.029999999</v>
      </c>
      <c r="F118" s="1" t="s">
        <v>3065</v>
      </c>
      <c r="G118"/>
      <c r="H118"/>
      <c r="I118" s="19">
        <f>-IFERROR(VLOOKUP(C118,SIRCUPA!$A$21:$H$221,8,0),0)</f>
        <v>0</v>
      </c>
      <c r="J118" s="86">
        <f>-IFERROR(VLOOKUP(C118,SIRTAC!$A$16:$H$1458,8,0),0)</f>
        <v>-598</v>
      </c>
      <c r="K118" s="86">
        <f>-IFERROR(VLOOKUP(C118,Gastos!$A$9:$J$1451,10,0),0)</f>
        <v>-580.05999999999995</v>
      </c>
      <c r="L118" s="86">
        <f>-IFERROR(VLOOKUP(C118,IDC!$A$20:$H$1763,8,0),0)</f>
        <v>-358.8</v>
      </c>
      <c r="M118" s="95">
        <f t="shared" si="7"/>
        <v>59800</v>
      </c>
      <c r="O118" s="1"/>
    </row>
    <row r="119" spans="1:15" hidden="1">
      <c r="A119" s="1" t="s">
        <v>121</v>
      </c>
      <c r="B119" s="1" t="s">
        <v>142</v>
      </c>
      <c r="C119" s="71">
        <v>128423104492</v>
      </c>
      <c r="D119" s="3">
        <v>2927.21</v>
      </c>
      <c r="E119" s="3">
        <v>11704043.24</v>
      </c>
      <c r="F119" s="1" t="s">
        <v>3065</v>
      </c>
      <c r="G119"/>
      <c r="H119"/>
      <c r="I119" s="19">
        <f>-IFERROR(VLOOKUP(C119,SIRCUPA!$A$21:$H$221,8,0),0)</f>
        <v>-44.85</v>
      </c>
      <c r="J119" s="86">
        <f>-IFERROR(VLOOKUP(C119,SIRTAC!$A$16:$H$1458,8,0),0)</f>
        <v>0</v>
      </c>
      <c r="K119" s="86">
        <f>-IFERROR(VLOOKUP(C119,Gastos!$A$9:$J$1451,10,0),0)</f>
        <v>0</v>
      </c>
      <c r="L119" s="86">
        <f>-IFERROR(VLOOKUP(C119,IDC!$A$20:$H$1763,8,0),0)</f>
        <v>-17.940000000000001</v>
      </c>
      <c r="M119" s="95">
        <f t="shared" si="7"/>
        <v>2990</v>
      </c>
      <c r="O119" s="1"/>
    </row>
    <row r="120" spans="1:15" hidden="1">
      <c r="A120" s="1" t="s">
        <v>121</v>
      </c>
      <c r="B120" s="1" t="s">
        <v>15</v>
      </c>
      <c r="C120" s="71">
        <v>127856899443</v>
      </c>
      <c r="D120" s="3">
        <v>8259.68</v>
      </c>
      <c r="E120" s="3">
        <v>11712302.92</v>
      </c>
      <c r="F120" s="1" t="s">
        <v>3065</v>
      </c>
      <c r="G120"/>
      <c r="H120"/>
      <c r="I120" s="19">
        <f>-IFERROR(VLOOKUP(C120,SIRCUPA!$A$21:$H$221,8,0),0)</f>
        <v>0</v>
      </c>
      <c r="J120" s="86">
        <f>-IFERROR(VLOOKUP(C120,SIRTAC!$A$16:$H$1458,8,0),0)</f>
        <v>-88</v>
      </c>
      <c r="K120" s="86">
        <f>-IFERROR(VLOOKUP(C120,Gastos!$A$9:$J$1451,10,0),0)</f>
        <v>-399.52</v>
      </c>
      <c r="L120" s="86">
        <f>-IFERROR(VLOOKUP(C120,IDC!$A$20:$H$1763,8,0),0)</f>
        <v>-52.8</v>
      </c>
      <c r="M120" s="95">
        <f t="shared" si="7"/>
        <v>8800</v>
      </c>
      <c r="O120" s="1"/>
    </row>
    <row r="121" spans="1:15" hidden="1">
      <c r="A121" s="1" t="s">
        <v>121</v>
      </c>
      <c r="B121" s="1" t="s">
        <v>15</v>
      </c>
      <c r="C121" s="71">
        <v>128423208738</v>
      </c>
      <c r="D121" s="3">
        <v>4534.5600000000004</v>
      </c>
      <c r="E121" s="3">
        <v>11716837.48</v>
      </c>
      <c r="F121" s="1" t="s">
        <v>3065</v>
      </c>
      <c r="G121"/>
      <c r="H121"/>
      <c r="I121" s="19">
        <f>-IFERROR(VLOOKUP(C121,SIRCUPA!$A$21:$H$221,8,0),0)</f>
        <v>0</v>
      </c>
      <c r="J121" s="86">
        <f>-IFERROR(VLOOKUP(C121,SIRTAC!$A$16:$H$1458,8,0),0)</f>
        <v>-48</v>
      </c>
      <c r="K121" s="86">
        <f>-IFERROR(VLOOKUP(C121,Gastos!$A$9:$J$1451,10,0),0)</f>
        <v>-188.64</v>
      </c>
      <c r="L121" s="86">
        <f>-IFERROR(VLOOKUP(C121,IDC!$A$20:$H$1763,8,0),0)</f>
        <v>-28.8</v>
      </c>
      <c r="M121" s="95">
        <f t="shared" si="7"/>
        <v>4800.0000000000009</v>
      </c>
      <c r="O121" s="1"/>
    </row>
    <row r="122" spans="1:15" hidden="1">
      <c r="A122" s="1" t="s">
        <v>121</v>
      </c>
      <c r="B122" s="1" t="s">
        <v>15</v>
      </c>
      <c r="C122" s="71">
        <v>128423356546</v>
      </c>
      <c r="D122" s="3">
        <v>12665.9</v>
      </c>
      <c r="E122" s="3">
        <v>11729503.380000001</v>
      </c>
      <c r="F122" s="1" t="s">
        <v>3065</v>
      </c>
      <c r="G122"/>
      <c r="H122"/>
      <c r="I122" s="19">
        <f>-IFERROR(VLOOKUP(C122,SIRCUPA!$A$21:$H$221,8,0),0)</f>
        <v>0</v>
      </c>
      <c r="J122" s="86">
        <f>-IFERROR(VLOOKUP(C122,SIRTAC!$A$16:$H$1458,8,0),0)</f>
        <v>-130</v>
      </c>
      <c r="K122" s="86">
        <f>-IFERROR(VLOOKUP(C122,Gastos!$A$9:$J$1451,10,0),0)</f>
        <v>-126.1</v>
      </c>
      <c r="L122" s="86">
        <f>-IFERROR(VLOOKUP(C122,IDC!$A$20:$H$1763,8,0),0)</f>
        <v>-78</v>
      </c>
      <c r="M122" s="95">
        <f t="shared" si="7"/>
        <v>13000</v>
      </c>
      <c r="O122" s="1"/>
    </row>
    <row r="123" spans="1:15" hidden="1">
      <c r="A123" s="1" t="s">
        <v>121</v>
      </c>
      <c r="B123" s="1" t="s">
        <v>15</v>
      </c>
      <c r="C123" s="71">
        <v>127857063969</v>
      </c>
      <c r="D123" s="3">
        <v>10035.290000000001</v>
      </c>
      <c r="E123" s="3">
        <v>11739538.67</v>
      </c>
      <c r="F123" s="1" t="s">
        <v>3065</v>
      </c>
      <c r="G123"/>
      <c r="H123"/>
      <c r="I123" s="19">
        <f>-IFERROR(VLOOKUP(C123,SIRCUPA!$A$21:$H$221,8,0),0)</f>
        <v>0</v>
      </c>
      <c r="J123" s="86">
        <f>-IFERROR(VLOOKUP(C123,SIRTAC!$A$16:$H$1458,8,0),0)</f>
        <v>-103</v>
      </c>
      <c r="K123" s="86">
        <f>-IFERROR(VLOOKUP(C123,Gastos!$A$9:$J$1451,10,0),0)</f>
        <v>-99.91</v>
      </c>
      <c r="L123" s="86">
        <f>-IFERROR(VLOOKUP(C123,IDC!$A$20:$H$1763,8,0),0)</f>
        <v>-61.8</v>
      </c>
      <c r="M123" s="95">
        <f t="shared" si="7"/>
        <v>10300</v>
      </c>
      <c r="O123" s="1"/>
    </row>
    <row r="124" spans="1:15" hidden="1">
      <c r="A124" s="1" t="s">
        <v>121</v>
      </c>
      <c r="B124" s="1" t="s">
        <v>15</v>
      </c>
      <c r="C124" s="71">
        <v>127857363213</v>
      </c>
      <c r="D124" s="3">
        <v>5163.79</v>
      </c>
      <c r="E124" s="3">
        <v>11744702.460000001</v>
      </c>
      <c r="F124" s="1" t="s">
        <v>3065</v>
      </c>
      <c r="G124"/>
      <c r="H124"/>
      <c r="I124" s="19">
        <f>-IFERROR(VLOOKUP(C124,SIRCUPA!$A$21:$H$221,8,0),0)</f>
        <v>0</v>
      </c>
      <c r="J124" s="86">
        <f>-IFERROR(VLOOKUP(C124,SIRTAC!$A$16:$H$1458,8,0),0)</f>
        <v>-53</v>
      </c>
      <c r="K124" s="86">
        <f>-IFERROR(VLOOKUP(C124,Gastos!$A$9:$J$1451,10,0),0)</f>
        <v>-51.41</v>
      </c>
      <c r="L124" s="86">
        <f>-IFERROR(VLOOKUP(C124,IDC!$A$20:$H$1763,8,0),0)</f>
        <v>-31.8</v>
      </c>
      <c r="M124" s="95">
        <f t="shared" si="7"/>
        <v>5300</v>
      </c>
      <c r="O124" s="1"/>
    </row>
    <row r="125" spans="1:15" hidden="1">
      <c r="A125" s="1" t="s">
        <v>121</v>
      </c>
      <c r="B125" s="1" t="s">
        <v>15</v>
      </c>
      <c r="C125" s="71">
        <v>128423642872</v>
      </c>
      <c r="D125" s="3">
        <v>51248.18</v>
      </c>
      <c r="E125" s="3">
        <v>11795950.640000001</v>
      </c>
      <c r="F125" s="1" t="s">
        <v>3065</v>
      </c>
      <c r="G125"/>
      <c r="H125"/>
      <c r="I125" s="19">
        <f>-IFERROR(VLOOKUP(C125,SIRCUPA!$A$21:$H$221,8,0),0)</f>
        <v>0</v>
      </c>
      <c r="J125" s="86">
        <f>-IFERROR(VLOOKUP(C125,SIRTAC!$A$16:$H$1458,8,0),0)</f>
        <v>-526</v>
      </c>
      <c r="K125" s="86">
        <f>-IFERROR(VLOOKUP(C125,Gastos!$A$9:$J$1451,10,0),0)</f>
        <v>-510.22</v>
      </c>
      <c r="L125" s="86">
        <f>-IFERROR(VLOOKUP(C125,IDC!$A$20:$H$1763,8,0),0)</f>
        <v>-315.60000000000002</v>
      </c>
      <c r="M125" s="95">
        <f t="shared" si="7"/>
        <v>52600</v>
      </c>
      <c r="O125" s="1"/>
    </row>
    <row r="126" spans="1:15" hidden="1">
      <c r="A126" s="1" t="s">
        <v>121</v>
      </c>
      <c r="B126" s="1" t="s">
        <v>15</v>
      </c>
      <c r="C126" s="71">
        <v>128423577732</v>
      </c>
      <c r="D126" s="3">
        <v>68883.009999999995</v>
      </c>
      <c r="E126" s="3">
        <v>11864833.65</v>
      </c>
      <c r="F126" s="1" t="s">
        <v>3065</v>
      </c>
      <c r="G126"/>
      <c r="H126"/>
      <c r="I126" s="19">
        <f>-IFERROR(VLOOKUP(C126,SIRCUPA!$A$21:$H$221,8,0),0)</f>
        <v>0</v>
      </c>
      <c r="J126" s="86">
        <f>-IFERROR(VLOOKUP(C126,SIRTAC!$A$16:$H$1458,8,0),0)</f>
        <v>-707</v>
      </c>
      <c r="K126" s="86">
        <f>-IFERROR(VLOOKUP(C126,Gastos!$A$9:$J$1451,10,0),0)</f>
        <v>-685.79</v>
      </c>
      <c r="L126" s="86">
        <f>-IFERROR(VLOOKUP(C126,IDC!$A$20:$H$1763,8,0),0)</f>
        <v>-424.2</v>
      </c>
      <c r="M126" s="95">
        <f t="shared" si="7"/>
        <v>70699.999999999985</v>
      </c>
      <c r="O126" s="1"/>
    </row>
    <row r="127" spans="1:15" hidden="1">
      <c r="A127" s="1" t="s">
        <v>121</v>
      </c>
      <c r="B127" s="1" t="s">
        <v>151</v>
      </c>
      <c r="C127" s="71">
        <v>127857497901</v>
      </c>
      <c r="D127" s="3">
        <v>3460.76</v>
      </c>
      <c r="E127" s="3">
        <v>11868294.41</v>
      </c>
      <c r="F127" s="1" t="s">
        <v>3065</v>
      </c>
      <c r="G127"/>
      <c r="H127"/>
      <c r="I127" s="19">
        <f>-IFERROR(VLOOKUP(C127,SIRCUPA!$A$21:$H$221,8,0),0)</f>
        <v>-53.03</v>
      </c>
      <c r="J127" s="86">
        <f>-IFERROR(VLOOKUP(C127,SIRTAC!$A$16:$H$1458,8,0),0)</f>
        <v>0</v>
      </c>
      <c r="K127" s="86">
        <f>-IFERROR(VLOOKUP(C127,Gastos!$A$9:$J$1451,10,0),0)</f>
        <v>0</v>
      </c>
      <c r="L127" s="86">
        <f>-IFERROR(VLOOKUP(C127,IDC!$A$20:$H$1763,8,0),0)</f>
        <v>-21.21</v>
      </c>
      <c r="M127" s="95">
        <f t="shared" si="7"/>
        <v>3535.0000000000005</v>
      </c>
      <c r="O127" s="1"/>
    </row>
    <row r="128" spans="1:15" hidden="1">
      <c r="A128" s="1" t="s">
        <v>121</v>
      </c>
      <c r="B128" s="1" t="s">
        <v>15</v>
      </c>
      <c r="C128" s="71">
        <v>127857712847</v>
      </c>
      <c r="D128" s="3">
        <v>4676.6400000000003</v>
      </c>
      <c r="E128" s="3">
        <v>11872971.050000001</v>
      </c>
      <c r="F128" s="1" t="s">
        <v>3065</v>
      </c>
      <c r="G128"/>
      <c r="H128"/>
      <c r="I128" s="19">
        <f>-IFERROR(VLOOKUP(C128,SIRCUPA!$A$21:$H$221,8,0),0)</f>
        <v>0</v>
      </c>
      <c r="J128" s="86">
        <f>-IFERROR(VLOOKUP(C128,SIRTAC!$A$16:$H$1458,8,0),0)</f>
        <v>-48</v>
      </c>
      <c r="K128" s="86">
        <f>-IFERROR(VLOOKUP(C128,Gastos!$A$9:$J$1451,10,0),0)</f>
        <v>-46.56</v>
      </c>
      <c r="L128" s="86">
        <f>-IFERROR(VLOOKUP(C128,IDC!$A$20:$H$1763,8,0),0)</f>
        <v>-28.8</v>
      </c>
      <c r="M128" s="95">
        <f t="shared" si="7"/>
        <v>4800.0000000000009</v>
      </c>
      <c r="O128" s="1"/>
    </row>
    <row r="129" spans="1:15" hidden="1">
      <c r="A129" s="1" t="s">
        <v>121</v>
      </c>
      <c r="B129" s="1" t="s">
        <v>15</v>
      </c>
      <c r="C129" s="71">
        <v>127857862671</v>
      </c>
      <c r="D129" s="3">
        <v>16270.81</v>
      </c>
      <c r="E129" s="3">
        <v>11889241.859999999</v>
      </c>
      <c r="F129" s="1" t="s">
        <v>3065</v>
      </c>
      <c r="G129"/>
      <c r="H129"/>
      <c r="I129" s="19">
        <f>-IFERROR(VLOOKUP(C129,SIRCUPA!$A$21:$H$221,8,0),0)</f>
        <v>0</v>
      </c>
      <c r="J129" s="86">
        <f>-IFERROR(VLOOKUP(C129,SIRTAC!$A$16:$H$1458,8,0),0)</f>
        <v>-167</v>
      </c>
      <c r="K129" s="86">
        <f>-IFERROR(VLOOKUP(C129,Gastos!$A$9:$J$1451,10,0),0)</f>
        <v>-161.99</v>
      </c>
      <c r="L129" s="86">
        <f>-IFERROR(VLOOKUP(C129,IDC!$A$20:$H$1763,8,0),0)</f>
        <v>-100.2</v>
      </c>
      <c r="M129" s="95">
        <f t="shared" si="7"/>
        <v>16700</v>
      </c>
      <c r="O129" s="1"/>
    </row>
    <row r="130" spans="1:15" hidden="1">
      <c r="A130" s="1" t="s">
        <v>121</v>
      </c>
      <c r="B130" s="1" t="s">
        <v>15</v>
      </c>
      <c r="C130" s="71">
        <v>127857973671</v>
      </c>
      <c r="D130" s="3">
        <v>9743</v>
      </c>
      <c r="E130" s="3">
        <v>11898984.859999999</v>
      </c>
      <c r="F130" s="1" t="s">
        <v>3065</v>
      </c>
      <c r="G130"/>
      <c r="H130"/>
      <c r="I130" s="19">
        <f>-IFERROR(VLOOKUP(C130,SIRCUPA!$A$21:$H$221,8,0),0)</f>
        <v>0</v>
      </c>
      <c r="J130" s="86">
        <f>-IFERROR(VLOOKUP(C130,SIRTAC!$A$16:$H$1458,8,0),0)</f>
        <v>-100</v>
      </c>
      <c r="K130" s="86">
        <f>-IFERROR(VLOOKUP(C130,Gastos!$A$9:$J$1451,10,0),0)</f>
        <v>-97</v>
      </c>
      <c r="L130" s="86">
        <f>-IFERROR(VLOOKUP(C130,IDC!$A$20:$H$1763,8,0),0)</f>
        <v>-60</v>
      </c>
      <c r="M130" s="95">
        <f t="shared" si="7"/>
        <v>10000</v>
      </c>
      <c r="O130" s="1"/>
    </row>
    <row r="131" spans="1:15" hidden="1">
      <c r="A131" s="1" t="s">
        <v>121</v>
      </c>
      <c r="B131" s="1" t="s">
        <v>15</v>
      </c>
      <c r="C131" s="71">
        <v>128424504454</v>
      </c>
      <c r="D131" s="3">
        <v>12471.04</v>
      </c>
      <c r="E131" s="3">
        <v>11911455.9</v>
      </c>
      <c r="F131" s="1" t="s">
        <v>3065</v>
      </c>
      <c r="G131"/>
      <c r="H131"/>
      <c r="I131" s="19">
        <f>-IFERROR(VLOOKUP(C131,SIRCUPA!$A$21:$H$221,8,0),0)</f>
        <v>0</v>
      </c>
      <c r="J131" s="86">
        <f>-IFERROR(VLOOKUP(C131,SIRTAC!$A$16:$H$1458,8,0),0)</f>
        <v>-128</v>
      </c>
      <c r="K131" s="86">
        <f>-IFERROR(VLOOKUP(C131,Gastos!$A$9:$J$1451,10,0),0)</f>
        <v>-124.16</v>
      </c>
      <c r="L131" s="86">
        <f>-IFERROR(VLOOKUP(C131,IDC!$A$20:$H$1763,8,0),0)</f>
        <v>-76.8</v>
      </c>
      <c r="M131" s="95">
        <f t="shared" si="7"/>
        <v>12800</v>
      </c>
      <c r="O131" s="1"/>
    </row>
    <row r="132" spans="1:15" hidden="1">
      <c r="A132" s="1" t="s">
        <v>121</v>
      </c>
      <c r="B132" s="1" t="s">
        <v>15</v>
      </c>
      <c r="C132" s="71">
        <v>127858454489</v>
      </c>
      <c r="D132" s="3">
        <v>4676.6400000000003</v>
      </c>
      <c r="E132" s="3">
        <v>11916132.539999999</v>
      </c>
      <c r="F132" s="1" t="s">
        <v>3065</v>
      </c>
      <c r="G132"/>
      <c r="H132"/>
      <c r="I132" s="19">
        <f>-IFERROR(VLOOKUP(C132,SIRCUPA!$A$21:$H$221,8,0),0)</f>
        <v>0</v>
      </c>
      <c r="J132" s="86">
        <f>-IFERROR(VLOOKUP(C132,SIRTAC!$A$16:$H$1458,8,0),0)</f>
        <v>-48</v>
      </c>
      <c r="K132" s="86">
        <f>-IFERROR(VLOOKUP(C132,Gastos!$A$9:$J$1451,10,0),0)</f>
        <v>-46.56</v>
      </c>
      <c r="L132" s="86">
        <f>-IFERROR(VLOOKUP(C132,IDC!$A$20:$H$1763,8,0),0)</f>
        <v>-28.8</v>
      </c>
      <c r="M132" s="95">
        <f t="shared" si="7"/>
        <v>4800.0000000000009</v>
      </c>
      <c r="O132" s="1"/>
    </row>
    <row r="133" spans="1:15" hidden="1">
      <c r="A133" s="1" t="s">
        <v>121</v>
      </c>
      <c r="B133" s="1" t="s">
        <v>158</v>
      </c>
      <c r="C133" s="71">
        <v>127858371983</v>
      </c>
      <c r="D133" s="2">
        <v>469.92</v>
      </c>
      <c r="E133" s="3">
        <v>11916602.460000001</v>
      </c>
      <c r="F133" s="1" t="s">
        <v>3065</v>
      </c>
      <c r="G133"/>
      <c r="H133"/>
      <c r="I133" s="19">
        <f>-IFERROR(VLOOKUP(C133,SIRCUPA!$A$21:$H$221,8,0),0)</f>
        <v>-7.2</v>
      </c>
      <c r="J133" s="86">
        <f>-IFERROR(VLOOKUP(C133,SIRTAC!$A$16:$H$1458,8,0),0)</f>
        <v>0</v>
      </c>
      <c r="K133" s="86">
        <f>-IFERROR(VLOOKUP(C133,Gastos!$A$9:$J$1451,10,0),0)</f>
        <v>0</v>
      </c>
      <c r="L133" s="86">
        <f>-IFERROR(VLOOKUP(C133,IDC!$A$20:$H$1763,8,0),0)</f>
        <v>-2.88</v>
      </c>
      <c r="M133" s="95">
        <f t="shared" si="7"/>
        <v>480</v>
      </c>
      <c r="O133" s="1"/>
    </row>
    <row r="134" spans="1:15" hidden="1">
      <c r="A134" s="1" t="s">
        <v>121</v>
      </c>
      <c r="B134" s="1" t="s">
        <v>15</v>
      </c>
      <c r="C134" s="71">
        <v>128424874738</v>
      </c>
      <c r="D134" s="3">
        <v>20168.009999999998</v>
      </c>
      <c r="E134" s="3">
        <v>11936770.470000001</v>
      </c>
      <c r="F134" s="1" t="s">
        <v>3065</v>
      </c>
      <c r="G134"/>
      <c r="H134"/>
      <c r="I134" s="19">
        <f>-IFERROR(VLOOKUP(C134,SIRCUPA!$A$21:$H$221,8,0),0)</f>
        <v>0</v>
      </c>
      <c r="J134" s="86">
        <f>-IFERROR(VLOOKUP(C134,SIRTAC!$A$16:$H$1458,8,0),0)</f>
        <v>-207</v>
      </c>
      <c r="K134" s="86">
        <f>-IFERROR(VLOOKUP(C134,Gastos!$A$9:$J$1451,10,0),0)</f>
        <v>-200.79</v>
      </c>
      <c r="L134" s="86">
        <f>-IFERROR(VLOOKUP(C134,IDC!$A$20:$H$1763,8,0),0)</f>
        <v>-124.2</v>
      </c>
      <c r="M134" s="95">
        <f t="shared" si="7"/>
        <v>20700</v>
      </c>
      <c r="O134" s="1"/>
    </row>
    <row r="135" spans="1:15" hidden="1">
      <c r="A135" s="1" t="s">
        <v>121</v>
      </c>
      <c r="B135" s="1" t="s">
        <v>75</v>
      </c>
      <c r="C135" s="71">
        <v>127858708227</v>
      </c>
      <c r="D135" s="3">
        <v>1013.26</v>
      </c>
      <c r="E135" s="3">
        <v>11937783.73</v>
      </c>
      <c r="F135" s="1" t="s">
        <v>3065</v>
      </c>
      <c r="G135"/>
      <c r="H135"/>
      <c r="I135" s="19">
        <f>-IFERROR(VLOOKUP(C135,SIRCUPA!$A$21:$H$221,8,0),0)</f>
        <v>-15.53</v>
      </c>
      <c r="J135" s="86">
        <f>-IFERROR(VLOOKUP(C135,SIRTAC!$A$16:$H$1458,8,0),0)</f>
        <v>0</v>
      </c>
      <c r="K135" s="86">
        <f>-IFERROR(VLOOKUP(C135,Gastos!$A$9:$J$1451,10,0),0)</f>
        <v>0</v>
      </c>
      <c r="L135" s="86">
        <f>-IFERROR(VLOOKUP(C135,IDC!$A$20:$H$1763,8,0),0)</f>
        <v>-6.21</v>
      </c>
      <c r="M135" s="95">
        <f t="shared" si="7"/>
        <v>1035</v>
      </c>
      <c r="O135" s="1"/>
    </row>
    <row r="136" spans="1:15" hidden="1">
      <c r="A136" s="1" t="s">
        <v>121</v>
      </c>
      <c r="B136" s="1" t="s">
        <v>15</v>
      </c>
      <c r="C136" s="71">
        <v>127858844639</v>
      </c>
      <c r="D136" s="3">
        <v>43356.35</v>
      </c>
      <c r="E136" s="3">
        <v>11981140.08</v>
      </c>
      <c r="F136" s="1" t="s">
        <v>3065</v>
      </c>
      <c r="G136"/>
      <c r="H136"/>
      <c r="I136" s="19">
        <f>-IFERROR(VLOOKUP(C136,SIRCUPA!$A$21:$H$221,8,0),0)</f>
        <v>0</v>
      </c>
      <c r="J136" s="86">
        <f>-IFERROR(VLOOKUP(C136,SIRTAC!$A$16:$H$1458,8,0),0)</f>
        <v>-445</v>
      </c>
      <c r="K136" s="86">
        <f>-IFERROR(VLOOKUP(C136,Gastos!$A$9:$J$1451,10,0),0)</f>
        <v>-431.65</v>
      </c>
      <c r="L136" s="86">
        <f>-IFERROR(VLOOKUP(C136,IDC!$A$20:$H$1763,8,0),0)</f>
        <v>-267</v>
      </c>
      <c r="M136" s="95">
        <f t="shared" si="7"/>
        <v>44500</v>
      </c>
      <c r="O136" s="1"/>
    </row>
    <row r="137" spans="1:15" hidden="1">
      <c r="A137" s="1" t="s">
        <v>121</v>
      </c>
      <c r="B137" s="1" t="s">
        <v>15</v>
      </c>
      <c r="C137" s="71">
        <v>127859163129</v>
      </c>
      <c r="D137" s="3">
        <v>4092.06</v>
      </c>
      <c r="E137" s="3">
        <v>11985232.140000001</v>
      </c>
      <c r="F137" s="1" t="s">
        <v>3065</v>
      </c>
      <c r="G137"/>
      <c r="H137"/>
      <c r="I137" s="19">
        <f>-IFERROR(VLOOKUP(C137,SIRCUPA!$A$21:$H$221,8,0),0)</f>
        <v>0</v>
      </c>
      <c r="J137" s="86">
        <f>-IFERROR(VLOOKUP(C137,SIRTAC!$A$16:$H$1458,8,0),0)</f>
        <v>-42</v>
      </c>
      <c r="K137" s="86">
        <f>-IFERROR(VLOOKUP(C137,Gastos!$A$9:$J$1451,10,0),0)</f>
        <v>-40.74</v>
      </c>
      <c r="L137" s="86">
        <f>-IFERROR(VLOOKUP(C137,IDC!$A$20:$H$1763,8,0),0)</f>
        <v>-25.2</v>
      </c>
      <c r="M137" s="95">
        <f t="shared" si="7"/>
        <v>4199.9999999999991</v>
      </c>
      <c r="O137" s="1"/>
    </row>
    <row r="138" spans="1:15" hidden="1">
      <c r="A138" s="1" t="s">
        <v>121</v>
      </c>
      <c r="B138" s="1" t="s">
        <v>15</v>
      </c>
      <c r="C138" s="71">
        <v>128425421186</v>
      </c>
      <c r="D138" s="3">
        <v>2338.3200000000002</v>
      </c>
      <c r="E138" s="3">
        <v>11987570.460000001</v>
      </c>
      <c r="F138" s="1" t="s">
        <v>3065</v>
      </c>
      <c r="G138"/>
      <c r="H138"/>
      <c r="I138" s="19">
        <f>-IFERROR(VLOOKUP(C138,SIRCUPA!$A$21:$H$221,8,0),0)</f>
        <v>0</v>
      </c>
      <c r="J138" s="86">
        <f>-IFERROR(VLOOKUP(C138,SIRTAC!$A$16:$H$1458,8,0),0)</f>
        <v>-24</v>
      </c>
      <c r="K138" s="86">
        <f>-IFERROR(VLOOKUP(C138,Gastos!$A$9:$J$1451,10,0),0)</f>
        <v>-23.28</v>
      </c>
      <c r="L138" s="86">
        <f>-IFERROR(VLOOKUP(C138,IDC!$A$20:$H$1763,8,0),0)</f>
        <v>-14.4</v>
      </c>
      <c r="M138" s="95">
        <f t="shared" si="7"/>
        <v>2400.0000000000005</v>
      </c>
      <c r="O138" s="1"/>
    </row>
    <row r="139" spans="1:15" hidden="1">
      <c r="A139" s="1" t="s">
        <v>121</v>
      </c>
      <c r="B139" s="1" t="s">
        <v>165</v>
      </c>
      <c r="C139" s="71">
        <v>127859153755</v>
      </c>
      <c r="D139" s="2">
        <v>352.44</v>
      </c>
      <c r="E139" s="3">
        <v>11987922.9</v>
      </c>
      <c r="F139" s="1" t="s">
        <v>3065</v>
      </c>
      <c r="G139"/>
      <c r="H139"/>
      <c r="I139" s="19">
        <f>-IFERROR(VLOOKUP(C139,SIRCUPA!$A$21:$H$221,8,0),0)</f>
        <v>-5.4</v>
      </c>
      <c r="J139" s="86">
        <f>-IFERROR(VLOOKUP(C139,SIRTAC!$A$16:$H$1458,8,0),0)</f>
        <v>0</v>
      </c>
      <c r="K139" s="86">
        <f>-IFERROR(VLOOKUP(C139,Gastos!$A$9:$J$1451,10,0),0)</f>
        <v>0</v>
      </c>
      <c r="L139" s="86">
        <f>-IFERROR(VLOOKUP(C139,IDC!$A$20:$H$1763,8,0),0)</f>
        <v>-2.16</v>
      </c>
      <c r="M139" s="95">
        <f t="shared" si="7"/>
        <v>360</v>
      </c>
      <c r="O139" s="1"/>
    </row>
    <row r="140" spans="1:15" hidden="1">
      <c r="A140" s="1" t="s">
        <v>121</v>
      </c>
      <c r="B140" s="1" t="s">
        <v>15</v>
      </c>
      <c r="C140" s="71">
        <v>128425586550</v>
      </c>
      <c r="D140" s="3">
        <v>32569.42</v>
      </c>
      <c r="E140" s="3">
        <v>12020492.32</v>
      </c>
      <c r="F140" s="1" t="s">
        <v>3065</v>
      </c>
      <c r="G140"/>
      <c r="H140"/>
      <c r="I140" s="19">
        <f>-IFERROR(VLOOKUP(C140,SIRCUPA!$A$21:$H$221,8,0),0)</f>
        <v>0</v>
      </c>
      <c r="J140" s="86">
        <f>-IFERROR(VLOOKUP(C140,SIRTAC!$A$16:$H$1458,8,0),0)</f>
        <v>-347</v>
      </c>
      <c r="K140" s="86">
        <f>-IFERROR(VLOOKUP(C140,Gastos!$A$9:$J$1451,10,0),0)</f>
        <v>-1575.38</v>
      </c>
      <c r="L140" s="86">
        <f>-IFERROR(VLOOKUP(C140,IDC!$A$20:$H$1763,8,0),0)</f>
        <v>-208.2</v>
      </c>
      <c r="M140" s="95">
        <f t="shared" ref="M140:M157" si="8">+D140-I140-J140-K140-L140</f>
        <v>34699.999999999993</v>
      </c>
      <c r="O140" s="1"/>
    </row>
    <row r="141" spans="1:15" hidden="1">
      <c r="A141" s="1" t="s">
        <v>121</v>
      </c>
      <c r="B141" s="1" t="s">
        <v>15</v>
      </c>
      <c r="C141" s="71">
        <v>127859446439</v>
      </c>
      <c r="D141" s="3">
        <v>12568.47</v>
      </c>
      <c r="E141" s="3">
        <v>12033060.789999999</v>
      </c>
      <c r="F141" s="1" t="s">
        <v>3065</v>
      </c>
      <c r="G141"/>
      <c r="H141"/>
      <c r="I141" s="19">
        <f>-IFERROR(VLOOKUP(C141,SIRCUPA!$A$21:$H$221,8,0),0)</f>
        <v>0</v>
      </c>
      <c r="J141" s="86">
        <f>-IFERROR(VLOOKUP(C141,SIRTAC!$A$16:$H$1458,8,0),0)</f>
        <v>-129</v>
      </c>
      <c r="K141" s="86">
        <f>-IFERROR(VLOOKUP(C141,Gastos!$A$9:$J$1451,10,0),0)</f>
        <v>-125.13</v>
      </c>
      <c r="L141" s="86">
        <f>-IFERROR(VLOOKUP(C141,IDC!$A$20:$H$1763,8,0),0)</f>
        <v>-77.400000000000006</v>
      </c>
      <c r="M141" s="95">
        <f t="shared" si="8"/>
        <v>12899.999999999998</v>
      </c>
      <c r="O141" s="1"/>
    </row>
    <row r="142" spans="1:15" hidden="1">
      <c r="A142" s="1" t="s">
        <v>121</v>
      </c>
      <c r="B142" s="1" t="s">
        <v>15</v>
      </c>
      <c r="C142" s="71">
        <v>127859588493</v>
      </c>
      <c r="D142" s="3">
        <v>156375.15</v>
      </c>
      <c r="E142" s="3">
        <v>12189435.939999999</v>
      </c>
      <c r="F142" s="1" t="s">
        <v>3065</v>
      </c>
      <c r="G142"/>
      <c r="H142"/>
      <c r="I142" s="19">
        <f>-IFERROR(VLOOKUP(C142,SIRCUPA!$A$21:$H$221,8,0),0)</f>
        <v>0</v>
      </c>
      <c r="J142" s="86">
        <f>-IFERROR(VLOOKUP(C142,SIRTAC!$A$16:$H$1458,8,0),0)</f>
        <v>-1605</v>
      </c>
      <c r="K142" s="86">
        <f>-IFERROR(VLOOKUP(C142,Gastos!$A$9:$J$1451,10,0),0)</f>
        <v>-1556.85</v>
      </c>
      <c r="L142" s="86">
        <f>-IFERROR(VLOOKUP(C142,IDC!$A$20:$H$1763,8,0),0)</f>
        <v>-963</v>
      </c>
      <c r="M142" s="95">
        <f t="shared" si="8"/>
        <v>160500</v>
      </c>
      <c r="O142" s="1"/>
    </row>
    <row r="143" spans="1:15" hidden="1">
      <c r="A143" s="1" t="s">
        <v>121</v>
      </c>
      <c r="B143" s="1" t="s">
        <v>15</v>
      </c>
      <c r="C143" s="71">
        <v>128425881632</v>
      </c>
      <c r="D143" s="3">
        <v>14614.5</v>
      </c>
      <c r="E143" s="3">
        <v>12204050.439999999</v>
      </c>
      <c r="F143" s="1" t="s">
        <v>3065</v>
      </c>
      <c r="G143"/>
      <c r="H143"/>
      <c r="I143" s="19">
        <f>-IFERROR(VLOOKUP(C143,SIRCUPA!$A$21:$H$221,8,0),0)</f>
        <v>0</v>
      </c>
      <c r="J143" s="86">
        <f>-IFERROR(VLOOKUP(C143,SIRTAC!$A$16:$H$1458,8,0),0)</f>
        <v>-150</v>
      </c>
      <c r="K143" s="86">
        <f>-IFERROR(VLOOKUP(C143,Gastos!$A$9:$J$1451,10,0),0)</f>
        <v>-145.5</v>
      </c>
      <c r="L143" s="86">
        <f>-IFERROR(VLOOKUP(C143,IDC!$A$20:$H$1763,8,0),0)</f>
        <v>-90</v>
      </c>
      <c r="M143" s="95">
        <f t="shared" si="8"/>
        <v>15000</v>
      </c>
      <c r="O143" s="1"/>
    </row>
    <row r="144" spans="1:15" hidden="1">
      <c r="A144" s="1" t="s">
        <v>121</v>
      </c>
      <c r="B144" s="1" t="s">
        <v>15</v>
      </c>
      <c r="C144" s="71">
        <v>128425855926</v>
      </c>
      <c r="D144" s="3">
        <v>4251.1499999999996</v>
      </c>
      <c r="E144" s="3">
        <v>12208301.59</v>
      </c>
      <c r="F144" s="1" t="s">
        <v>3065</v>
      </c>
      <c r="G144"/>
      <c r="H144"/>
      <c r="I144" s="19">
        <f>-IFERROR(VLOOKUP(C144,SIRCUPA!$A$21:$H$221,8,0),0)</f>
        <v>0</v>
      </c>
      <c r="J144" s="86">
        <f>-IFERROR(VLOOKUP(C144,SIRTAC!$A$16:$H$1458,8,0),0)</f>
        <v>-45</v>
      </c>
      <c r="K144" s="86">
        <f>-IFERROR(VLOOKUP(C144,Gastos!$A$9:$J$1451,10,0),0)</f>
        <v>-176.85</v>
      </c>
      <c r="L144" s="86">
        <f>-IFERROR(VLOOKUP(C144,IDC!$A$20:$H$1763,8,0),0)</f>
        <v>-27</v>
      </c>
      <c r="M144" s="95">
        <f t="shared" si="8"/>
        <v>4500</v>
      </c>
      <c r="O144" s="1"/>
    </row>
    <row r="145" spans="1:17" hidden="1">
      <c r="A145" s="1" t="s">
        <v>121</v>
      </c>
      <c r="B145" s="1" t="s">
        <v>15</v>
      </c>
      <c r="C145" s="71">
        <v>127859910765</v>
      </c>
      <c r="D145" s="3">
        <v>4384.3500000000004</v>
      </c>
      <c r="E145" s="3">
        <v>12212685.939999999</v>
      </c>
      <c r="F145" s="1" t="s">
        <v>3065</v>
      </c>
      <c r="G145"/>
      <c r="H145"/>
      <c r="I145" s="19">
        <f>-IFERROR(VLOOKUP(C145,SIRCUPA!$A$21:$H$221,8,0),0)</f>
        <v>0</v>
      </c>
      <c r="J145" s="86">
        <f>-IFERROR(VLOOKUP(C145,SIRTAC!$A$16:$H$1458,8,0),0)</f>
        <v>-45</v>
      </c>
      <c r="K145" s="86">
        <f>-IFERROR(VLOOKUP(C145,Gastos!$A$9:$J$1451,10,0),0)</f>
        <v>-43.65</v>
      </c>
      <c r="L145" s="86">
        <f>-IFERROR(VLOOKUP(C145,IDC!$A$20:$H$1763,8,0),0)</f>
        <v>-27</v>
      </c>
      <c r="M145" s="95">
        <f t="shared" si="8"/>
        <v>4500</v>
      </c>
      <c r="O145" s="1"/>
    </row>
    <row r="146" spans="1:17" hidden="1">
      <c r="A146" s="1" t="s">
        <v>121</v>
      </c>
      <c r="B146" s="1" t="s">
        <v>15</v>
      </c>
      <c r="C146" s="71">
        <v>128426216768</v>
      </c>
      <c r="D146" s="3">
        <v>4676.6400000000003</v>
      </c>
      <c r="E146" s="3">
        <v>12217362.58</v>
      </c>
      <c r="F146" s="1" t="s">
        <v>3065</v>
      </c>
      <c r="G146"/>
      <c r="H146"/>
      <c r="I146" s="19">
        <f>-IFERROR(VLOOKUP(C146,SIRCUPA!$A$21:$H$221,8,0),0)</f>
        <v>0</v>
      </c>
      <c r="J146" s="86">
        <f>-IFERROR(VLOOKUP(C146,SIRTAC!$A$16:$H$1458,8,0),0)</f>
        <v>-48</v>
      </c>
      <c r="K146" s="86">
        <f>-IFERROR(VLOOKUP(C146,Gastos!$A$9:$J$1451,10,0),0)</f>
        <v>-46.56</v>
      </c>
      <c r="L146" s="86">
        <f>-IFERROR(VLOOKUP(C146,IDC!$A$20:$H$1763,8,0),0)</f>
        <v>-28.8</v>
      </c>
      <c r="M146" s="95">
        <f t="shared" si="8"/>
        <v>4800.0000000000009</v>
      </c>
      <c r="O146" s="1"/>
    </row>
    <row r="147" spans="1:17" hidden="1">
      <c r="A147" s="1" t="s">
        <v>121</v>
      </c>
      <c r="B147" s="1" t="s">
        <v>174</v>
      </c>
      <c r="C147" s="71">
        <v>128426232602</v>
      </c>
      <c r="D147" s="2">
        <v>469.92</v>
      </c>
      <c r="E147" s="3">
        <v>12217832.5</v>
      </c>
      <c r="F147" s="1" t="s">
        <v>3065</v>
      </c>
      <c r="G147"/>
      <c r="H147"/>
      <c r="I147" s="19">
        <f>-IFERROR(VLOOKUP(C147,SIRCUPA!$A$21:$H$221,8,0),0)</f>
        <v>-7.2</v>
      </c>
      <c r="J147" s="86">
        <f>-IFERROR(VLOOKUP(C147,SIRTAC!$A$16:$H$1458,8,0),0)</f>
        <v>0</v>
      </c>
      <c r="K147" s="86">
        <f>-IFERROR(VLOOKUP(C147,Gastos!$A$9:$J$1451,10,0),0)</f>
        <v>0</v>
      </c>
      <c r="L147" s="86">
        <f>-IFERROR(VLOOKUP(C147,IDC!$A$20:$H$1763,8,0),0)</f>
        <v>-2.88</v>
      </c>
      <c r="M147" s="95">
        <f t="shared" si="8"/>
        <v>480</v>
      </c>
      <c r="O147" s="1"/>
    </row>
    <row r="148" spans="1:17" hidden="1">
      <c r="A148" s="1" t="s">
        <v>121</v>
      </c>
      <c r="B148" s="1" t="s">
        <v>15</v>
      </c>
      <c r="C148" s="71">
        <v>128426358946</v>
      </c>
      <c r="D148" s="3">
        <v>19792.22</v>
      </c>
      <c r="E148" s="3">
        <v>12237624.720000001</v>
      </c>
      <c r="F148" s="1" t="s">
        <v>3065</v>
      </c>
      <c r="G148"/>
      <c r="H148"/>
      <c r="I148" s="19">
        <f>-IFERROR(VLOOKUP(C148,SIRCUPA!$A$21:$H$221,8,0),0)</f>
        <v>0</v>
      </c>
      <c r="J148" s="86">
        <f>-IFERROR(VLOOKUP(C148,SIRTAC!$A$16:$H$1458,8,0),0)</f>
        <v>-218</v>
      </c>
      <c r="K148" s="86">
        <f>-IFERROR(VLOOKUP(C148,Gastos!$A$9:$J$1451,10,0),0)</f>
        <v>-1658.98</v>
      </c>
      <c r="L148" s="86">
        <f>-IFERROR(VLOOKUP(C148,IDC!$A$20:$H$1763,8,0),0)</f>
        <v>-130.80000000000001</v>
      </c>
      <c r="M148" s="95">
        <f t="shared" si="8"/>
        <v>21800</v>
      </c>
      <c r="O148" s="1"/>
    </row>
    <row r="149" spans="1:17" hidden="1">
      <c r="A149" s="1" t="s">
        <v>121</v>
      </c>
      <c r="B149" s="1" t="s">
        <v>15</v>
      </c>
      <c r="C149" s="71">
        <v>127860445179</v>
      </c>
      <c r="D149" s="3">
        <v>22798.62</v>
      </c>
      <c r="E149" s="3">
        <v>12260423.34</v>
      </c>
      <c r="F149" s="1" t="s">
        <v>3065</v>
      </c>
      <c r="G149"/>
      <c r="H149"/>
      <c r="I149" s="19">
        <f>-IFERROR(VLOOKUP(C149,SIRCUPA!$A$21:$H$221,8,0),0)</f>
        <v>0</v>
      </c>
      <c r="J149" s="86">
        <f>-IFERROR(VLOOKUP(C149,SIRTAC!$A$16:$H$1458,8,0),0)</f>
        <v>-234</v>
      </c>
      <c r="K149" s="86">
        <f>-IFERROR(VLOOKUP(C149,Gastos!$A$9:$J$1451,10,0),0)</f>
        <v>-226.98</v>
      </c>
      <c r="L149" s="86">
        <f>-IFERROR(VLOOKUP(C149,IDC!$A$20:$H$1763,8,0),0)</f>
        <v>-140.4</v>
      </c>
      <c r="M149" s="95">
        <f t="shared" si="8"/>
        <v>23400</v>
      </c>
      <c r="O149" s="1"/>
    </row>
    <row r="150" spans="1:17" hidden="1">
      <c r="A150" s="1" t="s">
        <v>121</v>
      </c>
      <c r="B150" s="1" t="s">
        <v>15</v>
      </c>
      <c r="C150" s="71">
        <v>128426740974</v>
      </c>
      <c r="D150" s="3">
        <v>13640.2</v>
      </c>
      <c r="E150" s="3">
        <v>12274063.539999999</v>
      </c>
      <c r="F150" s="1" t="s">
        <v>3065</v>
      </c>
      <c r="G150"/>
      <c r="H150"/>
      <c r="I150" s="19">
        <f>-IFERROR(VLOOKUP(C150,SIRCUPA!$A$21:$H$221,8,0),0)</f>
        <v>0</v>
      </c>
      <c r="J150" s="86">
        <f>-IFERROR(VLOOKUP(C150,SIRTAC!$A$16:$H$1458,8,0),0)</f>
        <v>-140</v>
      </c>
      <c r="K150" s="86">
        <f>-IFERROR(VLOOKUP(C150,Gastos!$A$9:$J$1451,10,0),0)</f>
        <v>-135.80000000000001</v>
      </c>
      <c r="L150" s="86">
        <f>-IFERROR(VLOOKUP(C150,IDC!$A$20:$H$1763,8,0),0)</f>
        <v>-84</v>
      </c>
      <c r="M150" s="95">
        <f t="shared" si="8"/>
        <v>14000</v>
      </c>
      <c r="O150" s="1"/>
    </row>
    <row r="151" spans="1:17" hidden="1">
      <c r="A151" s="1" t="s">
        <v>121</v>
      </c>
      <c r="B151" s="1" t="s">
        <v>179</v>
      </c>
      <c r="C151" s="71">
        <v>128426752832</v>
      </c>
      <c r="D151" s="2">
        <v>685.3</v>
      </c>
      <c r="E151" s="3">
        <v>12274748.84</v>
      </c>
      <c r="F151" s="1" t="s">
        <v>3065</v>
      </c>
      <c r="G151"/>
      <c r="H151"/>
      <c r="I151" s="19">
        <f>-IFERROR(VLOOKUP(C151,SIRCUPA!$A$21:$H$221,8,0),0)</f>
        <v>-10.5</v>
      </c>
      <c r="J151" s="86">
        <f>-IFERROR(VLOOKUP(C151,SIRTAC!$A$16:$H$1458,8,0),0)</f>
        <v>0</v>
      </c>
      <c r="K151" s="86">
        <f>-IFERROR(VLOOKUP(C151,Gastos!$A$9:$J$1451,10,0),0)</f>
        <v>0</v>
      </c>
      <c r="L151" s="86">
        <f>-IFERROR(VLOOKUP(C151,IDC!$A$20:$H$1763,8,0),0)</f>
        <v>-4.2</v>
      </c>
      <c r="M151" s="95">
        <f t="shared" si="8"/>
        <v>700</v>
      </c>
      <c r="O151" s="1"/>
    </row>
    <row r="152" spans="1:17" hidden="1">
      <c r="A152" s="1" t="s">
        <v>121</v>
      </c>
      <c r="B152" s="1" t="s">
        <v>15</v>
      </c>
      <c r="C152" s="71">
        <v>128426737424</v>
      </c>
      <c r="D152" s="3">
        <v>9079</v>
      </c>
      <c r="E152" s="3">
        <v>12283827.84</v>
      </c>
      <c r="F152" s="1" t="s">
        <v>3065</v>
      </c>
      <c r="G152"/>
      <c r="H152"/>
      <c r="I152" s="19">
        <f>-IFERROR(VLOOKUP(C152,SIRCUPA!$A$21:$H$221,8,0),0)</f>
        <v>0</v>
      </c>
      <c r="J152" s="86">
        <f>-IFERROR(VLOOKUP(C152,SIRTAC!$A$16:$H$1458,8,0),0)</f>
        <v>-100</v>
      </c>
      <c r="K152" s="86">
        <f>-IFERROR(VLOOKUP(C152,Gastos!$A$9:$J$1451,10,0),0)</f>
        <v>-761</v>
      </c>
      <c r="L152" s="86">
        <f>-IFERROR(VLOOKUP(C152,IDC!$A$20:$H$1763,8,0),0)</f>
        <v>-60</v>
      </c>
      <c r="M152" s="95">
        <f t="shared" si="8"/>
        <v>10000</v>
      </c>
      <c r="O152" s="1"/>
    </row>
    <row r="153" spans="1:17" hidden="1">
      <c r="A153" s="1" t="s">
        <v>121</v>
      </c>
      <c r="B153" s="1" t="s">
        <v>15</v>
      </c>
      <c r="C153" s="71">
        <v>128426964542</v>
      </c>
      <c r="D153" s="3">
        <v>18901.419999999998</v>
      </c>
      <c r="E153" s="3">
        <v>12302729.26</v>
      </c>
      <c r="F153" s="1" t="s">
        <v>3065</v>
      </c>
      <c r="G153"/>
      <c r="H153"/>
      <c r="I153" s="19">
        <f>-IFERROR(VLOOKUP(C153,SIRCUPA!$A$21:$H$221,8,0),0)</f>
        <v>0</v>
      </c>
      <c r="J153" s="86">
        <f>-IFERROR(VLOOKUP(C153,SIRTAC!$A$16:$H$1458,8,0),0)</f>
        <v>-194</v>
      </c>
      <c r="K153" s="86">
        <f>-IFERROR(VLOOKUP(C153,Gastos!$A$9:$J$1451,10,0),0)</f>
        <v>-188.18</v>
      </c>
      <c r="L153" s="86">
        <f>-IFERROR(VLOOKUP(C153,IDC!$A$20:$H$1763,8,0),0)</f>
        <v>-116.4</v>
      </c>
      <c r="M153" s="95">
        <f t="shared" si="8"/>
        <v>19400</v>
      </c>
      <c r="O153" s="1"/>
    </row>
    <row r="154" spans="1:17" hidden="1">
      <c r="A154" s="1" t="s">
        <v>121</v>
      </c>
      <c r="B154" s="1" t="s">
        <v>15</v>
      </c>
      <c r="C154" s="71">
        <v>128426857870</v>
      </c>
      <c r="D154" s="3">
        <v>14127.35</v>
      </c>
      <c r="E154" s="3">
        <v>12316856.609999999</v>
      </c>
      <c r="F154" s="1" t="s">
        <v>3065</v>
      </c>
      <c r="G154"/>
      <c r="H154"/>
      <c r="I154" s="19">
        <f>-IFERROR(VLOOKUP(C154,SIRCUPA!$A$21:$H$221,8,0),0)</f>
        <v>0</v>
      </c>
      <c r="J154" s="86">
        <f>-IFERROR(VLOOKUP(C154,SIRTAC!$A$16:$H$1458,8,0),0)</f>
        <v>-145</v>
      </c>
      <c r="K154" s="86">
        <f>-IFERROR(VLOOKUP(C154,Gastos!$A$9:$J$1451,10,0),0)</f>
        <v>-140.65</v>
      </c>
      <c r="L154" s="86">
        <f>-IFERROR(VLOOKUP(C154,IDC!$A$20:$H$1763,8,0),0)</f>
        <v>-87</v>
      </c>
      <c r="M154" s="95">
        <f t="shared" si="8"/>
        <v>14500</v>
      </c>
      <c r="O154" s="1"/>
    </row>
    <row r="155" spans="1:17" hidden="1">
      <c r="A155" s="1" t="s">
        <v>121</v>
      </c>
      <c r="B155" s="1" t="s">
        <v>15</v>
      </c>
      <c r="C155" s="71">
        <v>127860773495</v>
      </c>
      <c r="D155" s="3">
        <v>4092.06</v>
      </c>
      <c r="E155" s="3">
        <v>12320948.67</v>
      </c>
      <c r="F155" s="1" t="s">
        <v>3065</v>
      </c>
      <c r="G155"/>
      <c r="H155"/>
      <c r="I155" s="19">
        <f>-IFERROR(VLOOKUP(C155,SIRCUPA!$A$21:$H$221,8,0),0)</f>
        <v>0</v>
      </c>
      <c r="J155" s="86">
        <f>-IFERROR(VLOOKUP(C155,SIRTAC!$A$16:$H$1458,8,0),0)</f>
        <v>-42</v>
      </c>
      <c r="K155" s="86">
        <f>-IFERROR(VLOOKUP(C155,Gastos!$A$9:$J$1451,10,0),0)</f>
        <v>-40.74</v>
      </c>
      <c r="L155" s="86">
        <f>-IFERROR(VLOOKUP(C155,IDC!$A$20:$H$1763,8,0),0)</f>
        <v>-25.2</v>
      </c>
      <c r="M155" s="95">
        <f t="shared" si="8"/>
        <v>4199.9999999999991</v>
      </c>
      <c r="O155" s="1"/>
    </row>
    <row r="156" spans="1:17" hidden="1">
      <c r="A156" s="1" t="s">
        <v>121</v>
      </c>
      <c r="B156" s="1" t="s">
        <v>15</v>
      </c>
      <c r="C156" s="71">
        <v>128427183126</v>
      </c>
      <c r="D156" s="3">
        <v>37997.699999999997</v>
      </c>
      <c r="E156" s="3">
        <v>12358946.369999999</v>
      </c>
      <c r="F156" s="1" t="s">
        <v>3065</v>
      </c>
      <c r="G156"/>
      <c r="H156"/>
      <c r="I156" s="19">
        <f>-IFERROR(VLOOKUP(C156,SIRCUPA!$A$21:$H$221,8,0),0)</f>
        <v>0</v>
      </c>
      <c r="J156" s="86">
        <f>-IFERROR(VLOOKUP(C156,SIRTAC!$A$16:$H$1458,8,0),0)</f>
        <v>-390</v>
      </c>
      <c r="K156" s="86">
        <f>-IFERROR(VLOOKUP(C156,Gastos!$A$9:$J$1451,10,0),0)</f>
        <v>-378.3</v>
      </c>
      <c r="L156" s="86">
        <f>-IFERROR(VLOOKUP(C156,IDC!$A$20:$H$1763,8,0),0)</f>
        <v>-234</v>
      </c>
      <c r="M156" s="95">
        <f t="shared" si="8"/>
        <v>39000</v>
      </c>
      <c r="O156" s="1"/>
    </row>
    <row r="157" spans="1:17" hidden="1">
      <c r="A157" s="1" t="s">
        <v>121</v>
      </c>
      <c r="B157" s="1" t="s">
        <v>15</v>
      </c>
      <c r="C157" s="71">
        <v>128427296372</v>
      </c>
      <c r="D157" s="3">
        <v>27280.400000000001</v>
      </c>
      <c r="E157" s="3">
        <v>12386226.77</v>
      </c>
      <c r="F157" s="1" t="s">
        <v>3065</v>
      </c>
      <c r="G157"/>
      <c r="H157"/>
      <c r="I157" s="19">
        <f>-IFERROR(VLOOKUP(C157,SIRCUPA!$A$21:$H$221,8,0),0)</f>
        <v>0</v>
      </c>
      <c r="J157" s="86">
        <f>-IFERROR(VLOOKUP(C157,SIRTAC!$A$16:$H$1458,8,0),0)</f>
        <v>-280</v>
      </c>
      <c r="K157" s="86">
        <f>-IFERROR(VLOOKUP(C157,Gastos!$A$9:$J$1451,10,0),0)</f>
        <v>-271.60000000000002</v>
      </c>
      <c r="L157" s="86">
        <f>-IFERROR(VLOOKUP(C157,IDC!$A$20:$H$1763,8,0),0)</f>
        <v>-168</v>
      </c>
      <c r="M157" s="95">
        <f t="shared" si="8"/>
        <v>28000</v>
      </c>
      <c r="O157" s="1"/>
    </row>
    <row r="158" spans="1:17" s="67" customFormat="1" hidden="1">
      <c r="A158" s="67" t="s">
        <v>461</v>
      </c>
      <c r="B158" s="67" t="s">
        <v>51</v>
      </c>
      <c r="C158" s="75">
        <v>128302630577</v>
      </c>
      <c r="D158" s="68">
        <v>-7688.4</v>
      </c>
      <c r="E158" s="3">
        <v>11769469.119999999</v>
      </c>
      <c r="F158" s="67" t="s">
        <v>3062</v>
      </c>
      <c r="G158" s="69">
        <f>+D158/0.006</f>
        <v>-1281400</v>
      </c>
      <c r="H158" s="69"/>
      <c r="I158" s="69">
        <f>-IFERROR(VLOOKUP(C158,SIRCUPA!$A$21:$H$221,8,0),0)</f>
        <v>0</v>
      </c>
      <c r="J158" s="69">
        <f>-IFERROR(VLOOKUP(C158,SIRTAC!$A$16:$H$1458,8,0),0)</f>
        <v>0</v>
      </c>
      <c r="K158" s="69">
        <f>-IFERROR(VLOOKUP(C158,Gastos!$A$9:$J$1451,10,0),0)</f>
        <v>0</v>
      </c>
      <c r="L158" s="69"/>
      <c r="M158" s="96">
        <f>+D158</f>
        <v>-7688.4</v>
      </c>
      <c r="P158" s="19"/>
      <c r="Q158" s="19"/>
    </row>
    <row r="159" spans="1:17" s="67" customFormat="1" hidden="1">
      <c r="A159" s="67" t="s">
        <v>461</v>
      </c>
      <c r="B159" s="67" t="s">
        <v>473</v>
      </c>
      <c r="C159" s="75">
        <v>128302630577</v>
      </c>
      <c r="D159" s="68">
        <v>-1281400.02</v>
      </c>
      <c r="E159" s="3">
        <v>11777157.52</v>
      </c>
      <c r="F159" s="67" t="s">
        <v>3066</v>
      </c>
      <c r="G159" s="69">
        <f>+D159/1.006</f>
        <v>-1273757.4751491053</v>
      </c>
      <c r="H159" s="69">
        <f>+D159-G159</f>
        <v>-7642.5448508947156</v>
      </c>
      <c r="I159" s="69">
        <f>-IFERROR(VLOOKUP(C159,SIRCUPA!$A$21:$H$221,8,0),0)</f>
        <v>0</v>
      </c>
      <c r="J159" s="69">
        <f>-IFERROR(VLOOKUP(C159,SIRTAC!$A$16:$H$1458,8,0),0)</f>
        <v>0</v>
      </c>
      <c r="K159" s="69">
        <f>-IFERROR(VLOOKUP(C159,Gastos!$A$9:$J$1451,10,0),0)</f>
        <v>0</v>
      </c>
      <c r="L159" s="69">
        <f>-IFERROR(VLOOKUP(C159,IDC!$A$20:$H$1763,8,0),0)</f>
        <v>-7688.4</v>
      </c>
      <c r="M159" s="96">
        <f>+D159</f>
        <v>-1281400.02</v>
      </c>
      <c r="P159" s="19"/>
      <c r="Q159" s="19"/>
    </row>
    <row r="160" spans="1:17" hidden="1">
      <c r="A160" s="1" t="s">
        <v>121</v>
      </c>
      <c r="B160" s="1" t="s">
        <v>15</v>
      </c>
      <c r="C160" s="71">
        <v>128532328060</v>
      </c>
      <c r="D160" s="3">
        <v>34953.9</v>
      </c>
      <c r="E160" s="3">
        <v>11663719.01</v>
      </c>
      <c r="F160" s="1" t="s">
        <v>3065</v>
      </c>
      <c r="G160"/>
      <c r="H160"/>
      <c r="I160" s="19">
        <f>-IFERROR(VLOOKUP(C160,SIRCUPA!$A$21:$H$221,8,0),0)</f>
        <v>0</v>
      </c>
      <c r="J160" s="86">
        <f>-IFERROR(VLOOKUP(C160,SIRTAC!$A$16:$H$1458,8,0),0)</f>
        <v>-370</v>
      </c>
      <c r="K160" s="86">
        <f>-IFERROR(VLOOKUP(C160,Gastos!$A$9:$J$1451,10,0),0)</f>
        <v>-1454.1</v>
      </c>
      <c r="L160" s="86">
        <f>-IFERROR(VLOOKUP(C160,IDC!$A$20:$H$1763,8,0),0)</f>
        <v>-222</v>
      </c>
      <c r="M160" s="95">
        <f t="shared" ref="M160:M223" si="9">+D160-I160-J160-K160-L160</f>
        <v>37000</v>
      </c>
      <c r="O160" s="1"/>
    </row>
    <row r="161" spans="1:15" hidden="1">
      <c r="A161" s="1" t="s">
        <v>121</v>
      </c>
      <c r="B161" s="1" t="s">
        <v>15</v>
      </c>
      <c r="C161" s="71">
        <v>128538963780</v>
      </c>
      <c r="D161" s="3">
        <v>9353.2800000000007</v>
      </c>
      <c r="E161" s="3">
        <v>11673072.289999999</v>
      </c>
      <c r="F161" s="1" t="s">
        <v>3065</v>
      </c>
      <c r="G161"/>
      <c r="H161"/>
      <c r="I161" s="19">
        <f>-IFERROR(VLOOKUP(C161,SIRCUPA!$A$21:$H$221,8,0),0)</f>
        <v>0</v>
      </c>
      <c r="J161" s="86">
        <f>-IFERROR(VLOOKUP(C161,SIRTAC!$A$16:$H$1458,8,0),0)</f>
        <v>-96</v>
      </c>
      <c r="K161" s="86">
        <f>-IFERROR(VLOOKUP(C161,Gastos!$A$9:$J$1451,10,0),0)</f>
        <v>-93.12</v>
      </c>
      <c r="L161" s="86">
        <f>-IFERROR(VLOOKUP(C161,IDC!$A$20:$H$1763,8,0),0)</f>
        <v>-57.6</v>
      </c>
      <c r="M161" s="95">
        <f t="shared" si="9"/>
        <v>9600.0000000000018</v>
      </c>
      <c r="O161" s="1"/>
    </row>
    <row r="162" spans="1:15" hidden="1">
      <c r="A162" s="1" t="s">
        <v>121</v>
      </c>
      <c r="B162" s="1" t="s">
        <v>15</v>
      </c>
      <c r="C162" s="71">
        <v>128541606502</v>
      </c>
      <c r="D162" s="3">
        <v>38585.75</v>
      </c>
      <c r="E162" s="3">
        <v>11711658.039999999</v>
      </c>
      <c r="F162" s="1" t="s">
        <v>3065</v>
      </c>
      <c r="G162"/>
      <c r="H162"/>
      <c r="I162" s="19">
        <f>-IFERROR(VLOOKUP(C162,SIRCUPA!$A$21:$H$221,8,0),0)</f>
        <v>0</v>
      </c>
      <c r="J162" s="86">
        <f>-IFERROR(VLOOKUP(C162,SIRTAC!$A$16:$H$1458,8,0),0)</f>
        <v>-425</v>
      </c>
      <c r="K162" s="86">
        <f>-IFERROR(VLOOKUP(C162,Gastos!$A$9:$J$1451,10,0),0)</f>
        <v>-3234.25</v>
      </c>
      <c r="L162" s="86">
        <f>-IFERROR(VLOOKUP(C162,IDC!$A$20:$H$1763,8,0),0)</f>
        <v>-255</v>
      </c>
      <c r="M162" s="95">
        <f t="shared" si="9"/>
        <v>42500</v>
      </c>
      <c r="O162" s="1"/>
    </row>
    <row r="163" spans="1:15" hidden="1">
      <c r="A163" s="1" t="s">
        <v>121</v>
      </c>
      <c r="B163" s="1" t="s">
        <v>192</v>
      </c>
      <c r="C163" s="71">
        <v>127974511167</v>
      </c>
      <c r="D163" s="3">
        <v>2080.37</v>
      </c>
      <c r="E163" s="3">
        <v>11713738.41</v>
      </c>
      <c r="F163" s="1" t="s">
        <v>3065</v>
      </c>
      <c r="G163"/>
      <c r="H163"/>
      <c r="I163" s="19">
        <f>-IFERROR(VLOOKUP(C163,SIRCUPA!$A$21:$H$221,8,0),0)</f>
        <v>-31.88</v>
      </c>
      <c r="J163" s="86">
        <f>-IFERROR(VLOOKUP(C163,SIRTAC!$A$16:$H$1458,8,0),0)</f>
        <v>0</v>
      </c>
      <c r="K163" s="86">
        <f>-IFERROR(VLOOKUP(C163,Gastos!$A$9:$J$1451,10,0),0)</f>
        <v>0</v>
      </c>
      <c r="L163" s="86">
        <f>-IFERROR(VLOOKUP(C163,IDC!$A$20:$H$1763,8,0),0)</f>
        <v>-12.75</v>
      </c>
      <c r="M163" s="95">
        <f t="shared" si="9"/>
        <v>2125</v>
      </c>
      <c r="O163" s="1"/>
    </row>
    <row r="164" spans="1:15" hidden="1">
      <c r="A164" s="1" t="s">
        <v>121</v>
      </c>
      <c r="B164" s="1" t="s">
        <v>15</v>
      </c>
      <c r="C164" s="71">
        <v>127975227343</v>
      </c>
      <c r="D164" s="3">
        <v>9548.14</v>
      </c>
      <c r="E164" s="3">
        <v>11723286.550000001</v>
      </c>
      <c r="F164" s="1" t="s">
        <v>3065</v>
      </c>
      <c r="G164"/>
      <c r="H164"/>
      <c r="I164" s="19">
        <f>-IFERROR(VLOOKUP(C164,SIRCUPA!$A$21:$H$221,8,0),0)</f>
        <v>0</v>
      </c>
      <c r="J164" s="86">
        <f>-IFERROR(VLOOKUP(C164,SIRTAC!$A$16:$H$1458,8,0),0)</f>
        <v>-98</v>
      </c>
      <c r="K164" s="86">
        <f>-IFERROR(VLOOKUP(C164,Gastos!$A$9:$J$1451,10,0),0)</f>
        <v>-95.06</v>
      </c>
      <c r="L164" s="86">
        <f>-IFERROR(VLOOKUP(C164,IDC!$A$20:$H$1763,8,0),0)</f>
        <v>-58.8</v>
      </c>
      <c r="M164" s="95">
        <f t="shared" si="9"/>
        <v>9799.9999999999982</v>
      </c>
      <c r="O164" s="1"/>
    </row>
    <row r="165" spans="1:15" hidden="1">
      <c r="A165" s="1" t="s">
        <v>121</v>
      </c>
      <c r="B165" s="1" t="s">
        <v>15</v>
      </c>
      <c r="C165" s="71">
        <v>127975543977</v>
      </c>
      <c r="D165" s="3">
        <v>12958.19</v>
      </c>
      <c r="E165" s="3">
        <v>11736244.74</v>
      </c>
      <c r="F165" s="1" t="s">
        <v>3065</v>
      </c>
      <c r="G165"/>
      <c r="H165"/>
      <c r="I165" s="19">
        <f>-IFERROR(VLOOKUP(C165,SIRCUPA!$A$21:$H$221,8,0),0)</f>
        <v>0</v>
      </c>
      <c r="J165" s="86">
        <f>-IFERROR(VLOOKUP(C165,SIRTAC!$A$16:$H$1458,8,0),0)</f>
        <v>-133</v>
      </c>
      <c r="K165" s="86">
        <f>-IFERROR(VLOOKUP(C165,Gastos!$A$9:$J$1451,10,0),0)</f>
        <v>-129.01</v>
      </c>
      <c r="L165" s="86">
        <f>-IFERROR(VLOOKUP(C165,IDC!$A$20:$H$1763,8,0),0)</f>
        <v>-79.8</v>
      </c>
      <c r="M165" s="95">
        <f t="shared" si="9"/>
        <v>13300</v>
      </c>
      <c r="O165" s="1"/>
    </row>
    <row r="166" spans="1:15" hidden="1">
      <c r="A166" s="1" t="s">
        <v>121</v>
      </c>
      <c r="B166" s="1" t="s">
        <v>196</v>
      </c>
      <c r="C166" s="71">
        <v>128542794370</v>
      </c>
      <c r="D166" s="3">
        <v>1953.1</v>
      </c>
      <c r="E166" s="3">
        <v>11738197.84</v>
      </c>
      <c r="F166" s="1" t="s">
        <v>3065</v>
      </c>
      <c r="G166"/>
      <c r="H166"/>
      <c r="I166" s="19">
        <f>-IFERROR(VLOOKUP(C166,SIRCUPA!$A$21:$H$221,8,0),0)</f>
        <v>-29.93</v>
      </c>
      <c r="J166" s="86">
        <f>-IFERROR(VLOOKUP(C166,SIRTAC!$A$16:$H$1458,8,0),0)</f>
        <v>0</v>
      </c>
      <c r="K166" s="86">
        <f>-IFERROR(VLOOKUP(C166,Gastos!$A$9:$J$1451,10,0),0)</f>
        <v>0</v>
      </c>
      <c r="L166" s="86">
        <f>-IFERROR(VLOOKUP(C166,IDC!$A$20:$H$1763,8,0),0)</f>
        <v>-11.97</v>
      </c>
      <c r="M166" s="95">
        <f t="shared" si="9"/>
        <v>1995</v>
      </c>
      <c r="O166" s="1"/>
    </row>
    <row r="167" spans="1:15" hidden="1">
      <c r="A167" s="1" t="s">
        <v>121</v>
      </c>
      <c r="B167" s="1" t="s">
        <v>15</v>
      </c>
      <c r="C167" s="71">
        <v>128544354086</v>
      </c>
      <c r="D167" s="3">
        <v>27112.89</v>
      </c>
      <c r="E167" s="3">
        <v>11765310.73</v>
      </c>
      <c r="F167" s="1" t="s">
        <v>3065</v>
      </c>
      <c r="G167"/>
      <c r="H167"/>
      <c r="I167" s="19">
        <f>-IFERROR(VLOOKUP(C167,SIRCUPA!$A$21:$H$221,8,0),0)</f>
        <v>0</v>
      </c>
      <c r="J167" s="86">
        <f>-IFERROR(VLOOKUP(C167,SIRTAC!$A$16:$H$1458,8,0),0)</f>
        <v>-287</v>
      </c>
      <c r="K167" s="86">
        <f>-IFERROR(VLOOKUP(C167,Gastos!$A$9:$J$1451,10,0),0)</f>
        <v>-1127.9100000000001</v>
      </c>
      <c r="L167" s="86">
        <f>-IFERROR(VLOOKUP(C167,IDC!$A$20:$H$1763,8,0),0)</f>
        <v>-172.2</v>
      </c>
      <c r="M167" s="95">
        <f t="shared" si="9"/>
        <v>28700</v>
      </c>
      <c r="O167" s="1"/>
    </row>
    <row r="168" spans="1:15" hidden="1">
      <c r="A168" s="1" t="s">
        <v>121</v>
      </c>
      <c r="B168" s="1" t="s">
        <v>15</v>
      </c>
      <c r="C168" s="71">
        <v>127978785635</v>
      </c>
      <c r="D168" s="3">
        <v>7794.4</v>
      </c>
      <c r="E168" s="3">
        <v>11773105.130000001</v>
      </c>
      <c r="F168" s="1" t="s">
        <v>3065</v>
      </c>
      <c r="G168"/>
      <c r="H168"/>
      <c r="I168" s="19">
        <f>-IFERROR(VLOOKUP(C168,SIRCUPA!$A$21:$H$221,8,0),0)</f>
        <v>0</v>
      </c>
      <c r="J168" s="86">
        <f>-IFERROR(VLOOKUP(C168,SIRTAC!$A$16:$H$1458,8,0),0)</f>
        <v>-80</v>
      </c>
      <c r="K168" s="86">
        <f>-IFERROR(VLOOKUP(C168,Gastos!$A$9:$J$1451,10,0),0)</f>
        <v>-77.599999999999994</v>
      </c>
      <c r="L168" s="86">
        <f>-IFERROR(VLOOKUP(C168,IDC!$A$20:$H$1763,8,0),0)</f>
        <v>-48</v>
      </c>
      <c r="M168" s="95">
        <f t="shared" si="9"/>
        <v>8000</v>
      </c>
      <c r="O168" s="1"/>
    </row>
    <row r="169" spans="1:15" hidden="1">
      <c r="A169" s="1" t="s">
        <v>121</v>
      </c>
      <c r="B169" s="1" t="s">
        <v>15</v>
      </c>
      <c r="C169" s="71">
        <v>127978952503</v>
      </c>
      <c r="D169" s="3">
        <v>15004.22</v>
      </c>
      <c r="E169" s="3">
        <v>11788109.35</v>
      </c>
      <c r="F169" s="1" t="s">
        <v>3065</v>
      </c>
      <c r="G169"/>
      <c r="H169"/>
      <c r="I169" s="19">
        <f>-IFERROR(VLOOKUP(C169,SIRCUPA!$A$21:$H$221,8,0),0)</f>
        <v>0</v>
      </c>
      <c r="J169" s="86">
        <f>-IFERROR(VLOOKUP(C169,SIRTAC!$A$16:$H$1458,8,0),0)</f>
        <v>-154</v>
      </c>
      <c r="K169" s="86">
        <f>-IFERROR(VLOOKUP(C169,Gastos!$A$9:$J$1451,10,0),0)</f>
        <v>-149.38</v>
      </c>
      <c r="L169" s="86">
        <f>-IFERROR(VLOOKUP(C169,IDC!$A$20:$H$1763,8,0),0)</f>
        <v>-92.4</v>
      </c>
      <c r="M169" s="95">
        <f t="shared" si="9"/>
        <v>15399.999999999998</v>
      </c>
      <c r="O169" s="1"/>
    </row>
    <row r="170" spans="1:15" hidden="1">
      <c r="A170" s="1" t="s">
        <v>121</v>
      </c>
      <c r="B170" s="1" t="s">
        <v>15</v>
      </c>
      <c r="C170" s="71">
        <v>128546191150</v>
      </c>
      <c r="D170" s="3">
        <v>9353.2800000000007</v>
      </c>
      <c r="E170" s="3">
        <v>11797462.630000001</v>
      </c>
      <c r="F170" s="1" t="s">
        <v>3065</v>
      </c>
      <c r="G170"/>
      <c r="H170"/>
      <c r="I170" s="19">
        <f>-IFERROR(VLOOKUP(C170,SIRCUPA!$A$21:$H$221,8,0),0)</f>
        <v>0</v>
      </c>
      <c r="J170" s="86">
        <f>-IFERROR(VLOOKUP(C170,SIRTAC!$A$16:$H$1458,8,0),0)</f>
        <v>-96</v>
      </c>
      <c r="K170" s="86">
        <f>-IFERROR(VLOOKUP(C170,Gastos!$A$9:$J$1451,10,0),0)</f>
        <v>-93.12</v>
      </c>
      <c r="L170" s="86">
        <f>-IFERROR(VLOOKUP(C170,IDC!$A$20:$H$1763,8,0),0)</f>
        <v>-57.6</v>
      </c>
      <c r="M170" s="95">
        <f t="shared" si="9"/>
        <v>9600.0000000000018</v>
      </c>
      <c r="O170" s="1"/>
    </row>
    <row r="171" spans="1:15" hidden="1">
      <c r="A171" s="1" t="s">
        <v>121</v>
      </c>
      <c r="B171" s="1" t="s">
        <v>202</v>
      </c>
      <c r="C171" s="71">
        <v>128546254534</v>
      </c>
      <c r="D171" s="2">
        <v>469.92</v>
      </c>
      <c r="E171" s="3">
        <v>11797932.550000001</v>
      </c>
      <c r="F171" s="1" t="s">
        <v>3065</v>
      </c>
      <c r="G171"/>
      <c r="H171"/>
      <c r="I171" s="19">
        <f>-IFERROR(VLOOKUP(C171,SIRCUPA!$A$21:$H$221,8,0),0)</f>
        <v>-7.2</v>
      </c>
      <c r="J171" s="86">
        <f>-IFERROR(VLOOKUP(C171,SIRTAC!$A$16:$H$1458,8,0),0)</f>
        <v>0</v>
      </c>
      <c r="K171" s="86">
        <f>-IFERROR(VLOOKUP(C171,Gastos!$A$9:$J$1451,10,0),0)</f>
        <v>0</v>
      </c>
      <c r="L171" s="86">
        <f>-IFERROR(VLOOKUP(C171,IDC!$A$20:$H$1763,8,0),0)</f>
        <v>-2.88</v>
      </c>
      <c r="M171" s="95">
        <f t="shared" si="9"/>
        <v>480</v>
      </c>
      <c r="O171" s="1"/>
    </row>
    <row r="172" spans="1:15" hidden="1">
      <c r="A172" s="1" t="s">
        <v>121</v>
      </c>
      <c r="B172" s="1" t="s">
        <v>15</v>
      </c>
      <c r="C172" s="71">
        <v>127979226453</v>
      </c>
      <c r="D172" s="3">
        <v>7935.48</v>
      </c>
      <c r="E172" s="3">
        <v>11805868.029999999</v>
      </c>
      <c r="F172" s="1" t="s">
        <v>3065</v>
      </c>
      <c r="G172"/>
      <c r="H172"/>
      <c r="I172" s="19">
        <f>-IFERROR(VLOOKUP(C172,SIRCUPA!$A$21:$H$221,8,0),0)</f>
        <v>0</v>
      </c>
      <c r="J172" s="86">
        <f>-IFERROR(VLOOKUP(C172,SIRTAC!$A$16:$H$1458,8,0),0)</f>
        <v>-84</v>
      </c>
      <c r="K172" s="86">
        <f>-IFERROR(VLOOKUP(C172,Gastos!$A$9:$J$1451,10,0),0)</f>
        <v>-330.12</v>
      </c>
      <c r="L172" s="86">
        <f>-IFERROR(VLOOKUP(C172,IDC!$A$20:$H$1763,8,0),0)</f>
        <v>-50.4</v>
      </c>
      <c r="M172" s="95">
        <f t="shared" si="9"/>
        <v>8400</v>
      </c>
      <c r="O172" s="1"/>
    </row>
    <row r="173" spans="1:15" hidden="1">
      <c r="A173" s="1" t="s">
        <v>121</v>
      </c>
      <c r="B173" s="1" t="s">
        <v>15</v>
      </c>
      <c r="C173" s="71">
        <v>128552186160</v>
      </c>
      <c r="D173" s="3">
        <v>2240.89</v>
      </c>
      <c r="E173" s="3">
        <v>11808108.92</v>
      </c>
      <c r="F173" s="1" t="s">
        <v>3065</v>
      </c>
      <c r="G173"/>
      <c r="H173"/>
      <c r="I173" s="19">
        <f>-IFERROR(VLOOKUP(C173,SIRCUPA!$A$21:$H$221,8,0),0)</f>
        <v>0</v>
      </c>
      <c r="J173" s="86">
        <f>-IFERROR(VLOOKUP(C173,SIRTAC!$A$16:$H$1458,8,0),0)</f>
        <v>-23</v>
      </c>
      <c r="K173" s="86">
        <f>-IFERROR(VLOOKUP(C173,Gastos!$A$9:$J$1451,10,0),0)</f>
        <v>-22.31</v>
      </c>
      <c r="L173" s="86">
        <f>-IFERROR(VLOOKUP(C173,IDC!$A$20:$H$1763,8,0),0)</f>
        <v>-13.8</v>
      </c>
      <c r="M173" s="95">
        <f t="shared" si="9"/>
        <v>2300</v>
      </c>
      <c r="O173" s="1"/>
    </row>
    <row r="174" spans="1:15" hidden="1">
      <c r="A174" s="1" t="s">
        <v>121</v>
      </c>
      <c r="B174" s="1" t="s">
        <v>15</v>
      </c>
      <c r="C174" s="71">
        <v>128553170088</v>
      </c>
      <c r="D174" s="3">
        <v>9743</v>
      </c>
      <c r="E174" s="3">
        <v>11817851.92</v>
      </c>
      <c r="F174" s="1" t="s">
        <v>3065</v>
      </c>
      <c r="G174"/>
      <c r="H174"/>
      <c r="I174" s="19">
        <f>-IFERROR(VLOOKUP(C174,SIRCUPA!$A$21:$H$221,8,0),0)</f>
        <v>0</v>
      </c>
      <c r="J174" s="86">
        <f>-IFERROR(VLOOKUP(C174,SIRTAC!$A$16:$H$1458,8,0),0)</f>
        <v>-100</v>
      </c>
      <c r="K174" s="86">
        <f>-IFERROR(VLOOKUP(C174,Gastos!$A$9:$J$1451,10,0),0)</f>
        <v>-97</v>
      </c>
      <c r="L174" s="86">
        <f>-IFERROR(VLOOKUP(C174,IDC!$A$20:$H$1763,8,0),0)</f>
        <v>-60</v>
      </c>
      <c r="M174" s="95">
        <f t="shared" si="9"/>
        <v>10000</v>
      </c>
      <c r="O174" s="1"/>
    </row>
    <row r="175" spans="1:15" hidden="1">
      <c r="A175" s="1" t="s">
        <v>121</v>
      </c>
      <c r="B175" s="1" t="s">
        <v>15</v>
      </c>
      <c r="C175" s="71">
        <v>127987036961</v>
      </c>
      <c r="D175" s="3">
        <v>7884.24</v>
      </c>
      <c r="E175" s="3">
        <v>11825736.16</v>
      </c>
      <c r="F175" s="1" t="s">
        <v>3065</v>
      </c>
      <c r="G175"/>
      <c r="H175"/>
      <c r="I175" s="19">
        <f>-IFERROR(VLOOKUP(C175,SIRCUPA!$A$21:$H$221,8,0),0)</f>
        <v>0</v>
      </c>
      <c r="J175" s="86">
        <f>-IFERROR(VLOOKUP(C175,SIRTAC!$A$16:$H$1458,8,0),0)</f>
        <v>-84</v>
      </c>
      <c r="K175" s="86">
        <f>-IFERROR(VLOOKUP(C175,Gastos!$A$9:$J$1451,10,0),0)</f>
        <v>-381.36</v>
      </c>
      <c r="L175" s="86">
        <f>-IFERROR(VLOOKUP(C175,IDC!$A$20:$H$1763,8,0),0)</f>
        <v>-50.4</v>
      </c>
      <c r="M175" s="95">
        <f t="shared" si="9"/>
        <v>8400</v>
      </c>
      <c r="O175" s="1"/>
    </row>
    <row r="176" spans="1:15" hidden="1">
      <c r="A176" s="1" t="s">
        <v>121</v>
      </c>
      <c r="B176" s="1" t="s">
        <v>15</v>
      </c>
      <c r="C176" s="71">
        <v>128554292288</v>
      </c>
      <c r="D176" s="3">
        <v>4774.07</v>
      </c>
      <c r="E176" s="3">
        <v>11830510.23</v>
      </c>
      <c r="F176" s="1" t="s">
        <v>3065</v>
      </c>
      <c r="G176"/>
      <c r="H176"/>
      <c r="I176" s="19">
        <f>-IFERROR(VLOOKUP(C176,SIRCUPA!$A$21:$H$221,8,0),0)</f>
        <v>0</v>
      </c>
      <c r="J176" s="86">
        <f>-IFERROR(VLOOKUP(C176,SIRTAC!$A$16:$H$1458,8,0),0)</f>
        <v>-49</v>
      </c>
      <c r="K176" s="86">
        <f>-IFERROR(VLOOKUP(C176,Gastos!$A$9:$J$1451,10,0),0)</f>
        <v>-47.53</v>
      </c>
      <c r="L176" s="86">
        <f>-IFERROR(VLOOKUP(C176,IDC!$A$20:$H$1763,8,0),0)</f>
        <v>-29.4</v>
      </c>
      <c r="M176" s="95">
        <f t="shared" si="9"/>
        <v>4899.9999999999991</v>
      </c>
      <c r="O176" s="1"/>
    </row>
    <row r="177" spans="1:15" hidden="1">
      <c r="A177" s="1" t="s">
        <v>121</v>
      </c>
      <c r="B177" s="1" t="s">
        <v>15</v>
      </c>
      <c r="C177" s="71">
        <v>127988026707</v>
      </c>
      <c r="D177" s="3">
        <v>41417.56</v>
      </c>
      <c r="E177" s="3">
        <v>11871927.789999999</v>
      </c>
      <c r="F177" s="1" t="s">
        <v>3065</v>
      </c>
      <c r="G177"/>
      <c r="H177"/>
      <c r="I177" s="19">
        <f>-IFERROR(VLOOKUP(C177,SIRCUPA!$A$21:$H$221,8,0),0)</f>
        <v>0</v>
      </c>
      <c r="J177" s="86">
        <f>-IFERROR(VLOOKUP(C177,SIRTAC!$A$16:$H$1458,8,0),0)</f>
        <v>-428</v>
      </c>
      <c r="K177" s="86">
        <f>-IFERROR(VLOOKUP(C177,Gastos!$A$9:$J$1451,10,0),0)</f>
        <v>-697.64</v>
      </c>
      <c r="L177" s="86">
        <f>-IFERROR(VLOOKUP(C177,IDC!$A$20:$H$1763,8,0),0)</f>
        <v>-256.8</v>
      </c>
      <c r="M177" s="95">
        <f t="shared" si="9"/>
        <v>42800</v>
      </c>
      <c r="O177" s="1"/>
    </row>
    <row r="178" spans="1:15" hidden="1">
      <c r="A178" s="1" t="s">
        <v>121</v>
      </c>
      <c r="B178" s="1" t="s">
        <v>15</v>
      </c>
      <c r="C178" s="71">
        <v>128557855134</v>
      </c>
      <c r="D178" s="3">
        <v>33613.35</v>
      </c>
      <c r="E178" s="3">
        <v>11905541.140000001</v>
      </c>
      <c r="F178" s="1" t="s">
        <v>3065</v>
      </c>
      <c r="G178"/>
      <c r="H178"/>
      <c r="I178" s="19">
        <f>-IFERROR(VLOOKUP(C178,SIRCUPA!$A$21:$H$221,8,0),0)</f>
        <v>0</v>
      </c>
      <c r="J178" s="86">
        <f>-IFERROR(VLOOKUP(C178,SIRTAC!$A$16:$H$1458,8,0),0)</f>
        <v>-345</v>
      </c>
      <c r="K178" s="86">
        <f>-IFERROR(VLOOKUP(C178,Gastos!$A$9:$J$1451,10,0),0)</f>
        <v>-334.65</v>
      </c>
      <c r="L178" s="86">
        <f>-IFERROR(VLOOKUP(C178,IDC!$A$20:$H$1763,8,0),0)</f>
        <v>-207</v>
      </c>
      <c r="M178" s="95">
        <f t="shared" si="9"/>
        <v>34500</v>
      </c>
      <c r="O178" s="1"/>
    </row>
    <row r="179" spans="1:15" hidden="1">
      <c r="A179" s="1" t="s">
        <v>121</v>
      </c>
      <c r="B179" s="1" t="s">
        <v>211</v>
      </c>
      <c r="C179" s="71">
        <v>128557902440</v>
      </c>
      <c r="D179" s="3">
        <v>3377.55</v>
      </c>
      <c r="E179" s="3">
        <v>11908918.689999999</v>
      </c>
      <c r="F179" s="1" t="s">
        <v>3065</v>
      </c>
      <c r="G179"/>
      <c r="H179"/>
      <c r="I179" s="19">
        <f>-IFERROR(VLOOKUP(C179,SIRCUPA!$A$21:$H$221,8,0),0)</f>
        <v>-51.75</v>
      </c>
      <c r="J179" s="86">
        <f>-IFERROR(VLOOKUP(C179,SIRTAC!$A$16:$H$1458,8,0),0)</f>
        <v>0</v>
      </c>
      <c r="K179" s="86">
        <f>-IFERROR(VLOOKUP(C179,Gastos!$A$9:$J$1451,10,0),0)</f>
        <v>0</v>
      </c>
      <c r="L179" s="86">
        <f>-IFERROR(VLOOKUP(C179,IDC!$A$20:$H$1763,8,0),0)</f>
        <v>-20.7</v>
      </c>
      <c r="M179" s="95">
        <f t="shared" si="9"/>
        <v>3450</v>
      </c>
      <c r="O179" s="1"/>
    </row>
    <row r="180" spans="1:15" hidden="1">
      <c r="A180" s="1" t="s">
        <v>121</v>
      </c>
      <c r="B180" s="1" t="s">
        <v>15</v>
      </c>
      <c r="C180" s="71">
        <v>128557987022</v>
      </c>
      <c r="D180" s="3">
        <v>4676.6400000000003</v>
      </c>
      <c r="E180" s="3">
        <v>11913595.33</v>
      </c>
      <c r="F180" s="1" t="s">
        <v>3065</v>
      </c>
      <c r="G180"/>
      <c r="H180"/>
      <c r="I180" s="19">
        <f>-IFERROR(VLOOKUP(C180,SIRCUPA!$A$21:$H$221,8,0),0)</f>
        <v>0</v>
      </c>
      <c r="J180" s="86">
        <f>-IFERROR(VLOOKUP(C180,SIRTAC!$A$16:$H$1458,8,0),0)</f>
        <v>-48</v>
      </c>
      <c r="K180" s="86">
        <f>-IFERROR(VLOOKUP(C180,Gastos!$A$9:$J$1451,10,0),0)</f>
        <v>-46.56</v>
      </c>
      <c r="L180" s="86">
        <f>-IFERROR(VLOOKUP(C180,IDC!$A$20:$H$1763,8,0),0)</f>
        <v>-28.8</v>
      </c>
      <c r="M180" s="95">
        <f t="shared" si="9"/>
        <v>4800.0000000000009</v>
      </c>
      <c r="O180" s="1"/>
    </row>
    <row r="181" spans="1:15" hidden="1">
      <c r="A181" s="1" t="s">
        <v>121</v>
      </c>
      <c r="B181" s="1" t="s">
        <v>15</v>
      </c>
      <c r="C181" s="71">
        <v>128558595664</v>
      </c>
      <c r="D181" s="3">
        <v>19096.28</v>
      </c>
      <c r="E181" s="3">
        <v>11932691.609999999</v>
      </c>
      <c r="F181" s="1" t="s">
        <v>3065</v>
      </c>
      <c r="G181"/>
      <c r="H181"/>
      <c r="I181" s="19">
        <f>-IFERROR(VLOOKUP(C181,SIRCUPA!$A$21:$H$221,8,0),0)</f>
        <v>0</v>
      </c>
      <c r="J181" s="86">
        <f>-IFERROR(VLOOKUP(C181,SIRTAC!$A$16:$H$1458,8,0),0)</f>
        <v>-196</v>
      </c>
      <c r="K181" s="86">
        <f>-IFERROR(VLOOKUP(C181,Gastos!$A$9:$J$1451,10,0),0)</f>
        <v>-190.12</v>
      </c>
      <c r="L181" s="86">
        <f>-IFERROR(VLOOKUP(C181,IDC!$A$20:$H$1763,8,0),0)</f>
        <v>-117.6</v>
      </c>
      <c r="M181" s="95">
        <f t="shared" si="9"/>
        <v>19599.999999999996</v>
      </c>
      <c r="O181" s="1"/>
    </row>
    <row r="182" spans="1:15" hidden="1">
      <c r="A182" s="1" t="s">
        <v>121</v>
      </c>
      <c r="B182" s="1" t="s">
        <v>15</v>
      </c>
      <c r="C182" s="71">
        <v>128558731210</v>
      </c>
      <c r="D182" s="3">
        <v>43064.06</v>
      </c>
      <c r="E182" s="3">
        <v>11975755.67</v>
      </c>
      <c r="F182" s="1" t="s">
        <v>3065</v>
      </c>
      <c r="G182"/>
      <c r="H182"/>
      <c r="I182" s="19">
        <f>-IFERROR(VLOOKUP(C182,SIRCUPA!$A$21:$H$221,8,0),0)</f>
        <v>0</v>
      </c>
      <c r="J182" s="86">
        <f>-IFERROR(VLOOKUP(C182,SIRTAC!$A$16:$H$1458,8,0),0)</f>
        <v>-442</v>
      </c>
      <c r="K182" s="86">
        <f>-IFERROR(VLOOKUP(C182,Gastos!$A$9:$J$1451,10,0),0)</f>
        <v>-428.74</v>
      </c>
      <c r="L182" s="86">
        <f>-IFERROR(VLOOKUP(C182,IDC!$A$20:$H$1763,8,0),0)</f>
        <v>-265.2</v>
      </c>
      <c r="M182" s="95">
        <f t="shared" si="9"/>
        <v>44199.999999999993</v>
      </c>
      <c r="O182" s="1"/>
    </row>
    <row r="183" spans="1:15" hidden="1">
      <c r="A183" s="1" t="s">
        <v>121</v>
      </c>
      <c r="B183" s="1" t="s">
        <v>216</v>
      </c>
      <c r="C183" s="71">
        <v>127991620827</v>
      </c>
      <c r="D183" s="3">
        <v>2163.59</v>
      </c>
      <c r="E183" s="3">
        <v>11977919.26</v>
      </c>
      <c r="F183" s="1" t="s">
        <v>3065</v>
      </c>
      <c r="G183"/>
      <c r="H183"/>
      <c r="I183" s="19">
        <f>-IFERROR(VLOOKUP(C183,SIRCUPA!$A$21:$H$221,8,0),0)</f>
        <v>-33.15</v>
      </c>
      <c r="J183" s="86">
        <f>-IFERROR(VLOOKUP(C183,SIRTAC!$A$16:$H$1458,8,0),0)</f>
        <v>0</v>
      </c>
      <c r="K183" s="86">
        <f>-IFERROR(VLOOKUP(C183,Gastos!$A$9:$J$1451,10,0),0)</f>
        <v>0</v>
      </c>
      <c r="L183" s="86">
        <f>-IFERROR(VLOOKUP(C183,IDC!$A$20:$H$1763,8,0),0)</f>
        <v>-13.26</v>
      </c>
      <c r="M183" s="95">
        <f t="shared" si="9"/>
        <v>2210.0000000000005</v>
      </c>
      <c r="O183" s="1"/>
    </row>
    <row r="184" spans="1:15" hidden="1">
      <c r="A184" s="1" t="s">
        <v>121</v>
      </c>
      <c r="B184" s="1" t="s">
        <v>15</v>
      </c>
      <c r="C184" s="71">
        <v>127994543007</v>
      </c>
      <c r="D184" s="3">
        <v>62744.92</v>
      </c>
      <c r="E184" s="3">
        <v>12040664.18</v>
      </c>
      <c r="F184" s="1" t="s">
        <v>3065</v>
      </c>
      <c r="G184"/>
      <c r="H184"/>
      <c r="I184" s="19">
        <f>-IFERROR(VLOOKUP(C184,SIRCUPA!$A$21:$H$221,8,0),0)</f>
        <v>0</v>
      </c>
      <c r="J184" s="86">
        <f>-IFERROR(VLOOKUP(C184,SIRTAC!$A$16:$H$1458,8,0),0)</f>
        <v>-644</v>
      </c>
      <c r="K184" s="86">
        <f>-IFERROR(VLOOKUP(C184,Gastos!$A$9:$J$1451,10,0),0)</f>
        <v>-624.67999999999995</v>
      </c>
      <c r="L184" s="86">
        <f>-IFERROR(VLOOKUP(C184,IDC!$A$20:$H$1763,8,0),0)</f>
        <v>-386.4</v>
      </c>
      <c r="M184" s="95">
        <f t="shared" si="9"/>
        <v>64400</v>
      </c>
      <c r="O184" s="1"/>
    </row>
    <row r="185" spans="1:15" hidden="1">
      <c r="A185" s="1" t="s">
        <v>121</v>
      </c>
      <c r="B185" s="1" t="s">
        <v>15</v>
      </c>
      <c r="C185" s="71">
        <v>127995227521</v>
      </c>
      <c r="D185" s="3">
        <v>50919.33</v>
      </c>
      <c r="E185" s="3">
        <v>12091583.51</v>
      </c>
      <c r="F185" s="1" t="s">
        <v>3065</v>
      </c>
      <c r="G185"/>
      <c r="H185"/>
      <c r="I185" s="19">
        <f>-IFERROR(VLOOKUP(C185,SIRCUPA!$A$21:$H$221,8,0),0)</f>
        <v>0</v>
      </c>
      <c r="J185" s="86">
        <f>-IFERROR(VLOOKUP(C185,SIRTAC!$A$16:$H$1458,8,0),0)</f>
        <v>-539</v>
      </c>
      <c r="K185" s="86">
        <f>-IFERROR(VLOOKUP(C185,Gastos!$A$9:$J$1451,10,0),0)</f>
        <v>-2118.27</v>
      </c>
      <c r="L185" s="86">
        <f>-IFERROR(VLOOKUP(C185,IDC!$A$20:$H$1763,8,0),0)</f>
        <v>-323.39999999999998</v>
      </c>
      <c r="M185" s="95">
        <f t="shared" si="9"/>
        <v>53900</v>
      </c>
      <c r="O185" s="1"/>
    </row>
    <row r="186" spans="1:15" hidden="1">
      <c r="A186" s="1" t="s">
        <v>121</v>
      </c>
      <c r="B186" s="1" t="s">
        <v>15</v>
      </c>
      <c r="C186" s="71">
        <v>127996004657</v>
      </c>
      <c r="D186" s="3">
        <v>40811.040000000001</v>
      </c>
      <c r="E186" s="3">
        <v>12132394.550000001</v>
      </c>
      <c r="F186" s="1" t="s">
        <v>3065</v>
      </c>
      <c r="G186"/>
      <c r="H186"/>
      <c r="I186" s="19">
        <f>-IFERROR(VLOOKUP(C186,SIRCUPA!$A$21:$H$221,8,0),0)</f>
        <v>0</v>
      </c>
      <c r="J186" s="86">
        <f>-IFERROR(VLOOKUP(C186,SIRTAC!$A$16:$H$1458,8,0),0)</f>
        <v>-432</v>
      </c>
      <c r="K186" s="86">
        <f>-IFERROR(VLOOKUP(C186,Gastos!$A$9:$J$1451,10,0),0)</f>
        <v>-1697.76</v>
      </c>
      <c r="L186" s="86">
        <f>-IFERROR(VLOOKUP(C186,IDC!$A$20:$H$1763,8,0),0)</f>
        <v>-259.2</v>
      </c>
      <c r="M186" s="95">
        <f t="shared" si="9"/>
        <v>43200</v>
      </c>
      <c r="O186" s="1"/>
    </row>
    <row r="187" spans="1:15" hidden="1">
      <c r="A187" s="1" t="s">
        <v>121</v>
      </c>
      <c r="B187" s="1" t="s">
        <v>15</v>
      </c>
      <c r="C187" s="71">
        <v>127996122285</v>
      </c>
      <c r="D187" s="3">
        <v>8768.7000000000007</v>
      </c>
      <c r="E187" s="3">
        <v>12141163.25</v>
      </c>
      <c r="F187" s="1" t="s">
        <v>3065</v>
      </c>
      <c r="G187"/>
      <c r="H187"/>
      <c r="I187" s="19">
        <f>-IFERROR(VLOOKUP(C187,SIRCUPA!$A$21:$H$221,8,0),0)</f>
        <v>0</v>
      </c>
      <c r="J187" s="86">
        <f>-IFERROR(VLOOKUP(C187,SIRTAC!$A$16:$H$1458,8,0),0)</f>
        <v>-90</v>
      </c>
      <c r="K187" s="86">
        <f>-IFERROR(VLOOKUP(C187,Gastos!$A$9:$J$1451,10,0),0)</f>
        <v>-87.3</v>
      </c>
      <c r="L187" s="86">
        <f>-IFERROR(VLOOKUP(C187,IDC!$A$20:$H$1763,8,0),0)</f>
        <v>-54</v>
      </c>
      <c r="M187" s="95">
        <f t="shared" si="9"/>
        <v>9000</v>
      </c>
      <c r="O187" s="1"/>
    </row>
    <row r="188" spans="1:15" hidden="1">
      <c r="A188" s="1" t="s">
        <v>121</v>
      </c>
      <c r="B188" s="1" t="s">
        <v>15</v>
      </c>
      <c r="C188" s="71">
        <v>128563250040</v>
      </c>
      <c r="D188" s="3">
        <v>4838.5</v>
      </c>
      <c r="E188" s="3">
        <v>12146001.75</v>
      </c>
      <c r="F188" s="1" t="s">
        <v>3065</v>
      </c>
      <c r="G188"/>
      <c r="H188"/>
      <c r="I188" s="19">
        <f>-IFERROR(VLOOKUP(C188,SIRCUPA!$A$21:$H$221,8,0),0)</f>
        <v>0</v>
      </c>
      <c r="J188" s="86">
        <f>-IFERROR(VLOOKUP(C188,SIRTAC!$A$16:$H$1458,8,0),0)</f>
        <v>-50</v>
      </c>
      <c r="K188" s="86">
        <f>-IFERROR(VLOOKUP(C188,Gastos!$A$9:$J$1451,10,0),0)</f>
        <v>-81.5</v>
      </c>
      <c r="L188" s="86">
        <f>-IFERROR(VLOOKUP(C188,IDC!$A$20:$H$1763,8,0),0)</f>
        <v>-30</v>
      </c>
      <c r="M188" s="95">
        <f t="shared" si="9"/>
        <v>5000</v>
      </c>
      <c r="O188" s="1"/>
    </row>
    <row r="189" spans="1:15" hidden="1">
      <c r="A189" s="1" t="s">
        <v>121</v>
      </c>
      <c r="B189" s="1" t="s">
        <v>15</v>
      </c>
      <c r="C189" s="71">
        <v>127996361007</v>
      </c>
      <c r="D189" s="3">
        <v>66349.83</v>
      </c>
      <c r="E189" s="3">
        <v>12212351.58</v>
      </c>
      <c r="F189" s="1" t="s">
        <v>3065</v>
      </c>
      <c r="G189"/>
      <c r="H189"/>
      <c r="I189" s="19">
        <f>-IFERROR(VLOOKUP(C189,SIRCUPA!$A$21:$H$221,8,0),0)</f>
        <v>0</v>
      </c>
      <c r="J189" s="86">
        <f>-IFERROR(VLOOKUP(C189,SIRTAC!$A$16:$H$1458,8,0),0)</f>
        <v>-681</v>
      </c>
      <c r="K189" s="86">
        <f>-IFERROR(VLOOKUP(C189,Gastos!$A$9:$J$1451,10,0),0)</f>
        <v>-660.57</v>
      </c>
      <c r="L189" s="86">
        <f>-IFERROR(VLOOKUP(C189,IDC!$A$20:$H$1763,8,0),0)</f>
        <v>-408.6</v>
      </c>
      <c r="M189" s="95">
        <f t="shared" si="9"/>
        <v>68100.000000000015</v>
      </c>
      <c r="O189" s="1"/>
    </row>
    <row r="190" spans="1:15" hidden="1">
      <c r="A190" s="1" t="s">
        <v>121</v>
      </c>
      <c r="B190" s="1" t="s">
        <v>224</v>
      </c>
      <c r="C190" s="71">
        <v>127996301839</v>
      </c>
      <c r="D190" s="3">
        <v>3333.49</v>
      </c>
      <c r="E190" s="3">
        <v>12215685.07</v>
      </c>
      <c r="F190" s="1" t="s">
        <v>3065</v>
      </c>
      <c r="G190"/>
      <c r="H190"/>
      <c r="I190" s="19">
        <f>-IFERROR(VLOOKUP(C190,SIRCUPA!$A$21:$H$221,8,0),0)</f>
        <v>-51.08</v>
      </c>
      <c r="J190" s="86">
        <f>-IFERROR(VLOOKUP(C190,SIRTAC!$A$16:$H$1458,8,0),0)</f>
        <v>0</v>
      </c>
      <c r="K190" s="86">
        <f>-IFERROR(VLOOKUP(C190,Gastos!$A$9:$J$1451,10,0),0)</f>
        <v>0</v>
      </c>
      <c r="L190" s="86">
        <f>-IFERROR(VLOOKUP(C190,IDC!$A$20:$H$1763,8,0),0)</f>
        <v>-20.43</v>
      </c>
      <c r="M190" s="95">
        <f t="shared" si="9"/>
        <v>3404.9999999999995</v>
      </c>
      <c r="O190" s="1"/>
    </row>
    <row r="191" spans="1:15" hidden="1">
      <c r="A191" s="1" t="s">
        <v>121</v>
      </c>
      <c r="B191" s="1" t="s">
        <v>15</v>
      </c>
      <c r="C191" s="71">
        <v>127996450215</v>
      </c>
      <c r="D191" s="3">
        <v>5128.8100000000004</v>
      </c>
      <c r="E191" s="3">
        <v>12220813.880000001</v>
      </c>
      <c r="F191" s="1" t="s">
        <v>3065</v>
      </c>
      <c r="G191"/>
      <c r="H191"/>
      <c r="I191" s="19">
        <f>-IFERROR(VLOOKUP(C191,SIRCUPA!$A$21:$H$221,8,0),0)</f>
        <v>0</v>
      </c>
      <c r="J191" s="86">
        <f>-IFERROR(VLOOKUP(C191,SIRTAC!$A$16:$H$1458,8,0),0)</f>
        <v>-53</v>
      </c>
      <c r="K191" s="86">
        <f>-IFERROR(VLOOKUP(C191,Gastos!$A$9:$J$1451,10,0),0)</f>
        <v>-86.39</v>
      </c>
      <c r="L191" s="86">
        <f>-IFERROR(VLOOKUP(C191,IDC!$A$20:$H$1763,8,0),0)</f>
        <v>-31.8</v>
      </c>
      <c r="M191" s="95">
        <f t="shared" si="9"/>
        <v>5300.0000000000009</v>
      </c>
      <c r="O191" s="1"/>
    </row>
    <row r="192" spans="1:15" hidden="1">
      <c r="A192" s="1" t="s">
        <v>121</v>
      </c>
      <c r="B192" s="1" t="s">
        <v>15</v>
      </c>
      <c r="C192" s="71">
        <v>128563797988</v>
      </c>
      <c r="D192" s="3">
        <v>16270.81</v>
      </c>
      <c r="E192" s="3">
        <v>12237084.689999999</v>
      </c>
      <c r="F192" s="1" t="s">
        <v>3065</v>
      </c>
      <c r="G192"/>
      <c r="H192"/>
      <c r="I192" s="19">
        <f>-IFERROR(VLOOKUP(C192,SIRCUPA!$A$21:$H$221,8,0),0)</f>
        <v>0</v>
      </c>
      <c r="J192" s="86">
        <f>-IFERROR(VLOOKUP(C192,SIRTAC!$A$16:$H$1458,8,0),0)</f>
        <v>-167</v>
      </c>
      <c r="K192" s="86">
        <f>-IFERROR(VLOOKUP(C192,Gastos!$A$9:$J$1451,10,0),0)</f>
        <v>-161.99</v>
      </c>
      <c r="L192" s="86">
        <f>-IFERROR(VLOOKUP(C192,IDC!$A$20:$H$1763,8,0),0)</f>
        <v>-100.2</v>
      </c>
      <c r="M192" s="95">
        <f t="shared" si="9"/>
        <v>16700</v>
      </c>
      <c r="O192" s="1"/>
    </row>
    <row r="193" spans="1:15" hidden="1">
      <c r="A193" s="1" t="s">
        <v>121</v>
      </c>
      <c r="B193" s="1" t="s">
        <v>15</v>
      </c>
      <c r="C193" s="71">
        <v>128564070590</v>
      </c>
      <c r="D193" s="3">
        <v>42771.77</v>
      </c>
      <c r="E193" s="3">
        <v>12279856.460000001</v>
      </c>
      <c r="F193" s="1" t="s">
        <v>3065</v>
      </c>
      <c r="G193"/>
      <c r="H193"/>
      <c r="I193" s="19">
        <f>-IFERROR(VLOOKUP(C193,SIRCUPA!$A$21:$H$221,8,0),0)</f>
        <v>0</v>
      </c>
      <c r="J193" s="86">
        <f>-IFERROR(VLOOKUP(C193,SIRTAC!$A$16:$H$1458,8,0),0)</f>
        <v>-439</v>
      </c>
      <c r="K193" s="86">
        <f>-IFERROR(VLOOKUP(C193,Gastos!$A$9:$J$1451,10,0),0)</f>
        <v>-425.83</v>
      </c>
      <c r="L193" s="86">
        <f>-IFERROR(VLOOKUP(C193,IDC!$A$20:$H$1763,8,0),0)</f>
        <v>-263.39999999999998</v>
      </c>
      <c r="M193" s="95">
        <f t="shared" si="9"/>
        <v>43900</v>
      </c>
      <c r="O193" s="1"/>
    </row>
    <row r="194" spans="1:15" hidden="1">
      <c r="A194" s="1" t="s">
        <v>121</v>
      </c>
      <c r="B194" s="1" t="s">
        <v>15</v>
      </c>
      <c r="C194" s="71">
        <v>128564105462</v>
      </c>
      <c r="D194" s="3">
        <v>8768.7000000000007</v>
      </c>
      <c r="E194" s="3">
        <v>12288625.16</v>
      </c>
      <c r="F194" s="1" t="s">
        <v>3065</v>
      </c>
      <c r="G194"/>
      <c r="H194"/>
      <c r="I194" s="19">
        <f>-IFERROR(VLOOKUP(C194,SIRCUPA!$A$21:$H$221,8,0),0)</f>
        <v>0</v>
      </c>
      <c r="J194" s="86">
        <f>-IFERROR(VLOOKUP(C194,SIRTAC!$A$16:$H$1458,8,0),0)</f>
        <v>-90</v>
      </c>
      <c r="K194" s="86">
        <f>-IFERROR(VLOOKUP(C194,Gastos!$A$9:$J$1451,10,0),0)</f>
        <v>-87.3</v>
      </c>
      <c r="L194" s="86">
        <f>-IFERROR(VLOOKUP(C194,IDC!$A$20:$H$1763,8,0),0)</f>
        <v>-54</v>
      </c>
      <c r="M194" s="95">
        <f t="shared" si="9"/>
        <v>9000</v>
      </c>
      <c r="O194" s="1"/>
    </row>
    <row r="195" spans="1:15" hidden="1">
      <c r="A195" s="1" t="s">
        <v>121</v>
      </c>
      <c r="B195" s="1" t="s">
        <v>15</v>
      </c>
      <c r="C195" s="71">
        <v>127997252239</v>
      </c>
      <c r="D195" s="3">
        <v>9104.42</v>
      </c>
      <c r="E195" s="3">
        <v>12297729.58</v>
      </c>
      <c r="F195" s="1" t="s">
        <v>3065</v>
      </c>
      <c r="G195"/>
      <c r="H195"/>
      <c r="I195" s="19">
        <f>-IFERROR(VLOOKUP(C195,SIRCUPA!$A$21:$H$221,8,0),0)</f>
        <v>0</v>
      </c>
      <c r="J195" s="86">
        <f>-IFERROR(VLOOKUP(C195,SIRTAC!$A$16:$H$1458,8,0),0)</f>
        <v>-97</v>
      </c>
      <c r="K195" s="86">
        <f>-IFERROR(VLOOKUP(C195,Gastos!$A$9:$J$1451,10,0),0)</f>
        <v>-440.38</v>
      </c>
      <c r="L195" s="86">
        <f>-IFERROR(VLOOKUP(C195,IDC!$A$20:$H$1763,8,0),0)</f>
        <v>-58.2</v>
      </c>
      <c r="M195" s="95">
        <f t="shared" si="9"/>
        <v>9700</v>
      </c>
      <c r="O195" s="1"/>
    </row>
    <row r="196" spans="1:15" hidden="1">
      <c r="A196" s="1" t="s">
        <v>121</v>
      </c>
      <c r="B196" s="1" t="s">
        <v>136</v>
      </c>
      <c r="C196" s="71">
        <v>128564070590</v>
      </c>
      <c r="D196" s="3">
        <v>-42771.77</v>
      </c>
      <c r="E196" s="3">
        <v>12254957.810000001</v>
      </c>
      <c r="F196" s="1" t="s">
        <v>3065</v>
      </c>
      <c r="G196"/>
      <c r="H196"/>
      <c r="I196" s="19">
        <f>-IFERROR(VLOOKUP(C196,SIRCUPA!$A$21:$H$221,8,0),0)</f>
        <v>0</v>
      </c>
      <c r="J196" s="86">
        <v>439</v>
      </c>
      <c r="K196" s="86">
        <v>425.83</v>
      </c>
      <c r="L196" s="86">
        <v>263.39999999999998</v>
      </c>
      <c r="M196" s="95">
        <f t="shared" si="9"/>
        <v>-43900</v>
      </c>
      <c r="O196" s="1"/>
    </row>
    <row r="197" spans="1:15" hidden="1">
      <c r="A197" s="1" t="s">
        <v>121</v>
      </c>
      <c r="B197" s="1" t="s">
        <v>15</v>
      </c>
      <c r="C197" s="71">
        <v>127997540269</v>
      </c>
      <c r="D197" s="3">
        <v>33808.21</v>
      </c>
      <c r="E197" s="3">
        <v>12288766.02</v>
      </c>
      <c r="F197" s="1" t="s">
        <v>3065</v>
      </c>
      <c r="G197"/>
      <c r="H197"/>
      <c r="I197" s="19">
        <f>-IFERROR(VLOOKUP(C197,SIRCUPA!$A$21:$H$221,8,0),0)</f>
        <v>0</v>
      </c>
      <c r="J197" s="86">
        <f>-IFERROR(VLOOKUP(C197,SIRTAC!$A$16:$H$1458,8,0),0)</f>
        <v>-347</v>
      </c>
      <c r="K197" s="86">
        <f>-IFERROR(VLOOKUP(C197,Gastos!$A$9:$J$1451,10,0),0)</f>
        <v>-336.59</v>
      </c>
      <c r="L197" s="86">
        <f>-IFERROR(VLOOKUP(C197,IDC!$A$20:$H$1763,8,0),0)</f>
        <v>-208.2</v>
      </c>
      <c r="M197" s="95">
        <f t="shared" si="9"/>
        <v>34699.999999999993</v>
      </c>
      <c r="O197" s="1"/>
    </row>
    <row r="198" spans="1:15" hidden="1">
      <c r="A198" s="1" t="s">
        <v>121</v>
      </c>
      <c r="B198" s="1" t="s">
        <v>15</v>
      </c>
      <c r="C198" s="71">
        <v>128564579028</v>
      </c>
      <c r="D198" s="3">
        <v>29618.720000000001</v>
      </c>
      <c r="E198" s="3">
        <v>12318384.74</v>
      </c>
      <c r="F198" s="1" t="s">
        <v>3065</v>
      </c>
      <c r="G198"/>
      <c r="H198"/>
      <c r="I198" s="19">
        <f>-IFERROR(VLOOKUP(C198,SIRCUPA!$A$21:$H$221,8,0),0)</f>
        <v>0</v>
      </c>
      <c r="J198" s="86">
        <f>-IFERROR(VLOOKUP(C198,SIRTAC!$A$16:$H$1458,8,0),0)</f>
        <v>-304</v>
      </c>
      <c r="K198" s="86">
        <f>-IFERROR(VLOOKUP(C198,Gastos!$A$9:$J$1451,10,0),0)</f>
        <v>-294.88</v>
      </c>
      <c r="L198" s="86">
        <f>-IFERROR(VLOOKUP(C198,IDC!$A$20:$H$1763,8,0),0)</f>
        <v>-182.4</v>
      </c>
      <c r="M198" s="95">
        <f t="shared" si="9"/>
        <v>30400.000000000004</v>
      </c>
      <c r="O198" s="1"/>
    </row>
    <row r="199" spans="1:15" hidden="1">
      <c r="A199" s="1" t="s">
        <v>121</v>
      </c>
      <c r="B199" s="1" t="s">
        <v>15</v>
      </c>
      <c r="C199" s="71">
        <v>128564877302</v>
      </c>
      <c r="D199" s="3">
        <v>28839.279999999999</v>
      </c>
      <c r="E199" s="3">
        <v>12347224.02</v>
      </c>
      <c r="F199" s="1" t="s">
        <v>3065</v>
      </c>
      <c r="G199"/>
      <c r="H199"/>
      <c r="I199" s="19">
        <f>-IFERROR(VLOOKUP(C199,SIRCUPA!$A$21:$H$221,8,0),0)</f>
        <v>0</v>
      </c>
      <c r="J199" s="86">
        <f>-IFERROR(VLOOKUP(C199,SIRTAC!$A$16:$H$1458,8,0),0)</f>
        <v>-296</v>
      </c>
      <c r="K199" s="86">
        <f>-IFERROR(VLOOKUP(C199,Gastos!$A$9:$J$1451,10,0),0)</f>
        <v>-287.12</v>
      </c>
      <c r="L199" s="86">
        <f>-IFERROR(VLOOKUP(C199,IDC!$A$20:$H$1763,8,0),0)</f>
        <v>-177.6</v>
      </c>
      <c r="M199" s="95">
        <f t="shared" si="9"/>
        <v>29599.999999999996</v>
      </c>
      <c r="O199" s="1"/>
    </row>
    <row r="200" spans="1:15" hidden="1">
      <c r="A200" s="1" t="s">
        <v>121</v>
      </c>
      <c r="B200" s="1" t="s">
        <v>234</v>
      </c>
      <c r="C200" s="71">
        <v>127997962901</v>
      </c>
      <c r="D200" s="3">
        <v>1448.92</v>
      </c>
      <c r="E200" s="3">
        <v>12348672.939999999</v>
      </c>
      <c r="F200" s="1" t="s">
        <v>3065</v>
      </c>
      <c r="G200"/>
      <c r="H200"/>
      <c r="I200" s="19">
        <f>-IFERROR(VLOOKUP(C200,SIRCUPA!$A$21:$H$221,8,0),0)</f>
        <v>-22.2</v>
      </c>
      <c r="J200" s="86">
        <f>-IFERROR(VLOOKUP(C200,SIRTAC!$A$16:$H$1458,8,0),0)</f>
        <v>0</v>
      </c>
      <c r="K200" s="86">
        <f>-IFERROR(VLOOKUP(C200,Gastos!$A$9:$J$1451,10,0),0)</f>
        <v>0</v>
      </c>
      <c r="L200" s="86">
        <f>-IFERROR(VLOOKUP(C200,IDC!$A$20:$H$1763,8,0),0)</f>
        <v>-8.8800000000000008</v>
      </c>
      <c r="M200" s="95">
        <f t="shared" si="9"/>
        <v>1480.0000000000002</v>
      </c>
      <c r="O200" s="1"/>
    </row>
    <row r="201" spans="1:15" hidden="1">
      <c r="A201" s="1" t="s">
        <v>121</v>
      </c>
      <c r="B201" s="1" t="s">
        <v>15</v>
      </c>
      <c r="C201" s="71">
        <v>127998034681</v>
      </c>
      <c r="D201" s="3">
        <v>31567.32</v>
      </c>
      <c r="E201" s="3">
        <v>12380240.26</v>
      </c>
      <c r="F201" s="1" t="s">
        <v>3065</v>
      </c>
      <c r="G201"/>
      <c r="H201"/>
      <c r="I201" s="19">
        <f>-IFERROR(VLOOKUP(C201,SIRCUPA!$A$21:$H$221,8,0),0)</f>
        <v>0</v>
      </c>
      <c r="J201" s="86">
        <f>-IFERROR(VLOOKUP(C201,SIRTAC!$A$16:$H$1458,8,0),0)</f>
        <v>-324</v>
      </c>
      <c r="K201" s="86">
        <f>-IFERROR(VLOOKUP(C201,Gastos!$A$9:$J$1451,10,0),0)</f>
        <v>-314.27999999999997</v>
      </c>
      <c r="L201" s="86">
        <f>-IFERROR(VLOOKUP(C201,IDC!$A$20:$H$1763,8,0),0)</f>
        <v>-194.4</v>
      </c>
      <c r="M201" s="95">
        <f t="shared" si="9"/>
        <v>32400</v>
      </c>
      <c r="O201" s="1"/>
    </row>
    <row r="202" spans="1:15" hidden="1">
      <c r="A202" s="1" t="s">
        <v>121</v>
      </c>
      <c r="B202" s="1" t="s">
        <v>15</v>
      </c>
      <c r="C202" s="71">
        <v>127998422719</v>
      </c>
      <c r="D202" s="3">
        <v>39848.870000000003</v>
      </c>
      <c r="E202" s="3">
        <v>12420089.130000001</v>
      </c>
      <c r="F202" s="1" t="s">
        <v>3065</v>
      </c>
      <c r="G202"/>
      <c r="H202"/>
      <c r="I202" s="19">
        <f>-IFERROR(VLOOKUP(C202,SIRCUPA!$A$21:$H$221,8,0),0)</f>
        <v>0</v>
      </c>
      <c r="J202" s="86">
        <f>-IFERROR(VLOOKUP(C202,SIRTAC!$A$16:$H$1458,8,0),0)</f>
        <v>-409</v>
      </c>
      <c r="K202" s="86">
        <f>-IFERROR(VLOOKUP(C202,Gastos!$A$9:$J$1451,10,0),0)</f>
        <v>-396.73</v>
      </c>
      <c r="L202" s="86">
        <f>-IFERROR(VLOOKUP(C202,IDC!$A$20:$H$1763,8,0),0)</f>
        <v>-245.4</v>
      </c>
      <c r="M202" s="95">
        <f t="shared" si="9"/>
        <v>40900.000000000007</v>
      </c>
      <c r="O202" s="1"/>
    </row>
    <row r="203" spans="1:15" hidden="1">
      <c r="A203" s="1" t="s">
        <v>121</v>
      </c>
      <c r="B203" s="1" t="s">
        <v>238</v>
      </c>
      <c r="C203" s="71">
        <v>128565546884</v>
      </c>
      <c r="D203" s="3">
        <v>2002.05</v>
      </c>
      <c r="E203" s="3">
        <v>12422091.18</v>
      </c>
      <c r="F203" s="1" t="s">
        <v>3065</v>
      </c>
      <c r="G203"/>
      <c r="H203"/>
      <c r="I203" s="19">
        <f>-IFERROR(VLOOKUP(C203,SIRCUPA!$A$21:$H$221,8,0),0)</f>
        <v>-30.68</v>
      </c>
      <c r="J203" s="86">
        <f>-IFERROR(VLOOKUP(C203,SIRTAC!$A$16:$H$1458,8,0),0)</f>
        <v>0</v>
      </c>
      <c r="K203" s="86">
        <f>-IFERROR(VLOOKUP(C203,Gastos!$A$9:$J$1451,10,0),0)</f>
        <v>0</v>
      </c>
      <c r="L203" s="86">
        <f>-IFERROR(VLOOKUP(C203,IDC!$A$20:$H$1763,8,0),0)</f>
        <v>-12.27</v>
      </c>
      <c r="M203" s="95">
        <f t="shared" si="9"/>
        <v>2045</v>
      </c>
      <c r="O203" s="1"/>
    </row>
    <row r="204" spans="1:15" hidden="1">
      <c r="A204" s="1" t="s">
        <v>121</v>
      </c>
      <c r="B204" s="1" t="s">
        <v>15</v>
      </c>
      <c r="C204" s="71">
        <v>127998530233</v>
      </c>
      <c r="D204" s="3">
        <v>23285.77</v>
      </c>
      <c r="E204" s="3">
        <v>12445376.949999999</v>
      </c>
      <c r="F204" s="1" t="s">
        <v>3065</v>
      </c>
      <c r="G204"/>
      <c r="H204"/>
      <c r="I204" s="19">
        <f>-IFERROR(VLOOKUP(C204,SIRCUPA!$A$21:$H$221,8,0),0)</f>
        <v>0</v>
      </c>
      <c r="J204" s="86">
        <f>-IFERROR(VLOOKUP(C204,SIRTAC!$A$16:$H$1458,8,0),0)</f>
        <v>-239</v>
      </c>
      <c r="K204" s="86">
        <f>-IFERROR(VLOOKUP(C204,Gastos!$A$9:$J$1451,10,0),0)</f>
        <v>-231.83</v>
      </c>
      <c r="L204" s="86">
        <f>-IFERROR(VLOOKUP(C204,IDC!$A$20:$H$1763,8,0),0)</f>
        <v>-143.4</v>
      </c>
      <c r="M204" s="95">
        <f t="shared" si="9"/>
        <v>23900.000000000004</v>
      </c>
      <c r="O204" s="1"/>
    </row>
    <row r="205" spans="1:15" hidden="1">
      <c r="A205" s="1" t="s">
        <v>121</v>
      </c>
      <c r="B205" s="1" t="s">
        <v>15</v>
      </c>
      <c r="C205" s="71">
        <v>127998690249</v>
      </c>
      <c r="D205" s="3">
        <v>8573.84</v>
      </c>
      <c r="E205" s="3">
        <v>12453950.789999999</v>
      </c>
      <c r="F205" s="1" t="s">
        <v>3065</v>
      </c>
      <c r="G205"/>
      <c r="H205"/>
      <c r="I205" s="19">
        <f>-IFERROR(VLOOKUP(C205,SIRCUPA!$A$21:$H$221,8,0),0)</f>
        <v>0</v>
      </c>
      <c r="J205" s="86">
        <f>-IFERROR(VLOOKUP(C205,SIRTAC!$A$16:$H$1458,8,0),0)</f>
        <v>-88</v>
      </c>
      <c r="K205" s="86">
        <f>-IFERROR(VLOOKUP(C205,Gastos!$A$9:$J$1451,10,0),0)</f>
        <v>-85.36</v>
      </c>
      <c r="L205" s="86">
        <f>-IFERROR(VLOOKUP(C205,IDC!$A$20:$H$1763,8,0),0)</f>
        <v>-52.8</v>
      </c>
      <c r="M205" s="95">
        <f t="shared" si="9"/>
        <v>8800</v>
      </c>
      <c r="O205" s="1"/>
    </row>
    <row r="206" spans="1:15" hidden="1">
      <c r="A206" s="1" t="s">
        <v>121</v>
      </c>
      <c r="B206" s="1" t="s">
        <v>15</v>
      </c>
      <c r="C206" s="71">
        <v>127998715475</v>
      </c>
      <c r="D206" s="3">
        <v>86030.69</v>
      </c>
      <c r="E206" s="3">
        <v>12539981.48</v>
      </c>
      <c r="F206" s="1" t="s">
        <v>3065</v>
      </c>
      <c r="G206"/>
      <c r="H206"/>
      <c r="I206" s="19">
        <f>-IFERROR(VLOOKUP(C206,SIRCUPA!$A$21:$H$221,8,0),0)</f>
        <v>0</v>
      </c>
      <c r="J206" s="86">
        <f>-IFERROR(VLOOKUP(C206,SIRTAC!$A$16:$H$1458,8,0),0)</f>
        <v>-883</v>
      </c>
      <c r="K206" s="86">
        <f>-IFERROR(VLOOKUP(C206,Gastos!$A$9:$J$1451,10,0),0)</f>
        <v>-856.51</v>
      </c>
      <c r="L206" s="86">
        <f>-IFERROR(VLOOKUP(C206,IDC!$A$20:$H$1763,8,0),0)</f>
        <v>-529.79999999999995</v>
      </c>
      <c r="M206" s="95">
        <f t="shared" si="9"/>
        <v>88300</v>
      </c>
      <c r="O206" s="1"/>
    </row>
    <row r="207" spans="1:15" hidden="1">
      <c r="A207" s="1" t="s">
        <v>121</v>
      </c>
      <c r="B207" s="1" t="s">
        <v>15</v>
      </c>
      <c r="C207" s="71">
        <v>127998789467</v>
      </c>
      <c r="D207" s="3">
        <v>77559.87</v>
      </c>
      <c r="E207" s="3">
        <v>12617541.35</v>
      </c>
      <c r="F207" s="1" t="s">
        <v>3065</v>
      </c>
      <c r="G207"/>
      <c r="H207"/>
      <c r="I207" s="19">
        <f>-IFERROR(VLOOKUP(C207,SIRCUPA!$A$21:$H$221,8,0),0)</f>
        <v>0</v>
      </c>
      <c r="J207" s="86">
        <f>-IFERROR(VLOOKUP(C207,SIRTAC!$A$16:$H$1458,8,0),0)</f>
        <v>-821</v>
      </c>
      <c r="K207" s="86">
        <f>-IFERROR(VLOOKUP(C207,Gastos!$A$9:$J$1451,10,0),0)</f>
        <v>-3226.53</v>
      </c>
      <c r="L207" s="86">
        <f>-IFERROR(VLOOKUP(C207,IDC!$A$20:$H$1763,8,0),0)</f>
        <v>-492.6</v>
      </c>
      <c r="M207" s="95">
        <f t="shared" si="9"/>
        <v>82100</v>
      </c>
      <c r="O207" s="1"/>
    </row>
    <row r="208" spans="1:15" hidden="1">
      <c r="A208" s="1" t="s">
        <v>121</v>
      </c>
      <c r="B208" s="1" t="s">
        <v>15</v>
      </c>
      <c r="C208" s="71">
        <v>127998958295</v>
      </c>
      <c r="D208" s="3">
        <v>73267.360000000001</v>
      </c>
      <c r="E208" s="3">
        <v>12690808.710000001</v>
      </c>
      <c r="F208" s="1" t="s">
        <v>3065</v>
      </c>
      <c r="G208"/>
      <c r="H208"/>
      <c r="I208" s="19">
        <f>-IFERROR(VLOOKUP(C208,SIRCUPA!$A$21:$H$221,8,0),0)</f>
        <v>0</v>
      </c>
      <c r="J208" s="86">
        <f>-IFERROR(VLOOKUP(C208,SIRTAC!$A$16:$H$1458,8,0),0)</f>
        <v>-752</v>
      </c>
      <c r="K208" s="86">
        <f>-IFERROR(VLOOKUP(C208,Gastos!$A$9:$J$1451,10,0),0)</f>
        <v>-729.44</v>
      </c>
      <c r="L208" s="86">
        <f>-IFERROR(VLOOKUP(C208,IDC!$A$20:$H$1763,8,0),0)</f>
        <v>-451.2</v>
      </c>
      <c r="M208" s="95">
        <f t="shared" si="9"/>
        <v>75200</v>
      </c>
      <c r="O208" s="1"/>
    </row>
    <row r="209" spans="1:15" hidden="1">
      <c r="A209" s="1" t="s">
        <v>121</v>
      </c>
      <c r="B209" s="1" t="s">
        <v>245</v>
      </c>
      <c r="C209" s="71">
        <v>127998900895</v>
      </c>
      <c r="D209" s="3">
        <v>3681.04</v>
      </c>
      <c r="E209" s="3">
        <v>12694489.75</v>
      </c>
      <c r="F209" s="1" t="s">
        <v>3065</v>
      </c>
      <c r="G209"/>
      <c r="H209"/>
      <c r="I209" s="19">
        <f>-IFERROR(VLOOKUP(C209,SIRCUPA!$A$21:$H$221,8,0),0)</f>
        <v>-56.4</v>
      </c>
      <c r="J209" s="86">
        <f>-IFERROR(VLOOKUP(C209,SIRTAC!$A$16:$H$1458,8,0),0)</f>
        <v>0</v>
      </c>
      <c r="K209" s="86">
        <f>-IFERROR(VLOOKUP(C209,Gastos!$A$9:$J$1451,10,0),0)</f>
        <v>0</v>
      </c>
      <c r="L209" s="86">
        <f>-IFERROR(VLOOKUP(C209,IDC!$A$20:$H$1763,8,0),0)</f>
        <v>-22.56</v>
      </c>
      <c r="M209" s="95">
        <f t="shared" si="9"/>
        <v>3760</v>
      </c>
      <c r="O209" s="1"/>
    </row>
    <row r="210" spans="1:15" hidden="1">
      <c r="A210" s="1" t="s">
        <v>121</v>
      </c>
      <c r="B210" s="1" t="s">
        <v>15</v>
      </c>
      <c r="C210" s="71">
        <v>127999228319</v>
      </c>
      <c r="D210" s="3">
        <v>61868.05</v>
      </c>
      <c r="E210" s="3">
        <v>12756357.800000001</v>
      </c>
      <c r="F210" s="1" t="s">
        <v>3065</v>
      </c>
      <c r="G210"/>
      <c r="H210"/>
      <c r="I210" s="19">
        <f>-IFERROR(VLOOKUP(C210,SIRCUPA!$A$21:$H$221,8,0),0)</f>
        <v>0</v>
      </c>
      <c r="J210" s="86">
        <f>-IFERROR(VLOOKUP(C210,SIRTAC!$A$16:$H$1458,8,0),0)</f>
        <v>-635</v>
      </c>
      <c r="K210" s="86">
        <f>-IFERROR(VLOOKUP(C210,Gastos!$A$9:$J$1451,10,0),0)</f>
        <v>-615.95000000000005</v>
      </c>
      <c r="L210" s="86">
        <f>-IFERROR(VLOOKUP(C210,IDC!$A$20:$H$1763,8,0),0)</f>
        <v>-381</v>
      </c>
      <c r="M210" s="95">
        <f t="shared" si="9"/>
        <v>63500</v>
      </c>
      <c r="O210" s="1"/>
    </row>
    <row r="211" spans="1:15" hidden="1">
      <c r="A211" s="1" t="s">
        <v>121</v>
      </c>
      <c r="B211" s="1" t="s">
        <v>15</v>
      </c>
      <c r="C211" s="71">
        <v>128566674792</v>
      </c>
      <c r="D211" s="3">
        <v>4774.07</v>
      </c>
      <c r="E211" s="3">
        <v>12761131.869999999</v>
      </c>
      <c r="F211" s="1" t="s">
        <v>3065</v>
      </c>
      <c r="G211"/>
      <c r="H211"/>
      <c r="I211" s="19">
        <f>-IFERROR(VLOOKUP(C211,SIRCUPA!$A$21:$H$221,8,0),0)</f>
        <v>0</v>
      </c>
      <c r="J211" s="86">
        <f>-IFERROR(VLOOKUP(C211,SIRTAC!$A$16:$H$1458,8,0),0)</f>
        <v>-49</v>
      </c>
      <c r="K211" s="86">
        <f>-IFERROR(VLOOKUP(C211,Gastos!$A$9:$J$1451,10,0),0)</f>
        <v>-47.53</v>
      </c>
      <c r="L211" s="86">
        <f>-IFERROR(VLOOKUP(C211,IDC!$A$20:$H$1763,8,0),0)</f>
        <v>-29.4</v>
      </c>
      <c r="M211" s="95">
        <f t="shared" si="9"/>
        <v>4899.9999999999991</v>
      </c>
      <c r="O211" s="1"/>
    </row>
    <row r="212" spans="1:15" hidden="1">
      <c r="A212" s="1" t="s">
        <v>121</v>
      </c>
      <c r="B212" s="1" t="s">
        <v>15</v>
      </c>
      <c r="C212" s="71">
        <v>128566760368</v>
      </c>
      <c r="D212" s="3">
        <v>101619.49</v>
      </c>
      <c r="E212" s="3">
        <v>12862751.359999999</v>
      </c>
      <c r="F212" s="1" t="s">
        <v>3065</v>
      </c>
      <c r="G212"/>
      <c r="H212"/>
      <c r="I212" s="19">
        <f>-IFERROR(VLOOKUP(C212,SIRCUPA!$A$21:$H$221,8,0),0)</f>
        <v>0</v>
      </c>
      <c r="J212" s="86">
        <f>-IFERROR(VLOOKUP(C212,SIRTAC!$A$16:$H$1458,8,0),0)</f>
        <v>-1043</v>
      </c>
      <c r="K212" s="86">
        <f>-IFERROR(VLOOKUP(C212,Gastos!$A$9:$J$1451,10,0),0)</f>
        <v>-1011.71</v>
      </c>
      <c r="L212" s="86">
        <f>-IFERROR(VLOOKUP(C212,IDC!$A$20:$H$1763,8,0),0)</f>
        <v>-625.79999999999995</v>
      </c>
      <c r="M212" s="95">
        <f t="shared" si="9"/>
        <v>104300.00000000001</v>
      </c>
      <c r="O212" s="1"/>
    </row>
    <row r="213" spans="1:15" hidden="1">
      <c r="A213" s="1" t="s">
        <v>121</v>
      </c>
      <c r="B213" s="1" t="s">
        <v>15</v>
      </c>
      <c r="C213" s="71">
        <v>128567047402</v>
      </c>
      <c r="D213" s="3">
        <v>12860.76</v>
      </c>
      <c r="E213" s="3">
        <v>12875612.119999999</v>
      </c>
      <c r="F213" s="1" t="s">
        <v>3065</v>
      </c>
      <c r="G213"/>
      <c r="H213"/>
      <c r="I213" s="19">
        <f>-IFERROR(VLOOKUP(C213,SIRCUPA!$A$21:$H$221,8,0),0)</f>
        <v>0</v>
      </c>
      <c r="J213" s="86">
        <f>-IFERROR(VLOOKUP(C213,SIRTAC!$A$16:$H$1458,8,0),0)</f>
        <v>-132</v>
      </c>
      <c r="K213" s="86">
        <f>-IFERROR(VLOOKUP(C213,Gastos!$A$9:$J$1451,10,0),0)</f>
        <v>-128.04</v>
      </c>
      <c r="L213" s="86">
        <f>-IFERROR(VLOOKUP(C213,IDC!$A$20:$H$1763,8,0),0)</f>
        <v>-79.2</v>
      </c>
      <c r="M213" s="95">
        <f t="shared" si="9"/>
        <v>13200.000000000002</v>
      </c>
      <c r="O213" s="1"/>
    </row>
    <row r="214" spans="1:15" hidden="1">
      <c r="A214" s="1" t="s">
        <v>121</v>
      </c>
      <c r="B214" s="1" t="s">
        <v>15</v>
      </c>
      <c r="C214" s="71">
        <v>128000200419</v>
      </c>
      <c r="D214" s="3">
        <v>39556.58</v>
      </c>
      <c r="E214" s="3">
        <v>12915168.699999999</v>
      </c>
      <c r="F214" s="1" t="s">
        <v>3065</v>
      </c>
      <c r="G214"/>
      <c r="H214"/>
      <c r="I214" s="19">
        <f>-IFERROR(VLOOKUP(C214,SIRCUPA!$A$21:$H$221,8,0),0)</f>
        <v>0</v>
      </c>
      <c r="J214" s="86">
        <f>-IFERROR(VLOOKUP(C214,SIRTAC!$A$16:$H$1458,8,0),0)</f>
        <v>-406</v>
      </c>
      <c r="K214" s="86">
        <f>-IFERROR(VLOOKUP(C214,Gastos!$A$9:$J$1451,10,0),0)</f>
        <v>-393.82</v>
      </c>
      <c r="L214" s="86">
        <f>-IFERROR(VLOOKUP(C214,IDC!$A$20:$H$1763,8,0),0)</f>
        <v>-243.6</v>
      </c>
      <c r="M214" s="95">
        <f t="shared" si="9"/>
        <v>40600</v>
      </c>
      <c r="O214" s="1"/>
    </row>
    <row r="215" spans="1:15" hidden="1">
      <c r="A215" s="1" t="s">
        <v>121</v>
      </c>
      <c r="B215" s="1" t="s">
        <v>15</v>
      </c>
      <c r="C215" s="71">
        <v>128000430537</v>
      </c>
      <c r="D215" s="3">
        <v>18490.419999999998</v>
      </c>
      <c r="E215" s="3">
        <v>12933659.119999999</v>
      </c>
      <c r="F215" s="1" t="s">
        <v>3065</v>
      </c>
      <c r="G215"/>
      <c r="H215"/>
      <c r="I215" s="19">
        <f>-IFERROR(VLOOKUP(C215,SIRCUPA!$A$21:$H$221,8,0),0)</f>
        <v>0</v>
      </c>
      <c r="J215" s="86">
        <f>-IFERROR(VLOOKUP(C215,SIRTAC!$A$16:$H$1458,8,0),0)</f>
        <v>-197</v>
      </c>
      <c r="K215" s="86">
        <f>-IFERROR(VLOOKUP(C215,Gastos!$A$9:$J$1451,10,0),0)</f>
        <v>-894.38</v>
      </c>
      <c r="L215" s="86">
        <f>-IFERROR(VLOOKUP(C215,IDC!$A$20:$H$1763,8,0),0)</f>
        <v>-118.2</v>
      </c>
      <c r="M215" s="95">
        <f t="shared" si="9"/>
        <v>19700</v>
      </c>
      <c r="O215" s="1"/>
    </row>
    <row r="216" spans="1:15" hidden="1">
      <c r="A216" s="1" t="s">
        <v>253</v>
      </c>
      <c r="B216" s="1" t="s">
        <v>15</v>
      </c>
      <c r="C216" s="71">
        <v>128000465631</v>
      </c>
      <c r="D216" s="3">
        <v>57248.82</v>
      </c>
      <c r="E216" s="3">
        <v>12990907.939999999</v>
      </c>
      <c r="F216" s="1" t="s">
        <v>3065</v>
      </c>
      <c r="G216"/>
      <c r="H216"/>
      <c r="I216" s="19">
        <f>-IFERROR(VLOOKUP(C216,SIRCUPA!$A$21:$H$221,8,0),0)</f>
        <v>0</v>
      </c>
      <c r="J216" s="86">
        <f>-IFERROR(VLOOKUP(C216,SIRTAC!$A$16:$H$1458,8,0),0)</f>
        <v>-606</v>
      </c>
      <c r="K216" s="86">
        <f>-IFERROR(VLOOKUP(C216,Gastos!$A$9:$J$1451,10,0),0)</f>
        <v>-2381.58</v>
      </c>
      <c r="L216" s="86">
        <f>-IFERROR(VLOOKUP(C216,IDC!$A$20:$H$1763,8,0),0)</f>
        <v>-363.6</v>
      </c>
      <c r="M216" s="95">
        <f t="shared" si="9"/>
        <v>60600</v>
      </c>
      <c r="O216" s="1"/>
    </row>
    <row r="217" spans="1:15" hidden="1">
      <c r="A217" s="1" t="s">
        <v>253</v>
      </c>
      <c r="B217" s="1" t="s">
        <v>15</v>
      </c>
      <c r="C217" s="71">
        <v>128568081896</v>
      </c>
      <c r="D217" s="3">
        <v>8573.84</v>
      </c>
      <c r="E217" s="3">
        <v>12999481.779999999</v>
      </c>
      <c r="F217" s="1" t="s">
        <v>3065</v>
      </c>
      <c r="G217"/>
      <c r="H217"/>
      <c r="I217" s="19">
        <f>-IFERROR(VLOOKUP(C217,SIRCUPA!$A$21:$H$221,8,0),0)</f>
        <v>0</v>
      </c>
      <c r="J217" s="86">
        <f>-IFERROR(VLOOKUP(C217,SIRTAC!$A$16:$H$1458,8,0),0)</f>
        <v>-88</v>
      </c>
      <c r="K217" s="86">
        <f>-IFERROR(VLOOKUP(C217,Gastos!$A$9:$J$1451,10,0),0)</f>
        <v>-85.36</v>
      </c>
      <c r="L217" s="86">
        <f>-IFERROR(VLOOKUP(C217,IDC!$A$20:$H$1763,8,0),0)</f>
        <v>-52.8</v>
      </c>
      <c r="M217" s="95">
        <f t="shared" si="9"/>
        <v>8800</v>
      </c>
      <c r="O217" s="1"/>
    </row>
    <row r="218" spans="1:15" hidden="1">
      <c r="A218" s="1" t="s">
        <v>253</v>
      </c>
      <c r="B218" s="1" t="s">
        <v>15</v>
      </c>
      <c r="C218" s="71">
        <v>128001058955</v>
      </c>
      <c r="D218" s="3">
        <v>37900.269999999997</v>
      </c>
      <c r="E218" s="3">
        <v>13037382.050000001</v>
      </c>
      <c r="F218" s="1" t="s">
        <v>3065</v>
      </c>
      <c r="G218"/>
      <c r="H218"/>
      <c r="I218" s="19">
        <f>-IFERROR(VLOOKUP(C218,SIRCUPA!$A$21:$H$221,8,0),0)</f>
        <v>0</v>
      </c>
      <c r="J218" s="86">
        <f>-IFERROR(VLOOKUP(C218,SIRTAC!$A$16:$H$1458,8,0),0)</f>
        <v>-389</v>
      </c>
      <c r="K218" s="86">
        <f>-IFERROR(VLOOKUP(C218,Gastos!$A$9:$J$1451,10,0),0)</f>
        <v>-377.33</v>
      </c>
      <c r="L218" s="86">
        <f>-IFERROR(VLOOKUP(C218,IDC!$A$20:$H$1763,8,0),0)</f>
        <v>-233.4</v>
      </c>
      <c r="M218" s="95">
        <f t="shared" si="9"/>
        <v>38900</v>
      </c>
      <c r="O218" s="1"/>
    </row>
    <row r="219" spans="1:15" hidden="1">
      <c r="A219" s="1" t="s">
        <v>253</v>
      </c>
      <c r="B219" s="1" t="s">
        <v>15</v>
      </c>
      <c r="C219" s="71">
        <v>128001109327</v>
      </c>
      <c r="D219" s="3">
        <v>38387.42</v>
      </c>
      <c r="E219" s="3">
        <v>13075769.470000001</v>
      </c>
      <c r="F219" s="1" t="s">
        <v>3065</v>
      </c>
      <c r="G219"/>
      <c r="H219"/>
      <c r="I219" s="19">
        <f>-IFERROR(VLOOKUP(C219,SIRCUPA!$A$21:$H$221,8,0),0)</f>
        <v>0</v>
      </c>
      <c r="J219" s="86">
        <f>-IFERROR(VLOOKUP(C219,SIRTAC!$A$16:$H$1458,8,0),0)</f>
        <v>-394</v>
      </c>
      <c r="K219" s="86">
        <f>-IFERROR(VLOOKUP(C219,Gastos!$A$9:$J$1451,10,0),0)</f>
        <v>-382.18</v>
      </c>
      <c r="L219" s="86">
        <f>-IFERROR(VLOOKUP(C219,IDC!$A$20:$H$1763,8,0),0)</f>
        <v>-236.4</v>
      </c>
      <c r="M219" s="95">
        <f t="shared" si="9"/>
        <v>39400</v>
      </c>
      <c r="O219" s="1"/>
    </row>
    <row r="220" spans="1:15" hidden="1">
      <c r="A220" s="1" t="s">
        <v>253</v>
      </c>
      <c r="B220" s="1" t="s">
        <v>15</v>
      </c>
      <c r="C220" s="71">
        <v>128001440707</v>
      </c>
      <c r="D220" s="3">
        <v>36225.21</v>
      </c>
      <c r="E220" s="3">
        <v>13111994.68</v>
      </c>
      <c r="F220" s="1" t="s">
        <v>3065</v>
      </c>
      <c r="G220"/>
      <c r="H220"/>
      <c r="I220" s="19">
        <f>-IFERROR(VLOOKUP(C220,SIRCUPA!$A$21:$H$221,8,0),0)</f>
        <v>0</v>
      </c>
      <c r="J220" s="86">
        <f>-IFERROR(VLOOKUP(C220,SIRTAC!$A$16:$H$1458,8,0),0)</f>
        <v>-399</v>
      </c>
      <c r="K220" s="86">
        <f>-IFERROR(VLOOKUP(C220,Gastos!$A$9:$J$1451,10,0),0)</f>
        <v>-3036.39</v>
      </c>
      <c r="L220" s="86">
        <f>-IFERROR(VLOOKUP(C220,IDC!$A$20:$H$1763,8,0),0)</f>
        <v>-239.4</v>
      </c>
      <c r="M220" s="95">
        <f t="shared" si="9"/>
        <v>39900</v>
      </c>
      <c r="O220" s="1"/>
    </row>
    <row r="221" spans="1:15" hidden="1">
      <c r="A221" s="1" t="s">
        <v>253</v>
      </c>
      <c r="B221" s="1" t="s">
        <v>15</v>
      </c>
      <c r="C221" s="71">
        <v>128001644287</v>
      </c>
      <c r="D221" s="3">
        <v>33613.35</v>
      </c>
      <c r="E221" s="3">
        <v>13145608.029999999</v>
      </c>
      <c r="F221" s="1" t="s">
        <v>3065</v>
      </c>
      <c r="G221"/>
      <c r="H221"/>
      <c r="I221" s="19">
        <f>-IFERROR(VLOOKUP(C221,SIRCUPA!$A$21:$H$221,8,0),0)</f>
        <v>0</v>
      </c>
      <c r="J221" s="86">
        <f>-IFERROR(VLOOKUP(C221,SIRTAC!$A$16:$H$1458,8,0),0)</f>
        <v>-345</v>
      </c>
      <c r="K221" s="86">
        <f>-IFERROR(VLOOKUP(C221,Gastos!$A$9:$J$1451,10,0),0)</f>
        <v>-334.65</v>
      </c>
      <c r="L221" s="86">
        <f>-IFERROR(VLOOKUP(C221,IDC!$A$20:$H$1763,8,0),0)</f>
        <v>-207</v>
      </c>
      <c r="M221" s="95">
        <f t="shared" si="9"/>
        <v>34500</v>
      </c>
      <c r="O221" s="1"/>
    </row>
    <row r="222" spans="1:15" hidden="1">
      <c r="A222" s="1" t="s">
        <v>253</v>
      </c>
      <c r="B222" s="1" t="s">
        <v>260</v>
      </c>
      <c r="C222" s="71">
        <v>128568561564</v>
      </c>
      <c r="D222" s="3">
        <v>1958</v>
      </c>
      <c r="E222" s="3">
        <v>13147566.029999999</v>
      </c>
      <c r="F222" s="1" t="s">
        <v>3065</v>
      </c>
      <c r="G222"/>
      <c r="H222"/>
      <c r="I222" s="19">
        <f>-IFERROR(VLOOKUP(C222,SIRCUPA!$A$21:$H$221,8,0),0)</f>
        <v>-30</v>
      </c>
      <c r="J222" s="86">
        <f>-IFERROR(VLOOKUP(C222,SIRTAC!$A$16:$H$1458,8,0),0)</f>
        <v>0</v>
      </c>
      <c r="K222" s="86">
        <f>-IFERROR(VLOOKUP(C222,Gastos!$A$9:$J$1451,10,0),0)</f>
        <v>0</v>
      </c>
      <c r="L222" s="86">
        <f>-IFERROR(VLOOKUP(C222,IDC!$A$20:$H$1763,8,0),0)</f>
        <v>-12</v>
      </c>
      <c r="M222" s="95">
        <f t="shared" si="9"/>
        <v>2000</v>
      </c>
      <c r="O222" s="1"/>
    </row>
    <row r="223" spans="1:15" hidden="1">
      <c r="A223" s="1" t="s">
        <v>253</v>
      </c>
      <c r="B223" s="1" t="s">
        <v>15</v>
      </c>
      <c r="C223" s="71">
        <v>128569096724</v>
      </c>
      <c r="D223" s="3">
        <v>17147.68</v>
      </c>
      <c r="E223" s="3">
        <v>13164713.710000001</v>
      </c>
      <c r="F223" s="1" t="s">
        <v>3065</v>
      </c>
      <c r="G223"/>
      <c r="H223"/>
      <c r="I223" s="19">
        <f>-IFERROR(VLOOKUP(C223,SIRCUPA!$A$21:$H$221,8,0),0)</f>
        <v>0</v>
      </c>
      <c r="J223" s="86">
        <f>-IFERROR(VLOOKUP(C223,SIRTAC!$A$16:$H$1458,8,0),0)</f>
        <v>-176</v>
      </c>
      <c r="K223" s="86">
        <f>-IFERROR(VLOOKUP(C223,Gastos!$A$9:$J$1451,10,0),0)</f>
        <v>-170.72</v>
      </c>
      <c r="L223" s="86">
        <f>-IFERROR(VLOOKUP(C223,IDC!$A$20:$H$1763,8,0),0)</f>
        <v>-105.6</v>
      </c>
      <c r="M223" s="95">
        <f t="shared" si="9"/>
        <v>17600</v>
      </c>
      <c r="O223" s="1"/>
    </row>
    <row r="224" spans="1:15" hidden="1">
      <c r="A224" s="1" t="s">
        <v>253</v>
      </c>
      <c r="B224" s="1" t="s">
        <v>15</v>
      </c>
      <c r="C224" s="71">
        <v>128569194344</v>
      </c>
      <c r="D224" s="3">
        <v>31469.89</v>
      </c>
      <c r="E224" s="3">
        <v>13196183.6</v>
      </c>
      <c r="F224" s="1" t="s">
        <v>3065</v>
      </c>
      <c r="G224"/>
      <c r="H224"/>
      <c r="I224" s="19">
        <f>-IFERROR(VLOOKUP(C224,SIRCUPA!$A$21:$H$221,8,0),0)</f>
        <v>0</v>
      </c>
      <c r="J224" s="86">
        <f>-IFERROR(VLOOKUP(C224,SIRTAC!$A$16:$H$1458,8,0),0)</f>
        <v>-323</v>
      </c>
      <c r="K224" s="86">
        <f>-IFERROR(VLOOKUP(C224,Gastos!$A$9:$J$1451,10,0),0)</f>
        <v>-313.31</v>
      </c>
      <c r="L224" s="86">
        <f>-IFERROR(VLOOKUP(C224,IDC!$A$20:$H$1763,8,0),0)</f>
        <v>-193.8</v>
      </c>
      <c r="M224" s="95">
        <f t="shared" ref="M224:M287" si="10">+D224-I224-J224-K224-L224</f>
        <v>32300</v>
      </c>
      <c r="O224" s="1"/>
    </row>
    <row r="225" spans="1:15" hidden="1">
      <c r="A225" s="1" t="s">
        <v>253</v>
      </c>
      <c r="B225" s="1" t="s">
        <v>15</v>
      </c>
      <c r="C225" s="71">
        <v>128569976332</v>
      </c>
      <c r="D225" s="3">
        <v>24467.73</v>
      </c>
      <c r="E225" s="3">
        <v>13220651.33</v>
      </c>
      <c r="F225" s="1" t="s">
        <v>3065</v>
      </c>
      <c r="G225"/>
      <c r="H225"/>
      <c r="I225" s="19">
        <f>-IFERROR(VLOOKUP(C225,SIRCUPA!$A$21:$H$221,8,0),0)</f>
        <v>0</v>
      </c>
      <c r="J225" s="86">
        <f>-IFERROR(VLOOKUP(C225,SIRTAC!$A$16:$H$1458,8,0),0)</f>
        <v>-259</v>
      </c>
      <c r="K225" s="86">
        <f>-IFERROR(VLOOKUP(C225,Gastos!$A$9:$J$1451,10,0),0)</f>
        <v>-1017.87</v>
      </c>
      <c r="L225" s="86">
        <f>-IFERROR(VLOOKUP(C225,IDC!$A$20:$H$1763,8,0),0)</f>
        <v>-155.4</v>
      </c>
      <c r="M225" s="95">
        <f t="shared" si="10"/>
        <v>25900</v>
      </c>
      <c r="O225" s="1"/>
    </row>
    <row r="226" spans="1:15" hidden="1">
      <c r="A226" s="1" t="s">
        <v>253</v>
      </c>
      <c r="B226" s="1" t="s">
        <v>15</v>
      </c>
      <c r="C226" s="71">
        <v>128570461436</v>
      </c>
      <c r="D226" s="3">
        <v>10327.58</v>
      </c>
      <c r="E226" s="3">
        <v>13230978.91</v>
      </c>
      <c r="F226" s="1" t="s">
        <v>3065</v>
      </c>
      <c r="G226"/>
      <c r="H226"/>
      <c r="I226" s="19">
        <f>-IFERROR(VLOOKUP(C226,SIRCUPA!$A$21:$H$221,8,0),0)</f>
        <v>0</v>
      </c>
      <c r="J226" s="86">
        <f>-IFERROR(VLOOKUP(C226,SIRTAC!$A$16:$H$1458,8,0),0)</f>
        <v>-106</v>
      </c>
      <c r="K226" s="86">
        <f>-IFERROR(VLOOKUP(C226,Gastos!$A$9:$J$1451,10,0),0)</f>
        <v>-102.82</v>
      </c>
      <c r="L226" s="86">
        <f>-IFERROR(VLOOKUP(C226,IDC!$A$20:$H$1763,8,0),0)</f>
        <v>-63.6</v>
      </c>
      <c r="M226" s="95">
        <f t="shared" si="10"/>
        <v>10600</v>
      </c>
      <c r="O226" s="1"/>
    </row>
    <row r="227" spans="1:15" hidden="1">
      <c r="A227" s="1" t="s">
        <v>253</v>
      </c>
      <c r="B227" s="1" t="s">
        <v>15</v>
      </c>
      <c r="C227" s="71">
        <v>128571344170</v>
      </c>
      <c r="D227" s="3">
        <v>22603.759999999998</v>
      </c>
      <c r="E227" s="3">
        <v>13253582.67</v>
      </c>
      <c r="F227" s="1" t="s">
        <v>3065</v>
      </c>
      <c r="G227"/>
      <c r="H227"/>
      <c r="I227" s="19">
        <f>-IFERROR(VLOOKUP(C227,SIRCUPA!$A$21:$H$221,8,0),0)</f>
        <v>0</v>
      </c>
      <c r="J227" s="86">
        <f>-IFERROR(VLOOKUP(C227,SIRTAC!$A$16:$H$1458,8,0),0)</f>
        <v>-232</v>
      </c>
      <c r="K227" s="86">
        <f>-IFERROR(VLOOKUP(C227,Gastos!$A$9:$J$1451,10,0),0)</f>
        <v>-225.04</v>
      </c>
      <c r="L227" s="86">
        <f>-IFERROR(VLOOKUP(C227,IDC!$A$20:$H$1763,8,0),0)</f>
        <v>-139.19999999999999</v>
      </c>
      <c r="M227" s="95">
        <f t="shared" si="10"/>
        <v>23200</v>
      </c>
      <c r="O227" s="1"/>
    </row>
    <row r="228" spans="1:15" hidden="1">
      <c r="A228" s="1" t="s">
        <v>253</v>
      </c>
      <c r="B228" s="1" t="s">
        <v>15</v>
      </c>
      <c r="C228" s="71">
        <v>128571825428</v>
      </c>
      <c r="D228" s="3">
        <v>37510.550000000003</v>
      </c>
      <c r="E228" s="3">
        <v>13291093.220000001</v>
      </c>
      <c r="F228" s="1" t="s">
        <v>3065</v>
      </c>
      <c r="G228"/>
      <c r="H228"/>
      <c r="I228" s="19">
        <f>-IFERROR(VLOOKUP(C228,SIRCUPA!$A$21:$H$221,8,0),0)</f>
        <v>0</v>
      </c>
      <c r="J228" s="86">
        <f>-IFERROR(VLOOKUP(C228,SIRTAC!$A$16:$H$1458,8,0),0)</f>
        <v>-385</v>
      </c>
      <c r="K228" s="86">
        <f>-IFERROR(VLOOKUP(C228,Gastos!$A$9:$J$1451,10,0),0)</f>
        <v>-373.45</v>
      </c>
      <c r="L228" s="86">
        <f>-IFERROR(VLOOKUP(C228,IDC!$A$20:$H$1763,8,0),0)</f>
        <v>-231</v>
      </c>
      <c r="M228" s="95">
        <f t="shared" si="10"/>
        <v>38500</v>
      </c>
      <c r="O228" s="1"/>
    </row>
    <row r="229" spans="1:15" hidden="1">
      <c r="A229" s="1" t="s">
        <v>253</v>
      </c>
      <c r="B229" s="1" t="s">
        <v>15</v>
      </c>
      <c r="C229" s="71">
        <v>128005151107</v>
      </c>
      <c r="D229" s="3">
        <v>75508.25</v>
      </c>
      <c r="E229" s="3">
        <v>13366601.470000001</v>
      </c>
      <c r="F229" s="1" t="s">
        <v>3065</v>
      </c>
      <c r="G229"/>
      <c r="H229"/>
      <c r="I229" s="19">
        <f>-IFERROR(VLOOKUP(C229,SIRCUPA!$A$21:$H$221,8,0),0)</f>
        <v>0</v>
      </c>
      <c r="J229" s="86">
        <f>-IFERROR(VLOOKUP(C229,SIRTAC!$A$16:$H$1458,8,0),0)</f>
        <v>-775</v>
      </c>
      <c r="K229" s="86">
        <f>-IFERROR(VLOOKUP(C229,Gastos!$A$9:$J$1451,10,0),0)</f>
        <v>-751.75</v>
      </c>
      <c r="L229" s="86">
        <f>-IFERROR(VLOOKUP(C229,IDC!$A$20:$H$1763,8,0),0)</f>
        <v>-465</v>
      </c>
      <c r="M229" s="95">
        <f t="shared" si="10"/>
        <v>77500</v>
      </c>
      <c r="O229" s="1"/>
    </row>
    <row r="230" spans="1:15" hidden="1">
      <c r="A230" s="1" t="s">
        <v>253</v>
      </c>
      <c r="B230" s="1" t="s">
        <v>15</v>
      </c>
      <c r="C230" s="71">
        <v>128572165456</v>
      </c>
      <c r="D230" s="3">
        <v>7746.54</v>
      </c>
      <c r="E230" s="3">
        <v>13374348.01</v>
      </c>
      <c r="F230" s="1" t="s">
        <v>3065</v>
      </c>
      <c r="G230"/>
      <c r="H230"/>
      <c r="I230" s="19">
        <f>-IFERROR(VLOOKUP(C230,SIRCUPA!$A$21:$H$221,8,0),0)</f>
        <v>0</v>
      </c>
      <c r="J230" s="86">
        <f>-IFERROR(VLOOKUP(C230,SIRTAC!$A$16:$H$1458,8,0),0)</f>
        <v>-82</v>
      </c>
      <c r="K230" s="86">
        <f>-IFERROR(VLOOKUP(C230,Gastos!$A$9:$J$1451,10,0),0)</f>
        <v>-322.26</v>
      </c>
      <c r="L230" s="86">
        <f>-IFERROR(VLOOKUP(C230,IDC!$A$20:$H$1763,8,0),0)</f>
        <v>-49.2</v>
      </c>
      <c r="M230" s="95">
        <f t="shared" si="10"/>
        <v>8200</v>
      </c>
      <c r="O230" s="1"/>
    </row>
    <row r="231" spans="1:15" hidden="1">
      <c r="A231" s="1" t="s">
        <v>253</v>
      </c>
      <c r="B231" s="1" t="s">
        <v>15</v>
      </c>
      <c r="C231" s="71">
        <v>128572181400</v>
      </c>
      <c r="D231" s="3">
        <v>22200.45</v>
      </c>
      <c r="E231" s="3">
        <v>13396548.460000001</v>
      </c>
      <c r="F231" s="1" t="s">
        <v>3065</v>
      </c>
      <c r="G231"/>
      <c r="H231"/>
      <c r="I231" s="19">
        <f>-IFERROR(VLOOKUP(C231,SIRCUPA!$A$21:$H$221,8,0),0)</f>
        <v>0</v>
      </c>
      <c r="J231" s="86">
        <f>-IFERROR(VLOOKUP(C231,SIRTAC!$A$16:$H$1458,8,0),0)</f>
        <v>-235</v>
      </c>
      <c r="K231" s="86">
        <f>-IFERROR(VLOOKUP(C231,Gastos!$A$9:$J$1451,10,0),0)</f>
        <v>-923.55</v>
      </c>
      <c r="L231" s="86">
        <f>-IFERROR(VLOOKUP(C231,IDC!$A$20:$H$1763,8,0),0)</f>
        <v>-141</v>
      </c>
      <c r="M231" s="95">
        <f t="shared" si="10"/>
        <v>23500</v>
      </c>
      <c r="O231" s="1"/>
    </row>
    <row r="232" spans="1:15" hidden="1">
      <c r="A232" s="1" t="s">
        <v>253</v>
      </c>
      <c r="B232" s="1" t="s">
        <v>15</v>
      </c>
      <c r="C232" s="71">
        <v>128005159549</v>
      </c>
      <c r="D232" s="3">
        <v>96747.99</v>
      </c>
      <c r="E232" s="3">
        <v>13493296.449999999</v>
      </c>
      <c r="F232" s="1" t="s">
        <v>3065</v>
      </c>
      <c r="G232"/>
      <c r="H232"/>
      <c r="I232" s="19">
        <f>-IFERROR(VLOOKUP(C232,SIRCUPA!$A$21:$H$221,8,0),0)</f>
        <v>0</v>
      </c>
      <c r="J232" s="86">
        <f>-IFERROR(VLOOKUP(C232,SIRTAC!$A$16:$H$1458,8,0),0)</f>
        <v>-993</v>
      </c>
      <c r="K232" s="86">
        <f>-IFERROR(VLOOKUP(C232,Gastos!$A$9:$J$1451,10,0),0)</f>
        <v>-963.21</v>
      </c>
      <c r="L232" s="86">
        <f>-IFERROR(VLOOKUP(C232,IDC!$A$20:$H$1763,8,0),0)</f>
        <v>-595.79999999999995</v>
      </c>
      <c r="M232" s="95">
        <f t="shared" si="10"/>
        <v>99300.000000000015</v>
      </c>
      <c r="O232" s="1"/>
    </row>
    <row r="233" spans="1:15" hidden="1">
      <c r="A233" s="1" t="s">
        <v>253</v>
      </c>
      <c r="B233" s="1" t="s">
        <v>15</v>
      </c>
      <c r="C233" s="71">
        <v>128005247119</v>
      </c>
      <c r="D233" s="3">
        <v>39960.81</v>
      </c>
      <c r="E233" s="3">
        <v>13533257.26</v>
      </c>
      <c r="F233" s="1" t="s">
        <v>3065</v>
      </c>
      <c r="G233"/>
      <c r="H233"/>
      <c r="I233" s="19">
        <f>-IFERROR(VLOOKUP(C233,SIRCUPA!$A$21:$H$221,8,0),0)</f>
        <v>0</v>
      </c>
      <c r="J233" s="86">
        <f>-IFERROR(VLOOKUP(C233,SIRTAC!$A$16:$H$1458,8,0),0)</f>
        <v>-423</v>
      </c>
      <c r="K233" s="86">
        <f>-IFERROR(VLOOKUP(C233,Gastos!$A$9:$J$1451,10,0),0)</f>
        <v>-1662.39</v>
      </c>
      <c r="L233" s="86">
        <f>-IFERROR(VLOOKUP(C233,IDC!$A$20:$H$1763,8,0),0)</f>
        <v>-253.8</v>
      </c>
      <c r="M233" s="95">
        <f t="shared" si="10"/>
        <v>42300</v>
      </c>
      <c r="O233" s="1"/>
    </row>
    <row r="234" spans="1:15" hidden="1">
      <c r="A234" s="1" t="s">
        <v>253</v>
      </c>
      <c r="B234" s="1" t="s">
        <v>15</v>
      </c>
      <c r="C234" s="71">
        <v>128005725859</v>
      </c>
      <c r="D234" s="3">
        <v>38095.129999999997</v>
      </c>
      <c r="E234" s="3">
        <v>13571352.390000001</v>
      </c>
      <c r="F234" s="1" t="s">
        <v>3065</v>
      </c>
      <c r="G234"/>
      <c r="H234"/>
      <c r="I234" s="19">
        <f>-IFERROR(VLOOKUP(C234,SIRCUPA!$A$21:$H$221,8,0),0)</f>
        <v>0</v>
      </c>
      <c r="J234" s="86">
        <f>-IFERROR(VLOOKUP(C234,SIRTAC!$A$16:$H$1458,8,0),0)</f>
        <v>-391</v>
      </c>
      <c r="K234" s="86">
        <f>-IFERROR(VLOOKUP(C234,Gastos!$A$9:$J$1451,10,0),0)</f>
        <v>-379.27</v>
      </c>
      <c r="L234" s="86">
        <f>-IFERROR(VLOOKUP(C234,IDC!$A$20:$H$1763,8,0),0)</f>
        <v>-234.6</v>
      </c>
      <c r="M234" s="95">
        <f t="shared" si="10"/>
        <v>39099.999999999993</v>
      </c>
      <c r="O234" s="1"/>
    </row>
    <row r="235" spans="1:15" hidden="1">
      <c r="A235" s="1" t="s">
        <v>253</v>
      </c>
      <c r="B235" s="1" t="s">
        <v>15</v>
      </c>
      <c r="C235" s="71">
        <v>128005944893</v>
      </c>
      <c r="D235" s="3">
        <v>4534.5600000000004</v>
      </c>
      <c r="E235" s="3">
        <v>13575886.949999999</v>
      </c>
      <c r="F235" s="1" t="s">
        <v>3065</v>
      </c>
      <c r="G235"/>
      <c r="H235"/>
      <c r="I235" s="19">
        <f>-IFERROR(VLOOKUP(C235,SIRCUPA!$A$21:$H$221,8,0),0)</f>
        <v>0</v>
      </c>
      <c r="J235" s="86">
        <f>-IFERROR(VLOOKUP(C235,SIRTAC!$A$16:$H$1458,8,0),0)</f>
        <v>-48</v>
      </c>
      <c r="K235" s="86">
        <f>-IFERROR(VLOOKUP(C235,Gastos!$A$9:$J$1451,10,0),0)</f>
        <v>-188.64</v>
      </c>
      <c r="L235" s="86">
        <f>-IFERROR(VLOOKUP(C235,IDC!$A$20:$H$1763,8,0),0)</f>
        <v>-28.8</v>
      </c>
      <c r="M235" s="95">
        <f t="shared" si="10"/>
        <v>4800.0000000000009</v>
      </c>
      <c r="O235" s="1"/>
    </row>
    <row r="236" spans="1:15" hidden="1">
      <c r="A236" s="1" t="s">
        <v>253</v>
      </c>
      <c r="B236" s="1" t="s">
        <v>15</v>
      </c>
      <c r="C236" s="71">
        <v>128005948841</v>
      </c>
      <c r="D236" s="3">
        <v>35659.379999999997</v>
      </c>
      <c r="E236" s="3">
        <v>13611546.33</v>
      </c>
      <c r="F236" s="1" t="s">
        <v>3065</v>
      </c>
      <c r="G236"/>
      <c r="H236"/>
      <c r="I236" s="19">
        <f>-IFERROR(VLOOKUP(C236,SIRCUPA!$A$21:$H$221,8,0),0)</f>
        <v>0</v>
      </c>
      <c r="J236" s="86">
        <f>-IFERROR(VLOOKUP(C236,SIRTAC!$A$16:$H$1458,8,0),0)</f>
        <v>-366</v>
      </c>
      <c r="K236" s="86">
        <f>-IFERROR(VLOOKUP(C236,Gastos!$A$9:$J$1451,10,0),0)</f>
        <v>-355.02</v>
      </c>
      <c r="L236" s="86">
        <f>-IFERROR(VLOOKUP(C236,IDC!$A$20:$H$1763,8,0),0)</f>
        <v>-219.6</v>
      </c>
      <c r="M236" s="95">
        <f t="shared" si="10"/>
        <v>36599.999999999993</v>
      </c>
      <c r="O236" s="1"/>
    </row>
    <row r="237" spans="1:15" hidden="1">
      <c r="A237" s="1" t="s">
        <v>253</v>
      </c>
      <c r="B237" s="1" t="s">
        <v>15</v>
      </c>
      <c r="C237" s="71">
        <v>128006056141</v>
      </c>
      <c r="D237" s="3">
        <v>14805.81</v>
      </c>
      <c r="E237" s="3">
        <v>13626352.140000001</v>
      </c>
      <c r="F237" s="1" t="s">
        <v>3065</v>
      </c>
      <c r="G237"/>
      <c r="H237"/>
      <c r="I237" s="19">
        <f>-IFERROR(VLOOKUP(C237,SIRCUPA!$A$21:$H$221,8,0),0)</f>
        <v>0</v>
      </c>
      <c r="J237" s="86">
        <f>-IFERROR(VLOOKUP(C237,SIRTAC!$A$16:$H$1458,8,0),0)</f>
        <v>-153</v>
      </c>
      <c r="K237" s="86">
        <f>-IFERROR(VLOOKUP(C237,Gastos!$A$9:$J$1451,10,0),0)</f>
        <v>-249.39</v>
      </c>
      <c r="L237" s="86">
        <f>-IFERROR(VLOOKUP(C237,IDC!$A$20:$H$1763,8,0),0)</f>
        <v>-91.8</v>
      </c>
      <c r="M237" s="95">
        <f t="shared" si="10"/>
        <v>15299.999999999998</v>
      </c>
      <c r="O237" s="1"/>
    </row>
    <row r="238" spans="1:15" hidden="1">
      <c r="A238" s="1" t="s">
        <v>253</v>
      </c>
      <c r="B238" s="1" t="s">
        <v>15</v>
      </c>
      <c r="C238" s="71">
        <v>128006270955</v>
      </c>
      <c r="D238" s="3">
        <v>25721.52</v>
      </c>
      <c r="E238" s="3">
        <v>13652073.66</v>
      </c>
      <c r="F238" s="1" t="s">
        <v>3065</v>
      </c>
      <c r="G238"/>
      <c r="H238"/>
      <c r="I238" s="19">
        <f>-IFERROR(VLOOKUP(C238,SIRCUPA!$A$21:$H$221,8,0),0)</f>
        <v>0</v>
      </c>
      <c r="J238" s="86">
        <f>-IFERROR(VLOOKUP(C238,SIRTAC!$A$16:$H$1458,8,0),0)</f>
        <v>-264</v>
      </c>
      <c r="K238" s="86">
        <f>-IFERROR(VLOOKUP(C238,Gastos!$A$9:$J$1451,10,0),0)</f>
        <v>-256.08</v>
      </c>
      <c r="L238" s="86">
        <f>-IFERROR(VLOOKUP(C238,IDC!$A$20:$H$1763,8,0),0)</f>
        <v>-158.4</v>
      </c>
      <c r="M238" s="95">
        <f t="shared" si="10"/>
        <v>26400.000000000004</v>
      </c>
      <c r="O238" s="1"/>
    </row>
    <row r="239" spans="1:15" hidden="1">
      <c r="A239" s="1" t="s">
        <v>253</v>
      </c>
      <c r="B239" s="1" t="s">
        <v>15</v>
      </c>
      <c r="C239" s="71">
        <v>128573428634</v>
      </c>
      <c r="D239" s="3">
        <v>9353.2800000000007</v>
      </c>
      <c r="E239" s="3">
        <v>13661426.939999999</v>
      </c>
      <c r="F239" s="1" t="s">
        <v>3065</v>
      </c>
      <c r="G239"/>
      <c r="H239"/>
      <c r="I239" s="19">
        <f>-IFERROR(VLOOKUP(C239,SIRCUPA!$A$21:$H$221,8,0),0)</f>
        <v>0</v>
      </c>
      <c r="J239" s="86">
        <f>-IFERROR(VLOOKUP(C239,SIRTAC!$A$16:$H$1458,8,0),0)</f>
        <v>-96</v>
      </c>
      <c r="K239" s="86">
        <f>-IFERROR(VLOOKUP(C239,Gastos!$A$9:$J$1451,10,0),0)</f>
        <v>-93.12</v>
      </c>
      <c r="L239" s="86">
        <f>-IFERROR(VLOOKUP(C239,IDC!$A$20:$H$1763,8,0),0)</f>
        <v>-57.6</v>
      </c>
      <c r="M239" s="95">
        <f t="shared" si="10"/>
        <v>9600.0000000000018</v>
      </c>
      <c r="O239" s="1"/>
    </row>
    <row r="240" spans="1:15" hidden="1">
      <c r="A240" s="1" t="s">
        <v>253</v>
      </c>
      <c r="B240" s="1" t="s">
        <v>279</v>
      </c>
      <c r="C240" s="71">
        <v>128573422760</v>
      </c>
      <c r="D240" s="2">
        <v>939.84</v>
      </c>
      <c r="E240" s="3">
        <v>13662366.779999999</v>
      </c>
      <c r="F240" s="1" t="s">
        <v>3065</v>
      </c>
      <c r="G240"/>
      <c r="H240"/>
      <c r="I240" s="19">
        <f>-IFERROR(VLOOKUP(C240,SIRCUPA!$A$21:$H$221,8,0),0)</f>
        <v>-14.4</v>
      </c>
      <c r="J240" s="86">
        <f>-IFERROR(VLOOKUP(C240,SIRTAC!$A$16:$H$1458,8,0),0)</f>
        <v>0</v>
      </c>
      <c r="K240" s="86">
        <f>-IFERROR(VLOOKUP(C240,Gastos!$A$9:$J$1451,10,0),0)</f>
        <v>0</v>
      </c>
      <c r="L240" s="86">
        <f>-IFERROR(VLOOKUP(C240,IDC!$A$20:$H$1763,8,0),0)</f>
        <v>-5.76</v>
      </c>
      <c r="M240" s="95">
        <f t="shared" si="10"/>
        <v>960</v>
      </c>
      <c r="O240" s="1"/>
    </row>
    <row r="241" spans="1:15" hidden="1">
      <c r="A241" s="1" t="s">
        <v>253</v>
      </c>
      <c r="B241" s="1" t="s">
        <v>15</v>
      </c>
      <c r="C241" s="71">
        <v>128006450347</v>
      </c>
      <c r="D241" s="3">
        <v>36633.68</v>
      </c>
      <c r="E241" s="3">
        <v>13699000.460000001</v>
      </c>
      <c r="F241" s="1" t="s">
        <v>3065</v>
      </c>
      <c r="G241"/>
      <c r="H241"/>
      <c r="I241" s="19">
        <f>-IFERROR(VLOOKUP(C241,SIRCUPA!$A$21:$H$221,8,0),0)</f>
        <v>0</v>
      </c>
      <c r="J241" s="86">
        <f>-IFERROR(VLOOKUP(C241,SIRTAC!$A$16:$H$1458,8,0),0)</f>
        <v>-376</v>
      </c>
      <c r="K241" s="86">
        <f>-IFERROR(VLOOKUP(C241,Gastos!$A$9:$J$1451,10,0),0)</f>
        <v>-364.72</v>
      </c>
      <c r="L241" s="86">
        <f>-IFERROR(VLOOKUP(C241,IDC!$A$20:$H$1763,8,0),0)</f>
        <v>-225.6</v>
      </c>
      <c r="M241" s="95">
        <f t="shared" si="10"/>
        <v>37600</v>
      </c>
      <c r="O241" s="1"/>
    </row>
    <row r="242" spans="1:15" hidden="1">
      <c r="A242" s="1" t="s">
        <v>253</v>
      </c>
      <c r="B242" s="1" t="s">
        <v>15</v>
      </c>
      <c r="C242" s="71">
        <v>128006450901</v>
      </c>
      <c r="D242" s="3">
        <v>11999.48</v>
      </c>
      <c r="E242" s="3">
        <v>13710999.939999999</v>
      </c>
      <c r="F242" s="1" t="s">
        <v>3065</v>
      </c>
      <c r="G242"/>
      <c r="H242"/>
      <c r="I242" s="19">
        <f>-IFERROR(VLOOKUP(C242,SIRCUPA!$A$21:$H$221,8,0),0)</f>
        <v>0</v>
      </c>
      <c r="J242" s="86">
        <f>-IFERROR(VLOOKUP(C242,SIRTAC!$A$16:$H$1458,8,0),0)</f>
        <v>-124</v>
      </c>
      <c r="K242" s="86">
        <f>-IFERROR(VLOOKUP(C242,Gastos!$A$9:$J$1451,10,0),0)</f>
        <v>-202.12</v>
      </c>
      <c r="L242" s="86">
        <f>-IFERROR(VLOOKUP(C242,IDC!$A$20:$H$1763,8,0),0)</f>
        <v>-74.400000000000006</v>
      </c>
      <c r="M242" s="95">
        <f t="shared" si="10"/>
        <v>12400</v>
      </c>
      <c r="O242" s="1"/>
    </row>
    <row r="243" spans="1:15" hidden="1">
      <c r="A243" s="1" t="s">
        <v>253</v>
      </c>
      <c r="B243" s="1" t="s">
        <v>15</v>
      </c>
      <c r="C243" s="71">
        <v>128006790639</v>
      </c>
      <c r="D243" s="3">
        <v>8573.84</v>
      </c>
      <c r="E243" s="3">
        <v>13719573.779999999</v>
      </c>
      <c r="F243" s="1" t="s">
        <v>3065</v>
      </c>
      <c r="G243"/>
      <c r="H243"/>
      <c r="I243" s="19">
        <f>-IFERROR(VLOOKUP(C243,SIRCUPA!$A$21:$H$221,8,0),0)</f>
        <v>0</v>
      </c>
      <c r="J243" s="86">
        <f>-IFERROR(VLOOKUP(C243,SIRTAC!$A$16:$H$1458,8,0),0)</f>
        <v>-88</v>
      </c>
      <c r="K243" s="86">
        <f>-IFERROR(VLOOKUP(C243,Gastos!$A$9:$J$1451,10,0),0)</f>
        <v>-85.36</v>
      </c>
      <c r="L243" s="86">
        <f>-IFERROR(VLOOKUP(C243,IDC!$A$20:$H$1763,8,0),0)</f>
        <v>-52.8</v>
      </c>
      <c r="M243" s="95">
        <f t="shared" si="10"/>
        <v>8800</v>
      </c>
      <c r="O243" s="1"/>
    </row>
    <row r="244" spans="1:15" hidden="1">
      <c r="A244" s="1" t="s">
        <v>253</v>
      </c>
      <c r="B244" s="1" t="s">
        <v>15</v>
      </c>
      <c r="C244" s="71">
        <v>128574660704</v>
      </c>
      <c r="D244" s="3">
        <v>25234.37</v>
      </c>
      <c r="E244" s="3">
        <v>13744808.15</v>
      </c>
      <c r="F244" s="1" t="s">
        <v>3065</v>
      </c>
      <c r="G244"/>
      <c r="H244"/>
      <c r="I244" s="19">
        <f>-IFERROR(VLOOKUP(C244,SIRCUPA!$A$21:$H$221,8,0),0)</f>
        <v>0</v>
      </c>
      <c r="J244" s="86">
        <f>-IFERROR(VLOOKUP(C244,SIRTAC!$A$16:$H$1458,8,0),0)</f>
        <v>-259</v>
      </c>
      <c r="K244" s="86">
        <f>-IFERROR(VLOOKUP(C244,Gastos!$A$9:$J$1451,10,0),0)</f>
        <v>-251.23</v>
      </c>
      <c r="L244" s="86">
        <f>-IFERROR(VLOOKUP(C244,IDC!$A$20:$H$1763,8,0),0)</f>
        <v>-155.4</v>
      </c>
      <c r="M244" s="95">
        <f t="shared" si="10"/>
        <v>25900</v>
      </c>
      <c r="O244" s="1"/>
    </row>
    <row r="245" spans="1:15" hidden="1">
      <c r="A245" s="1" t="s">
        <v>253</v>
      </c>
      <c r="B245" s="1" t="s">
        <v>285</v>
      </c>
      <c r="C245" s="71">
        <v>128007519843</v>
      </c>
      <c r="D245" s="3">
        <v>1267.8</v>
      </c>
      <c r="E245" s="3">
        <v>13746075.949999999</v>
      </c>
      <c r="F245" s="1" t="s">
        <v>3065</v>
      </c>
      <c r="G245"/>
      <c r="H245"/>
      <c r="I245" s="19">
        <f>-IFERROR(VLOOKUP(C245,SIRCUPA!$A$21:$H$221,8,0),0)</f>
        <v>-19.43</v>
      </c>
      <c r="J245" s="86">
        <f>-IFERROR(VLOOKUP(C245,SIRTAC!$A$16:$H$1458,8,0),0)</f>
        <v>0</v>
      </c>
      <c r="K245" s="86">
        <f>-IFERROR(VLOOKUP(C245,Gastos!$A$9:$J$1451,10,0),0)</f>
        <v>0</v>
      </c>
      <c r="L245" s="86">
        <f>-IFERROR(VLOOKUP(C245,IDC!$A$20:$H$1763,8,0),0)</f>
        <v>-7.77</v>
      </c>
      <c r="M245" s="95">
        <f t="shared" si="10"/>
        <v>1295</v>
      </c>
      <c r="O245" s="1"/>
    </row>
    <row r="246" spans="1:15" hidden="1">
      <c r="A246" s="1" t="s">
        <v>253</v>
      </c>
      <c r="B246" s="1" t="s">
        <v>15</v>
      </c>
      <c r="C246" s="71">
        <v>128007866123</v>
      </c>
      <c r="D246" s="3">
        <v>9353.2800000000007</v>
      </c>
      <c r="E246" s="3">
        <v>13755429.23</v>
      </c>
      <c r="F246" s="1" t="s">
        <v>3065</v>
      </c>
      <c r="G246"/>
      <c r="H246"/>
      <c r="I246" s="19">
        <f>-IFERROR(VLOOKUP(C246,SIRCUPA!$A$21:$H$221,8,0),0)</f>
        <v>0</v>
      </c>
      <c r="J246" s="86">
        <f>-IFERROR(VLOOKUP(C246,SIRTAC!$A$16:$H$1458,8,0),0)</f>
        <v>-96</v>
      </c>
      <c r="K246" s="86">
        <f>-IFERROR(VLOOKUP(C246,Gastos!$A$9:$J$1451,10,0),0)</f>
        <v>-93.12</v>
      </c>
      <c r="L246" s="86">
        <f>-IFERROR(VLOOKUP(C246,IDC!$A$20:$H$1763,8,0),0)</f>
        <v>-57.6</v>
      </c>
      <c r="M246" s="95">
        <f t="shared" si="10"/>
        <v>9600.0000000000018</v>
      </c>
      <c r="O246" s="1"/>
    </row>
    <row r="247" spans="1:15" hidden="1">
      <c r="A247" s="1" t="s">
        <v>253</v>
      </c>
      <c r="B247" s="1" t="s">
        <v>279</v>
      </c>
      <c r="C247" s="71">
        <v>128574803388</v>
      </c>
      <c r="D247" s="2">
        <v>939.84</v>
      </c>
      <c r="E247" s="3">
        <v>13756369.07</v>
      </c>
      <c r="F247" s="1" t="s">
        <v>3065</v>
      </c>
      <c r="G247"/>
      <c r="H247"/>
      <c r="I247" s="19">
        <f>-IFERROR(VLOOKUP(C247,SIRCUPA!$A$21:$H$221,8,0),0)</f>
        <v>-14.4</v>
      </c>
      <c r="J247" s="86">
        <f>-IFERROR(VLOOKUP(C247,SIRTAC!$A$16:$H$1458,8,0),0)</f>
        <v>0</v>
      </c>
      <c r="K247" s="86">
        <f>-IFERROR(VLOOKUP(C247,Gastos!$A$9:$J$1451,10,0),0)</f>
        <v>0</v>
      </c>
      <c r="L247" s="86">
        <f>-IFERROR(VLOOKUP(C247,IDC!$A$20:$H$1763,8,0),0)</f>
        <v>-5.76</v>
      </c>
      <c r="M247" s="95">
        <f t="shared" si="10"/>
        <v>960</v>
      </c>
      <c r="O247" s="1"/>
    </row>
    <row r="248" spans="1:15" hidden="1">
      <c r="A248" s="1" t="s">
        <v>253</v>
      </c>
      <c r="B248" s="1" t="s">
        <v>15</v>
      </c>
      <c r="C248" s="71">
        <v>128008144261</v>
      </c>
      <c r="D248" s="3">
        <v>56606.83</v>
      </c>
      <c r="E248" s="3">
        <v>13812975.9</v>
      </c>
      <c r="F248" s="1" t="s">
        <v>3065</v>
      </c>
      <c r="G248"/>
      <c r="H248"/>
      <c r="I248" s="19">
        <f>-IFERROR(VLOOKUP(C248,SIRCUPA!$A$21:$H$221,8,0),0)</f>
        <v>0</v>
      </c>
      <c r="J248" s="86">
        <f>-IFERROR(VLOOKUP(C248,SIRTAC!$A$16:$H$1458,8,0),0)</f>
        <v>-581</v>
      </c>
      <c r="K248" s="86">
        <f>-IFERROR(VLOOKUP(C248,Gastos!$A$9:$J$1451,10,0),0)</f>
        <v>-563.57000000000005</v>
      </c>
      <c r="L248" s="86">
        <f>-IFERROR(VLOOKUP(C248,IDC!$A$20:$H$1763,8,0),0)</f>
        <v>-348.6</v>
      </c>
      <c r="M248" s="95">
        <f t="shared" si="10"/>
        <v>58100</v>
      </c>
      <c r="O248" s="1"/>
    </row>
    <row r="249" spans="1:15" hidden="1">
      <c r="A249" s="1" t="s">
        <v>253</v>
      </c>
      <c r="B249" s="1" t="s">
        <v>290</v>
      </c>
      <c r="C249" s="71">
        <v>128008101027</v>
      </c>
      <c r="D249" s="3">
        <v>2843.99</v>
      </c>
      <c r="E249" s="3">
        <v>13815819.890000001</v>
      </c>
      <c r="F249" s="1" t="s">
        <v>3065</v>
      </c>
      <c r="G249"/>
      <c r="H249"/>
      <c r="I249" s="19">
        <f>-IFERROR(VLOOKUP(C249,SIRCUPA!$A$21:$H$221,8,0),0)</f>
        <v>-43.58</v>
      </c>
      <c r="J249" s="86">
        <f>-IFERROR(VLOOKUP(C249,SIRTAC!$A$16:$H$1458,8,0),0)</f>
        <v>0</v>
      </c>
      <c r="K249" s="86">
        <f>-IFERROR(VLOOKUP(C249,Gastos!$A$9:$J$1451,10,0),0)</f>
        <v>0</v>
      </c>
      <c r="L249" s="86">
        <f>-IFERROR(VLOOKUP(C249,IDC!$A$20:$H$1763,8,0),0)</f>
        <v>-17.43</v>
      </c>
      <c r="M249" s="95">
        <f t="shared" si="10"/>
        <v>2904.9999999999995</v>
      </c>
      <c r="O249" s="1"/>
    </row>
    <row r="250" spans="1:15" hidden="1">
      <c r="A250" s="1" t="s">
        <v>253</v>
      </c>
      <c r="B250" s="1" t="s">
        <v>15</v>
      </c>
      <c r="C250" s="71">
        <v>128008194223</v>
      </c>
      <c r="D250" s="3">
        <v>8322.2199999999993</v>
      </c>
      <c r="E250" s="3">
        <v>13824142.109999999</v>
      </c>
      <c r="F250" s="1" t="s">
        <v>3065</v>
      </c>
      <c r="G250"/>
      <c r="H250"/>
      <c r="I250" s="19">
        <f>-IFERROR(VLOOKUP(C250,SIRCUPA!$A$21:$H$221,8,0),0)</f>
        <v>0</v>
      </c>
      <c r="J250" s="86">
        <f>-IFERROR(VLOOKUP(C250,SIRTAC!$A$16:$H$1458,8,0),0)</f>
        <v>-86</v>
      </c>
      <c r="K250" s="86">
        <f>-IFERROR(VLOOKUP(C250,Gastos!$A$9:$J$1451,10,0),0)</f>
        <v>-140.18</v>
      </c>
      <c r="L250" s="86">
        <f>-IFERROR(VLOOKUP(C250,IDC!$A$20:$H$1763,8,0),0)</f>
        <v>-51.6</v>
      </c>
      <c r="M250" s="95">
        <f t="shared" si="10"/>
        <v>8600</v>
      </c>
      <c r="O250" s="1"/>
    </row>
    <row r="251" spans="1:15" hidden="1">
      <c r="A251" s="1" t="s">
        <v>253</v>
      </c>
      <c r="B251" s="1" t="s">
        <v>15</v>
      </c>
      <c r="C251" s="71">
        <v>128094716841</v>
      </c>
      <c r="D251" s="3">
        <v>4189.49</v>
      </c>
      <c r="E251" s="3">
        <v>13828331.6</v>
      </c>
      <c r="F251" s="1" t="s">
        <v>3065</v>
      </c>
      <c r="G251"/>
      <c r="H251"/>
      <c r="I251" s="19">
        <f>-IFERROR(VLOOKUP(C251,SIRCUPA!$A$21:$H$221,8,0),0)</f>
        <v>0</v>
      </c>
      <c r="J251" s="86">
        <f>-IFERROR(VLOOKUP(C251,SIRTAC!$A$16:$H$1458,8,0),0)</f>
        <v>-43</v>
      </c>
      <c r="K251" s="86">
        <f>-IFERROR(VLOOKUP(C251,Gastos!$A$9:$J$1451,10,0),0)</f>
        <v>-41.71</v>
      </c>
      <c r="L251" s="86">
        <f>-IFERROR(VLOOKUP(C251,IDC!$A$20:$H$1763,8,0),0)</f>
        <v>-25.8</v>
      </c>
      <c r="M251" s="95">
        <f t="shared" si="10"/>
        <v>4300</v>
      </c>
      <c r="O251" s="1"/>
    </row>
    <row r="252" spans="1:15" hidden="1">
      <c r="A252" s="1" t="s">
        <v>253</v>
      </c>
      <c r="B252" s="1" t="s">
        <v>294</v>
      </c>
      <c r="C252" s="71">
        <v>128662203164</v>
      </c>
      <c r="D252" s="2">
        <v>420.97</v>
      </c>
      <c r="E252" s="3">
        <v>13828752.57</v>
      </c>
      <c r="F252" s="1" t="s">
        <v>3065</v>
      </c>
      <c r="G252"/>
      <c r="H252"/>
      <c r="I252" s="19">
        <f>-IFERROR(VLOOKUP(C252,SIRCUPA!$A$21:$H$221,8,0),0)</f>
        <v>-6.45</v>
      </c>
      <c r="J252" s="86">
        <f>-IFERROR(VLOOKUP(C252,SIRTAC!$A$16:$H$1458,8,0),0)</f>
        <v>0</v>
      </c>
      <c r="K252" s="86">
        <f>-IFERROR(VLOOKUP(C252,Gastos!$A$9:$J$1451,10,0),0)</f>
        <v>0</v>
      </c>
      <c r="L252" s="86">
        <f>-IFERROR(VLOOKUP(C252,IDC!$A$20:$H$1763,8,0),0)</f>
        <v>-2.58</v>
      </c>
      <c r="M252" s="95">
        <f t="shared" si="10"/>
        <v>430</v>
      </c>
      <c r="O252" s="1"/>
    </row>
    <row r="253" spans="1:15" hidden="1">
      <c r="A253" s="1" t="s">
        <v>253</v>
      </c>
      <c r="B253" s="1" t="s">
        <v>15</v>
      </c>
      <c r="C253" s="71">
        <v>128099061791</v>
      </c>
      <c r="D253" s="3">
        <v>9353.2800000000007</v>
      </c>
      <c r="E253" s="3">
        <v>13838105.85</v>
      </c>
      <c r="F253" s="1" t="s">
        <v>3065</v>
      </c>
      <c r="G253"/>
      <c r="H253"/>
      <c r="I253" s="19">
        <f>-IFERROR(VLOOKUP(C253,SIRCUPA!$A$21:$H$221,8,0),0)</f>
        <v>0</v>
      </c>
      <c r="J253" s="86">
        <f>-IFERROR(VLOOKUP(C253,SIRTAC!$A$16:$H$1458,8,0),0)</f>
        <v>-96</v>
      </c>
      <c r="K253" s="86">
        <f>-IFERROR(VLOOKUP(C253,Gastos!$A$9:$J$1451,10,0),0)</f>
        <v>-93.12</v>
      </c>
      <c r="L253" s="86">
        <f>-IFERROR(VLOOKUP(C253,IDC!$A$20:$H$1763,8,0),0)</f>
        <v>-57.6</v>
      </c>
      <c r="M253" s="95">
        <f t="shared" si="10"/>
        <v>9600.0000000000018</v>
      </c>
      <c r="O253" s="1"/>
    </row>
    <row r="254" spans="1:15" hidden="1">
      <c r="A254" s="1" t="s">
        <v>253</v>
      </c>
      <c r="B254" s="1" t="s">
        <v>15</v>
      </c>
      <c r="C254" s="71">
        <v>128100123265</v>
      </c>
      <c r="D254" s="3">
        <v>4774.07</v>
      </c>
      <c r="E254" s="3">
        <v>13842879.92</v>
      </c>
      <c r="F254" s="1" t="s">
        <v>3065</v>
      </c>
      <c r="G254"/>
      <c r="H254"/>
      <c r="I254" s="19">
        <f>-IFERROR(VLOOKUP(C254,SIRCUPA!$A$21:$H$221,8,0),0)</f>
        <v>0</v>
      </c>
      <c r="J254" s="86">
        <f>-IFERROR(VLOOKUP(C254,SIRTAC!$A$16:$H$1458,8,0),0)</f>
        <v>-49</v>
      </c>
      <c r="K254" s="86">
        <f>-IFERROR(VLOOKUP(C254,Gastos!$A$9:$J$1451,10,0),0)</f>
        <v>-47.53</v>
      </c>
      <c r="L254" s="86">
        <f>-IFERROR(VLOOKUP(C254,IDC!$A$20:$H$1763,8,0),0)</f>
        <v>-29.4</v>
      </c>
      <c r="M254" s="95">
        <f t="shared" si="10"/>
        <v>4899.9999999999991</v>
      </c>
      <c r="O254" s="1"/>
    </row>
    <row r="255" spans="1:15" hidden="1">
      <c r="A255" s="1" t="s">
        <v>253</v>
      </c>
      <c r="B255" s="1" t="s">
        <v>298</v>
      </c>
      <c r="C255" s="71">
        <v>128667988688</v>
      </c>
      <c r="D255" s="2">
        <v>239.85</v>
      </c>
      <c r="E255" s="3">
        <v>13843119.77</v>
      </c>
      <c r="F255" s="1" t="s">
        <v>3065</v>
      </c>
      <c r="G255"/>
      <c r="H255"/>
      <c r="I255" s="19">
        <f>-IFERROR(VLOOKUP(C255,SIRCUPA!$A$21:$H$221,8,0),0)</f>
        <v>-3.68</v>
      </c>
      <c r="J255" s="86">
        <f>-IFERROR(VLOOKUP(C255,SIRTAC!$A$16:$H$1458,8,0),0)</f>
        <v>0</v>
      </c>
      <c r="K255" s="86">
        <f>-IFERROR(VLOOKUP(C255,Gastos!$A$9:$J$1451,10,0),0)</f>
        <v>0</v>
      </c>
      <c r="L255" s="86">
        <f>-IFERROR(VLOOKUP(C255,IDC!$A$20:$H$1763,8,0),0)</f>
        <v>-1.47</v>
      </c>
      <c r="M255" s="95">
        <f t="shared" si="10"/>
        <v>245</v>
      </c>
      <c r="O255" s="1"/>
    </row>
    <row r="256" spans="1:15" hidden="1">
      <c r="A256" s="1" t="s">
        <v>253</v>
      </c>
      <c r="B256" s="1" t="s">
        <v>15</v>
      </c>
      <c r="C256" s="71">
        <v>128668277384</v>
      </c>
      <c r="D256" s="3">
        <v>5650.94</v>
      </c>
      <c r="E256" s="3">
        <v>13848770.710000001</v>
      </c>
      <c r="F256" s="1" t="s">
        <v>3065</v>
      </c>
      <c r="G256"/>
      <c r="H256"/>
      <c r="I256" s="19">
        <f>-IFERROR(VLOOKUP(C256,SIRCUPA!$A$21:$H$221,8,0),0)</f>
        <v>0</v>
      </c>
      <c r="J256" s="86">
        <f>-IFERROR(VLOOKUP(C256,SIRTAC!$A$16:$H$1458,8,0),0)</f>
        <v>-58</v>
      </c>
      <c r="K256" s="86">
        <f>-IFERROR(VLOOKUP(C256,Gastos!$A$9:$J$1451,10,0),0)</f>
        <v>-56.26</v>
      </c>
      <c r="L256" s="86">
        <f>-IFERROR(VLOOKUP(C256,IDC!$A$20:$H$1763,8,0),0)</f>
        <v>-34.799999999999997</v>
      </c>
      <c r="M256" s="95">
        <f t="shared" si="10"/>
        <v>5800</v>
      </c>
      <c r="O256" s="1"/>
    </row>
    <row r="257" spans="1:15" hidden="1">
      <c r="A257" s="1" t="s">
        <v>253</v>
      </c>
      <c r="B257" s="1" t="s">
        <v>15</v>
      </c>
      <c r="C257" s="71">
        <v>128668834886</v>
      </c>
      <c r="D257" s="3">
        <v>9548.14</v>
      </c>
      <c r="E257" s="3">
        <v>13858318.85</v>
      </c>
      <c r="F257" s="1" t="s">
        <v>3065</v>
      </c>
      <c r="G257"/>
      <c r="H257"/>
      <c r="I257" s="19">
        <f>-IFERROR(VLOOKUP(C257,SIRCUPA!$A$21:$H$221,8,0),0)</f>
        <v>0</v>
      </c>
      <c r="J257" s="86">
        <f>-IFERROR(VLOOKUP(C257,SIRTAC!$A$16:$H$1458,8,0),0)</f>
        <v>-98</v>
      </c>
      <c r="K257" s="86">
        <f>-IFERROR(VLOOKUP(C257,Gastos!$A$9:$J$1451,10,0),0)</f>
        <v>-95.06</v>
      </c>
      <c r="L257" s="86">
        <f>-IFERROR(VLOOKUP(C257,IDC!$A$20:$H$1763,8,0),0)</f>
        <v>-58.8</v>
      </c>
      <c r="M257" s="95">
        <f t="shared" si="10"/>
        <v>9799.9999999999982</v>
      </c>
      <c r="O257" s="1"/>
    </row>
    <row r="258" spans="1:15" hidden="1">
      <c r="A258" s="1" t="s">
        <v>253</v>
      </c>
      <c r="B258" s="1" t="s">
        <v>15</v>
      </c>
      <c r="C258" s="71">
        <v>128102652299</v>
      </c>
      <c r="D258" s="3">
        <v>16952.82</v>
      </c>
      <c r="E258" s="3">
        <v>13875271.67</v>
      </c>
      <c r="F258" s="1" t="s">
        <v>3065</v>
      </c>
      <c r="G258"/>
      <c r="H258"/>
      <c r="I258" s="19">
        <f>-IFERROR(VLOOKUP(C258,SIRCUPA!$A$21:$H$221,8,0),0)</f>
        <v>0</v>
      </c>
      <c r="J258" s="86">
        <f>-IFERROR(VLOOKUP(C258,SIRTAC!$A$16:$H$1458,8,0),0)</f>
        <v>-174</v>
      </c>
      <c r="K258" s="86">
        <f>-IFERROR(VLOOKUP(C258,Gastos!$A$9:$J$1451,10,0),0)</f>
        <v>-168.78</v>
      </c>
      <c r="L258" s="86">
        <f>-IFERROR(VLOOKUP(C258,IDC!$A$20:$H$1763,8,0),0)</f>
        <v>-104.4</v>
      </c>
      <c r="M258" s="95">
        <f t="shared" si="10"/>
        <v>17400</v>
      </c>
      <c r="O258" s="1"/>
    </row>
    <row r="259" spans="1:15" hidden="1">
      <c r="A259" s="1" t="s">
        <v>253</v>
      </c>
      <c r="B259" s="1" t="s">
        <v>15</v>
      </c>
      <c r="C259" s="71">
        <v>128104746523</v>
      </c>
      <c r="D259" s="3">
        <v>44778.78</v>
      </c>
      <c r="E259" s="3">
        <v>13920050.449999999</v>
      </c>
      <c r="F259" s="1" t="s">
        <v>3065</v>
      </c>
      <c r="G259"/>
      <c r="H259"/>
      <c r="I259" s="19">
        <f>-IFERROR(VLOOKUP(C259,SIRCUPA!$A$21:$H$221,8,0),0)</f>
        <v>0</v>
      </c>
      <c r="J259" s="86">
        <f>-IFERROR(VLOOKUP(C259,SIRTAC!$A$16:$H$1458,8,0),0)</f>
        <v>-474</v>
      </c>
      <c r="K259" s="86">
        <f>-IFERROR(VLOOKUP(C259,Gastos!$A$9:$J$1451,10,0),0)</f>
        <v>-1862.82</v>
      </c>
      <c r="L259" s="86">
        <f>-IFERROR(VLOOKUP(C259,IDC!$A$20:$H$1763,8,0),0)</f>
        <v>-284.39999999999998</v>
      </c>
      <c r="M259" s="95">
        <f t="shared" si="10"/>
        <v>47400</v>
      </c>
      <c r="O259" s="1"/>
    </row>
    <row r="260" spans="1:15" hidden="1">
      <c r="A260" s="1" t="s">
        <v>253</v>
      </c>
      <c r="B260" s="1" t="s">
        <v>15</v>
      </c>
      <c r="C260" s="71">
        <v>128106052243</v>
      </c>
      <c r="D260" s="3">
        <v>30885.31</v>
      </c>
      <c r="E260" s="3">
        <v>13950935.76</v>
      </c>
      <c r="F260" s="1" t="s">
        <v>3065</v>
      </c>
      <c r="G260"/>
      <c r="H260"/>
      <c r="I260" s="19">
        <f>-IFERROR(VLOOKUP(C260,SIRCUPA!$A$21:$H$221,8,0),0)</f>
        <v>0</v>
      </c>
      <c r="J260" s="86">
        <f>-IFERROR(VLOOKUP(C260,SIRTAC!$A$16:$H$1458,8,0),0)</f>
        <v>-317</v>
      </c>
      <c r="K260" s="86">
        <f>-IFERROR(VLOOKUP(C260,Gastos!$A$9:$J$1451,10,0),0)</f>
        <v>-307.49</v>
      </c>
      <c r="L260" s="86">
        <f>-IFERROR(VLOOKUP(C260,IDC!$A$20:$H$1763,8,0),0)</f>
        <v>-190.2</v>
      </c>
      <c r="M260" s="95">
        <f t="shared" si="10"/>
        <v>31700.000000000004</v>
      </c>
      <c r="O260" s="1"/>
    </row>
    <row r="261" spans="1:15" hidden="1">
      <c r="A261" s="1" t="s">
        <v>253</v>
      </c>
      <c r="B261" s="1" t="s">
        <v>15</v>
      </c>
      <c r="C261" s="71">
        <v>128106623785</v>
      </c>
      <c r="D261" s="3">
        <v>4629.03</v>
      </c>
      <c r="E261" s="3">
        <v>13955564.789999999</v>
      </c>
      <c r="F261" s="1" t="s">
        <v>3065</v>
      </c>
      <c r="G261"/>
      <c r="H261"/>
      <c r="I261" s="19">
        <f>-IFERROR(VLOOKUP(C261,SIRCUPA!$A$21:$H$221,8,0),0)</f>
        <v>0</v>
      </c>
      <c r="J261" s="86">
        <f>-IFERROR(VLOOKUP(C261,SIRTAC!$A$16:$H$1458,8,0),0)</f>
        <v>-49</v>
      </c>
      <c r="K261" s="86">
        <f>-IFERROR(VLOOKUP(C261,Gastos!$A$9:$J$1451,10,0),0)</f>
        <v>-192.57</v>
      </c>
      <c r="L261" s="86">
        <f>-IFERROR(VLOOKUP(C261,IDC!$A$20:$H$1763,8,0),0)</f>
        <v>-29.4</v>
      </c>
      <c r="M261" s="95">
        <f t="shared" si="10"/>
        <v>4899.9999999999991</v>
      </c>
      <c r="O261" s="1"/>
    </row>
    <row r="262" spans="1:15" hidden="1">
      <c r="A262" s="1" t="s">
        <v>253</v>
      </c>
      <c r="B262" s="1" t="s">
        <v>15</v>
      </c>
      <c r="C262" s="71">
        <v>128106812525</v>
      </c>
      <c r="D262" s="3">
        <v>9548.14</v>
      </c>
      <c r="E262" s="3">
        <v>13965112.93</v>
      </c>
      <c r="F262" s="1" t="s">
        <v>3065</v>
      </c>
      <c r="G262"/>
      <c r="H262"/>
      <c r="I262" s="19">
        <f>-IFERROR(VLOOKUP(C262,SIRCUPA!$A$21:$H$221,8,0),0)</f>
        <v>0</v>
      </c>
      <c r="J262" s="86">
        <f>-IFERROR(VLOOKUP(C262,SIRTAC!$A$16:$H$1458,8,0),0)</f>
        <v>-98</v>
      </c>
      <c r="K262" s="86">
        <f>-IFERROR(VLOOKUP(C262,Gastos!$A$9:$J$1451,10,0),0)</f>
        <v>-95.06</v>
      </c>
      <c r="L262" s="86">
        <f>-IFERROR(VLOOKUP(C262,IDC!$A$20:$H$1763,8,0),0)</f>
        <v>-58.8</v>
      </c>
      <c r="M262" s="95">
        <f t="shared" si="10"/>
        <v>9799.9999999999982</v>
      </c>
      <c r="O262" s="1"/>
    </row>
    <row r="263" spans="1:15" hidden="1">
      <c r="A263" s="1" t="s">
        <v>253</v>
      </c>
      <c r="B263" s="1" t="s">
        <v>307</v>
      </c>
      <c r="C263" s="71">
        <v>128674686368</v>
      </c>
      <c r="D263" s="3">
        <v>1439.13</v>
      </c>
      <c r="E263" s="3">
        <v>13966552.060000001</v>
      </c>
      <c r="F263" s="1" t="s">
        <v>3065</v>
      </c>
      <c r="G263"/>
      <c r="H263"/>
      <c r="I263" s="19">
        <f>-IFERROR(VLOOKUP(C263,SIRCUPA!$A$21:$H$221,8,0),0)</f>
        <v>-22.05</v>
      </c>
      <c r="J263" s="86">
        <f>-IFERROR(VLOOKUP(C263,SIRTAC!$A$16:$H$1458,8,0),0)</f>
        <v>0</v>
      </c>
      <c r="K263" s="86">
        <f>-IFERROR(VLOOKUP(C263,Gastos!$A$9:$J$1451,10,0),0)</f>
        <v>0</v>
      </c>
      <c r="L263" s="86">
        <f>-IFERROR(VLOOKUP(C263,IDC!$A$20:$H$1763,8,0),0)</f>
        <v>-8.82</v>
      </c>
      <c r="M263" s="95">
        <f t="shared" si="10"/>
        <v>1470</v>
      </c>
      <c r="O263" s="1"/>
    </row>
    <row r="264" spans="1:15" hidden="1">
      <c r="A264" s="1" t="s">
        <v>253</v>
      </c>
      <c r="B264" s="1" t="s">
        <v>15</v>
      </c>
      <c r="C264" s="71">
        <v>128676006318</v>
      </c>
      <c r="D264" s="3">
        <v>62019.55</v>
      </c>
      <c r="E264" s="3">
        <v>14028571.609999999</v>
      </c>
      <c r="F264" s="1" t="s">
        <v>3065</v>
      </c>
      <c r="G264"/>
      <c r="H264"/>
      <c r="I264" s="19">
        <f>-IFERROR(VLOOKUP(C264,SIRCUPA!$A$21:$H$221,8,0),0)</f>
        <v>0</v>
      </c>
      <c r="J264" s="86">
        <f>-IFERROR(VLOOKUP(C264,SIRTAC!$A$16:$H$1458,8,0),0)</f>
        <v>-656.5</v>
      </c>
      <c r="K264" s="86">
        <f>-IFERROR(VLOOKUP(C264,Gastos!$A$9:$J$1451,10,0),0)</f>
        <v>-2580.0500000000002</v>
      </c>
      <c r="L264" s="86">
        <f>-IFERROR(VLOOKUP(C264,IDC!$A$20:$H$1763,8,0),0)</f>
        <v>-393.9</v>
      </c>
      <c r="M264" s="95">
        <f t="shared" si="10"/>
        <v>65650</v>
      </c>
      <c r="O264" s="1"/>
    </row>
    <row r="265" spans="1:15" hidden="1">
      <c r="A265" s="1" t="s">
        <v>253</v>
      </c>
      <c r="B265" s="1" t="s">
        <v>15</v>
      </c>
      <c r="C265" s="71">
        <v>128676549330</v>
      </c>
      <c r="D265" s="3">
        <v>15393.94</v>
      </c>
      <c r="E265" s="3">
        <v>14043965.550000001</v>
      </c>
      <c r="F265" s="1" t="s">
        <v>3065</v>
      </c>
      <c r="G265"/>
      <c r="H265"/>
      <c r="I265" s="19">
        <f>-IFERROR(VLOOKUP(C265,SIRCUPA!$A$21:$H$221,8,0),0)</f>
        <v>0</v>
      </c>
      <c r="J265" s="86">
        <f>-IFERROR(VLOOKUP(C265,SIRTAC!$A$16:$H$1458,8,0),0)</f>
        <v>-158</v>
      </c>
      <c r="K265" s="86">
        <f>-IFERROR(VLOOKUP(C265,Gastos!$A$9:$J$1451,10,0),0)</f>
        <v>-153.26</v>
      </c>
      <c r="L265" s="86">
        <f>-IFERROR(VLOOKUP(C265,IDC!$A$20:$H$1763,8,0),0)</f>
        <v>-94.8</v>
      </c>
      <c r="M265" s="95">
        <f t="shared" si="10"/>
        <v>15800</v>
      </c>
      <c r="O265" s="1"/>
    </row>
    <row r="266" spans="1:15" hidden="1">
      <c r="A266" s="1" t="s">
        <v>253</v>
      </c>
      <c r="B266" s="1" t="s">
        <v>15</v>
      </c>
      <c r="C266" s="71">
        <v>128678113052</v>
      </c>
      <c r="D266" s="3">
        <v>25234.37</v>
      </c>
      <c r="E266" s="3">
        <v>14069199.92</v>
      </c>
      <c r="F266" s="1" t="s">
        <v>3065</v>
      </c>
      <c r="G266"/>
      <c r="H266"/>
      <c r="I266" s="19">
        <f>-IFERROR(VLOOKUP(C266,SIRCUPA!$A$21:$H$221,8,0),0)</f>
        <v>0</v>
      </c>
      <c r="J266" s="86">
        <f>-IFERROR(VLOOKUP(C266,SIRTAC!$A$16:$H$1458,8,0),0)</f>
        <v>-259</v>
      </c>
      <c r="K266" s="86">
        <f>-IFERROR(VLOOKUP(C266,Gastos!$A$9:$J$1451,10,0),0)</f>
        <v>-251.23</v>
      </c>
      <c r="L266" s="86">
        <f>-IFERROR(VLOOKUP(C266,IDC!$A$20:$H$1763,8,0),0)</f>
        <v>-155.4</v>
      </c>
      <c r="M266" s="95">
        <f t="shared" si="10"/>
        <v>25900</v>
      </c>
      <c r="O266" s="1"/>
    </row>
    <row r="267" spans="1:15" hidden="1">
      <c r="A267" s="1" t="s">
        <v>253</v>
      </c>
      <c r="B267" s="1" t="s">
        <v>15</v>
      </c>
      <c r="C267" s="71">
        <v>128111836609</v>
      </c>
      <c r="D267" s="3">
        <v>10522.44</v>
      </c>
      <c r="E267" s="3">
        <v>14079722.359999999</v>
      </c>
      <c r="F267" s="1" t="s">
        <v>3065</v>
      </c>
      <c r="G267"/>
      <c r="H267"/>
      <c r="I267" s="19">
        <f>-IFERROR(VLOOKUP(C267,SIRCUPA!$A$21:$H$221,8,0),0)</f>
        <v>0</v>
      </c>
      <c r="J267" s="86">
        <f>-IFERROR(VLOOKUP(C267,SIRTAC!$A$16:$H$1458,8,0),0)</f>
        <v>-108</v>
      </c>
      <c r="K267" s="86">
        <f>-IFERROR(VLOOKUP(C267,Gastos!$A$9:$J$1451,10,0),0)</f>
        <v>-104.76</v>
      </c>
      <c r="L267" s="86">
        <f>-IFERROR(VLOOKUP(C267,IDC!$A$20:$H$1763,8,0),0)</f>
        <v>-64.8</v>
      </c>
      <c r="M267" s="95">
        <f t="shared" si="10"/>
        <v>10800</v>
      </c>
      <c r="O267" s="1"/>
    </row>
    <row r="268" spans="1:15" hidden="1">
      <c r="A268" s="1" t="s">
        <v>253</v>
      </c>
      <c r="B268" s="1" t="s">
        <v>15</v>
      </c>
      <c r="C268" s="71">
        <v>128680689872</v>
      </c>
      <c r="D268" s="3">
        <v>13542.77</v>
      </c>
      <c r="E268" s="3">
        <v>14093265.130000001</v>
      </c>
      <c r="F268" s="1" t="s">
        <v>3065</v>
      </c>
      <c r="G268"/>
      <c r="H268"/>
      <c r="I268" s="19">
        <f>-IFERROR(VLOOKUP(C268,SIRCUPA!$A$21:$H$221,8,0),0)</f>
        <v>0</v>
      </c>
      <c r="J268" s="86">
        <f>-IFERROR(VLOOKUP(C268,SIRTAC!$A$16:$H$1458,8,0),0)</f>
        <v>-139</v>
      </c>
      <c r="K268" s="86">
        <f>-IFERROR(VLOOKUP(C268,Gastos!$A$9:$J$1451,10,0),0)</f>
        <v>-134.83000000000001</v>
      </c>
      <c r="L268" s="86">
        <f>-IFERROR(VLOOKUP(C268,IDC!$A$20:$H$1763,8,0),0)</f>
        <v>-83.4</v>
      </c>
      <c r="M268" s="95">
        <f t="shared" si="10"/>
        <v>13900</v>
      </c>
      <c r="O268" s="1"/>
    </row>
    <row r="269" spans="1:15" hidden="1">
      <c r="A269" s="1" t="s">
        <v>253</v>
      </c>
      <c r="B269" s="1" t="s">
        <v>15</v>
      </c>
      <c r="C269" s="71">
        <v>128113046995</v>
      </c>
      <c r="D269" s="3">
        <v>12564.51</v>
      </c>
      <c r="E269" s="3">
        <v>14105829.640000001</v>
      </c>
      <c r="F269" s="1" t="s">
        <v>3065</v>
      </c>
      <c r="G269"/>
      <c r="H269"/>
      <c r="I269" s="19">
        <f>-IFERROR(VLOOKUP(C269,SIRCUPA!$A$21:$H$221,8,0),0)</f>
        <v>0</v>
      </c>
      <c r="J269" s="86">
        <f>-IFERROR(VLOOKUP(C269,SIRTAC!$A$16:$H$1458,8,0),0)</f>
        <v>-133</v>
      </c>
      <c r="K269" s="86">
        <f>-IFERROR(VLOOKUP(C269,Gastos!$A$9:$J$1451,10,0),0)</f>
        <v>-522.69000000000005</v>
      </c>
      <c r="L269" s="86">
        <f>-IFERROR(VLOOKUP(C269,IDC!$A$20:$H$1763,8,0),0)</f>
        <v>-79.8</v>
      </c>
      <c r="M269" s="95">
        <f t="shared" si="10"/>
        <v>13300</v>
      </c>
      <c r="O269" s="1"/>
    </row>
    <row r="270" spans="1:15" hidden="1">
      <c r="A270" s="1" t="s">
        <v>253</v>
      </c>
      <c r="B270" s="1" t="s">
        <v>15</v>
      </c>
      <c r="C270" s="71">
        <v>128113199157</v>
      </c>
      <c r="D270" s="3">
        <v>35331.78</v>
      </c>
      <c r="E270" s="3">
        <v>14141161.42</v>
      </c>
      <c r="F270" s="1" t="s">
        <v>3065</v>
      </c>
      <c r="G270"/>
      <c r="H270"/>
      <c r="I270" s="19">
        <f>-IFERROR(VLOOKUP(C270,SIRCUPA!$A$21:$H$221,8,0),0)</f>
        <v>0</v>
      </c>
      <c r="J270" s="86">
        <f>-IFERROR(VLOOKUP(C270,SIRTAC!$A$16:$H$1458,8,0),0)</f>
        <v>-374</v>
      </c>
      <c r="K270" s="86">
        <f>-IFERROR(VLOOKUP(C270,Gastos!$A$9:$J$1451,10,0),0)</f>
        <v>-1469.82</v>
      </c>
      <c r="L270" s="86">
        <f>-IFERROR(VLOOKUP(C270,IDC!$A$20:$H$1763,8,0),0)</f>
        <v>-224.4</v>
      </c>
      <c r="M270" s="95">
        <f t="shared" si="10"/>
        <v>37400</v>
      </c>
      <c r="O270" s="1"/>
    </row>
    <row r="271" spans="1:15" hidden="1">
      <c r="A271" s="1" t="s">
        <v>253</v>
      </c>
      <c r="B271" s="1" t="s">
        <v>15</v>
      </c>
      <c r="C271" s="71">
        <v>128114015675</v>
      </c>
      <c r="D271" s="3">
        <v>52052.97</v>
      </c>
      <c r="E271" s="3">
        <v>14193214.390000001</v>
      </c>
      <c r="F271" s="1" t="s">
        <v>3065</v>
      </c>
      <c r="G271"/>
      <c r="H271"/>
      <c r="I271" s="19">
        <f>-IFERROR(VLOOKUP(C271,SIRCUPA!$A$21:$H$221,8,0),0)</f>
        <v>0</v>
      </c>
      <c r="J271" s="86">
        <f>-IFERROR(VLOOKUP(C271,SIRTAC!$A$16:$H$1458,8,0),0)</f>
        <v>-551</v>
      </c>
      <c r="K271" s="86">
        <f>-IFERROR(VLOOKUP(C271,Gastos!$A$9:$J$1451,10,0),0)</f>
        <v>-2165.4299999999998</v>
      </c>
      <c r="L271" s="86">
        <f>-IFERROR(VLOOKUP(C271,IDC!$A$20:$H$1763,8,0),0)</f>
        <v>-330.6</v>
      </c>
      <c r="M271" s="95">
        <f t="shared" si="10"/>
        <v>55100</v>
      </c>
      <c r="O271" s="1"/>
    </row>
    <row r="272" spans="1:15" hidden="1">
      <c r="A272" s="1" t="s">
        <v>253</v>
      </c>
      <c r="B272" s="1" t="s">
        <v>15</v>
      </c>
      <c r="C272" s="71">
        <v>128682354308</v>
      </c>
      <c r="D272" s="3">
        <v>34100.5</v>
      </c>
      <c r="E272" s="3">
        <v>14227314.890000001</v>
      </c>
      <c r="F272" s="1" t="s">
        <v>3065</v>
      </c>
      <c r="G272"/>
      <c r="H272"/>
      <c r="I272" s="19">
        <f>-IFERROR(VLOOKUP(C272,SIRCUPA!$A$21:$H$221,8,0),0)</f>
        <v>0</v>
      </c>
      <c r="J272" s="86">
        <f>-IFERROR(VLOOKUP(C272,SIRTAC!$A$16:$H$1458,8,0),0)</f>
        <v>-350</v>
      </c>
      <c r="K272" s="86">
        <f>-IFERROR(VLOOKUP(C272,Gastos!$A$9:$J$1451,10,0),0)</f>
        <v>-339.5</v>
      </c>
      <c r="L272" s="86">
        <f>-IFERROR(VLOOKUP(C272,IDC!$A$20:$H$1763,8,0),0)</f>
        <v>-210</v>
      </c>
      <c r="M272" s="95">
        <f t="shared" si="10"/>
        <v>35000</v>
      </c>
      <c r="O272" s="1"/>
    </row>
    <row r="273" spans="1:15" hidden="1">
      <c r="A273" s="1" t="s">
        <v>253</v>
      </c>
      <c r="B273" s="1" t="s">
        <v>15</v>
      </c>
      <c r="C273" s="71">
        <v>128682536902</v>
      </c>
      <c r="D273" s="3">
        <v>14322.21</v>
      </c>
      <c r="E273" s="3">
        <v>14241637.1</v>
      </c>
      <c r="F273" s="1" t="s">
        <v>3065</v>
      </c>
      <c r="G273"/>
      <c r="H273"/>
      <c r="I273" s="19">
        <f>-IFERROR(VLOOKUP(C273,SIRCUPA!$A$21:$H$221,8,0),0)</f>
        <v>0</v>
      </c>
      <c r="J273" s="86">
        <f>-IFERROR(VLOOKUP(C273,SIRTAC!$A$16:$H$1458,8,0),0)</f>
        <v>-147</v>
      </c>
      <c r="K273" s="86">
        <f>-IFERROR(VLOOKUP(C273,Gastos!$A$9:$J$1451,10,0),0)</f>
        <v>-142.59</v>
      </c>
      <c r="L273" s="86">
        <f>-IFERROR(VLOOKUP(C273,IDC!$A$20:$H$1763,8,0),0)</f>
        <v>-88.2</v>
      </c>
      <c r="M273" s="95">
        <f t="shared" si="10"/>
        <v>14700</v>
      </c>
      <c r="O273" s="1"/>
    </row>
    <row r="274" spans="1:15" hidden="1">
      <c r="A274" s="1" t="s">
        <v>253</v>
      </c>
      <c r="B274" s="1" t="s">
        <v>15</v>
      </c>
      <c r="C274" s="71">
        <v>128682595192</v>
      </c>
      <c r="D274" s="3">
        <v>99183.74</v>
      </c>
      <c r="E274" s="3">
        <v>14340820.84</v>
      </c>
      <c r="F274" s="1" t="s">
        <v>3065</v>
      </c>
      <c r="G274"/>
      <c r="H274"/>
      <c r="I274" s="19">
        <f>-IFERROR(VLOOKUP(C274,SIRCUPA!$A$21:$H$221,8,0),0)</f>
        <v>0</v>
      </c>
      <c r="J274" s="86">
        <f>-IFERROR(VLOOKUP(C274,SIRTAC!$A$16:$H$1458,8,0),0)</f>
        <v>-1018</v>
      </c>
      <c r="K274" s="86">
        <f>-IFERROR(VLOOKUP(C274,Gastos!$A$9:$J$1451,10,0),0)</f>
        <v>-987.46</v>
      </c>
      <c r="L274" s="86">
        <f>-IFERROR(VLOOKUP(C274,IDC!$A$20:$H$1763,8,0),0)</f>
        <v>-610.79999999999995</v>
      </c>
      <c r="M274" s="95">
        <f t="shared" si="10"/>
        <v>101800.00000000001</v>
      </c>
      <c r="O274" s="1"/>
    </row>
    <row r="275" spans="1:15" hidden="1">
      <c r="A275" s="1" t="s">
        <v>253</v>
      </c>
      <c r="B275" s="1" t="s">
        <v>320</v>
      </c>
      <c r="C275" s="71">
        <v>128682541576</v>
      </c>
      <c r="D275" s="3">
        <v>9966.2199999999993</v>
      </c>
      <c r="E275" s="3">
        <v>14350787.060000001</v>
      </c>
      <c r="F275" s="1" t="s">
        <v>3065</v>
      </c>
      <c r="G275"/>
      <c r="H275"/>
      <c r="I275" s="19">
        <f>-IFERROR(VLOOKUP(C275,SIRCUPA!$A$21:$H$221,8,0),0)</f>
        <v>-152.69999999999999</v>
      </c>
      <c r="J275" s="86">
        <f>-IFERROR(VLOOKUP(C275,SIRTAC!$A$16:$H$1458,8,0),0)</f>
        <v>0</v>
      </c>
      <c r="K275" s="86">
        <f>-IFERROR(VLOOKUP(C275,Gastos!$A$9:$J$1451,10,0),0)</f>
        <v>0</v>
      </c>
      <c r="L275" s="86">
        <f>-IFERROR(VLOOKUP(C275,IDC!$A$20:$H$1763,8,0),0)</f>
        <v>-61.08</v>
      </c>
      <c r="M275" s="95">
        <f t="shared" si="10"/>
        <v>10180</v>
      </c>
      <c r="O275" s="1"/>
    </row>
    <row r="276" spans="1:15" hidden="1">
      <c r="A276" s="1" t="s">
        <v>253</v>
      </c>
      <c r="B276" s="1" t="s">
        <v>15</v>
      </c>
      <c r="C276" s="71">
        <v>128683315144</v>
      </c>
      <c r="D276" s="3">
        <v>32321.18</v>
      </c>
      <c r="E276" s="3">
        <v>14383108.24</v>
      </c>
      <c r="F276" s="1" t="s">
        <v>3065</v>
      </c>
      <c r="G276"/>
      <c r="H276"/>
      <c r="I276" s="19">
        <f>-IFERROR(VLOOKUP(C276,SIRCUPA!$A$21:$H$221,8,0),0)</f>
        <v>0</v>
      </c>
      <c r="J276" s="86">
        <f>-IFERROR(VLOOKUP(C276,SIRTAC!$A$16:$H$1458,8,0),0)</f>
        <v>-334</v>
      </c>
      <c r="K276" s="86">
        <f>-IFERROR(VLOOKUP(C276,Gastos!$A$9:$J$1451,10,0),0)</f>
        <v>-544.41999999999996</v>
      </c>
      <c r="L276" s="86">
        <f>-IFERROR(VLOOKUP(C276,IDC!$A$20:$H$1763,8,0),0)</f>
        <v>-200.4</v>
      </c>
      <c r="M276" s="95">
        <f t="shared" si="10"/>
        <v>33400</v>
      </c>
      <c r="O276" s="1"/>
    </row>
    <row r="277" spans="1:15" hidden="1">
      <c r="A277" s="1" t="s">
        <v>253</v>
      </c>
      <c r="B277" s="1" t="s">
        <v>44</v>
      </c>
      <c r="C277" s="71">
        <v>128683261902</v>
      </c>
      <c r="D277" s="3">
        <v>1634.93</v>
      </c>
      <c r="E277" s="3">
        <v>14384743.17</v>
      </c>
      <c r="F277" s="1" t="s">
        <v>3065</v>
      </c>
      <c r="G277"/>
      <c r="H277"/>
      <c r="I277" s="19">
        <f>-IFERROR(VLOOKUP(C277,SIRCUPA!$A$21:$H$221,8,0),0)</f>
        <v>-25.05</v>
      </c>
      <c r="J277" s="86">
        <f>-IFERROR(VLOOKUP(C277,SIRTAC!$A$16:$H$1458,8,0),0)</f>
        <v>0</v>
      </c>
      <c r="K277" s="86">
        <f>-IFERROR(VLOOKUP(C277,Gastos!$A$9:$J$1451,10,0),0)</f>
        <v>0</v>
      </c>
      <c r="L277" s="86">
        <f>-IFERROR(VLOOKUP(C277,IDC!$A$20:$H$1763,8,0),0)</f>
        <v>-10.02</v>
      </c>
      <c r="M277" s="95">
        <f t="shared" si="10"/>
        <v>1670</v>
      </c>
      <c r="O277" s="1"/>
    </row>
    <row r="278" spans="1:15" hidden="1">
      <c r="A278" s="1" t="s">
        <v>253</v>
      </c>
      <c r="B278" s="1" t="s">
        <v>15</v>
      </c>
      <c r="C278" s="71">
        <v>128115571549</v>
      </c>
      <c r="D278" s="3">
        <v>25693.57</v>
      </c>
      <c r="E278" s="3">
        <v>14410436.74</v>
      </c>
      <c r="F278" s="1" t="s">
        <v>3065</v>
      </c>
      <c r="G278"/>
      <c r="H278"/>
      <c r="I278" s="19">
        <f>-IFERROR(VLOOKUP(C278,SIRCUPA!$A$21:$H$221,8,0),0)</f>
        <v>0</v>
      </c>
      <c r="J278" s="86">
        <f>-IFERROR(VLOOKUP(C278,SIRTAC!$A$16:$H$1458,8,0),0)</f>
        <v>-283</v>
      </c>
      <c r="K278" s="86">
        <f>-IFERROR(VLOOKUP(C278,Gastos!$A$9:$J$1451,10,0),0)</f>
        <v>-2153.63</v>
      </c>
      <c r="L278" s="86">
        <f>-IFERROR(VLOOKUP(C278,IDC!$A$20:$H$1763,8,0),0)</f>
        <v>-169.8</v>
      </c>
      <c r="M278" s="95">
        <f t="shared" si="10"/>
        <v>28300</v>
      </c>
      <c r="O278" s="1"/>
    </row>
    <row r="279" spans="1:15" hidden="1">
      <c r="A279" s="1" t="s">
        <v>253</v>
      </c>
      <c r="B279" s="1" t="s">
        <v>15</v>
      </c>
      <c r="C279" s="71">
        <v>128683578206</v>
      </c>
      <c r="D279" s="3">
        <v>9548.14</v>
      </c>
      <c r="E279" s="3">
        <v>14419984.880000001</v>
      </c>
      <c r="F279" s="1" t="s">
        <v>3065</v>
      </c>
      <c r="G279"/>
      <c r="H279"/>
      <c r="I279" s="19">
        <f>-IFERROR(VLOOKUP(C279,SIRCUPA!$A$21:$H$221,8,0),0)</f>
        <v>0</v>
      </c>
      <c r="J279" s="86">
        <f>-IFERROR(VLOOKUP(C279,SIRTAC!$A$16:$H$1458,8,0),0)</f>
        <v>-98</v>
      </c>
      <c r="K279" s="86">
        <f>-IFERROR(VLOOKUP(C279,Gastos!$A$9:$J$1451,10,0),0)</f>
        <v>-95.06</v>
      </c>
      <c r="L279" s="86">
        <f>-IFERROR(VLOOKUP(C279,IDC!$A$20:$H$1763,8,0),0)</f>
        <v>-58.8</v>
      </c>
      <c r="M279" s="95">
        <f t="shared" si="10"/>
        <v>9799.9999999999982</v>
      </c>
      <c r="O279" s="1"/>
    </row>
    <row r="280" spans="1:15" hidden="1">
      <c r="A280" s="1" t="s">
        <v>253</v>
      </c>
      <c r="B280" s="1" t="s">
        <v>307</v>
      </c>
      <c r="C280" s="71">
        <v>128115764455</v>
      </c>
      <c r="D280" s="3">
        <v>1439.13</v>
      </c>
      <c r="E280" s="3">
        <v>14421424.01</v>
      </c>
      <c r="F280" s="1" t="s">
        <v>3065</v>
      </c>
      <c r="G280"/>
      <c r="H280"/>
      <c r="I280" s="19">
        <f>-IFERROR(VLOOKUP(C280,SIRCUPA!$A$21:$H$221,8,0),0)</f>
        <v>-22.05</v>
      </c>
      <c r="J280" s="86">
        <f>-IFERROR(VLOOKUP(C280,SIRTAC!$A$16:$H$1458,8,0),0)</f>
        <v>0</v>
      </c>
      <c r="K280" s="86">
        <f>-IFERROR(VLOOKUP(C280,Gastos!$A$9:$J$1451,10,0),0)</f>
        <v>0</v>
      </c>
      <c r="L280" s="86">
        <f>-IFERROR(VLOOKUP(C280,IDC!$A$20:$H$1763,8,0),0)</f>
        <v>-8.82</v>
      </c>
      <c r="M280" s="95">
        <f t="shared" si="10"/>
        <v>1470</v>
      </c>
      <c r="O280" s="1"/>
    </row>
    <row r="281" spans="1:15" hidden="1">
      <c r="A281" s="1" t="s">
        <v>253</v>
      </c>
      <c r="B281" s="1" t="s">
        <v>15</v>
      </c>
      <c r="C281" s="71">
        <v>128115776901</v>
      </c>
      <c r="D281" s="3">
        <v>32592.15</v>
      </c>
      <c r="E281" s="3">
        <v>14454016.16</v>
      </c>
      <c r="F281" s="1" t="s">
        <v>3065</v>
      </c>
      <c r="G281"/>
      <c r="H281"/>
      <c r="I281" s="19">
        <f>-IFERROR(VLOOKUP(C281,SIRCUPA!$A$21:$H$221,8,0),0)</f>
        <v>0</v>
      </c>
      <c r="J281" s="86">
        <f>-IFERROR(VLOOKUP(C281,SIRTAC!$A$16:$H$1458,8,0),0)</f>
        <v>-345</v>
      </c>
      <c r="K281" s="86">
        <f>-IFERROR(VLOOKUP(C281,Gastos!$A$9:$J$1451,10,0),0)</f>
        <v>-1355.85</v>
      </c>
      <c r="L281" s="86">
        <f>-IFERROR(VLOOKUP(C281,IDC!$A$20:$H$1763,8,0),0)</f>
        <v>-207</v>
      </c>
      <c r="M281" s="95">
        <f t="shared" si="10"/>
        <v>34500</v>
      </c>
      <c r="O281" s="1"/>
    </row>
    <row r="282" spans="1:15" hidden="1">
      <c r="A282" s="1" t="s">
        <v>253</v>
      </c>
      <c r="B282" s="1" t="s">
        <v>15</v>
      </c>
      <c r="C282" s="71">
        <v>128683947738</v>
      </c>
      <c r="D282" s="3">
        <v>17708.91</v>
      </c>
      <c r="E282" s="3">
        <v>14471725.07</v>
      </c>
      <c r="F282" s="1" t="s">
        <v>3065</v>
      </c>
      <c r="G282"/>
      <c r="H282"/>
      <c r="I282" s="19">
        <f>-IFERROR(VLOOKUP(C282,SIRCUPA!$A$21:$H$221,8,0),0)</f>
        <v>0</v>
      </c>
      <c r="J282" s="86">
        <f>-IFERROR(VLOOKUP(C282,SIRTAC!$A$16:$H$1458,8,0),0)</f>
        <v>-183</v>
      </c>
      <c r="K282" s="86">
        <f>-IFERROR(VLOOKUP(C282,Gastos!$A$9:$J$1451,10,0),0)</f>
        <v>-298.29000000000002</v>
      </c>
      <c r="L282" s="86">
        <f>-IFERROR(VLOOKUP(C282,IDC!$A$20:$H$1763,8,0),0)</f>
        <v>-109.8</v>
      </c>
      <c r="M282" s="95">
        <f t="shared" si="10"/>
        <v>18300</v>
      </c>
      <c r="O282" s="1"/>
    </row>
    <row r="283" spans="1:15" hidden="1">
      <c r="A283" s="1" t="s">
        <v>253</v>
      </c>
      <c r="B283" s="1" t="s">
        <v>329</v>
      </c>
      <c r="C283" s="71">
        <v>128683933752</v>
      </c>
      <c r="D283" s="2">
        <v>895.78</v>
      </c>
      <c r="E283" s="3">
        <v>14472620.85</v>
      </c>
      <c r="F283" s="1" t="s">
        <v>3065</v>
      </c>
      <c r="G283"/>
      <c r="H283"/>
      <c r="I283" s="19">
        <f>-IFERROR(VLOOKUP(C283,SIRCUPA!$A$21:$H$221,8,0),0)</f>
        <v>-13.73</v>
      </c>
      <c r="J283" s="86">
        <f>-IFERROR(VLOOKUP(C283,SIRTAC!$A$16:$H$1458,8,0),0)</f>
        <v>0</v>
      </c>
      <c r="K283" s="86">
        <f>-IFERROR(VLOOKUP(C283,Gastos!$A$9:$J$1451,10,0),0)</f>
        <v>0</v>
      </c>
      <c r="L283" s="86">
        <f>-IFERROR(VLOOKUP(C283,IDC!$A$20:$H$1763,8,0),0)</f>
        <v>-5.49</v>
      </c>
      <c r="M283" s="95">
        <f t="shared" si="10"/>
        <v>915</v>
      </c>
      <c r="O283" s="1"/>
    </row>
    <row r="284" spans="1:15" hidden="1">
      <c r="A284" s="1" t="s">
        <v>253</v>
      </c>
      <c r="B284" s="1" t="s">
        <v>15</v>
      </c>
      <c r="C284" s="71">
        <v>128116626371</v>
      </c>
      <c r="D284" s="3">
        <v>33515.919999999998</v>
      </c>
      <c r="E284" s="3">
        <v>14506136.77</v>
      </c>
      <c r="F284" s="1" t="s">
        <v>3065</v>
      </c>
      <c r="G284"/>
      <c r="H284"/>
      <c r="I284" s="19">
        <f>-IFERROR(VLOOKUP(C284,SIRCUPA!$A$21:$H$221,8,0),0)</f>
        <v>0</v>
      </c>
      <c r="J284" s="86">
        <f>-IFERROR(VLOOKUP(C284,SIRTAC!$A$16:$H$1458,8,0),0)</f>
        <v>-344</v>
      </c>
      <c r="K284" s="86">
        <f>-IFERROR(VLOOKUP(C284,Gastos!$A$9:$J$1451,10,0),0)</f>
        <v>-333.68</v>
      </c>
      <c r="L284" s="86">
        <f>-IFERROR(VLOOKUP(C284,IDC!$A$20:$H$1763,8,0),0)</f>
        <v>-206.4</v>
      </c>
      <c r="M284" s="95">
        <f t="shared" si="10"/>
        <v>34400</v>
      </c>
      <c r="O284" s="1"/>
    </row>
    <row r="285" spans="1:15" hidden="1">
      <c r="A285" s="1" t="s">
        <v>253</v>
      </c>
      <c r="B285" s="1" t="s">
        <v>15</v>
      </c>
      <c r="C285" s="71">
        <v>128117082133</v>
      </c>
      <c r="D285" s="3">
        <v>33418.49</v>
      </c>
      <c r="E285" s="3">
        <v>14539555.26</v>
      </c>
      <c r="F285" s="1" t="s">
        <v>3065</v>
      </c>
      <c r="G285"/>
      <c r="H285"/>
      <c r="I285" s="19">
        <f>-IFERROR(VLOOKUP(C285,SIRCUPA!$A$21:$H$221,8,0),0)</f>
        <v>0</v>
      </c>
      <c r="J285" s="86">
        <f>-IFERROR(VLOOKUP(C285,SIRTAC!$A$16:$H$1458,8,0),0)</f>
        <v>-343</v>
      </c>
      <c r="K285" s="86">
        <f>-IFERROR(VLOOKUP(C285,Gastos!$A$9:$J$1451,10,0),0)</f>
        <v>-332.71</v>
      </c>
      <c r="L285" s="86">
        <f>-IFERROR(VLOOKUP(C285,IDC!$A$20:$H$1763,8,0),0)</f>
        <v>-205.8</v>
      </c>
      <c r="M285" s="95">
        <f t="shared" si="10"/>
        <v>34300</v>
      </c>
      <c r="O285" s="1"/>
    </row>
    <row r="286" spans="1:15" hidden="1">
      <c r="A286" s="1" t="s">
        <v>253</v>
      </c>
      <c r="B286" s="1" t="s">
        <v>333</v>
      </c>
      <c r="C286" s="71">
        <v>128684580182</v>
      </c>
      <c r="D286" s="3">
        <v>1678.98</v>
      </c>
      <c r="E286" s="3">
        <v>14541234.24</v>
      </c>
      <c r="F286" s="1" t="s">
        <v>3065</v>
      </c>
      <c r="G286"/>
      <c r="H286"/>
      <c r="I286" s="19">
        <f>-IFERROR(VLOOKUP(C286,SIRCUPA!$A$21:$H$221,8,0),0)</f>
        <v>-25.73</v>
      </c>
      <c r="J286" s="86">
        <f>-IFERROR(VLOOKUP(C286,SIRTAC!$A$16:$H$1458,8,0),0)</f>
        <v>0</v>
      </c>
      <c r="K286" s="86">
        <f>-IFERROR(VLOOKUP(C286,Gastos!$A$9:$J$1451,10,0),0)</f>
        <v>0</v>
      </c>
      <c r="L286" s="86">
        <f>-IFERROR(VLOOKUP(C286,IDC!$A$20:$H$1763,8,0),0)</f>
        <v>-10.29</v>
      </c>
      <c r="M286" s="95">
        <f t="shared" si="10"/>
        <v>1715</v>
      </c>
      <c r="O286" s="1"/>
    </row>
    <row r="287" spans="1:15" hidden="1">
      <c r="A287" s="1" t="s">
        <v>253</v>
      </c>
      <c r="B287" s="1" t="s">
        <v>15</v>
      </c>
      <c r="C287" s="71">
        <v>128118062595</v>
      </c>
      <c r="D287" s="3">
        <v>21824.32</v>
      </c>
      <c r="E287" s="3">
        <v>14563058.560000001</v>
      </c>
      <c r="F287" s="1" t="s">
        <v>3065</v>
      </c>
      <c r="G287"/>
      <c r="H287"/>
      <c r="I287" s="19">
        <f>-IFERROR(VLOOKUP(C287,SIRCUPA!$A$21:$H$221,8,0),0)</f>
        <v>0</v>
      </c>
      <c r="J287" s="86">
        <f>-IFERROR(VLOOKUP(C287,SIRTAC!$A$16:$H$1458,8,0),0)</f>
        <v>-224</v>
      </c>
      <c r="K287" s="86">
        <f>-IFERROR(VLOOKUP(C287,Gastos!$A$9:$J$1451,10,0),0)</f>
        <v>-217.28</v>
      </c>
      <c r="L287" s="86">
        <f>-IFERROR(VLOOKUP(C287,IDC!$A$20:$H$1763,8,0),0)</f>
        <v>-134.4</v>
      </c>
      <c r="M287" s="95">
        <f t="shared" si="10"/>
        <v>22400</v>
      </c>
      <c r="O287" s="1"/>
    </row>
    <row r="288" spans="1:15" hidden="1">
      <c r="A288" s="1" t="s">
        <v>253</v>
      </c>
      <c r="B288" s="1" t="s">
        <v>15</v>
      </c>
      <c r="C288" s="71">
        <v>128118169295</v>
      </c>
      <c r="D288" s="3">
        <v>5748.37</v>
      </c>
      <c r="E288" s="3">
        <v>14568806.93</v>
      </c>
      <c r="F288" s="1" t="s">
        <v>3065</v>
      </c>
      <c r="G288"/>
      <c r="H288"/>
      <c r="I288" s="19">
        <f>-IFERROR(VLOOKUP(C288,SIRCUPA!$A$21:$H$221,8,0),0)</f>
        <v>0</v>
      </c>
      <c r="J288" s="86">
        <f>-IFERROR(VLOOKUP(C288,SIRTAC!$A$16:$H$1458,8,0),0)</f>
        <v>-59</v>
      </c>
      <c r="K288" s="86">
        <f>-IFERROR(VLOOKUP(C288,Gastos!$A$9:$J$1451,10,0),0)</f>
        <v>-57.23</v>
      </c>
      <c r="L288" s="86">
        <f>-IFERROR(VLOOKUP(C288,IDC!$A$20:$H$1763,8,0),0)</f>
        <v>-35.4</v>
      </c>
      <c r="M288" s="95">
        <f t="shared" ref="M288:M351" si="11">+D288-I288-J288-K288-L288</f>
        <v>5899.9999999999991</v>
      </c>
      <c r="O288" s="1"/>
    </row>
    <row r="289" spans="1:15" hidden="1">
      <c r="A289" s="1" t="s">
        <v>253</v>
      </c>
      <c r="B289" s="1" t="s">
        <v>15</v>
      </c>
      <c r="C289" s="71">
        <v>128118353155</v>
      </c>
      <c r="D289" s="3">
        <v>15304.14</v>
      </c>
      <c r="E289" s="3">
        <v>14584111.07</v>
      </c>
      <c r="F289" s="1" t="s">
        <v>3065</v>
      </c>
      <c r="G289"/>
      <c r="H289"/>
      <c r="I289" s="19">
        <f>-IFERROR(VLOOKUP(C289,SIRCUPA!$A$21:$H$221,8,0),0)</f>
        <v>0</v>
      </c>
      <c r="J289" s="86">
        <f>-IFERROR(VLOOKUP(C289,SIRTAC!$A$16:$H$1458,8,0),0)</f>
        <v>-162</v>
      </c>
      <c r="K289" s="86">
        <f>-IFERROR(VLOOKUP(C289,Gastos!$A$9:$J$1451,10,0),0)</f>
        <v>-636.66</v>
      </c>
      <c r="L289" s="86">
        <f>-IFERROR(VLOOKUP(C289,IDC!$A$20:$H$1763,8,0),0)</f>
        <v>-97.2</v>
      </c>
      <c r="M289" s="95">
        <f t="shared" si="11"/>
        <v>16200</v>
      </c>
      <c r="O289" s="1"/>
    </row>
    <row r="290" spans="1:15" hidden="1">
      <c r="A290" s="1" t="s">
        <v>253</v>
      </c>
      <c r="B290" s="1" t="s">
        <v>15</v>
      </c>
      <c r="C290" s="71">
        <v>128687029470</v>
      </c>
      <c r="D290" s="3">
        <v>37023.4</v>
      </c>
      <c r="E290" s="3">
        <v>14621134.470000001</v>
      </c>
      <c r="F290" s="1" t="s">
        <v>3065</v>
      </c>
      <c r="G290"/>
      <c r="H290"/>
      <c r="I290" s="19">
        <f>-IFERROR(VLOOKUP(C290,SIRCUPA!$A$21:$H$221,8,0),0)</f>
        <v>0</v>
      </c>
      <c r="J290" s="86">
        <f>-IFERROR(VLOOKUP(C290,SIRTAC!$A$16:$H$1458,8,0),0)</f>
        <v>-380</v>
      </c>
      <c r="K290" s="86">
        <f>-IFERROR(VLOOKUP(C290,Gastos!$A$9:$J$1451,10,0),0)</f>
        <v>-368.6</v>
      </c>
      <c r="L290" s="86">
        <f>-IFERROR(VLOOKUP(C290,IDC!$A$20:$H$1763,8,0),0)</f>
        <v>-228</v>
      </c>
      <c r="M290" s="95">
        <f t="shared" si="11"/>
        <v>38000</v>
      </c>
      <c r="O290" s="1"/>
    </row>
    <row r="291" spans="1:15" hidden="1">
      <c r="A291" s="1" t="s">
        <v>253</v>
      </c>
      <c r="B291" s="1" t="s">
        <v>339</v>
      </c>
      <c r="C291" s="71">
        <v>128687148252</v>
      </c>
      <c r="D291" s="3">
        <v>1860.1</v>
      </c>
      <c r="E291" s="3">
        <v>14622994.57</v>
      </c>
      <c r="F291" s="1" t="s">
        <v>3065</v>
      </c>
      <c r="G291"/>
      <c r="H291"/>
      <c r="I291" s="19">
        <f>-IFERROR(VLOOKUP(C291,SIRCUPA!$A$21:$H$221,8,0),0)</f>
        <v>-28.5</v>
      </c>
      <c r="J291" s="86">
        <f>-IFERROR(VLOOKUP(C291,SIRTAC!$A$16:$H$1458,8,0),0)</f>
        <v>0</v>
      </c>
      <c r="K291" s="86">
        <f>-IFERROR(VLOOKUP(C291,Gastos!$A$9:$J$1451,10,0),0)</f>
        <v>0</v>
      </c>
      <c r="L291" s="86">
        <f>-IFERROR(VLOOKUP(C291,IDC!$A$20:$H$1763,8,0),0)</f>
        <v>-11.4</v>
      </c>
      <c r="M291" s="95">
        <f t="shared" si="11"/>
        <v>1900</v>
      </c>
      <c r="O291" s="1"/>
    </row>
    <row r="292" spans="1:15" hidden="1">
      <c r="A292" s="1" t="s">
        <v>253</v>
      </c>
      <c r="B292" s="1" t="s">
        <v>15</v>
      </c>
      <c r="C292" s="71">
        <v>128119642609</v>
      </c>
      <c r="D292" s="3">
        <v>12942.39</v>
      </c>
      <c r="E292" s="3">
        <v>14635936.960000001</v>
      </c>
      <c r="F292" s="1" t="s">
        <v>3065</v>
      </c>
      <c r="G292"/>
      <c r="H292"/>
      <c r="I292" s="19">
        <f>-IFERROR(VLOOKUP(C292,SIRCUPA!$A$21:$H$221,8,0),0)</f>
        <v>0</v>
      </c>
      <c r="J292" s="86">
        <f>-IFERROR(VLOOKUP(C292,SIRTAC!$A$16:$H$1458,8,0),0)</f>
        <v>-137</v>
      </c>
      <c r="K292" s="86">
        <f>-IFERROR(VLOOKUP(C292,Gastos!$A$9:$J$1451,10,0),0)</f>
        <v>-538.41</v>
      </c>
      <c r="L292" s="86">
        <f>-IFERROR(VLOOKUP(C292,IDC!$A$20:$H$1763,8,0),0)</f>
        <v>-82.2</v>
      </c>
      <c r="M292" s="95">
        <f t="shared" si="11"/>
        <v>13700</v>
      </c>
      <c r="O292" s="1"/>
    </row>
    <row r="293" spans="1:15" hidden="1">
      <c r="A293" s="1" t="s">
        <v>253</v>
      </c>
      <c r="B293" s="1" t="s">
        <v>15</v>
      </c>
      <c r="C293" s="71">
        <v>128120103931</v>
      </c>
      <c r="D293" s="3">
        <v>9353.2800000000007</v>
      </c>
      <c r="E293" s="3">
        <v>14645290.24</v>
      </c>
      <c r="F293" s="1" t="s">
        <v>3065</v>
      </c>
      <c r="G293"/>
      <c r="H293"/>
      <c r="I293" s="19">
        <f>-IFERROR(VLOOKUP(C293,SIRCUPA!$A$21:$H$221,8,0),0)</f>
        <v>0</v>
      </c>
      <c r="J293" s="86">
        <f>-IFERROR(VLOOKUP(C293,SIRTAC!$A$16:$H$1458,8,0),0)</f>
        <v>-96</v>
      </c>
      <c r="K293" s="86">
        <f>-IFERROR(VLOOKUP(C293,Gastos!$A$9:$J$1451,10,0),0)</f>
        <v>-93.12</v>
      </c>
      <c r="L293" s="86">
        <f>-IFERROR(VLOOKUP(C293,IDC!$A$20:$H$1763,8,0),0)</f>
        <v>-57.6</v>
      </c>
      <c r="M293" s="95">
        <f t="shared" si="11"/>
        <v>9600.0000000000018</v>
      </c>
      <c r="O293" s="1"/>
    </row>
    <row r="294" spans="1:15" hidden="1">
      <c r="A294" s="1" t="s">
        <v>253</v>
      </c>
      <c r="B294" s="1" t="s">
        <v>15</v>
      </c>
      <c r="C294" s="71">
        <v>128120410601</v>
      </c>
      <c r="D294" s="3">
        <v>49745.8</v>
      </c>
      <c r="E294" s="3">
        <v>14695036.039999999</v>
      </c>
      <c r="F294" s="1" t="s">
        <v>3065</v>
      </c>
      <c r="G294"/>
      <c r="H294"/>
      <c r="I294" s="19">
        <f>-IFERROR(VLOOKUP(C294,SIRCUPA!$A$21:$H$221,8,0),0)</f>
        <v>0</v>
      </c>
      <c r="J294" s="86">
        <f>-IFERROR(VLOOKUP(C294,SIRTAC!$A$16:$H$1458,8,0),0)</f>
        <v>-530</v>
      </c>
      <c r="K294" s="86">
        <f>-IFERROR(VLOOKUP(C294,Gastos!$A$9:$J$1451,10,0),0)</f>
        <v>-2406.1999999999998</v>
      </c>
      <c r="L294" s="86">
        <f>-IFERROR(VLOOKUP(C294,IDC!$A$20:$H$1763,8,0),0)</f>
        <v>-318</v>
      </c>
      <c r="M294" s="95">
        <f t="shared" si="11"/>
        <v>53000</v>
      </c>
      <c r="O294" s="1"/>
    </row>
    <row r="295" spans="1:15" hidden="1">
      <c r="A295" s="1" t="s">
        <v>253</v>
      </c>
      <c r="B295" s="1" t="s">
        <v>15</v>
      </c>
      <c r="C295" s="71">
        <v>128689106092</v>
      </c>
      <c r="D295" s="3">
        <v>4693</v>
      </c>
      <c r="E295" s="3">
        <v>14699729.039999999</v>
      </c>
      <c r="F295" s="1" t="s">
        <v>3065</v>
      </c>
      <c r="G295"/>
      <c r="H295"/>
      <c r="I295" s="19">
        <f>-IFERROR(VLOOKUP(C295,SIRCUPA!$A$21:$H$221,8,0),0)</f>
        <v>0</v>
      </c>
      <c r="J295" s="86">
        <f>-IFERROR(VLOOKUP(C295,SIRTAC!$A$16:$H$1458,8,0),0)</f>
        <v>-50</v>
      </c>
      <c r="K295" s="86">
        <f>-IFERROR(VLOOKUP(C295,Gastos!$A$9:$J$1451,10,0),0)</f>
        <v>-227</v>
      </c>
      <c r="L295" s="86">
        <f>-IFERROR(VLOOKUP(C295,IDC!$A$20:$H$1763,8,0),0)</f>
        <v>-30</v>
      </c>
      <c r="M295" s="95">
        <f t="shared" si="11"/>
        <v>5000</v>
      </c>
      <c r="O295" s="1"/>
    </row>
    <row r="296" spans="1:15" hidden="1">
      <c r="A296" s="1" t="s">
        <v>253</v>
      </c>
      <c r="B296" s="1" t="s">
        <v>15</v>
      </c>
      <c r="C296" s="71">
        <v>128689516614</v>
      </c>
      <c r="D296" s="3">
        <v>52467.74</v>
      </c>
      <c r="E296" s="3">
        <v>14752196.779999999</v>
      </c>
      <c r="F296" s="1" t="s">
        <v>3065</v>
      </c>
      <c r="G296"/>
      <c r="H296"/>
      <c r="I296" s="19">
        <f>-IFERROR(VLOOKUP(C296,SIRCUPA!$A$21:$H$221,8,0),0)</f>
        <v>0</v>
      </c>
      <c r="J296" s="86">
        <f>-IFERROR(VLOOKUP(C296,SIRTAC!$A$16:$H$1458,8,0),0)</f>
        <v>-559</v>
      </c>
      <c r="K296" s="86">
        <f>-IFERROR(VLOOKUP(C296,Gastos!$A$9:$J$1451,10,0),0)</f>
        <v>-2537.86</v>
      </c>
      <c r="L296" s="86">
        <f>-IFERROR(VLOOKUP(C296,IDC!$A$20:$H$1763,8,0),0)</f>
        <v>-335.4</v>
      </c>
      <c r="M296" s="95">
        <f t="shared" si="11"/>
        <v>55900</v>
      </c>
      <c r="O296" s="1"/>
    </row>
    <row r="297" spans="1:15" hidden="1">
      <c r="A297" s="1" t="s">
        <v>253</v>
      </c>
      <c r="B297" s="1" t="s">
        <v>15</v>
      </c>
      <c r="C297" s="71">
        <v>128122214151</v>
      </c>
      <c r="D297" s="3">
        <v>3702.34</v>
      </c>
      <c r="E297" s="3">
        <v>14755899.119999999</v>
      </c>
      <c r="F297" s="1" t="s">
        <v>3065</v>
      </c>
      <c r="G297"/>
      <c r="H297"/>
      <c r="I297" s="19">
        <f>-IFERROR(VLOOKUP(C297,SIRCUPA!$A$21:$H$221,8,0),0)</f>
        <v>0</v>
      </c>
      <c r="J297" s="86">
        <f>-IFERROR(VLOOKUP(C297,SIRTAC!$A$16:$H$1458,8,0),0)</f>
        <v>-38</v>
      </c>
      <c r="K297" s="86">
        <f>-IFERROR(VLOOKUP(C297,Gastos!$A$9:$J$1451,10,0),0)</f>
        <v>-36.86</v>
      </c>
      <c r="L297" s="86">
        <f>-IFERROR(VLOOKUP(C297,IDC!$A$20:$H$1763,8,0),0)</f>
        <v>-22.8</v>
      </c>
      <c r="M297" s="95">
        <f t="shared" si="11"/>
        <v>3800.0000000000005</v>
      </c>
      <c r="O297" s="1"/>
    </row>
    <row r="298" spans="1:15" hidden="1">
      <c r="A298" s="1" t="s">
        <v>253</v>
      </c>
      <c r="B298" s="1" t="s">
        <v>15</v>
      </c>
      <c r="C298" s="71">
        <v>128690050246</v>
      </c>
      <c r="D298" s="3">
        <v>4092.06</v>
      </c>
      <c r="E298" s="3">
        <v>14759991.18</v>
      </c>
      <c r="F298" s="1" t="s">
        <v>3065</v>
      </c>
      <c r="G298"/>
      <c r="H298"/>
      <c r="I298" s="19">
        <f>-IFERROR(VLOOKUP(C298,SIRCUPA!$A$21:$H$221,8,0),0)</f>
        <v>0</v>
      </c>
      <c r="J298" s="86">
        <f>-IFERROR(VLOOKUP(C298,SIRTAC!$A$16:$H$1458,8,0),0)</f>
        <v>-42</v>
      </c>
      <c r="K298" s="86">
        <f>-IFERROR(VLOOKUP(C298,Gastos!$A$9:$J$1451,10,0),0)</f>
        <v>-40.74</v>
      </c>
      <c r="L298" s="86">
        <f>-IFERROR(VLOOKUP(C298,IDC!$A$20:$H$1763,8,0),0)</f>
        <v>-25.2</v>
      </c>
      <c r="M298" s="95">
        <f t="shared" si="11"/>
        <v>4199.9999999999991</v>
      </c>
      <c r="O298" s="1"/>
    </row>
    <row r="299" spans="1:15" hidden="1">
      <c r="A299" s="1" t="s">
        <v>253</v>
      </c>
      <c r="B299" s="1" t="s">
        <v>15</v>
      </c>
      <c r="C299" s="71">
        <v>128122283721</v>
      </c>
      <c r="D299" s="3">
        <v>4871.5</v>
      </c>
      <c r="E299" s="3">
        <v>14764862.68</v>
      </c>
      <c r="F299" s="1" t="s">
        <v>3065</v>
      </c>
      <c r="G299"/>
      <c r="H299"/>
      <c r="I299" s="19">
        <f>-IFERROR(VLOOKUP(C299,SIRCUPA!$A$21:$H$221,8,0),0)</f>
        <v>0</v>
      </c>
      <c r="J299" s="86">
        <f>-IFERROR(VLOOKUP(C299,SIRTAC!$A$16:$H$1458,8,0),0)</f>
        <v>-50</v>
      </c>
      <c r="K299" s="86">
        <f>-IFERROR(VLOOKUP(C299,Gastos!$A$9:$J$1451,10,0),0)</f>
        <v>-48.5</v>
      </c>
      <c r="L299" s="86">
        <f>-IFERROR(VLOOKUP(C299,IDC!$A$20:$H$1763,8,0),0)</f>
        <v>-30</v>
      </c>
      <c r="M299" s="95">
        <f t="shared" si="11"/>
        <v>5000</v>
      </c>
      <c r="O299" s="1"/>
    </row>
    <row r="300" spans="1:15" hidden="1">
      <c r="A300" s="1" t="s">
        <v>253</v>
      </c>
      <c r="B300" s="1" t="s">
        <v>15</v>
      </c>
      <c r="C300" s="71">
        <v>128690199068</v>
      </c>
      <c r="D300" s="3">
        <v>9353.2800000000007</v>
      </c>
      <c r="E300" s="3">
        <v>14774215.960000001</v>
      </c>
      <c r="F300" s="1" t="s">
        <v>3065</v>
      </c>
      <c r="G300"/>
      <c r="H300"/>
      <c r="I300" s="19">
        <f>-IFERROR(VLOOKUP(C300,SIRCUPA!$A$21:$H$221,8,0),0)</f>
        <v>0</v>
      </c>
      <c r="J300" s="86">
        <f>-IFERROR(VLOOKUP(C300,SIRTAC!$A$16:$H$1458,8,0),0)</f>
        <v>-96</v>
      </c>
      <c r="K300" s="86">
        <f>-IFERROR(VLOOKUP(C300,Gastos!$A$9:$J$1451,10,0),0)</f>
        <v>-93.12</v>
      </c>
      <c r="L300" s="86">
        <f>-IFERROR(VLOOKUP(C300,IDC!$A$20:$H$1763,8,0),0)</f>
        <v>-57.6</v>
      </c>
      <c r="M300" s="95">
        <f t="shared" si="11"/>
        <v>9600.0000000000018</v>
      </c>
      <c r="O300" s="1"/>
    </row>
    <row r="301" spans="1:15" hidden="1">
      <c r="A301" s="1" t="s">
        <v>253</v>
      </c>
      <c r="B301" s="1" t="s">
        <v>15</v>
      </c>
      <c r="C301" s="71">
        <v>128690444386</v>
      </c>
      <c r="D301" s="3">
        <v>36438.82</v>
      </c>
      <c r="E301" s="3">
        <v>14810654.779999999</v>
      </c>
      <c r="F301" s="1" t="s">
        <v>3065</v>
      </c>
      <c r="G301"/>
      <c r="H301"/>
      <c r="I301" s="19">
        <f>-IFERROR(VLOOKUP(C301,SIRCUPA!$A$21:$H$221,8,0),0)</f>
        <v>0</v>
      </c>
      <c r="J301" s="86">
        <f>-IFERROR(VLOOKUP(C301,SIRTAC!$A$16:$H$1458,8,0),0)</f>
        <v>-374</v>
      </c>
      <c r="K301" s="86">
        <f>-IFERROR(VLOOKUP(C301,Gastos!$A$9:$J$1451,10,0),0)</f>
        <v>-362.78</v>
      </c>
      <c r="L301" s="86">
        <f>-IFERROR(VLOOKUP(C301,IDC!$A$20:$H$1763,8,0),0)</f>
        <v>-224.4</v>
      </c>
      <c r="M301" s="95">
        <f t="shared" si="11"/>
        <v>37400</v>
      </c>
      <c r="O301" s="1"/>
    </row>
    <row r="302" spans="1:15" hidden="1">
      <c r="A302" s="1" t="s">
        <v>253</v>
      </c>
      <c r="B302" s="1" t="s">
        <v>15</v>
      </c>
      <c r="C302" s="71">
        <v>128123405379</v>
      </c>
      <c r="D302" s="3">
        <v>9353.2800000000007</v>
      </c>
      <c r="E302" s="3">
        <v>14820008.060000001</v>
      </c>
      <c r="F302" s="1" t="s">
        <v>3065</v>
      </c>
      <c r="G302"/>
      <c r="H302"/>
      <c r="I302" s="19">
        <f>-IFERROR(VLOOKUP(C302,SIRCUPA!$A$21:$H$221,8,0),0)</f>
        <v>0</v>
      </c>
      <c r="J302" s="86">
        <f>-IFERROR(VLOOKUP(C302,SIRTAC!$A$16:$H$1458,8,0),0)</f>
        <v>-96</v>
      </c>
      <c r="K302" s="86">
        <f>-IFERROR(VLOOKUP(C302,Gastos!$A$9:$J$1451,10,0),0)</f>
        <v>-93.12</v>
      </c>
      <c r="L302" s="86">
        <f>-IFERROR(VLOOKUP(C302,IDC!$A$20:$H$1763,8,0),0)</f>
        <v>-57.6</v>
      </c>
      <c r="M302" s="95">
        <f t="shared" si="11"/>
        <v>9600.0000000000018</v>
      </c>
      <c r="O302" s="1"/>
    </row>
    <row r="303" spans="1:15" hidden="1">
      <c r="A303" s="1" t="s">
        <v>253</v>
      </c>
      <c r="B303" s="1" t="s">
        <v>15</v>
      </c>
      <c r="C303" s="71">
        <v>128691126746</v>
      </c>
      <c r="D303" s="3">
        <v>8963.56</v>
      </c>
      <c r="E303" s="3">
        <v>14828971.619999999</v>
      </c>
      <c r="F303" s="1" t="s">
        <v>3065</v>
      </c>
      <c r="G303"/>
      <c r="H303"/>
      <c r="I303" s="19">
        <f>-IFERROR(VLOOKUP(C303,SIRCUPA!$A$21:$H$221,8,0),0)</f>
        <v>0</v>
      </c>
      <c r="J303" s="86">
        <f>-IFERROR(VLOOKUP(C303,SIRTAC!$A$16:$H$1458,8,0),0)</f>
        <v>-92</v>
      </c>
      <c r="K303" s="86">
        <f>-IFERROR(VLOOKUP(C303,Gastos!$A$9:$J$1451,10,0),0)</f>
        <v>-89.24</v>
      </c>
      <c r="L303" s="86">
        <f>-IFERROR(VLOOKUP(C303,IDC!$A$20:$H$1763,8,0),0)</f>
        <v>-55.2</v>
      </c>
      <c r="M303" s="95">
        <f t="shared" si="11"/>
        <v>9200</v>
      </c>
      <c r="O303" s="1"/>
    </row>
    <row r="304" spans="1:15" hidden="1">
      <c r="A304" s="1" t="s">
        <v>253</v>
      </c>
      <c r="B304" s="1" t="s">
        <v>15</v>
      </c>
      <c r="C304" s="71">
        <v>128123744661</v>
      </c>
      <c r="D304" s="3">
        <v>34009.199999999997</v>
      </c>
      <c r="E304" s="3">
        <v>14862980.82</v>
      </c>
      <c r="F304" s="1" t="s">
        <v>3065</v>
      </c>
      <c r="G304"/>
      <c r="H304"/>
      <c r="I304" s="19">
        <f>-IFERROR(VLOOKUP(C304,SIRCUPA!$A$21:$H$221,8,0),0)</f>
        <v>0</v>
      </c>
      <c r="J304" s="86">
        <f>-IFERROR(VLOOKUP(C304,SIRTAC!$A$16:$H$1458,8,0),0)</f>
        <v>-360</v>
      </c>
      <c r="K304" s="86">
        <f>-IFERROR(VLOOKUP(C304,Gastos!$A$9:$J$1451,10,0),0)</f>
        <v>-1414.8</v>
      </c>
      <c r="L304" s="86">
        <f>-IFERROR(VLOOKUP(C304,IDC!$A$20:$H$1763,8,0),0)</f>
        <v>-216</v>
      </c>
      <c r="M304" s="95">
        <f t="shared" si="11"/>
        <v>36000</v>
      </c>
      <c r="O304" s="1"/>
    </row>
    <row r="305" spans="1:15" hidden="1">
      <c r="A305" s="1" t="s">
        <v>253</v>
      </c>
      <c r="B305" s="1" t="s">
        <v>15</v>
      </c>
      <c r="C305" s="71">
        <v>128691506480</v>
      </c>
      <c r="D305" s="3">
        <v>50707.48</v>
      </c>
      <c r="E305" s="3">
        <v>14913688.300000001</v>
      </c>
      <c r="F305" s="1" t="s">
        <v>3065</v>
      </c>
      <c r="G305"/>
      <c r="H305"/>
      <c r="I305" s="19">
        <f>-IFERROR(VLOOKUP(C305,SIRCUPA!$A$21:$H$221,8,0),0)</f>
        <v>0</v>
      </c>
      <c r="J305" s="86">
        <f>-IFERROR(VLOOKUP(C305,SIRTAC!$A$16:$H$1458,8,0),0)</f>
        <v>-524</v>
      </c>
      <c r="K305" s="86">
        <f>-IFERROR(VLOOKUP(C305,Gastos!$A$9:$J$1451,10,0),0)</f>
        <v>-854.12</v>
      </c>
      <c r="L305" s="86">
        <f>-IFERROR(VLOOKUP(C305,IDC!$A$20:$H$1763,8,0),0)</f>
        <v>-314.39999999999998</v>
      </c>
      <c r="M305" s="95">
        <f t="shared" si="11"/>
        <v>52400.000000000007</v>
      </c>
      <c r="O305" s="1"/>
    </row>
    <row r="306" spans="1:15" hidden="1">
      <c r="A306" s="1" t="s">
        <v>253</v>
      </c>
      <c r="B306" s="1" t="s">
        <v>15</v>
      </c>
      <c r="C306" s="71">
        <v>128691509296</v>
      </c>
      <c r="D306" s="3">
        <v>50858.46</v>
      </c>
      <c r="E306" s="3">
        <v>14964546.76</v>
      </c>
      <c r="F306" s="1" t="s">
        <v>3065</v>
      </c>
      <c r="G306"/>
      <c r="H306"/>
      <c r="I306" s="19">
        <f>-IFERROR(VLOOKUP(C306,SIRCUPA!$A$21:$H$221,8,0),0)</f>
        <v>0</v>
      </c>
      <c r="J306" s="86">
        <f>-IFERROR(VLOOKUP(C306,SIRTAC!$A$16:$H$1458,8,0),0)</f>
        <v>-522</v>
      </c>
      <c r="K306" s="86">
        <f>-IFERROR(VLOOKUP(C306,Gastos!$A$9:$J$1451,10,0),0)</f>
        <v>-506.34</v>
      </c>
      <c r="L306" s="86">
        <f>-IFERROR(VLOOKUP(C306,IDC!$A$20:$H$1763,8,0),0)</f>
        <v>-313.2</v>
      </c>
      <c r="M306" s="95">
        <f t="shared" si="11"/>
        <v>52199.999999999993</v>
      </c>
      <c r="O306" s="1"/>
    </row>
    <row r="307" spans="1:15" hidden="1">
      <c r="A307" s="1" t="s">
        <v>253</v>
      </c>
      <c r="B307" s="1" t="s">
        <v>15</v>
      </c>
      <c r="C307" s="71">
        <v>128124030985</v>
      </c>
      <c r="D307" s="3">
        <v>95383.97</v>
      </c>
      <c r="E307" s="3">
        <v>15059930.73</v>
      </c>
      <c r="F307" s="1" t="s">
        <v>3065</v>
      </c>
      <c r="G307"/>
      <c r="H307"/>
      <c r="I307" s="19">
        <f>-IFERROR(VLOOKUP(C307,SIRCUPA!$A$21:$H$221,8,0),0)</f>
        <v>0</v>
      </c>
      <c r="J307" s="86">
        <f>-IFERROR(VLOOKUP(C307,SIRTAC!$A$16:$H$1458,8,0),0)</f>
        <v>-979</v>
      </c>
      <c r="K307" s="86">
        <f>-IFERROR(VLOOKUP(C307,Gastos!$A$9:$J$1451,10,0),0)</f>
        <v>-949.63</v>
      </c>
      <c r="L307" s="86">
        <f>-IFERROR(VLOOKUP(C307,IDC!$A$20:$H$1763,8,0),0)</f>
        <v>-587.4</v>
      </c>
      <c r="M307" s="95">
        <f t="shared" si="11"/>
        <v>97900</v>
      </c>
      <c r="O307" s="1"/>
    </row>
    <row r="308" spans="1:15" hidden="1">
      <c r="A308" s="1" t="s">
        <v>253</v>
      </c>
      <c r="B308" s="1" t="s">
        <v>15</v>
      </c>
      <c r="C308" s="71">
        <v>128691751928</v>
      </c>
      <c r="D308" s="3">
        <v>7794.4</v>
      </c>
      <c r="E308" s="3">
        <v>15067725.130000001</v>
      </c>
      <c r="F308" s="1" t="s">
        <v>3065</v>
      </c>
      <c r="G308"/>
      <c r="H308"/>
      <c r="I308" s="19">
        <f>-IFERROR(VLOOKUP(C308,SIRCUPA!$A$21:$H$221,8,0),0)</f>
        <v>0</v>
      </c>
      <c r="J308" s="86">
        <f>-IFERROR(VLOOKUP(C308,SIRTAC!$A$16:$H$1458,8,0),0)</f>
        <v>-80</v>
      </c>
      <c r="K308" s="86">
        <f>-IFERROR(VLOOKUP(C308,Gastos!$A$9:$J$1451,10,0),0)</f>
        <v>-77.599999999999994</v>
      </c>
      <c r="L308" s="86">
        <f>-IFERROR(VLOOKUP(C308,IDC!$A$20:$H$1763,8,0),0)</f>
        <v>-48</v>
      </c>
      <c r="M308" s="95">
        <f t="shared" si="11"/>
        <v>8000</v>
      </c>
      <c r="O308" s="1"/>
    </row>
    <row r="309" spans="1:15" hidden="1">
      <c r="A309" s="1" t="s">
        <v>253</v>
      </c>
      <c r="B309" s="1" t="s">
        <v>15</v>
      </c>
      <c r="C309" s="71">
        <v>128692018414</v>
      </c>
      <c r="D309" s="3">
        <v>19616.740000000002</v>
      </c>
      <c r="E309" s="3">
        <v>15087341.869999999</v>
      </c>
      <c r="F309" s="1" t="s">
        <v>3065</v>
      </c>
      <c r="G309"/>
      <c r="H309"/>
      <c r="I309" s="19">
        <f>-IFERROR(VLOOKUP(C309,SIRCUPA!$A$21:$H$221,8,0),0)</f>
        <v>0</v>
      </c>
      <c r="J309" s="86">
        <f>-IFERROR(VLOOKUP(C309,SIRTAC!$A$16:$H$1458,8,0),0)</f>
        <v>-209</v>
      </c>
      <c r="K309" s="86">
        <f>-IFERROR(VLOOKUP(C309,Gastos!$A$9:$J$1451,10,0),0)</f>
        <v>-948.86</v>
      </c>
      <c r="L309" s="86">
        <f>-IFERROR(VLOOKUP(C309,IDC!$A$20:$H$1763,8,0),0)</f>
        <v>-125.4</v>
      </c>
      <c r="M309" s="95">
        <f t="shared" si="11"/>
        <v>20900.000000000004</v>
      </c>
      <c r="O309" s="1"/>
    </row>
    <row r="310" spans="1:15" hidden="1">
      <c r="A310" s="1" t="s">
        <v>253</v>
      </c>
      <c r="B310" s="1" t="s">
        <v>15</v>
      </c>
      <c r="C310" s="71">
        <v>128692041006</v>
      </c>
      <c r="D310" s="3">
        <v>4871.5</v>
      </c>
      <c r="E310" s="3">
        <v>15092213.369999999</v>
      </c>
      <c r="F310" s="1" t="s">
        <v>3065</v>
      </c>
      <c r="G310"/>
      <c r="H310"/>
      <c r="I310" s="19">
        <f>-IFERROR(VLOOKUP(C310,SIRCUPA!$A$21:$H$221,8,0),0)</f>
        <v>0</v>
      </c>
      <c r="J310" s="86">
        <f>-IFERROR(VLOOKUP(C310,SIRTAC!$A$16:$H$1458,8,0),0)</f>
        <v>-50</v>
      </c>
      <c r="K310" s="86">
        <f>-IFERROR(VLOOKUP(C310,Gastos!$A$9:$J$1451,10,0),0)</f>
        <v>-48.5</v>
      </c>
      <c r="L310" s="86">
        <f>-IFERROR(VLOOKUP(C310,IDC!$A$20:$H$1763,8,0),0)</f>
        <v>-30</v>
      </c>
      <c r="M310" s="95">
        <f t="shared" si="11"/>
        <v>5000</v>
      </c>
      <c r="O310" s="1"/>
    </row>
    <row r="311" spans="1:15" hidden="1">
      <c r="A311" s="1" t="s">
        <v>360</v>
      </c>
      <c r="B311" s="1" t="s">
        <v>15</v>
      </c>
      <c r="C311" s="71">
        <v>128124351663</v>
      </c>
      <c r="D311" s="3">
        <v>14614.5</v>
      </c>
      <c r="E311" s="3">
        <v>15106827.869999999</v>
      </c>
      <c r="F311" s="1" t="s">
        <v>3065</v>
      </c>
      <c r="G311"/>
      <c r="H311"/>
      <c r="I311" s="19">
        <f>-IFERROR(VLOOKUP(C311,SIRCUPA!$A$21:$H$221,8,0),0)</f>
        <v>0</v>
      </c>
      <c r="J311" s="86">
        <f>-IFERROR(VLOOKUP(C311,SIRTAC!$A$16:$H$1458,8,0),0)</f>
        <v>-150</v>
      </c>
      <c r="K311" s="86">
        <f>-IFERROR(VLOOKUP(C311,Gastos!$A$9:$J$1451,10,0),0)</f>
        <v>-145.5</v>
      </c>
      <c r="L311" s="86">
        <f>-IFERROR(VLOOKUP(C311,IDC!$A$20:$H$1763,8,0),0)</f>
        <v>-90</v>
      </c>
      <c r="M311" s="95">
        <f t="shared" si="11"/>
        <v>15000</v>
      </c>
      <c r="O311" s="1"/>
    </row>
    <row r="312" spans="1:15" hidden="1">
      <c r="A312" s="1" t="s">
        <v>360</v>
      </c>
      <c r="B312" s="1" t="s">
        <v>15</v>
      </c>
      <c r="C312" s="71">
        <v>128692668536</v>
      </c>
      <c r="D312" s="3">
        <v>67275.39</v>
      </c>
      <c r="E312" s="3">
        <v>15174103.26</v>
      </c>
      <c r="F312" s="1" t="s">
        <v>3065</v>
      </c>
      <c r="G312"/>
      <c r="H312"/>
      <c r="I312" s="19">
        <f>-IFERROR(VLOOKUP(C312,SIRCUPA!$A$21:$H$221,8,0),0)</f>
        <v>0</v>
      </c>
      <c r="J312" s="86">
        <f>-IFERROR(VLOOKUP(C312,SIRTAC!$A$16:$H$1458,8,0),0)</f>
        <v>-741</v>
      </c>
      <c r="K312" s="86">
        <f>-IFERROR(VLOOKUP(C312,Gastos!$A$9:$J$1451,10,0),0)</f>
        <v>-5639.01</v>
      </c>
      <c r="L312" s="86">
        <f>-IFERROR(VLOOKUP(C312,IDC!$A$20:$H$1763,8,0),0)</f>
        <v>-444.6</v>
      </c>
      <c r="M312" s="95">
        <f t="shared" si="11"/>
        <v>74100</v>
      </c>
      <c r="O312" s="1"/>
    </row>
    <row r="313" spans="1:15" hidden="1">
      <c r="A313" s="1" t="s">
        <v>360</v>
      </c>
      <c r="B313" s="1" t="s">
        <v>15</v>
      </c>
      <c r="C313" s="71">
        <v>128125043391</v>
      </c>
      <c r="D313" s="3">
        <v>4539.5</v>
      </c>
      <c r="E313" s="3">
        <v>15178642.76</v>
      </c>
      <c r="F313" s="1" t="s">
        <v>3065</v>
      </c>
      <c r="G313"/>
      <c r="H313"/>
      <c r="I313" s="19">
        <f>-IFERROR(VLOOKUP(C313,SIRCUPA!$A$21:$H$221,8,0),0)</f>
        <v>0</v>
      </c>
      <c r="J313" s="86">
        <f>-IFERROR(VLOOKUP(C313,SIRTAC!$A$16:$H$1458,8,0),0)</f>
        <v>-50</v>
      </c>
      <c r="K313" s="86">
        <f>-IFERROR(VLOOKUP(C313,Gastos!$A$9:$J$1451,10,0),0)</f>
        <v>-380.5</v>
      </c>
      <c r="L313" s="86">
        <f>-IFERROR(VLOOKUP(C313,IDC!$A$20:$H$1763,8,0),0)</f>
        <v>-30</v>
      </c>
      <c r="M313" s="95">
        <f t="shared" si="11"/>
        <v>5000</v>
      </c>
      <c r="O313" s="1"/>
    </row>
    <row r="314" spans="1:15" hidden="1">
      <c r="A314" s="1" t="s">
        <v>360</v>
      </c>
      <c r="B314" s="1" t="s">
        <v>15</v>
      </c>
      <c r="C314" s="71">
        <v>128692773100</v>
      </c>
      <c r="D314" s="3">
        <v>4871.5</v>
      </c>
      <c r="E314" s="3">
        <v>15183514.26</v>
      </c>
      <c r="F314" s="1" t="s">
        <v>3065</v>
      </c>
      <c r="G314"/>
      <c r="H314"/>
      <c r="I314" s="19">
        <f>-IFERROR(VLOOKUP(C314,SIRCUPA!$A$21:$H$221,8,0),0)</f>
        <v>0</v>
      </c>
      <c r="J314" s="86">
        <f>-IFERROR(VLOOKUP(C314,SIRTAC!$A$16:$H$1458,8,0),0)</f>
        <v>-50</v>
      </c>
      <c r="K314" s="86">
        <f>-IFERROR(VLOOKUP(C314,Gastos!$A$9:$J$1451,10,0),0)</f>
        <v>-48.5</v>
      </c>
      <c r="L314" s="86">
        <f>-IFERROR(VLOOKUP(C314,IDC!$A$20:$H$1763,8,0),0)</f>
        <v>-30</v>
      </c>
      <c r="M314" s="95">
        <f t="shared" si="11"/>
        <v>5000</v>
      </c>
      <c r="O314" s="1"/>
    </row>
    <row r="315" spans="1:15" hidden="1">
      <c r="A315" s="1" t="s">
        <v>360</v>
      </c>
      <c r="B315" s="1" t="s">
        <v>15</v>
      </c>
      <c r="C315" s="71">
        <v>128125341977</v>
      </c>
      <c r="D315" s="3">
        <v>3897.2</v>
      </c>
      <c r="E315" s="3">
        <v>15187411.460000001</v>
      </c>
      <c r="F315" s="1" t="s">
        <v>3065</v>
      </c>
      <c r="G315"/>
      <c r="H315"/>
      <c r="I315" s="19">
        <f>-IFERROR(VLOOKUP(C315,SIRCUPA!$A$21:$H$221,8,0),0)</f>
        <v>0</v>
      </c>
      <c r="J315" s="86">
        <f>-IFERROR(VLOOKUP(C315,SIRTAC!$A$16:$H$1458,8,0),0)</f>
        <v>-40</v>
      </c>
      <c r="K315" s="86">
        <f>-IFERROR(VLOOKUP(C315,Gastos!$A$9:$J$1451,10,0),0)</f>
        <v>-38.799999999999997</v>
      </c>
      <c r="L315" s="86">
        <f>-IFERROR(VLOOKUP(C315,IDC!$A$20:$H$1763,8,0),0)</f>
        <v>-24</v>
      </c>
      <c r="M315" s="95">
        <f t="shared" si="11"/>
        <v>4000</v>
      </c>
      <c r="O315" s="1"/>
    </row>
    <row r="316" spans="1:15" hidden="1">
      <c r="A316" s="1" t="s">
        <v>360</v>
      </c>
      <c r="B316" s="1" t="s">
        <v>15</v>
      </c>
      <c r="C316" s="71">
        <v>128125660361</v>
      </c>
      <c r="D316" s="3">
        <v>4871.5</v>
      </c>
      <c r="E316" s="3">
        <v>15192282.960000001</v>
      </c>
      <c r="F316" s="1" t="s">
        <v>3065</v>
      </c>
      <c r="G316"/>
      <c r="H316"/>
      <c r="I316" s="19">
        <f>-IFERROR(VLOOKUP(C316,SIRCUPA!$A$21:$H$221,8,0),0)</f>
        <v>0</v>
      </c>
      <c r="J316" s="86">
        <f>-IFERROR(VLOOKUP(C316,SIRTAC!$A$16:$H$1458,8,0),0)</f>
        <v>-50</v>
      </c>
      <c r="K316" s="86">
        <f>-IFERROR(VLOOKUP(C316,Gastos!$A$9:$J$1451,10,0),0)</f>
        <v>-48.5</v>
      </c>
      <c r="L316" s="86">
        <f>-IFERROR(VLOOKUP(C316,IDC!$A$20:$H$1763,8,0),0)</f>
        <v>-30</v>
      </c>
      <c r="M316" s="95">
        <f t="shared" si="11"/>
        <v>5000</v>
      </c>
      <c r="O316" s="1"/>
    </row>
    <row r="317" spans="1:15" hidden="1">
      <c r="A317" s="1" t="s">
        <v>360</v>
      </c>
      <c r="B317" s="1" t="s">
        <v>367</v>
      </c>
      <c r="C317" s="71">
        <v>128125627213</v>
      </c>
      <c r="D317" s="2">
        <v>244.75</v>
      </c>
      <c r="E317" s="3">
        <v>15192527.710000001</v>
      </c>
      <c r="F317" s="1" t="s">
        <v>3065</v>
      </c>
      <c r="G317"/>
      <c r="H317"/>
      <c r="I317" s="19">
        <f>-IFERROR(VLOOKUP(C317,SIRCUPA!$A$21:$H$221,8,0),0)</f>
        <v>-3.75</v>
      </c>
      <c r="J317" s="86">
        <f>-IFERROR(VLOOKUP(C317,SIRTAC!$A$16:$H$1458,8,0),0)</f>
        <v>0</v>
      </c>
      <c r="K317" s="86">
        <f>-IFERROR(VLOOKUP(C317,Gastos!$A$9:$J$1451,10,0),0)</f>
        <v>0</v>
      </c>
      <c r="L317" s="86">
        <f>-IFERROR(VLOOKUP(C317,IDC!$A$20:$H$1763,8,0),0)</f>
        <v>-1.5</v>
      </c>
      <c r="M317" s="95">
        <f t="shared" si="11"/>
        <v>250</v>
      </c>
      <c r="O317" s="1"/>
    </row>
    <row r="318" spans="1:15" hidden="1">
      <c r="A318" s="1" t="s">
        <v>360</v>
      </c>
      <c r="B318" s="1" t="s">
        <v>15</v>
      </c>
      <c r="C318" s="71">
        <v>128693181950</v>
      </c>
      <c r="D318" s="3">
        <v>7794.4</v>
      </c>
      <c r="E318" s="3">
        <v>15200322.109999999</v>
      </c>
      <c r="F318" s="1" t="s">
        <v>3065</v>
      </c>
      <c r="G318"/>
      <c r="H318"/>
      <c r="I318" s="19">
        <f>-IFERROR(VLOOKUP(C318,SIRCUPA!$A$21:$H$221,8,0),0)</f>
        <v>0</v>
      </c>
      <c r="J318" s="86">
        <f>-IFERROR(VLOOKUP(C318,SIRTAC!$A$16:$H$1458,8,0),0)</f>
        <v>-80</v>
      </c>
      <c r="K318" s="86">
        <f>-IFERROR(VLOOKUP(C318,Gastos!$A$9:$J$1451,10,0),0)</f>
        <v>-77.599999999999994</v>
      </c>
      <c r="L318" s="86">
        <f>-IFERROR(VLOOKUP(C318,IDC!$A$20:$H$1763,8,0),0)</f>
        <v>-48</v>
      </c>
      <c r="M318" s="95">
        <f t="shared" si="11"/>
        <v>8000</v>
      </c>
      <c r="O318" s="1"/>
    </row>
    <row r="319" spans="1:15" hidden="1">
      <c r="A319" s="1" t="s">
        <v>360</v>
      </c>
      <c r="B319" s="1" t="s">
        <v>15</v>
      </c>
      <c r="C319" s="71">
        <v>128694134194</v>
      </c>
      <c r="D319" s="3">
        <v>15004.22</v>
      </c>
      <c r="E319" s="3">
        <v>15215326.33</v>
      </c>
      <c r="F319" s="1" t="s">
        <v>3065</v>
      </c>
      <c r="G319"/>
      <c r="H319"/>
      <c r="I319" s="19">
        <f>-IFERROR(VLOOKUP(C319,SIRCUPA!$A$21:$H$221,8,0),0)</f>
        <v>0</v>
      </c>
      <c r="J319" s="86">
        <f>-IFERROR(VLOOKUP(C319,SIRTAC!$A$16:$H$1458,8,0),0)</f>
        <v>-154</v>
      </c>
      <c r="K319" s="86">
        <f>-IFERROR(VLOOKUP(C319,Gastos!$A$9:$J$1451,10,0),0)</f>
        <v>-149.38</v>
      </c>
      <c r="L319" s="86">
        <f>-IFERROR(VLOOKUP(C319,IDC!$A$20:$H$1763,8,0),0)</f>
        <v>-92.4</v>
      </c>
      <c r="M319" s="95">
        <f t="shared" si="11"/>
        <v>15399.999999999998</v>
      </c>
      <c r="O319" s="1"/>
    </row>
    <row r="320" spans="1:15" hidden="1">
      <c r="A320" s="1" t="s">
        <v>360</v>
      </c>
      <c r="B320" s="1" t="s">
        <v>15</v>
      </c>
      <c r="C320" s="71">
        <v>128694166558</v>
      </c>
      <c r="D320" s="3">
        <v>57059.88</v>
      </c>
      <c r="E320" s="3">
        <v>15272386.210000001</v>
      </c>
      <c r="F320" s="1" t="s">
        <v>3065</v>
      </c>
      <c r="G320"/>
      <c r="H320"/>
      <c r="I320" s="19">
        <f>-IFERROR(VLOOKUP(C320,SIRCUPA!$A$21:$H$221,8,0),0)</f>
        <v>0</v>
      </c>
      <c r="J320" s="86">
        <f>-IFERROR(VLOOKUP(C320,SIRTAC!$A$16:$H$1458,8,0),0)</f>
        <v>-604</v>
      </c>
      <c r="K320" s="86">
        <f>-IFERROR(VLOOKUP(C320,Gastos!$A$9:$J$1451,10,0),0)</f>
        <v>-2373.7199999999998</v>
      </c>
      <c r="L320" s="86">
        <f>-IFERROR(VLOOKUP(C320,IDC!$A$20:$H$1763,8,0),0)</f>
        <v>-362.4</v>
      </c>
      <c r="M320" s="95">
        <f t="shared" si="11"/>
        <v>60400</v>
      </c>
      <c r="O320" s="1"/>
    </row>
    <row r="321" spans="1:15" hidden="1">
      <c r="A321" s="1" t="s">
        <v>360</v>
      </c>
      <c r="B321" s="1" t="s">
        <v>15</v>
      </c>
      <c r="C321" s="71">
        <v>128126371521</v>
      </c>
      <c r="D321" s="3">
        <v>42382.05</v>
      </c>
      <c r="E321" s="3">
        <v>15314768.26</v>
      </c>
      <c r="F321" s="1" t="s">
        <v>3065</v>
      </c>
      <c r="G321"/>
      <c r="H321"/>
      <c r="I321" s="19">
        <f>-IFERROR(VLOOKUP(C321,SIRCUPA!$A$21:$H$221,8,0),0)</f>
        <v>0</v>
      </c>
      <c r="J321" s="86">
        <f>-IFERROR(VLOOKUP(C321,SIRTAC!$A$16:$H$1458,8,0),0)</f>
        <v>-435</v>
      </c>
      <c r="K321" s="86">
        <f>-IFERROR(VLOOKUP(C321,Gastos!$A$9:$J$1451,10,0),0)</f>
        <v>-421.95</v>
      </c>
      <c r="L321" s="86">
        <f>-IFERROR(VLOOKUP(C321,IDC!$A$20:$H$1763,8,0),0)</f>
        <v>-261</v>
      </c>
      <c r="M321" s="95">
        <f t="shared" si="11"/>
        <v>43500</v>
      </c>
      <c r="O321" s="1"/>
    </row>
    <row r="322" spans="1:15" hidden="1">
      <c r="A322" s="1" t="s">
        <v>360</v>
      </c>
      <c r="B322" s="1" t="s">
        <v>373</v>
      </c>
      <c r="C322" s="71">
        <v>128694203212</v>
      </c>
      <c r="D322" s="3">
        <v>2129.3200000000002</v>
      </c>
      <c r="E322" s="3">
        <v>15316897.58</v>
      </c>
      <c r="F322" s="1" t="s">
        <v>3065</v>
      </c>
      <c r="G322"/>
      <c r="H322"/>
      <c r="I322" s="19">
        <f>-IFERROR(VLOOKUP(C322,SIRCUPA!$A$21:$H$221,8,0),0)</f>
        <v>-32.630000000000003</v>
      </c>
      <c r="J322" s="86">
        <f>-IFERROR(VLOOKUP(C322,SIRTAC!$A$16:$H$1458,8,0),0)</f>
        <v>0</v>
      </c>
      <c r="K322" s="86">
        <f>-IFERROR(VLOOKUP(C322,Gastos!$A$9:$J$1451,10,0),0)</f>
        <v>0</v>
      </c>
      <c r="L322" s="86">
        <f>-IFERROR(VLOOKUP(C322,IDC!$A$20:$H$1763,8,0),0)</f>
        <v>-13.05</v>
      </c>
      <c r="M322" s="95">
        <f t="shared" si="11"/>
        <v>2175.0000000000005</v>
      </c>
      <c r="O322" s="1"/>
    </row>
    <row r="323" spans="1:15" hidden="1">
      <c r="A323" s="1" t="s">
        <v>360</v>
      </c>
      <c r="B323" s="1" t="s">
        <v>15</v>
      </c>
      <c r="C323" s="71">
        <v>128126531575</v>
      </c>
      <c r="D323" s="3">
        <v>37510.550000000003</v>
      </c>
      <c r="E323" s="3">
        <v>15354408.130000001</v>
      </c>
      <c r="F323" s="1" t="s">
        <v>3065</v>
      </c>
      <c r="G323"/>
      <c r="H323"/>
      <c r="I323" s="19">
        <f>-IFERROR(VLOOKUP(C323,SIRCUPA!$A$21:$H$221,8,0),0)</f>
        <v>0</v>
      </c>
      <c r="J323" s="86">
        <f>-IFERROR(VLOOKUP(C323,SIRTAC!$A$16:$H$1458,8,0),0)</f>
        <v>-385</v>
      </c>
      <c r="K323" s="86">
        <f>-IFERROR(VLOOKUP(C323,Gastos!$A$9:$J$1451,10,0),0)</f>
        <v>-373.45</v>
      </c>
      <c r="L323" s="86">
        <f>-IFERROR(VLOOKUP(C323,IDC!$A$20:$H$1763,8,0),0)</f>
        <v>-231</v>
      </c>
      <c r="M323" s="95">
        <f t="shared" si="11"/>
        <v>38500</v>
      </c>
      <c r="O323" s="1"/>
    </row>
    <row r="324" spans="1:15" hidden="1">
      <c r="A324" s="1" t="s">
        <v>360</v>
      </c>
      <c r="B324" s="1" t="s">
        <v>15</v>
      </c>
      <c r="C324" s="71">
        <v>128694438198</v>
      </c>
      <c r="D324" s="3">
        <v>36654.36</v>
      </c>
      <c r="E324" s="3">
        <v>15391062.49</v>
      </c>
      <c r="F324" s="1" t="s">
        <v>3065</v>
      </c>
      <c r="G324"/>
      <c r="H324"/>
      <c r="I324" s="19">
        <f>-IFERROR(VLOOKUP(C324,SIRCUPA!$A$21:$H$221,8,0),0)</f>
        <v>0</v>
      </c>
      <c r="J324" s="86">
        <f>-IFERROR(VLOOKUP(C324,SIRTAC!$A$16:$H$1458,8,0),0)</f>
        <v>-388</v>
      </c>
      <c r="K324" s="86">
        <f>-IFERROR(VLOOKUP(C324,Gastos!$A$9:$J$1451,10,0),0)</f>
        <v>-1524.84</v>
      </c>
      <c r="L324" s="86">
        <f>-IFERROR(VLOOKUP(C324,IDC!$A$20:$H$1763,8,0),0)</f>
        <v>-232.8</v>
      </c>
      <c r="M324" s="95">
        <f t="shared" si="11"/>
        <v>38800</v>
      </c>
      <c r="O324" s="1"/>
    </row>
    <row r="325" spans="1:15" hidden="1">
      <c r="A325" s="1" t="s">
        <v>360</v>
      </c>
      <c r="B325" s="1" t="s">
        <v>15</v>
      </c>
      <c r="C325" s="71">
        <v>128126798957</v>
      </c>
      <c r="D325" s="3">
        <v>56606.83</v>
      </c>
      <c r="E325" s="3">
        <v>15447669.32</v>
      </c>
      <c r="F325" s="1" t="s">
        <v>3065</v>
      </c>
      <c r="G325"/>
      <c r="H325"/>
      <c r="I325" s="19">
        <f>-IFERROR(VLOOKUP(C325,SIRCUPA!$A$21:$H$221,8,0),0)</f>
        <v>0</v>
      </c>
      <c r="J325" s="86">
        <f>-IFERROR(VLOOKUP(C325,SIRTAC!$A$16:$H$1458,8,0),0)</f>
        <v>-581</v>
      </c>
      <c r="K325" s="86">
        <f>-IFERROR(VLOOKUP(C325,Gastos!$A$9:$J$1451,10,0),0)</f>
        <v>-563.57000000000005</v>
      </c>
      <c r="L325" s="86">
        <f>-IFERROR(VLOOKUP(C325,IDC!$A$20:$H$1763,8,0),0)</f>
        <v>-348.6</v>
      </c>
      <c r="M325" s="95">
        <f t="shared" si="11"/>
        <v>58100</v>
      </c>
      <c r="O325" s="1"/>
    </row>
    <row r="326" spans="1:15" hidden="1">
      <c r="A326" s="1" t="s">
        <v>360</v>
      </c>
      <c r="B326" s="1" t="s">
        <v>378</v>
      </c>
      <c r="C326" s="71">
        <v>128694389708</v>
      </c>
      <c r="D326" s="3">
        <v>5687.99</v>
      </c>
      <c r="E326" s="3">
        <v>15453357.310000001</v>
      </c>
      <c r="F326" s="1" t="s">
        <v>3065</v>
      </c>
      <c r="G326"/>
      <c r="H326"/>
      <c r="I326" s="19">
        <f>-IFERROR(VLOOKUP(C326,SIRCUPA!$A$21:$H$221,8,0),0)</f>
        <v>-87.15</v>
      </c>
      <c r="J326" s="86">
        <f>-IFERROR(VLOOKUP(C326,SIRTAC!$A$16:$H$1458,8,0),0)</f>
        <v>0</v>
      </c>
      <c r="K326" s="86">
        <f>-IFERROR(VLOOKUP(C326,Gastos!$A$9:$J$1451,10,0),0)</f>
        <v>0</v>
      </c>
      <c r="L326" s="86">
        <f>-IFERROR(VLOOKUP(C326,IDC!$A$20:$H$1763,8,0),0)</f>
        <v>-34.86</v>
      </c>
      <c r="M326" s="95">
        <f t="shared" si="11"/>
        <v>5809.9999999999991</v>
      </c>
      <c r="O326" s="1"/>
    </row>
    <row r="327" spans="1:15" hidden="1">
      <c r="A327" s="1" t="s">
        <v>360</v>
      </c>
      <c r="B327" s="1" t="s">
        <v>15</v>
      </c>
      <c r="C327" s="71">
        <v>128694674936</v>
      </c>
      <c r="D327" s="3">
        <v>15004.22</v>
      </c>
      <c r="E327" s="3">
        <v>15468361.529999999</v>
      </c>
      <c r="F327" s="1" t="s">
        <v>3065</v>
      </c>
      <c r="G327"/>
      <c r="H327"/>
      <c r="I327" s="19">
        <f>-IFERROR(VLOOKUP(C327,SIRCUPA!$A$21:$H$221,8,0),0)</f>
        <v>0</v>
      </c>
      <c r="J327" s="86">
        <f>-IFERROR(VLOOKUP(C327,SIRTAC!$A$16:$H$1458,8,0),0)</f>
        <v>-154</v>
      </c>
      <c r="K327" s="86">
        <f>-IFERROR(VLOOKUP(C327,Gastos!$A$9:$J$1451,10,0),0)</f>
        <v>-149.38</v>
      </c>
      <c r="L327" s="86">
        <f>-IFERROR(VLOOKUP(C327,IDC!$A$20:$H$1763,8,0),0)</f>
        <v>-92.4</v>
      </c>
      <c r="M327" s="95">
        <f t="shared" si="11"/>
        <v>15399.999999999998</v>
      </c>
      <c r="O327" s="1"/>
    </row>
    <row r="328" spans="1:15" hidden="1">
      <c r="A328" s="1" t="s">
        <v>360</v>
      </c>
      <c r="B328" s="1" t="s">
        <v>15</v>
      </c>
      <c r="C328" s="71">
        <v>128694718052</v>
      </c>
      <c r="D328" s="3">
        <v>41700.04</v>
      </c>
      <c r="E328" s="3">
        <v>15510061.57</v>
      </c>
      <c r="F328" s="1" t="s">
        <v>3065</v>
      </c>
      <c r="G328"/>
      <c r="H328"/>
      <c r="I328" s="19">
        <f>-IFERROR(VLOOKUP(C328,SIRCUPA!$A$21:$H$221,8,0),0)</f>
        <v>0</v>
      </c>
      <c r="J328" s="86">
        <f>-IFERROR(VLOOKUP(C328,SIRTAC!$A$16:$H$1458,8,0),0)</f>
        <v>-428</v>
      </c>
      <c r="K328" s="86">
        <f>-IFERROR(VLOOKUP(C328,Gastos!$A$9:$J$1451,10,0),0)</f>
        <v>-415.16</v>
      </c>
      <c r="L328" s="86">
        <f>-IFERROR(VLOOKUP(C328,IDC!$A$20:$H$1763,8,0),0)</f>
        <v>-256.8</v>
      </c>
      <c r="M328" s="95">
        <f t="shared" si="11"/>
        <v>42800.000000000007</v>
      </c>
      <c r="O328" s="1"/>
    </row>
    <row r="329" spans="1:15" hidden="1">
      <c r="A329" s="1" t="s">
        <v>360</v>
      </c>
      <c r="B329" s="1" t="s">
        <v>382</v>
      </c>
      <c r="C329" s="71">
        <v>128127278911</v>
      </c>
      <c r="D329" s="3">
        <v>4190.12</v>
      </c>
      <c r="E329" s="3">
        <v>15514251.689999999</v>
      </c>
      <c r="F329" s="1" t="s">
        <v>3065</v>
      </c>
      <c r="G329"/>
      <c r="H329"/>
      <c r="I329" s="19">
        <f>-IFERROR(VLOOKUP(C329,SIRCUPA!$A$21:$H$221,8,0),0)</f>
        <v>-64.2</v>
      </c>
      <c r="J329" s="86">
        <f>-IFERROR(VLOOKUP(C329,SIRTAC!$A$16:$H$1458,8,0),0)</f>
        <v>0</v>
      </c>
      <c r="K329" s="86">
        <f>-IFERROR(VLOOKUP(C329,Gastos!$A$9:$J$1451,10,0),0)</f>
        <v>0</v>
      </c>
      <c r="L329" s="86">
        <f>-IFERROR(VLOOKUP(C329,IDC!$A$20:$H$1763,8,0),0)</f>
        <v>-25.68</v>
      </c>
      <c r="M329" s="95">
        <f t="shared" si="11"/>
        <v>4280</v>
      </c>
      <c r="O329" s="1"/>
    </row>
    <row r="330" spans="1:15" hidden="1">
      <c r="A330" s="1" t="s">
        <v>360</v>
      </c>
      <c r="B330" s="1" t="s">
        <v>15</v>
      </c>
      <c r="C330" s="71">
        <v>128127401801</v>
      </c>
      <c r="D330" s="3">
        <v>7935.48</v>
      </c>
      <c r="E330" s="3">
        <v>15522187.17</v>
      </c>
      <c r="F330" s="1" t="s">
        <v>3065</v>
      </c>
      <c r="G330"/>
      <c r="H330"/>
      <c r="I330" s="19">
        <f>-IFERROR(VLOOKUP(C330,SIRCUPA!$A$21:$H$221,8,0),0)</f>
        <v>0</v>
      </c>
      <c r="J330" s="86">
        <f>-IFERROR(VLOOKUP(C330,SIRTAC!$A$16:$H$1458,8,0),0)</f>
        <v>-84</v>
      </c>
      <c r="K330" s="86">
        <f>-IFERROR(VLOOKUP(C330,Gastos!$A$9:$J$1451,10,0),0)</f>
        <v>-330.12</v>
      </c>
      <c r="L330" s="86">
        <f>-IFERROR(VLOOKUP(C330,IDC!$A$20:$H$1763,8,0),0)</f>
        <v>-50.4</v>
      </c>
      <c r="M330" s="95">
        <f t="shared" si="11"/>
        <v>8400</v>
      </c>
      <c r="O330" s="1"/>
    </row>
    <row r="331" spans="1:15" hidden="1">
      <c r="A331" s="1" t="s">
        <v>360</v>
      </c>
      <c r="B331" s="1" t="s">
        <v>15</v>
      </c>
      <c r="C331" s="71">
        <v>128127545875</v>
      </c>
      <c r="D331" s="3">
        <v>9353.2800000000007</v>
      </c>
      <c r="E331" s="3">
        <v>15531540.449999999</v>
      </c>
      <c r="F331" s="1" t="s">
        <v>3065</v>
      </c>
      <c r="G331"/>
      <c r="H331"/>
      <c r="I331" s="19">
        <f>-IFERROR(VLOOKUP(C331,SIRCUPA!$A$21:$H$221,8,0),0)</f>
        <v>0</v>
      </c>
      <c r="J331" s="86">
        <f>-IFERROR(VLOOKUP(C331,SIRTAC!$A$16:$H$1458,8,0),0)</f>
        <v>-96</v>
      </c>
      <c r="K331" s="86">
        <f>-IFERROR(VLOOKUP(C331,Gastos!$A$9:$J$1451,10,0),0)</f>
        <v>-93.12</v>
      </c>
      <c r="L331" s="86">
        <f>-IFERROR(VLOOKUP(C331,IDC!$A$20:$H$1763,8,0),0)</f>
        <v>-57.6</v>
      </c>
      <c r="M331" s="95">
        <f t="shared" si="11"/>
        <v>9600.0000000000018</v>
      </c>
      <c r="O331" s="1"/>
    </row>
    <row r="332" spans="1:15" hidden="1">
      <c r="A332" s="1" t="s">
        <v>360</v>
      </c>
      <c r="B332" s="1" t="s">
        <v>15</v>
      </c>
      <c r="C332" s="71">
        <v>128695678908</v>
      </c>
      <c r="D332" s="3">
        <v>5163.79</v>
      </c>
      <c r="E332" s="3">
        <v>15536704.24</v>
      </c>
      <c r="F332" s="1" t="s">
        <v>3065</v>
      </c>
      <c r="G332"/>
      <c r="H332"/>
      <c r="I332" s="19">
        <f>-IFERROR(VLOOKUP(C332,SIRCUPA!$A$21:$H$221,8,0),0)</f>
        <v>0</v>
      </c>
      <c r="J332" s="86">
        <f>-IFERROR(VLOOKUP(C332,SIRTAC!$A$16:$H$1458,8,0),0)</f>
        <v>-53</v>
      </c>
      <c r="K332" s="86">
        <f>-IFERROR(VLOOKUP(C332,Gastos!$A$9:$J$1451,10,0),0)</f>
        <v>-51.41</v>
      </c>
      <c r="L332" s="86">
        <f>-IFERROR(VLOOKUP(C332,IDC!$A$20:$H$1763,8,0),0)</f>
        <v>-31.8</v>
      </c>
      <c r="M332" s="95">
        <f t="shared" si="11"/>
        <v>5300</v>
      </c>
      <c r="O332" s="1"/>
    </row>
    <row r="333" spans="1:15" hidden="1">
      <c r="A333" s="1" t="s">
        <v>360</v>
      </c>
      <c r="B333" s="1" t="s">
        <v>15</v>
      </c>
      <c r="C333" s="71">
        <v>128695784506</v>
      </c>
      <c r="D333" s="3">
        <v>9386</v>
      </c>
      <c r="E333" s="3">
        <v>15546090.24</v>
      </c>
      <c r="F333" s="1" t="s">
        <v>3065</v>
      </c>
      <c r="G333"/>
      <c r="H333"/>
      <c r="I333" s="19">
        <f>-IFERROR(VLOOKUP(C333,SIRCUPA!$A$21:$H$221,8,0),0)</f>
        <v>0</v>
      </c>
      <c r="J333" s="86">
        <f>-IFERROR(VLOOKUP(C333,SIRTAC!$A$16:$H$1458,8,0),0)</f>
        <v>-100</v>
      </c>
      <c r="K333" s="86">
        <f>-IFERROR(VLOOKUP(C333,Gastos!$A$9:$J$1451,10,0),0)</f>
        <v>-454</v>
      </c>
      <c r="L333" s="86">
        <f>-IFERROR(VLOOKUP(C333,IDC!$A$20:$H$1763,8,0),0)</f>
        <v>-60</v>
      </c>
      <c r="M333" s="95">
        <f t="shared" si="11"/>
        <v>10000</v>
      </c>
      <c r="O333" s="1"/>
    </row>
    <row r="334" spans="1:15" hidden="1">
      <c r="A334" s="1" t="s">
        <v>360</v>
      </c>
      <c r="B334" s="1" t="s">
        <v>15</v>
      </c>
      <c r="C334" s="71">
        <v>128695856532</v>
      </c>
      <c r="D334" s="3">
        <v>61770.62</v>
      </c>
      <c r="E334" s="3">
        <v>15607860.859999999</v>
      </c>
      <c r="F334" s="1" t="s">
        <v>3065</v>
      </c>
      <c r="G334"/>
      <c r="H334"/>
      <c r="I334" s="19">
        <f>-IFERROR(VLOOKUP(C334,SIRCUPA!$A$21:$H$221,8,0),0)</f>
        <v>0</v>
      </c>
      <c r="J334" s="86">
        <f>-IFERROR(VLOOKUP(C334,SIRTAC!$A$16:$H$1458,8,0),0)</f>
        <v>-634</v>
      </c>
      <c r="K334" s="86">
        <f>-IFERROR(VLOOKUP(C334,Gastos!$A$9:$J$1451,10,0),0)</f>
        <v>-614.98</v>
      </c>
      <c r="L334" s="86">
        <f>-IFERROR(VLOOKUP(C334,IDC!$A$20:$H$1763,8,0),0)</f>
        <v>-380.4</v>
      </c>
      <c r="M334" s="95">
        <f t="shared" si="11"/>
        <v>63400.000000000007</v>
      </c>
      <c r="O334" s="1"/>
    </row>
    <row r="335" spans="1:15" hidden="1">
      <c r="A335" s="1" t="s">
        <v>360</v>
      </c>
      <c r="B335" s="1" t="s">
        <v>15</v>
      </c>
      <c r="C335" s="71">
        <v>128128083733</v>
      </c>
      <c r="D335" s="3">
        <v>8573.84</v>
      </c>
      <c r="E335" s="3">
        <v>15616434.699999999</v>
      </c>
      <c r="F335" s="1" t="s">
        <v>3065</v>
      </c>
      <c r="G335"/>
      <c r="H335"/>
      <c r="I335" s="19">
        <f>-IFERROR(VLOOKUP(C335,SIRCUPA!$A$21:$H$221,8,0),0)</f>
        <v>0</v>
      </c>
      <c r="J335" s="86">
        <f>-IFERROR(VLOOKUP(C335,SIRTAC!$A$16:$H$1458,8,0),0)</f>
        <v>-88</v>
      </c>
      <c r="K335" s="86">
        <f>-IFERROR(VLOOKUP(C335,Gastos!$A$9:$J$1451,10,0),0)</f>
        <v>-85.36</v>
      </c>
      <c r="L335" s="86">
        <f>-IFERROR(VLOOKUP(C335,IDC!$A$20:$H$1763,8,0),0)</f>
        <v>-52.8</v>
      </c>
      <c r="M335" s="95">
        <f t="shared" si="11"/>
        <v>8800</v>
      </c>
      <c r="O335" s="1"/>
    </row>
    <row r="336" spans="1:15" hidden="1">
      <c r="A336" s="1" t="s">
        <v>360</v>
      </c>
      <c r="B336" s="1" t="s">
        <v>390</v>
      </c>
      <c r="C336" s="71">
        <v>128695902536</v>
      </c>
      <c r="D336" s="2">
        <v>861.52</v>
      </c>
      <c r="E336" s="3">
        <v>15617296.220000001</v>
      </c>
      <c r="F336" s="1" t="s">
        <v>3065</v>
      </c>
      <c r="G336"/>
      <c r="H336"/>
      <c r="I336" s="19">
        <f>-IFERROR(VLOOKUP(C336,SIRCUPA!$A$21:$H$221,8,0),0)</f>
        <v>-13.2</v>
      </c>
      <c r="J336" s="86">
        <f>-IFERROR(VLOOKUP(C336,SIRTAC!$A$16:$H$1458,8,0),0)</f>
        <v>0</v>
      </c>
      <c r="K336" s="86">
        <f>-IFERROR(VLOOKUP(C336,Gastos!$A$9:$J$1451,10,0),0)</f>
        <v>0</v>
      </c>
      <c r="L336" s="86">
        <f>-IFERROR(VLOOKUP(C336,IDC!$A$20:$H$1763,8,0),0)</f>
        <v>-5.28</v>
      </c>
      <c r="M336" s="95">
        <f t="shared" si="11"/>
        <v>880</v>
      </c>
      <c r="O336" s="1"/>
    </row>
    <row r="337" spans="1:15" hidden="1">
      <c r="A337" s="1" t="s">
        <v>360</v>
      </c>
      <c r="B337" s="1" t="s">
        <v>15</v>
      </c>
      <c r="C337" s="71">
        <v>128696084622</v>
      </c>
      <c r="D337" s="3">
        <v>24942.080000000002</v>
      </c>
      <c r="E337" s="3">
        <v>15642238.300000001</v>
      </c>
      <c r="F337" s="1" t="s">
        <v>3065</v>
      </c>
      <c r="G337"/>
      <c r="H337"/>
      <c r="I337" s="19">
        <f>-IFERROR(VLOOKUP(C337,SIRCUPA!$A$21:$H$221,8,0),0)</f>
        <v>0</v>
      </c>
      <c r="J337" s="86">
        <f>-IFERROR(VLOOKUP(C337,SIRTAC!$A$16:$H$1458,8,0),0)</f>
        <v>-256</v>
      </c>
      <c r="K337" s="86">
        <f>-IFERROR(VLOOKUP(C337,Gastos!$A$9:$J$1451,10,0),0)</f>
        <v>-248.32</v>
      </c>
      <c r="L337" s="86">
        <f>-IFERROR(VLOOKUP(C337,IDC!$A$20:$H$1763,8,0),0)</f>
        <v>-153.6</v>
      </c>
      <c r="M337" s="95">
        <f t="shared" si="11"/>
        <v>25600</v>
      </c>
      <c r="O337" s="1"/>
    </row>
    <row r="338" spans="1:15" hidden="1">
      <c r="A338" s="1" t="s">
        <v>360</v>
      </c>
      <c r="B338" s="1" t="s">
        <v>393</v>
      </c>
      <c r="C338" s="71">
        <v>128128469831</v>
      </c>
      <c r="D338" s="3">
        <v>1253.1199999999999</v>
      </c>
      <c r="E338" s="3">
        <v>15643491.42</v>
      </c>
      <c r="F338" s="1" t="s">
        <v>3065</v>
      </c>
      <c r="G338"/>
      <c r="H338"/>
      <c r="I338" s="19">
        <f>-IFERROR(VLOOKUP(C338,SIRCUPA!$A$21:$H$221,8,0),0)</f>
        <v>-19.2</v>
      </c>
      <c r="J338" s="86">
        <f>-IFERROR(VLOOKUP(C338,SIRTAC!$A$16:$H$1458,8,0),0)</f>
        <v>0</v>
      </c>
      <c r="K338" s="86">
        <f>-IFERROR(VLOOKUP(C338,Gastos!$A$9:$J$1451,10,0),0)</f>
        <v>0</v>
      </c>
      <c r="L338" s="86">
        <f>-IFERROR(VLOOKUP(C338,IDC!$A$20:$H$1763,8,0),0)</f>
        <v>-7.68</v>
      </c>
      <c r="M338" s="95">
        <f t="shared" si="11"/>
        <v>1280</v>
      </c>
      <c r="O338" s="1"/>
    </row>
    <row r="339" spans="1:15" hidden="1">
      <c r="A339" s="1" t="s">
        <v>360</v>
      </c>
      <c r="B339" s="1" t="s">
        <v>15</v>
      </c>
      <c r="C339" s="71">
        <v>128128642373</v>
      </c>
      <c r="D339" s="3">
        <v>21434.6</v>
      </c>
      <c r="E339" s="3">
        <v>15664926.02</v>
      </c>
      <c r="F339" s="1" t="s">
        <v>3065</v>
      </c>
      <c r="G339"/>
      <c r="H339"/>
      <c r="I339" s="19">
        <f>-IFERROR(VLOOKUP(C339,SIRCUPA!$A$21:$H$221,8,0),0)</f>
        <v>0</v>
      </c>
      <c r="J339" s="86">
        <f>-IFERROR(VLOOKUP(C339,SIRTAC!$A$16:$H$1458,8,0),0)</f>
        <v>-220</v>
      </c>
      <c r="K339" s="86">
        <f>-IFERROR(VLOOKUP(C339,Gastos!$A$9:$J$1451,10,0),0)</f>
        <v>-213.4</v>
      </c>
      <c r="L339" s="86">
        <f>-IFERROR(VLOOKUP(C339,IDC!$A$20:$H$1763,8,0),0)</f>
        <v>-132</v>
      </c>
      <c r="M339" s="95">
        <f t="shared" si="11"/>
        <v>22000</v>
      </c>
      <c r="O339" s="1"/>
    </row>
    <row r="340" spans="1:15" hidden="1">
      <c r="A340" s="1" t="s">
        <v>360</v>
      </c>
      <c r="B340" s="1" t="s">
        <v>15</v>
      </c>
      <c r="C340" s="71">
        <v>128696182418</v>
      </c>
      <c r="D340" s="3">
        <v>38972</v>
      </c>
      <c r="E340" s="3">
        <v>15703898.02</v>
      </c>
      <c r="F340" s="1" t="s">
        <v>3065</v>
      </c>
      <c r="G340"/>
      <c r="H340"/>
      <c r="I340" s="19">
        <f>-IFERROR(VLOOKUP(C340,SIRCUPA!$A$21:$H$221,8,0),0)</f>
        <v>0</v>
      </c>
      <c r="J340" s="86">
        <f>-IFERROR(VLOOKUP(C340,SIRTAC!$A$16:$H$1458,8,0),0)</f>
        <v>-400</v>
      </c>
      <c r="K340" s="86">
        <f>-IFERROR(VLOOKUP(C340,Gastos!$A$9:$J$1451,10,0),0)</f>
        <v>-388</v>
      </c>
      <c r="L340" s="86">
        <f>-IFERROR(VLOOKUP(C340,IDC!$A$20:$H$1763,8,0),0)</f>
        <v>-240</v>
      </c>
      <c r="M340" s="95">
        <f t="shared" si="11"/>
        <v>40000</v>
      </c>
      <c r="O340" s="1"/>
    </row>
    <row r="341" spans="1:15" hidden="1">
      <c r="A341" s="1" t="s">
        <v>360</v>
      </c>
      <c r="B341" s="1" t="s">
        <v>15</v>
      </c>
      <c r="C341" s="71">
        <v>128696455684</v>
      </c>
      <c r="D341" s="3">
        <v>95968.55</v>
      </c>
      <c r="E341" s="3">
        <v>15799866.57</v>
      </c>
      <c r="F341" s="1" t="s">
        <v>3065</v>
      </c>
      <c r="G341"/>
      <c r="H341"/>
      <c r="I341" s="19">
        <f>-IFERROR(VLOOKUP(C341,SIRCUPA!$A$21:$H$221,8,0),0)</f>
        <v>0</v>
      </c>
      <c r="J341" s="86">
        <f>-IFERROR(VLOOKUP(C341,SIRTAC!$A$16:$H$1458,8,0),0)</f>
        <v>-985</v>
      </c>
      <c r="K341" s="86">
        <f>-IFERROR(VLOOKUP(C341,Gastos!$A$9:$J$1451,10,0),0)</f>
        <v>-955.45</v>
      </c>
      <c r="L341" s="86">
        <f>-IFERROR(VLOOKUP(C341,IDC!$A$20:$H$1763,8,0),0)</f>
        <v>-591</v>
      </c>
      <c r="M341" s="95">
        <f t="shared" si="11"/>
        <v>98500</v>
      </c>
      <c r="O341" s="1"/>
    </row>
    <row r="342" spans="1:15" hidden="1">
      <c r="A342" s="1" t="s">
        <v>360</v>
      </c>
      <c r="B342" s="1" t="s">
        <v>398</v>
      </c>
      <c r="C342" s="71">
        <v>128696457632</v>
      </c>
      <c r="D342" s="3">
        <v>4821.57</v>
      </c>
      <c r="E342" s="3">
        <v>15804688.140000001</v>
      </c>
      <c r="F342" s="1" t="s">
        <v>3065</v>
      </c>
      <c r="G342"/>
      <c r="H342"/>
      <c r="I342" s="19">
        <f>-IFERROR(VLOOKUP(C342,SIRCUPA!$A$21:$H$221,8,0),0)</f>
        <v>-73.88</v>
      </c>
      <c r="J342" s="86">
        <f>-IFERROR(VLOOKUP(C342,SIRTAC!$A$16:$H$1458,8,0),0)</f>
        <v>0</v>
      </c>
      <c r="K342" s="86">
        <f>-IFERROR(VLOOKUP(C342,Gastos!$A$9:$J$1451,10,0),0)</f>
        <v>0</v>
      </c>
      <c r="L342" s="86">
        <f>-IFERROR(VLOOKUP(C342,IDC!$A$20:$H$1763,8,0),0)</f>
        <v>-29.55</v>
      </c>
      <c r="M342" s="95">
        <f t="shared" si="11"/>
        <v>4925</v>
      </c>
      <c r="O342" s="1"/>
    </row>
    <row r="343" spans="1:15" hidden="1">
      <c r="A343" s="1" t="s">
        <v>360</v>
      </c>
      <c r="B343" s="1" t="s">
        <v>15</v>
      </c>
      <c r="C343" s="71">
        <v>128128996829</v>
      </c>
      <c r="D343" s="3">
        <v>11983.89</v>
      </c>
      <c r="E343" s="3">
        <v>15816672.029999999</v>
      </c>
      <c r="F343" s="1" t="s">
        <v>3065</v>
      </c>
      <c r="G343"/>
      <c r="H343"/>
      <c r="I343" s="19">
        <f>-IFERROR(VLOOKUP(C343,SIRCUPA!$A$21:$H$221,8,0),0)</f>
        <v>0</v>
      </c>
      <c r="J343" s="86">
        <f>-IFERROR(VLOOKUP(C343,SIRTAC!$A$16:$H$1458,8,0),0)</f>
        <v>-123</v>
      </c>
      <c r="K343" s="86">
        <f>-IFERROR(VLOOKUP(C343,Gastos!$A$9:$J$1451,10,0),0)</f>
        <v>-119.31</v>
      </c>
      <c r="L343" s="86">
        <f>-IFERROR(VLOOKUP(C343,IDC!$A$20:$H$1763,8,0),0)</f>
        <v>-73.8</v>
      </c>
      <c r="M343" s="95">
        <f t="shared" si="11"/>
        <v>12299.999999999998</v>
      </c>
      <c r="O343" s="1"/>
    </row>
    <row r="344" spans="1:15" hidden="1">
      <c r="A344" s="1" t="s">
        <v>360</v>
      </c>
      <c r="B344" s="1" t="s">
        <v>15</v>
      </c>
      <c r="C344" s="71">
        <v>128696800288</v>
      </c>
      <c r="D344" s="3">
        <v>38095.129999999997</v>
      </c>
      <c r="E344" s="3">
        <v>15854767.16</v>
      </c>
      <c r="F344" s="1" t="s">
        <v>3065</v>
      </c>
      <c r="G344"/>
      <c r="H344"/>
      <c r="I344" s="19">
        <f>-IFERROR(VLOOKUP(C344,SIRCUPA!$A$21:$H$221,8,0),0)</f>
        <v>0</v>
      </c>
      <c r="J344" s="86">
        <f>-IFERROR(VLOOKUP(C344,SIRTAC!$A$16:$H$1458,8,0),0)</f>
        <v>-391</v>
      </c>
      <c r="K344" s="86">
        <f>-IFERROR(VLOOKUP(C344,Gastos!$A$9:$J$1451,10,0),0)</f>
        <v>-379.27</v>
      </c>
      <c r="L344" s="86">
        <f>-IFERROR(VLOOKUP(C344,IDC!$A$20:$H$1763,8,0),0)</f>
        <v>-234.6</v>
      </c>
      <c r="M344" s="95">
        <f t="shared" si="11"/>
        <v>39099.999999999993</v>
      </c>
      <c r="O344" s="1"/>
    </row>
    <row r="345" spans="1:15" hidden="1">
      <c r="A345" s="1" t="s">
        <v>360</v>
      </c>
      <c r="B345" s="1" t="s">
        <v>15</v>
      </c>
      <c r="C345" s="71">
        <v>128128980033</v>
      </c>
      <c r="D345" s="3">
        <v>52147.44</v>
      </c>
      <c r="E345" s="3">
        <v>15906914.6</v>
      </c>
      <c r="F345" s="1" t="s">
        <v>3065</v>
      </c>
      <c r="G345"/>
      <c r="H345"/>
      <c r="I345" s="19">
        <f>-IFERROR(VLOOKUP(C345,SIRCUPA!$A$21:$H$221,8,0),0)</f>
        <v>0</v>
      </c>
      <c r="J345" s="86">
        <f>-IFERROR(VLOOKUP(C345,SIRTAC!$A$16:$H$1458,8,0),0)</f>
        <v>-552</v>
      </c>
      <c r="K345" s="86">
        <f>-IFERROR(VLOOKUP(C345,Gastos!$A$9:$J$1451,10,0),0)</f>
        <v>-2169.36</v>
      </c>
      <c r="L345" s="86">
        <f>-IFERROR(VLOOKUP(C345,IDC!$A$20:$H$1763,8,0),0)</f>
        <v>-331.2</v>
      </c>
      <c r="M345" s="95">
        <f t="shared" si="11"/>
        <v>55200</v>
      </c>
      <c r="O345" s="1"/>
    </row>
    <row r="346" spans="1:15" hidden="1">
      <c r="A346" s="1" t="s">
        <v>360</v>
      </c>
      <c r="B346" s="1" t="s">
        <v>15</v>
      </c>
      <c r="C346" s="71">
        <v>128129163917</v>
      </c>
      <c r="D346" s="3">
        <v>3702.34</v>
      </c>
      <c r="E346" s="3">
        <v>15910616.939999999</v>
      </c>
      <c r="F346" s="1" t="s">
        <v>3065</v>
      </c>
      <c r="G346"/>
      <c r="H346"/>
      <c r="I346" s="19">
        <f>-IFERROR(VLOOKUP(C346,SIRCUPA!$A$21:$H$221,8,0),0)</f>
        <v>0</v>
      </c>
      <c r="J346" s="86">
        <f>-IFERROR(VLOOKUP(C346,SIRTAC!$A$16:$H$1458,8,0),0)</f>
        <v>-38</v>
      </c>
      <c r="K346" s="86">
        <f>-IFERROR(VLOOKUP(C346,Gastos!$A$9:$J$1451,10,0),0)</f>
        <v>-36.86</v>
      </c>
      <c r="L346" s="86">
        <f>-IFERROR(VLOOKUP(C346,IDC!$A$20:$H$1763,8,0),0)</f>
        <v>-22.8</v>
      </c>
      <c r="M346" s="95">
        <f t="shared" si="11"/>
        <v>3800.0000000000005</v>
      </c>
      <c r="O346" s="1"/>
    </row>
    <row r="347" spans="1:15" hidden="1">
      <c r="A347" s="1" t="s">
        <v>360</v>
      </c>
      <c r="B347" s="1" t="s">
        <v>15</v>
      </c>
      <c r="C347" s="71">
        <v>128129860457</v>
      </c>
      <c r="D347" s="3">
        <v>47707.35</v>
      </c>
      <c r="E347" s="3">
        <v>15958324.289999999</v>
      </c>
      <c r="F347" s="1" t="s">
        <v>3065</v>
      </c>
      <c r="G347"/>
      <c r="H347"/>
      <c r="I347" s="19">
        <f>-IFERROR(VLOOKUP(C347,SIRCUPA!$A$21:$H$221,8,0),0)</f>
        <v>0</v>
      </c>
      <c r="J347" s="86">
        <f>-IFERROR(VLOOKUP(C347,SIRTAC!$A$16:$H$1458,8,0),0)</f>
        <v>-505</v>
      </c>
      <c r="K347" s="86">
        <f>-IFERROR(VLOOKUP(C347,Gastos!$A$9:$J$1451,10,0),0)</f>
        <v>-1984.65</v>
      </c>
      <c r="L347" s="86">
        <f>-IFERROR(VLOOKUP(C347,IDC!$A$20:$H$1763,8,0),0)</f>
        <v>-303</v>
      </c>
      <c r="M347" s="95">
        <f t="shared" si="11"/>
        <v>50500</v>
      </c>
      <c r="O347" s="1"/>
    </row>
    <row r="348" spans="1:15" hidden="1">
      <c r="A348" s="1" t="s">
        <v>360</v>
      </c>
      <c r="B348" s="1" t="s">
        <v>15</v>
      </c>
      <c r="C348" s="71">
        <v>128697427892</v>
      </c>
      <c r="D348" s="3">
        <v>15491.37</v>
      </c>
      <c r="E348" s="3">
        <v>15973815.66</v>
      </c>
      <c r="F348" s="1" t="s">
        <v>3065</v>
      </c>
      <c r="G348"/>
      <c r="H348"/>
      <c r="I348" s="19">
        <f>-IFERROR(VLOOKUP(C348,SIRCUPA!$A$21:$H$221,8,0),0)</f>
        <v>0</v>
      </c>
      <c r="J348" s="86">
        <f>-IFERROR(VLOOKUP(C348,SIRTAC!$A$16:$H$1458,8,0),0)</f>
        <v>-159</v>
      </c>
      <c r="K348" s="86">
        <f>-IFERROR(VLOOKUP(C348,Gastos!$A$9:$J$1451,10,0),0)</f>
        <v>-154.22999999999999</v>
      </c>
      <c r="L348" s="86">
        <f>-IFERROR(VLOOKUP(C348,IDC!$A$20:$H$1763,8,0),0)</f>
        <v>-95.4</v>
      </c>
      <c r="M348" s="95">
        <f t="shared" si="11"/>
        <v>15900</v>
      </c>
      <c r="O348" s="1"/>
    </row>
    <row r="349" spans="1:15" hidden="1">
      <c r="A349" s="1" t="s">
        <v>360</v>
      </c>
      <c r="B349" s="1" t="s">
        <v>15</v>
      </c>
      <c r="C349" s="71">
        <v>128129968953</v>
      </c>
      <c r="D349" s="3">
        <v>21773.25</v>
      </c>
      <c r="E349" s="3">
        <v>15995588.91</v>
      </c>
      <c r="F349" s="1" t="s">
        <v>3065</v>
      </c>
      <c r="G349"/>
      <c r="H349"/>
      <c r="I349" s="19">
        <f>-IFERROR(VLOOKUP(C349,SIRCUPA!$A$21:$H$221,8,0),0)</f>
        <v>0</v>
      </c>
      <c r="J349" s="86">
        <f>-IFERROR(VLOOKUP(C349,SIRTAC!$A$16:$H$1458,8,0),0)</f>
        <v>-225</v>
      </c>
      <c r="K349" s="86">
        <f>-IFERROR(VLOOKUP(C349,Gastos!$A$9:$J$1451,10,0),0)</f>
        <v>-366.75</v>
      </c>
      <c r="L349" s="86">
        <f>-IFERROR(VLOOKUP(C349,IDC!$A$20:$H$1763,8,0),0)</f>
        <v>-135</v>
      </c>
      <c r="M349" s="95">
        <f t="shared" si="11"/>
        <v>22500</v>
      </c>
      <c r="O349" s="1"/>
    </row>
    <row r="350" spans="1:15" hidden="1">
      <c r="A350" s="1" t="s">
        <v>360</v>
      </c>
      <c r="B350" s="1" t="s">
        <v>15</v>
      </c>
      <c r="C350" s="71">
        <v>128129982957</v>
      </c>
      <c r="D350" s="3">
        <v>30135.93</v>
      </c>
      <c r="E350" s="3">
        <v>16025724.84</v>
      </c>
      <c r="F350" s="1" t="s">
        <v>3065</v>
      </c>
      <c r="G350"/>
      <c r="H350"/>
      <c r="I350" s="19">
        <f>-IFERROR(VLOOKUP(C350,SIRCUPA!$A$21:$H$221,8,0),0)</f>
        <v>0</v>
      </c>
      <c r="J350" s="86">
        <f>-IFERROR(VLOOKUP(C350,SIRTAC!$A$16:$H$1458,8,0),0)</f>
        <v>-319</v>
      </c>
      <c r="K350" s="86">
        <f>-IFERROR(VLOOKUP(C350,Gastos!$A$9:$J$1451,10,0),0)</f>
        <v>-1253.67</v>
      </c>
      <c r="L350" s="86">
        <f>-IFERROR(VLOOKUP(C350,IDC!$A$20:$H$1763,8,0),0)</f>
        <v>-191.4</v>
      </c>
      <c r="M350" s="95">
        <f t="shared" si="11"/>
        <v>31900</v>
      </c>
      <c r="O350" s="1"/>
    </row>
    <row r="351" spans="1:15" hidden="1">
      <c r="A351" s="1" t="s">
        <v>360</v>
      </c>
      <c r="B351" s="1" t="s">
        <v>15</v>
      </c>
      <c r="C351" s="71">
        <v>128697505462</v>
      </c>
      <c r="D351" s="3">
        <v>14224.78</v>
      </c>
      <c r="E351" s="3">
        <v>16039949.619999999</v>
      </c>
      <c r="F351" s="1" t="s">
        <v>3065</v>
      </c>
      <c r="G351"/>
      <c r="H351"/>
      <c r="I351" s="19">
        <f>-IFERROR(VLOOKUP(C351,SIRCUPA!$A$21:$H$221,8,0),0)</f>
        <v>0</v>
      </c>
      <c r="J351" s="86">
        <f>-IFERROR(VLOOKUP(C351,SIRTAC!$A$16:$H$1458,8,0),0)</f>
        <v>-146</v>
      </c>
      <c r="K351" s="86">
        <f>-IFERROR(VLOOKUP(C351,Gastos!$A$9:$J$1451,10,0),0)</f>
        <v>-141.62</v>
      </c>
      <c r="L351" s="86">
        <f>-IFERROR(VLOOKUP(C351,IDC!$A$20:$H$1763,8,0),0)</f>
        <v>-87.6</v>
      </c>
      <c r="M351" s="95">
        <f t="shared" si="11"/>
        <v>14600.000000000002</v>
      </c>
      <c r="O351" s="1"/>
    </row>
    <row r="352" spans="1:15" hidden="1">
      <c r="A352" s="1" t="s">
        <v>360</v>
      </c>
      <c r="B352" s="1" t="s">
        <v>15</v>
      </c>
      <c r="C352" s="71">
        <v>128129983705</v>
      </c>
      <c r="D352" s="3">
        <v>26890.68</v>
      </c>
      <c r="E352" s="3">
        <v>16066840.300000001</v>
      </c>
      <c r="F352" s="1" t="s">
        <v>3065</v>
      </c>
      <c r="G352"/>
      <c r="H352"/>
      <c r="I352" s="19">
        <f>-IFERROR(VLOOKUP(C352,SIRCUPA!$A$21:$H$221,8,0),0)</f>
        <v>0</v>
      </c>
      <c r="J352" s="86">
        <f>-IFERROR(VLOOKUP(C352,SIRTAC!$A$16:$H$1458,8,0),0)</f>
        <v>-276</v>
      </c>
      <c r="K352" s="86">
        <f>-IFERROR(VLOOKUP(C352,Gastos!$A$9:$J$1451,10,0),0)</f>
        <v>-267.72000000000003</v>
      </c>
      <c r="L352" s="86">
        <f>-IFERROR(VLOOKUP(C352,IDC!$A$20:$H$1763,8,0),0)</f>
        <v>-165.6</v>
      </c>
      <c r="M352" s="95">
        <f t="shared" ref="M352:M402" si="12">+D352-I352-J352-K352-L352</f>
        <v>27600</v>
      </c>
      <c r="O352" s="1"/>
    </row>
    <row r="353" spans="1:15" hidden="1">
      <c r="A353" s="1" t="s">
        <v>360</v>
      </c>
      <c r="B353" s="1" t="s">
        <v>15</v>
      </c>
      <c r="C353" s="71">
        <v>128130086803</v>
      </c>
      <c r="D353" s="3">
        <v>28157.27</v>
      </c>
      <c r="E353" s="3">
        <v>16094997.57</v>
      </c>
      <c r="F353" s="1" t="s">
        <v>3065</v>
      </c>
      <c r="G353"/>
      <c r="H353"/>
      <c r="I353" s="19">
        <f>-IFERROR(VLOOKUP(C353,SIRCUPA!$A$21:$H$221,8,0),0)</f>
        <v>0</v>
      </c>
      <c r="J353" s="86">
        <f>-IFERROR(VLOOKUP(C353,SIRTAC!$A$16:$H$1458,8,0),0)</f>
        <v>-289</v>
      </c>
      <c r="K353" s="86">
        <f>-IFERROR(VLOOKUP(C353,Gastos!$A$9:$J$1451,10,0),0)</f>
        <v>-280.33</v>
      </c>
      <c r="L353" s="86">
        <f>-IFERROR(VLOOKUP(C353,IDC!$A$20:$H$1763,8,0),0)</f>
        <v>-173.4</v>
      </c>
      <c r="M353" s="95">
        <f t="shared" si="12"/>
        <v>28900.000000000004</v>
      </c>
      <c r="O353" s="1"/>
    </row>
    <row r="354" spans="1:15" hidden="1">
      <c r="A354" s="1" t="s">
        <v>360</v>
      </c>
      <c r="B354" s="1" t="s">
        <v>411</v>
      </c>
      <c r="C354" s="71">
        <v>128697662950</v>
      </c>
      <c r="D354" s="3">
        <v>1414.65</v>
      </c>
      <c r="E354" s="3">
        <v>16096412.220000001</v>
      </c>
      <c r="F354" s="1" t="s">
        <v>3065</v>
      </c>
      <c r="G354"/>
      <c r="H354"/>
      <c r="I354" s="19">
        <f>-IFERROR(VLOOKUP(C354,SIRCUPA!$A$21:$H$221,8,0),0)</f>
        <v>-21.68</v>
      </c>
      <c r="J354" s="86">
        <f>-IFERROR(VLOOKUP(C354,SIRTAC!$A$16:$H$1458,8,0),0)</f>
        <v>0</v>
      </c>
      <c r="K354" s="86">
        <f>-IFERROR(VLOOKUP(C354,Gastos!$A$9:$J$1451,10,0),0)</f>
        <v>0</v>
      </c>
      <c r="L354" s="86">
        <f>-IFERROR(VLOOKUP(C354,IDC!$A$20:$H$1763,8,0),0)</f>
        <v>-8.67</v>
      </c>
      <c r="M354" s="95">
        <f t="shared" si="12"/>
        <v>1445.0000000000002</v>
      </c>
      <c r="O354" s="1"/>
    </row>
    <row r="355" spans="1:15" hidden="1">
      <c r="A355" s="1" t="s">
        <v>360</v>
      </c>
      <c r="B355" s="1" t="s">
        <v>15</v>
      </c>
      <c r="C355" s="71">
        <v>128697707428</v>
      </c>
      <c r="D355" s="3">
        <v>16368.24</v>
      </c>
      <c r="E355" s="3">
        <v>16112780.460000001</v>
      </c>
      <c r="F355" s="1" t="s">
        <v>3065</v>
      </c>
      <c r="G355"/>
      <c r="H355"/>
      <c r="I355" s="19">
        <f>-IFERROR(VLOOKUP(C355,SIRCUPA!$A$21:$H$221,8,0),0)</f>
        <v>0</v>
      </c>
      <c r="J355" s="86">
        <f>-IFERROR(VLOOKUP(C355,SIRTAC!$A$16:$H$1458,8,0),0)</f>
        <v>-168</v>
      </c>
      <c r="K355" s="86">
        <f>-IFERROR(VLOOKUP(C355,Gastos!$A$9:$J$1451,10,0),0)</f>
        <v>-162.96</v>
      </c>
      <c r="L355" s="86">
        <f>-IFERROR(VLOOKUP(C355,IDC!$A$20:$H$1763,8,0),0)</f>
        <v>-100.8</v>
      </c>
      <c r="M355" s="95">
        <f t="shared" si="12"/>
        <v>16799.999999999996</v>
      </c>
      <c r="O355" s="1"/>
    </row>
    <row r="356" spans="1:15" hidden="1">
      <c r="A356" s="1" t="s">
        <v>360</v>
      </c>
      <c r="B356" s="1" t="s">
        <v>15</v>
      </c>
      <c r="C356" s="71">
        <v>128698164204</v>
      </c>
      <c r="D356" s="3">
        <v>27280.400000000001</v>
      </c>
      <c r="E356" s="3">
        <v>16140060.859999999</v>
      </c>
      <c r="F356" s="1" t="s">
        <v>3065</v>
      </c>
      <c r="G356"/>
      <c r="H356"/>
      <c r="I356" s="19">
        <f>-IFERROR(VLOOKUP(C356,SIRCUPA!$A$21:$H$221,8,0),0)</f>
        <v>0</v>
      </c>
      <c r="J356" s="86">
        <f>-IFERROR(VLOOKUP(C356,SIRTAC!$A$16:$H$1458,8,0),0)</f>
        <v>-280</v>
      </c>
      <c r="K356" s="86">
        <f>-IFERROR(VLOOKUP(C356,Gastos!$A$9:$J$1451,10,0),0)</f>
        <v>-271.60000000000002</v>
      </c>
      <c r="L356" s="86">
        <f>-IFERROR(VLOOKUP(C356,IDC!$A$20:$H$1763,8,0),0)</f>
        <v>-168</v>
      </c>
      <c r="M356" s="95">
        <f t="shared" si="12"/>
        <v>28000</v>
      </c>
      <c r="O356" s="1"/>
    </row>
    <row r="357" spans="1:15" hidden="1">
      <c r="A357" s="1" t="s">
        <v>360</v>
      </c>
      <c r="B357" s="1" t="s">
        <v>415</v>
      </c>
      <c r="C357" s="71">
        <v>128698035700</v>
      </c>
      <c r="D357" s="3">
        <v>1370.6</v>
      </c>
      <c r="E357" s="3">
        <v>16141431.460000001</v>
      </c>
      <c r="F357" s="1" t="s">
        <v>3065</v>
      </c>
      <c r="G357"/>
      <c r="H357"/>
      <c r="I357" s="19">
        <f>-IFERROR(VLOOKUP(C357,SIRCUPA!$A$21:$H$221,8,0),0)</f>
        <v>-21</v>
      </c>
      <c r="J357" s="86">
        <f>-IFERROR(VLOOKUP(C357,SIRTAC!$A$16:$H$1458,8,0),0)</f>
        <v>0</v>
      </c>
      <c r="K357" s="86">
        <f>-IFERROR(VLOOKUP(C357,Gastos!$A$9:$J$1451,10,0),0)</f>
        <v>0</v>
      </c>
      <c r="L357" s="86">
        <f>-IFERROR(VLOOKUP(C357,IDC!$A$20:$H$1763,8,0),0)</f>
        <v>-8.4</v>
      </c>
      <c r="M357" s="95">
        <f t="shared" si="12"/>
        <v>1400</v>
      </c>
      <c r="O357" s="1"/>
    </row>
    <row r="358" spans="1:15" hidden="1">
      <c r="A358" s="1" t="s">
        <v>360</v>
      </c>
      <c r="B358" s="1" t="s">
        <v>15</v>
      </c>
      <c r="C358" s="71">
        <v>128698205804</v>
      </c>
      <c r="D358" s="3">
        <v>12081.32</v>
      </c>
      <c r="E358" s="3">
        <v>16153512.779999999</v>
      </c>
      <c r="F358" s="1" t="s">
        <v>3065</v>
      </c>
      <c r="G358"/>
      <c r="H358"/>
      <c r="I358" s="19">
        <f>-IFERROR(VLOOKUP(C358,SIRCUPA!$A$21:$H$221,8,0),0)</f>
        <v>0</v>
      </c>
      <c r="J358" s="86">
        <f>-IFERROR(VLOOKUP(C358,SIRTAC!$A$16:$H$1458,8,0),0)</f>
        <v>-124</v>
      </c>
      <c r="K358" s="86">
        <f>-IFERROR(VLOOKUP(C358,Gastos!$A$9:$J$1451,10,0),0)</f>
        <v>-120.28</v>
      </c>
      <c r="L358" s="86">
        <f>-IFERROR(VLOOKUP(C358,IDC!$A$20:$H$1763,8,0),0)</f>
        <v>-74.400000000000006</v>
      </c>
      <c r="M358" s="95">
        <f t="shared" si="12"/>
        <v>12400</v>
      </c>
      <c r="O358" s="1"/>
    </row>
    <row r="359" spans="1:15" hidden="1">
      <c r="A359" s="1" t="s">
        <v>360</v>
      </c>
      <c r="B359" s="1" t="s">
        <v>15</v>
      </c>
      <c r="C359" s="71">
        <v>128130535797</v>
      </c>
      <c r="D359" s="3">
        <v>8313.36</v>
      </c>
      <c r="E359" s="3">
        <v>16161826.140000001</v>
      </c>
      <c r="F359" s="1" t="s">
        <v>3065</v>
      </c>
      <c r="G359"/>
      <c r="H359"/>
      <c r="I359" s="19">
        <f>-IFERROR(VLOOKUP(C359,SIRCUPA!$A$21:$H$221,8,0),0)</f>
        <v>0</v>
      </c>
      <c r="J359" s="86">
        <f>-IFERROR(VLOOKUP(C359,SIRTAC!$A$16:$H$1458,8,0),0)</f>
        <v>-88</v>
      </c>
      <c r="K359" s="86">
        <f>-IFERROR(VLOOKUP(C359,Gastos!$A$9:$J$1451,10,0),0)</f>
        <v>-345.84</v>
      </c>
      <c r="L359" s="86">
        <f>-IFERROR(VLOOKUP(C359,IDC!$A$20:$H$1763,8,0),0)</f>
        <v>-52.8</v>
      </c>
      <c r="M359" s="95">
        <f t="shared" si="12"/>
        <v>8800</v>
      </c>
      <c r="O359" s="1"/>
    </row>
    <row r="360" spans="1:15" hidden="1">
      <c r="A360" s="1" t="s">
        <v>360</v>
      </c>
      <c r="B360" s="1" t="s">
        <v>15</v>
      </c>
      <c r="C360" s="71">
        <v>128130627097</v>
      </c>
      <c r="D360" s="3">
        <v>7557.6</v>
      </c>
      <c r="E360" s="3">
        <v>16169383.74</v>
      </c>
      <c r="F360" s="1" t="s">
        <v>3065</v>
      </c>
      <c r="G360"/>
      <c r="H360"/>
      <c r="I360" s="19">
        <f>-IFERROR(VLOOKUP(C360,SIRCUPA!$A$21:$H$221,8,0),0)</f>
        <v>0</v>
      </c>
      <c r="J360" s="86">
        <f>-IFERROR(VLOOKUP(C360,SIRTAC!$A$16:$H$1458,8,0),0)</f>
        <v>-80</v>
      </c>
      <c r="K360" s="86">
        <f>-IFERROR(VLOOKUP(C360,Gastos!$A$9:$J$1451,10,0),0)</f>
        <v>-314.39999999999998</v>
      </c>
      <c r="L360" s="86">
        <f>-IFERROR(VLOOKUP(C360,IDC!$A$20:$H$1763,8,0),0)</f>
        <v>-48</v>
      </c>
      <c r="M360" s="95">
        <f t="shared" si="12"/>
        <v>8000</v>
      </c>
      <c r="O360" s="1"/>
    </row>
    <row r="361" spans="1:15" hidden="1">
      <c r="A361" s="1" t="s">
        <v>360</v>
      </c>
      <c r="B361" s="1" t="s">
        <v>15</v>
      </c>
      <c r="C361" s="71">
        <v>128130687417</v>
      </c>
      <c r="D361" s="3">
        <v>17382.48</v>
      </c>
      <c r="E361" s="3">
        <v>16186766.220000001</v>
      </c>
      <c r="F361" s="1" t="s">
        <v>3065</v>
      </c>
      <c r="G361"/>
      <c r="H361"/>
      <c r="I361" s="19">
        <f>-IFERROR(VLOOKUP(C361,SIRCUPA!$A$21:$H$221,8,0),0)</f>
        <v>0</v>
      </c>
      <c r="J361" s="86">
        <f>-IFERROR(VLOOKUP(C361,SIRTAC!$A$16:$H$1458,8,0),0)</f>
        <v>-184</v>
      </c>
      <c r="K361" s="86">
        <f>-IFERROR(VLOOKUP(C361,Gastos!$A$9:$J$1451,10,0),0)</f>
        <v>-723.12</v>
      </c>
      <c r="L361" s="86">
        <f>-IFERROR(VLOOKUP(C361,IDC!$A$20:$H$1763,8,0),0)</f>
        <v>-110.4</v>
      </c>
      <c r="M361" s="95">
        <f t="shared" si="12"/>
        <v>18400</v>
      </c>
      <c r="O361" s="1"/>
    </row>
    <row r="362" spans="1:15" hidden="1">
      <c r="A362" s="1" t="s">
        <v>360</v>
      </c>
      <c r="B362" s="1" t="s">
        <v>15</v>
      </c>
      <c r="C362" s="71">
        <v>128698509452</v>
      </c>
      <c r="D362" s="3">
        <v>21400.080000000002</v>
      </c>
      <c r="E362" s="3">
        <v>16208166.300000001</v>
      </c>
      <c r="F362" s="1" t="s">
        <v>3065</v>
      </c>
      <c r="G362"/>
      <c r="H362"/>
      <c r="I362" s="19">
        <f>-IFERROR(VLOOKUP(C362,SIRCUPA!$A$21:$H$221,8,0),0)</f>
        <v>0</v>
      </c>
      <c r="J362" s="86">
        <f>-IFERROR(VLOOKUP(C362,SIRTAC!$A$16:$H$1458,8,0),0)</f>
        <v>-228</v>
      </c>
      <c r="K362" s="86">
        <f>-IFERROR(VLOOKUP(C362,Gastos!$A$9:$J$1451,10,0),0)</f>
        <v>-1035.1199999999999</v>
      </c>
      <c r="L362" s="86">
        <f>-IFERROR(VLOOKUP(C362,IDC!$A$20:$H$1763,8,0),0)</f>
        <v>-136.80000000000001</v>
      </c>
      <c r="M362" s="95">
        <f t="shared" si="12"/>
        <v>22800</v>
      </c>
      <c r="O362" s="1"/>
    </row>
    <row r="363" spans="1:15" hidden="1">
      <c r="A363" s="1" t="s">
        <v>360</v>
      </c>
      <c r="B363" s="1" t="s">
        <v>15</v>
      </c>
      <c r="C363" s="71">
        <v>128698656838</v>
      </c>
      <c r="D363" s="3">
        <v>18884.32</v>
      </c>
      <c r="E363" s="3">
        <v>16227050.619999999</v>
      </c>
      <c r="F363" s="1" t="s">
        <v>3065</v>
      </c>
      <c r="G363"/>
      <c r="H363"/>
      <c r="I363" s="19">
        <f>-IFERROR(VLOOKUP(C363,SIRCUPA!$A$21:$H$221,8,0),0)</f>
        <v>0</v>
      </c>
      <c r="J363" s="86">
        <f>-IFERROR(VLOOKUP(C363,SIRTAC!$A$16:$H$1458,8,0),0)</f>
        <v>-208</v>
      </c>
      <c r="K363" s="86">
        <f>-IFERROR(VLOOKUP(C363,Gastos!$A$9:$J$1451,10,0),0)</f>
        <v>-1582.88</v>
      </c>
      <c r="L363" s="86">
        <f>-IFERROR(VLOOKUP(C363,IDC!$A$20:$H$1763,8,0),0)</f>
        <v>-124.8</v>
      </c>
      <c r="M363" s="95">
        <f t="shared" si="12"/>
        <v>20800</v>
      </c>
      <c r="O363" s="1"/>
    </row>
    <row r="364" spans="1:15" hidden="1">
      <c r="A364" s="1" t="s">
        <v>360</v>
      </c>
      <c r="B364" s="1" t="s">
        <v>15</v>
      </c>
      <c r="C364" s="71">
        <v>128131119009</v>
      </c>
      <c r="D364" s="3">
        <v>17854.830000000002</v>
      </c>
      <c r="E364" s="3">
        <v>16244905.449999999</v>
      </c>
      <c r="F364" s="1" t="s">
        <v>3065</v>
      </c>
      <c r="G364"/>
      <c r="H364"/>
      <c r="I364" s="19">
        <f>-IFERROR(VLOOKUP(C364,SIRCUPA!$A$21:$H$221,8,0),0)</f>
        <v>0</v>
      </c>
      <c r="J364" s="86">
        <f>-IFERROR(VLOOKUP(C364,SIRTAC!$A$16:$H$1458,8,0),0)</f>
        <v>-189</v>
      </c>
      <c r="K364" s="86">
        <f>-IFERROR(VLOOKUP(C364,Gastos!$A$9:$J$1451,10,0),0)</f>
        <v>-742.77</v>
      </c>
      <c r="L364" s="86">
        <f>-IFERROR(VLOOKUP(C364,IDC!$A$20:$H$1763,8,0),0)</f>
        <v>-113.4</v>
      </c>
      <c r="M364" s="95">
        <f t="shared" si="12"/>
        <v>18900.000000000004</v>
      </c>
      <c r="O364" s="1"/>
    </row>
    <row r="365" spans="1:15" hidden="1">
      <c r="A365" s="1" t="s">
        <v>360</v>
      </c>
      <c r="B365" s="1" t="s">
        <v>15</v>
      </c>
      <c r="C365" s="71">
        <v>128698830486</v>
      </c>
      <c r="D365" s="3">
        <v>21044.880000000001</v>
      </c>
      <c r="E365" s="3">
        <v>16265950.33</v>
      </c>
      <c r="F365" s="1" t="s">
        <v>3065</v>
      </c>
      <c r="G365"/>
      <c r="H365"/>
      <c r="I365" s="19">
        <f>-IFERROR(VLOOKUP(C365,SIRCUPA!$A$21:$H$221,8,0),0)</f>
        <v>0</v>
      </c>
      <c r="J365" s="86">
        <f>-IFERROR(VLOOKUP(C365,SIRTAC!$A$16:$H$1458,8,0),0)</f>
        <v>-216</v>
      </c>
      <c r="K365" s="86">
        <f>-IFERROR(VLOOKUP(C365,Gastos!$A$9:$J$1451,10,0),0)</f>
        <v>-209.52</v>
      </c>
      <c r="L365" s="86">
        <f>-IFERROR(VLOOKUP(C365,IDC!$A$20:$H$1763,8,0),0)</f>
        <v>-129.6</v>
      </c>
      <c r="M365" s="95">
        <f t="shared" si="12"/>
        <v>21600</v>
      </c>
      <c r="O365" s="1"/>
    </row>
    <row r="366" spans="1:15" hidden="1">
      <c r="A366" s="1" t="s">
        <v>360</v>
      </c>
      <c r="B366" s="1" t="s">
        <v>15</v>
      </c>
      <c r="C366" s="71">
        <v>128131338741</v>
      </c>
      <c r="D366" s="3">
        <v>16626.72</v>
      </c>
      <c r="E366" s="3">
        <v>16282577.050000001</v>
      </c>
      <c r="F366" s="1" t="s">
        <v>3065</v>
      </c>
      <c r="G366"/>
      <c r="H366"/>
      <c r="I366" s="19">
        <f>-IFERROR(VLOOKUP(C366,SIRCUPA!$A$21:$H$221,8,0),0)</f>
        <v>0</v>
      </c>
      <c r="J366" s="86">
        <f>-IFERROR(VLOOKUP(C366,SIRTAC!$A$16:$H$1458,8,0),0)</f>
        <v>-176</v>
      </c>
      <c r="K366" s="86">
        <f>-IFERROR(VLOOKUP(C366,Gastos!$A$9:$J$1451,10,0),0)</f>
        <v>-691.68</v>
      </c>
      <c r="L366" s="86">
        <f>-IFERROR(VLOOKUP(C366,IDC!$A$20:$H$1763,8,0),0)</f>
        <v>-105.6</v>
      </c>
      <c r="M366" s="95">
        <f t="shared" si="12"/>
        <v>17600</v>
      </c>
      <c r="O366" s="1"/>
    </row>
    <row r="367" spans="1:15" hidden="1">
      <c r="A367" s="1" t="s">
        <v>360</v>
      </c>
      <c r="B367" s="1" t="s">
        <v>15</v>
      </c>
      <c r="C367" s="71">
        <v>128699142146</v>
      </c>
      <c r="D367" s="3">
        <v>3967.74</v>
      </c>
      <c r="E367" s="3">
        <v>16286544.789999999</v>
      </c>
      <c r="F367" s="1" t="s">
        <v>3065</v>
      </c>
      <c r="G367"/>
      <c r="H367"/>
      <c r="I367" s="19">
        <f>-IFERROR(VLOOKUP(C367,SIRCUPA!$A$21:$H$221,8,0),0)</f>
        <v>0</v>
      </c>
      <c r="J367" s="86">
        <f>-IFERROR(VLOOKUP(C367,SIRTAC!$A$16:$H$1458,8,0),0)</f>
        <v>-42</v>
      </c>
      <c r="K367" s="86">
        <f>-IFERROR(VLOOKUP(C367,Gastos!$A$9:$J$1451,10,0),0)</f>
        <v>-165.06</v>
      </c>
      <c r="L367" s="86">
        <f>-IFERROR(VLOOKUP(C367,IDC!$A$20:$H$1763,8,0),0)</f>
        <v>-25.2</v>
      </c>
      <c r="M367" s="95">
        <f t="shared" si="12"/>
        <v>4200</v>
      </c>
      <c r="O367" s="1"/>
    </row>
    <row r="368" spans="1:15" hidden="1">
      <c r="A368" s="1" t="s">
        <v>360</v>
      </c>
      <c r="B368" s="1" t="s">
        <v>15</v>
      </c>
      <c r="C368" s="71">
        <v>128131671691</v>
      </c>
      <c r="D368" s="3">
        <v>17439.97</v>
      </c>
      <c r="E368" s="3">
        <v>16303984.76</v>
      </c>
      <c r="F368" s="1" t="s">
        <v>3065</v>
      </c>
      <c r="G368"/>
      <c r="H368"/>
      <c r="I368" s="19">
        <f>-IFERROR(VLOOKUP(C368,SIRCUPA!$A$21:$H$221,8,0),0)</f>
        <v>0</v>
      </c>
      <c r="J368" s="86">
        <f>-IFERROR(VLOOKUP(C368,SIRTAC!$A$16:$H$1458,8,0),0)</f>
        <v>-179</v>
      </c>
      <c r="K368" s="86">
        <f>-IFERROR(VLOOKUP(C368,Gastos!$A$9:$J$1451,10,0),0)</f>
        <v>-173.63</v>
      </c>
      <c r="L368" s="86">
        <f>-IFERROR(VLOOKUP(C368,IDC!$A$20:$H$1763,8,0),0)</f>
        <v>-107.4</v>
      </c>
      <c r="M368" s="95">
        <f t="shared" si="12"/>
        <v>17900.000000000004</v>
      </c>
      <c r="O368" s="1"/>
    </row>
    <row r="369" spans="1:15" hidden="1">
      <c r="A369" s="1" t="s">
        <v>360</v>
      </c>
      <c r="B369" s="1" t="s">
        <v>15</v>
      </c>
      <c r="C369" s="71">
        <v>128131837387</v>
      </c>
      <c r="D369" s="3">
        <v>15491.37</v>
      </c>
      <c r="E369" s="3">
        <v>16319476.130000001</v>
      </c>
      <c r="F369" s="1" t="s">
        <v>3065</v>
      </c>
      <c r="G369"/>
      <c r="H369"/>
      <c r="I369" s="19">
        <f>-IFERROR(VLOOKUP(C369,SIRCUPA!$A$21:$H$221,8,0),0)</f>
        <v>0</v>
      </c>
      <c r="J369" s="86">
        <f>-IFERROR(VLOOKUP(C369,SIRTAC!$A$16:$H$1458,8,0),0)</f>
        <v>-159</v>
      </c>
      <c r="K369" s="86">
        <f>-IFERROR(VLOOKUP(C369,Gastos!$A$9:$J$1451,10,0),0)</f>
        <v>-154.22999999999999</v>
      </c>
      <c r="L369" s="86">
        <f>-IFERROR(VLOOKUP(C369,IDC!$A$20:$H$1763,8,0),0)</f>
        <v>-95.4</v>
      </c>
      <c r="M369" s="95">
        <f t="shared" si="12"/>
        <v>15900</v>
      </c>
      <c r="O369" s="1"/>
    </row>
    <row r="370" spans="1:15" hidden="1">
      <c r="A370" s="1" t="s">
        <v>360</v>
      </c>
      <c r="B370" s="1" t="s">
        <v>15</v>
      </c>
      <c r="C370" s="71">
        <v>128699839998</v>
      </c>
      <c r="D370" s="3">
        <v>16069.83</v>
      </c>
      <c r="E370" s="3">
        <v>16335545.960000001</v>
      </c>
      <c r="F370" s="1" t="s">
        <v>3065</v>
      </c>
      <c r="G370"/>
      <c r="H370"/>
      <c r="I370" s="19">
        <f>-IFERROR(VLOOKUP(C370,SIRCUPA!$A$21:$H$221,8,0),0)</f>
        <v>0</v>
      </c>
      <c r="J370" s="86">
        <f>-IFERROR(VLOOKUP(C370,SIRTAC!$A$16:$H$1458,8,0),0)</f>
        <v>-177</v>
      </c>
      <c r="K370" s="86">
        <f>-IFERROR(VLOOKUP(C370,Gastos!$A$9:$J$1451,10,0),0)</f>
        <v>-1346.97</v>
      </c>
      <c r="L370" s="86">
        <f>-IFERROR(VLOOKUP(C370,IDC!$A$20:$H$1763,8,0),0)</f>
        <v>-106.2</v>
      </c>
      <c r="M370" s="95">
        <f t="shared" si="12"/>
        <v>17700</v>
      </c>
      <c r="O370" s="1"/>
    </row>
    <row r="371" spans="1:15" hidden="1">
      <c r="A371" s="1" t="s">
        <v>360</v>
      </c>
      <c r="B371" s="1" t="s">
        <v>15</v>
      </c>
      <c r="C371" s="71">
        <v>128132363197</v>
      </c>
      <c r="D371" s="3">
        <v>9743</v>
      </c>
      <c r="E371" s="3">
        <v>16345288.960000001</v>
      </c>
      <c r="F371" s="1" t="s">
        <v>3065</v>
      </c>
      <c r="G371"/>
      <c r="H371"/>
      <c r="I371" s="19">
        <f>-IFERROR(VLOOKUP(C371,SIRCUPA!$A$21:$H$221,8,0),0)</f>
        <v>0</v>
      </c>
      <c r="J371" s="86">
        <f>-IFERROR(VLOOKUP(C371,SIRTAC!$A$16:$H$1458,8,0),0)</f>
        <v>-100</v>
      </c>
      <c r="K371" s="86">
        <f>-IFERROR(VLOOKUP(C371,Gastos!$A$9:$J$1451,10,0),0)</f>
        <v>-97</v>
      </c>
      <c r="L371" s="86">
        <f>-IFERROR(VLOOKUP(C371,IDC!$A$20:$H$1763,8,0),0)</f>
        <v>-60</v>
      </c>
      <c r="M371" s="95">
        <f t="shared" si="12"/>
        <v>10000</v>
      </c>
      <c r="O371" s="1"/>
    </row>
    <row r="372" spans="1:15" hidden="1">
      <c r="A372" s="1" t="s">
        <v>360</v>
      </c>
      <c r="B372" s="1" t="s">
        <v>15</v>
      </c>
      <c r="C372" s="71">
        <v>128201339295</v>
      </c>
      <c r="D372" s="3">
        <v>13509.21</v>
      </c>
      <c r="E372" s="3">
        <v>16358798.17</v>
      </c>
      <c r="F372" s="1" t="s">
        <v>3065</v>
      </c>
      <c r="G372"/>
      <c r="H372"/>
      <c r="I372" s="19">
        <f>-IFERROR(VLOOKUP(C372,SIRCUPA!$A$21:$H$221,8,0),0)</f>
        <v>0</v>
      </c>
      <c r="J372" s="86">
        <f>-IFERROR(VLOOKUP(C372,SIRTAC!$A$16:$H$1458,8,0),0)</f>
        <v>-143</v>
      </c>
      <c r="K372" s="86">
        <f>-IFERROR(VLOOKUP(C372,Gastos!$A$9:$J$1451,10,0),0)</f>
        <v>-561.99</v>
      </c>
      <c r="L372" s="86">
        <f>-IFERROR(VLOOKUP(C372,IDC!$A$20:$H$1763,8,0),0)</f>
        <v>-85.8</v>
      </c>
      <c r="M372" s="95">
        <f t="shared" si="12"/>
        <v>14299.999999999998</v>
      </c>
      <c r="O372" s="1"/>
    </row>
    <row r="373" spans="1:15" hidden="1">
      <c r="A373" s="1" t="s">
        <v>360</v>
      </c>
      <c r="B373" s="1" t="s">
        <v>15</v>
      </c>
      <c r="C373" s="71">
        <v>128771504152</v>
      </c>
      <c r="D373" s="3">
        <v>4774.07</v>
      </c>
      <c r="E373" s="3">
        <v>16363572.24</v>
      </c>
      <c r="F373" s="1" t="s">
        <v>3065</v>
      </c>
      <c r="G373"/>
      <c r="H373"/>
      <c r="I373" s="19">
        <f>-IFERROR(VLOOKUP(C373,SIRCUPA!$A$21:$H$221,8,0),0)</f>
        <v>0</v>
      </c>
      <c r="J373" s="86">
        <f>-IFERROR(VLOOKUP(C373,SIRTAC!$A$16:$H$1458,8,0),0)</f>
        <v>-49</v>
      </c>
      <c r="K373" s="86">
        <f>-IFERROR(VLOOKUP(C373,Gastos!$A$9:$J$1451,10,0),0)</f>
        <v>-47.53</v>
      </c>
      <c r="L373" s="86">
        <f>-IFERROR(VLOOKUP(C373,IDC!$A$20:$H$1763,8,0),0)</f>
        <v>-29.4</v>
      </c>
      <c r="M373" s="95">
        <f t="shared" si="12"/>
        <v>4899.9999999999991</v>
      </c>
      <c r="O373" s="1"/>
    </row>
    <row r="374" spans="1:15" hidden="1">
      <c r="A374" s="1" t="s">
        <v>360</v>
      </c>
      <c r="B374" s="1" t="s">
        <v>15</v>
      </c>
      <c r="C374" s="71">
        <v>128205853491</v>
      </c>
      <c r="D374" s="3">
        <v>4286.92</v>
      </c>
      <c r="E374" s="3">
        <v>16367859.16</v>
      </c>
      <c r="F374" s="1" t="s">
        <v>3065</v>
      </c>
      <c r="G374"/>
      <c r="H374"/>
      <c r="I374" s="19">
        <f>-IFERROR(VLOOKUP(C374,SIRCUPA!$A$21:$H$221,8,0),0)</f>
        <v>0</v>
      </c>
      <c r="J374" s="86">
        <f>-IFERROR(VLOOKUP(C374,SIRTAC!$A$16:$H$1458,8,0),0)</f>
        <v>-44</v>
      </c>
      <c r="K374" s="86">
        <f>-IFERROR(VLOOKUP(C374,Gastos!$A$9:$J$1451,10,0),0)</f>
        <v>-42.68</v>
      </c>
      <c r="L374" s="86">
        <f>-IFERROR(VLOOKUP(C374,IDC!$A$20:$H$1763,8,0),0)</f>
        <v>-26.4</v>
      </c>
      <c r="M374" s="95">
        <f t="shared" si="12"/>
        <v>4400</v>
      </c>
      <c r="O374" s="1"/>
    </row>
    <row r="375" spans="1:15" hidden="1">
      <c r="A375" s="1" t="s">
        <v>360</v>
      </c>
      <c r="B375" s="1" t="s">
        <v>15</v>
      </c>
      <c r="C375" s="71">
        <v>128206530723</v>
      </c>
      <c r="D375" s="3">
        <v>4774.07</v>
      </c>
      <c r="E375" s="3">
        <v>16372633.23</v>
      </c>
      <c r="F375" s="1" t="s">
        <v>3065</v>
      </c>
      <c r="G375"/>
      <c r="H375"/>
      <c r="I375" s="19">
        <f>-IFERROR(VLOOKUP(C375,SIRCUPA!$A$21:$H$221,8,0),0)</f>
        <v>0</v>
      </c>
      <c r="J375" s="86">
        <f>-IFERROR(VLOOKUP(C375,SIRTAC!$A$16:$H$1458,8,0),0)</f>
        <v>-49</v>
      </c>
      <c r="K375" s="86">
        <f>-IFERROR(VLOOKUP(C375,Gastos!$A$9:$J$1451,10,0),0)</f>
        <v>-47.53</v>
      </c>
      <c r="L375" s="86">
        <f>-IFERROR(VLOOKUP(C375,IDC!$A$20:$H$1763,8,0),0)</f>
        <v>-29.4</v>
      </c>
      <c r="M375" s="95">
        <f t="shared" si="12"/>
        <v>4899.9999999999991</v>
      </c>
      <c r="O375" s="1"/>
    </row>
    <row r="376" spans="1:15" hidden="1">
      <c r="A376" s="1" t="s">
        <v>360</v>
      </c>
      <c r="B376" s="1" t="s">
        <v>15</v>
      </c>
      <c r="C376" s="71">
        <v>128775011128</v>
      </c>
      <c r="D376" s="3">
        <v>17004.599999999999</v>
      </c>
      <c r="E376" s="3">
        <v>16389637.83</v>
      </c>
      <c r="F376" s="1" t="s">
        <v>3065</v>
      </c>
      <c r="G376"/>
      <c r="H376"/>
      <c r="I376" s="19">
        <f>-IFERROR(VLOOKUP(C376,SIRCUPA!$A$21:$H$221,8,0),0)</f>
        <v>0</v>
      </c>
      <c r="J376" s="86">
        <f>-IFERROR(VLOOKUP(C376,SIRTAC!$A$16:$H$1458,8,0),0)</f>
        <v>-180</v>
      </c>
      <c r="K376" s="86">
        <f>-IFERROR(VLOOKUP(C376,Gastos!$A$9:$J$1451,10,0),0)</f>
        <v>-707.4</v>
      </c>
      <c r="L376" s="86">
        <f>-IFERROR(VLOOKUP(C376,IDC!$A$20:$H$1763,8,0),0)</f>
        <v>-108</v>
      </c>
      <c r="M376" s="95">
        <f t="shared" si="12"/>
        <v>18000</v>
      </c>
      <c r="O376" s="1"/>
    </row>
    <row r="377" spans="1:15" hidden="1">
      <c r="A377" s="1" t="s">
        <v>360</v>
      </c>
      <c r="B377" s="1" t="s">
        <v>15</v>
      </c>
      <c r="C377" s="71">
        <v>128775661428</v>
      </c>
      <c r="D377" s="3">
        <v>13737.63</v>
      </c>
      <c r="E377" s="3">
        <v>16403375.460000001</v>
      </c>
      <c r="F377" s="1" t="s">
        <v>3065</v>
      </c>
      <c r="G377"/>
      <c r="H377"/>
      <c r="I377" s="19">
        <f>-IFERROR(VLOOKUP(C377,SIRCUPA!$A$21:$H$221,8,0),0)</f>
        <v>0</v>
      </c>
      <c r="J377" s="86">
        <f>-IFERROR(VLOOKUP(C377,SIRTAC!$A$16:$H$1458,8,0),0)</f>
        <v>-141</v>
      </c>
      <c r="K377" s="86">
        <f>-IFERROR(VLOOKUP(C377,Gastos!$A$9:$J$1451,10,0),0)</f>
        <v>-136.77000000000001</v>
      </c>
      <c r="L377" s="86">
        <f>-IFERROR(VLOOKUP(C377,IDC!$A$20:$H$1763,8,0),0)</f>
        <v>-84.6</v>
      </c>
      <c r="M377" s="95">
        <f t="shared" si="12"/>
        <v>14100</v>
      </c>
      <c r="O377" s="1"/>
    </row>
    <row r="378" spans="1:15" hidden="1">
      <c r="A378" s="1" t="s">
        <v>360</v>
      </c>
      <c r="B378" s="1" t="s">
        <v>15</v>
      </c>
      <c r="C378" s="71">
        <v>128208989895</v>
      </c>
      <c r="D378" s="3">
        <v>25136.94</v>
      </c>
      <c r="E378" s="3">
        <v>16428512.4</v>
      </c>
      <c r="F378" s="1" t="s">
        <v>3065</v>
      </c>
      <c r="G378"/>
      <c r="H378"/>
      <c r="I378" s="19">
        <f>-IFERROR(VLOOKUP(C378,SIRCUPA!$A$21:$H$221,8,0),0)</f>
        <v>0</v>
      </c>
      <c r="J378" s="86">
        <f>-IFERROR(VLOOKUP(C378,SIRTAC!$A$16:$H$1458,8,0),0)</f>
        <v>-258</v>
      </c>
      <c r="K378" s="86">
        <f>-IFERROR(VLOOKUP(C378,Gastos!$A$9:$J$1451,10,0),0)</f>
        <v>-250.26</v>
      </c>
      <c r="L378" s="86">
        <f>-IFERROR(VLOOKUP(C378,IDC!$A$20:$H$1763,8,0),0)</f>
        <v>-154.80000000000001</v>
      </c>
      <c r="M378" s="95">
        <f t="shared" si="12"/>
        <v>25799.999999999996</v>
      </c>
      <c r="O378" s="1"/>
    </row>
    <row r="379" spans="1:15" hidden="1">
      <c r="A379" s="1" t="s">
        <v>360</v>
      </c>
      <c r="B379" s="1" t="s">
        <v>438</v>
      </c>
      <c r="C379" s="71">
        <v>128777177860</v>
      </c>
      <c r="D379" s="3">
        <v>2525.8200000000002</v>
      </c>
      <c r="E379" s="3">
        <v>16431038.220000001</v>
      </c>
      <c r="F379" s="1" t="s">
        <v>3065</v>
      </c>
      <c r="G379"/>
      <c r="H379"/>
      <c r="I379" s="19">
        <f>-IFERROR(VLOOKUP(C379,SIRCUPA!$A$21:$H$221,8,0),0)</f>
        <v>-38.700000000000003</v>
      </c>
      <c r="J379" s="86">
        <f>-IFERROR(VLOOKUP(C379,SIRTAC!$A$16:$H$1458,8,0),0)</f>
        <v>0</v>
      </c>
      <c r="K379" s="86">
        <f>-IFERROR(VLOOKUP(C379,Gastos!$A$9:$J$1451,10,0),0)</f>
        <v>0</v>
      </c>
      <c r="L379" s="86">
        <f>-IFERROR(VLOOKUP(C379,IDC!$A$20:$H$1763,8,0),0)</f>
        <v>-15.48</v>
      </c>
      <c r="M379" s="95">
        <f t="shared" si="12"/>
        <v>2580</v>
      </c>
      <c r="O379" s="1"/>
    </row>
    <row r="380" spans="1:15" hidden="1">
      <c r="A380" s="1" t="s">
        <v>360</v>
      </c>
      <c r="B380" s="1" t="s">
        <v>15</v>
      </c>
      <c r="C380" s="71">
        <v>128210325155</v>
      </c>
      <c r="D380" s="3">
        <v>16251.41</v>
      </c>
      <c r="E380" s="3">
        <v>16447289.630000001</v>
      </c>
      <c r="F380" s="1" t="s">
        <v>3065</v>
      </c>
      <c r="G380"/>
      <c r="H380"/>
      <c r="I380" s="19">
        <f>-IFERROR(VLOOKUP(C380,SIRCUPA!$A$21:$H$221,8,0),0)</f>
        <v>0</v>
      </c>
      <c r="J380" s="86">
        <f>-IFERROR(VLOOKUP(C380,SIRTAC!$A$16:$H$1458,8,0),0)</f>
        <v>-179</v>
      </c>
      <c r="K380" s="86">
        <f>-IFERROR(VLOOKUP(C380,Gastos!$A$9:$J$1451,10,0),0)</f>
        <v>-1362.19</v>
      </c>
      <c r="L380" s="86">
        <f>-IFERROR(VLOOKUP(C380,IDC!$A$20:$H$1763,8,0),0)</f>
        <v>-107.4</v>
      </c>
      <c r="M380" s="95">
        <f t="shared" si="12"/>
        <v>17900</v>
      </c>
      <c r="O380" s="1"/>
    </row>
    <row r="381" spans="1:15" hidden="1">
      <c r="A381" s="1" t="s">
        <v>360</v>
      </c>
      <c r="B381" s="1" t="s">
        <v>15</v>
      </c>
      <c r="C381" s="71">
        <v>128210631029</v>
      </c>
      <c r="D381" s="3">
        <v>15493.08</v>
      </c>
      <c r="E381" s="3">
        <v>16462782.710000001</v>
      </c>
      <c r="F381" s="1" t="s">
        <v>3065</v>
      </c>
      <c r="G381"/>
      <c r="H381"/>
      <c r="I381" s="19">
        <f>-IFERROR(VLOOKUP(C381,SIRCUPA!$A$21:$H$221,8,0),0)</f>
        <v>0</v>
      </c>
      <c r="J381" s="86">
        <f>-IFERROR(VLOOKUP(C381,SIRTAC!$A$16:$H$1458,8,0),0)</f>
        <v>-164</v>
      </c>
      <c r="K381" s="86">
        <f>-IFERROR(VLOOKUP(C381,Gastos!$A$9:$J$1451,10,0),0)</f>
        <v>-644.52</v>
      </c>
      <c r="L381" s="86">
        <f>-IFERROR(VLOOKUP(C381,IDC!$A$20:$H$1763,8,0),0)</f>
        <v>-98.4</v>
      </c>
      <c r="M381" s="95">
        <f t="shared" si="12"/>
        <v>16400</v>
      </c>
      <c r="O381" s="1"/>
    </row>
    <row r="382" spans="1:15" hidden="1">
      <c r="A382" s="1" t="s">
        <v>360</v>
      </c>
      <c r="B382" s="1" t="s">
        <v>15</v>
      </c>
      <c r="C382" s="71">
        <v>128779285828</v>
      </c>
      <c r="D382" s="3">
        <v>31762.18</v>
      </c>
      <c r="E382" s="3">
        <v>16494544.890000001</v>
      </c>
      <c r="F382" s="1" t="s">
        <v>3065</v>
      </c>
      <c r="G382"/>
      <c r="H382"/>
      <c r="I382" s="19">
        <f>-IFERROR(VLOOKUP(C382,SIRCUPA!$A$21:$H$221,8,0),0)</f>
        <v>0</v>
      </c>
      <c r="J382" s="86">
        <f>-IFERROR(VLOOKUP(C382,SIRTAC!$A$16:$H$1458,8,0),0)</f>
        <v>-326</v>
      </c>
      <c r="K382" s="86">
        <f>-IFERROR(VLOOKUP(C382,Gastos!$A$9:$J$1451,10,0),0)</f>
        <v>-316.22000000000003</v>
      </c>
      <c r="L382" s="86">
        <f>-IFERROR(VLOOKUP(C382,IDC!$A$20:$H$1763,8,0),0)</f>
        <v>-195.6</v>
      </c>
      <c r="M382" s="95">
        <f t="shared" si="12"/>
        <v>32600</v>
      </c>
      <c r="O382" s="1"/>
    </row>
    <row r="383" spans="1:15" hidden="1">
      <c r="A383" s="1" t="s">
        <v>360</v>
      </c>
      <c r="B383" s="1" t="s">
        <v>15</v>
      </c>
      <c r="C383" s="71">
        <v>128211723845</v>
      </c>
      <c r="D383" s="3">
        <v>25916.38</v>
      </c>
      <c r="E383" s="3">
        <v>16520461.27</v>
      </c>
      <c r="F383" s="1" t="s">
        <v>3065</v>
      </c>
      <c r="G383"/>
      <c r="H383"/>
      <c r="I383" s="19">
        <f>-IFERROR(VLOOKUP(C383,SIRCUPA!$A$21:$H$221,8,0),0)</f>
        <v>0</v>
      </c>
      <c r="J383" s="86">
        <f>-IFERROR(VLOOKUP(C383,SIRTAC!$A$16:$H$1458,8,0),0)</f>
        <v>-266</v>
      </c>
      <c r="K383" s="86">
        <f>-IFERROR(VLOOKUP(C383,Gastos!$A$9:$J$1451,10,0),0)</f>
        <v>-258.02</v>
      </c>
      <c r="L383" s="86">
        <f>-IFERROR(VLOOKUP(C383,IDC!$A$20:$H$1763,8,0),0)</f>
        <v>-159.6</v>
      </c>
      <c r="M383" s="95">
        <f t="shared" si="12"/>
        <v>26600</v>
      </c>
      <c r="O383" s="1"/>
    </row>
    <row r="384" spans="1:15" hidden="1">
      <c r="A384" s="1" t="s">
        <v>360</v>
      </c>
      <c r="B384" s="1" t="s">
        <v>15</v>
      </c>
      <c r="C384" s="71">
        <v>128780279488</v>
      </c>
      <c r="D384" s="3">
        <v>38874.57</v>
      </c>
      <c r="E384" s="3">
        <v>16559335.84</v>
      </c>
      <c r="F384" s="1" t="s">
        <v>3065</v>
      </c>
      <c r="G384"/>
      <c r="H384"/>
      <c r="I384" s="19">
        <f>-IFERROR(VLOOKUP(C384,SIRCUPA!$A$21:$H$221,8,0),0)</f>
        <v>0</v>
      </c>
      <c r="J384" s="86">
        <f>-IFERROR(VLOOKUP(C384,SIRTAC!$A$16:$H$1458,8,0),0)</f>
        <v>-399</v>
      </c>
      <c r="K384" s="86">
        <f>-IFERROR(VLOOKUP(C384,Gastos!$A$9:$J$1451,10,0),0)</f>
        <v>-387.03</v>
      </c>
      <c r="L384" s="86">
        <f>-IFERROR(VLOOKUP(C384,IDC!$A$20:$H$1763,8,0),0)</f>
        <v>-239.4</v>
      </c>
      <c r="M384" s="95">
        <f t="shared" si="12"/>
        <v>39900</v>
      </c>
      <c r="O384" s="1"/>
    </row>
    <row r="385" spans="1:15" hidden="1">
      <c r="A385" s="1" t="s">
        <v>360</v>
      </c>
      <c r="B385" s="1" t="s">
        <v>15</v>
      </c>
      <c r="C385" s="71">
        <v>128212250343</v>
      </c>
      <c r="D385" s="3">
        <v>9353.2800000000007</v>
      </c>
      <c r="E385" s="3">
        <v>16568689.119999999</v>
      </c>
      <c r="F385" s="1" t="s">
        <v>3065</v>
      </c>
      <c r="G385"/>
      <c r="H385"/>
      <c r="I385" s="19">
        <f>-IFERROR(VLOOKUP(C385,SIRCUPA!$A$21:$H$221,8,0),0)</f>
        <v>0</v>
      </c>
      <c r="J385" s="86">
        <f>-IFERROR(VLOOKUP(C385,SIRTAC!$A$16:$H$1458,8,0),0)</f>
        <v>-96</v>
      </c>
      <c r="K385" s="86">
        <f>-IFERROR(VLOOKUP(C385,Gastos!$A$9:$J$1451,10,0),0)</f>
        <v>-93.12</v>
      </c>
      <c r="L385" s="86">
        <f>-IFERROR(VLOOKUP(C385,IDC!$A$20:$H$1763,8,0),0)</f>
        <v>-57.6</v>
      </c>
      <c r="M385" s="95">
        <f t="shared" si="12"/>
        <v>9600.0000000000018</v>
      </c>
      <c r="O385" s="1"/>
    </row>
    <row r="386" spans="1:15" hidden="1">
      <c r="A386" s="1" t="s">
        <v>360</v>
      </c>
      <c r="B386" s="1" t="s">
        <v>15</v>
      </c>
      <c r="C386" s="71">
        <v>128212590833</v>
      </c>
      <c r="D386" s="3">
        <v>34295.360000000001</v>
      </c>
      <c r="E386" s="3">
        <v>16602984.48</v>
      </c>
      <c r="F386" s="1" t="s">
        <v>3065</v>
      </c>
      <c r="G386"/>
      <c r="H386"/>
      <c r="I386" s="19">
        <f>-IFERROR(VLOOKUP(C386,SIRCUPA!$A$21:$H$221,8,0),0)</f>
        <v>0</v>
      </c>
      <c r="J386" s="86">
        <f>-IFERROR(VLOOKUP(C386,SIRTAC!$A$16:$H$1458,8,0),0)</f>
        <v>-352</v>
      </c>
      <c r="K386" s="86">
        <f>-IFERROR(VLOOKUP(C386,Gastos!$A$9:$J$1451,10,0),0)</f>
        <v>-341.44</v>
      </c>
      <c r="L386" s="86">
        <f>-IFERROR(VLOOKUP(C386,IDC!$A$20:$H$1763,8,0),0)</f>
        <v>-211.2</v>
      </c>
      <c r="M386" s="95">
        <f t="shared" si="12"/>
        <v>35200</v>
      </c>
      <c r="O386" s="1"/>
    </row>
    <row r="387" spans="1:15" hidden="1">
      <c r="A387" s="1" t="s">
        <v>360</v>
      </c>
      <c r="B387" s="1" t="s">
        <v>15</v>
      </c>
      <c r="C387" s="71">
        <v>128213127005</v>
      </c>
      <c r="D387" s="3">
        <v>4676.6400000000003</v>
      </c>
      <c r="E387" s="3">
        <v>16607661.119999999</v>
      </c>
      <c r="F387" s="1" t="s">
        <v>3065</v>
      </c>
      <c r="G387"/>
      <c r="H387"/>
      <c r="I387" s="19">
        <f>-IFERROR(VLOOKUP(C387,SIRCUPA!$A$21:$H$221,8,0),0)</f>
        <v>0</v>
      </c>
      <c r="J387" s="86">
        <f>-IFERROR(VLOOKUP(C387,SIRTAC!$A$16:$H$1458,8,0),0)</f>
        <v>-48</v>
      </c>
      <c r="K387" s="86">
        <f>-IFERROR(VLOOKUP(C387,Gastos!$A$9:$J$1451,10,0),0)</f>
        <v>-46.56</v>
      </c>
      <c r="L387" s="86">
        <f>-IFERROR(VLOOKUP(C387,IDC!$A$20:$H$1763,8,0),0)</f>
        <v>-28.8</v>
      </c>
      <c r="M387" s="95">
        <f t="shared" si="12"/>
        <v>4800.0000000000009</v>
      </c>
      <c r="O387" s="1"/>
    </row>
    <row r="388" spans="1:15" hidden="1">
      <c r="A388" s="1" t="s">
        <v>360</v>
      </c>
      <c r="B388" s="1" t="s">
        <v>448</v>
      </c>
      <c r="C388" s="71">
        <v>128213125083</v>
      </c>
      <c r="D388" s="2">
        <v>469.92</v>
      </c>
      <c r="E388" s="3">
        <v>16608131.039999999</v>
      </c>
      <c r="F388" s="1" t="s">
        <v>3065</v>
      </c>
      <c r="G388"/>
      <c r="H388"/>
      <c r="I388" s="19">
        <f>-IFERROR(VLOOKUP(C388,SIRCUPA!$A$21:$H$221,8,0),0)</f>
        <v>-7.2</v>
      </c>
      <c r="J388" s="86">
        <f>-IFERROR(VLOOKUP(C388,SIRTAC!$A$16:$H$1458,8,0),0)</f>
        <v>0</v>
      </c>
      <c r="K388" s="86">
        <f>-IFERROR(VLOOKUP(C388,Gastos!$A$9:$J$1451,10,0),0)</f>
        <v>0</v>
      </c>
      <c r="L388" s="86">
        <f>-IFERROR(VLOOKUP(C388,IDC!$A$20:$H$1763,8,0),0)</f>
        <v>-2.88</v>
      </c>
      <c r="M388" s="95">
        <f t="shared" si="12"/>
        <v>480</v>
      </c>
      <c r="O388" s="1"/>
    </row>
    <row r="389" spans="1:15" hidden="1">
      <c r="A389" s="1" t="s">
        <v>360</v>
      </c>
      <c r="B389" s="1" t="s">
        <v>15</v>
      </c>
      <c r="C389" s="71">
        <v>128213687353</v>
      </c>
      <c r="D389" s="3">
        <v>28740.69</v>
      </c>
      <c r="E389" s="3">
        <v>16636871.73</v>
      </c>
      <c r="F389" s="1" t="s">
        <v>3065</v>
      </c>
      <c r="G389"/>
      <c r="H389"/>
      <c r="I389" s="19">
        <f>-IFERROR(VLOOKUP(C389,SIRCUPA!$A$21:$H$221,8,0),0)</f>
        <v>0</v>
      </c>
      <c r="J389" s="86">
        <f>-IFERROR(VLOOKUP(C389,SIRTAC!$A$16:$H$1458,8,0),0)</f>
        <v>-297</v>
      </c>
      <c r="K389" s="86">
        <f>-IFERROR(VLOOKUP(C389,Gastos!$A$9:$J$1451,10,0),0)</f>
        <v>-484.11</v>
      </c>
      <c r="L389" s="86">
        <f>-IFERROR(VLOOKUP(C389,IDC!$A$20:$H$1763,8,0),0)</f>
        <v>-178.2</v>
      </c>
      <c r="M389" s="95">
        <f t="shared" si="12"/>
        <v>29700</v>
      </c>
      <c r="O389" s="1"/>
    </row>
    <row r="390" spans="1:15" hidden="1">
      <c r="A390" s="1" t="s">
        <v>360</v>
      </c>
      <c r="B390" s="1" t="s">
        <v>44</v>
      </c>
      <c r="C390" s="71">
        <v>128213740763</v>
      </c>
      <c r="D390" s="3">
        <v>2907.63</v>
      </c>
      <c r="E390" s="3">
        <v>16639779.359999999</v>
      </c>
      <c r="F390" s="1" t="s">
        <v>3065</v>
      </c>
      <c r="G390"/>
      <c r="H390"/>
      <c r="I390" s="19">
        <f>-IFERROR(VLOOKUP(C390,SIRCUPA!$A$21:$H$221,8,0),0)</f>
        <v>-44.55</v>
      </c>
      <c r="J390" s="86">
        <f>-IFERROR(VLOOKUP(C390,SIRTAC!$A$16:$H$1458,8,0),0)</f>
        <v>0</v>
      </c>
      <c r="K390" s="86">
        <f>-IFERROR(VLOOKUP(C390,Gastos!$A$9:$J$1451,10,0),0)</f>
        <v>0</v>
      </c>
      <c r="L390" s="86">
        <f>-IFERROR(VLOOKUP(C390,IDC!$A$20:$H$1763,8,0),0)</f>
        <v>-17.82</v>
      </c>
      <c r="M390" s="95">
        <f t="shared" si="12"/>
        <v>2970.0000000000005</v>
      </c>
      <c r="O390" s="1"/>
    </row>
    <row r="391" spans="1:15" hidden="1">
      <c r="A391" s="1" t="s">
        <v>360</v>
      </c>
      <c r="B391" s="1" t="s">
        <v>15</v>
      </c>
      <c r="C391" s="71">
        <v>128782344294</v>
      </c>
      <c r="D391" s="3">
        <v>23900.91</v>
      </c>
      <c r="E391" s="3">
        <v>16663680.27</v>
      </c>
      <c r="F391" s="1" t="s">
        <v>3065</v>
      </c>
      <c r="G391"/>
      <c r="H391"/>
      <c r="I391" s="19">
        <f>-IFERROR(VLOOKUP(C391,SIRCUPA!$A$21:$H$221,8,0),0)</f>
        <v>0</v>
      </c>
      <c r="J391" s="86">
        <f>-IFERROR(VLOOKUP(C391,SIRTAC!$A$16:$H$1458,8,0),0)</f>
        <v>-253</v>
      </c>
      <c r="K391" s="86">
        <f>-IFERROR(VLOOKUP(C391,Gastos!$A$9:$J$1451,10,0),0)</f>
        <v>-994.29</v>
      </c>
      <c r="L391" s="86">
        <f>-IFERROR(VLOOKUP(C391,IDC!$A$20:$H$1763,8,0),0)</f>
        <v>-151.80000000000001</v>
      </c>
      <c r="M391" s="95">
        <f t="shared" si="12"/>
        <v>25300</v>
      </c>
      <c r="O391" s="1"/>
    </row>
    <row r="392" spans="1:15" hidden="1">
      <c r="A392" s="1" t="s">
        <v>360</v>
      </c>
      <c r="B392" s="1" t="s">
        <v>15</v>
      </c>
      <c r="C392" s="71">
        <v>128215264657</v>
      </c>
      <c r="D392" s="3">
        <v>13603.68</v>
      </c>
      <c r="E392" s="3">
        <v>16677283.949999999</v>
      </c>
      <c r="F392" s="1" t="s">
        <v>3065</v>
      </c>
      <c r="G392"/>
      <c r="H392"/>
      <c r="I392" s="19">
        <f>-IFERROR(VLOOKUP(C392,SIRCUPA!$A$21:$H$221,8,0),0)</f>
        <v>0</v>
      </c>
      <c r="J392" s="86">
        <f>-IFERROR(VLOOKUP(C392,SIRTAC!$A$16:$H$1458,8,0),0)</f>
        <v>-144</v>
      </c>
      <c r="K392" s="86">
        <f>-IFERROR(VLOOKUP(C392,Gastos!$A$9:$J$1451,10,0),0)</f>
        <v>-565.91999999999996</v>
      </c>
      <c r="L392" s="86">
        <f>-IFERROR(VLOOKUP(C392,IDC!$A$20:$H$1763,8,0),0)</f>
        <v>-86.4</v>
      </c>
      <c r="M392" s="95">
        <f t="shared" si="12"/>
        <v>14400</v>
      </c>
      <c r="O392" s="1"/>
    </row>
    <row r="393" spans="1:15" hidden="1">
      <c r="A393" s="1" t="s">
        <v>360</v>
      </c>
      <c r="B393" s="1" t="s">
        <v>15</v>
      </c>
      <c r="C393" s="71">
        <v>128783583224</v>
      </c>
      <c r="D393" s="3">
        <v>17050.25</v>
      </c>
      <c r="E393" s="3">
        <v>16694334.199999999</v>
      </c>
      <c r="F393" s="1" t="s">
        <v>3065</v>
      </c>
      <c r="G393"/>
      <c r="H393"/>
      <c r="I393" s="19">
        <f>-IFERROR(VLOOKUP(C393,SIRCUPA!$A$21:$H$221,8,0),0)</f>
        <v>0</v>
      </c>
      <c r="J393" s="86">
        <f>-IFERROR(VLOOKUP(C393,SIRTAC!$A$16:$H$1458,8,0),0)</f>
        <v>-175</v>
      </c>
      <c r="K393" s="86">
        <f>-IFERROR(VLOOKUP(C393,Gastos!$A$9:$J$1451,10,0),0)</f>
        <v>-169.75</v>
      </c>
      <c r="L393" s="86">
        <f>-IFERROR(VLOOKUP(C393,IDC!$A$20:$H$1763,8,0),0)</f>
        <v>-105</v>
      </c>
      <c r="M393" s="95">
        <f t="shared" si="12"/>
        <v>17500</v>
      </c>
      <c r="O393" s="1"/>
    </row>
    <row r="394" spans="1:15" hidden="1">
      <c r="A394" s="1" t="s">
        <v>360</v>
      </c>
      <c r="B394" s="1" t="s">
        <v>455</v>
      </c>
      <c r="C394" s="71">
        <v>128783575336</v>
      </c>
      <c r="D394" s="3">
        <v>1713.25</v>
      </c>
      <c r="E394" s="3">
        <v>16696047.449999999</v>
      </c>
      <c r="F394" s="1" t="s">
        <v>3065</v>
      </c>
      <c r="G394"/>
      <c r="H394"/>
      <c r="I394" s="19">
        <f>-IFERROR(VLOOKUP(C394,SIRCUPA!$A$21:$H$221,8,0),0)</f>
        <v>-26.25</v>
      </c>
      <c r="J394" s="86">
        <f>-IFERROR(VLOOKUP(C394,SIRTAC!$A$16:$H$1458,8,0),0)</f>
        <v>0</v>
      </c>
      <c r="K394" s="86">
        <f>-IFERROR(VLOOKUP(C394,Gastos!$A$9:$J$1451,10,0),0)</f>
        <v>0</v>
      </c>
      <c r="L394" s="86">
        <f>-IFERROR(VLOOKUP(C394,IDC!$A$20:$H$1763,8,0),0)</f>
        <v>-10.5</v>
      </c>
      <c r="M394" s="95">
        <f t="shared" si="12"/>
        <v>1750</v>
      </c>
      <c r="O394" s="1"/>
    </row>
    <row r="395" spans="1:15" hidden="1">
      <c r="A395" s="1" t="s">
        <v>360</v>
      </c>
      <c r="B395" s="1" t="s">
        <v>15</v>
      </c>
      <c r="C395" s="71">
        <v>128216639471</v>
      </c>
      <c r="D395" s="3">
        <v>30203.3</v>
      </c>
      <c r="E395" s="3">
        <v>16726250.75</v>
      </c>
      <c r="F395" s="1" t="s">
        <v>3065</v>
      </c>
      <c r="G395"/>
      <c r="H395"/>
      <c r="I395" s="19">
        <f>-IFERROR(VLOOKUP(C395,SIRCUPA!$A$21:$H$221,8,0),0)</f>
        <v>0</v>
      </c>
      <c r="J395" s="86">
        <f>-IFERROR(VLOOKUP(C395,SIRTAC!$A$16:$H$1458,8,0),0)</f>
        <v>-310</v>
      </c>
      <c r="K395" s="86">
        <f>-IFERROR(VLOOKUP(C395,Gastos!$A$9:$J$1451,10,0),0)</f>
        <v>-300.7</v>
      </c>
      <c r="L395" s="86">
        <f>-IFERROR(VLOOKUP(C395,IDC!$A$20:$H$1763,8,0),0)</f>
        <v>-186</v>
      </c>
      <c r="M395" s="95">
        <f t="shared" si="12"/>
        <v>31000</v>
      </c>
      <c r="O395" s="1"/>
    </row>
    <row r="396" spans="1:15" hidden="1">
      <c r="A396" s="1" t="s">
        <v>360</v>
      </c>
      <c r="B396" s="1" t="s">
        <v>15</v>
      </c>
      <c r="C396" s="71">
        <v>128785272946</v>
      </c>
      <c r="D396" s="3">
        <v>42284.62</v>
      </c>
      <c r="E396" s="3">
        <v>16768535.369999999</v>
      </c>
      <c r="F396" s="1" t="s">
        <v>3065</v>
      </c>
      <c r="G396"/>
      <c r="H396"/>
      <c r="I396" s="19">
        <f>-IFERROR(VLOOKUP(C396,SIRCUPA!$A$21:$H$221,8,0),0)</f>
        <v>0</v>
      </c>
      <c r="J396" s="86">
        <f>-IFERROR(VLOOKUP(C396,SIRTAC!$A$16:$H$1458,8,0),0)</f>
        <v>-434</v>
      </c>
      <c r="K396" s="86">
        <f>-IFERROR(VLOOKUP(C396,Gastos!$A$9:$J$1451,10,0),0)</f>
        <v>-420.98</v>
      </c>
      <c r="L396" s="86">
        <f>-IFERROR(VLOOKUP(C396,IDC!$A$20:$H$1763,8,0),0)</f>
        <v>-260.39999999999998</v>
      </c>
      <c r="M396" s="95">
        <f t="shared" si="12"/>
        <v>43400.000000000007</v>
      </c>
      <c r="O396" s="1"/>
    </row>
    <row r="397" spans="1:15" hidden="1">
      <c r="A397" s="1" t="s">
        <v>360</v>
      </c>
      <c r="B397" s="1" t="s">
        <v>15</v>
      </c>
      <c r="C397" s="71">
        <v>128217976781</v>
      </c>
      <c r="D397" s="3">
        <v>15115.2</v>
      </c>
      <c r="E397" s="3">
        <v>16783650.57</v>
      </c>
      <c r="F397" s="1" t="s">
        <v>3065</v>
      </c>
      <c r="G397"/>
      <c r="H397"/>
      <c r="I397" s="19">
        <f>-IFERROR(VLOOKUP(C397,SIRCUPA!$A$21:$H$221,8,0),0)</f>
        <v>0</v>
      </c>
      <c r="J397" s="86">
        <f>-IFERROR(VLOOKUP(C397,SIRTAC!$A$16:$H$1458,8,0),0)</f>
        <v>-160</v>
      </c>
      <c r="K397" s="86">
        <f>-IFERROR(VLOOKUP(C397,Gastos!$A$9:$J$1451,10,0),0)</f>
        <v>-628.79999999999995</v>
      </c>
      <c r="L397" s="86">
        <f>-IFERROR(VLOOKUP(C397,IDC!$A$20:$H$1763,8,0),0)</f>
        <v>-96</v>
      </c>
      <c r="M397" s="95">
        <f t="shared" si="12"/>
        <v>16000</v>
      </c>
      <c r="O397" s="1"/>
    </row>
    <row r="398" spans="1:15" hidden="1">
      <c r="A398" s="1" t="s">
        <v>360</v>
      </c>
      <c r="B398" s="1" t="s">
        <v>15</v>
      </c>
      <c r="C398" s="71">
        <v>128218880657</v>
      </c>
      <c r="D398" s="3">
        <v>29423.86</v>
      </c>
      <c r="E398" s="3">
        <v>16813074.43</v>
      </c>
      <c r="F398" s="1" t="s">
        <v>3065</v>
      </c>
      <c r="G398"/>
      <c r="H398"/>
      <c r="I398" s="19">
        <f>-IFERROR(VLOOKUP(C398,SIRCUPA!$A$21:$H$221,8,0),0)</f>
        <v>0</v>
      </c>
      <c r="J398" s="86">
        <f>-IFERROR(VLOOKUP(C398,SIRTAC!$A$16:$H$1458,8,0),0)</f>
        <v>-302</v>
      </c>
      <c r="K398" s="86">
        <f>-IFERROR(VLOOKUP(C398,Gastos!$A$9:$J$1451,10,0),0)</f>
        <v>-292.94</v>
      </c>
      <c r="L398" s="86">
        <f>-IFERROR(VLOOKUP(C398,IDC!$A$20:$H$1763,8,0),0)</f>
        <v>-181.2</v>
      </c>
      <c r="M398" s="95">
        <f t="shared" si="12"/>
        <v>30200</v>
      </c>
      <c r="O398" s="1"/>
    </row>
    <row r="399" spans="1:15" hidden="1">
      <c r="A399" s="1" t="s">
        <v>461</v>
      </c>
      <c r="B399" s="1" t="s">
        <v>15</v>
      </c>
      <c r="C399" s="71">
        <v>128220831145</v>
      </c>
      <c r="D399" s="3">
        <v>7741.6</v>
      </c>
      <c r="E399" s="3">
        <v>16820816.030000001</v>
      </c>
      <c r="F399" s="1" t="s">
        <v>3065</v>
      </c>
      <c r="G399"/>
      <c r="H399"/>
      <c r="I399" s="19">
        <f>-IFERROR(VLOOKUP(C399,SIRCUPA!$A$21:$H$221,8,0),0)</f>
        <v>0</v>
      </c>
      <c r="J399" s="86">
        <f>-IFERROR(VLOOKUP(C399,SIRTAC!$A$16:$H$1458,8,0),0)</f>
        <v>-80</v>
      </c>
      <c r="K399" s="86">
        <f>-IFERROR(VLOOKUP(C399,Gastos!$A$9:$J$1451,10,0),0)</f>
        <v>-130.4</v>
      </c>
      <c r="L399" s="86">
        <f>-IFERROR(VLOOKUP(C399,IDC!$A$20:$H$1763,8,0),0)</f>
        <v>-48</v>
      </c>
      <c r="M399" s="95">
        <f t="shared" si="12"/>
        <v>8000</v>
      </c>
      <c r="O399" s="1"/>
    </row>
    <row r="400" spans="1:15" hidden="1">
      <c r="A400" s="1" t="s">
        <v>461</v>
      </c>
      <c r="B400" s="1" t="s">
        <v>15</v>
      </c>
      <c r="C400" s="71">
        <v>128221923389</v>
      </c>
      <c r="D400" s="3">
        <v>49202.15</v>
      </c>
      <c r="E400" s="3">
        <v>16870018.18</v>
      </c>
      <c r="F400" s="1" t="s">
        <v>3065</v>
      </c>
      <c r="G400"/>
      <c r="H400"/>
      <c r="I400" s="19">
        <f>-IFERROR(VLOOKUP(C400,SIRCUPA!$A$21:$H$221,8,0),0)</f>
        <v>0</v>
      </c>
      <c r="J400" s="86">
        <f>-IFERROR(VLOOKUP(C400,SIRTAC!$A$16:$H$1458,8,0),0)</f>
        <v>-505</v>
      </c>
      <c r="K400" s="86">
        <f>-IFERROR(VLOOKUP(C400,Gastos!$A$9:$J$1451,10,0),0)</f>
        <v>-489.85</v>
      </c>
      <c r="L400" s="86">
        <f>-IFERROR(VLOOKUP(C400,IDC!$A$20:$H$1763,8,0),0)</f>
        <v>-303</v>
      </c>
      <c r="M400" s="95">
        <f t="shared" si="12"/>
        <v>50500</v>
      </c>
      <c r="O400" s="1"/>
    </row>
    <row r="401" spans="1:17" hidden="1">
      <c r="A401" s="1" t="s">
        <v>461</v>
      </c>
      <c r="B401" s="1" t="s">
        <v>15</v>
      </c>
      <c r="C401" s="71">
        <v>128222367735</v>
      </c>
      <c r="D401" s="3">
        <v>7989.52</v>
      </c>
      <c r="E401" s="3">
        <v>16878007.699999999</v>
      </c>
      <c r="F401" s="1" t="s">
        <v>3065</v>
      </c>
      <c r="G401"/>
      <c r="H401"/>
      <c r="I401" s="19">
        <f>-IFERROR(VLOOKUP(C401,SIRCUPA!$A$21:$H$221,8,0),0)</f>
        <v>0</v>
      </c>
      <c r="J401" s="86">
        <f>-IFERROR(VLOOKUP(C401,SIRTAC!$A$16:$H$1458,8,0),0)</f>
        <v>-88</v>
      </c>
      <c r="K401" s="86">
        <f>-IFERROR(VLOOKUP(C401,Gastos!$A$9:$J$1451,10,0),0)</f>
        <v>-669.68</v>
      </c>
      <c r="L401" s="86">
        <f>-IFERROR(VLOOKUP(C401,IDC!$A$20:$H$1763,8,0),0)</f>
        <v>-52.8</v>
      </c>
      <c r="M401" s="95">
        <f t="shared" si="12"/>
        <v>8800</v>
      </c>
      <c r="O401" s="1"/>
    </row>
    <row r="402" spans="1:17" s="67" customFormat="1" hidden="1">
      <c r="A402" s="1" t="s">
        <v>461</v>
      </c>
      <c r="B402" s="1" t="s">
        <v>475</v>
      </c>
      <c r="C402" s="71">
        <v>128307872905</v>
      </c>
      <c r="D402" s="3">
        <v>-21729.59</v>
      </c>
      <c r="E402" s="3">
        <v>11747739.529999999</v>
      </c>
      <c r="F402" s="1" t="s">
        <v>3066</v>
      </c>
      <c r="G402" s="19">
        <f>+D402/1.006</f>
        <v>-21599.990059642147</v>
      </c>
      <c r="H402" s="19">
        <f>+D402-G402</f>
        <v>-129.59994035785348</v>
      </c>
      <c r="I402" s="19">
        <f>-IFERROR(VLOOKUP(C402,SIRCUPA!$A$21:$H$221,8,0),0)</f>
        <v>0</v>
      </c>
      <c r="J402" s="86">
        <f>-IFERROR(VLOOKUP(C402,SIRTAC!$A$16:$H$1458,8,0),0)</f>
        <v>0</v>
      </c>
      <c r="K402" s="86">
        <f>-IFERROR(VLOOKUP(C402,Gastos!$A$9:$J$1451,10,0),0)</f>
        <v>0</v>
      </c>
      <c r="L402" s="86">
        <f>+D402-G402</f>
        <v>-129.59994035785348</v>
      </c>
      <c r="M402" s="94">
        <f t="shared" si="12"/>
        <v>-21599.990059642147</v>
      </c>
      <c r="N402" s="1"/>
      <c r="O402" s="1" t="s">
        <v>2011</v>
      </c>
      <c r="P402" s="19"/>
      <c r="Q402" s="19"/>
    </row>
    <row r="403" spans="1:17" s="67" customFormat="1" hidden="1">
      <c r="A403" s="67" t="s">
        <v>41</v>
      </c>
      <c r="B403" s="67" t="s">
        <v>51</v>
      </c>
      <c r="C403" s="75">
        <v>128313425810</v>
      </c>
      <c r="D403" s="68">
        <v>-1162.45</v>
      </c>
      <c r="E403" s="3">
        <v>11242650.800000001</v>
      </c>
      <c r="F403" s="67" t="s">
        <v>3062</v>
      </c>
      <c r="G403" s="69">
        <f>+D403/0.006</f>
        <v>-193741.66666666666</v>
      </c>
      <c r="H403" s="69"/>
      <c r="I403" s="69">
        <f>-IFERROR(VLOOKUP(C403,SIRCUPA!$A$21:$H$221,8,0),0)</f>
        <v>0</v>
      </c>
      <c r="J403" s="69">
        <f>-IFERROR(VLOOKUP(C403,SIRTAC!$A$16:$H$1458,8,0),0)</f>
        <v>0</v>
      </c>
      <c r="K403" s="69">
        <f>-IFERROR(VLOOKUP(C403,Gastos!$A$9:$J$1451,10,0),0)</f>
        <v>0</v>
      </c>
      <c r="L403" s="69"/>
      <c r="M403" s="96">
        <f t="shared" ref="M403:M414" si="13">+D403</f>
        <v>-1162.45</v>
      </c>
      <c r="P403" s="19"/>
      <c r="Q403" s="19"/>
    </row>
    <row r="404" spans="1:17" s="67" customFormat="1" hidden="1">
      <c r="A404" s="67" t="s">
        <v>41</v>
      </c>
      <c r="B404" s="67" t="s">
        <v>49</v>
      </c>
      <c r="C404" s="75">
        <v>128313425810</v>
      </c>
      <c r="D404" s="68">
        <v>-193742.33</v>
      </c>
      <c r="E404" s="3">
        <v>11243813.25</v>
      </c>
      <c r="F404" s="67" t="s">
        <v>3066</v>
      </c>
      <c r="G404" s="69">
        <f>+D404/1.006</f>
        <v>-192586.8091451292</v>
      </c>
      <c r="H404" s="69">
        <f>+D404-G404</f>
        <v>-1155.5208548707888</v>
      </c>
      <c r="I404" s="69">
        <f>-IFERROR(VLOOKUP(C404,SIRCUPA!$A$21:$H$221,8,0),0)</f>
        <v>0</v>
      </c>
      <c r="J404" s="69">
        <f>-IFERROR(VLOOKUP(C404,SIRTAC!$A$16:$H$1458,8,0),0)</f>
        <v>0</v>
      </c>
      <c r="K404" s="69">
        <f>-IFERROR(VLOOKUP(C404,Gastos!$A$9:$J$1451,10,0),0)</f>
        <v>0</v>
      </c>
      <c r="L404" s="69">
        <f>-IFERROR(VLOOKUP(C404,IDC!$A$20:$H$1763,8,0),0)</f>
        <v>-1162.45</v>
      </c>
      <c r="M404" s="96">
        <f t="shared" si="13"/>
        <v>-193742.33</v>
      </c>
      <c r="P404" s="19"/>
      <c r="Q404" s="19"/>
    </row>
    <row r="405" spans="1:17" s="67" customFormat="1" hidden="1">
      <c r="A405" s="67" t="s">
        <v>41</v>
      </c>
      <c r="B405" s="67" t="s">
        <v>51</v>
      </c>
      <c r="C405" s="75">
        <v>128340094018</v>
      </c>
      <c r="D405" s="70">
        <v>-324.20999999999998</v>
      </c>
      <c r="E405" s="3">
        <v>10604029.9</v>
      </c>
      <c r="F405" s="67" t="s">
        <v>3062</v>
      </c>
      <c r="G405" s="69">
        <f>+D405/0.006</f>
        <v>-54034.999999999993</v>
      </c>
      <c r="H405" s="69"/>
      <c r="I405" s="69">
        <f>-IFERROR(VLOOKUP(C405,SIRCUPA!$A$21:$H$221,8,0),0)</f>
        <v>0</v>
      </c>
      <c r="J405" s="69">
        <f>-IFERROR(VLOOKUP(C405,SIRTAC!$A$16:$H$1458,8,0),0)</f>
        <v>0</v>
      </c>
      <c r="K405" s="69">
        <f>-IFERROR(VLOOKUP(C405,Gastos!$A$9:$J$1451,10,0),0)</f>
        <v>0</v>
      </c>
      <c r="L405" s="69"/>
      <c r="M405" s="96">
        <f t="shared" si="13"/>
        <v>-324.20999999999998</v>
      </c>
      <c r="P405" s="19"/>
      <c r="Q405" s="19"/>
    </row>
    <row r="406" spans="1:17" s="67" customFormat="1" hidden="1">
      <c r="A406" s="67" t="s">
        <v>41</v>
      </c>
      <c r="B406" s="67" t="s">
        <v>55</v>
      </c>
      <c r="C406" s="75">
        <v>128340094018</v>
      </c>
      <c r="D406" s="68">
        <v>-54034.239999999998</v>
      </c>
      <c r="E406" s="3">
        <v>10604354.109999999</v>
      </c>
      <c r="F406" s="67" t="s">
        <v>3066</v>
      </c>
      <c r="G406" s="69">
        <f>+D406/1.006</f>
        <v>-53711.968190854866</v>
      </c>
      <c r="H406" s="69">
        <f>+D406-G406</f>
        <v>-322.27180914513156</v>
      </c>
      <c r="I406" s="69">
        <f>-IFERROR(VLOOKUP(C406,SIRCUPA!$A$21:$H$221,8,0),0)</f>
        <v>0</v>
      </c>
      <c r="J406" s="69">
        <f>-IFERROR(VLOOKUP(C406,SIRTAC!$A$16:$H$1458,8,0),0)</f>
        <v>0</v>
      </c>
      <c r="K406" s="69">
        <f>-IFERROR(VLOOKUP(C406,Gastos!$A$9:$J$1451,10,0),0)</f>
        <v>0</v>
      </c>
      <c r="L406" s="69">
        <f>-IFERROR(VLOOKUP(C406,IDC!$A$20:$H$1763,8,0),0)</f>
        <v>-324.20999999999998</v>
      </c>
      <c r="M406" s="96">
        <f t="shared" si="13"/>
        <v>-54034.239999999998</v>
      </c>
      <c r="P406" s="19"/>
      <c r="Q406" s="19"/>
    </row>
    <row r="407" spans="1:17" s="67" customFormat="1" hidden="1">
      <c r="A407" s="67" t="s">
        <v>121</v>
      </c>
      <c r="B407" s="67" t="s">
        <v>51</v>
      </c>
      <c r="C407" s="75">
        <v>128497382094</v>
      </c>
      <c r="D407" s="68">
        <v>-4517.66</v>
      </c>
      <c r="E407" s="3">
        <v>11628765.109999999</v>
      </c>
      <c r="F407" s="67" t="s">
        <v>3062</v>
      </c>
      <c r="G407" s="69">
        <f>+D407/0.006</f>
        <v>-752943.33333333326</v>
      </c>
      <c r="H407" s="69"/>
      <c r="I407" s="69">
        <f>-IFERROR(VLOOKUP(C407,SIRCUPA!$A$21:$H$221,8,0),0)</f>
        <v>0</v>
      </c>
      <c r="J407" s="69">
        <f>-IFERROR(VLOOKUP(C407,SIRTAC!$A$16:$H$1458,8,0),0)</f>
        <v>0</v>
      </c>
      <c r="K407" s="69">
        <f>-IFERROR(VLOOKUP(C407,Gastos!$A$9:$J$1451,10,0),0)</f>
        <v>0</v>
      </c>
      <c r="L407" s="69"/>
      <c r="M407" s="96">
        <f t="shared" si="13"/>
        <v>-4517.66</v>
      </c>
      <c r="P407" s="19"/>
      <c r="Q407" s="19"/>
    </row>
    <row r="408" spans="1:17" s="67" customFormat="1" hidden="1">
      <c r="A408" s="67" t="s">
        <v>121</v>
      </c>
      <c r="B408" s="67" t="s">
        <v>187</v>
      </c>
      <c r="C408" s="75">
        <v>128497382094</v>
      </c>
      <c r="D408" s="68">
        <v>-752944</v>
      </c>
      <c r="E408" s="3">
        <v>11633282.77</v>
      </c>
      <c r="F408" s="67" t="s">
        <v>3066</v>
      </c>
      <c r="G408" s="69">
        <f>+D408/1.006</f>
        <v>-748453.28031809139</v>
      </c>
      <c r="H408" s="69">
        <f>+D408-G408</f>
        <v>-4490.7196819086093</v>
      </c>
      <c r="I408" s="69">
        <f>-IFERROR(VLOOKUP(C408,SIRCUPA!$A$21:$H$221,8,0),0)</f>
        <v>0</v>
      </c>
      <c r="J408" s="69">
        <f>-IFERROR(VLOOKUP(C408,SIRTAC!$A$16:$H$1458,8,0),0)</f>
        <v>0</v>
      </c>
      <c r="K408" s="69">
        <f>-IFERROR(VLOOKUP(C408,Gastos!$A$9:$J$1451,10,0),0)</f>
        <v>0</v>
      </c>
      <c r="L408" s="69">
        <f>-IFERROR(VLOOKUP(C408,IDC!$A$20:$H$1763,8,0),0)</f>
        <v>-4517.66</v>
      </c>
      <c r="M408" s="96">
        <f t="shared" si="13"/>
        <v>-752944</v>
      </c>
      <c r="P408" s="19"/>
      <c r="Q408" s="19"/>
    </row>
    <row r="409" spans="1:17" s="67" customFormat="1" hidden="1">
      <c r="A409" s="67" t="s">
        <v>477</v>
      </c>
      <c r="B409" s="67" t="s">
        <v>51</v>
      </c>
      <c r="C409" s="75">
        <v>128552409491</v>
      </c>
      <c r="D409" s="70">
        <v>-418.8</v>
      </c>
      <c r="E409" s="3">
        <v>9398017.9000000004</v>
      </c>
      <c r="F409" s="67" t="s">
        <v>3062</v>
      </c>
      <c r="G409" s="69">
        <f>+D409/0.006</f>
        <v>-69800</v>
      </c>
      <c r="H409" s="69"/>
      <c r="I409" s="69">
        <f>-IFERROR(VLOOKUP(C409,SIRCUPA!$A$21:$H$221,8,0),0)</f>
        <v>0</v>
      </c>
      <c r="J409" s="69">
        <f>-IFERROR(VLOOKUP(C409,SIRTAC!$A$16:$H$1458,8,0),0)</f>
        <v>0</v>
      </c>
      <c r="K409" s="69">
        <f>-IFERROR(VLOOKUP(C409,Gastos!$A$9:$J$1451,10,0),0)</f>
        <v>0</v>
      </c>
      <c r="L409" s="69"/>
      <c r="M409" s="96">
        <f t="shared" si="13"/>
        <v>-418.8</v>
      </c>
      <c r="P409" s="19"/>
      <c r="Q409" s="19"/>
    </row>
    <row r="410" spans="1:17" s="67" customFormat="1" hidden="1">
      <c r="A410" s="67" t="s">
        <v>477</v>
      </c>
      <c r="B410" s="67" t="s">
        <v>482</v>
      </c>
      <c r="C410" s="75">
        <v>128552409491</v>
      </c>
      <c r="D410" s="68">
        <v>-69800.13</v>
      </c>
      <c r="E410" s="3">
        <v>9398436.6999999993</v>
      </c>
      <c r="F410" s="67" t="s">
        <v>3066</v>
      </c>
      <c r="G410" s="69">
        <f>+D410/1.006</f>
        <v>-69383.827037773357</v>
      </c>
      <c r="H410" s="69">
        <f>+D410-G410</f>
        <v>-416.30296222664765</v>
      </c>
      <c r="I410" s="69">
        <f>-IFERROR(VLOOKUP(C410,SIRCUPA!$A$21:$H$221,8,0),0)</f>
        <v>0</v>
      </c>
      <c r="J410" s="69">
        <f>-IFERROR(VLOOKUP(C410,SIRTAC!$A$16:$H$1458,8,0),0)</f>
        <v>0</v>
      </c>
      <c r="K410" s="69">
        <f>-IFERROR(VLOOKUP(C410,Gastos!$A$9:$J$1451,10,0),0)</f>
        <v>0</v>
      </c>
      <c r="L410" s="69">
        <f>-IFERROR(VLOOKUP(C410,IDC!$A$20:$H$1763,8,0),0)</f>
        <v>-418.8</v>
      </c>
      <c r="M410" s="96">
        <f t="shared" si="13"/>
        <v>-69800.13</v>
      </c>
      <c r="P410" s="19"/>
      <c r="Q410" s="19"/>
    </row>
    <row r="411" spans="1:17" s="67" customFormat="1" hidden="1">
      <c r="A411" s="67" t="s">
        <v>477</v>
      </c>
      <c r="B411" s="67" t="s">
        <v>51</v>
      </c>
      <c r="C411" s="75">
        <v>128573746367</v>
      </c>
      <c r="D411" s="68">
        <v>-2162.14</v>
      </c>
      <c r="E411" s="3">
        <v>9035499.4299999997</v>
      </c>
      <c r="F411" s="67" t="s">
        <v>3062</v>
      </c>
      <c r="G411" s="69">
        <f>+D411/0.006</f>
        <v>-360356.66666666663</v>
      </c>
      <c r="H411" s="69"/>
      <c r="I411" s="69">
        <f>-IFERROR(VLOOKUP(C411,SIRCUPA!$A$21:$H$221,8,0),0)</f>
        <v>0</v>
      </c>
      <c r="J411" s="69">
        <f>-IFERROR(VLOOKUP(C411,SIRTAC!$A$16:$H$1458,8,0),0)</f>
        <v>0</v>
      </c>
      <c r="K411" s="69">
        <f>-IFERROR(VLOOKUP(C411,Gastos!$A$9:$J$1451,10,0),0)</f>
        <v>0</v>
      </c>
      <c r="L411" s="69"/>
      <c r="M411" s="96">
        <f t="shared" si="13"/>
        <v>-2162.14</v>
      </c>
      <c r="P411" s="19"/>
      <c r="Q411" s="19"/>
    </row>
    <row r="412" spans="1:17" s="67" customFormat="1" hidden="1">
      <c r="A412" s="67" t="s">
        <v>477</v>
      </c>
      <c r="B412" s="67" t="s">
        <v>484</v>
      </c>
      <c r="C412" s="75">
        <v>128573746367</v>
      </c>
      <c r="D412" s="68">
        <v>-360356.33</v>
      </c>
      <c r="E412" s="3">
        <v>9037661.5700000003</v>
      </c>
      <c r="F412" s="67" t="s">
        <v>3066</v>
      </c>
      <c r="G412" s="69">
        <f>+D412/1.006</f>
        <v>-358207.08747514914</v>
      </c>
      <c r="H412" s="69">
        <f>+D412-G412</f>
        <v>-2149.2425248508807</v>
      </c>
      <c r="I412" s="69">
        <f>-IFERROR(VLOOKUP(C412,SIRCUPA!$A$21:$H$221,8,0),0)</f>
        <v>0</v>
      </c>
      <c r="J412" s="69">
        <f>-IFERROR(VLOOKUP(C412,SIRTAC!$A$16:$H$1458,8,0),0)</f>
        <v>0</v>
      </c>
      <c r="K412" s="69">
        <f>-IFERROR(VLOOKUP(C412,Gastos!$A$9:$J$1451,10,0),0)</f>
        <v>0</v>
      </c>
      <c r="L412" s="69">
        <f>-IFERROR(VLOOKUP(C412,IDC!$A$20:$H$1763,8,0),0)</f>
        <v>-2162.14</v>
      </c>
      <c r="M412" s="96">
        <f t="shared" si="13"/>
        <v>-360356.33</v>
      </c>
      <c r="P412" s="19"/>
      <c r="Q412" s="19"/>
    </row>
    <row r="413" spans="1:17" s="67" customFormat="1" hidden="1">
      <c r="A413" s="67" t="s">
        <v>477</v>
      </c>
      <c r="B413" s="67" t="s">
        <v>51</v>
      </c>
      <c r="C413" s="75">
        <v>128574320803</v>
      </c>
      <c r="D413" s="68">
        <v>-1587.2</v>
      </c>
      <c r="E413" s="3">
        <v>8769379.0099999998</v>
      </c>
      <c r="F413" s="67" t="s">
        <v>3062</v>
      </c>
      <c r="G413" s="69">
        <f>+D413/0.006</f>
        <v>-264533.33333333331</v>
      </c>
      <c r="H413" s="69"/>
      <c r="I413" s="69">
        <f>-IFERROR(VLOOKUP(C413,SIRCUPA!$A$21:$H$221,8,0),0)</f>
        <v>0</v>
      </c>
      <c r="J413" s="69">
        <f>-IFERROR(VLOOKUP(C413,SIRTAC!$A$16:$H$1458,8,0),0)</f>
        <v>0</v>
      </c>
      <c r="K413" s="69">
        <f>-IFERROR(VLOOKUP(C413,Gastos!$A$9:$J$1451,10,0),0)</f>
        <v>0</v>
      </c>
      <c r="L413" s="69"/>
      <c r="M413" s="96">
        <f t="shared" si="13"/>
        <v>-1587.2</v>
      </c>
      <c r="P413" s="19"/>
      <c r="Q413" s="19"/>
    </row>
    <row r="414" spans="1:17" s="67" customFormat="1" hidden="1">
      <c r="A414" s="67" t="s">
        <v>477</v>
      </c>
      <c r="B414" s="67" t="s">
        <v>484</v>
      </c>
      <c r="C414" s="75">
        <v>128574320803</v>
      </c>
      <c r="D414" s="68">
        <v>-264533.21999999997</v>
      </c>
      <c r="E414" s="3">
        <v>8770966.2100000009</v>
      </c>
      <c r="F414" s="67" t="s">
        <v>3066</v>
      </c>
      <c r="G414" s="69">
        <f>+D414/1.006</f>
        <v>-262955.48707753478</v>
      </c>
      <c r="H414" s="69">
        <f>+D414-G414</f>
        <v>-1577.7329224651912</v>
      </c>
      <c r="I414" s="69">
        <f>-IFERROR(VLOOKUP(C414,SIRCUPA!$A$21:$H$221,8,0),0)</f>
        <v>0</v>
      </c>
      <c r="J414" s="69">
        <f>-IFERROR(VLOOKUP(C414,SIRTAC!$A$16:$H$1458,8,0),0)</f>
        <v>0</v>
      </c>
      <c r="K414" s="69">
        <f>-IFERROR(VLOOKUP(C414,Gastos!$A$9:$J$1451,10,0),0)</f>
        <v>0</v>
      </c>
      <c r="L414" s="69">
        <f>-IFERROR(VLOOKUP(C414,IDC!$A$20:$H$1763,8,0),0)</f>
        <v>-1587.2</v>
      </c>
      <c r="M414" s="96">
        <f t="shared" si="13"/>
        <v>-264533.21999999997</v>
      </c>
      <c r="P414" s="19"/>
      <c r="Q414" s="19"/>
    </row>
    <row r="415" spans="1:17" s="67" customFormat="1" hidden="1">
      <c r="A415" s="1" t="s">
        <v>548</v>
      </c>
      <c r="B415" s="1" t="s">
        <v>557</v>
      </c>
      <c r="C415" s="71">
        <v>128684825641</v>
      </c>
      <c r="D415" s="3">
        <v>-186039.58</v>
      </c>
      <c r="E415" s="3">
        <v>9730332.4499999993</v>
      </c>
      <c r="F415" s="1" t="s">
        <v>3066</v>
      </c>
      <c r="G415" s="19">
        <f>+D415/1.006</f>
        <v>-184930</v>
      </c>
      <c r="H415" s="19">
        <f>+D415-G415</f>
        <v>-1109.5799999999872</v>
      </c>
      <c r="I415" s="19">
        <f>-IFERROR(VLOOKUP(C415,SIRCUPA!$A$21:$H$221,8,0),0)</f>
        <v>0</v>
      </c>
      <c r="J415" s="86">
        <f>-IFERROR(VLOOKUP(C415,SIRTAC!$A$16:$H$1458,8,0),0)</f>
        <v>0</v>
      </c>
      <c r="K415" s="86">
        <f>-IFERROR(VLOOKUP(C415,Gastos!$A$9:$J$1451,10,0),0)</f>
        <v>0</v>
      </c>
      <c r="L415" s="86">
        <f>+D415-G415</f>
        <v>-1109.5799999999872</v>
      </c>
      <c r="M415" s="94">
        <f>+D415-I415-J415-K415-L415</f>
        <v>-184930</v>
      </c>
      <c r="N415" s="1"/>
      <c r="O415" s="1"/>
      <c r="P415" s="19"/>
      <c r="Q415" s="19"/>
    </row>
    <row r="416" spans="1:17" s="67" customFormat="1" hidden="1">
      <c r="A416" s="1" t="s">
        <v>548</v>
      </c>
      <c r="B416" s="1" t="s">
        <v>557</v>
      </c>
      <c r="C416" s="71">
        <v>128685024639</v>
      </c>
      <c r="D416" s="3">
        <v>-95972.4</v>
      </c>
      <c r="E416" s="3">
        <v>9634360.0500000007</v>
      </c>
      <c r="F416" s="1" t="s">
        <v>3066</v>
      </c>
      <c r="G416" s="19">
        <f>+D416/1.006</f>
        <v>-95400</v>
      </c>
      <c r="H416" s="19">
        <f>+D416-G416</f>
        <v>-572.39999999999418</v>
      </c>
      <c r="I416" s="19">
        <f>-IFERROR(VLOOKUP(C416,SIRCUPA!$A$21:$H$221,8,0),0)</f>
        <v>0</v>
      </c>
      <c r="J416" s="86">
        <f>-IFERROR(VLOOKUP(C416,SIRTAC!$A$16:$H$1458,8,0),0)</f>
        <v>0</v>
      </c>
      <c r="K416" s="86">
        <f>-IFERROR(VLOOKUP(C416,Gastos!$A$9:$J$1451,10,0),0)</f>
        <v>0</v>
      </c>
      <c r="L416" s="86">
        <f>+D416-G416</f>
        <v>-572.39999999999418</v>
      </c>
      <c r="M416" s="94">
        <f>+D416-I416-J416-K416-L416</f>
        <v>-95400</v>
      </c>
      <c r="N416" s="1"/>
      <c r="O416" s="1"/>
      <c r="P416" s="19"/>
      <c r="Q416" s="19"/>
    </row>
    <row r="417" spans="1:17" s="67" customFormat="1" hidden="1">
      <c r="A417" s="67" t="s">
        <v>548</v>
      </c>
      <c r="B417" s="67" t="s">
        <v>51</v>
      </c>
      <c r="C417" s="75">
        <v>128685805823</v>
      </c>
      <c r="D417" s="70">
        <v>-662.35</v>
      </c>
      <c r="E417" s="3">
        <v>9523305.5899999999</v>
      </c>
      <c r="F417" s="67" t="s">
        <v>3062</v>
      </c>
      <c r="G417" s="69">
        <f>+D417/0.006</f>
        <v>-110391.66666666667</v>
      </c>
      <c r="H417" s="69"/>
      <c r="I417" s="69">
        <f>-IFERROR(VLOOKUP(C417,SIRCUPA!$A$21:$H$221,8,0),0)</f>
        <v>0</v>
      </c>
      <c r="J417" s="69">
        <f>-IFERROR(VLOOKUP(C417,SIRTAC!$A$16:$H$1458,8,0),0)</f>
        <v>0</v>
      </c>
      <c r="K417" s="69">
        <f>-IFERROR(VLOOKUP(C417,Gastos!$A$9:$J$1451,10,0),0)</f>
        <v>0</v>
      </c>
      <c r="L417" s="69"/>
      <c r="M417" s="96">
        <f>+D417</f>
        <v>-662.35</v>
      </c>
      <c r="P417" s="19"/>
      <c r="Q417" s="19"/>
    </row>
    <row r="418" spans="1:17" s="67" customFormat="1" hidden="1">
      <c r="A418" s="67" t="s">
        <v>548</v>
      </c>
      <c r="B418" s="67" t="s">
        <v>55</v>
      </c>
      <c r="C418" s="75">
        <v>128685805823</v>
      </c>
      <c r="D418" s="68">
        <v>-110392.11</v>
      </c>
      <c r="E418" s="3">
        <v>9523967.9399999995</v>
      </c>
      <c r="F418" s="67" t="s">
        <v>3066</v>
      </c>
      <c r="G418" s="69">
        <f>+D418/1.006</f>
        <v>-109733.70775347913</v>
      </c>
      <c r="H418" s="69">
        <f>+D418-G418</f>
        <v>-658.40224652086908</v>
      </c>
      <c r="I418" s="69">
        <f>-IFERROR(VLOOKUP(C418,SIRCUPA!$A$21:$H$221,8,0),0)</f>
        <v>0</v>
      </c>
      <c r="J418" s="69">
        <f>-IFERROR(VLOOKUP(C418,SIRTAC!$A$16:$H$1458,8,0),0)</f>
        <v>0</v>
      </c>
      <c r="K418" s="69">
        <f>-IFERROR(VLOOKUP(C418,Gastos!$A$9:$J$1451,10,0),0)</f>
        <v>0</v>
      </c>
      <c r="L418" s="69">
        <f>-IFERROR(VLOOKUP(C418,IDC!$A$20:$H$1763,8,0),0)</f>
        <v>-662.35</v>
      </c>
      <c r="M418" s="96">
        <f>+D418</f>
        <v>-110392.11</v>
      </c>
      <c r="P418" s="19"/>
      <c r="Q418" s="19"/>
    </row>
    <row r="419" spans="1:17" s="67" customFormat="1" hidden="1">
      <c r="A419" s="1" t="s">
        <v>548</v>
      </c>
      <c r="B419" s="1" t="s">
        <v>564</v>
      </c>
      <c r="C419" s="71">
        <v>128688655297</v>
      </c>
      <c r="D419" s="3">
        <v>-66184.740000000005</v>
      </c>
      <c r="E419" s="3">
        <v>9150511.0899999999</v>
      </c>
      <c r="F419" s="1" t="s">
        <v>3066</v>
      </c>
      <c r="G419" s="19">
        <f>+D419/1.006</f>
        <v>-65790</v>
      </c>
      <c r="H419" s="19">
        <f>+D419-G419</f>
        <v>-394.74000000000524</v>
      </c>
      <c r="I419" s="19">
        <f>-IFERROR(VLOOKUP(C419,SIRCUPA!$A$21:$H$221,8,0),0)</f>
        <v>0</v>
      </c>
      <c r="J419" s="86">
        <f>-IFERROR(VLOOKUP(C419,SIRTAC!$A$16:$H$1458,8,0),0)</f>
        <v>0</v>
      </c>
      <c r="K419" s="86">
        <f>-IFERROR(VLOOKUP(C419,Gastos!$A$9:$J$1451,10,0),0)</f>
        <v>0</v>
      </c>
      <c r="L419" s="86">
        <f>+D419-G419</f>
        <v>-394.74000000000524</v>
      </c>
      <c r="M419" s="94">
        <f>+D419-I419-J419-K419-L419</f>
        <v>-65790</v>
      </c>
      <c r="N419" s="1"/>
      <c r="O419" s="1"/>
      <c r="P419" s="19"/>
      <c r="Q419" s="19"/>
    </row>
    <row r="420" spans="1:17" s="67" customFormat="1" hidden="1">
      <c r="A420" s="1" t="s">
        <v>548</v>
      </c>
      <c r="B420" s="1" t="s">
        <v>570</v>
      </c>
      <c r="C420" s="71">
        <v>128707476349</v>
      </c>
      <c r="D420" s="3">
        <v>-378098</v>
      </c>
      <c r="E420" s="3">
        <v>7581502.9400000004</v>
      </c>
      <c r="F420" s="1" t="s">
        <v>3066</v>
      </c>
      <c r="G420" s="19">
        <f>+D420/1.006</f>
        <v>-375842.94234592444</v>
      </c>
      <c r="H420" s="19">
        <f>+D420-G420</f>
        <v>-2255.0576540755574</v>
      </c>
      <c r="I420" s="19">
        <f>-IFERROR(VLOOKUP(C420,SIRCUPA!$A$21:$H$221,8,0),0)</f>
        <v>0</v>
      </c>
      <c r="J420" s="86">
        <f>-IFERROR(VLOOKUP(C420,SIRTAC!$A$16:$H$1458,8,0),0)</f>
        <v>0</v>
      </c>
      <c r="K420" s="86">
        <f>-IFERROR(VLOOKUP(C420,Gastos!$A$9:$J$1451,10,0),0)</f>
        <v>0</v>
      </c>
      <c r="L420" s="86">
        <f>+D420-G420</f>
        <v>-2255.0576540755574</v>
      </c>
      <c r="M420" s="94">
        <f>+D420-I420-J420-K420-L420</f>
        <v>-375842.94234592444</v>
      </c>
      <c r="N420" s="1"/>
      <c r="O420" s="1"/>
      <c r="P420" s="19"/>
      <c r="Q420" s="19"/>
    </row>
    <row r="421" spans="1:17" s="67" customFormat="1" hidden="1">
      <c r="A421" s="67" t="s">
        <v>461</v>
      </c>
      <c r="B421" s="67" t="s">
        <v>51</v>
      </c>
      <c r="C421" s="75">
        <v>128840577700</v>
      </c>
      <c r="D421" s="68">
        <v>-6297.98</v>
      </c>
      <c r="E421" s="3">
        <v>14861934.41</v>
      </c>
      <c r="F421" s="67" t="s">
        <v>3062</v>
      </c>
      <c r="G421" s="69">
        <f>+D421/0.006</f>
        <v>-1049663.3333333333</v>
      </c>
      <c r="H421" s="69"/>
      <c r="I421" s="69">
        <f>-IFERROR(VLOOKUP(C421,SIRCUPA!$A$21:$H$221,8,0),0)</f>
        <v>0</v>
      </c>
      <c r="J421" s="69">
        <f>-IFERROR(VLOOKUP(C421,SIRTAC!$A$16:$H$1458,8,0),0)</f>
        <v>0</v>
      </c>
      <c r="K421" s="69">
        <f>-IFERROR(VLOOKUP(C421,Gastos!$A$9:$J$1451,10,0),0)</f>
        <v>0</v>
      </c>
      <c r="L421" s="69"/>
      <c r="M421" s="96">
        <f>+D421</f>
        <v>-6297.98</v>
      </c>
      <c r="P421" s="19"/>
      <c r="Q421" s="19"/>
    </row>
    <row r="422" spans="1:17" s="67" customFormat="1" hidden="1">
      <c r="A422" s="67" t="s">
        <v>461</v>
      </c>
      <c r="B422" s="67" t="s">
        <v>467</v>
      </c>
      <c r="C422" s="75">
        <v>128840577700</v>
      </c>
      <c r="D422" s="68">
        <v>-1049664</v>
      </c>
      <c r="E422" s="3">
        <v>14868232.390000001</v>
      </c>
      <c r="F422" s="67" t="s">
        <v>3066</v>
      </c>
      <c r="G422" s="69">
        <f>+D422/1.006</f>
        <v>-1043403.5785288271</v>
      </c>
      <c r="H422" s="69">
        <f>+D422-G422</f>
        <v>-6260.4214711729437</v>
      </c>
      <c r="I422" s="69">
        <f>-IFERROR(VLOOKUP(C422,SIRCUPA!$A$21:$H$221,8,0),0)</f>
        <v>0</v>
      </c>
      <c r="J422" s="69">
        <f>-IFERROR(VLOOKUP(C422,SIRTAC!$A$16:$H$1458,8,0),0)</f>
        <v>0</v>
      </c>
      <c r="K422" s="69">
        <f>-IFERROR(VLOOKUP(C422,Gastos!$A$9:$J$1451,10,0),0)</f>
        <v>0</v>
      </c>
      <c r="L422" s="69">
        <f>-IFERROR(VLOOKUP(C422,IDC!$A$20:$H$1763,8,0),0)</f>
        <v>-6297.98</v>
      </c>
      <c r="M422" s="96">
        <f>+D422</f>
        <v>-1049664</v>
      </c>
      <c r="P422" s="19"/>
      <c r="Q422" s="19"/>
    </row>
    <row r="423" spans="1:17" hidden="1">
      <c r="A423" s="1" t="s">
        <v>477</v>
      </c>
      <c r="B423" s="1" t="s">
        <v>15</v>
      </c>
      <c r="C423" s="71">
        <v>129181979010</v>
      </c>
      <c r="D423" s="3">
        <v>4534.5600000000004</v>
      </c>
      <c r="E423" s="3">
        <v>8714217.5299999993</v>
      </c>
      <c r="F423" s="1" t="s">
        <v>3065</v>
      </c>
      <c r="G423"/>
      <c r="H423"/>
      <c r="I423" s="19">
        <f>-IFERROR(VLOOKUP(C423,SIRCUPA!$A$21:$H$221,8,0),0)</f>
        <v>0</v>
      </c>
      <c r="J423" s="86">
        <f>-IFERROR(VLOOKUP(C423,SIRTAC!$A$16:$H$1458,8,0),0)</f>
        <v>-48</v>
      </c>
      <c r="K423" s="86">
        <f>-IFERROR(VLOOKUP(C423,Gastos!$A$9:$J$1451,10,0),0)</f>
        <v>-188.64</v>
      </c>
      <c r="L423" s="86">
        <f>-IFERROR(VLOOKUP(C423,IDC!$A$20:$H$1763,8,0),0)</f>
        <v>-28.8</v>
      </c>
      <c r="M423" s="95">
        <f t="shared" ref="M423:M454" si="14">+D423-I423-J423-K423-L423</f>
        <v>4800.0000000000009</v>
      </c>
      <c r="O423" s="1"/>
    </row>
    <row r="424" spans="1:17" hidden="1">
      <c r="A424" s="1" t="s">
        <v>477</v>
      </c>
      <c r="B424" s="1" t="s">
        <v>15</v>
      </c>
      <c r="C424" s="71">
        <v>129185058794</v>
      </c>
      <c r="D424" s="3">
        <v>12529.02</v>
      </c>
      <c r="E424" s="3">
        <v>8726746.5500000007</v>
      </c>
      <c r="F424" s="1" t="s">
        <v>3065</v>
      </c>
      <c r="G424"/>
      <c r="H424"/>
      <c r="I424" s="19">
        <f>-IFERROR(VLOOKUP(C424,SIRCUPA!$A$21:$H$221,8,0),0)</f>
        <v>0</v>
      </c>
      <c r="J424" s="86">
        <f>-IFERROR(VLOOKUP(C424,SIRTAC!$A$16:$H$1458,8,0),0)</f>
        <v>-138</v>
      </c>
      <c r="K424" s="86">
        <f>-IFERROR(VLOOKUP(C424,Gastos!$A$9:$J$1451,10,0),0)</f>
        <v>-1050.18</v>
      </c>
      <c r="L424" s="86">
        <f>-IFERROR(VLOOKUP(C424,IDC!$A$20:$H$1763,8,0),0)</f>
        <v>-82.8</v>
      </c>
      <c r="M424" s="95">
        <f t="shared" si="14"/>
        <v>13800</v>
      </c>
      <c r="O424" s="1"/>
    </row>
    <row r="425" spans="1:17" hidden="1">
      <c r="A425" s="1" t="s">
        <v>477</v>
      </c>
      <c r="B425" s="1" t="s">
        <v>15</v>
      </c>
      <c r="C425" s="71">
        <v>129187574742</v>
      </c>
      <c r="D425" s="3">
        <v>15870.96</v>
      </c>
      <c r="E425" s="3">
        <v>8742617.5099999998</v>
      </c>
      <c r="F425" s="1" t="s">
        <v>3065</v>
      </c>
      <c r="G425"/>
      <c r="H425"/>
      <c r="I425" s="19">
        <f>-IFERROR(VLOOKUP(C425,SIRCUPA!$A$21:$H$221,8,0),0)</f>
        <v>0</v>
      </c>
      <c r="J425" s="86">
        <f>-IFERROR(VLOOKUP(C425,SIRTAC!$A$16:$H$1458,8,0),0)</f>
        <v>-168</v>
      </c>
      <c r="K425" s="86">
        <f>-IFERROR(VLOOKUP(C425,Gastos!$A$9:$J$1451,10,0),0)</f>
        <v>-660.24</v>
      </c>
      <c r="L425" s="86">
        <f>-IFERROR(VLOOKUP(C425,IDC!$A$20:$H$1763,8,0),0)</f>
        <v>-100.8</v>
      </c>
      <c r="M425" s="95">
        <f t="shared" si="14"/>
        <v>16800</v>
      </c>
      <c r="O425" s="1"/>
    </row>
    <row r="426" spans="1:17" hidden="1">
      <c r="A426" s="1" t="s">
        <v>477</v>
      </c>
      <c r="B426" s="1" t="s">
        <v>15</v>
      </c>
      <c r="C426" s="71">
        <v>128623220757</v>
      </c>
      <c r="D426" s="3">
        <v>5668.2</v>
      </c>
      <c r="E426" s="3">
        <v>8748285.7100000009</v>
      </c>
      <c r="F426" s="1" t="s">
        <v>3065</v>
      </c>
      <c r="G426"/>
      <c r="H426"/>
      <c r="I426" s="19">
        <f>-IFERROR(VLOOKUP(C426,SIRCUPA!$A$21:$H$221,8,0),0)</f>
        <v>0</v>
      </c>
      <c r="J426" s="86">
        <f>-IFERROR(VLOOKUP(C426,SIRTAC!$A$16:$H$1458,8,0),0)</f>
        <v>-60</v>
      </c>
      <c r="K426" s="86">
        <f>-IFERROR(VLOOKUP(C426,Gastos!$A$9:$J$1451,10,0),0)</f>
        <v>-235.8</v>
      </c>
      <c r="L426" s="86">
        <f>-IFERROR(VLOOKUP(C426,IDC!$A$20:$H$1763,8,0),0)</f>
        <v>-36</v>
      </c>
      <c r="M426" s="95">
        <f t="shared" si="14"/>
        <v>6000</v>
      </c>
      <c r="O426" s="1"/>
    </row>
    <row r="427" spans="1:17" hidden="1">
      <c r="A427" s="1" t="s">
        <v>477</v>
      </c>
      <c r="B427" s="1" t="s">
        <v>15</v>
      </c>
      <c r="C427" s="71">
        <v>129194128550</v>
      </c>
      <c r="D427" s="3">
        <v>2922.9</v>
      </c>
      <c r="E427" s="3">
        <v>8751208.6099999994</v>
      </c>
      <c r="F427" s="1" t="s">
        <v>3065</v>
      </c>
      <c r="G427"/>
      <c r="H427"/>
      <c r="I427" s="19">
        <f>-IFERROR(VLOOKUP(C427,SIRCUPA!$A$21:$H$221,8,0),0)</f>
        <v>0</v>
      </c>
      <c r="J427" s="86">
        <f>-IFERROR(VLOOKUP(C427,SIRTAC!$A$16:$H$1458,8,0),0)</f>
        <v>-30</v>
      </c>
      <c r="K427" s="86">
        <f>-IFERROR(VLOOKUP(C427,Gastos!$A$9:$J$1451,10,0),0)</f>
        <v>-29.1</v>
      </c>
      <c r="L427" s="86">
        <f>-IFERROR(VLOOKUP(C427,IDC!$A$20:$H$1763,8,0),0)</f>
        <v>-18</v>
      </c>
      <c r="M427" s="95">
        <f t="shared" si="14"/>
        <v>3000</v>
      </c>
      <c r="O427" s="1"/>
    </row>
    <row r="428" spans="1:17" hidden="1">
      <c r="A428" s="1" t="s">
        <v>477</v>
      </c>
      <c r="B428" s="1" t="s">
        <v>15</v>
      </c>
      <c r="C428" s="71">
        <v>129195133392</v>
      </c>
      <c r="D428" s="3">
        <v>5845.8</v>
      </c>
      <c r="E428" s="3">
        <v>8757054.4100000001</v>
      </c>
      <c r="F428" s="1" t="s">
        <v>3065</v>
      </c>
      <c r="G428"/>
      <c r="H428"/>
      <c r="I428" s="19">
        <f>-IFERROR(VLOOKUP(C428,SIRCUPA!$A$21:$H$221,8,0),0)</f>
        <v>0</v>
      </c>
      <c r="J428" s="86">
        <f>-IFERROR(VLOOKUP(C428,SIRTAC!$A$16:$H$1458,8,0),0)</f>
        <v>-60</v>
      </c>
      <c r="K428" s="86">
        <f>-IFERROR(VLOOKUP(C428,Gastos!$A$9:$J$1451,10,0),0)</f>
        <v>-58.2</v>
      </c>
      <c r="L428" s="86">
        <f>-IFERROR(VLOOKUP(C428,IDC!$A$20:$H$1763,8,0),0)</f>
        <v>-36</v>
      </c>
      <c r="M428" s="95">
        <f t="shared" si="14"/>
        <v>6000</v>
      </c>
      <c r="O428" s="1"/>
    </row>
    <row r="429" spans="1:17" hidden="1">
      <c r="A429" s="1" t="s">
        <v>477</v>
      </c>
      <c r="B429" s="1" t="s">
        <v>15</v>
      </c>
      <c r="C429" s="71">
        <v>128624814139</v>
      </c>
      <c r="D429" s="3">
        <v>2922.9</v>
      </c>
      <c r="E429" s="3">
        <v>8759977.3100000005</v>
      </c>
      <c r="F429" s="1" t="s">
        <v>3065</v>
      </c>
      <c r="G429"/>
      <c r="H429"/>
      <c r="I429" s="19">
        <f>-IFERROR(VLOOKUP(C429,SIRCUPA!$A$21:$H$221,8,0),0)</f>
        <v>0</v>
      </c>
      <c r="J429" s="86">
        <f>-IFERROR(VLOOKUP(C429,SIRTAC!$A$16:$H$1458,8,0),0)</f>
        <v>-30</v>
      </c>
      <c r="K429" s="86">
        <f>-IFERROR(VLOOKUP(C429,Gastos!$A$9:$J$1451,10,0),0)</f>
        <v>-29.1</v>
      </c>
      <c r="L429" s="86">
        <f>-IFERROR(VLOOKUP(C429,IDC!$A$20:$H$1763,8,0),0)</f>
        <v>-18</v>
      </c>
      <c r="M429" s="95">
        <f t="shared" si="14"/>
        <v>3000</v>
      </c>
      <c r="O429" s="1"/>
    </row>
    <row r="430" spans="1:17" hidden="1">
      <c r="A430" s="1" t="s">
        <v>477</v>
      </c>
      <c r="B430" s="1" t="s">
        <v>495</v>
      </c>
      <c r="C430" s="71">
        <v>128624750885</v>
      </c>
      <c r="D430" s="2">
        <v>146.85</v>
      </c>
      <c r="E430" s="3">
        <v>8760124.1600000001</v>
      </c>
      <c r="F430" s="1" t="s">
        <v>3065</v>
      </c>
      <c r="G430"/>
      <c r="H430"/>
      <c r="I430" s="19">
        <f>-IFERROR(VLOOKUP(C430,SIRCUPA!$A$21:$H$221,8,0),0)</f>
        <v>-2.25</v>
      </c>
      <c r="J430" s="86">
        <f>-IFERROR(VLOOKUP(C430,SIRTAC!$A$16:$H$1458,8,0),0)</f>
        <v>0</v>
      </c>
      <c r="K430" s="86">
        <f>-IFERROR(VLOOKUP(C430,Gastos!$A$9:$J$1451,10,0),0)</f>
        <v>0</v>
      </c>
      <c r="L430" s="86">
        <f>-IFERROR(VLOOKUP(C430,IDC!$A$20:$H$1763,8,0),0)</f>
        <v>-0.9</v>
      </c>
      <c r="M430" s="95">
        <f t="shared" si="14"/>
        <v>150</v>
      </c>
      <c r="O430" s="1"/>
    </row>
    <row r="431" spans="1:17" hidden="1">
      <c r="A431" s="1" t="s">
        <v>477</v>
      </c>
      <c r="B431" s="1" t="s">
        <v>15</v>
      </c>
      <c r="C431" s="71">
        <v>129197916964</v>
      </c>
      <c r="D431" s="3">
        <v>5668.2</v>
      </c>
      <c r="E431" s="3">
        <v>8765792.3599999994</v>
      </c>
      <c r="F431" s="1" t="s">
        <v>3065</v>
      </c>
      <c r="G431"/>
      <c r="H431"/>
      <c r="I431" s="19">
        <f>-IFERROR(VLOOKUP(C431,SIRCUPA!$A$21:$H$221,8,0),0)</f>
        <v>0</v>
      </c>
      <c r="J431" s="86">
        <f>-IFERROR(VLOOKUP(C431,SIRTAC!$A$16:$H$1458,8,0),0)</f>
        <v>-60</v>
      </c>
      <c r="K431" s="86">
        <f>-IFERROR(VLOOKUP(C431,Gastos!$A$9:$J$1451,10,0),0)</f>
        <v>-235.8</v>
      </c>
      <c r="L431" s="86">
        <f>-IFERROR(VLOOKUP(C431,IDC!$A$20:$H$1763,8,0),0)</f>
        <v>-36</v>
      </c>
      <c r="M431" s="95">
        <f t="shared" si="14"/>
        <v>6000</v>
      </c>
      <c r="O431" s="1"/>
    </row>
    <row r="432" spans="1:17" hidden="1">
      <c r="A432" s="1" t="s">
        <v>477</v>
      </c>
      <c r="B432" s="1" t="s">
        <v>15</v>
      </c>
      <c r="C432" s="71">
        <v>128628824137</v>
      </c>
      <c r="D432" s="3">
        <v>4676.6400000000003</v>
      </c>
      <c r="E432" s="3">
        <v>8770469</v>
      </c>
      <c r="F432" s="1" t="s">
        <v>3065</v>
      </c>
      <c r="G432"/>
      <c r="H432"/>
      <c r="I432" s="19">
        <f>-IFERROR(VLOOKUP(C432,SIRCUPA!$A$21:$H$221,8,0),0)</f>
        <v>0</v>
      </c>
      <c r="J432" s="86">
        <f>-IFERROR(VLOOKUP(C432,SIRTAC!$A$16:$H$1458,8,0),0)</f>
        <v>-48</v>
      </c>
      <c r="K432" s="86">
        <f>-IFERROR(VLOOKUP(C432,Gastos!$A$9:$J$1451,10,0),0)</f>
        <v>-46.56</v>
      </c>
      <c r="L432" s="86">
        <f>-IFERROR(VLOOKUP(C432,IDC!$A$20:$H$1763,8,0),0)</f>
        <v>-28.8</v>
      </c>
      <c r="M432" s="95">
        <f t="shared" si="14"/>
        <v>4800.0000000000009</v>
      </c>
      <c r="O432" s="1"/>
    </row>
    <row r="433" spans="1:15" hidden="1">
      <c r="A433" s="1" t="s">
        <v>477</v>
      </c>
      <c r="B433" s="1" t="s">
        <v>499</v>
      </c>
      <c r="C433" s="71">
        <v>129199375094</v>
      </c>
      <c r="D433" s="2">
        <v>234.96</v>
      </c>
      <c r="E433" s="3">
        <v>8770703.9600000009</v>
      </c>
      <c r="F433" s="1" t="s">
        <v>3065</v>
      </c>
      <c r="G433"/>
      <c r="H433"/>
      <c r="I433" s="19">
        <f>-IFERROR(VLOOKUP(C433,SIRCUPA!$A$21:$H$221,8,0),0)</f>
        <v>-3.6</v>
      </c>
      <c r="J433" s="86">
        <f>-IFERROR(VLOOKUP(C433,SIRTAC!$A$16:$H$1458,8,0),0)</f>
        <v>0</v>
      </c>
      <c r="K433" s="86">
        <f>-IFERROR(VLOOKUP(C433,Gastos!$A$9:$J$1451,10,0),0)</f>
        <v>0</v>
      </c>
      <c r="L433" s="86">
        <f>-IFERROR(VLOOKUP(C433,IDC!$A$20:$H$1763,8,0),0)</f>
        <v>-1.44</v>
      </c>
      <c r="M433" s="95">
        <f t="shared" si="14"/>
        <v>240</v>
      </c>
      <c r="O433" s="1"/>
    </row>
    <row r="434" spans="1:15" hidden="1">
      <c r="A434" s="1" t="s">
        <v>477</v>
      </c>
      <c r="B434" s="1" t="s">
        <v>15</v>
      </c>
      <c r="C434" s="71">
        <v>128628953665</v>
      </c>
      <c r="D434" s="3">
        <v>2922.9</v>
      </c>
      <c r="E434" s="3">
        <v>8773626.8599999994</v>
      </c>
      <c r="F434" s="1" t="s">
        <v>3065</v>
      </c>
      <c r="G434"/>
      <c r="H434"/>
      <c r="I434" s="19">
        <f>-IFERROR(VLOOKUP(C434,SIRCUPA!$A$21:$H$221,8,0),0)</f>
        <v>0</v>
      </c>
      <c r="J434" s="86">
        <f>-IFERROR(VLOOKUP(C434,SIRTAC!$A$16:$H$1458,8,0),0)</f>
        <v>-30</v>
      </c>
      <c r="K434" s="86">
        <f>-IFERROR(VLOOKUP(C434,Gastos!$A$9:$J$1451,10,0),0)</f>
        <v>-29.1</v>
      </c>
      <c r="L434" s="86">
        <f>-IFERROR(VLOOKUP(C434,IDC!$A$20:$H$1763,8,0),0)</f>
        <v>-18</v>
      </c>
      <c r="M434" s="95">
        <f t="shared" si="14"/>
        <v>3000</v>
      </c>
      <c r="O434" s="1"/>
    </row>
    <row r="435" spans="1:15" hidden="1">
      <c r="A435" s="1" t="s">
        <v>477</v>
      </c>
      <c r="B435" s="1" t="s">
        <v>15</v>
      </c>
      <c r="C435" s="71">
        <v>129201065142</v>
      </c>
      <c r="D435" s="3">
        <v>27868.65</v>
      </c>
      <c r="E435" s="3">
        <v>8801495.5099999998</v>
      </c>
      <c r="F435" s="1" t="s">
        <v>3065</v>
      </c>
      <c r="G435"/>
      <c r="H435"/>
      <c r="I435" s="19">
        <f>-IFERROR(VLOOKUP(C435,SIRCUPA!$A$21:$H$221,8,0),0)</f>
        <v>0</v>
      </c>
      <c r="J435" s="86">
        <f>-IFERROR(VLOOKUP(C435,SIRTAC!$A$16:$H$1458,8,0),0)</f>
        <v>-295</v>
      </c>
      <c r="K435" s="86">
        <f>-IFERROR(VLOOKUP(C435,Gastos!$A$9:$J$1451,10,0),0)</f>
        <v>-1159.3499999999999</v>
      </c>
      <c r="L435" s="86">
        <f>-IFERROR(VLOOKUP(C435,IDC!$A$20:$H$1763,8,0),0)</f>
        <v>-177</v>
      </c>
      <c r="M435" s="95">
        <f t="shared" si="14"/>
        <v>29500</v>
      </c>
      <c r="O435" s="1"/>
    </row>
    <row r="436" spans="1:15" hidden="1">
      <c r="A436" s="1" t="s">
        <v>477</v>
      </c>
      <c r="B436" s="1" t="s">
        <v>15</v>
      </c>
      <c r="C436" s="71">
        <v>129201225626</v>
      </c>
      <c r="D436" s="3">
        <v>9743</v>
      </c>
      <c r="E436" s="3">
        <v>8811238.5099999998</v>
      </c>
      <c r="F436" s="1" t="s">
        <v>3065</v>
      </c>
      <c r="G436"/>
      <c r="H436"/>
      <c r="I436" s="19">
        <f>-IFERROR(VLOOKUP(C436,SIRCUPA!$A$21:$H$221,8,0),0)</f>
        <v>0</v>
      </c>
      <c r="J436" s="86">
        <f>-IFERROR(VLOOKUP(C436,SIRTAC!$A$16:$H$1458,8,0),0)</f>
        <v>-100</v>
      </c>
      <c r="K436" s="86">
        <f>-IFERROR(VLOOKUP(C436,Gastos!$A$9:$J$1451,10,0),0)</f>
        <v>-97</v>
      </c>
      <c r="L436" s="86">
        <f>-IFERROR(VLOOKUP(C436,IDC!$A$20:$H$1763,8,0),0)</f>
        <v>-60</v>
      </c>
      <c r="M436" s="95">
        <f t="shared" si="14"/>
        <v>10000</v>
      </c>
      <c r="O436" s="1"/>
    </row>
    <row r="437" spans="1:15" hidden="1">
      <c r="A437" s="1" t="s">
        <v>477</v>
      </c>
      <c r="B437" s="1" t="s">
        <v>504</v>
      </c>
      <c r="C437" s="71">
        <v>128630547191</v>
      </c>
      <c r="D437" s="2">
        <v>489.5</v>
      </c>
      <c r="E437" s="3">
        <v>8811728.0099999998</v>
      </c>
      <c r="F437" s="1" t="s">
        <v>3065</v>
      </c>
      <c r="G437"/>
      <c r="H437"/>
      <c r="I437" s="19">
        <f>-IFERROR(VLOOKUP(C437,SIRCUPA!$A$21:$H$221,8,0),0)</f>
        <v>-7.5</v>
      </c>
      <c r="J437" s="86">
        <f>-IFERROR(VLOOKUP(C437,SIRTAC!$A$16:$H$1458,8,0),0)</f>
        <v>0</v>
      </c>
      <c r="K437" s="86">
        <f>-IFERROR(VLOOKUP(C437,Gastos!$A$9:$J$1451,10,0),0)</f>
        <v>0</v>
      </c>
      <c r="L437" s="86">
        <f>-IFERROR(VLOOKUP(C437,IDC!$A$20:$H$1763,8,0),0)</f>
        <v>-3</v>
      </c>
      <c r="M437" s="95">
        <f t="shared" si="14"/>
        <v>500</v>
      </c>
      <c r="O437" s="1"/>
    </row>
    <row r="438" spans="1:15" hidden="1">
      <c r="A438" s="1" t="s">
        <v>477</v>
      </c>
      <c r="B438" s="1" t="s">
        <v>15</v>
      </c>
      <c r="C438" s="71">
        <v>128630753069</v>
      </c>
      <c r="D438" s="3">
        <v>38387.42</v>
      </c>
      <c r="E438" s="3">
        <v>8850115.4299999997</v>
      </c>
      <c r="F438" s="1" t="s">
        <v>3065</v>
      </c>
      <c r="G438"/>
      <c r="H438"/>
      <c r="I438" s="19">
        <f>-IFERROR(VLOOKUP(C438,SIRCUPA!$A$21:$H$221,8,0),0)</f>
        <v>0</v>
      </c>
      <c r="J438" s="86">
        <f>-IFERROR(VLOOKUP(C438,SIRTAC!$A$16:$H$1458,8,0),0)</f>
        <v>-394</v>
      </c>
      <c r="K438" s="86">
        <f>-IFERROR(VLOOKUP(C438,Gastos!$A$9:$J$1451,10,0),0)</f>
        <v>-382.18</v>
      </c>
      <c r="L438" s="86">
        <f>-IFERROR(VLOOKUP(C438,IDC!$A$20:$H$1763,8,0),0)</f>
        <v>-236.4</v>
      </c>
      <c r="M438" s="95">
        <f t="shared" si="14"/>
        <v>39400</v>
      </c>
      <c r="O438" s="1"/>
    </row>
    <row r="439" spans="1:15" hidden="1">
      <c r="A439" s="1" t="s">
        <v>477</v>
      </c>
      <c r="B439" s="1" t="s">
        <v>15</v>
      </c>
      <c r="C439" s="71">
        <v>128631028957</v>
      </c>
      <c r="D439" s="3">
        <v>24467.73</v>
      </c>
      <c r="E439" s="3">
        <v>8874583.1600000001</v>
      </c>
      <c r="F439" s="1" t="s">
        <v>3065</v>
      </c>
      <c r="G439"/>
      <c r="H439"/>
      <c r="I439" s="19">
        <f>-IFERROR(VLOOKUP(C439,SIRCUPA!$A$21:$H$221,8,0),0)</f>
        <v>0</v>
      </c>
      <c r="J439" s="86">
        <f>-IFERROR(VLOOKUP(C439,SIRTAC!$A$16:$H$1458,8,0),0)</f>
        <v>-259</v>
      </c>
      <c r="K439" s="86">
        <f>-IFERROR(VLOOKUP(C439,Gastos!$A$9:$J$1451,10,0),0)</f>
        <v>-1017.87</v>
      </c>
      <c r="L439" s="86">
        <f>-IFERROR(VLOOKUP(C439,IDC!$A$20:$H$1763,8,0),0)</f>
        <v>-155.4</v>
      </c>
      <c r="M439" s="95">
        <f t="shared" si="14"/>
        <v>25900</v>
      </c>
      <c r="O439" s="1"/>
    </row>
    <row r="440" spans="1:15" hidden="1">
      <c r="A440" s="1" t="s">
        <v>477</v>
      </c>
      <c r="B440" s="1" t="s">
        <v>15</v>
      </c>
      <c r="C440" s="71">
        <v>129201952360</v>
      </c>
      <c r="D440" s="3">
        <v>3702.34</v>
      </c>
      <c r="E440" s="3">
        <v>8878285.5</v>
      </c>
      <c r="F440" s="1" t="s">
        <v>3065</v>
      </c>
      <c r="G440"/>
      <c r="H440"/>
      <c r="I440" s="19">
        <f>-IFERROR(VLOOKUP(C440,SIRCUPA!$A$21:$H$221,8,0),0)</f>
        <v>0</v>
      </c>
      <c r="J440" s="86">
        <f>-IFERROR(VLOOKUP(C440,SIRTAC!$A$16:$H$1458,8,0),0)</f>
        <v>-38</v>
      </c>
      <c r="K440" s="86">
        <f>-IFERROR(VLOOKUP(C440,Gastos!$A$9:$J$1451,10,0),0)</f>
        <v>-36.86</v>
      </c>
      <c r="L440" s="86">
        <f>-IFERROR(VLOOKUP(C440,IDC!$A$20:$H$1763,8,0),0)</f>
        <v>-22.8</v>
      </c>
      <c r="M440" s="95">
        <f t="shared" si="14"/>
        <v>3800.0000000000005</v>
      </c>
      <c r="O440" s="1"/>
    </row>
    <row r="441" spans="1:15" hidden="1">
      <c r="A441" s="1" t="s">
        <v>477</v>
      </c>
      <c r="B441" s="1" t="s">
        <v>509</v>
      </c>
      <c r="C441" s="71">
        <v>128631129561</v>
      </c>
      <c r="D441" s="2">
        <v>186.01</v>
      </c>
      <c r="E441" s="3">
        <v>8878471.5099999998</v>
      </c>
      <c r="F441" s="1" t="s">
        <v>3065</v>
      </c>
      <c r="G441"/>
      <c r="H441"/>
      <c r="I441" s="19">
        <f>-IFERROR(VLOOKUP(C441,SIRCUPA!$A$21:$H$221,8,0),0)</f>
        <v>-2.85</v>
      </c>
      <c r="J441" s="86">
        <f>-IFERROR(VLOOKUP(C441,SIRTAC!$A$16:$H$1458,8,0),0)</f>
        <v>0</v>
      </c>
      <c r="K441" s="86">
        <f>-IFERROR(VLOOKUP(C441,Gastos!$A$9:$J$1451,10,0),0)</f>
        <v>0</v>
      </c>
      <c r="L441" s="86">
        <f>-IFERROR(VLOOKUP(C441,IDC!$A$20:$H$1763,8,0),0)</f>
        <v>-1.1399999999999999</v>
      </c>
      <c r="M441" s="95">
        <f t="shared" si="14"/>
        <v>189.99999999999997</v>
      </c>
      <c r="O441" s="1"/>
    </row>
    <row r="442" spans="1:15" hidden="1">
      <c r="A442" s="1" t="s">
        <v>477</v>
      </c>
      <c r="B442" s="1" t="s">
        <v>15</v>
      </c>
      <c r="C442" s="71">
        <v>128631398585</v>
      </c>
      <c r="D442" s="3">
        <v>9353.2800000000007</v>
      </c>
      <c r="E442" s="3">
        <v>8887824.7899999991</v>
      </c>
      <c r="F442" s="1" t="s">
        <v>3065</v>
      </c>
      <c r="G442"/>
      <c r="H442"/>
      <c r="I442" s="19">
        <f>-IFERROR(VLOOKUP(C442,SIRCUPA!$A$21:$H$221,8,0),0)</f>
        <v>0</v>
      </c>
      <c r="J442" s="86">
        <f>-IFERROR(VLOOKUP(C442,SIRTAC!$A$16:$H$1458,8,0),0)</f>
        <v>-96</v>
      </c>
      <c r="K442" s="86">
        <f>-IFERROR(VLOOKUP(C442,Gastos!$A$9:$J$1451,10,0),0)</f>
        <v>-93.12</v>
      </c>
      <c r="L442" s="86">
        <f>-IFERROR(VLOOKUP(C442,IDC!$A$20:$H$1763,8,0),0)</f>
        <v>-57.6</v>
      </c>
      <c r="M442" s="95">
        <f t="shared" si="14"/>
        <v>9600.0000000000018</v>
      </c>
      <c r="O442" s="1"/>
    </row>
    <row r="443" spans="1:15" hidden="1">
      <c r="A443" s="1" t="s">
        <v>477</v>
      </c>
      <c r="B443" s="1" t="s">
        <v>15</v>
      </c>
      <c r="C443" s="71">
        <v>128632421311</v>
      </c>
      <c r="D443" s="3">
        <v>3589.86</v>
      </c>
      <c r="E443" s="3">
        <v>8891414.6500000004</v>
      </c>
      <c r="F443" s="1" t="s">
        <v>3065</v>
      </c>
      <c r="G443"/>
      <c r="H443"/>
      <c r="I443" s="19">
        <f>-IFERROR(VLOOKUP(C443,SIRCUPA!$A$21:$H$221,8,0),0)</f>
        <v>0</v>
      </c>
      <c r="J443" s="86">
        <f>-IFERROR(VLOOKUP(C443,SIRTAC!$A$16:$H$1458,8,0),0)</f>
        <v>-38</v>
      </c>
      <c r="K443" s="86">
        <f>-IFERROR(VLOOKUP(C443,Gastos!$A$9:$J$1451,10,0),0)</f>
        <v>-149.34</v>
      </c>
      <c r="L443" s="86">
        <f>-IFERROR(VLOOKUP(C443,IDC!$A$20:$H$1763,8,0),0)</f>
        <v>-22.8</v>
      </c>
      <c r="M443" s="95">
        <f t="shared" si="14"/>
        <v>3800.0000000000005</v>
      </c>
      <c r="O443" s="1"/>
    </row>
    <row r="444" spans="1:15" hidden="1">
      <c r="A444" s="1" t="s">
        <v>477</v>
      </c>
      <c r="B444" s="1" t="s">
        <v>15</v>
      </c>
      <c r="C444" s="71">
        <v>129203149610</v>
      </c>
      <c r="D444" s="3">
        <v>9069.1200000000008</v>
      </c>
      <c r="E444" s="3">
        <v>8900483.7699999996</v>
      </c>
      <c r="F444" s="1" t="s">
        <v>3065</v>
      </c>
      <c r="G444"/>
      <c r="H444"/>
      <c r="I444" s="19">
        <f>-IFERROR(VLOOKUP(C444,SIRCUPA!$A$21:$H$221,8,0),0)</f>
        <v>0</v>
      </c>
      <c r="J444" s="86">
        <f>-IFERROR(VLOOKUP(C444,SIRTAC!$A$16:$H$1458,8,0),0)</f>
        <v>-96</v>
      </c>
      <c r="K444" s="86">
        <f>-IFERROR(VLOOKUP(C444,Gastos!$A$9:$J$1451,10,0),0)</f>
        <v>-377.28</v>
      </c>
      <c r="L444" s="86">
        <f>-IFERROR(VLOOKUP(C444,IDC!$A$20:$H$1763,8,0),0)</f>
        <v>-57.6</v>
      </c>
      <c r="M444" s="95">
        <f t="shared" si="14"/>
        <v>9600.0000000000018</v>
      </c>
      <c r="O444" s="1"/>
    </row>
    <row r="445" spans="1:15" hidden="1">
      <c r="A445" s="1" t="s">
        <v>477</v>
      </c>
      <c r="B445" s="1" t="s">
        <v>15</v>
      </c>
      <c r="C445" s="71">
        <v>129204840076</v>
      </c>
      <c r="D445" s="3">
        <v>4534.5600000000004</v>
      </c>
      <c r="E445" s="3">
        <v>8905018.3300000001</v>
      </c>
      <c r="F445" s="1" t="s">
        <v>3065</v>
      </c>
      <c r="G445"/>
      <c r="H445"/>
      <c r="I445" s="19">
        <f>-IFERROR(VLOOKUP(C445,SIRCUPA!$A$21:$H$221,8,0),0)</f>
        <v>0</v>
      </c>
      <c r="J445" s="86">
        <f>-IFERROR(VLOOKUP(C445,SIRTAC!$A$16:$H$1458,8,0),0)</f>
        <v>-48</v>
      </c>
      <c r="K445" s="86">
        <f>-IFERROR(VLOOKUP(C445,Gastos!$A$9:$J$1451,10,0),0)</f>
        <v>-188.64</v>
      </c>
      <c r="L445" s="86">
        <f>-IFERROR(VLOOKUP(C445,IDC!$A$20:$H$1763,8,0),0)</f>
        <v>-28.8</v>
      </c>
      <c r="M445" s="95">
        <f t="shared" si="14"/>
        <v>4800.0000000000009</v>
      </c>
      <c r="O445" s="1"/>
    </row>
    <row r="446" spans="1:15" hidden="1">
      <c r="A446" s="1" t="s">
        <v>477</v>
      </c>
      <c r="B446" s="1" t="s">
        <v>15</v>
      </c>
      <c r="C446" s="71">
        <v>129205192540</v>
      </c>
      <c r="D446" s="3">
        <v>27280.400000000001</v>
      </c>
      <c r="E446" s="3">
        <v>8932298.7300000004</v>
      </c>
      <c r="F446" s="1" t="s">
        <v>3065</v>
      </c>
      <c r="G446"/>
      <c r="H446"/>
      <c r="I446" s="19">
        <f>-IFERROR(VLOOKUP(C446,SIRCUPA!$A$21:$H$221,8,0),0)</f>
        <v>0</v>
      </c>
      <c r="J446" s="86">
        <f>-IFERROR(VLOOKUP(C446,SIRTAC!$A$16:$H$1458,8,0),0)</f>
        <v>-280</v>
      </c>
      <c r="K446" s="86">
        <f>-IFERROR(VLOOKUP(C446,Gastos!$A$9:$J$1451,10,0),0)</f>
        <v>-271.60000000000002</v>
      </c>
      <c r="L446" s="86">
        <f>-IFERROR(VLOOKUP(C446,IDC!$A$20:$H$1763,8,0),0)</f>
        <v>-168</v>
      </c>
      <c r="M446" s="95">
        <f t="shared" si="14"/>
        <v>28000</v>
      </c>
      <c r="O446" s="1"/>
    </row>
    <row r="447" spans="1:15" hidden="1">
      <c r="A447" s="1" t="s">
        <v>477</v>
      </c>
      <c r="B447" s="1" t="s">
        <v>516</v>
      </c>
      <c r="C447" s="71">
        <v>128634472533</v>
      </c>
      <c r="D447" s="3">
        <v>1370.6</v>
      </c>
      <c r="E447" s="3">
        <v>8933669.3300000001</v>
      </c>
      <c r="F447" s="1" t="s">
        <v>3065</v>
      </c>
      <c r="G447"/>
      <c r="H447"/>
      <c r="I447" s="19">
        <f>-IFERROR(VLOOKUP(C447,SIRCUPA!$A$21:$H$221,8,0),0)</f>
        <v>-21</v>
      </c>
      <c r="J447" s="86">
        <f>-IFERROR(VLOOKUP(C447,SIRTAC!$A$16:$H$1458,8,0),0)</f>
        <v>0</v>
      </c>
      <c r="K447" s="86">
        <f>-IFERROR(VLOOKUP(C447,Gastos!$A$9:$J$1451,10,0),0)</f>
        <v>0</v>
      </c>
      <c r="L447" s="86">
        <f>-IFERROR(VLOOKUP(C447,IDC!$A$20:$H$1763,8,0),0)</f>
        <v>-8.4</v>
      </c>
      <c r="M447" s="95">
        <f t="shared" si="14"/>
        <v>1400</v>
      </c>
      <c r="O447" s="1"/>
    </row>
    <row r="448" spans="1:15" hidden="1">
      <c r="A448" s="1" t="s">
        <v>477</v>
      </c>
      <c r="B448" s="1" t="s">
        <v>15</v>
      </c>
      <c r="C448" s="71">
        <v>129205482260</v>
      </c>
      <c r="D448" s="3">
        <v>26562.38</v>
      </c>
      <c r="E448" s="3">
        <v>8960231.7100000009</v>
      </c>
      <c r="F448" s="1" t="s">
        <v>3065</v>
      </c>
      <c r="G448"/>
      <c r="H448"/>
      <c r="I448" s="19">
        <f>-IFERROR(VLOOKUP(C448,SIRCUPA!$A$21:$H$221,8,0),0)</f>
        <v>0</v>
      </c>
      <c r="J448" s="86">
        <f>-IFERROR(VLOOKUP(C448,SIRTAC!$A$16:$H$1458,8,0),0)</f>
        <v>-283</v>
      </c>
      <c r="K448" s="86">
        <f>-IFERROR(VLOOKUP(C448,Gastos!$A$9:$J$1451,10,0),0)</f>
        <v>-1284.82</v>
      </c>
      <c r="L448" s="86">
        <f>-IFERROR(VLOOKUP(C448,IDC!$A$20:$H$1763,8,0),0)</f>
        <v>-169.8</v>
      </c>
      <c r="M448" s="95">
        <f t="shared" si="14"/>
        <v>28300</v>
      </c>
      <c r="O448" s="1"/>
    </row>
    <row r="449" spans="1:15" hidden="1">
      <c r="A449" s="1" t="s">
        <v>477</v>
      </c>
      <c r="B449" s="1" t="s">
        <v>15</v>
      </c>
      <c r="C449" s="71">
        <v>129205653322</v>
      </c>
      <c r="D449" s="3">
        <v>5650.94</v>
      </c>
      <c r="E449" s="3">
        <v>8965882.6500000004</v>
      </c>
      <c r="F449" s="1" t="s">
        <v>3065</v>
      </c>
      <c r="G449"/>
      <c r="H449"/>
      <c r="I449" s="19">
        <f>-IFERROR(VLOOKUP(C449,SIRCUPA!$A$21:$H$221,8,0),0)</f>
        <v>0</v>
      </c>
      <c r="J449" s="86">
        <f>-IFERROR(VLOOKUP(C449,SIRTAC!$A$16:$H$1458,8,0),0)</f>
        <v>-58</v>
      </c>
      <c r="K449" s="86">
        <f>-IFERROR(VLOOKUP(C449,Gastos!$A$9:$J$1451,10,0),0)</f>
        <v>-56.26</v>
      </c>
      <c r="L449" s="86">
        <f>-IFERROR(VLOOKUP(C449,IDC!$A$20:$H$1763,8,0),0)</f>
        <v>-34.799999999999997</v>
      </c>
      <c r="M449" s="95">
        <f t="shared" si="14"/>
        <v>5800</v>
      </c>
      <c r="O449" s="1"/>
    </row>
    <row r="450" spans="1:15" hidden="1">
      <c r="A450" s="1" t="s">
        <v>477</v>
      </c>
      <c r="B450" s="1" t="s">
        <v>15</v>
      </c>
      <c r="C450" s="71">
        <v>128636419289</v>
      </c>
      <c r="D450" s="3">
        <v>3702.34</v>
      </c>
      <c r="E450" s="3">
        <v>8969584.9900000002</v>
      </c>
      <c r="F450" s="1" t="s">
        <v>3065</v>
      </c>
      <c r="G450"/>
      <c r="H450"/>
      <c r="I450" s="19">
        <f>-IFERROR(VLOOKUP(C450,SIRCUPA!$A$21:$H$221,8,0),0)</f>
        <v>0</v>
      </c>
      <c r="J450" s="86">
        <f>-IFERROR(VLOOKUP(C450,SIRTAC!$A$16:$H$1458,8,0),0)</f>
        <v>-38</v>
      </c>
      <c r="K450" s="86">
        <f>-IFERROR(VLOOKUP(C450,Gastos!$A$9:$J$1451,10,0),0)</f>
        <v>-36.86</v>
      </c>
      <c r="L450" s="86">
        <f>-IFERROR(VLOOKUP(C450,IDC!$A$20:$H$1763,8,0),0)</f>
        <v>-22.8</v>
      </c>
      <c r="M450" s="95">
        <f t="shared" si="14"/>
        <v>3800.0000000000005</v>
      </c>
      <c r="O450" s="1"/>
    </row>
    <row r="451" spans="1:15" hidden="1">
      <c r="A451" s="1" t="s">
        <v>477</v>
      </c>
      <c r="B451" s="1" t="s">
        <v>15</v>
      </c>
      <c r="C451" s="71">
        <v>128636662801</v>
      </c>
      <c r="D451" s="3">
        <v>30322.98</v>
      </c>
      <c r="E451" s="3">
        <v>8999907.9700000007</v>
      </c>
      <c r="F451" s="1" t="s">
        <v>3065</v>
      </c>
      <c r="G451"/>
      <c r="H451"/>
      <c r="I451" s="19">
        <f>-IFERROR(VLOOKUP(C451,SIRCUPA!$A$21:$H$221,8,0),0)</f>
        <v>0</v>
      </c>
      <c r="J451" s="86">
        <f>-IFERROR(VLOOKUP(C451,SIRTAC!$A$16:$H$1458,8,0),0)</f>
        <v>-320.98</v>
      </c>
      <c r="K451" s="86">
        <f>-IFERROR(VLOOKUP(C451,Gastos!$A$9:$J$1451,10,0),0)</f>
        <v>-1261.45</v>
      </c>
      <c r="L451" s="86">
        <f>-IFERROR(VLOOKUP(C451,IDC!$A$20:$H$1763,8,0),0)</f>
        <v>-192.59</v>
      </c>
      <c r="M451" s="95">
        <f t="shared" si="14"/>
        <v>32098</v>
      </c>
      <c r="O451" s="1"/>
    </row>
    <row r="452" spans="1:15" hidden="1">
      <c r="A452" s="1" t="s">
        <v>477</v>
      </c>
      <c r="B452" s="1" t="s">
        <v>15</v>
      </c>
      <c r="C452" s="71">
        <v>128637622361</v>
      </c>
      <c r="D452" s="3">
        <v>34781.54</v>
      </c>
      <c r="E452" s="3">
        <v>9034689.5099999998</v>
      </c>
      <c r="F452" s="1" t="s">
        <v>3065</v>
      </c>
      <c r="G452"/>
      <c r="H452"/>
      <c r="I452" s="19">
        <f>-IFERROR(VLOOKUP(C452,SIRCUPA!$A$21:$H$221,8,0),0)</f>
        <v>0</v>
      </c>
      <c r="J452" s="86">
        <f>-IFERROR(VLOOKUP(C452,SIRTAC!$A$16:$H$1458,8,0),0)</f>
        <v>-356.99</v>
      </c>
      <c r="K452" s="86">
        <f>-IFERROR(VLOOKUP(C452,Gastos!$A$9:$J$1451,10,0),0)</f>
        <v>-346.28</v>
      </c>
      <c r="L452" s="86">
        <f>-IFERROR(VLOOKUP(C452,IDC!$A$20:$H$1763,8,0),0)</f>
        <v>-214.19</v>
      </c>
      <c r="M452" s="95">
        <f t="shared" si="14"/>
        <v>35699</v>
      </c>
      <c r="O452" s="1"/>
    </row>
    <row r="453" spans="1:15" hidden="1">
      <c r="A453" s="1" t="s">
        <v>477</v>
      </c>
      <c r="B453" s="1" t="s">
        <v>15</v>
      </c>
      <c r="C453" s="71">
        <v>129208894410</v>
      </c>
      <c r="D453" s="3">
        <v>35048.370000000003</v>
      </c>
      <c r="E453" s="3">
        <v>9069737.8800000008</v>
      </c>
      <c r="F453" s="1" t="s">
        <v>3065</v>
      </c>
      <c r="G453"/>
      <c r="H453"/>
      <c r="I453" s="19">
        <f>-IFERROR(VLOOKUP(C453,SIRCUPA!$A$21:$H$221,8,0),0)</f>
        <v>0</v>
      </c>
      <c r="J453" s="86">
        <f>-IFERROR(VLOOKUP(C453,SIRTAC!$A$16:$H$1458,8,0),0)</f>
        <v>-371</v>
      </c>
      <c r="K453" s="86">
        <f>-IFERROR(VLOOKUP(C453,Gastos!$A$9:$J$1451,10,0),0)</f>
        <v>-1458.03</v>
      </c>
      <c r="L453" s="86">
        <f>-IFERROR(VLOOKUP(C453,IDC!$A$20:$H$1763,8,0),0)</f>
        <v>-222.6</v>
      </c>
      <c r="M453" s="95">
        <f t="shared" si="14"/>
        <v>37100</v>
      </c>
      <c r="O453" s="1"/>
    </row>
    <row r="454" spans="1:15" hidden="1">
      <c r="A454" s="1" t="s">
        <v>477</v>
      </c>
      <c r="B454" s="1" t="s">
        <v>15</v>
      </c>
      <c r="C454" s="71">
        <v>128639452327</v>
      </c>
      <c r="D454" s="3">
        <v>109506.45</v>
      </c>
      <c r="E454" s="3">
        <v>9179244.3300000001</v>
      </c>
      <c r="F454" s="1" t="s">
        <v>3065</v>
      </c>
      <c r="G454"/>
      <c r="H454"/>
      <c r="I454" s="19">
        <f>-IFERROR(VLOOKUP(C454,SIRCUPA!$A$21:$H$221,8,0),0)</f>
        <v>0</v>
      </c>
      <c r="J454" s="86">
        <f>-IFERROR(VLOOKUP(C454,SIRTAC!$A$16:$H$1458,8,0),0)</f>
        <v>-1123.95</v>
      </c>
      <c r="K454" s="86">
        <f>-IFERROR(VLOOKUP(C454,Gastos!$A$9:$J$1451,10,0),0)</f>
        <v>-1090.23</v>
      </c>
      <c r="L454" s="86">
        <f>-IFERROR(VLOOKUP(C454,IDC!$A$20:$H$1763,8,0),0)</f>
        <v>-674.37</v>
      </c>
      <c r="M454" s="95">
        <f t="shared" si="14"/>
        <v>112394.99999999999</v>
      </c>
      <c r="O454" s="1"/>
    </row>
    <row r="455" spans="1:15" hidden="1">
      <c r="A455" s="1" t="s">
        <v>477</v>
      </c>
      <c r="B455" s="1" t="s">
        <v>15</v>
      </c>
      <c r="C455" s="71">
        <v>128639945425</v>
      </c>
      <c r="D455" s="3">
        <v>31175.65</v>
      </c>
      <c r="E455" s="3">
        <v>9210419.9800000004</v>
      </c>
      <c r="F455" s="1" t="s">
        <v>3065</v>
      </c>
      <c r="G455"/>
      <c r="H455"/>
      <c r="I455" s="19">
        <f>-IFERROR(VLOOKUP(C455,SIRCUPA!$A$21:$H$221,8,0),0)</f>
        <v>0</v>
      </c>
      <c r="J455" s="86">
        <f>-IFERROR(VLOOKUP(C455,SIRTAC!$A$16:$H$1458,8,0),0)</f>
        <v>-319.98</v>
      </c>
      <c r="K455" s="86">
        <f>-IFERROR(VLOOKUP(C455,Gastos!$A$9:$J$1451,10,0),0)</f>
        <v>-310.38</v>
      </c>
      <c r="L455" s="86">
        <f>-IFERROR(VLOOKUP(C455,IDC!$A$20:$H$1763,8,0),0)</f>
        <v>-191.99</v>
      </c>
      <c r="M455" s="95">
        <f t="shared" ref="M455:M480" si="15">+D455-I455-J455-K455-L455</f>
        <v>31998.000000000004</v>
      </c>
      <c r="O455" s="1"/>
    </row>
    <row r="456" spans="1:15" hidden="1">
      <c r="A456" s="1" t="s">
        <v>477</v>
      </c>
      <c r="B456" s="1" t="s">
        <v>15</v>
      </c>
      <c r="C456" s="71">
        <v>128640132077</v>
      </c>
      <c r="D456" s="3">
        <v>24162.639999999999</v>
      </c>
      <c r="E456" s="3">
        <v>9234582.6199999992</v>
      </c>
      <c r="F456" s="1" t="s">
        <v>3065</v>
      </c>
      <c r="G456"/>
      <c r="H456"/>
      <c r="I456" s="19">
        <f>-IFERROR(VLOOKUP(C456,SIRCUPA!$A$21:$H$221,8,0),0)</f>
        <v>0</v>
      </c>
      <c r="J456" s="86">
        <f>-IFERROR(VLOOKUP(C456,SIRTAC!$A$16:$H$1458,8,0),0)</f>
        <v>-248</v>
      </c>
      <c r="K456" s="86">
        <f>-IFERROR(VLOOKUP(C456,Gastos!$A$9:$J$1451,10,0),0)</f>
        <v>-240.56</v>
      </c>
      <c r="L456" s="86">
        <f>-IFERROR(VLOOKUP(C456,IDC!$A$20:$H$1763,8,0),0)</f>
        <v>-148.80000000000001</v>
      </c>
      <c r="M456" s="95">
        <f t="shared" si="15"/>
        <v>24800</v>
      </c>
      <c r="O456" s="1"/>
    </row>
    <row r="457" spans="1:15" hidden="1">
      <c r="A457" s="1" t="s">
        <v>477</v>
      </c>
      <c r="B457" s="1" t="s">
        <v>15</v>
      </c>
      <c r="C457" s="71">
        <v>129211094160</v>
      </c>
      <c r="D457" s="3">
        <v>41018.03</v>
      </c>
      <c r="E457" s="3">
        <v>9275600.6500000004</v>
      </c>
      <c r="F457" s="1" t="s">
        <v>3065</v>
      </c>
      <c r="G457"/>
      <c r="H457"/>
      <c r="I457" s="19">
        <f>-IFERROR(VLOOKUP(C457,SIRCUPA!$A$21:$H$221,8,0),0)</f>
        <v>0</v>
      </c>
      <c r="J457" s="86">
        <f>-IFERROR(VLOOKUP(C457,SIRTAC!$A$16:$H$1458,8,0),0)</f>
        <v>-421</v>
      </c>
      <c r="K457" s="86">
        <f>-IFERROR(VLOOKUP(C457,Gastos!$A$9:$J$1451,10,0),0)</f>
        <v>-408.37</v>
      </c>
      <c r="L457" s="86">
        <f>-IFERROR(VLOOKUP(C457,IDC!$A$20:$H$1763,8,0),0)</f>
        <v>-252.6</v>
      </c>
      <c r="M457" s="95">
        <f t="shared" si="15"/>
        <v>42100</v>
      </c>
      <c r="O457" s="1"/>
    </row>
    <row r="458" spans="1:15" hidden="1">
      <c r="A458" s="1" t="s">
        <v>477</v>
      </c>
      <c r="B458" s="1" t="s">
        <v>15</v>
      </c>
      <c r="C458" s="71">
        <v>128640479035</v>
      </c>
      <c r="D458" s="3">
        <v>36242.99</v>
      </c>
      <c r="E458" s="3">
        <v>9311843.6400000006</v>
      </c>
      <c r="F458" s="1" t="s">
        <v>3065</v>
      </c>
      <c r="G458"/>
      <c r="H458"/>
      <c r="I458" s="19">
        <f>-IFERROR(VLOOKUP(C458,SIRCUPA!$A$21:$H$221,8,0),0)</f>
        <v>0</v>
      </c>
      <c r="J458" s="86">
        <f>-IFERROR(VLOOKUP(C458,SIRTAC!$A$16:$H$1458,8,0),0)</f>
        <v>-371.99</v>
      </c>
      <c r="K458" s="86">
        <f>-IFERROR(VLOOKUP(C458,Gastos!$A$9:$J$1451,10,0),0)</f>
        <v>-360.83</v>
      </c>
      <c r="L458" s="86">
        <f>-IFERROR(VLOOKUP(C458,IDC!$A$20:$H$1763,8,0),0)</f>
        <v>-223.19</v>
      </c>
      <c r="M458" s="95">
        <f t="shared" si="15"/>
        <v>37199</v>
      </c>
      <c r="O458" s="1"/>
    </row>
    <row r="459" spans="1:15" hidden="1">
      <c r="A459" s="1" t="s">
        <v>477</v>
      </c>
      <c r="B459" s="1" t="s">
        <v>529</v>
      </c>
      <c r="C459" s="71">
        <v>129211186642</v>
      </c>
      <c r="D459" s="3">
        <v>3640.9</v>
      </c>
      <c r="E459" s="3">
        <v>9315484.5399999991</v>
      </c>
      <c r="F459" s="1" t="s">
        <v>3065</v>
      </c>
      <c r="G459"/>
      <c r="H459"/>
      <c r="I459" s="19">
        <f>-IFERROR(VLOOKUP(C459,SIRCUPA!$A$21:$H$221,8,0),0)</f>
        <v>-55.79</v>
      </c>
      <c r="J459" s="86">
        <f>-IFERROR(VLOOKUP(C459,SIRTAC!$A$16:$H$1458,8,0),0)</f>
        <v>0</v>
      </c>
      <c r="K459" s="86">
        <f>-IFERROR(VLOOKUP(C459,Gastos!$A$9:$J$1451,10,0),0)</f>
        <v>0</v>
      </c>
      <c r="L459" s="86">
        <f>-IFERROR(VLOOKUP(C459,IDC!$A$20:$H$1763,8,0),0)</f>
        <v>-22.31</v>
      </c>
      <c r="M459" s="95">
        <f t="shared" si="15"/>
        <v>3719</v>
      </c>
      <c r="O459" s="1"/>
    </row>
    <row r="460" spans="1:15" hidden="1">
      <c r="A460" s="1" t="s">
        <v>477</v>
      </c>
      <c r="B460" s="1" t="s">
        <v>15</v>
      </c>
      <c r="C460" s="71">
        <v>129211293332</v>
      </c>
      <c r="D460" s="3">
        <v>17926.150000000001</v>
      </c>
      <c r="E460" s="3">
        <v>9333410.6899999995</v>
      </c>
      <c r="F460" s="1" t="s">
        <v>3065</v>
      </c>
      <c r="G460"/>
      <c r="H460"/>
      <c r="I460" s="19">
        <f>-IFERROR(VLOOKUP(C460,SIRCUPA!$A$21:$H$221,8,0),0)</f>
        <v>0</v>
      </c>
      <c r="J460" s="86">
        <f>-IFERROR(VLOOKUP(C460,SIRTAC!$A$16:$H$1458,8,0),0)</f>
        <v>-183.99</v>
      </c>
      <c r="K460" s="86">
        <f>-IFERROR(VLOOKUP(C460,Gastos!$A$9:$J$1451,10,0),0)</f>
        <v>-178.47</v>
      </c>
      <c r="L460" s="86">
        <f>-IFERROR(VLOOKUP(C460,IDC!$A$20:$H$1763,8,0),0)</f>
        <v>-110.39</v>
      </c>
      <c r="M460" s="95">
        <f t="shared" si="15"/>
        <v>18399.000000000004</v>
      </c>
      <c r="O460" s="1"/>
    </row>
    <row r="461" spans="1:15" hidden="1">
      <c r="A461" s="1" t="s">
        <v>477</v>
      </c>
      <c r="B461" s="1" t="s">
        <v>532</v>
      </c>
      <c r="C461" s="71">
        <v>129211364496</v>
      </c>
      <c r="D461" s="3">
        <v>1800.38</v>
      </c>
      <c r="E461" s="3">
        <v>9335211.0700000003</v>
      </c>
      <c r="F461" s="1" t="s">
        <v>3065</v>
      </c>
      <c r="G461"/>
      <c r="H461"/>
      <c r="I461" s="19">
        <f>-IFERROR(VLOOKUP(C461,SIRCUPA!$A$21:$H$221,8,0),0)</f>
        <v>-27.59</v>
      </c>
      <c r="J461" s="86">
        <f>-IFERROR(VLOOKUP(C461,SIRTAC!$A$16:$H$1458,8,0),0)</f>
        <v>0</v>
      </c>
      <c r="K461" s="86">
        <f>-IFERROR(VLOOKUP(C461,Gastos!$A$9:$J$1451,10,0),0)</f>
        <v>0</v>
      </c>
      <c r="L461" s="86">
        <f>-IFERROR(VLOOKUP(C461,IDC!$A$20:$H$1763,8,0),0)</f>
        <v>-11.03</v>
      </c>
      <c r="M461" s="95">
        <f t="shared" si="15"/>
        <v>1839</v>
      </c>
      <c r="O461" s="1"/>
    </row>
    <row r="462" spans="1:15" hidden="1">
      <c r="A462" s="1" t="s">
        <v>477</v>
      </c>
      <c r="B462" s="1" t="s">
        <v>15</v>
      </c>
      <c r="C462" s="71">
        <v>129211696806</v>
      </c>
      <c r="D462" s="3">
        <v>54036.84</v>
      </c>
      <c r="E462" s="3">
        <v>9389247.9100000001</v>
      </c>
      <c r="F462" s="1" t="s">
        <v>3065</v>
      </c>
      <c r="G462"/>
      <c r="H462"/>
      <c r="I462" s="19">
        <f>-IFERROR(VLOOKUP(C462,SIRCUPA!$A$21:$H$221,8,0),0)</f>
        <v>0</v>
      </c>
      <c r="J462" s="86">
        <f>-IFERROR(VLOOKUP(C462,SIRTAC!$A$16:$H$1458,8,0),0)</f>
        <v>-572</v>
      </c>
      <c r="K462" s="86">
        <f>-IFERROR(VLOOKUP(C462,Gastos!$A$9:$J$1451,10,0),0)</f>
        <v>-2247.96</v>
      </c>
      <c r="L462" s="86">
        <f>-IFERROR(VLOOKUP(C462,IDC!$A$20:$H$1763,8,0),0)</f>
        <v>-343.2</v>
      </c>
      <c r="M462" s="95">
        <f t="shared" si="15"/>
        <v>57199.999999999993</v>
      </c>
      <c r="O462" s="1"/>
    </row>
    <row r="463" spans="1:15" hidden="1">
      <c r="A463" s="1" t="s">
        <v>477</v>
      </c>
      <c r="B463" s="1" t="s">
        <v>15</v>
      </c>
      <c r="C463" s="71">
        <v>128641318431</v>
      </c>
      <c r="D463" s="3">
        <v>25063.43</v>
      </c>
      <c r="E463" s="3">
        <v>9414311.3399999999</v>
      </c>
      <c r="F463" s="1" t="s">
        <v>3065</v>
      </c>
      <c r="G463"/>
      <c r="H463"/>
      <c r="I463" s="19">
        <f>-IFERROR(VLOOKUP(C463,SIRCUPA!$A$21:$H$221,8,0),0)</f>
        <v>0</v>
      </c>
      <c r="J463" s="86">
        <f>-IFERROR(VLOOKUP(C463,SIRTAC!$A$16:$H$1458,8,0),0)</f>
        <v>-259</v>
      </c>
      <c r="K463" s="86">
        <f>-IFERROR(VLOOKUP(C463,Gastos!$A$9:$J$1451,10,0),0)</f>
        <v>-422.17</v>
      </c>
      <c r="L463" s="86">
        <f>-IFERROR(VLOOKUP(C463,IDC!$A$20:$H$1763,8,0),0)</f>
        <v>-155.4</v>
      </c>
      <c r="M463" s="95">
        <f t="shared" si="15"/>
        <v>25900</v>
      </c>
      <c r="O463" s="1"/>
    </row>
    <row r="464" spans="1:15" hidden="1">
      <c r="A464" s="1" t="s">
        <v>477</v>
      </c>
      <c r="B464" s="1" t="s">
        <v>15</v>
      </c>
      <c r="C464" s="71">
        <v>129214442224</v>
      </c>
      <c r="D464" s="3">
        <v>74430.98</v>
      </c>
      <c r="E464" s="3">
        <v>9488742.3200000003</v>
      </c>
      <c r="F464" s="1" t="s">
        <v>3065</v>
      </c>
      <c r="G464"/>
      <c r="H464"/>
      <c r="I464" s="19">
        <f>-IFERROR(VLOOKUP(C464,SIRCUPA!$A$21:$H$221,8,0),0)</f>
        <v>0</v>
      </c>
      <c r="J464" s="86">
        <f>-IFERROR(VLOOKUP(C464,SIRTAC!$A$16:$H$1458,8,0),0)</f>
        <v>-793</v>
      </c>
      <c r="K464" s="86">
        <f>-IFERROR(VLOOKUP(C464,Gastos!$A$9:$J$1451,10,0),0)</f>
        <v>-3600.22</v>
      </c>
      <c r="L464" s="86">
        <f>-IFERROR(VLOOKUP(C464,IDC!$A$20:$H$1763,8,0),0)</f>
        <v>-475.8</v>
      </c>
      <c r="M464" s="95">
        <f t="shared" si="15"/>
        <v>79300</v>
      </c>
      <c r="O464" s="1"/>
    </row>
    <row r="465" spans="1:15" hidden="1">
      <c r="A465" s="1" t="s">
        <v>477</v>
      </c>
      <c r="B465" s="1" t="s">
        <v>15</v>
      </c>
      <c r="C465" s="71">
        <v>128643965667</v>
      </c>
      <c r="D465" s="3">
        <v>55632.53</v>
      </c>
      <c r="E465" s="3">
        <v>9544374.8499999996</v>
      </c>
      <c r="F465" s="1" t="s">
        <v>3065</v>
      </c>
      <c r="G465"/>
      <c r="H465"/>
      <c r="I465" s="19">
        <f>-IFERROR(VLOOKUP(C465,SIRCUPA!$A$21:$H$221,8,0),0)</f>
        <v>0</v>
      </c>
      <c r="J465" s="86">
        <f>-IFERROR(VLOOKUP(C465,SIRTAC!$A$16:$H$1458,8,0),0)</f>
        <v>-571</v>
      </c>
      <c r="K465" s="86">
        <f>-IFERROR(VLOOKUP(C465,Gastos!$A$9:$J$1451,10,0),0)</f>
        <v>-553.87</v>
      </c>
      <c r="L465" s="86">
        <f>-IFERROR(VLOOKUP(C465,IDC!$A$20:$H$1763,8,0),0)</f>
        <v>-342.6</v>
      </c>
      <c r="M465" s="95">
        <f t="shared" si="15"/>
        <v>57100</v>
      </c>
      <c r="O465" s="1"/>
    </row>
    <row r="466" spans="1:15" hidden="1">
      <c r="A466" s="1" t="s">
        <v>477</v>
      </c>
      <c r="B466" s="1" t="s">
        <v>538</v>
      </c>
      <c r="C466" s="71">
        <v>129214683158</v>
      </c>
      <c r="D466" s="3">
        <v>2795.04</v>
      </c>
      <c r="E466" s="3">
        <v>9547169.8900000006</v>
      </c>
      <c r="F466" s="1" t="s">
        <v>3065</v>
      </c>
      <c r="G466"/>
      <c r="H466"/>
      <c r="I466" s="19">
        <f>-IFERROR(VLOOKUP(C466,SIRCUPA!$A$21:$H$221,8,0),0)</f>
        <v>-42.83</v>
      </c>
      <c r="J466" s="86">
        <f>-IFERROR(VLOOKUP(C466,SIRTAC!$A$16:$H$1458,8,0),0)</f>
        <v>0</v>
      </c>
      <c r="K466" s="86">
        <f>-IFERROR(VLOOKUP(C466,Gastos!$A$9:$J$1451,10,0),0)</f>
        <v>0</v>
      </c>
      <c r="L466" s="86">
        <f>-IFERROR(VLOOKUP(C466,IDC!$A$20:$H$1763,8,0),0)</f>
        <v>-17.13</v>
      </c>
      <c r="M466" s="95">
        <f t="shared" si="15"/>
        <v>2855</v>
      </c>
      <c r="O466" s="1"/>
    </row>
    <row r="467" spans="1:15" hidden="1">
      <c r="A467" s="1" t="s">
        <v>477</v>
      </c>
      <c r="B467" s="1" t="s">
        <v>15</v>
      </c>
      <c r="C467" s="71">
        <v>129214866634</v>
      </c>
      <c r="D467" s="3">
        <v>63226.23</v>
      </c>
      <c r="E467" s="3">
        <v>9610396.1199999992</v>
      </c>
      <c r="F467" s="1" t="s">
        <v>3065</v>
      </c>
      <c r="G467"/>
      <c r="H467"/>
      <c r="I467" s="19">
        <f>-IFERROR(VLOOKUP(C467,SIRCUPA!$A$21:$H$221,8,0),0)</f>
        <v>0</v>
      </c>
      <c r="J467" s="86">
        <f>-IFERROR(VLOOKUP(C467,SIRTAC!$A$16:$H$1458,8,0),0)</f>
        <v>-648.94000000000005</v>
      </c>
      <c r="K467" s="86">
        <f>-IFERROR(VLOOKUP(C467,Gastos!$A$9:$J$1451,10,0),0)</f>
        <v>-629.47</v>
      </c>
      <c r="L467" s="86">
        <f>-IFERROR(VLOOKUP(C467,IDC!$A$20:$H$1763,8,0),0)</f>
        <v>-389.36</v>
      </c>
      <c r="M467" s="95">
        <f t="shared" si="15"/>
        <v>64894.000000000007</v>
      </c>
      <c r="O467" s="1"/>
    </row>
    <row r="468" spans="1:15" hidden="1">
      <c r="A468" s="1" t="s">
        <v>477</v>
      </c>
      <c r="B468" s="1" t="s">
        <v>15</v>
      </c>
      <c r="C468" s="71">
        <v>128644211883</v>
      </c>
      <c r="D468" s="3">
        <v>9010.56</v>
      </c>
      <c r="E468" s="3">
        <v>9619406.6799999997</v>
      </c>
      <c r="F468" s="1" t="s">
        <v>3065</v>
      </c>
      <c r="G468"/>
      <c r="H468"/>
      <c r="I468" s="19">
        <f>-IFERROR(VLOOKUP(C468,SIRCUPA!$A$21:$H$221,8,0),0)</f>
        <v>0</v>
      </c>
      <c r="J468" s="86">
        <f>-IFERROR(VLOOKUP(C468,SIRTAC!$A$16:$H$1458,8,0),0)</f>
        <v>-96</v>
      </c>
      <c r="K468" s="86">
        <f>-IFERROR(VLOOKUP(C468,Gastos!$A$9:$J$1451,10,0),0)</f>
        <v>-435.84</v>
      </c>
      <c r="L468" s="86">
        <f>-IFERROR(VLOOKUP(C468,IDC!$A$20:$H$1763,8,0),0)</f>
        <v>-57.6</v>
      </c>
      <c r="M468" s="95">
        <f t="shared" si="15"/>
        <v>9600</v>
      </c>
      <c r="O468" s="1"/>
    </row>
    <row r="469" spans="1:15" hidden="1">
      <c r="A469" s="1" t="s">
        <v>477</v>
      </c>
      <c r="B469" s="1" t="s">
        <v>15</v>
      </c>
      <c r="C469" s="71">
        <v>128644890325</v>
      </c>
      <c r="D469" s="3">
        <v>47643.27</v>
      </c>
      <c r="E469" s="3">
        <v>9667049.9499999993</v>
      </c>
      <c r="F469" s="1" t="s">
        <v>3065</v>
      </c>
      <c r="G469"/>
      <c r="H469"/>
      <c r="I469" s="19">
        <f>-IFERROR(VLOOKUP(C469,SIRCUPA!$A$21:$H$221,8,0),0)</f>
        <v>0</v>
      </c>
      <c r="J469" s="86">
        <f>-IFERROR(VLOOKUP(C469,SIRTAC!$A$16:$H$1458,8,0),0)</f>
        <v>-489</v>
      </c>
      <c r="K469" s="86">
        <f>-IFERROR(VLOOKUP(C469,Gastos!$A$9:$J$1451,10,0),0)</f>
        <v>-474.33</v>
      </c>
      <c r="L469" s="86">
        <f>-IFERROR(VLOOKUP(C469,IDC!$A$20:$H$1763,8,0),0)</f>
        <v>-293.39999999999998</v>
      </c>
      <c r="M469" s="95">
        <f t="shared" si="15"/>
        <v>48900</v>
      </c>
      <c r="O469" s="1"/>
    </row>
    <row r="470" spans="1:15" hidden="1">
      <c r="A470" s="1" t="s">
        <v>477</v>
      </c>
      <c r="B470" s="1" t="s">
        <v>543</v>
      </c>
      <c r="C470" s="71">
        <v>129215473972</v>
      </c>
      <c r="D470" s="3">
        <v>4787.3100000000004</v>
      </c>
      <c r="E470" s="3">
        <v>9671837.2599999998</v>
      </c>
      <c r="F470" s="1" t="s">
        <v>3065</v>
      </c>
      <c r="G470"/>
      <c r="H470"/>
      <c r="I470" s="19">
        <f>-IFERROR(VLOOKUP(C470,SIRCUPA!$A$21:$H$221,8,0),0)</f>
        <v>-73.349999999999994</v>
      </c>
      <c r="J470" s="86">
        <f>-IFERROR(VLOOKUP(C470,SIRTAC!$A$16:$H$1458,8,0),0)</f>
        <v>0</v>
      </c>
      <c r="K470" s="86">
        <f>-IFERROR(VLOOKUP(C470,Gastos!$A$9:$J$1451,10,0),0)</f>
        <v>0</v>
      </c>
      <c r="L470" s="86">
        <f>-IFERROR(VLOOKUP(C470,IDC!$A$20:$H$1763,8,0),0)</f>
        <v>-29.34</v>
      </c>
      <c r="M470" s="95">
        <f t="shared" si="15"/>
        <v>4890.0000000000009</v>
      </c>
      <c r="O470" s="1"/>
    </row>
    <row r="471" spans="1:15" hidden="1">
      <c r="A471" s="1" t="s">
        <v>477</v>
      </c>
      <c r="B471" s="1" t="s">
        <v>15</v>
      </c>
      <c r="C471" s="71">
        <v>129215579718</v>
      </c>
      <c r="D471" s="3">
        <v>38968.1</v>
      </c>
      <c r="E471" s="3">
        <v>9710805.3599999994</v>
      </c>
      <c r="F471" s="1" t="s">
        <v>3065</v>
      </c>
      <c r="G471"/>
      <c r="H471"/>
      <c r="I471" s="19">
        <f>-IFERROR(VLOOKUP(C471,SIRCUPA!$A$21:$H$221,8,0),0)</f>
        <v>0</v>
      </c>
      <c r="J471" s="86">
        <f>-IFERROR(VLOOKUP(C471,SIRTAC!$A$16:$H$1458,8,0),0)</f>
        <v>-399.96</v>
      </c>
      <c r="K471" s="86">
        <f>-IFERROR(VLOOKUP(C471,Gastos!$A$9:$J$1451,10,0),0)</f>
        <v>-387.96</v>
      </c>
      <c r="L471" s="86">
        <f>-IFERROR(VLOOKUP(C471,IDC!$A$20:$H$1763,8,0),0)</f>
        <v>-239.98</v>
      </c>
      <c r="M471" s="95">
        <f t="shared" si="15"/>
        <v>39996</v>
      </c>
      <c r="O471" s="1"/>
    </row>
    <row r="472" spans="1:15" hidden="1">
      <c r="A472" s="1" t="s">
        <v>477</v>
      </c>
      <c r="B472" s="1" t="s">
        <v>546</v>
      </c>
      <c r="C472" s="71">
        <v>128644903387</v>
      </c>
      <c r="D472" s="3">
        <v>3915.02</v>
      </c>
      <c r="E472" s="3">
        <v>9714720.3800000008</v>
      </c>
      <c r="F472" s="1" t="s">
        <v>3065</v>
      </c>
      <c r="G472"/>
      <c r="H472"/>
      <c r="I472" s="19">
        <f>-IFERROR(VLOOKUP(C472,SIRCUPA!$A$21:$H$221,8,0),0)</f>
        <v>-59.99</v>
      </c>
      <c r="J472" s="86">
        <f>-IFERROR(VLOOKUP(C472,SIRTAC!$A$16:$H$1458,8,0),0)</f>
        <v>0</v>
      </c>
      <c r="K472" s="86">
        <f>-IFERROR(VLOOKUP(C472,Gastos!$A$9:$J$1451,10,0),0)</f>
        <v>0</v>
      </c>
      <c r="L472" s="86">
        <f>-IFERROR(VLOOKUP(C472,IDC!$A$20:$H$1763,8,0),0)</f>
        <v>-23.99</v>
      </c>
      <c r="M472" s="95">
        <f t="shared" si="15"/>
        <v>3998.9999999999995</v>
      </c>
      <c r="O472" s="1"/>
    </row>
    <row r="473" spans="1:15" hidden="1">
      <c r="A473" s="1" t="s">
        <v>548</v>
      </c>
      <c r="B473" s="1" t="s">
        <v>15</v>
      </c>
      <c r="C473" s="71">
        <v>128645459167</v>
      </c>
      <c r="D473" s="3">
        <v>36825.620000000003</v>
      </c>
      <c r="E473" s="3">
        <v>9751546</v>
      </c>
      <c r="F473" s="1" t="s">
        <v>3065</v>
      </c>
      <c r="G473"/>
      <c r="H473"/>
      <c r="I473" s="19">
        <f>-IFERROR(VLOOKUP(C473,SIRCUPA!$A$21:$H$221,8,0),0)</f>
        <v>0</v>
      </c>
      <c r="J473" s="86">
        <f>-IFERROR(VLOOKUP(C473,SIRTAC!$A$16:$H$1458,8,0),0)</f>
        <v>-377.97</v>
      </c>
      <c r="K473" s="86">
        <f>-IFERROR(VLOOKUP(C473,Gastos!$A$9:$J$1451,10,0),0)</f>
        <v>-366.63</v>
      </c>
      <c r="L473" s="86">
        <f>-IFERROR(VLOOKUP(C473,IDC!$A$20:$H$1763,8,0),0)</f>
        <v>-226.78</v>
      </c>
      <c r="M473" s="95">
        <f t="shared" si="15"/>
        <v>37797</v>
      </c>
      <c r="O473" s="1"/>
    </row>
    <row r="474" spans="1:15" hidden="1">
      <c r="A474" s="1" t="s">
        <v>548</v>
      </c>
      <c r="B474" s="1" t="s">
        <v>15</v>
      </c>
      <c r="C474" s="71">
        <v>129217039132</v>
      </c>
      <c r="D474" s="3">
        <v>7989.26</v>
      </c>
      <c r="E474" s="3">
        <v>9759535.2599999998</v>
      </c>
      <c r="F474" s="1" t="s">
        <v>3065</v>
      </c>
      <c r="G474"/>
      <c r="H474"/>
      <c r="I474" s="19">
        <f>-IFERROR(VLOOKUP(C474,SIRCUPA!$A$21:$H$221,8,0),0)</f>
        <v>0</v>
      </c>
      <c r="J474" s="86">
        <f>-IFERROR(VLOOKUP(C474,SIRTAC!$A$16:$H$1458,8,0),0)</f>
        <v>-82</v>
      </c>
      <c r="K474" s="86">
        <f>-IFERROR(VLOOKUP(C474,Gastos!$A$9:$J$1451,10,0),0)</f>
        <v>-79.540000000000006</v>
      </c>
      <c r="L474" s="86">
        <f>-IFERROR(VLOOKUP(C474,IDC!$A$20:$H$1763,8,0),0)</f>
        <v>-49.2</v>
      </c>
      <c r="M474" s="95">
        <f t="shared" si="15"/>
        <v>8200</v>
      </c>
      <c r="O474" s="1"/>
    </row>
    <row r="475" spans="1:15" hidden="1">
      <c r="A475" s="1" t="s">
        <v>548</v>
      </c>
      <c r="B475" s="1" t="s">
        <v>15</v>
      </c>
      <c r="C475" s="71">
        <v>129217612156</v>
      </c>
      <c r="D475" s="3">
        <v>8715.84</v>
      </c>
      <c r="E475" s="3">
        <v>9768251.0999999996</v>
      </c>
      <c r="F475" s="1" t="s">
        <v>3065</v>
      </c>
      <c r="G475"/>
      <c r="H475"/>
      <c r="I475" s="19">
        <f>-IFERROR(VLOOKUP(C475,SIRCUPA!$A$21:$H$221,8,0),0)</f>
        <v>0</v>
      </c>
      <c r="J475" s="86">
        <f>-IFERROR(VLOOKUP(C475,SIRTAC!$A$16:$H$1458,8,0),0)</f>
        <v>-96</v>
      </c>
      <c r="K475" s="86">
        <f>-IFERROR(VLOOKUP(C475,Gastos!$A$9:$J$1451,10,0),0)</f>
        <v>-730.56</v>
      </c>
      <c r="L475" s="86">
        <f>-IFERROR(VLOOKUP(C475,IDC!$A$20:$H$1763,8,0),0)</f>
        <v>-57.6</v>
      </c>
      <c r="M475" s="95">
        <f t="shared" si="15"/>
        <v>9600</v>
      </c>
      <c r="O475" s="1"/>
    </row>
    <row r="476" spans="1:15" hidden="1">
      <c r="A476" s="1" t="s">
        <v>548</v>
      </c>
      <c r="B476" s="1" t="s">
        <v>15</v>
      </c>
      <c r="C476" s="71">
        <v>129217652034</v>
      </c>
      <c r="D476" s="3">
        <v>40530.879999999997</v>
      </c>
      <c r="E476" s="3">
        <v>9808781.9800000004</v>
      </c>
      <c r="F476" s="1" t="s">
        <v>3065</v>
      </c>
      <c r="G476"/>
      <c r="H476"/>
      <c r="I476" s="19">
        <f>-IFERROR(VLOOKUP(C476,SIRCUPA!$A$21:$H$221,8,0),0)</f>
        <v>0</v>
      </c>
      <c r="J476" s="86">
        <f>-IFERROR(VLOOKUP(C476,SIRTAC!$A$16:$H$1458,8,0),0)</f>
        <v>-416</v>
      </c>
      <c r="K476" s="86">
        <f>-IFERROR(VLOOKUP(C476,Gastos!$A$9:$J$1451,10,0),0)</f>
        <v>-403.52</v>
      </c>
      <c r="L476" s="86">
        <f>-IFERROR(VLOOKUP(C476,IDC!$A$20:$H$1763,8,0),0)</f>
        <v>-249.6</v>
      </c>
      <c r="M476" s="95">
        <f t="shared" si="15"/>
        <v>41599.999999999993</v>
      </c>
      <c r="O476" s="1"/>
    </row>
    <row r="477" spans="1:15" hidden="1">
      <c r="A477" s="1" t="s">
        <v>548</v>
      </c>
      <c r="B477" s="1" t="s">
        <v>15</v>
      </c>
      <c r="C477" s="71">
        <v>129217833188</v>
      </c>
      <c r="D477" s="3">
        <v>61573.81</v>
      </c>
      <c r="E477" s="3">
        <v>9870355.7899999991</v>
      </c>
      <c r="F477" s="1" t="s">
        <v>3065</v>
      </c>
      <c r="G477"/>
      <c r="H477"/>
      <c r="I477" s="19">
        <f>-IFERROR(VLOOKUP(C477,SIRCUPA!$A$21:$H$221,8,0),0)</f>
        <v>0</v>
      </c>
      <c r="J477" s="86">
        <f>-IFERROR(VLOOKUP(C477,SIRTAC!$A$16:$H$1458,8,0),0)</f>
        <v>-631.98</v>
      </c>
      <c r="K477" s="86">
        <f>-IFERROR(VLOOKUP(C477,Gastos!$A$9:$J$1451,10,0),0)</f>
        <v>-613.02</v>
      </c>
      <c r="L477" s="86">
        <f>-IFERROR(VLOOKUP(C477,IDC!$A$20:$H$1763,8,0),0)</f>
        <v>-379.19</v>
      </c>
      <c r="M477" s="95">
        <f t="shared" si="15"/>
        <v>63198</v>
      </c>
      <c r="O477" s="1"/>
    </row>
    <row r="478" spans="1:15" hidden="1">
      <c r="A478" s="1" t="s">
        <v>548</v>
      </c>
      <c r="B478" s="1" t="s">
        <v>15</v>
      </c>
      <c r="C478" s="71">
        <v>128647665951</v>
      </c>
      <c r="D478" s="3">
        <v>18893.060000000001</v>
      </c>
      <c r="E478" s="3">
        <v>9889248.8499999996</v>
      </c>
      <c r="F478" s="1" t="s">
        <v>3065</v>
      </c>
      <c r="G478"/>
      <c r="H478"/>
      <c r="I478" s="19">
        <f>-IFERROR(VLOOKUP(C478,SIRCUPA!$A$21:$H$221,8,0),0)</f>
        <v>0</v>
      </c>
      <c r="J478" s="86">
        <f>-IFERROR(VLOOKUP(C478,SIRTAC!$A$16:$H$1458,8,0),0)</f>
        <v>-199.99</v>
      </c>
      <c r="K478" s="86">
        <f>-IFERROR(VLOOKUP(C478,Gastos!$A$9:$J$1451,10,0),0)</f>
        <v>-785.96</v>
      </c>
      <c r="L478" s="86">
        <f>-IFERROR(VLOOKUP(C478,IDC!$A$20:$H$1763,8,0),0)</f>
        <v>-119.99</v>
      </c>
      <c r="M478" s="95">
        <f t="shared" si="15"/>
        <v>19999.000000000004</v>
      </c>
      <c r="O478" s="1"/>
    </row>
    <row r="479" spans="1:15" hidden="1">
      <c r="A479" s="1" t="s">
        <v>548</v>
      </c>
      <c r="B479" s="1" t="s">
        <v>15</v>
      </c>
      <c r="C479" s="71">
        <v>128648656617</v>
      </c>
      <c r="D479" s="3">
        <v>8378.98</v>
      </c>
      <c r="E479" s="3">
        <v>9897627.8300000001</v>
      </c>
      <c r="F479" s="1" t="s">
        <v>3065</v>
      </c>
      <c r="G479"/>
      <c r="H479"/>
      <c r="I479" s="19">
        <f>-IFERROR(VLOOKUP(C479,SIRCUPA!$A$21:$H$221,8,0),0)</f>
        <v>0</v>
      </c>
      <c r="J479" s="86">
        <f>-IFERROR(VLOOKUP(C479,SIRTAC!$A$16:$H$1458,8,0),0)</f>
        <v>-86</v>
      </c>
      <c r="K479" s="86">
        <f>-IFERROR(VLOOKUP(C479,Gastos!$A$9:$J$1451,10,0),0)</f>
        <v>-83.42</v>
      </c>
      <c r="L479" s="86">
        <f>-IFERROR(VLOOKUP(C479,IDC!$A$20:$H$1763,8,0),0)</f>
        <v>-51.6</v>
      </c>
      <c r="M479" s="95">
        <f t="shared" si="15"/>
        <v>8600</v>
      </c>
      <c r="O479" s="1"/>
    </row>
    <row r="480" spans="1:15" hidden="1">
      <c r="A480" s="1" t="s">
        <v>548</v>
      </c>
      <c r="B480" s="1" t="s">
        <v>15</v>
      </c>
      <c r="C480" s="71">
        <v>128649386055</v>
      </c>
      <c r="D480" s="3">
        <v>30300.73</v>
      </c>
      <c r="E480" s="3">
        <v>9927928.5600000005</v>
      </c>
      <c r="F480" s="1" t="s">
        <v>3065</v>
      </c>
      <c r="G480"/>
      <c r="H480"/>
      <c r="I480" s="19">
        <f>-IFERROR(VLOOKUP(C480,SIRCUPA!$A$21:$H$221,8,0),0)</f>
        <v>0</v>
      </c>
      <c r="J480" s="86">
        <f>-IFERROR(VLOOKUP(C480,SIRTAC!$A$16:$H$1458,8,0),0)</f>
        <v>-311</v>
      </c>
      <c r="K480" s="86">
        <f>-IFERROR(VLOOKUP(C480,Gastos!$A$9:$J$1451,10,0),0)</f>
        <v>-301.67</v>
      </c>
      <c r="L480" s="86">
        <f>-IFERROR(VLOOKUP(C480,IDC!$A$20:$H$1763,8,0),0)</f>
        <v>-186.6</v>
      </c>
      <c r="M480" s="95">
        <f t="shared" si="15"/>
        <v>31099.999999999996</v>
      </c>
      <c r="O480" s="1"/>
    </row>
    <row r="481" spans="1:17" s="67" customFormat="1" hidden="1">
      <c r="A481" s="67" t="s">
        <v>461</v>
      </c>
      <c r="B481" s="67" t="s">
        <v>51</v>
      </c>
      <c r="C481" s="75">
        <v>128841429022</v>
      </c>
      <c r="D481" s="68">
        <v>-1523.4</v>
      </c>
      <c r="E481" s="3">
        <v>14606510.560000001</v>
      </c>
      <c r="F481" s="67" t="s">
        <v>3062</v>
      </c>
      <c r="G481" s="69">
        <f>+D481/0.006</f>
        <v>-253900</v>
      </c>
      <c r="H481" s="69"/>
      <c r="I481" s="69">
        <f>-IFERROR(VLOOKUP(C481,SIRCUPA!$A$21:$H$221,8,0),0)</f>
        <v>0</v>
      </c>
      <c r="J481" s="69">
        <f>-IFERROR(VLOOKUP(C481,SIRTAC!$A$16:$H$1458,8,0),0)</f>
        <v>0</v>
      </c>
      <c r="K481" s="69">
        <f>-IFERROR(VLOOKUP(C481,Gastos!$A$9:$J$1451,10,0),0)</f>
        <v>0</v>
      </c>
      <c r="L481" s="69"/>
      <c r="M481" s="96">
        <f>+D481</f>
        <v>-1523.4</v>
      </c>
      <c r="P481" s="19"/>
      <c r="Q481" s="19"/>
    </row>
    <row r="482" spans="1:17" s="67" customFormat="1" hidden="1">
      <c r="A482" s="67" t="s">
        <v>461</v>
      </c>
      <c r="B482" s="67" t="s">
        <v>469</v>
      </c>
      <c r="C482" s="75">
        <v>128841429022</v>
      </c>
      <c r="D482" s="68">
        <v>-253900.45</v>
      </c>
      <c r="E482" s="3">
        <v>14608033.960000001</v>
      </c>
      <c r="F482" s="67" t="s">
        <v>3066</v>
      </c>
      <c r="G482" s="69">
        <f>+D482/1.006</f>
        <v>-252386.13320079524</v>
      </c>
      <c r="H482" s="69">
        <f>+D482-G482</f>
        <v>-1514.3167992047674</v>
      </c>
      <c r="I482" s="69">
        <f>-IFERROR(VLOOKUP(C482,SIRCUPA!$A$21:$H$221,8,0),0)</f>
        <v>0</v>
      </c>
      <c r="J482" s="69">
        <f>-IFERROR(VLOOKUP(C482,SIRTAC!$A$16:$H$1458,8,0),0)</f>
        <v>0</v>
      </c>
      <c r="K482" s="69">
        <f>-IFERROR(VLOOKUP(C482,Gastos!$A$9:$J$1451,10,0),0)</f>
        <v>0</v>
      </c>
      <c r="L482" s="69">
        <f>-IFERROR(VLOOKUP(C482,IDC!$A$20:$H$1763,8,0),0)</f>
        <v>-1523.4</v>
      </c>
      <c r="M482" s="96">
        <f>+D482</f>
        <v>-253900.45</v>
      </c>
      <c r="P482" s="19"/>
      <c r="Q482" s="19"/>
    </row>
    <row r="483" spans="1:17" s="67" customFormat="1">
      <c r="A483" s="1" t="s">
        <v>477</v>
      </c>
      <c r="B483" s="1" t="s">
        <v>478</v>
      </c>
      <c r="C483" s="71">
        <v>129102877500</v>
      </c>
      <c r="D483" s="3">
        <v>-2180467.7200000002</v>
      </c>
      <c r="E483" s="3">
        <v>9567271.8100000005</v>
      </c>
      <c r="F483" s="1" t="s">
        <v>3068</v>
      </c>
      <c r="G483" s="19">
        <f>+D483/1.006</f>
        <v>-2167462.9423459247</v>
      </c>
      <c r="H483" s="19">
        <f>+D483-G483</f>
        <v>-13004.777654075529</v>
      </c>
      <c r="I483" s="19">
        <f>-IFERROR(VLOOKUP(C483,SIRCUPA!$A$21:$H$221,8,0),0)</f>
        <v>0</v>
      </c>
      <c r="J483" s="86">
        <f>-IFERROR(VLOOKUP(C483,SIRTAC!$A$16:$H$1458,8,0),0)</f>
        <v>0</v>
      </c>
      <c r="K483" s="86">
        <f>-IFERROR(VLOOKUP(C483,Gastos!$A$9:$J$1451,10,0),0)</f>
        <v>0</v>
      </c>
      <c r="L483" s="86">
        <f>+D483-G483</f>
        <v>-13004.777654075529</v>
      </c>
      <c r="M483" s="94">
        <f>+D483-I483-J483-K483-L483</f>
        <v>-2167462.9423459247</v>
      </c>
      <c r="N483" s="1"/>
      <c r="O483" s="1"/>
      <c r="P483" s="19"/>
      <c r="Q483" s="19"/>
    </row>
    <row r="484" spans="1:17" s="67" customFormat="1" hidden="1">
      <c r="A484" s="67" t="s">
        <v>477</v>
      </c>
      <c r="B484" s="67" t="s">
        <v>51</v>
      </c>
      <c r="C484" s="75">
        <v>129122901498</v>
      </c>
      <c r="D484" s="70">
        <v>-590.66999999999996</v>
      </c>
      <c r="E484" s="3">
        <v>9468236.8300000001</v>
      </c>
      <c r="F484" s="67" t="s">
        <v>3062</v>
      </c>
      <c r="G484" s="69">
        <f>+D484/0.006</f>
        <v>-98444.999999999985</v>
      </c>
      <c r="H484" s="69"/>
      <c r="I484" s="69">
        <f>-IFERROR(VLOOKUP(C484,SIRCUPA!$A$21:$H$221,8,0),0)</f>
        <v>0</v>
      </c>
      <c r="J484" s="69">
        <f>-IFERROR(VLOOKUP(C484,SIRTAC!$A$16:$H$1458,8,0),0)</f>
        <v>0</v>
      </c>
      <c r="K484" s="69">
        <f>-IFERROR(VLOOKUP(C484,Gastos!$A$9:$J$1451,10,0),0)</f>
        <v>0</v>
      </c>
      <c r="L484" s="69"/>
      <c r="M484" s="96">
        <f>+D484</f>
        <v>-590.66999999999996</v>
      </c>
      <c r="P484" s="19"/>
      <c r="Q484" s="19"/>
    </row>
    <row r="485" spans="1:17" s="67" customFormat="1" hidden="1">
      <c r="A485" s="67" t="s">
        <v>477</v>
      </c>
      <c r="B485" s="67" t="s">
        <v>480</v>
      </c>
      <c r="C485" s="75">
        <v>129122901498</v>
      </c>
      <c r="D485" s="68">
        <v>-98444.31</v>
      </c>
      <c r="E485" s="3">
        <v>9468827.5</v>
      </c>
      <c r="F485" s="67" t="s">
        <v>3066</v>
      </c>
      <c r="G485" s="69">
        <f>+D485/1.006</f>
        <v>-97857.166998011919</v>
      </c>
      <c r="H485" s="69">
        <f>+D485-G485</f>
        <v>-587.14300198807905</v>
      </c>
      <c r="I485" s="69">
        <f>-IFERROR(VLOOKUP(C485,SIRCUPA!$A$21:$H$221,8,0),0)</f>
        <v>0</v>
      </c>
      <c r="J485" s="69">
        <f>-IFERROR(VLOOKUP(C485,SIRTAC!$A$16:$H$1458,8,0),0)</f>
        <v>0</v>
      </c>
      <c r="K485" s="69">
        <f>-IFERROR(VLOOKUP(C485,Gastos!$A$9:$J$1451,10,0),0)</f>
        <v>0</v>
      </c>
      <c r="L485" s="69">
        <f>-IFERROR(VLOOKUP(C485,IDC!$A$20:$H$1763,8,0),0)</f>
        <v>-590.66999999999996</v>
      </c>
      <c r="M485" s="96">
        <f>+D485</f>
        <v>-98444.31</v>
      </c>
      <c r="P485" s="19"/>
      <c r="Q485" s="19"/>
    </row>
    <row r="486" spans="1:17" s="67" customFormat="1" hidden="1">
      <c r="A486" s="67" t="s">
        <v>477</v>
      </c>
      <c r="B486" s="67" t="s">
        <v>51</v>
      </c>
      <c r="C486" s="75">
        <v>129164900834</v>
      </c>
      <c r="D486" s="70">
        <v>-356.04</v>
      </c>
      <c r="E486" s="3">
        <v>8709682.9700000007</v>
      </c>
      <c r="F486" s="67" t="s">
        <v>3062</v>
      </c>
      <c r="G486" s="69">
        <f>+D486/0.006</f>
        <v>-59340</v>
      </c>
      <c r="H486" s="69"/>
      <c r="I486" s="69">
        <f>-IFERROR(VLOOKUP(C486,SIRCUPA!$A$21:$H$221,8,0),0)</f>
        <v>0</v>
      </c>
      <c r="J486" s="69">
        <f>-IFERROR(VLOOKUP(C486,SIRTAC!$A$16:$H$1458,8,0),0)</f>
        <v>0</v>
      </c>
      <c r="K486" s="69">
        <f>-IFERROR(VLOOKUP(C486,Gastos!$A$9:$J$1451,10,0),0)</f>
        <v>0</v>
      </c>
      <c r="L486" s="69"/>
      <c r="M486" s="96">
        <f>+D486</f>
        <v>-356.04</v>
      </c>
      <c r="P486" s="19"/>
      <c r="Q486" s="19"/>
    </row>
    <row r="487" spans="1:17" s="67" customFormat="1" hidden="1">
      <c r="A487" s="67" t="s">
        <v>477</v>
      </c>
      <c r="B487" s="67" t="s">
        <v>482</v>
      </c>
      <c r="C487" s="75">
        <v>129164900834</v>
      </c>
      <c r="D487" s="68">
        <v>-59340</v>
      </c>
      <c r="E487" s="3">
        <v>8710039.0099999998</v>
      </c>
      <c r="F487" s="67" t="s">
        <v>3066</v>
      </c>
      <c r="G487" s="69">
        <f>+D487/1.006</f>
        <v>-58986.083499005967</v>
      </c>
      <c r="H487" s="69">
        <f>+D487-G487</f>
        <v>-353.91650099403341</v>
      </c>
      <c r="I487" s="69">
        <f>-IFERROR(VLOOKUP(C487,SIRCUPA!$A$21:$H$221,8,0),0)</f>
        <v>0</v>
      </c>
      <c r="J487" s="69">
        <f>-IFERROR(VLOOKUP(C487,SIRTAC!$A$16:$H$1458,8,0),0)</f>
        <v>0</v>
      </c>
      <c r="K487" s="69">
        <f>-IFERROR(VLOOKUP(C487,Gastos!$A$9:$J$1451,10,0),0)</f>
        <v>0</v>
      </c>
      <c r="L487" s="69">
        <f>-IFERROR(VLOOKUP(C487,IDC!$A$20:$H$1763,8,0),0)</f>
        <v>-356.04</v>
      </c>
      <c r="M487" s="96">
        <f>+D487</f>
        <v>-59340</v>
      </c>
      <c r="P487" s="19"/>
      <c r="Q487" s="19"/>
    </row>
    <row r="488" spans="1:17" s="67" customFormat="1" hidden="1">
      <c r="A488" s="1" t="s">
        <v>1000</v>
      </c>
      <c r="B488" s="1" t="s">
        <v>568</v>
      </c>
      <c r="C488" s="71">
        <v>129170702311</v>
      </c>
      <c r="D488" s="3">
        <v>-583286.38</v>
      </c>
      <c r="E488" s="3">
        <v>14794536.83</v>
      </c>
      <c r="F488" s="1" t="s">
        <v>3066</v>
      </c>
      <c r="G488" s="19">
        <f>+D488/1.006</f>
        <v>-579807.53479125246</v>
      </c>
      <c r="H488" s="19">
        <f>+D488-G488</f>
        <v>-3478.8452087475453</v>
      </c>
      <c r="I488" s="19">
        <f>-IFERROR(VLOOKUP(C488,SIRCUPA!$A$21:$H$221,8,0),0)</f>
        <v>0</v>
      </c>
      <c r="J488" s="86">
        <f>-IFERROR(VLOOKUP(C488,SIRTAC!$A$16:$H$1458,8,0),0)</f>
        <v>0</v>
      </c>
      <c r="K488" s="86">
        <f>-IFERROR(VLOOKUP(C488,Gastos!$A$9:$J$1451,10,0),0)</f>
        <v>0</v>
      </c>
      <c r="L488" s="86">
        <f>+D488-G488</f>
        <v>-3478.8452087475453</v>
      </c>
      <c r="M488" s="94">
        <f>+D488-I488-J488-K488-L488</f>
        <v>-579807.53479125246</v>
      </c>
      <c r="N488" s="1"/>
      <c r="O488" s="1"/>
      <c r="P488" s="19"/>
      <c r="Q488" s="19"/>
    </row>
    <row r="489" spans="1:17" s="67" customFormat="1" hidden="1">
      <c r="A489" s="67" t="s">
        <v>1000</v>
      </c>
      <c r="B489" s="67" t="s">
        <v>51</v>
      </c>
      <c r="C489" s="75">
        <v>129188524455</v>
      </c>
      <c r="D489" s="68">
        <v>-3063.72</v>
      </c>
      <c r="E489" s="3">
        <v>14280853.279999999</v>
      </c>
      <c r="F489" s="67" t="s">
        <v>3062</v>
      </c>
      <c r="G489" s="69">
        <f>+D489/0.006</f>
        <v>-510619.99999999994</v>
      </c>
      <c r="H489" s="69"/>
      <c r="I489" s="69">
        <f>-IFERROR(VLOOKUP(C489,SIRCUPA!$A$21:$H$221,8,0),0)</f>
        <v>0</v>
      </c>
      <c r="J489" s="69">
        <f>-IFERROR(VLOOKUP(C489,SIRTAC!$A$16:$H$1458,8,0),0)</f>
        <v>0</v>
      </c>
      <c r="K489" s="69">
        <f>-IFERROR(VLOOKUP(C489,Gastos!$A$9:$J$1451,10,0),0)</f>
        <v>0</v>
      </c>
      <c r="L489" s="69"/>
      <c r="M489" s="96">
        <f>+D489</f>
        <v>-3063.72</v>
      </c>
      <c r="P489" s="19"/>
      <c r="Q489" s="19"/>
    </row>
    <row r="490" spans="1:17" s="67" customFormat="1" hidden="1">
      <c r="A490" s="67" t="s">
        <v>1000</v>
      </c>
      <c r="B490" s="67" t="s">
        <v>1009</v>
      </c>
      <c r="C490" s="75">
        <v>129188524455</v>
      </c>
      <c r="D490" s="68">
        <v>-510619.83</v>
      </c>
      <c r="E490" s="3">
        <v>14283917</v>
      </c>
      <c r="F490" s="67" t="s">
        <v>3066</v>
      </c>
      <c r="G490" s="69">
        <f>+D490/1.006</f>
        <v>-507574.38369781314</v>
      </c>
      <c r="H490" s="69">
        <f>+D490-G490</f>
        <v>-3045.4463021868723</v>
      </c>
      <c r="I490" s="69">
        <f>-IFERROR(VLOOKUP(C490,SIRCUPA!$A$21:$H$221,8,0),0)</f>
        <v>0</v>
      </c>
      <c r="J490" s="69">
        <f>-IFERROR(VLOOKUP(C490,SIRTAC!$A$16:$H$1458,8,0),0)</f>
        <v>0</v>
      </c>
      <c r="K490" s="69">
        <f>-IFERROR(VLOOKUP(C490,Gastos!$A$9:$J$1451,10,0),0)</f>
        <v>0</v>
      </c>
      <c r="L490" s="69">
        <f>-IFERROR(VLOOKUP(C490,IDC!$A$20:$H$1763,8,0),0)</f>
        <v>-3063.72</v>
      </c>
      <c r="M490" s="96">
        <f>+D490</f>
        <v>-510619.83</v>
      </c>
      <c r="P490" s="19"/>
      <c r="Q490" s="19"/>
    </row>
    <row r="491" spans="1:17" s="67" customFormat="1" hidden="1">
      <c r="A491" s="1" t="s">
        <v>548</v>
      </c>
      <c r="B491" s="1" t="s">
        <v>557</v>
      </c>
      <c r="C491" s="71">
        <v>129255536474</v>
      </c>
      <c r="D491" s="3">
        <v>-11556.53</v>
      </c>
      <c r="E491" s="3">
        <v>9916372.0299999993</v>
      </c>
      <c r="F491" s="1" t="s">
        <v>3066</v>
      </c>
      <c r="G491" s="19">
        <f>+D491/1.006</f>
        <v>-11487.604373757456</v>
      </c>
      <c r="H491" s="19">
        <f>+D491-G491</f>
        <v>-68.92562624254424</v>
      </c>
      <c r="I491" s="19">
        <f>-IFERROR(VLOOKUP(C491,SIRCUPA!$A$21:$H$221,8,0),0)</f>
        <v>0</v>
      </c>
      <c r="J491" s="86">
        <f>-IFERROR(VLOOKUP(C491,SIRTAC!$A$16:$H$1458,8,0),0)</f>
        <v>0</v>
      </c>
      <c r="K491" s="86">
        <f>-IFERROR(VLOOKUP(C491,Gastos!$A$9:$J$1451,10,0),0)</f>
        <v>0</v>
      </c>
      <c r="L491" s="86">
        <f>+D491-G491</f>
        <v>-68.92562624254424</v>
      </c>
      <c r="M491" s="94">
        <f>+D491-I491-J491-K491-L491</f>
        <v>-11487.604373757456</v>
      </c>
      <c r="N491" s="1"/>
      <c r="O491" s="1"/>
      <c r="P491" s="19"/>
      <c r="Q491" s="19"/>
    </row>
    <row r="492" spans="1:17" s="67" customFormat="1" hidden="1">
      <c r="A492" s="67" t="s">
        <v>548</v>
      </c>
      <c r="B492" s="67" t="s">
        <v>51</v>
      </c>
      <c r="C492" s="75">
        <v>129257679194</v>
      </c>
      <c r="D492" s="70">
        <v>-641.41</v>
      </c>
      <c r="E492" s="3">
        <v>9415763.0800000001</v>
      </c>
      <c r="F492" s="67" t="s">
        <v>3062</v>
      </c>
      <c r="G492" s="69">
        <f>+D492/0.006</f>
        <v>-106901.66666666666</v>
      </c>
      <c r="H492" s="69"/>
      <c r="I492" s="69">
        <f>-IFERROR(VLOOKUP(C492,SIRCUPA!$A$21:$H$221,8,0),0)</f>
        <v>0</v>
      </c>
      <c r="J492" s="69">
        <f>-IFERROR(VLOOKUP(C492,SIRTAC!$A$16:$H$1458,8,0),0)</f>
        <v>0</v>
      </c>
      <c r="K492" s="69">
        <f>-IFERROR(VLOOKUP(C492,Gastos!$A$9:$J$1451,10,0),0)</f>
        <v>0</v>
      </c>
      <c r="L492" s="69"/>
      <c r="M492" s="96">
        <f>+D492</f>
        <v>-641.41</v>
      </c>
      <c r="P492" s="19"/>
      <c r="Q492" s="19"/>
    </row>
    <row r="493" spans="1:17" s="67" customFormat="1" hidden="1">
      <c r="A493" s="67" t="s">
        <v>548</v>
      </c>
      <c r="B493" s="67" t="s">
        <v>55</v>
      </c>
      <c r="C493" s="75">
        <v>129257679194</v>
      </c>
      <c r="D493" s="68">
        <v>-106901.1</v>
      </c>
      <c r="E493" s="3">
        <v>9416404.4900000002</v>
      </c>
      <c r="F493" s="67" t="s">
        <v>3066</v>
      </c>
      <c r="G493" s="69">
        <f>+D493/1.006</f>
        <v>-106263.51888667993</v>
      </c>
      <c r="H493" s="69">
        <f>+D493-G493</f>
        <v>-637.58111332007684</v>
      </c>
      <c r="I493" s="69">
        <f>-IFERROR(VLOOKUP(C493,SIRCUPA!$A$21:$H$221,8,0),0)</f>
        <v>0</v>
      </c>
      <c r="J493" s="69">
        <f>-IFERROR(VLOOKUP(C493,SIRTAC!$A$16:$H$1458,8,0),0)</f>
        <v>0</v>
      </c>
      <c r="K493" s="69">
        <f>-IFERROR(VLOOKUP(C493,Gastos!$A$9:$J$1451,10,0),0)</f>
        <v>0</v>
      </c>
      <c r="L493" s="69">
        <f>-IFERROR(VLOOKUP(C493,IDC!$A$20:$H$1763,8,0),0)</f>
        <v>-641.41</v>
      </c>
      <c r="M493" s="96">
        <f>+D493</f>
        <v>-106901.1</v>
      </c>
      <c r="P493" s="19"/>
      <c r="Q493" s="19"/>
    </row>
    <row r="494" spans="1:17" hidden="1">
      <c r="A494" s="1" t="s">
        <v>548</v>
      </c>
      <c r="B494" s="1" t="s">
        <v>15</v>
      </c>
      <c r="C494" s="71">
        <v>128752625367</v>
      </c>
      <c r="D494" s="3">
        <v>9548.14</v>
      </c>
      <c r="E494" s="3">
        <v>7591051.0800000001</v>
      </c>
      <c r="F494" s="1" t="s">
        <v>3065</v>
      </c>
      <c r="G494"/>
      <c r="H494"/>
      <c r="I494" s="19">
        <f>-IFERROR(VLOOKUP(C494,SIRCUPA!$A$21:$H$221,8,0),0)</f>
        <v>0</v>
      </c>
      <c r="J494" s="86">
        <f>-IFERROR(VLOOKUP(C494,SIRTAC!$A$16:$H$1458,8,0),0)</f>
        <v>-98</v>
      </c>
      <c r="K494" s="86">
        <f>-IFERROR(VLOOKUP(C494,Gastos!$A$9:$J$1451,10,0),0)</f>
        <v>-95.06</v>
      </c>
      <c r="L494" s="86">
        <f>-IFERROR(VLOOKUP(C494,IDC!$A$20:$H$1763,8,0),0)</f>
        <v>-58.8</v>
      </c>
      <c r="M494" s="95">
        <f t="shared" ref="M494:M525" si="16">+D494-I494-J494-K494-L494</f>
        <v>9799.9999999999982</v>
      </c>
      <c r="O494" s="1"/>
    </row>
    <row r="495" spans="1:17" hidden="1">
      <c r="A495" s="1" t="s">
        <v>548</v>
      </c>
      <c r="B495" s="1" t="s">
        <v>15</v>
      </c>
      <c r="C495" s="71">
        <v>129331762974</v>
      </c>
      <c r="D495" s="3">
        <v>15978.52</v>
      </c>
      <c r="E495" s="3">
        <v>7607029.5999999996</v>
      </c>
      <c r="F495" s="1" t="s">
        <v>3065</v>
      </c>
      <c r="G495"/>
      <c r="H495"/>
      <c r="I495" s="19">
        <f>-IFERROR(VLOOKUP(C495,SIRCUPA!$A$21:$H$221,8,0),0)</f>
        <v>0</v>
      </c>
      <c r="J495" s="86">
        <f>-IFERROR(VLOOKUP(C495,SIRTAC!$A$16:$H$1458,8,0),0)</f>
        <v>-164</v>
      </c>
      <c r="K495" s="86">
        <f>-IFERROR(VLOOKUP(C495,Gastos!$A$9:$J$1451,10,0),0)</f>
        <v>-159.08000000000001</v>
      </c>
      <c r="L495" s="86">
        <f>-IFERROR(VLOOKUP(C495,IDC!$A$20:$H$1763,8,0),0)</f>
        <v>-98.4</v>
      </c>
      <c r="M495" s="95">
        <f t="shared" si="16"/>
        <v>16400</v>
      </c>
      <c r="O495" s="1"/>
    </row>
    <row r="496" spans="1:17" hidden="1">
      <c r="A496" s="1" t="s">
        <v>548</v>
      </c>
      <c r="B496" s="1" t="s">
        <v>574</v>
      </c>
      <c r="C496" s="71">
        <v>129331802456</v>
      </c>
      <c r="D496" s="3">
        <v>1605.56</v>
      </c>
      <c r="E496" s="3">
        <v>7608635.1600000001</v>
      </c>
      <c r="F496" s="1" t="s">
        <v>3065</v>
      </c>
      <c r="G496"/>
      <c r="H496"/>
      <c r="I496" s="19">
        <f>-IFERROR(VLOOKUP(C496,SIRCUPA!$A$21:$H$221,8,0),0)</f>
        <v>-24.6</v>
      </c>
      <c r="J496" s="86">
        <f>-IFERROR(VLOOKUP(C496,SIRTAC!$A$16:$H$1458,8,0),0)</f>
        <v>0</v>
      </c>
      <c r="K496" s="86">
        <f>-IFERROR(VLOOKUP(C496,Gastos!$A$9:$J$1451,10,0),0)</f>
        <v>0</v>
      </c>
      <c r="L496" s="86">
        <f>-IFERROR(VLOOKUP(C496,IDC!$A$20:$H$1763,8,0),0)</f>
        <v>-9.84</v>
      </c>
      <c r="M496" s="95">
        <f t="shared" si="16"/>
        <v>1639.9999999999998</v>
      </c>
      <c r="O496" s="1"/>
    </row>
    <row r="497" spans="1:15" hidden="1">
      <c r="A497" s="1" t="s">
        <v>548</v>
      </c>
      <c r="B497" s="1" t="s">
        <v>15</v>
      </c>
      <c r="C497" s="71">
        <v>129337187158</v>
      </c>
      <c r="D497" s="3">
        <v>4676.6400000000003</v>
      </c>
      <c r="E497" s="3">
        <v>7613311.7999999998</v>
      </c>
      <c r="F497" s="1" t="s">
        <v>3065</v>
      </c>
      <c r="G497"/>
      <c r="H497"/>
      <c r="I497" s="19">
        <f>-IFERROR(VLOOKUP(C497,SIRCUPA!$A$21:$H$221,8,0),0)</f>
        <v>0</v>
      </c>
      <c r="J497" s="86">
        <f>-IFERROR(VLOOKUP(C497,SIRTAC!$A$16:$H$1458,8,0),0)</f>
        <v>-48</v>
      </c>
      <c r="K497" s="86">
        <f>-IFERROR(VLOOKUP(C497,Gastos!$A$9:$J$1451,10,0),0)</f>
        <v>-46.56</v>
      </c>
      <c r="L497" s="86">
        <f>-IFERROR(VLOOKUP(C497,IDC!$A$20:$H$1763,8,0),0)</f>
        <v>-28.8</v>
      </c>
      <c r="M497" s="95">
        <f t="shared" si="16"/>
        <v>4800.0000000000009</v>
      </c>
      <c r="O497" s="1"/>
    </row>
    <row r="498" spans="1:15" hidden="1">
      <c r="A498" s="1" t="s">
        <v>548</v>
      </c>
      <c r="B498" s="1" t="s">
        <v>15</v>
      </c>
      <c r="C498" s="71">
        <v>128765691223</v>
      </c>
      <c r="D498" s="3">
        <v>4384.3500000000004</v>
      </c>
      <c r="E498" s="3">
        <v>7617696.1500000004</v>
      </c>
      <c r="F498" s="1" t="s">
        <v>3065</v>
      </c>
      <c r="G498"/>
      <c r="H498"/>
      <c r="I498" s="19">
        <f>-IFERROR(VLOOKUP(C498,SIRCUPA!$A$21:$H$221,8,0),0)</f>
        <v>0</v>
      </c>
      <c r="J498" s="86">
        <f>-IFERROR(VLOOKUP(C498,SIRTAC!$A$16:$H$1458,8,0),0)</f>
        <v>-45</v>
      </c>
      <c r="K498" s="86">
        <f>-IFERROR(VLOOKUP(C498,Gastos!$A$9:$J$1451,10,0),0)</f>
        <v>-43.65</v>
      </c>
      <c r="L498" s="86">
        <f>-IFERROR(VLOOKUP(C498,IDC!$A$20:$H$1763,8,0),0)</f>
        <v>-27</v>
      </c>
      <c r="M498" s="95">
        <f t="shared" si="16"/>
        <v>4500</v>
      </c>
      <c r="O498" s="1"/>
    </row>
    <row r="499" spans="1:15" hidden="1">
      <c r="A499" s="1" t="s">
        <v>548</v>
      </c>
      <c r="B499" s="1" t="s">
        <v>15</v>
      </c>
      <c r="C499" s="71">
        <v>128769499515</v>
      </c>
      <c r="D499" s="3">
        <v>10522.44</v>
      </c>
      <c r="E499" s="3">
        <v>7628218.5899999999</v>
      </c>
      <c r="F499" s="1" t="s">
        <v>3065</v>
      </c>
      <c r="G499"/>
      <c r="H499"/>
      <c r="I499" s="19">
        <f>-IFERROR(VLOOKUP(C499,SIRCUPA!$A$21:$H$221,8,0),0)</f>
        <v>0</v>
      </c>
      <c r="J499" s="86">
        <f>-IFERROR(VLOOKUP(C499,SIRTAC!$A$16:$H$1458,8,0),0)</f>
        <v>-108</v>
      </c>
      <c r="K499" s="86">
        <f>-IFERROR(VLOOKUP(C499,Gastos!$A$9:$J$1451,10,0),0)</f>
        <v>-104.76</v>
      </c>
      <c r="L499" s="86">
        <f>-IFERROR(VLOOKUP(C499,IDC!$A$20:$H$1763,8,0),0)</f>
        <v>-64.8</v>
      </c>
      <c r="M499" s="95">
        <f t="shared" si="16"/>
        <v>10800</v>
      </c>
      <c r="O499" s="1"/>
    </row>
    <row r="500" spans="1:15" hidden="1">
      <c r="A500" s="1" t="s">
        <v>548</v>
      </c>
      <c r="B500" s="1" t="s">
        <v>15</v>
      </c>
      <c r="C500" s="71">
        <v>129342703028</v>
      </c>
      <c r="D500" s="3">
        <v>35898.6</v>
      </c>
      <c r="E500" s="3">
        <v>7664117.1900000004</v>
      </c>
      <c r="F500" s="1" t="s">
        <v>3065</v>
      </c>
      <c r="G500"/>
      <c r="H500"/>
      <c r="I500" s="19">
        <f>-IFERROR(VLOOKUP(C500,SIRCUPA!$A$21:$H$221,8,0),0)</f>
        <v>0</v>
      </c>
      <c r="J500" s="86">
        <f>-IFERROR(VLOOKUP(C500,SIRTAC!$A$16:$H$1458,8,0),0)</f>
        <v>-380</v>
      </c>
      <c r="K500" s="86">
        <f>-IFERROR(VLOOKUP(C500,Gastos!$A$9:$J$1451,10,0),0)</f>
        <v>-1493.4</v>
      </c>
      <c r="L500" s="86">
        <f>-IFERROR(VLOOKUP(C500,IDC!$A$20:$H$1763,8,0),0)</f>
        <v>-228</v>
      </c>
      <c r="M500" s="95">
        <f t="shared" si="16"/>
        <v>38000</v>
      </c>
      <c r="O500" s="1"/>
    </row>
    <row r="501" spans="1:15" hidden="1">
      <c r="A501" s="1" t="s">
        <v>548</v>
      </c>
      <c r="B501" s="1" t="s">
        <v>15</v>
      </c>
      <c r="C501" s="71">
        <v>129342704022</v>
      </c>
      <c r="D501" s="3">
        <v>10622.43</v>
      </c>
      <c r="E501" s="3">
        <v>7674739.6200000001</v>
      </c>
      <c r="F501" s="1" t="s">
        <v>3065</v>
      </c>
      <c r="G501"/>
      <c r="H501"/>
      <c r="I501" s="19">
        <f>-IFERROR(VLOOKUP(C501,SIRCUPA!$A$21:$H$221,8,0),0)</f>
        <v>0</v>
      </c>
      <c r="J501" s="86">
        <f>-IFERROR(VLOOKUP(C501,SIRTAC!$A$16:$H$1458,8,0),0)</f>
        <v>-117</v>
      </c>
      <c r="K501" s="86">
        <f>-IFERROR(VLOOKUP(C501,Gastos!$A$9:$J$1451,10,0),0)</f>
        <v>-890.37</v>
      </c>
      <c r="L501" s="86">
        <f>-IFERROR(VLOOKUP(C501,IDC!$A$20:$H$1763,8,0),0)</f>
        <v>-70.2</v>
      </c>
      <c r="M501" s="95">
        <f t="shared" si="16"/>
        <v>11700.000000000002</v>
      </c>
      <c r="O501" s="1"/>
    </row>
    <row r="502" spans="1:15" hidden="1">
      <c r="A502" s="1" t="s">
        <v>548</v>
      </c>
      <c r="B502" s="1" t="s">
        <v>15</v>
      </c>
      <c r="C502" s="71">
        <v>128771413605</v>
      </c>
      <c r="D502" s="3">
        <v>28059.84</v>
      </c>
      <c r="E502" s="3">
        <v>7702799.46</v>
      </c>
      <c r="F502" s="1" t="s">
        <v>3065</v>
      </c>
      <c r="G502"/>
      <c r="H502"/>
      <c r="I502" s="19">
        <f>-IFERROR(VLOOKUP(C502,SIRCUPA!$A$21:$H$221,8,0),0)</f>
        <v>0</v>
      </c>
      <c r="J502" s="86">
        <f>-IFERROR(VLOOKUP(C502,SIRTAC!$A$16:$H$1458,8,0),0)</f>
        <v>-288</v>
      </c>
      <c r="K502" s="86">
        <f>-IFERROR(VLOOKUP(C502,Gastos!$A$9:$J$1451,10,0),0)</f>
        <v>-279.36</v>
      </c>
      <c r="L502" s="86">
        <f>-IFERROR(VLOOKUP(C502,IDC!$A$20:$H$1763,8,0),0)</f>
        <v>-172.8</v>
      </c>
      <c r="M502" s="95">
        <f t="shared" si="16"/>
        <v>28800</v>
      </c>
      <c r="O502" s="1"/>
    </row>
    <row r="503" spans="1:15" hidden="1">
      <c r="A503" s="1" t="s">
        <v>548</v>
      </c>
      <c r="B503" s="1" t="s">
        <v>15</v>
      </c>
      <c r="C503" s="71">
        <v>129342935088</v>
      </c>
      <c r="D503" s="3">
        <v>4534.5600000000004</v>
      </c>
      <c r="E503" s="3">
        <v>7707334.0199999996</v>
      </c>
      <c r="F503" s="1" t="s">
        <v>3065</v>
      </c>
      <c r="G503"/>
      <c r="H503"/>
      <c r="I503" s="19">
        <f>-IFERROR(VLOOKUP(C503,SIRCUPA!$A$21:$H$221,8,0),0)</f>
        <v>0</v>
      </c>
      <c r="J503" s="86">
        <f>-IFERROR(VLOOKUP(C503,SIRTAC!$A$16:$H$1458,8,0),0)</f>
        <v>-48</v>
      </c>
      <c r="K503" s="86">
        <f>-IFERROR(VLOOKUP(C503,Gastos!$A$9:$J$1451,10,0),0)</f>
        <v>-188.64</v>
      </c>
      <c r="L503" s="86">
        <f>-IFERROR(VLOOKUP(C503,IDC!$A$20:$H$1763,8,0),0)</f>
        <v>-28.8</v>
      </c>
      <c r="M503" s="95">
        <f t="shared" si="16"/>
        <v>4800.0000000000009</v>
      </c>
      <c r="O503" s="1"/>
    </row>
    <row r="504" spans="1:15" hidden="1">
      <c r="A504" s="1" t="s">
        <v>548</v>
      </c>
      <c r="B504" s="1" t="s">
        <v>15</v>
      </c>
      <c r="C504" s="71">
        <v>128771982633</v>
      </c>
      <c r="D504" s="3">
        <v>4534.5600000000004</v>
      </c>
      <c r="E504" s="3">
        <v>7711868.5800000001</v>
      </c>
      <c r="F504" s="1" t="s">
        <v>3065</v>
      </c>
      <c r="G504"/>
      <c r="H504"/>
      <c r="I504" s="19">
        <f>-IFERROR(VLOOKUP(C504,SIRCUPA!$A$21:$H$221,8,0),0)</f>
        <v>0</v>
      </c>
      <c r="J504" s="86">
        <f>-IFERROR(VLOOKUP(C504,SIRTAC!$A$16:$H$1458,8,0),0)</f>
        <v>-48</v>
      </c>
      <c r="K504" s="86">
        <f>-IFERROR(VLOOKUP(C504,Gastos!$A$9:$J$1451,10,0),0)</f>
        <v>-188.64</v>
      </c>
      <c r="L504" s="86">
        <f>-IFERROR(VLOOKUP(C504,IDC!$A$20:$H$1763,8,0),0)</f>
        <v>-28.8</v>
      </c>
      <c r="M504" s="95">
        <f t="shared" si="16"/>
        <v>4800.0000000000009</v>
      </c>
      <c r="O504" s="1"/>
    </row>
    <row r="505" spans="1:15" hidden="1">
      <c r="A505" s="1" t="s">
        <v>548</v>
      </c>
      <c r="B505" s="1" t="s">
        <v>15</v>
      </c>
      <c r="C505" s="71">
        <v>128772013963</v>
      </c>
      <c r="D505" s="3">
        <v>4676.6400000000003</v>
      </c>
      <c r="E505" s="3">
        <v>7716545.2199999997</v>
      </c>
      <c r="F505" s="1" t="s">
        <v>3065</v>
      </c>
      <c r="G505"/>
      <c r="H505"/>
      <c r="I505" s="19">
        <f>-IFERROR(VLOOKUP(C505,SIRCUPA!$A$21:$H$221,8,0),0)</f>
        <v>0</v>
      </c>
      <c r="J505" s="86">
        <f>-IFERROR(VLOOKUP(C505,SIRTAC!$A$16:$H$1458,8,0),0)</f>
        <v>-48</v>
      </c>
      <c r="K505" s="86">
        <f>-IFERROR(VLOOKUP(C505,Gastos!$A$9:$J$1451,10,0),0)</f>
        <v>-46.56</v>
      </c>
      <c r="L505" s="86">
        <f>-IFERROR(VLOOKUP(C505,IDC!$A$20:$H$1763,8,0),0)</f>
        <v>-28.8</v>
      </c>
      <c r="M505" s="95">
        <f t="shared" si="16"/>
        <v>4800.0000000000009</v>
      </c>
      <c r="O505" s="1"/>
    </row>
    <row r="506" spans="1:15" hidden="1">
      <c r="A506" s="1" t="s">
        <v>548</v>
      </c>
      <c r="B506" s="1" t="s">
        <v>15</v>
      </c>
      <c r="C506" s="71">
        <v>129343775616</v>
      </c>
      <c r="D506" s="3">
        <v>3813.18</v>
      </c>
      <c r="E506" s="3">
        <v>7720358.4000000004</v>
      </c>
      <c r="F506" s="1" t="s">
        <v>3065</v>
      </c>
      <c r="G506"/>
      <c r="H506"/>
      <c r="I506" s="19">
        <f>-IFERROR(VLOOKUP(C506,SIRCUPA!$A$21:$H$221,8,0),0)</f>
        <v>0</v>
      </c>
      <c r="J506" s="86">
        <f>-IFERROR(VLOOKUP(C506,SIRTAC!$A$16:$H$1458,8,0),0)</f>
        <v>-42</v>
      </c>
      <c r="K506" s="86">
        <f>-IFERROR(VLOOKUP(C506,Gastos!$A$9:$J$1451,10,0),0)</f>
        <v>-319.62</v>
      </c>
      <c r="L506" s="86">
        <f>-IFERROR(VLOOKUP(C506,IDC!$A$20:$H$1763,8,0),0)</f>
        <v>-25.2</v>
      </c>
      <c r="M506" s="95">
        <f t="shared" si="16"/>
        <v>4200</v>
      </c>
      <c r="O506" s="1"/>
    </row>
    <row r="507" spans="1:15" hidden="1">
      <c r="A507" s="1" t="s">
        <v>548</v>
      </c>
      <c r="B507" s="1" t="s">
        <v>15</v>
      </c>
      <c r="C507" s="71">
        <v>128774456603</v>
      </c>
      <c r="D507" s="3">
        <v>4505.28</v>
      </c>
      <c r="E507" s="3">
        <v>7724863.6799999997</v>
      </c>
      <c r="F507" s="1" t="s">
        <v>3065</v>
      </c>
      <c r="G507"/>
      <c r="H507"/>
      <c r="I507" s="19">
        <f>-IFERROR(VLOOKUP(C507,SIRCUPA!$A$21:$H$221,8,0),0)</f>
        <v>0</v>
      </c>
      <c r="J507" s="86">
        <f>-IFERROR(VLOOKUP(C507,SIRTAC!$A$16:$H$1458,8,0),0)</f>
        <v>-48</v>
      </c>
      <c r="K507" s="86">
        <f>-IFERROR(VLOOKUP(C507,Gastos!$A$9:$J$1451,10,0),0)</f>
        <v>-217.92</v>
      </c>
      <c r="L507" s="86">
        <f>-IFERROR(VLOOKUP(C507,IDC!$A$20:$H$1763,8,0),0)</f>
        <v>-28.8</v>
      </c>
      <c r="M507" s="95">
        <f t="shared" si="16"/>
        <v>4800</v>
      </c>
      <c r="O507" s="1"/>
    </row>
    <row r="508" spans="1:15" hidden="1">
      <c r="A508" s="1" t="s">
        <v>548</v>
      </c>
      <c r="B508" s="1" t="s">
        <v>15</v>
      </c>
      <c r="C508" s="71">
        <v>128774562893</v>
      </c>
      <c r="D508" s="3">
        <v>4534.5600000000004</v>
      </c>
      <c r="E508" s="3">
        <v>7729398.2400000002</v>
      </c>
      <c r="F508" s="1" t="s">
        <v>3065</v>
      </c>
      <c r="G508"/>
      <c r="H508"/>
      <c r="I508" s="19">
        <f>-IFERROR(VLOOKUP(C508,SIRCUPA!$A$21:$H$221,8,0),0)</f>
        <v>0</v>
      </c>
      <c r="J508" s="86">
        <f>-IFERROR(VLOOKUP(C508,SIRTAC!$A$16:$H$1458,8,0),0)</f>
        <v>-48</v>
      </c>
      <c r="K508" s="86">
        <f>-IFERROR(VLOOKUP(C508,Gastos!$A$9:$J$1451,10,0),0)</f>
        <v>-188.64</v>
      </c>
      <c r="L508" s="86">
        <f>-IFERROR(VLOOKUP(C508,IDC!$A$20:$H$1763,8,0),0)</f>
        <v>-28.8</v>
      </c>
      <c r="M508" s="95">
        <f t="shared" si="16"/>
        <v>4800.0000000000009</v>
      </c>
      <c r="O508" s="1"/>
    </row>
    <row r="509" spans="1:15" hidden="1">
      <c r="A509" s="1" t="s">
        <v>548</v>
      </c>
      <c r="B509" s="1" t="s">
        <v>15</v>
      </c>
      <c r="C509" s="71">
        <v>128774751883</v>
      </c>
      <c r="D509" s="3">
        <v>4357.92</v>
      </c>
      <c r="E509" s="3">
        <v>7733756.1600000001</v>
      </c>
      <c r="F509" s="1" t="s">
        <v>3065</v>
      </c>
      <c r="G509"/>
      <c r="H509"/>
      <c r="I509" s="19">
        <f>-IFERROR(VLOOKUP(C509,SIRCUPA!$A$21:$H$221,8,0),0)</f>
        <v>0</v>
      </c>
      <c r="J509" s="86">
        <f>-IFERROR(VLOOKUP(C509,SIRTAC!$A$16:$H$1458,8,0),0)</f>
        <v>-48</v>
      </c>
      <c r="K509" s="86">
        <f>-IFERROR(VLOOKUP(C509,Gastos!$A$9:$J$1451,10,0),0)</f>
        <v>-365.28</v>
      </c>
      <c r="L509" s="86">
        <f>-IFERROR(VLOOKUP(C509,IDC!$A$20:$H$1763,8,0),0)</f>
        <v>-28.8</v>
      </c>
      <c r="M509" s="95">
        <f t="shared" si="16"/>
        <v>4800</v>
      </c>
      <c r="O509" s="1"/>
    </row>
    <row r="510" spans="1:15" hidden="1">
      <c r="A510" s="1" t="s">
        <v>548</v>
      </c>
      <c r="B510" s="1" t="s">
        <v>15</v>
      </c>
      <c r="C510" s="71">
        <v>128775176401</v>
      </c>
      <c r="D510" s="3">
        <v>4676.6400000000003</v>
      </c>
      <c r="E510" s="3">
        <v>7738432.7999999998</v>
      </c>
      <c r="F510" s="1" t="s">
        <v>3065</v>
      </c>
      <c r="G510"/>
      <c r="H510"/>
      <c r="I510" s="19">
        <f>-IFERROR(VLOOKUP(C510,SIRCUPA!$A$21:$H$221,8,0),0)</f>
        <v>0</v>
      </c>
      <c r="J510" s="86">
        <f>-IFERROR(VLOOKUP(C510,SIRTAC!$A$16:$H$1458,8,0),0)</f>
        <v>-48</v>
      </c>
      <c r="K510" s="86">
        <f>-IFERROR(VLOOKUP(C510,Gastos!$A$9:$J$1451,10,0),0)</f>
        <v>-46.56</v>
      </c>
      <c r="L510" s="86">
        <f>-IFERROR(VLOOKUP(C510,IDC!$A$20:$H$1763,8,0),0)</f>
        <v>-28.8</v>
      </c>
      <c r="M510" s="95">
        <f t="shared" si="16"/>
        <v>4800.0000000000009</v>
      </c>
      <c r="O510" s="1"/>
    </row>
    <row r="511" spans="1:15" hidden="1">
      <c r="A511" s="1" t="s">
        <v>548</v>
      </c>
      <c r="B511" s="1" t="s">
        <v>15</v>
      </c>
      <c r="C511" s="71">
        <v>128775151897</v>
      </c>
      <c r="D511" s="3">
        <v>4676.6400000000003</v>
      </c>
      <c r="E511" s="3">
        <v>7743109.4400000004</v>
      </c>
      <c r="F511" s="1" t="s">
        <v>3065</v>
      </c>
      <c r="G511"/>
      <c r="H511"/>
      <c r="I511" s="19">
        <f>-IFERROR(VLOOKUP(C511,SIRCUPA!$A$21:$H$221,8,0),0)</f>
        <v>0</v>
      </c>
      <c r="J511" s="86">
        <f>-IFERROR(VLOOKUP(C511,SIRTAC!$A$16:$H$1458,8,0),0)</f>
        <v>-48</v>
      </c>
      <c r="K511" s="86">
        <f>-IFERROR(VLOOKUP(C511,Gastos!$A$9:$J$1451,10,0),0)</f>
        <v>-46.56</v>
      </c>
      <c r="L511" s="86">
        <f>-IFERROR(VLOOKUP(C511,IDC!$A$20:$H$1763,8,0),0)</f>
        <v>-28.8</v>
      </c>
      <c r="M511" s="95">
        <f t="shared" si="16"/>
        <v>4800.0000000000009</v>
      </c>
      <c r="O511" s="1"/>
    </row>
    <row r="512" spans="1:15" hidden="1">
      <c r="A512" s="1" t="s">
        <v>548</v>
      </c>
      <c r="B512" s="1" t="s">
        <v>15</v>
      </c>
      <c r="C512" s="71">
        <v>129347015590</v>
      </c>
      <c r="D512" s="3">
        <v>27301.83</v>
      </c>
      <c r="E512" s="3">
        <v>7770411.2699999996</v>
      </c>
      <c r="F512" s="1" t="s">
        <v>3065</v>
      </c>
      <c r="G512"/>
      <c r="H512"/>
      <c r="I512" s="19">
        <f>-IFERROR(VLOOKUP(C512,SIRCUPA!$A$21:$H$221,8,0),0)</f>
        <v>0</v>
      </c>
      <c r="J512" s="86">
        <f>-IFERROR(VLOOKUP(C512,SIRTAC!$A$16:$H$1458,8,0),0)</f>
        <v>-289</v>
      </c>
      <c r="K512" s="86">
        <f>-IFERROR(VLOOKUP(C512,Gastos!$A$9:$J$1451,10,0),0)</f>
        <v>-1135.77</v>
      </c>
      <c r="L512" s="86">
        <f>-IFERROR(VLOOKUP(C512,IDC!$A$20:$H$1763,8,0),0)</f>
        <v>-173.4</v>
      </c>
      <c r="M512" s="95">
        <f t="shared" si="16"/>
        <v>28900.000000000004</v>
      </c>
      <c r="O512" s="1"/>
    </row>
    <row r="513" spans="1:15" hidden="1">
      <c r="A513" s="1" t="s">
        <v>548</v>
      </c>
      <c r="B513" s="1" t="s">
        <v>15</v>
      </c>
      <c r="C513" s="71">
        <v>128775704947</v>
      </c>
      <c r="D513" s="3">
        <v>53976.22</v>
      </c>
      <c r="E513" s="3">
        <v>7824387.4900000002</v>
      </c>
      <c r="F513" s="1" t="s">
        <v>3065</v>
      </c>
      <c r="G513"/>
      <c r="H513"/>
      <c r="I513" s="19">
        <f>-IFERROR(VLOOKUP(C513,SIRCUPA!$A$21:$H$221,8,0),0)</f>
        <v>0</v>
      </c>
      <c r="J513" s="86">
        <f>-IFERROR(VLOOKUP(C513,SIRTAC!$A$16:$H$1458,8,0),0)</f>
        <v>-554</v>
      </c>
      <c r="K513" s="86">
        <f>-IFERROR(VLOOKUP(C513,Gastos!$A$9:$J$1451,10,0),0)</f>
        <v>-537.38</v>
      </c>
      <c r="L513" s="86">
        <f>-IFERROR(VLOOKUP(C513,IDC!$A$20:$H$1763,8,0),0)</f>
        <v>-332.4</v>
      </c>
      <c r="M513" s="95">
        <f t="shared" si="16"/>
        <v>55400</v>
      </c>
      <c r="O513" s="1"/>
    </row>
    <row r="514" spans="1:15" hidden="1">
      <c r="A514" s="1" t="s">
        <v>548</v>
      </c>
      <c r="B514" s="1" t="s">
        <v>593</v>
      </c>
      <c r="C514" s="71">
        <v>128775620005</v>
      </c>
      <c r="D514" s="3">
        <v>2711.83</v>
      </c>
      <c r="E514" s="3">
        <v>7827099.3200000003</v>
      </c>
      <c r="F514" s="1" t="s">
        <v>3065</v>
      </c>
      <c r="G514"/>
      <c r="H514"/>
      <c r="I514" s="19">
        <f>-IFERROR(VLOOKUP(C514,SIRCUPA!$A$21:$H$221,8,0),0)</f>
        <v>-41.55</v>
      </c>
      <c r="J514" s="86">
        <f>-IFERROR(VLOOKUP(C514,SIRTAC!$A$16:$H$1458,8,0),0)</f>
        <v>0</v>
      </c>
      <c r="K514" s="86">
        <f>-IFERROR(VLOOKUP(C514,Gastos!$A$9:$J$1451,10,0),0)</f>
        <v>0</v>
      </c>
      <c r="L514" s="86">
        <f>-IFERROR(VLOOKUP(C514,IDC!$A$20:$H$1763,8,0),0)</f>
        <v>-16.62</v>
      </c>
      <c r="M514" s="95">
        <f t="shared" si="16"/>
        <v>2770</v>
      </c>
      <c r="O514" s="1"/>
    </row>
    <row r="515" spans="1:15" hidden="1">
      <c r="A515" s="1" t="s">
        <v>548</v>
      </c>
      <c r="B515" s="1" t="s">
        <v>15</v>
      </c>
      <c r="C515" s="71">
        <v>129347413210</v>
      </c>
      <c r="D515" s="3">
        <v>3897.2</v>
      </c>
      <c r="E515" s="3">
        <v>7830996.5199999996</v>
      </c>
      <c r="F515" s="1" t="s">
        <v>3065</v>
      </c>
      <c r="G515"/>
      <c r="H515"/>
      <c r="I515" s="19">
        <f>-IFERROR(VLOOKUP(C515,SIRCUPA!$A$21:$H$221,8,0),0)</f>
        <v>0</v>
      </c>
      <c r="J515" s="86">
        <f>-IFERROR(VLOOKUP(C515,SIRTAC!$A$16:$H$1458,8,0),0)</f>
        <v>-40</v>
      </c>
      <c r="K515" s="86">
        <f>-IFERROR(VLOOKUP(C515,Gastos!$A$9:$J$1451,10,0),0)</f>
        <v>-38.799999999999997</v>
      </c>
      <c r="L515" s="86">
        <f>-IFERROR(VLOOKUP(C515,IDC!$A$20:$H$1763,8,0),0)</f>
        <v>-24</v>
      </c>
      <c r="M515" s="95">
        <f t="shared" si="16"/>
        <v>4000</v>
      </c>
      <c r="O515" s="1"/>
    </row>
    <row r="516" spans="1:15" hidden="1">
      <c r="A516" s="1" t="s">
        <v>548</v>
      </c>
      <c r="B516" s="1" t="s">
        <v>15</v>
      </c>
      <c r="C516" s="71">
        <v>129348090922</v>
      </c>
      <c r="D516" s="3">
        <v>4092.06</v>
      </c>
      <c r="E516" s="3">
        <v>7835088.5800000001</v>
      </c>
      <c r="F516" s="1" t="s">
        <v>3065</v>
      </c>
      <c r="G516"/>
      <c r="H516"/>
      <c r="I516" s="19">
        <f>-IFERROR(VLOOKUP(C516,SIRCUPA!$A$21:$H$221,8,0),0)</f>
        <v>0</v>
      </c>
      <c r="J516" s="86">
        <f>-IFERROR(VLOOKUP(C516,SIRTAC!$A$16:$H$1458,8,0),0)</f>
        <v>-42</v>
      </c>
      <c r="K516" s="86">
        <f>-IFERROR(VLOOKUP(C516,Gastos!$A$9:$J$1451,10,0),0)</f>
        <v>-40.74</v>
      </c>
      <c r="L516" s="86">
        <f>-IFERROR(VLOOKUP(C516,IDC!$A$20:$H$1763,8,0),0)</f>
        <v>-25.2</v>
      </c>
      <c r="M516" s="95">
        <f t="shared" si="16"/>
        <v>4199.9999999999991</v>
      </c>
      <c r="O516" s="1"/>
    </row>
    <row r="517" spans="1:15" hidden="1">
      <c r="A517" s="1" t="s">
        <v>548</v>
      </c>
      <c r="B517" s="1" t="s">
        <v>15</v>
      </c>
      <c r="C517" s="71">
        <v>128776692003</v>
      </c>
      <c r="D517" s="3">
        <v>4384.3500000000004</v>
      </c>
      <c r="E517" s="3">
        <v>7839472.9299999997</v>
      </c>
      <c r="F517" s="1" t="s">
        <v>3065</v>
      </c>
      <c r="G517"/>
      <c r="H517"/>
      <c r="I517" s="19">
        <f>-IFERROR(VLOOKUP(C517,SIRCUPA!$A$21:$H$221,8,0),0)</f>
        <v>0</v>
      </c>
      <c r="J517" s="86">
        <f>-IFERROR(VLOOKUP(C517,SIRTAC!$A$16:$H$1458,8,0),0)</f>
        <v>-45</v>
      </c>
      <c r="K517" s="86">
        <f>-IFERROR(VLOOKUP(C517,Gastos!$A$9:$J$1451,10,0),0)</f>
        <v>-43.65</v>
      </c>
      <c r="L517" s="86">
        <f>-IFERROR(VLOOKUP(C517,IDC!$A$20:$H$1763,8,0),0)</f>
        <v>-27</v>
      </c>
      <c r="M517" s="95">
        <f t="shared" si="16"/>
        <v>4500</v>
      </c>
      <c r="O517" s="1"/>
    </row>
    <row r="518" spans="1:15" hidden="1">
      <c r="A518" s="1" t="s">
        <v>548</v>
      </c>
      <c r="B518" s="1" t="s">
        <v>598</v>
      </c>
      <c r="C518" s="71">
        <v>128776800907</v>
      </c>
      <c r="D518" s="2">
        <v>440.55</v>
      </c>
      <c r="E518" s="3">
        <v>7839913.4800000004</v>
      </c>
      <c r="F518" s="1" t="s">
        <v>3065</v>
      </c>
      <c r="G518"/>
      <c r="H518"/>
      <c r="I518" s="19">
        <f>-IFERROR(VLOOKUP(C518,SIRCUPA!$A$21:$H$221,8,0),0)</f>
        <v>-6.75</v>
      </c>
      <c r="J518" s="86">
        <f>-IFERROR(VLOOKUP(C518,SIRTAC!$A$16:$H$1458,8,0),0)</f>
        <v>0</v>
      </c>
      <c r="K518" s="86">
        <f>-IFERROR(VLOOKUP(C518,Gastos!$A$9:$J$1451,10,0),0)</f>
        <v>0</v>
      </c>
      <c r="L518" s="86">
        <f>-IFERROR(VLOOKUP(C518,IDC!$A$20:$H$1763,8,0),0)</f>
        <v>-2.7</v>
      </c>
      <c r="M518" s="95">
        <f t="shared" si="16"/>
        <v>450</v>
      </c>
      <c r="O518" s="1"/>
    </row>
    <row r="519" spans="1:15" hidden="1">
      <c r="A519" s="1" t="s">
        <v>548</v>
      </c>
      <c r="B519" s="1" t="s">
        <v>15</v>
      </c>
      <c r="C519" s="71">
        <v>128777868789</v>
      </c>
      <c r="D519" s="3">
        <v>2322.48</v>
      </c>
      <c r="E519" s="3">
        <v>7842235.96</v>
      </c>
      <c r="F519" s="1" t="s">
        <v>3065</v>
      </c>
      <c r="G519"/>
      <c r="H519"/>
      <c r="I519" s="19">
        <f>-IFERROR(VLOOKUP(C519,SIRCUPA!$A$21:$H$221,8,0),0)</f>
        <v>0</v>
      </c>
      <c r="J519" s="86">
        <f>-IFERROR(VLOOKUP(C519,SIRTAC!$A$16:$H$1458,8,0),0)</f>
        <v>-24</v>
      </c>
      <c r="K519" s="86">
        <f>-IFERROR(VLOOKUP(C519,Gastos!$A$9:$J$1451,10,0),0)</f>
        <v>-39.119999999999997</v>
      </c>
      <c r="L519" s="86">
        <f>-IFERROR(VLOOKUP(C519,IDC!$A$20:$H$1763,8,0),0)</f>
        <v>-14.4</v>
      </c>
      <c r="M519" s="95">
        <f t="shared" si="16"/>
        <v>2400</v>
      </c>
      <c r="O519" s="1"/>
    </row>
    <row r="520" spans="1:15" hidden="1">
      <c r="A520" s="1" t="s">
        <v>548</v>
      </c>
      <c r="B520" s="1" t="s">
        <v>15</v>
      </c>
      <c r="C520" s="71">
        <v>129349865056</v>
      </c>
      <c r="D520" s="3">
        <v>5845.8</v>
      </c>
      <c r="E520" s="3">
        <v>7848081.7599999998</v>
      </c>
      <c r="F520" s="1" t="s">
        <v>3065</v>
      </c>
      <c r="G520"/>
      <c r="H520"/>
      <c r="I520" s="19">
        <f>-IFERROR(VLOOKUP(C520,SIRCUPA!$A$21:$H$221,8,0),0)</f>
        <v>0</v>
      </c>
      <c r="J520" s="86">
        <f>-IFERROR(VLOOKUP(C520,SIRTAC!$A$16:$H$1458,8,0),0)</f>
        <v>-60</v>
      </c>
      <c r="K520" s="86">
        <f>-IFERROR(VLOOKUP(C520,Gastos!$A$9:$J$1451,10,0),0)</f>
        <v>-58.2</v>
      </c>
      <c r="L520" s="86">
        <f>-IFERROR(VLOOKUP(C520,IDC!$A$20:$H$1763,8,0),0)</f>
        <v>-36</v>
      </c>
      <c r="M520" s="95">
        <f t="shared" si="16"/>
        <v>6000</v>
      </c>
      <c r="O520" s="1"/>
    </row>
    <row r="521" spans="1:15" hidden="1">
      <c r="A521" s="1" t="s">
        <v>548</v>
      </c>
      <c r="B521" s="1" t="s">
        <v>15</v>
      </c>
      <c r="C521" s="71">
        <v>128778387735</v>
      </c>
      <c r="D521" s="3">
        <v>5163.79</v>
      </c>
      <c r="E521" s="3">
        <v>7853245.5499999998</v>
      </c>
      <c r="F521" s="1" t="s">
        <v>3065</v>
      </c>
      <c r="G521"/>
      <c r="H521"/>
      <c r="I521" s="19">
        <f>-IFERROR(VLOOKUP(C521,SIRCUPA!$A$21:$H$221,8,0),0)</f>
        <v>0</v>
      </c>
      <c r="J521" s="86">
        <f>-IFERROR(VLOOKUP(C521,SIRTAC!$A$16:$H$1458,8,0),0)</f>
        <v>-53</v>
      </c>
      <c r="K521" s="86">
        <f>-IFERROR(VLOOKUP(C521,Gastos!$A$9:$J$1451,10,0),0)</f>
        <v>-51.41</v>
      </c>
      <c r="L521" s="86">
        <f>-IFERROR(VLOOKUP(C521,IDC!$A$20:$H$1763,8,0),0)</f>
        <v>-31.8</v>
      </c>
      <c r="M521" s="95">
        <f t="shared" si="16"/>
        <v>5300</v>
      </c>
      <c r="O521" s="1"/>
    </row>
    <row r="522" spans="1:15" hidden="1">
      <c r="A522" s="1" t="s">
        <v>548</v>
      </c>
      <c r="B522" s="1" t="s">
        <v>15</v>
      </c>
      <c r="C522" s="71">
        <v>129351184458</v>
      </c>
      <c r="D522" s="3">
        <v>16910.13</v>
      </c>
      <c r="E522" s="3">
        <v>7870155.6799999997</v>
      </c>
      <c r="F522" s="1" t="s">
        <v>3065</v>
      </c>
      <c r="G522"/>
      <c r="H522"/>
      <c r="I522" s="19">
        <f>-IFERROR(VLOOKUP(C522,SIRCUPA!$A$21:$H$221,8,0),0)</f>
        <v>0</v>
      </c>
      <c r="J522" s="86">
        <f>-IFERROR(VLOOKUP(C522,SIRTAC!$A$16:$H$1458,8,0),0)</f>
        <v>-179</v>
      </c>
      <c r="K522" s="86">
        <f>-IFERROR(VLOOKUP(C522,Gastos!$A$9:$J$1451,10,0),0)</f>
        <v>-703.47</v>
      </c>
      <c r="L522" s="86">
        <f>-IFERROR(VLOOKUP(C522,IDC!$A$20:$H$1763,8,0),0)</f>
        <v>-107.4</v>
      </c>
      <c r="M522" s="95">
        <f t="shared" si="16"/>
        <v>17900.000000000004</v>
      </c>
      <c r="O522" s="1"/>
    </row>
    <row r="523" spans="1:15" hidden="1">
      <c r="A523" s="1" t="s">
        <v>548</v>
      </c>
      <c r="B523" s="1" t="s">
        <v>15</v>
      </c>
      <c r="C523" s="71">
        <v>129351342590</v>
      </c>
      <c r="D523" s="3">
        <v>4676.6400000000003</v>
      </c>
      <c r="E523" s="3">
        <v>7874832.3200000003</v>
      </c>
      <c r="F523" s="1" t="s">
        <v>3065</v>
      </c>
      <c r="G523"/>
      <c r="H523"/>
      <c r="I523" s="19">
        <f>-IFERROR(VLOOKUP(C523,SIRCUPA!$A$21:$H$221,8,0),0)</f>
        <v>0</v>
      </c>
      <c r="J523" s="86">
        <f>-IFERROR(VLOOKUP(C523,SIRTAC!$A$16:$H$1458,8,0),0)</f>
        <v>-48</v>
      </c>
      <c r="K523" s="86">
        <f>-IFERROR(VLOOKUP(C523,Gastos!$A$9:$J$1451,10,0),0)</f>
        <v>-46.56</v>
      </c>
      <c r="L523" s="86">
        <f>-IFERROR(VLOOKUP(C523,IDC!$A$20:$H$1763,8,0),0)</f>
        <v>-28.8</v>
      </c>
      <c r="M523" s="95">
        <f t="shared" si="16"/>
        <v>4800.0000000000009</v>
      </c>
      <c r="O523" s="1"/>
    </row>
    <row r="524" spans="1:15" hidden="1">
      <c r="A524" s="1" t="s">
        <v>548</v>
      </c>
      <c r="B524" s="1" t="s">
        <v>15</v>
      </c>
      <c r="C524" s="71">
        <v>129351319166</v>
      </c>
      <c r="D524" s="3">
        <v>1935.4</v>
      </c>
      <c r="E524" s="3">
        <v>7876767.7199999997</v>
      </c>
      <c r="F524" s="1" t="s">
        <v>3065</v>
      </c>
      <c r="G524"/>
      <c r="H524"/>
      <c r="I524" s="19">
        <f>-IFERROR(VLOOKUP(C524,SIRCUPA!$A$21:$H$221,8,0),0)</f>
        <v>0</v>
      </c>
      <c r="J524" s="86">
        <f>-IFERROR(VLOOKUP(C524,SIRTAC!$A$16:$H$1458,8,0),0)</f>
        <v>-20</v>
      </c>
      <c r="K524" s="86">
        <f>-IFERROR(VLOOKUP(C524,Gastos!$A$9:$J$1451,10,0),0)</f>
        <v>-32.6</v>
      </c>
      <c r="L524" s="86">
        <f>-IFERROR(VLOOKUP(C524,IDC!$A$20:$H$1763,8,0),0)</f>
        <v>-12</v>
      </c>
      <c r="M524" s="95">
        <f t="shared" si="16"/>
        <v>2000</v>
      </c>
      <c r="O524" s="1"/>
    </row>
    <row r="525" spans="1:15" hidden="1">
      <c r="A525" s="1" t="s">
        <v>548</v>
      </c>
      <c r="B525" s="1" t="s">
        <v>15</v>
      </c>
      <c r="C525" s="71">
        <v>129351544106</v>
      </c>
      <c r="D525" s="3">
        <v>7696.97</v>
      </c>
      <c r="E525" s="3">
        <v>7884464.6900000004</v>
      </c>
      <c r="F525" s="1" t="s">
        <v>3065</v>
      </c>
      <c r="G525"/>
      <c r="H525"/>
      <c r="I525" s="19">
        <f>-IFERROR(VLOOKUP(C525,SIRCUPA!$A$21:$H$221,8,0),0)</f>
        <v>0</v>
      </c>
      <c r="J525" s="86">
        <f>-IFERROR(VLOOKUP(C525,SIRTAC!$A$16:$H$1458,8,0),0)</f>
        <v>-79</v>
      </c>
      <c r="K525" s="86">
        <f>-IFERROR(VLOOKUP(C525,Gastos!$A$9:$J$1451,10,0),0)</f>
        <v>-76.63</v>
      </c>
      <c r="L525" s="86">
        <f>-IFERROR(VLOOKUP(C525,IDC!$A$20:$H$1763,8,0),0)</f>
        <v>-47.4</v>
      </c>
      <c r="M525" s="95">
        <f t="shared" si="16"/>
        <v>7900</v>
      </c>
      <c r="O525" s="1"/>
    </row>
    <row r="526" spans="1:15" hidden="1">
      <c r="A526" s="1" t="s">
        <v>548</v>
      </c>
      <c r="B526" s="1" t="s">
        <v>15</v>
      </c>
      <c r="C526" s="71">
        <v>128779755299</v>
      </c>
      <c r="D526" s="3">
        <v>30230.400000000001</v>
      </c>
      <c r="E526" s="3">
        <v>7914695.0899999999</v>
      </c>
      <c r="F526" s="1" t="s">
        <v>3065</v>
      </c>
      <c r="G526"/>
      <c r="H526"/>
      <c r="I526" s="19">
        <f>-IFERROR(VLOOKUP(C526,SIRCUPA!$A$21:$H$221,8,0),0)</f>
        <v>0</v>
      </c>
      <c r="J526" s="86">
        <f>-IFERROR(VLOOKUP(C526,SIRTAC!$A$16:$H$1458,8,0),0)</f>
        <v>-320</v>
      </c>
      <c r="K526" s="86">
        <f>-IFERROR(VLOOKUP(C526,Gastos!$A$9:$J$1451,10,0),0)</f>
        <v>-1257.5999999999999</v>
      </c>
      <c r="L526" s="86">
        <f>-IFERROR(VLOOKUP(C526,IDC!$A$20:$H$1763,8,0),0)</f>
        <v>-192</v>
      </c>
      <c r="M526" s="95">
        <f t="shared" ref="M526:M557" si="17">+D526-I526-J526-K526-L526</f>
        <v>32000</v>
      </c>
      <c r="O526" s="1"/>
    </row>
    <row r="527" spans="1:15" hidden="1">
      <c r="A527" s="1" t="s">
        <v>548</v>
      </c>
      <c r="B527" s="1" t="s">
        <v>15</v>
      </c>
      <c r="C527" s="71">
        <v>128779823515</v>
      </c>
      <c r="D527" s="3">
        <v>4676.6400000000003</v>
      </c>
      <c r="E527" s="3">
        <v>7919371.7300000004</v>
      </c>
      <c r="F527" s="1" t="s">
        <v>3065</v>
      </c>
      <c r="G527"/>
      <c r="H527"/>
      <c r="I527" s="19">
        <f>-IFERROR(VLOOKUP(C527,SIRCUPA!$A$21:$H$221,8,0),0)</f>
        <v>0</v>
      </c>
      <c r="J527" s="86">
        <f>-IFERROR(VLOOKUP(C527,SIRTAC!$A$16:$H$1458,8,0),0)</f>
        <v>-48</v>
      </c>
      <c r="K527" s="86">
        <f>-IFERROR(VLOOKUP(C527,Gastos!$A$9:$J$1451,10,0),0)</f>
        <v>-46.56</v>
      </c>
      <c r="L527" s="86">
        <f>-IFERROR(VLOOKUP(C527,IDC!$A$20:$H$1763,8,0),0)</f>
        <v>-28.8</v>
      </c>
      <c r="M527" s="95">
        <f t="shared" si="17"/>
        <v>4800.0000000000009</v>
      </c>
      <c r="O527" s="1"/>
    </row>
    <row r="528" spans="1:15" hidden="1">
      <c r="A528" s="1" t="s">
        <v>548</v>
      </c>
      <c r="B528" s="1" t="s">
        <v>15</v>
      </c>
      <c r="C528" s="71">
        <v>129351615426</v>
      </c>
      <c r="D528" s="3">
        <v>4676.6400000000003</v>
      </c>
      <c r="E528" s="3">
        <v>7924048.3700000001</v>
      </c>
      <c r="F528" s="1" t="s">
        <v>3065</v>
      </c>
      <c r="G528"/>
      <c r="H528"/>
      <c r="I528" s="19">
        <f>-IFERROR(VLOOKUP(C528,SIRCUPA!$A$21:$H$221,8,0),0)</f>
        <v>0</v>
      </c>
      <c r="J528" s="86">
        <f>-IFERROR(VLOOKUP(C528,SIRTAC!$A$16:$H$1458,8,0),0)</f>
        <v>-48</v>
      </c>
      <c r="K528" s="86">
        <f>-IFERROR(VLOOKUP(C528,Gastos!$A$9:$J$1451,10,0),0)</f>
        <v>-46.56</v>
      </c>
      <c r="L528" s="86">
        <f>-IFERROR(VLOOKUP(C528,IDC!$A$20:$H$1763,8,0),0)</f>
        <v>-28.8</v>
      </c>
      <c r="M528" s="95">
        <f t="shared" si="17"/>
        <v>4800.0000000000009</v>
      </c>
      <c r="O528" s="1"/>
    </row>
    <row r="529" spans="1:15" hidden="1">
      <c r="A529" s="1" t="s">
        <v>548</v>
      </c>
      <c r="B529" s="1" t="s">
        <v>15</v>
      </c>
      <c r="C529" s="71">
        <v>128780337091</v>
      </c>
      <c r="D529" s="3">
        <v>3994.76</v>
      </c>
      <c r="E529" s="3">
        <v>7928043.1299999999</v>
      </c>
      <c r="F529" s="1" t="s">
        <v>3065</v>
      </c>
      <c r="G529"/>
      <c r="H529"/>
      <c r="I529" s="19">
        <f>-IFERROR(VLOOKUP(C529,SIRCUPA!$A$21:$H$221,8,0),0)</f>
        <v>0</v>
      </c>
      <c r="J529" s="86">
        <f>-IFERROR(VLOOKUP(C529,SIRTAC!$A$16:$H$1458,8,0),0)</f>
        <v>-44</v>
      </c>
      <c r="K529" s="86">
        <f>-IFERROR(VLOOKUP(C529,Gastos!$A$9:$J$1451,10,0),0)</f>
        <v>-334.84</v>
      </c>
      <c r="L529" s="86">
        <f>-IFERROR(VLOOKUP(C529,IDC!$A$20:$H$1763,8,0),0)</f>
        <v>-26.4</v>
      </c>
      <c r="M529" s="95">
        <f t="shared" si="17"/>
        <v>4400</v>
      </c>
      <c r="O529" s="1"/>
    </row>
    <row r="530" spans="1:15" hidden="1">
      <c r="A530" s="1" t="s">
        <v>548</v>
      </c>
      <c r="B530" s="1" t="s">
        <v>15</v>
      </c>
      <c r="C530" s="71">
        <v>129352021290</v>
      </c>
      <c r="D530" s="3">
        <v>4676.6400000000003</v>
      </c>
      <c r="E530" s="3">
        <v>7932719.7699999996</v>
      </c>
      <c r="F530" s="1" t="s">
        <v>3065</v>
      </c>
      <c r="G530"/>
      <c r="H530"/>
      <c r="I530" s="19">
        <f>-IFERROR(VLOOKUP(C530,SIRCUPA!$A$21:$H$221,8,0),0)</f>
        <v>0</v>
      </c>
      <c r="J530" s="86">
        <f>-IFERROR(VLOOKUP(C530,SIRTAC!$A$16:$H$1458,8,0),0)</f>
        <v>-48</v>
      </c>
      <c r="K530" s="86">
        <f>-IFERROR(VLOOKUP(C530,Gastos!$A$9:$J$1451,10,0),0)</f>
        <v>-46.56</v>
      </c>
      <c r="L530" s="86">
        <f>-IFERROR(VLOOKUP(C530,IDC!$A$20:$H$1763,8,0),0)</f>
        <v>-28.8</v>
      </c>
      <c r="M530" s="95">
        <f t="shared" si="17"/>
        <v>4800.0000000000009</v>
      </c>
      <c r="O530" s="1"/>
    </row>
    <row r="531" spans="1:15" hidden="1">
      <c r="A531" s="1" t="s">
        <v>548</v>
      </c>
      <c r="B531" s="1" t="s">
        <v>15</v>
      </c>
      <c r="C531" s="71">
        <v>129352179438</v>
      </c>
      <c r="D531" s="3">
        <v>13603.68</v>
      </c>
      <c r="E531" s="3">
        <v>7946323.4500000002</v>
      </c>
      <c r="F531" s="1" t="s">
        <v>3065</v>
      </c>
      <c r="G531"/>
      <c r="H531"/>
      <c r="I531" s="19">
        <f>-IFERROR(VLOOKUP(C531,SIRCUPA!$A$21:$H$221,8,0),0)</f>
        <v>0</v>
      </c>
      <c r="J531" s="86">
        <f>-IFERROR(VLOOKUP(C531,SIRTAC!$A$16:$H$1458,8,0),0)</f>
        <v>-144</v>
      </c>
      <c r="K531" s="86">
        <f>-IFERROR(VLOOKUP(C531,Gastos!$A$9:$J$1451,10,0),0)</f>
        <v>-565.91999999999996</v>
      </c>
      <c r="L531" s="86">
        <f>-IFERROR(VLOOKUP(C531,IDC!$A$20:$H$1763,8,0),0)</f>
        <v>-86.4</v>
      </c>
      <c r="M531" s="95">
        <f t="shared" si="17"/>
        <v>14400</v>
      </c>
      <c r="O531" s="1"/>
    </row>
    <row r="532" spans="1:15" hidden="1">
      <c r="A532" s="1" t="s">
        <v>548</v>
      </c>
      <c r="B532" s="1" t="s">
        <v>15</v>
      </c>
      <c r="C532" s="71">
        <v>128780754643</v>
      </c>
      <c r="D532" s="3">
        <v>7263.2</v>
      </c>
      <c r="E532" s="3">
        <v>7953586.6500000004</v>
      </c>
      <c r="F532" s="1" t="s">
        <v>3065</v>
      </c>
      <c r="G532"/>
      <c r="H532"/>
      <c r="I532" s="19">
        <f>-IFERROR(VLOOKUP(C532,SIRCUPA!$A$21:$H$221,8,0),0)</f>
        <v>0</v>
      </c>
      <c r="J532" s="86">
        <f>-IFERROR(VLOOKUP(C532,SIRTAC!$A$16:$H$1458,8,0),0)</f>
        <v>-80</v>
      </c>
      <c r="K532" s="86">
        <f>-IFERROR(VLOOKUP(C532,Gastos!$A$9:$J$1451,10,0),0)</f>
        <v>-608.79999999999995</v>
      </c>
      <c r="L532" s="86">
        <f>-IFERROR(VLOOKUP(C532,IDC!$A$20:$H$1763,8,0),0)</f>
        <v>-48</v>
      </c>
      <c r="M532" s="95">
        <f t="shared" si="17"/>
        <v>8000</v>
      </c>
      <c r="O532" s="1"/>
    </row>
    <row r="533" spans="1:15" hidden="1">
      <c r="A533" s="1" t="s">
        <v>548</v>
      </c>
      <c r="B533" s="1" t="s">
        <v>15</v>
      </c>
      <c r="C533" s="71">
        <v>128780927843</v>
      </c>
      <c r="D533" s="3">
        <v>4676.6400000000003</v>
      </c>
      <c r="E533" s="3">
        <v>7958263.29</v>
      </c>
      <c r="F533" s="1" t="s">
        <v>3065</v>
      </c>
      <c r="G533"/>
      <c r="H533"/>
      <c r="I533" s="19">
        <f>-IFERROR(VLOOKUP(C533,SIRCUPA!$A$21:$H$221,8,0),0)</f>
        <v>0</v>
      </c>
      <c r="J533" s="86">
        <f>-IFERROR(VLOOKUP(C533,SIRTAC!$A$16:$H$1458,8,0),0)</f>
        <v>-48</v>
      </c>
      <c r="K533" s="86">
        <f>-IFERROR(VLOOKUP(C533,Gastos!$A$9:$J$1451,10,0),0)</f>
        <v>-46.56</v>
      </c>
      <c r="L533" s="86">
        <f>-IFERROR(VLOOKUP(C533,IDC!$A$20:$H$1763,8,0),0)</f>
        <v>-28.8</v>
      </c>
      <c r="M533" s="95">
        <f t="shared" si="17"/>
        <v>4800.0000000000009</v>
      </c>
      <c r="O533" s="1"/>
    </row>
    <row r="534" spans="1:15" hidden="1">
      <c r="A534" s="1" t="s">
        <v>548</v>
      </c>
      <c r="B534" s="1" t="s">
        <v>15</v>
      </c>
      <c r="C534" s="71">
        <v>128781427399</v>
      </c>
      <c r="D534" s="3">
        <v>10814.73</v>
      </c>
      <c r="E534" s="3">
        <v>7969078.0199999996</v>
      </c>
      <c r="F534" s="1" t="s">
        <v>3065</v>
      </c>
      <c r="G534"/>
      <c r="H534"/>
      <c r="I534" s="19">
        <f>-IFERROR(VLOOKUP(C534,SIRCUPA!$A$21:$H$221,8,0),0)</f>
        <v>0</v>
      </c>
      <c r="J534" s="86">
        <f>-IFERROR(VLOOKUP(C534,SIRTAC!$A$16:$H$1458,8,0),0)</f>
        <v>-111</v>
      </c>
      <c r="K534" s="86">
        <f>-IFERROR(VLOOKUP(C534,Gastos!$A$9:$J$1451,10,0),0)</f>
        <v>-107.67</v>
      </c>
      <c r="L534" s="86">
        <f>-IFERROR(VLOOKUP(C534,IDC!$A$20:$H$1763,8,0),0)</f>
        <v>-66.599999999999994</v>
      </c>
      <c r="M534" s="95">
        <f t="shared" si="17"/>
        <v>11100</v>
      </c>
      <c r="O534" s="1"/>
    </row>
    <row r="535" spans="1:15" hidden="1">
      <c r="A535" s="1" t="s">
        <v>548</v>
      </c>
      <c r="B535" s="1" t="s">
        <v>15</v>
      </c>
      <c r="C535" s="71">
        <v>128781810467</v>
      </c>
      <c r="D535" s="3">
        <v>7014.96</v>
      </c>
      <c r="E535" s="3">
        <v>7976092.9800000004</v>
      </c>
      <c r="F535" s="1" t="s">
        <v>3065</v>
      </c>
      <c r="G535"/>
      <c r="H535"/>
      <c r="I535" s="19">
        <f>-IFERROR(VLOOKUP(C535,SIRCUPA!$A$21:$H$221,8,0),0)</f>
        <v>0</v>
      </c>
      <c r="J535" s="86">
        <f>-IFERROR(VLOOKUP(C535,SIRTAC!$A$16:$H$1458,8,0),0)</f>
        <v>-72</v>
      </c>
      <c r="K535" s="86">
        <f>-IFERROR(VLOOKUP(C535,Gastos!$A$9:$J$1451,10,0),0)</f>
        <v>-69.84</v>
      </c>
      <c r="L535" s="86">
        <f>-IFERROR(VLOOKUP(C535,IDC!$A$20:$H$1763,8,0),0)</f>
        <v>-43.2</v>
      </c>
      <c r="M535" s="95">
        <f t="shared" si="17"/>
        <v>7200</v>
      </c>
      <c r="O535" s="1"/>
    </row>
    <row r="536" spans="1:15" hidden="1">
      <c r="A536" s="1" t="s">
        <v>548</v>
      </c>
      <c r="B536" s="1" t="s">
        <v>15</v>
      </c>
      <c r="C536" s="71">
        <v>128782418285</v>
      </c>
      <c r="D536" s="3">
        <v>43453.78</v>
      </c>
      <c r="E536" s="3">
        <v>8019546.7599999998</v>
      </c>
      <c r="F536" s="1" t="s">
        <v>3065</v>
      </c>
      <c r="G536"/>
      <c r="H536"/>
      <c r="I536" s="19">
        <f>-IFERROR(VLOOKUP(C536,SIRCUPA!$A$21:$H$221,8,0),0)</f>
        <v>0</v>
      </c>
      <c r="J536" s="86">
        <f>-IFERROR(VLOOKUP(C536,SIRTAC!$A$16:$H$1458,8,0),0)</f>
        <v>-446</v>
      </c>
      <c r="K536" s="86">
        <f>-IFERROR(VLOOKUP(C536,Gastos!$A$9:$J$1451,10,0),0)</f>
        <v>-432.62</v>
      </c>
      <c r="L536" s="86">
        <f>-IFERROR(VLOOKUP(C536,IDC!$A$20:$H$1763,8,0),0)</f>
        <v>-267.60000000000002</v>
      </c>
      <c r="M536" s="95">
        <f t="shared" si="17"/>
        <v>44600</v>
      </c>
      <c r="O536" s="1"/>
    </row>
    <row r="537" spans="1:15" hidden="1">
      <c r="A537" s="1" t="s">
        <v>548</v>
      </c>
      <c r="B537" s="1" t="s">
        <v>15</v>
      </c>
      <c r="C537" s="71">
        <v>128782524989</v>
      </c>
      <c r="D537" s="3">
        <v>15491.37</v>
      </c>
      <c r="E537" s="3">
        <v>8035038.1299999999</v>
      </c>
      <c r="F537" s="1" t="s">
        <v>3065</v>
      </c>
      <c r="G537"/>
      <c r="H537"/>
      <c r="I537" s="19">
        <f>-IFERROR(VLOOKUP(C537,SIRCUPA!$A$21:$H$221,8,0),0)</f>
        <v>0</v>
      </c>
      <c r="J537" s="86">
        <f>-IFERROR(VLOOKUP(C537,SIRTAC!$A$16:$H$1458,8,0),0)</f>
        <v>-159</v>
      </c>
      <c r="K537" s="86">
        <f>-IFERROR(VLOOKUP(C537,Gastos!$A$9:$J$1451,10,0),0)</f>
        <v>-154.22999999999999</v>
      </c>
      <c r="L537" s="86">
        <f>-IFERROR(VLOOKUP(C537,IDC!$A$20:$H$1763,8,0),0)</f>
        <v>-95.4</v>
      </c>
      <c r="M537" s="95">
        <f t="shared" si="17"/>
        <v>15900</v>
      </c>
      <c r="O537" s="1"/>
    </row>
    <row r="538" spans="1:15" hidden="1">
      <c r="A538" s="1" t="s">
        <v>548</v>
      </c>
      <c r="B538" s="1" t="s">
        <v>15</v>
      </c>
      <c r="C538" s="71">
        <v>129354374886</v>
      </c>
      <c r="D538" s="3">
        <v>14029.92</v>
      </c>
      <c r="E538" s="3">
        <v>8049068.0499999998</v>
      </c>
      <c r="F538" s="1" t="s">
        <v>3065</v>
      </c>
      <c r="G538"/>
      <c r="H538"/>
      <c r="I538" s="19">
        <f>-IFERROR(VLOOKUP(C538,SIRCUPA!$A$21:$H$221,8,0),0)</f>
        <v>0</v>
      </c>
      <c r="J538" s="86">
        <f>-IFERROR(VLOOKUP(C538,SIRTAC!$A$16:$H$1458,8,0),0)</f>
        <v>-144</v>
      </c>
      <c r="K538" s="86">
        <f>-IFERROR(VLOOKUP(C538,Gastos!$A$9:$J$1451,10,0),0)</f>
        <v>-139.68</v>
      </c>
      <c r="L538" s="86">
        <f>-IFERROR(VLOOKUP(C538,IDC!$A$20:$H$1763,8,0),0)</f>
        <v>-86.4</v>
      </c>
      <c r="M538" s="95">
        <f t="shared" si="17"/>
        <v>14400</v>
      </c>
      <c r="O538" s="1"/>
    </row>
    <row r="539" spans="1:15" hidden="1">
      <c r="A539" s="1" t="s">
        <v>548</v>
      </c>
      <c r="B539" s="1" t="s">
        <v>620</v>
      </c>
      <c r="C539" s="71">
        <v>129354544482</v>
      </c>
      <c r="D539" s="2">
        <v>704.88</v>
      </c>
      <c r="E539" s="3">
        <v>8049772.9299999997</v>
      </c>
      <c r="F539" s="1" t="s">
        <v>3065</v>
      </c>
      <c r="G539"/>
      <c r="H539"/>
      <c r="I539" s="19">
        <f>-IFERROR(VLOOKUP(C539,SIRCUPA!$A$21:$H$221,8,0),0)</f>
        <v>-10.8</v>
      </c>
      <c r="J539" s="86">
        <f>-IFERROR(VLOOKUP(C539,SIRTAC!$A$16:$H$1458,8,0),0)</f>
        <v>0</v>
      </c>
      <c r="K539" s="86">
        <f>-IFERROR(VLOOKUP(C539,Gastos!$A$9:$J$1451,10,0),0)</f>
        <v>0</v>
      </c>
      <c r="L539" s="86">
        <f>-IFERROR(VLOOKUP(C539,IDC!$A$20:$H$1763,8,0),0)</f>
        <v>-4.32</v>
      </c>
      <c r="M539" s="95">
        <f t="shared" si="17"/>
        <v>720</v>
      </c>
      <c r="O539" s="1"/>
    </row>
    <row r="540" spans="1:15" hidden="1">
      <c r="A540" s="1" t="s">
        <v>548</v>
      </c>
      <c r="B540" s="1" t="s">
        <v>15</v>
      </c>
      <c r="C540" s="71">
        <v>128782887399</v>
      </c>
      <c r="D540" s="3">
        <v>9937.86</v>
      </c>
      <c r="E540" s="3">
        <v>8059710.79</v>
      </c>
      <c r="F540" s="1" t="s">
        <v>3065</v>
      </c>
      <c r="G540"/>
      <c r="H540"/>
      <c r="I540" s="19">
        <f>-IFERROR(VLOOKUP(C540,SIRCUPA!$A$21:$H$221,8,0),0)</f>
        <v>0</v>
      </c>
      <c r="J540" s="86">
        <f>-IFERROR(VLOOKUP(C540,SIRTAC!$A$16:$H$1458,8,0),0)</f>
        <v>-102</v>
      </c>
      <c r="K540" s="86">
        <f>-IFERROR(VLOOKUP(C540,Gastos!$A$9:$J$1451,10,0),0)</f>
        <v>-98.94</v>
      </c>
      <c r="L540" s="86">
        <f>-IFERROR(VLOOKUP(C540,IDC!$A$20:$H$1763,8,0),0)</f>
        <v>-61.2</v>
      </c>
      <c r="M540" s="95">
        <f t="shared" si="17"/>
        <v>10200.000000000002</v>
      </c>
      <c r="O540" s="1"/>
    </row>
    <row r="541" spans="1:15" hidden="1">
      <c r="A541" s="1" t="s">
        <v>548</v>
      </c>
      <c r="B541" s="1" t="s">
        <v>15</v>
      </c>
      <c r="C541" s="71">
        <v>128782949597</v>
      </c>
      <c r="D541" s="3">
        <v>41016.82</v>
      </c>
      <c r="E541" s="3">
        <v>8100727.6100000003</v>
      </c>
      <c r="F541" s="1" t="s">
        <v>3065</v>
      </c>
      <c r="G541"/>
      <c r="H541"/>
      <c r="I541" s="19">
        <f>-IFERROR(VLOOKUP(C541,SIRCUPA!$A$21:$H$221,8,0),0)</f>
        <v>0</v>
      </c>
      <c r="J541" s="86">
        <f>-IFERROR(VLOOKUP(C541,SIRTAC!$A$16:$H$1458,8,0),0)</f>
        <v>-437</v>
      </c>
      <c r="K541" s="86">
        <f>-IFERROR(VLOOKUP(C541,Gastos!$A$9:$J$1451,10,0),0)</f>
        <v>-1983.98</v>
      </c>
      <c r="L541" s="86">
        <f>-IFERROR(VLOOKUP(C541,IDC!$A$20:$H$1763,8,0),0)</f>
        <v>-262.2</v>
      </c>
      <c r="M541" s="95">
        <f t="shared" si="17"/>
        <v>43700</v>
      </c>
      <c r="O541" s="1"/>
    </row>
    <row r="542" spans="1:15" hidden="1">
      <c r="A542" s="1" t="s">
        <v>548</v>
      </c>
      <c r="B542" s="1" t="s">
        <v>15</v>
      </c>
      <c r="C542" s="71">
        <v>129354954934</v>
      </c>
      <c r="D542" s="3">
        <v>9060.99</v>
      </c>
      <c r="E542" s="3">
        <v>8109788.5999999996</v>
      </c>
      <c r="F542" s="1" t="s">
        <v>3065</v>
      </c>
      <c r="G542"/>
      <c r="H542"/>
      <c r="I542" s="19">
        <f>-IFERROR(VLOOKUP(C542,SIRCUPA!$A$21:$H$221,8,0),0)</f>
        <v>0</v>
      </c>
      <c r="J542" s="86">
        <f>-IFERROR(VLOOKUP(C542,SIRTAC!$A$16:$H$1458,8,0),0)</f>
        <v>-93</v>
      </c>
      <c r="K542" s="86">
        <f>-IFERROR(VLOOKUP(C542,Gastos!$A$9:$J$1451,10,0),0)</f>
        <v>-90.21</v>
      </c>
      <c r="L542" s="86">
        <f>-IFERROR(VLOOKUP(C542,IDC!$A$20:$H$1763,8,0),0)</f>
        <v>-55.8</v>
      </c>
      <c r="M542" s="95">
        <f t="shared" si="17"/>
        <v>9299.9999999999982</v>
      </c>
      <c r="O542" s="1"/>
    </row>
    <row r="543" spans="1:15" hidden="1">
      <c r="A543" s="1" t="s">
        <v>548</v>
      </c>
      <c r="B543" s="1" t="s">
        <v>625</v>
      </c>
      <c r="C543" s="71">
        <v>129355026808</v>
      </c>
      <c r="D543" s="2">
        <v>910.47</v>
      </c>
      <c r="E543" s="3">
        <v>8110699.0700000003</v>
      </c>
      <c r="F543" s="1" t="s">
        <v>3065</v>
      </c>
      <c r="G543"/>
      <c r="H543"/>
      <c r="I543" s="19">
        <f>-IFERROR(VLOOKUP(C543,SIRCUPA!$A$21:$H$221,8,0),0)</f>
        <v>-13.95</v>
      </c>
      <c r="J543" s="86">
        <f>-IFERROR(VLOOKUP(C543,SIRTAC!$A$16:$H$1458,8,0),0)</f>
        <v>0</v>
      </c>
      <c r="K543" s="86">
        <f>-IFERROR(VLOOKUP(C543,Gastos!$A$9:$J$1451,10,0),0)</f>
        <v>0</v>
      </c>
      <c r="L543" s="86">
        <f>-IFERROR(VLOOKUP(C543,IDC!$A$20:$H$1763,8,0),0)</f>
        <v>-5.58</v>
      </c>
      <c r="M543" s="95">
        <f t="shared" si="17"/>
        <v>930.00000000000011</v>
      </c>
      <c r="O543" s="1"/>
    </row>
    <row r="544" spans="1:15" hidden="1">
      <c r="A544" s="1" t="s">
        <v>548</v>
      </c>
      <c r="B544" s="1" t="s">
        <v>15</v>
      </c>
      <c r="C544" s="71">
        <v>129354903714</v>
      </c>
      <c r="D544" s="3">
        <v>31567.32</v>
      </c>
      <c r="E544" s="3">
        <v>8142266.3899999997</v>
      </c>
      <c r="F544" s="1" t="s">
        <v>3065</v>
      </c>
      <c r="G544"/>
      <c r="H544"/>
      <c r="I544" s="19">
        <f>-IFERROR(VLOOKUP(C544,SIRCUPA!$A$21:$H$221,8,0),0)</f>
        <v>0</v>
      </c>
      <c r="J544" s="86">
        <f>-IFERROR(VLOOKUP(C544,SIRTAC!$A$16:$H$1458,8,0),0)</f>
        <v>-324</v>
      </c>
      <c r="K544" s="86">
        <f>-IFERROR(VLOOKUP(C544,Gastos!$A$9:$J$1451,10,0),0)</f>
        <v>-314.27999999999997</v>
      </c>
      <c r="L544" s="86">
        <f>-IFERROR(VLOOKUP(C544,IDC!$A$20:$H$1763,8,0),0)</f>
        <v>-194.4</v>
      </c>
      <c r="M544" s="95">
        <f t="shared" si="17"/>
        <v>32400</v>
      </c>
      <c r="O544" s="1"/>
    </row>
    <row r="545" spans="1:15" hidden="1">
      <c r="A545" s="1" t="s">
        <v>548</v>
      </c>
      <c r="B545" s="1" t="s">
        <v>15</v>
      </c>
      <c r="C545" s="71">
        <v>129355508304</v>
      </c>
      <c r="D545" s="3">
        <v>14029.92</v>
      </c>
      <c r="E545" s="3">
        <v>8156296.3099999996</v>
      </c>
      <c r="F545" s="1" t="s">
        <v>3065</v>
      </c>
      <c r="G545"/>
      <c r="H545"/>
      <c r="I545" s="19">
        <f>-IFERROR(VLOOKUP(C545,SIRCUPA!$A$21:$H$221,8,0),0)</f>
        <v>0</v>
      </c>
      <c r="J545" s="86">
        <f>-IFERROR(VLOOKUP(C545,SIRTAC!$A$16:$H$1458,8,0),0)</f>
        <v>-144</v>
      </c>
      <c r="K545" s="86">
        <f>-IFERROR(VLOOKUP(C545,Gastos!$A$9:$J$1451,10,0),0)</f>
        <v>-139.68</v>
      </c>
      <c r="L545" s="86">
        <f>-IFERROR(VLOOKUP(C545,IDC!$A$20:$H$1763,8,0),0)</f>
        <v>-86.4</v>
      </c>
      <c r="M545" s="95">
        <f t="shared" si="17"/>
        <v>14400</v>
      </c>
      <c r="O545" s="1"/>
    </row>
    <row r="546" spans="1:15" hidden="1">
      <c r="A546" s="1" t="s">
        <v>548</v>
      </c>
      <c r="B546" s="1" t="s">
        <v>629</v>
      </c>
      <c r="C546" s="71">
        <v>128783650099</v>
      </c>
      <c r="D546" s="3">
        <v>1409.76</v>
      </c>
      <c r="E546" s="3">
        <v>8157706.0700000003</v>
      </c>
      <c r="F546" s="1" t="s">
        <v>3065</v>
      </c>
      <c r="G546"/>
      <c r="H546"/>
      <c r="I546" s="19">
        <f>-IFERROR(VLOOKUP(C546,SIRCUPA!$A$21:$H$221,8,0),0)</f>
        <v>-21.6</v>
      </c>
      <c r="J546" s="86">
        <f>-IFERROR(VLOOKUP(C546,SIRTAC!$A$16:$H$1458,8,0),0)</f>
        <v>0</v>
      </c>
      <c r="K546" s="86">
        <f>-IFERROR(VLOOKUP(C546,Gastos!$A$9:$J$1451,10,0),0)</f>
        <v>0</v>
      </c>
      <c r="L546" s="86">
        <f>-IFERROR(VLOOKUP(C546,IDC!$A$20:$H$1763,8,0),0)</f>
        <v>-8.64</v>
      </c>
      <c r="M546" s="95">
        <f t="shared" si="17"/>
        <v>1440</v>
      </c>
      <c r="O546" s="1"/>
    </row>
    <row r="547" spans="1:15" hidden="1">
      <c r="A547" s="1" t="s">
        <v>548</v>
      </c>
      <c r="B547" s="1" t="s">
        <v>15</v>
      </c>
      <c r="C547" s="71">
        <v>129355425330</v>
      </c>
      <c r="D547" s="3">
        <v>9353.2800000000007</v>
      </c>
      <c r="E547" s="3">
        <v>8167059.3499999996</v>
      </c>
      <c r="F547" s="1" t="s">
        <v>3065</v>
      </c>
      <c r="G547"/>
      <c r="H547"/>
      <c r="I547" s="19">
        <f>-IFERROR(VLOOKUP(C547,SIRCUPA!$A$21:$H$221,8,0),0)</f>
        <v>0</v>
      </c>
      <c r="J547" s="86">
        <f>-IFERROR(VLOOKUP(C547,SIRTAC!$A$16:$H$1458,8,0),0)</f>
        <v>-96</v>
      </c>
      <c r="K547" s="86">
        <f>-IFERROR(VLOOKUP(C547,Gastos!$A$9:$J$1451,10,0),0)</f>
        <v>-93.12</v>
      </c>
      <c r="L547" s="86">
        <f>-IFERROR(VLOOKUP(C547,IDC!$A$20:$H$1763,8,0),0)</f>
        <v>-57.6</v>
      </c>
      <c r="M547" s="95">
        <f t="shared" si="17"/>
        <v>9600.0000000000018</v>
      </c>
      <c r="O547" s="1"/>
    </row>
    <row r="548" spans="1:15" hidden="1">
      <c r="A548" s="1" t="s">
        <v>548</v>
      </c>
      <c r="B548" s="1" t="s">
        <v>15</v>
      </c>
      <c r="C548" s="71">
        <v>128784178315</v>
      </c>
      <c r="D548" s="3">
        <v>32736.48</v>
      </c>
      <c r="E548" s="3">
        <v>8199795.8300000001</v>
      </c>
      <c r="F548" s="1" t="s">
        <v>3065</v>
      </c>
      <c r="G548"/>
      <c r="H548"/>
      <c r="I548" s="19">
        <f>-IFERROR(VLOOKUP(C548,SIRCUPA!$A$21:$H$221,8,0),0)</f>
        <v>0</v>
      </c>
      <c r="J548" s="86">
        <f>-IFERROR(VLOOKUP(C548,SIRTAC!$A$16:$H$1458,8,0),0)</f>
        <v>-336</v>
      </c>
      <c r="K548" s="86">
        <f>-IFERROR(VLOOKUP(C548,Gastos!$A$9:$J$1451,10,0),0)</f>
        <v>-325.92</v>
      </c>
      <c r="L548" s="86">
        <f>-IFERROR(VLOOKUP(C548,IDC!$A$20:$H$1763,8,0),0)</f>
        <v>-201.6</v>
      </c>
      <c r="M548" s="95">
        <f t="shared" si="17"/>
        <v>33599.999999999993</v>
      </c>
      <c r="O548" s="1"/>
    </row>
    <row r="549" spans="1:15" hidden="1">
      <c r="A549" s="1" t="s">
        <v>548</v>
      </c>
      <c r="B549" s="1" t="s">
        <v>15</v>
      </c>
      <c r="C549" s="71">
        <v>128784830517</v>
      </c>
      <c r="D549" s="3">
        <v>4676.6400000000003</v>
      </c>
      <c r="E549" s="3">
        <v>8204472.4699999997</v>
      </c>
      <c r="F549" s="1" t="s">
        <v>3065</v>
      </c>
      <c r="G549"/>
      <c r="H549"/>
      <c r="I549" s="19">
        <f>-IFERROR(VLOOKUP(C549,SIRCUPA!$A$21:$H$221,8,0),0)</f>
        <v>0</v>
      </c>
      <c r="J549" s="86">
        <f>-IFERROR(VLOOKUP(C549,SIRTAC!$A$16:$H$1458,8,0),0)</f>
        <v>-48</v>
      </c>
      <c r="K549" s="86">
        <f>-IFERROR(VLOOKUP(C549,Gastos!$A$9:$J$1451,10,0),0)</f>
        <v>-46.56</v>
      </c>
      <c r="L549" s="86">
        <f>-IFERROR(VLOOKUP(C549,IDC!$A$20:$H$1763,8,0),0)</f>
        <v>-28.8</v>
      </c>
      <c r="M549" s="95">
        <f t="shared" si="17"/>
        <v>4800.0000000000009</v>
      </c>
      <c r="O549" s="1"/>
    </row>
    <row r="550" spans="1:15" hidden="1">
      <c r="A550" s="1" t="s">
        <v>548</v>
      </c>
      <c r="B550" s="1" t="s">
        <v>15</v>
      </c>
      <c r="C550" s="71">
        <v>128785545873</v>
      </c>
      <c r="D550" s="3">
        <v>27767.55</v>
      </c>
      <c r="E550" s="3">
        <v>8232240.0199999996</v>
      </c>
      <c r="F550" s="1" t="s">
        <v>3065</v>
      </c>
      <c r="G550"/>
      <c r="H550"/>
      <c r="I550" s="19">
        <f>-IFERROR(VLOOKUP(C550,SIRCUPA!$A$21:$H$221,8,0),0)</f>
        <v>0</v>
      </c>
      <c r="J550" s="86">
        <f>-IFERROR(VLOOKUP(C550,SIRTAC!$A$16:$H$1458,8,0),0)</f>
        <v>-285</v>
      </c>
      <c r="K550" s="86">
        <f>-IFERROR(VLOOKUP(C550,Gastos!$A$9:$J$1451,10,0),0)</f>
        <v>-276.45</v>
      </c>
      <c r="L550" s="86">
        <f>-IFERROR(VLOOKUP(C550,IDC!$A$20:$H$1763,8,0),0)</f>
        <v>-171</v>
      </c>
      <c r="M550" s="95">
        <f t="shared" si="17"/>
        <v>28500</v>
      </c>
      <c r="O550" s="1"/>
    </row>
    <row r="551" spans="1:15" hidden="1">
      <c r="A551" s="1" t="s">
        <v>548</v>
      </c>
      <c r="B551" s="1" t="s">
        <v>15</v>
      </c>
      <c r="C551" s="71">
        <v>129357668936</v>
      </c>
      <c r="D551" s="3">
        <v>14321.96</v>
      </c>
      <c r="E551" s="3">
        <v>8246561.9800000004</v>
      </c>
      <c r="F551" s="1" t="s">
        <v>3065</v>
      </c>
      <c r="G551"/>
      <c r="H551"/>
      <c r="I551" s="19">
        <f>-IFERROR(VLOOKUP(C551,SIRCUPA!$A$21:$H$221,8,0),0)</f>
        <v>0</v>
      </c>
      <c r="J551" s="86">
        <f>-IFERROR(VLOOKUP(C551,SIRTAC!$A$16:$H$1458,8,0),0)</f>
        <v>-148</v>
      </c>
      <c r="K551" s="86">
        <f>-IFERROR(VLOOKUP(C551,Gastos!$A$9:$J$1451,10,0),0)</f>
        <v>-241.24</v>
      </c>
      <c r="L551" s="86">
        <f>-IFERROR(VLOOKUP(C551,IDC!$A$20:$H$1763,8,0),0)</f>
        <v>-88.8</v>
      </c>
      <c r="M551" s="95">
        <f t="shared" si="17"/>
        <v>14799.999999999998</v>
      </c>
      <c r="O551" s="1"/>
    </row>
    <row r="552" spans="1:15" hidden="1">
      <c r="A552" s="1" t="s">
        <v>636</v>
      </c>
      <c r="B552" s="1" t="s">
        <v>15</v>
      </c>
      <c r="C552" s="71">
        <v>128786337459</v>
      </c>
      <c r="D552" s="3">
        <v>71797.2</v>
      </c>
      <c r="E552" s="3">
        <v>8318359.1799999997</v>
      </c>
      <c r="F552" s="1" t="s">
        <v>3065</v>
      </c>
      <c r="G552"/>
      <c r="H552"/>
      <c r="I552" s="19">
        <f>-IFERROR(VLOOKUP(C552,SIRCUPA!$A$21:$H$221,8,0),0)</f>
        <v>0</v>
      </c>
      <c r="J552" s="86">
        <f>-IFERROR(VLOOKUP(C552,SIRTAC!$A$16:$H$1458,8,0),0)</f>
        <v>-760</v>
      </c>
      <c r="K552" s="86">
        <f>-IFERROR(VLOOKUP(C552,Gastos!$A$9:$J$1451,10,0),0)</f>
        <v>-2986.8</v>
      </c>
      <c r="L552" s="86">
        <f>-IFERROR(VLOOKUP(C552,IDC!$A$20:$H$1763,8,0),0)</f>
        <v>-456</v>
      </c>
      <c r="M552" s="95">
        <f t="shared" si="17"/>
        <v>76000</v>
      </c>
      <c r="O552" s="1"/>
    </row>
    <row r="553" spans="1:15" hidden="1">
      <c r="A553" s="1" t="s">
        <v>636</v>
      </c>
      <c r="B553" s="1" t="s">
        <v>15</v>
      </c>
      <c r="C553" s="71">
        <v>129358276472</v>
      </c>
      <c r="D553" s="3">
        <v>9353.2800000000007</v>
      </c>
      <c r="E553" s="3">
        <v>8327712.46</v>
      </c>
      <c r="F553" s="1" t="s">
        <v>3065</v>
      </c>
      <c r="G553"/>
      <c r="H553"/>
      <c r="I553" s="19">
        <f>-IFERROR(VLOOKUP(C553,SIRCUPA!$A$21:$H$221,8,0),0)</f>
        <v>0</v>
      </c>
      <c r="J553" s="86">
        <f>-IFERROR(VLOOKUP(C553,SIRTAC!$A$16:$H$1458,8,0),0)</f>
        <v>-96</v>
      </c>
      <c r="K553" s="86">
        <f>-IFERROR(VLOOKUP(C553,Gastos!$A$9:$J$1451,10,0),0)</f>
        <v>-93.12</v>
      </c>
      <c r="L553" s="86">
        <f>-IFERROR(VLOOKUP(C553,IDC!$A$20:$H$1763,8,0),0)</f>
        <v>-57.6</v>
      </c>
      <c r="M553" s="95">
        <f t="shared" si="17"/>
        <v>9600.0000000000018</v>
      </c>
      <c r="O553" s="1"/>
    </row>
    <row r="554" spans="1:15" hidden="1">
      <c r="A554" s="1" t="s">
        <v>636</v>
      </c>
      <c r="B554" s="1" t="s">
        <v>15</v>
      </c>
      <c r="C554" s="71">
        <v>128786584557</v>
      </c>
      <c r="D554" s="3">
        <v>4534.5600000000004</v>
      </c>
      <c r="E554" s="3">
        <v>8332247.0199999996</v>
      </c>
      <c r="F554" s="1" t="s">
        <v>3065</v>
      </c>
      <c r="G554"/>
      <c r="H554"/>
      <c r="I554" s="19">
        <f>-IFERROR(VLOOKUP(C554,SIRCUPA!$A$21:$H$221,8,0),0)</f>
        <v>0</v>
      </c>
      <c r="J554" s="86">
        <f>-IFERROR(VLOOKUP(C554,SIRTAC!$A$16:$H$1458,8,0),0)</f>
        <v>-48</v>
      </c>
      <c r="K554" s="86">
        <f>-IFERROR(VLOOKUP(C554,Gastos!$A$9:$J$1451,10,0),0)</f>
        <v>-188.64</v>
      </c>
      <c r="L554" s="86">
        <f>-IFERROR(VLOOKUP(C554,IDC!$A$20:$H$1763,8,0),0)</f>
        <v>-28.8</v>
      </c>
      <c r="M554" s="95">
        <f t="shared" si="17"/>
        <v>4800.0000000000009</v>
      </c>
      <c r="O554" s="1"/>
    </row>
    <row r="555" spans="1:15" hidden="1">
      <c r="A555" s="1" t="s">
        <v>636</v>
      </c>
      <c r="B555" s="1" t="s">
        <v>15</v>
      </c>
      <c r="C555" s="71">
        <v>128786717157</v>
      </c>
      <c r="D555" s="3">
        <v>60102.98</v>
      </c>
      <c r="E555" s="3">
        <v>8392350</v>
      </c>
      <c r="F555" s="1" t="s">
        <v>3065</v>
      </c>
      <c r="G555"/>
      <c r="H555"/>
      <c r="I555" s="19">
        <f>-IFERROR(VLOOKUP(C555,SIRCUPA!$A$21:$H$221,8,0),0)</f>
        <v>0</v>
      </c>
      <c r="J555" s="86">
        <f>-IFERROR(VLOOKUP(C555,SIRTAC!$A$16:$H$1458,8,0),0)</f>
        <v>-662</v>
      </c>
      <c r="K555" s="86">
        <f>-IFERROR(VLOOKUP(C555,Gastos!$A$9:$J$1451,10,0),0)</f>
        <v>-5037.82</v>
      </c>
      <c r="L555" s="86">
        <f>-IFERROR(VLOOKUP(C555,IDC!$A$20:$H$1763,8,0),0)</f>
        <v>-397.2</v>
      </c>
      <c r="M555" s="95">
        <f t="shared" si="17"/>
        <v>66200</v>
      </c>
      <c r="O555" s="1"/>
    </row>
    <row r="556" spans="1:15" hidden="1">
      <c r="A556" s="1" t="s">
        <v>636</v>
      </c>
      <c r="B556" s="1" t="s">
        <v>15</v>
      </c>
      <c r="C556" s="71">
        <v>129358860160</v>
      </c>
      <c r="D556" s="3">
        <v>26500.959999999999</v>
      </c>
      <c r="E556" s="3">
        <v>8418850.9600000009</v>
      </c>
      <c r="F556" s="1" t="s">
        <v>3065</v>
      </c>
      <c r="G556"/>
      <c r="H556"/>
      <c r="I556" s="19">
        <f>-IFERROR(VLOOKUP(C556,SIRCUPA!$A$21:$H$221,8,0),0)</f>
        <v>0</v>
      </c>
      <c r="J556" s="86">
        <f>-IFERROR(VLOOKUP(C556,SIRTAC!$A$16:$H$1458,8,0),0)</f>
        <v>-272</v>
      </c>
      <c r="K556" s="86">
        <f>-IFERROR(VLOOKUP(C556,Gastos!$A$9:$J$1451,10,0),0)</f>
        <v>-263.83999999999997</v>
      </c>
      <c r="L556" s="86">
        <f>-IFERROR(VLOOKUP(C556,IDC!$A$20:$H$1763,8,0),0)</f>
        <v>-163.19999999999999</v>
      </c>
      <c r="M556" s="95">
        <f t="shared" si="17"/>
        <v>27200</v>
      </c>
      <c r="O556" s="1"/>
    </row>
    <row r="557" spans="1:15" hidden="1">
      <c r="A557" s="1" t="s">
        <v>636</v>
      </c>
      <c r="B557" s="1" t="s">
        <v>15</v>
      </c>
      <c r="C557" s="71">
        <v>129358822738</v>
      </c>
      <c r="D557" s="3">
        <v>119207.27</v>
      </c>
      <c r="E557" s="3">
        <v>8538058.2300000004</v>
      </c>
      <c r="F557" s="1" t="s">
        <v>3065</v>
      </c>
      <c r="G557"/>
      <c r="H557"/>
      <c r="I557" s="19">
        <f>-IFERROR(VLOOKUP(C557,SIRCUPA!$A$21:$H$221,8,0),0)</f>
        <v>0</v>
      </c>
      <c r="J557" s="86">
        <f>-IFERROR(VLOOKUP(C557,SIRTAC!$A$16:$H$1458,8,0),0)</f>
        <v>-1313</v>
      </c>
      <c r="K557" s="86">
        <f>-IFERROR(VLOOKUP(C557,Gastos!$A$9:$J$1451,10,0),0)</f>
        <v>-9991.93</v>
      </c>
      <c r="L557" s="86">
        <f>-IFERROR(VLOOKUP(C557,IDC!$A$20:$H$1763,8,0),0)</f>
        <v>-787.8</v>
      </c>
      <c r="M557" s="95">
        <f t="shared" si="17"/>
        <v>131300</v>
      </c>
      <c r="O557" s="1"/>
    </row>
    <row r="558" spans="1:15" hidden="1">
      <c r="A558" s="1" t="s">
        <v>636</v>
      </c>
      <c r="B558" s="1" t="s">
        <v>15</v>
      </c>
      <c r="C558" s="71">
        <v>129359324040</v>
      </c>
      <c r="D558" s="3">
        <v>7794.4</v>
      </c>
      <c r="E558" s="3">
        <v>8545852.6300000008</v>
      </c>
      <c r="F558" s="1" t="s">
        <v>3065</v>
      </c>
      <c r="G558"/>
      <c r="H558"/>
      <c r="I558" s="19">
        <f>-IFERROR(VLOOKUP(C558,SIRCUPA!$A$21:$H$221,8,0),0)</f>
        <v>0</v>
      </c>
      <c r="J558" s="86">
        <f>-IFERROR(VLOOKUP(C558,SIRTAC!$A$16:$H$1458,8,0),0)</f>
        <v>-80</v>
      </c>
      <c r="K558" s="86">
        <f>-IFERROR(VLOOKUP(C558,Gastos!$A$9:$J$1451,10,0),0)</f>
        <v>-77.599999999999994</v>
      </c>
      <c r="L558" s="86">
        <f>-IFERROR(VLOOKUP(C558,IDC!$A$20:$H$1763,8,0),0)</f>
        <v>-48</v>
      </c>
      <c r="M558" s="95">
        <f t="shared" ref="M558:M589" si="18">+D558-I558-J558-K558-L558</f>
        <v>8000</v>
      </c>
      <c r="O558" s="1"/>
    </row>
    <row r="559" spans="1:15" hidden="1">
      <c r="A559" s="1" t="s">
        <v>636</v>
      </c>
      <c r="B559" s="1" t="s">
        <v>15</v>
      </c>
      <c r="C559" s="71">
        <v>128787883001</v>
      </c>
      <c r="D559" s="3">
        <v>7014.96</v>
      </c>
      <c r="E559" s="3">
        <v>8552867.5899999999</v>
      </c>
      <c r="F559" s="1" t="s">
        <v>3065</v>
      </c>
      <c r="G559"/>
      <c r="H559"/>
      <c r="I559" s="19">
        <f>-IFERROR(VLOOKUP(C559,SIRCUPA!$A$21:$H$221,8,0),0)</f>
        <v>0</v>
      </c>
      <c r="J559" s="86">
        <f>-IFERROR(VLOOKUP(C559,SIRTAC!$A$16:$H$1458,8,0),0)</f>
        <v>-72</v>
      </c>
      <c r="K559" s="86">
        <f>-IFERROR(VLOOKUP(C559,Gastos!$A$9:$J$1451,10,0),0)</f>
        <v>-69.84</v>
      </c>
      <c r="L559" s="86">
        <f>-IFERROR(VLOOKUP(C559,IDC!$A$20:$H$1763,8,0),0)</f>
        <v>-43.2</v>
      </c>
      <c r="M559" s="95">
        <f t="shared" si="18"/>
        <v>7200</v>
      </c>
      <c r="O559" s="1"/>
    </row>
    <row r="560" spans="1:15" hidden="1">
      <c r="A560" s="1" t="s">
        <v>636</v>
      </c>
      <c r="B560" s="1" t="s">
        <v>15</v>
      </c>
      <c r="C560" s="71">
        <v>129359661112</v>
      </c>
      <c r="D560" s="3">
        <v>92558.5</v>
      </c>
      <c r="E560" s="3">
        <v>8645426.0899999999</v>
      </c>
      <c r="F560" s="1" t="s">
        <v>3065</v>
      </c>
      <c r="G560"/>
      <c r="H560"/>
      <c r="I560" s="19">
        <f>-IFERROR(VLOOKUP(C560,SIRCUPA!$A$21:$H$221,8,0),0)</f>
        <v>0</v>
      </c>
      <c r="J560" s="86">
        <f>-IFERROR(VLOOKUP(C560,SIRTAC!$A$16:$H$1458,8,0),0)</f>
        <v>-950</v>
      </c>
      <c r="K560" s="86">
        <f>-IFERROR(VLOOKUP(C560,Gastos!$A$9:$J$1451,10,0),0)</f>
        <v>-921.5</v>
      </c>
      <c r="L560" s="86">
        <f>-IFERROR(VLOOKUP(C560,IDC!$A$20:$H$1763,8,0),0)</f>
        <v>-570</v>
      </c>
      <c r="M560" s="95">
        <f t="shared" si="18"/>
        <v>95000</v>
      </c>
      <c r="O560" s="1"/>
    </row>
    <row r="561" spans="1:15" hidden="1">
      <c r="A561" s="1" t="s">
        <v>636</v>
      </c>
      <c r="B561" s="1" t="s">
        <v>15</v>
      </c>
      <c r="C561" s="71">
        <v>128788061399</v>
      </c>
      <c r="D561" s="3">
        <v>13603.68</v>
      </c>
      <c r="E561" s="3">
        <v>8659029.7699999996</v>
      </c>
      <c r="F561" s="1" t="s">
        <v>3065</v>
      </c>
      <c r="G561"/>
      <c r="H561"/>
      <c r="I561" s="19">
        <f>-IFERROR(VLOOKUP(C561,SIRCUPA!$A$21:$H$221,8,0),0)</f>
        <v>0</v>
      </c>
      <c r="J561" s="86">
        <f>-IFERROR(VLOOKUP(C561,SIRTAC!$A$16:$H$1458,8,0),0)</f>
        <v>-144</v>
      </c>
      <c r="K561" s="86">
        <f>-IFERROR(VLOOKUP(C561,Gastos!$A$9:$J$1451,10,0),0)</f>
        <v>-565.91999999999996</v>
      </c>
      <c r="L561" s="86">
        <f>-IFERROR(VLOOKUP(C561,IDC!$A$20:$H$1763,8,0),0)</f>
        <v>-86.4</v>
      </c>
      <c r="M561" s="95">
        <f t="shared" si="18"/>
        <v>14400</v>
      </c>
      <c r="O561" s="1"/>
    </row>
    <row r="562" spans="1:15" hidden="1">
      <c r="A562" s="1" t="s">
        <v>636</v>
      </c>
      <c r="B562" s="1" t="s">
        <v>15</v>
      </c>
      <c r="C562" s="71">
        <v>129359893986</v>
      </c>
      <c r="D562" s="3">
        <v>106393.56</v>
      </c>
      <c r="E562" s="3">
        <v>8765423.3300000001</v>
      </c>
      <c r="F562" s="1" t="s">
        <v>3065</v>
      </c>
      <c r="G562"/>
      <c r="H562"/>
      <c r="I562" s="19">
        <f>-IFERROR(VLOOKUP(C562,SIRCUPA!$A$21:$H$221,8,0),0)</f>
        <v>0</v>
      </c>
      <c r="J562" s="86">
        <f>-IFERROR(VLOOKUP(C562,SIRTAC!$A$16:$H$1458,8,0),0)</f>
        <v>-1092</v>
      </c>
      <c r="K562" s="86">
        <f>-IFERROR(VLOOKUP(C562,Gastos!$A$9:$J$1451,10,0),0)</f>
        <v>-1059.24</v>
      </c>
      <c r="L562" s="86">
        <f>-IFERROR(VLOOKUP(C562,IDC!$A$20:$H$1763,8,0),0)</f>
        <v>-655.20000000000005</v>
      </c>
      <c r="M562" s="95">
        <f t="shared" si="18"/>
        <v>109200</v>
      </c>
      <c r="O562" s="1"/>
    </row>
    <row r="563" spans="1:15" hidden="1">
      <c r="A563" s="1" t="s">
        <v>636</v>
      </c>
      <c r="B563" s="1" t="s">
        <v>15</v>
      </c>
      <c r="C563" s="71">
        <v>129360081230</v>
      </c>
      <c r="D563" s="3">
        <v>13250.48</v>
      </c>
      <c r="E563" s="3">
        <v>8778673.8100000005</v>
      </c>
      <c r="F563" s="1" t="s">
        <v>3065</v>
      </c>
      <c r="G563"/>
      <c r="H563"/>
      <c r="I563" s="19">
        <f>-IFERROR(VLOOKUP(C563,SIRCUPA!$A$21:$H$221,8,0),0)</f>
        <v>0</v>
      </c>
      <c r="J563" s="86">
        <f>-IFERROR(VLOOKUP(C563,SIRTAC!$A$16:$H$1458,8,0),0)</f>
        <v>-136</v>
      </c>
      <c r="K563" s="86">
        <f>-IFERROR(VLOOKUP(C563,Gastos!$A$9:$J$1451,10,0),0)</f>
        <v>-131.91999999999999</v>
      </c>
      <c r="L563" s="86">
        <f>-IFERROR(VLOOKUP(C563,IDC!$A$20:$H$1763,8,0),0)</f>
        <v>-81.599999999999994</v>
      </c>
      <c r="M563" s="95">
        <f t="shared" si="18"/>
        <v>13600</v>
      </c>
      <c r="O563" s="1"/>
    </row>
    <row r="564" spans="1:15" hidden="1">
      <c r="A564" s="1" t="s">
        <v>636</v>
      </c>
      <c r="B564" s="1" t="s">
        <v>15</v>
      </c>
      <c r="C564" s="71">
        <v>129360210616</v>
      </c>
      <c r="D564" s="3">
        <v>27572.69</v>
      </c>
      <c r="E564" s="3">
        <v>8806246.5</v>
      </c>
      <c r="F564" s="1" t="s">
        <v>3065</v>
      </c>
      <c r="G564"/>
      <c r="H564"/>
      <c r="I564" s="19">
        <f>-IFERROR(VLOOKUP(C564,SIRCUPA!$A$21:$H$221,8,0),0)</f>
        <v>0</v>
      </c>
      <c r="J564" s="86">
        <f>-IFERROR(VLOOKUP(C564,SIRTAC!$A$16:$H$1458,8,0),0)</f>
        <v>-283</v>
      </c>
      <c r="K564" s="86">
        <f>-IFERROR(VLOOKUP(C564,Gastos!$A$9:$J$1451,10,0),0)</f>
        <v>-274.51</v>
      </c>
      <c r="L564" s="86">
        <f>-IFERROR(VLOOKUP(C564,IDC!$A$20:$H$1763,8,0),0)</f>
        <v>-169.8</v>
      </c>
      <c r="M564" s="95">
        <f t="shared" si="18"/>
        <v>28299.999999999996</v>
      </c>
      <c r="O564" s="1"/>
    </row>
    <row r="565" spans="1:15" hidden="1">
      <c r="A565" s="1" t="s">
        <v>636</v>
      </c>
      <c r="B565" s="1" t="s">
        <v>15</v>
      </c>
      <c r="C565" s="71">
        <v>129360246626</v>
      </c>
      <c r="D565" s="3">
        <v>26451.599999999999</v>
      </c>
      <c r="E565" s="3">
        <v>8832698.0999999996</v>
      </c>
      <c r="F565" s="1" t="s">
        <v>3065</v>
      </c>
      <c r="G565"/>
      <c r="H565"/>
      <c r="I565" s="19">
        <f>-IFERROR(VLOOKUP(C565,SIRCUPA!$A$21:$H$221,8,0),0)</f>
        <v>0</v>
      </c>
      <c r="J565" s="86">
        <f>-IFERROR(VLOOKUP(C565,SIRTAC!$A$16:$H$1458,8,0),0)</f>
        <v>-280</v>
      </c>
      <c r="K565" s="86">
        <f>-IFERROR(VLOOKUP(C565,Gastos!$A$9:$J$1451,10,0),0)</f>
        <v>-1100.4000000000001</v>
      </c>
      <c r="L565" s="86">
        <f>-IFERROR(VLOOKUP(C565,IDC!$A$20:$H$1763,8,0),0)</f>
        <v>-168</v>
      </c>
      <c r="M565" s="95">
        <f t="shared" si="18"/>
        <v>28000</v>
      </c>
      <c r="O565" s="1"/>
    </row>
    <row r="566" spans="1:15" hidden="1">
      <c r="A566" s="1" t="s">
        <v>636</v>
      </c>
      <c r="B566" s="1" t="s">
        <v>15</v>
      </c>
      <c r="C566" s="71">
        <v>128788563757</v>
      </c>
      <c r="D566" s="3">
        <v>4534.5600000000004</v>
      </c>
      <c r="E566" s="3">
        <v>8837232.6600000001</v>
      </c>
      <c r="F566" s="1" t="s">
        <v>3065</v>
      </c>
      <c r="G566"/>
      <c r="H566"/>
      <c r="I566" s="19">
        <f>-IFERROR(VLOOKUP(C566,SIRCUPA!$A$21:$H$221,8,0),0)</f>
        <v>0</v>
      </c>
      <c r="J566" s="86">
        <f>-IFERROR(VLOOKUP(C566,SIRTAC!$A$16:$H$1458,8,0),0)</f>
        <v>-48</v>
      </c>
      <c r="K566" s="86">
        <f>-IFERROR(VLOOKUP(C566,Gastos!$A$9:$J$1451,10,0),0)</f>
        <v>-188.64</v>
      </c>
      <c r="L566" s="86">
        <f>-IFERROR(VLOOKUP(C566,IDC!$A$20:$H$1763,8,0),0)</f>
        <v>-28.8</v>
      </c>
      <c r="M566" s="95">
        <f t="shared" si="18"/>
        <v>4800.0000000000009</v>
      </c>
      <c r="O566" s="1"/>
    </row>
    <row r="567" spans="1:15" hidden="1">
      <c r="A567" s="1" t="s">
        <v>636</v>
      </c>
      <c r="B567" s="1" t="s">
        <v>15</v>
      </c>
      <c r="C567" s="71">
        <v>129360446764</v>
      </c>
      <c r="D567" s="3">
        <v>9079</v>
      </c>
      <c r="E567" s="3">
        <v>8846311.6600000001</v>
      </c>
      <c r="F567" s="1" t="s">
        <v>3065</v>
      </c>
      <c r="G567"/>
      <c r="H567"/>
      <c r="I567" s="19">
        <f>-IFERROR(VLOOKUP(C567,SIRCUPA!$A$21:$H$221,8,0),0)</f>
        <v>0</v>
      </c>
      <c r="J567" s="86">
        <f>-IFERROR(VLOOKUP(C567,SIRTAC!$A$16:$H$1458,8,0),0)</f>
        <v>-100</v>
      </c>
      <c r="K567" s="86">
        <f>-IFERROR(VLOOKUP(C567,Gastos!$A$9:$J$1451,10,0),0)</f>
        <v>-761</v>
      </c>
      <c r="L567" s="86">
        <f>-IFERROR(VLOOKUP(C567,IDC!$A$20:$H$1763,8,0),0)</f>
        <v>-60</v>
      </c>
      <c r="M567" s="95">
        <f t="shared" si="18"/>
        <v>10000</v>
      </c>
      <c r="O567" s="1"/>
    </row>
    <row r="568" spans="1:15" hidden="1">
      <c r="A568" s="1" t="s">
        <v>636</v>
      </c>
      <c r="B568" s="1" t="s">
        <v>15</v>
      </c>
      <c r="C568" s="71">
        <v>128788905379</v>
      </c>
      <c r="D568" s="3">
        <v>9353.2800000000007</v>
      </c>
      <c r="E568" s="3">
        <v>8855664.9399999995</v>
      </c>
      <c r="F568" s="1" t="s">
        <v>3065</v>
      </c>
      <c r="G568"/>
      <c r="H568"/>
      <c r="I568" s="19">
        <f>-IFERROR(VLOOKUP(C568,SIRCUPA!$A$21:$H$221,8,0),0)</f>
        <v>0</v>
      </c>
      <c r="J568" s="86">
        <f>-IFERROR(VLOOKUP(C568,SIRTAC!$A$16:$H$1458,8,0),0)</f>
        <v>-96</v>
      </c>
      <c r="K568" s="86">
        <f>-IFERROR(VLOOKUP(C568,Gastos!$A$9:$J$1451,10,0),0)</f>
        <v>-93.12</v>
      </c>
      <c r="L568" s="86">
        <f>-IFERROR(VLOOKUP(C568,IDC!$A$20:$H$1763,8,0),0)</f>
        <v>-57.6</v>
      </c>
      <c r="M568" s="95">
        <f t="shared" si="18"/>
        <v>9600.0000000000018</v>
      </c>
      <c r="O568" s="1"/>
    </row>
    <row r="569" spans="1:15" hidden="1">
      <c r="A569" s="1" t="s">
        <v>636</v>
      </c>
      <c r="B569" s="1" t="s">
        <v>654</v>
      </c>
      <c r="C569" s="71">
        <v>128789062463</v>
      </c>
      <c r="D569" s="2">
        <v>469.92</v>
      </c>
      <c r="E569" s="3">
        <v>8856134.8599999994</v>
      </c>
      <c r="F569" s="1" t="s">
        <v>3065</v>
      </c>
      <c r="G569"/>
      <c r="H569"/>
      <c r="I569" s="19">
        <f>-IFERROR(VLOOKUP(C569,SIRCUPA!$A$21:$H$221,8,0),0)</f>
        <v>-7.2</v>
      </c>
      <c r="J569" s="86">
        <f>-IFERROR(VLOOKUP(C569,SIRTAC!$A$16:$H$1458,8,0),0)</f>
        <v>0</v>
      </c>
      <c r="K569" s="86">
        <f>-IFERROR(VLOOKUP(C569,Gastos!$A$9:$J$1451,10,0),0)</f>
        <v>0</v>
      </c>
      <c r="L569" s="86">
        <f>-IFERROR(VLOOKUP(C569,IDC!$A$20:$H$1763,8,0),0)</f>
        <v>-2.88</v>
      </c>
      <c r="M569" s="95">
        <f t="shared" si="18"/>
        <v>480</v>
      </c>
      <c r="O569" s="1"/>
    </row>
    <row r="570" spans="1:15" hidden="1">
      <c r="A570" s="1" t="s">
        <v>636</v>
      </c>
      <c r="B570" s="1" t="s">
        <v>15</v>
      </c>
      <c r="C570" s="71">
        <v>128788985481</v>
      </c>
      <c r="D570" s="3">
        <v>148288.46</v>
      </c>
      <c r="E570" s="3">
        <v>9004423.3200000003</v>
      </c>
      <c r="F570" s="1" t="s">
        <v>3065</v>
      </c>
      <c r="G570"/>
      <c r="H570"/>
      <c r="I570" s="19">
        <f>-IFERROR(VLOOKUP(C570,SIRCUPA!$A$21:$H$221,8,0),0)</f>
        <v>0</v>
      </c>
      <c r="J570" s="86">
        <f>-IFERROR(VLOOKUP(C570,SIRTAC!$A$16:$H$1458,8,0),0)</f>
        <v>-1522</v>
      </c>
      <c r="K570" s="86">
        <f>-IFERROR(VLOOKUP(C570,Gastos!$A$9:$J$1451,10,0),0)</f>
        <v>-1476.34</v>
      </c>
      <c r="L570" s="86">
        <f>-IFERROR(VLOOKUP(C570,IDC!$A$20:$H$1763,8,0),0)</f>
        <v>-913.2</v>
      </c>
      <c r="M570" s="95">
        <f t="shared" si="18"/>
        <v>152200</v>
      </c>
      <c r="O570" s="1"/>
    </row>
    <row r="571" spans="1:15" hidden="1">
      <c r="A571" s="1" t="s">
        <v>636</v>
      </c>
      <c r="B571" s="1" t="s">
        <v>15</v>
      </c>
      <c r="C571" s="71">
        <v>129360713754</v>
      </c>
      <c r="D571" s="3">
        <v>42089.760000000002</v>
      </c>
      <c r="E571" s="3">
        <v>9046513.0800000001</v>
      </c>
      <c r="F571" s="1" t="s">
        <v>3065</v>
      </c>
      <c r="G571"/>
      <c r="H571"/>
      <c r="I571" s="19">
        <f>-IFERROR(VLOOKUP(C571,SIRCUPA!$A$21:$H$221,8,0),0)</f>
        <v>0</v>
      </c>
      <c r="J571" s="86">
        <f>-IFERROR(VLOOKUP(C571,SIRTAC!$A$16:$H$1458,8,0),0)</f>
        <v>-432</v>
      </c>
      <c r="K571" s="86">
        <f>-IFERROR(VLOOKUP(C571,Gastos!$A$9:$J$1451,10,0),0)</f>
        <v>-419.04</v>
      </c>
      <c r="L571" s="86">
        <f>-IFERROR(VLOOKUP(C571,IDC!$A$20:$H$1763,8,0),0)</f>
        <v>-259.2</v>
      </c>
      <c r="M571" s="95">
        <f t="shared" si="18"/>
        <v>43200</v>
      </c>
      <c r="O571" s="1"/>
    </row>
    <row r="572" spans="1:15" hidden="1">
      <c r="A572" s="1" t="s">
        <v>636</v>
      </c>
      <c r="B572" s="1" t="s">
        <v>658</v>
      </c>
      <c r="C572" s="71">
        <v>129360677968</v>
      </c>
      <c r="D572" s="3">
        <v>2114.64</v>
      </c>
      <c r="E572" s="3">
        <v>9048627.7200000007</v>
      </c>
      <c r="F572" s="1" t="s">
        <v>3065</v>
      </c>
      <c r="G572"/>
      <c r="H572"/>
      <c r="I572" s="19">
        <f>-IFERROR(VLOOKUP(C572,SIRCUPA!$A$21:$H$221,8,0),0)</f>
        <v>-32.4</v>
      </c>
      <c r="J572" s="86">
        <f>-IFERROR(VLOOKUP(C572,SIRTAC!$A$16:$H$1458,8,0),0)</f>
        <v>0</v>
      </c>
      <c r="K572" s="86">
        <f>-IFERROR(VLOOKUP(C572,Gastos!$A$9:$J$1451,10,0),0)</f>
        <v>0</v>
      </c>
      <c r="L572" s="86">
        <f>-IFERROR(VLOOKUP(C572,IDC!$A$20:$H$1763,8,0),0)</f>
        <v>-12.96</v>
      </c>
      <c r="M572" s="95">
        <f t="shared" si="18"/>
        <v>2160</v>
      </c>
      <c r="O572" s="1"/>
    </row>
    <row r="573" spans="1:15" hidden="1">
      <c r="A573" s="1" t="s">
        <v>636</v>
      </c>
      <c r="B573" s="1" t="s">
        <v>15</v>
      </c>
      <c r="C573" s="71">
        <v>128789258661</v>
      </c>
      <c r="D573" s="3">
        <v>57970.85</v>
      </c>
      <c r="E573" s="3">
        <v>9106598.5700000003</v>
      </c>
      <c r="F573" s="1" t="s">
        <v>3065</v>
      </c>
      <c r="G573"/>
      <c r="H573"/>
      <c r="I573" s="19">
        <f>-IFERROR(VLOOKUP(C573,SIRCUPA!$A$21:$H$221,8,0),0)</f>
        <v>0</v>
      </c>
      <c r="J573" s="86">
        <f>-IFERROR(VLOOKUP(C573,SIRTAC!$A$16:$H$1458,8,0),0)</f>
        <v>-595</v>
      </c>
      <c r="K573" s="86">
        <f>-IFERROR(VLOOKUP(C573,Gastos!$A$9:$J$1451,10,0),0)</f>
        <v>-577.15</v>
      </c>
      <c r="L573" s="86">
        <f>-IFERROR(VLOOKUP(C573,IDC!$A$20:$H$1763,8,0),0)</f>
        <v>-357</v>
      </c>
      <c r="M573" s="95">
        <f t="shared" si="18"/>
        <v>59500</v>
      </c>
      <c r="O573" s="1"/>
    </row>
    <row r="574" spans="1:15" hidden="1">
      <c r="A574" s="1" t="s">
        <v>636</v>
      </c>
      <c r="B574" s="1" t="s">
        <v>15</v>
      </c>
      <c r="C574" s="71">
        <v>128789235121</v>
      </c>
      <c r="D574" s="3">
        <v>14614.5</v>
      </c>
      <c r="E574" s="3">
        <v>9121213.0700000003</v>
      </c>
      <c r="F574" s="1" t="s">
        <v>3065</v>
      </c>
      <c r="G574"/>
      <c r="H574"/>
      <c r="I574" s="19">
        <f>-IFERROR(VLOOKUP(C574,SIRCUPA!$A$21:$H$221,8,0),0)</f>
        <v>0</v>
      </c>
      <c r="J574" s="86">
        <f>-IFERROR(VLOOKUP(C574,SIRTAC!$A$16:$H$1458,8,0),0)</f>
        <v>-150</v>
      </c>
      <c r="K574" s="86">
        <f>-IFERROR(VLOOKUP(C574,Gastos!$A$9:$J$1451,10,0),0)</f>
        <v>-145.5</v>
      </c>
      <c r="L574" s="86">
        <f>-IFERROR(VLOOKUP(C574,IDC!$A$20:$H$1763,8,0),0)</f>
        <v>-90</v>
      </c>
      <c r="M574" s="95">
        <f t="shared" si="18"/>
        <v>15000</v>
      </c>
      <c r="O574" s="1"/>
    </row>
    <row r="575" spans="1:15" hidden="1">
      <c r="A575" s="1" t="s">
        <v>636</v>
      </c>
      <c r="B575" s="1" t="s">
        <v>15</v>
      </c>
      <c r="C575" s="71">
        <v>128789281509</v>
      </c>
      <c r="D575" s="3">
        <v>4676.6400000000003</v>
      </c>
      <c r="E575" s="3">
        <v>9125889.7100000009</v>
      </c>
      <c r="F575" s="1" t="s">
        <v>3065</v>
      </c>
      <c r="G575"/>
      <c r="H575"/>
      <c r="I575" s="19">
        <f>-IFERROR(VLOOKUP(C575,SIRCUPA!$A$21:$H$221,8,0),0)</f>
        <v>0</v>
      </c>
      <c r="J575" s="86">
        <f>-IFERROR(VLOOKUP(C575,SIRTAC!$A$16:$H$1458,8,0),0)</f>
        <v>-48</v>
      </c>
      <c r="K575" s="86">
        <f>-IFERROR(VLOOKUP(C575,Gastos!$A$9:$J$1451,10,0),0)</f>
        <v>-46.56</v>
      </c>
      <c r="L575" s="86">
        <f>-IFERROR(VLOOKUP(C575,IDC!$A$20:$H$1763,8,0),0)</f>
        <v>-28.8</v>
      </c>
      <c r="M575" s="95">
        <f t="shared" si="18"/>
        <v>4800.0000000000009</v>
      </c>
      <c r="O575" s="1"/>
    </row>
    <row r="576" spans="1:15" hidden="1">
      <c r="A576" s="1" t="s">
        <v>636</v>
      </c>
      <c r="B576" s="1" t="s">
        <v>663</v>
      </c>
      <c r="C576" s="71">
        <v>128789297363</v>
      </c>
      <c r="D576" s="2">
        <v>234.96</v>
      </c>
      <c r="E576" s="3">
        <v>9126124.6699999999</v>
      </c>
      <c r="F576" s="1" t="s">
        <v>3065</v>
      </c>
      <c r="G576"/>
      <c r="H576"/>
      <c r="I576" s="19">
        <f>-IFERROR(VLOOKUP(C576,SIRCUPA!$A$21:$H$221,8,0),0)</f>
        <v>-3.6</v>
      </c>
      <c r="J576" s="86">
        <f>-IFERROR(VLOOKUP(C576,SIRTAC!$A$16:$H$1458,8,0),0)</f>
        <v>0</v>
      </c>
      <c r="K576" s="86">
        <f>-IFERROR(VLOOKUP(C576,Gastos!$A$9:$J$1451,10,0),0)</f>
        <v>0</v>
      </c>
      <c r="L576" s="86">
        <f>-IFERROR(VLOOKUP(C576,IDC!$A$20:$H$1763,8,0),0)</f>
        <v>-1.44</v>
      </c>
      <c r="M576" s="95">
        <f t="shared" si="18"/>
        <v>240</v>
      </c>
      <c r="O576" s="1"/>
    </row>
    <row r="577" spans="1:15" hidden="1">
      <c r="A577" s="1" t="s">
        <v>636</v>
      </c>
      <c r="B577" s="1" t="s">
        <v>15</v>
      </c>
      <c r="C577" s="71">
        <v>128789469169</v>
      </c>
      <c r="D577" s="3">
        <v>14614.5</v>
      </c>
      <c r="E577" s="3">
        <v>9140739.1699999999</v>
      </c>
      <c r="F577" s="1" t="s">
        <v>3065</v>
      </c>
      <c r="G577"/>
      <c r="H577"/>
      <c r="I577" s="19">
        <f>-IFERROR(VLOOKUP(C577,SIRCUPA!$A$21:$H$221,8,0),0)</f>
        <v>0</v>
      </c>
      <c r="J577" s="86">
        <f>-IFERROR(VLOOKUP(C577,SIRTAC!$A$16:$H$1458,8,0),0)</f>
        <v>-150</v>
      </c>
      <c r="K577" s="86">
        <f>-IFERROR(VLOOKUP(C577,Gastos!$A$9:$J$1451,10,0),0)</f>
        <v>-145.5</v>
      </c>
      <c r="L577" s="86">
        <f>-IFERROR(VLOOKUP(C577,IDC!$A$20:$H$1763,8,0),0)</f>
        <v>-90</v>
      </c>
      <c r="M577" s="95">
        <f t="shared" si="18"/>
        <v>15000</v>
      </c>
      <c r="O577" s="1"/>
    </row>
    <row r="578" spans="1:15" hidden="1">
      <c r="A578" s="1" t="s">
        <v>636</v>
      </c>
      <c r="B578" s="1" t="s">
        <v>15</v>
      </c>
      <c r="C578" s="71">
        <v>128789583003</v>
      </c>
      <c r="D578" s="3">
        <v>9353.2800000000007</v>
      </c>
      <c r="E578" s="3">
        <v>9150092.4499999993</v>
      </c>
      <c r="F578" s="1" t="s">
        <v>3065</v>
      </c>
      <c r="G578"/>
      <c r="H578"/>
      <c r="I578" s="19">
        <f>-IFERROR(VLOOKUP(C578,SIRCUPA!$A$21:$H$221,8,0),0)</f>
        <v>0</v>
      </c>
      <c r="J578" s="86">
        <f>-IFERROR(VLOOKUP(C578,SIRTAC!$A$16:$H$1458,8,0),0)</f>
        <v>-96</v>
      </c>
      <c r="K578" s="86">
        <f>-IFERROR(VLOOKUP(C578,Gastos!$A$9:$J$1451,10,0),0)</f>
        <v>-93.12</v>
      </c>
      <c r="L578" s="86">
        <f>-IFERROR(VLOOKUP(C578,IDC!$A$20:$H$1763,8,0),0)</f>
        <v>-57.6</v>
      </c>
      <c r="M578" s="95">
        <f t="shared" si="18"/>
        <v>9600.0000000000018</v>
      </c>
      <c r="O578" s="1"/>
    </row>
    <row r="579" spans="1:15" hidden="1">
      <c r="A579" s="1" t="s">
        <v>636</v>
      </c>
      <c r="B579" s="1" t="s">
        <v>15</v>
      </c>
      <c r="C579" s="71">
        <v>129361253914</v>
      </c>
      <c r="D579" s="3">
        <v>4676.6400000000003</v>
      </c>
      <c r="E579" s="3">
        <v>9154769.0899999999</v>
      </c>
      <c r="F579" s="1" t="s">
        <v>3065</v>
      </c>
      <c r="G579"/>
      <c r="H579"/>
      <c r="I579" s="19">
        <f>-IFERROR(VLOOKUP(C579,SIRCUPA!$A$21:$H$221,8,0),0)</f>
        <v>0</v>
      </c>
      <c r="J579" s="86">
        <f>-IFERROR(VLOOKUP(C579,SIRTAC!$A$16:$H$1458,8,0),0)</f>
        <v>-48</v>
      </c>
      <c r="K579" s="86">
        <f>-IFERROR(VLOOKUP(C579,Gastos!$A$9:$J$1451,10,0),0)</f>
        <v>-46.56</v>
      </c>
      <c r="L579" s="86">
        <f>-IFERROR(VLOOKUP(C579,IDC!$A$20:$H$1763,8,0),0)</f>
        <v>-28.8</v>
      </c>
      <c r="M579" s="95">
        <f t="shared" si="18"/>
        <v>4800.0000000000009</v>
      </c>
      <c r="O579" s="1"/>
    </row>
    <row r="580" spans="1:15" hidden="1">
      <c r="A580" s="1" t="s">
        <v>636</v>
      </c>
      <c r="B580" s="1" t="s">
        <v>15</v>
      </c>
      <c r="C580" s="71">
        <v>129361803564</v>
      </c>
      <c r="D580" s="3">
        <v>5163.79</v>
      </c>
      <c r="E580" s="3">
        <v>9159932.8800000008</v>
      </c>
      <c r="F580" s="1" t="s">
        <v>3065</v>
      </c>
      <c r="G580"/>
      <c r="H580"/>
      <c r="I580" s="19">
        <f>-IFERROR(VLOOKUP(C580,SIRCUPA!$A$21:$H$221,8,0),0)</f>
        <v>0</v>
      </c>
      <c r="J580" s="86">
        <f>-IFERROR(VLOOKUP(C580,SIRTAC!$A$16:$H$1458,8,0),0)</f>
        <v>-53</v>
      </c>
      <c r="K580" s="86">
        <f>-IFERROR(VLOOKUP(C580,Gastos!$A$9:$J$1451,10,0),0)</f>
        <v>-51.41</v>
      </c>
      <c r="L580" s="86">
        <f>-IFERROR(VLOOKUP(C580,IDC!$A$20:$H$1763,8,0),0)</f>
        <v>-31.8</v>
      </c>
      <c r="M580" s="95">
        <f t="shared" si="18"/>
        <v>5300</v>
      </c>
      <c r="O580" s="1"/>
    </row>
    <row r="581" spans="1:15" hidden="1">
      <c r="A581" s="1" t="s">
        <v>636</v>
      </c>
      <c r="B581" s="1" t="s">
        <v>15</v>
      </c>
      <c r="C581" s="71">
        <v>129361895776</v>
      </c>
      <c r="D581" s="3">
        <v>11691.6</v>
      </c>
      <c r="E581" s="3">
        <v>9171624.4800000004</v>
      </c>
      <c r="F581" s="1" t="s">
        <v>3065</v>
      </c>
      <c r="G581"/>
      <c r="H581"/>
      <c r="I581" s="19">
        <f>-IFERROR(VLOOKUP(C581,SIRCUPA!$A$21:$H$221,8,0),0)</f>
        <v>0</v>
      </c>
      <c r="J581" s="86">
        <f>-IFERROR(VLOOKUP(C581,SIRTAC!$A$16:$H$1458,8,0),0)</f>
        <v>-120</v>
      </c>
      <c r="K581" s="86">
        <f>-IFERROR(VLOOKUP(C581,Gastos!$A$9:$J$1451,10,0),0)</f>
        <v>-116.4</v>
      </c>
      <c r="L581" s="86">
        <f>-IFERROR(VLOOKUP(C581,IDC!$A$20:$H$1763,8,0),0)</f>
        <v>-72</v>
      </c>
      <c r="M581" s="95">
        <f t="shared" si="18"/>
        <v>12000</v>
      </c>
      <c r="O581" s="1"/>
    </row>
    <row r="582" spans="1:15" hidden="1">
      <c r="A582" s="1" t="s">
        <v>636</v>
      </c>
      <c r="B582" s="1" t="s">
        <v>15</v>
      </c>
      <c r="C582" s="71">
        <v>128790136019</v>
      </c>
      <c r="D582" s="3">
        <v>37607.980000000003</v>
      </c>
      <c r="E582" s="3">
        <v>9209232.4600000009</v>
      </c>
      <c r="F582" s="1" t="s">
        <v>3065</v>
      </c>
      <c r="G582"/>
      <c r="H582"/>
      <c r="I582" s="19">
        <f>-IFERROR(VLOOKUP(C582,SIRCUPA!$A$21:$H$221,8,0),0)</f>
        <v>0</v>
      </c>
      <c r="J582" s="86">
        <f>-IFERROR(VLOOKUP(C582,SIRTAC!$A$16:$H$1458,8,0),0)</f>
        <v>-386</v>
      </c>
      <c r="K582" s="86">
        <f>-IFERROR(VLOOKUP(C582,Gastos!$A$9:$J$1451,10,0),0)</f>
        <v>-374.42</v>
      </c>
      <c r="L582" s="86">
        <f>-IFERROR(VLOOKUP(C582,IDC!$A$20:$H$1763,8,0),0)</f>
        <v>-231.6</v>
      </c>
      <c r="M582" s="95">
        <f t="shared" si="18"/>
        <v>38600</v>
      </c>
      <c r="O582" s="1"/>
    </row>
    <row r="583" spans="1:15" hidden="1">
      <c r="A583" s="1" t="s">
        <v>636</v>
      </c>
      <c r="B583" s="1" t="s">
        <v>15</v>
      </c>
      <c r="C583" s="71">
        <v>129362011648</v>
      </c>
      <c r="D583" s="3">
        <v>14614.5</v>
      </c>
      <c r="E583" s="3">
        <v>9223846.9600000009</v>
      </c>
      <c r="F583" s="1" t="s">
        <v>3065</v>
      </c>
      <c r="G583"/>
      <c r="H583"/>
      <c r="I583" s="19">
        <f>-IFERROR(VLOOKUP(C583,SIRCUPA!$A$21:$H$221,8,0),0)</f>
        <v>0</v>
      </c>
      <c r="J583" s="86">
        <f>-IFERROR(VLOOKUP(C583,SIRTAC!$A$16:$H$1458,8,0),0)</f>
        <v>-150</v>
      </c>
      <c r="K583" s="86">
        <f>-IFERROR(VLOOKUP(C583,Gastos!$A$9:$J$1451,10,0),0)</f>
        <v>-145.5</v>
      </c>
      <c r="L583" s="86">
        <f>-IFERROR(VLOOKUP(C583,IDC!$A$20:$H$1763,8,0),0)</f>
        <v>-90</v>
      </c>
      <c r="M583" s="95">
        <f t="shared" si="18"/>
        <v>15000</v>
      </c>
      <c r="O583" s="1"/>
    </row>
    <row r="584" spans="1:15" hidden="1">
      <c r="A584" s="1" t="s">
        <v>636</v>
      </c>
      <c r="B584" s="1" t="s">
        <v>15</v>
      </c>
      <c r="C584" s="71">
        <v>129362129768</v>
      </c>
      <c r="D584" s="3">
        <v>80167.570000000007</v>
      </c>
      <c r="E584" s="3">
        <v>9304014.5299999993</v>
      </c>
      <c r="F584" s="1" t="s">
        <v>3065</v>
      </c>
      <c r="G584"/>
      <c r="H584"/>
      <c r="I584" s="19">
        <f>-IFERROR(VLOOKUP(C584,SIRCUPA!$A$21:$H$221,8,0),0)</f>
        <v>0</v>
      </c>
      <c r="J584" s="86">
        <f>-IFERROR(VLOOKUP(C584,SIRTAC!$A$16:$H$1458,8,0),0)</f>
        <v>-883</v>
      </c>
      <c r="K584" s="86">
        <f>-IFERROR(VLOOKUP(C584,Gastos!$A$9:$J$1451,10,0),0)</f>
        <v>-6719.63</v>
      </c>
      <c r="L584" s="86">
        <f>-IFERROR(VLOOKUP(C584,IDC!$A$20:$H$1763,8,0),0)</f>
        <v>-529.79999999999995</v>
      </c>
      <c r="M584" s="95">
        <f t="shared" si="18"/>
        <v>88300.000000000015</v>
      </c>
      <c r="O584" s="1"/>
    </row>
    <row r="585" spans="1:15" hidden="1">
      <c r="A585" s="1" t="s">
        <v>636</v>
      </c>
      <c r="B585" s="1" t="s">
        <v>15</v>
      </c>
      <c r="C585" s="71">
        <v>129362203494</v>
      </c>
      <c r="D585" s="3">
        <v>88896.27</v>
      </c>
      <c r="E585" s="3">
        <v>9392910.8000000007</v>
      </c>
      <c r="F585" s="1" t="s">
        <v>3065</v>
      </c>
      <c r="G585"/>
      <c r="H585"/>
      <c r="I585" s="19">
        <f>-IFERROR(VLOOKUP(C585,SIRCUPA!$A$21:$H$221,8,0),0)</f>
        <v>0</v>
      </c>
      <c r="J585" s="86">
        <f>-IFERROR(VLOOKUP(C585,SIRTAC!$A$16:$H$1458,8,0),0)</f>
        <v>-941</v>
      </c>
      <c r="K585" s="86">
        <f>-IFERROR(VLOOKUP(C585,Gastos!$A$9:$J$1451,10,0),0)</f>
        <v>-3698.13</v>
      </c>
      <c r="L585" s="86">
        <f>-IFERROR(VLOOKUP(C585,IDC!$A$20:$H$1763,8,0),0)</f>
        <v>-564.6</v>
      </c>
      <c r="M585" s="95">
        <f t="shared" si="18"/>
        <v>94100.000000000015</v>
      </c>
      <c r="O585" s="1"/>
    </row>
    <row r="586" spans="1:15" hidden="1">
      <c r="A586" s="1" t="s">
        <v>636</v>
      </c>
      <c r="B586" s="1" t="s">
        <v>15</v>
      </c>
      <c r="C586" s="71">
        <v>128790376827</v>
      </c>
      <c r="D586" s="3">
        <v>7696.97</v>
      </c>
      <c r="E586" s="3">
        <v>9400607.7699999996</v>
      </c>
      <c r="F586" s="1" t="s">
        <v>3065</v>
      </c>
      <c r="G586"/>
      <c r="H586"/>
      <c r="I586" s="19">
        <f>-IFERROR(VLOOKUP(C586,SIRCUPA!$A$21:$H$221,8,0),0)</f>
        <v>0</v>
      </c>
      <c r="J586" s="86">
        <f>-IFERROR(VLOOKUP(C586,SIRTAC!$A$16:$H$1458,8,0),0)</f>
        <v>-79</v>
      </c>
      <c r="K586" s="86">
        <f>-IFERROR(VLOOKUP(C586,Gastos!$A$9:$J$1451,10,0),0)</f>
        <v>-76.63</v>
      </c>
      <c r="L586" s="86">
        <f>-IFERROR(VLOOKUP(C586,IDC!$A$20:$H$1763,8,0),0)</f>
        <v>-47.4</v>
      </c>
      <c r="M586" s="95">
        <f t="shared" si="18"/>
        <v>7900</v>
      </c>
      <c r="O586" s="1"/>
    </row>
    <row r="587" spans="1:15" hidden="1">
      <c r="A587" s="1" t="s">
        <v>636</v>
      </c>
      <c r="B587" s="1" t="s">
        <v>15</v>
      </c>
      <c r="C587" s="71">
        <v>128790311633</v>
      </c>
      <c r="D587" s="3">
        <v>15101.65</v>
      </c>
      <c r="E587" s="3">
        <v>9415709.4199999999</v>
      </c>
      <c r="F587" s="1" t="s">
        <v>3065</v>
      </c>
      <c r="G587"/>
      <c r="H587"/>
      <c r="I587" s="19">
        <f>-IFERROR(VLOOKUP(C587,SIRCUPA!$A$21:$H$221,8,0),0)</f>
        <v>0</v>
      </c>
      <c r="J587" s="86">
        <f>-IFERROR(VLOOKUP(C587,SIRTAC!$A$16:$H$1458,8,0),0)</f>
        <v>-155</v>
      </c>
      <c r="K587" s="86">
        <f>-IFERROR(VLOOKUP(C587,Gastos!$A$9:$J$1451,10,0),0)</f>
        <v>-150.35</v>
      </c>
      <c r="L587" s="86">
        <f>-IFERROR(VLOOKUP(C587,IDC!$A$20:$H$1763,8,0),0)</f>
        <v>-93</v>
      </c>
      <c r="M587" s="95">
        <f t="shared" si="18"/>
        <v>15500</v>
      </c>
      <c r="O587" s="1"/>
    </row>
    <row r="588" spans="1:15" hidden="1">
      <c r="A588" s="1" t="s">
        <v>636</v>
      </c>
      <c r="B588" s="1" t="s">
        <v>15</v>
      </c>
      <c r="C588" s="71">
        <v>128790427367</v>
      </c>
      <c r="D588" s="3">
        <v>3994.63</v>
      </c>
      <c r="E588" s="3">
        <v>9419704.0500000007</v>
      </c>
      <c r="F588" s="1" t="s">
        <v>3065</v>
      </c>
      <c r="G588"/>
      <c r="H588"/>
      <c r="I588" s="19">
        <f>-IFERROR(VLOOKUP(C588,SIRCUPA!$A$21:$H$221,8,0),0)</f>
        <v>0</v>
      </c>
      <c r="J588" s="86">
        <f>-IFERROR(VLOOKUP(C588,SIRTAC!$A$16:$H$1458,8,0),0)</f>
        <v>-41</v>
      </c>
      <c r="K588" s="86">
        <f>-IFERROR(VLOOKUP(C588,Gastos!$A$9:$J$1451,10,0),0)</f>
        <v>-39.770000000000003</v>
      </c>
      <c r="L588" s="86">
        <f>-IFERROR(VLOOKUP(C588,IDC!$A$20:$H$1763,8,0),0)</f>
        <v>-24.6</v>
      </c>
      <c r="M588" s="95">
        <f t="shared" si="18"/>
        <v>4100</v>
      </c>
      <c r="O588" s="1"/>
    </row>
    <row r="589" spans="1:15" hidden="1">
      <c r="A589" s="1" t="s">
        <v>636</v>
      </c>
      <c r="B589" s="1" t="s">
        <v>15</v>
      </c>
      <c r="C589" s="71">
        <v>129362542858</v>
      </c>
      <c r="D589" s="3">
        <v>4384.3500000000004</v>
      </c>
      <c r="E589" s="3">
        <v>9424088.4000000004</v>
      </c>
      <c r="F589" s="1" t="s">
        <v>3065</v>
      </c>
      <c r="G589"/>
      <c r="H589"/>
      <c r="I589" s="19">
        <f>-IFERROR(VLOOKUP(C589,SIRCUPA!$A$21:$H$221,8,0),0)</f>
        <v>0</v>
      </c>
      <c r="J589" s="86">
        <f>-IFERROR(VLOOKUP(C589,SIRTAC!$A$16:$H$1458,8,0),0)</f>
        <v>-45</v>
      </c>
      <c r="K589" s="86">
        <f>-IFERROR(VLOOKUP(C589,Gastos!$A$9:$J$1451,10,0),0)</f>
        <v>-43.65</v>
      </c>
      <c r="L589" s="86">
        <f>-IFERROR(VLOOKUP(C589,IDC!$A$20:$H$1763,8,0),0)</f>
        <v>-27</v>
      </c>
      <c r="M589" s="95">
        <f t="shared" si="18"/>
        <v>4500</v>
      </c>
      <c r="O589" s="1"/>
    </row>
    <row r="590" spans="1:15" hidden="1">
      <c r="A590" s="1" t="s">
        <v>636</v>
      </c>
      <c r="B590" s="1" t="s">
        <v>15</v>
      </c>
      <c r="C590" s="71">
        <v>128790671665</v>
      </c>
      <c r="D590" s="3">
        <v>3897.2</v>
      </c>
      <c r="E590" s="3">
        <v>9427985.5999999996</v>
      </c>
      <c r="F590" s="1" t="s">
        <v>3065</v>
      </c>
      <c r="G590"/>
      <c r="H590"/>
      <c r="I590" s="19">
        <f>-IFERROR(VLOOKUP(C590,SIRCUPA!$A$21:$H$221,8,0),0)</f>
        <v>0</v>
      </c>
      <c r="J590" s="86">
        <f>-IFERROR(VLOOKUP(C590,SIRTAC!$A$16:$H$1458,8,0),0)</f>
        <v>-40</v>
      </c>
      <c r="K590" s="86">
        <f>-IFERROR(VLOOKUP(C590,Gastos!$A$9:$J$1451,10,0),0)</f>
        <v>-38.799999999999997</v>
      </c>
      <c r="L590" s="86">
        <f>-IFERROR(VLOOKUP(C590,IDC!$A$20:$H$1763,8,0),0)</f>
        <v>-24</v>
      </c>
      <c r="M590" s="95">
        <f t="shared" ref="M590:M621" si="19">+D590-I590-J590-K590-L590</f>
        <v>4000</v>
      </c>
      <c r="O590" s="1"/>
    </row>
    <row r="591" spans="1:15" hidden="1">
      <c r="A591" s="1" t="s">
        <v>636</v>
      </c>
      <c r="B591" s="1" t="s">
        <v>15</v>
      </c>
      <c r="C591" s="71">
        <v>128790802443</v>
      </c>
      <c r="D591" s="3">
        <v>11691.6</v>
      </c>
      <c r="E591" s="3">
        <v>9439677.1999999993</v>
      </c>
      <c r="F591" s="1" t="s">
        <v>3065</v>
      </c>
      <c r="G591"/>
      <c r="H591"/>
      <c r="I591" s="19">
        <f>-IFERROR(VLOOKUP(C591,SIRCUPA!$A$21:$H$221,8,0),0)</f>
        <v>0</v>
      </c>
      <c r="J591" s="86">
        <f>-IFERROR(VLOOKUP(C591,SIRTAC!$A$16:$H$1458,8,0),0)</f>
        <v>-120</v>
      </c>
      <c r="K591" s="86">
        <f>-IFERROR(VLOOKUP(C591,Gastos!$A$9:$J$1451,10,0),0)</f>
        <v>-116.4</v>
      </c>
      <c r="L591" s="86">
        <f>-IFERROR(VLOOKUP(C591,IDC!$A$20:$H$1763,8,0),0)</f>
        <v>-72</v>
      </c>
      <c r="M591" s="95">
        <f t="shared" si="19"/>
        <v>12000</v>
      </c>
      <c r="O591" s="1"/>
    </row>
    <row r="592" spans="1:15" hidden="1">
      <c r="A592" s="1" t="s">
        <v>636</v>
      </c>
      <c r="B592" s="1" t="s">
        <v>680</v>
      </c>
      <c r="C592" s="71">
        <v>128790713267</v>
      </c>
      <c r="D592" s="3">
        <v>1174.8</v>
      </c>
      <c r="E592" s="3">
        <v>9440852</v>
      </c>
      <c r="F592" s="1" t="s">
        <v>3065</v>
      </c>
      <c r="G592"/>
      <c r="H592"/>
      <c r="I592" s="19">
        <f>-IFERROR(VLOOKUP(C592,SIRCUPA!$A$21:$H$221,8,0),0)</f>
        <v>-18</v>
      </c>
      <c r="J592" s="86">
        <f>-IFERROR(VLOOKUP(C592,SIRTAC!$A$16:$H$1458,8,0),0)</f>
        <v>0</v>
      </c>
      <c r="K592" s="86">
        <f>-IFERROR(VLOOKUP(C592,Gastos!$A$9:$J$1451,10,0),0)</f>
        <v>0</v>
      </c>
      <c r="L592" s="86">
        <f>-IFERROR(VLOOKUP(C592,IDC!$A$20:$H$1763,8,0),0)</f>
        <v>-7.2</v>
      </c>
      <c r="M592" s="95">
        <f t="shared" si="19"/>
        <v>1200</v>
      </c>
      <c r="O592" s="1"/>
    </row>
    <row r="593" spans="1:15" hidden="1">
      <c r="A593" s="1" t="s">
        <v>636</v>
      </c>
      <c r="B593" s="1" t="s">
        <v>15</v>
      </c>
      <c r="C593" s="71">
        <v>129362629610</v>
      </c>
      <c r="D593" s="3">
        <v>52612.2</v>
      </c>
      <c r="E593" s="3">
        <v>9493464.1999999993</v>
      </c>
      <c r="F593" s="1" t="s">
        <v>3065</v>
      </c>
      <c r="G593"/>
      <c r="H593"/>
      <c r="I593" s="19">
        <f>-IFERROR(VLOOKUP(C593,SIRCUPA!$A$21:$H$221,8,0),0)</f>
        <v>0</v>
      </c>
      <c r="J593" s="86">
        <f>-IFERROR(VLOOKUP(C593,SIRTAC!$A$16:$H$1458,8,0),0)</f>
        <v>-540</v>
      </c>
      <c r="K593" s="86">
        <f>-IFERROR(VLOOKUP(C593,Gastos!$A$9:$J$1451,10,0),0)</f>
        <v>-523.79999999999995</v>
      </c>
      <c r="L593" s="86">
        <f>-IFERROR(VLOOKUP(C593,IDC!$A$20:$H$1763,8,0),0)</f>
        <v>-324</v>
      </c>
      <c r="M593" s="95">
        <f t="shared" si="19"/>
        <v>54000</v>
      </c>
      <c r="O593" s="1"/>
    </row>
    <row r="594" spans="1:15" hidden="1">
      <c r="A594" s="1" t="s">
        <v>636</v>
      </c>
      <c r="B594" s="1" t="s">
        <v>15</v>
      </c>
      <c r="C594" s="71">
        <v>128791038125</v>
      </c>
      <c r="D594" s="3">
        <v>4161.1099999999997</v>
      </c>
      <c r="E594" s="3">
        <v>9497625.3100000005</v>
      </c>
      <c r="F594" s="1" t="s">
        <v>3065</v>
      </c>
      <c r="G594"/>
      <c r="H594"/>
      <c r="I594" s="19">
        <f>-IFERROR(VLOOKUP(C594,SIRCUPA!$A$21:$H$221,8,0),0)</f>
        <v>0</v>
      </c>
      <c r="J594" s="86">
        <f>-IFERROR(VLOOKUP(C594,SIRTAC!$A$16:$H$1458,8,0),0)</f>
        <v>-43</v>
      </c>
      <c r="K594" s="86">
        <f>-IFERROR(VLOOKUP(C594,Gastos!$A$9:$J$1451,10,0),0)</f>
        <v>-70.09</v>
      </c>
      <c r="L594" s="86">
        <f>-IFERROR(VLOOKUP(C594,IDC!$A$20:$H$1763,8,0),0)</f>
        <v>-25.8</v>
      </c>
      <c r="M594" s="95">
        <f t="shared" si="19"/>
        <v>4300</v>
      </c>
      <c r="O594" s="1"/>
    </row>
    <row r="595" spans="1:15" hidden="1">
      <c r="A595" s="1" t="s">
        <v>636</v>
      </c>
      <c r="B595" s="1" t="s">
        <v>15</v>
      </c>
      <c r="C595" s="71">
        <v>128790813097</v>
      </c>
      <c r="D595" s="3">
        <v>4676.6400000000003</v>
      </c>
      <c r="E595" s="3">
        <v>9502301.9499999993</v>
      </c>
      <c r="F595" s="1" t="s">
        <v>3065</v>
      </c>
      <c r="G595"/>
      <c r="H595"/>
      <c r="I595" s="19">
        <f>-IFERROR(VLOOKUP(C595,SIRCUPA!$A$21:$H$221,8,0),0)</f>
        <v>0</v>
      </c>
      <c r="J595" s="86">
        <f>-IFERROR(VLOOKUP(C595,SIRTAC!$A$16:$H$1458,8,0),0)</f>
        <v>-48</v>
      </c>
      <c r="K595" s="86">
        <f>-IFERROR(VLOOKUP(C595,Gastos!$A$9:$J$1451,10,0),0)</f>
        <v>-46.56</v>
      </c>
      <c r="L595" s="86">
        <f>-IFERROR(VLOOKUP(C595,IDC!$A$20:$H$1763,8,0),0)</f>
        <v>-28.8</v>
      </c>
      <c r="M595" s="95">
        <f t="shared" si="19"/>
        <v>4800.0000000000009</v>
      </c>
      <c r="O595" s="1"/>
    </row>
    <row r="596" spans="1:15" hidden="1">
      <c r="A596" s="1" t="s">
        <v>636</v>
      </c>
      <c r="B596" s="1" t="s">
        <v>15</v>
      </c>
      <c r="C596" s="71">
        <v>129362779056</v>
      </c>
      <c r="D596" s="3">
        <v>9353.2800000000007</v>
      </c>
      <c r="E596" s="3">
        <v>9511655.2300000004</v>
      </c>
      <c r="F596" s="1" t="s">
        <v>3065</v>
      </c>
      <c r="G596"/>
      <c r="H596"/>
      <c r="I596" s="19">
        <f>-IFERROR(VLOOKUP(C596,SIRCUPA!$A$21:$H$221,8,0),0)</f>
        <v>0</v>
      </c>
      <c r="J596" s="86">
        <f>-IFERROR(VLOOKUP(C596,SIRTAC!$A$16:$H$1458,8,0),0)</f>
        <v>-96</v>
      </c>
      <c r="K596" s="86">
        <f>-IFERROR(VLOOKUP(C596,Gastos!$A$9:$J$1451,10,0),0)</f>
        <v>-93.12</v>
      </c>
      <c r="L596" s="86">
        <f>-IFERROR(VLOOKUP(C596,IDC!$A$20:$H$1763,8,0),0)</f>
        <v>-57.6</v>
      </c>
      <c r="M596" s="95">
        <f t="shared" si="19"/>
        <v>9600.0000000000018</v>
      </c>
      <c r="O596" s="1"/>
    </row>
    <row r="597" spans="1:15" hidden="1">
      <c r="A597" s="1" t="s">
        <v>636</v>
      </c>
      <c r="B597" s="1" t="s">
        <v>15</v>
      </c>
      <c r="C597" s="71">
        <v>128791039201</v>
      </c>
      <c r="D597" s="3">
        <v>4723.5</v>
      </c>
      <c r="E597" s="3">
        <v>9516378.7300000004</v>
      </c>
      <c r="F597" s="1" t="s">
        <v>3065</v>
      </c>
      <c r="G597"/>
      <c r="H597"/>
      <c r="I597" s="19">
        <f>-IFERROR(VLOOKUP(C597,SIRCUPA!$A$21:$H$221,8,0),0)</f>
        <v>0</v>
      </c>
      <c r="J597" s="86">
        <f>-IFERROR(VLOOKUP(C597,SIRTAC!$A$16:$H$1458,8,0),0)</f>
        <v>-50</v>
      </c>
      <c r="K597" s="86">
        <f>-IFERROR(VLOOKUP(C597,Gastos!$A$9:$J$1451,10,0),0)</f>
        <v>-196.5</v>
      </c>
      <c r="L597" s="86">
        <f>-IFERROR(VLOOKUP(C597,IDC!$A$20:$H$1763,8,0),0)</f>
        <v>-30</v>
      </c>
      <c r="M597" s="95">
        <f t="shared" si="19"/>
        <v>5000</v>
      </c>
      <c r="O597" s="1"/>
    </row>
    <row r="598" spans="1:15" hidden="1">
      <c r="A598" s="1" t="s">
        <v>636</v>
      </c>
      <c r="B598" s="1" t="s">
        <v>15</v>
      </c>
      <c r="C598" s="71">
        <v>128790975673</v>
      </c>
      <c r="D598" s="3">
        <v>58458</v>
      </c>
      <c r="E598" s="3">
        <v>9574836.7300000004</v>
      </c>
      <c r="F598" s="1" t="s">
        <v>3065</v>
      </c>
      <c r="G598"/>
      <c r="H598"/>
      <c r="I598" s="19">
        <f>-IFERROR(VLOOKUP(C598,SIRCUPA!$A$21:$H$221,8,0),0)</f>
        <v>0</v>
      </c>
      <c r="J598" s="86">
        <f>-IFERROR(VLOOKUP(C598,SIRTAC!$A$16:$H$1458,8,0),0)</f>
        <v>-600</v>
      </c>
      <c r="K598" s="86">
        <f>-IFERROR(VLOOKUP(C598,Gastos!$A$9:$J$1451,10,0),0)</f>
        <v>-582</v>
      </c>
      <c r="L598" s="86">
        <f>-IFERROR(VLOOKUP(C598,IDC!$A$20:$H$1763,8,0),0)</f>
        <v>-360</v>
      </c>
      <c r="M598" s="95">
        <f t="shared" si="19"/>
        <v>60000</v>
      </c>
      <c r="O598" s="1"/>
    </row>
    <row r="599" spans="1:15" hidden="1">
      <c r="A599" s="1" t="s">
        <v>636</v>
      </c>
      <c r="B599" s="1" t="s">
        <v>15</v>
      </c>
      <c r="C599" s="71">
        <v>129362926804</v>
      </c>
      <c r="D599" s="3">
        <v>49104.72</v>
      </c>
      <c r="E599" s="3">
        <v>9623941.4499999993</v>
      </c>
      <c r="F599" s="1" t="s">
        <v>3065</v>
      </c>
      <c r="G599"/>
      <c r="H599"/>
      <c r="I599" s="19">
        <f>-IFERROR(VLOOKUP(C599,SIRCUPA!$A$21:$H$221,8,0),0)</f>
        <v>0</v>
      </c>
      <c r="J599" s="86">
        <f>-IFERROR(VLOOKUP(C599,SIRTAC!$A$16:$H$1458,8,0),0)</f>
        <v>-504</v>
      </c>
      <c r="K599" s="86">
        <f>-IFERROR(VLOOKUP(C599,Gastos!$A$9:$J$1451,10,0),0)</f>
        <v>-488.88</v>
      </c>
      <c r="L599" s="86">
        <f>-IFERROR(VLOOKUP(C599,IDC!$A$20:$H$1763,8,0),0)</f>
        <v>-302.39999999999998</v>
      </c>
      <c r="M599" s="95">
        <f t="shared" si="19"/>
        <v>50400</v>
      </c>
      <c r="O599" s="1"/>
    </row>
    <row r="600" spans="1:15" hidden="1">
      <c r="A600" s="1" t="s">
        <v>636</v>
      </c>
      <c r="B600" s="1" t="s">
        <v>689</v>
      </c>
      <c r="C600" s="71">
        <v>129363038238</v>
      </c>
      <c r="D600" s="3">
        <v>2467.08</v>
      </c>
      <c r="E600" s="3">
        <v>9626408.5299999993</v>
      </c>
      <c r="F600" s="1" t="s">
        <v>3065</v>
      </c>
      <c r="G600"/>
      <c r="H600"/>
      <c r="I600" s="19">
        <f>-IFERROR(VLOOKUP(C600,SIRCUPA!$A$21:$H$221,8,0),0)</f>
        <v>-37.799999999999997</v>
      </c>
      <c r="J600" s="86">
        <f>-IFERROR(VLOOKUP(C600,SIRTAC!$A$16:$H$1458,8,0),0)</f>
        <v>0</v>
      </c>
      <c r="K600" s="86">
        <f>-IFERROR(VLOOKUP(C600,Gastos!$A$9:$J$1451,10,0),0)</f>
        <v>0</v>
      </c>
      <c r="L600" s="86">
        <f>-IFERROR(VLOOKUP(C600,IDC!$A$20:$H$1763,8,0),0)</f>
        <v>-15.12</v>
      </c>
      <c r="M600" s="95">
        <f t="shared" si="19"/>
        <v>2520</v>
      </c>
      <c r="O600" s="1"/>
    </row>
    <row r="601" spans="1:15" hidden="1">
      <c r="A601" s="1" t="s">
        <v>636</v>
      </c>
      <c r="B601" s="1" t="s">
        <v>15</v>
      </c>
      <c r="C601" s="71">
        <v>129363235724</v>
      </c>
      <c r="D601" s="3">
        <v>12665.9</v>
      </c>
      <c r="E601" s="3">
        <v>9639074.4299999997</v>
      </c>
      <c r="F601" s="1" t="s">
        <v>3065</v>
      </c>
      <c r="G601"/>
      <c r="H601"/>
      <c r="I601" s="19">
        <f>-IFERROR(VLOOKUP(C601,SIRCUPA!$A$21:$H$221,8,0),0)</f>
        <v>0</v>
      </c>
      <c r="J601" s="86">
        <f>-IFERROR(VLOOKUP(C601,SIRTAC!$A$16:$H$1458,8,0),0)</f>
        <v>-130</v>
      </c>
      <c r="K601" s="86">
        <f>-IFERROR(VLOOKUP(C601,Gastos!$A$9:$J$1451,10,0),0)</f>
        <v>-126.1</v>
      </c>
      <c r="L601" s="86">
        <f>-IFERROR(VLOOKUP(C601,IDC!$A$20:$H$1763,8,0),0)</f>
        <v>-78</v>
      </c>
      <c r="M601" s="95">
        <f t="shared" si="19"/>
        <v>13000</v>
      </c>
      <c r="O601" s="1"/>
    </row>
    <row r="602" spans="1:15" hidden="1">
      <c r="A602" s="1" t="s">
        <v>636</v>
      </c>
      <c r="B602" s="1" t="s">
        <v>15</v>
      </c>
      <c r="C602" s="71">
        <v>129363422332</v>
      </c>
      <c r="D602" s="3">
        <v>8785.7099999999991</v>
      </c>
      <c r="E602" s="3">
        <v>9647860.1400000006</v>
      </c>
      <c r="F602" s="1" t="s">
        <v>3065</v>
      </c>
      <c r="G602"/>
      <c r="H602"/>
      <c r="I602" s="19">
        <f>-IFERROR(VLOOKUP(C602,SIRCUPA!$A$21:$H$221,8,0),0)</f>
        <v>0</v>
      </c>
      <c r="J602" s="86">
        <f>-IFERROR(VLOOKUP(C602,SIRTAC!$A$16:$H$1458,8,0),0)</f>
        <v>-93</v>
      </c>
      <c r="K602" s="86">
        <f>-IFERROR(VLOOKUP(C602,Gastos!$A$9:$J$1451,10,0),0)</f>
        <v>-365.49</v>
      </c>
      <c r="L602" s="86">
        <f>-IFERROR(VLOOKUP(C602,IDC!$A$20:$H$1763,8,0),0)</f>
        <v>-55.8</v>
      </c>
      <c r="M602" s="95">
        <f t="shared" si="19"/>
        <v>9299.9999999999982</v>
      </c>
      <c r="O602" s="1"/>
    </row>
    <row r="603" spans="1:15" hidden="1">
      <c r="A603" s="1" t="s">
        <v>636</v>
      </c>
      <c r="B603" s="1" t="s">
        <v>15</v>
      </c>
      <c r="C603" s="71">
        <v>129363361660</v>
      </c>
      <c r="D603" s="3">
        <v>6801.84</v>
      </c>
      <c r="E603" s="3">
        <v>9654661.9800000004</v>
      </c>
      <c r="F603" s="1" t="s">
        <v>3065</v>
      </c>
      <c r="G603"/>
      <c r="H603"/>
      <c r="I603" s="19">
        <f>-IFERROR(VLOOKUP(C603,SIRCUPA!$A$21:$H$221,8,0),0)</f>
        <v>0</v>
      </c>
      <c r="J603" s="86">
        <f>-IFERROR(VLOOKUP(C603,SIRTAC!$A$16:$H$1458,8,0),0)</f>
        <v>-72</v>
      </c>
      <c r="K603" s="86">
        <f>-IFERROR(VLOOKUP(C603,Gastos!$A$9:$J$1451,10,0),0)</f>
        <v>-282.95999999999998</v>
      </c>
      <c r="L603" s="86">
        <f>-IFERROR(VLOOKUP(C603,IDC!$A$20:$H$1763,8,0),0)</f>
        <v>-43.2</v>
      </c>
      <c r="M603" s="95">
        <f t="shared" si="19"/>
        <v>7200</v>
      </c>
      <c r="O603" s="1"/>
    </row>
    <row r="604" spans="1:15" hidden="1">
      <c r="A604" s="1" t="s">
        <v>636</v>
      </c>
      <c r="B604" s="1" t="s">
        <v>15</v>
      </c>
      <c r="C604" s="71">
        <v>128791843481</v>
      </c>
      <c r="D604" s="3">
        <v>7935.48</v>
      </c>
      <c r="E604" s="3">
        <v>9662597.4600000009</v>
      </c>
      <c r="F604" s="1" t="s">
        <v>3065</v>
      </c>
      <c r="G604"/>
      <c r="H604"/>
      <c r="I604" s="19">
        <f>-IFERROR(VLOOKUP(C604,SIRCUPA!$A$21:$H$221,8,0),0)</f>
        <v>0</v>
      </c>
      <c r="J604" s="86">
        <f>-IFERROR(VLOOKUP(C604,SIRTAC!$A$16:$H$1458,8,0),0)</f>
        <v>-84</v>
      </c>
      <c r="K604" s="86">
        <f>-IFERROR(VLOOKUP(C604,Gastos!$A$9:$J$1451,10,0),0)</f>
        <v>-330.12</v>
      </c>
      <c r="L604" s="86">
        <f>-IFERROR(VLOOKUP(C604,IDC!$A$20:$H$1763,8,0),0)</f>
        <v>-50.4</v>
      </c>
      <c r="M604" s="95">
        <f t="shared" si="19"/>
        <v>8400</v>
      </c>
      <c r="O604" s="1"/>
    </row>
    <row r="605" spans="1:15" hidden="1">
      <c r="A605" s="1" t="s">
        <v>636</v>
      </c>
      <c r="B605" s="1" t="s">
        <v>15</v>
      </c>
      <c r="C605" s="71">
        <v>128791965351</v>
      </c>
      <c r="D605" s="3">
        <v>4676.6400000000003</v>
      </c>
      <c r="E605" s="3">
        <v>9667274.0999999996</v>
      </c>
      <c r="F605" s="1" t="s">
        <v>3065</v>
      </c>
      <c r="G605"/>
      <c r="H605"/>
      <c r="I605" s="19">
        <f>-IFERROR(VLOOKUP(C605,SIRCUPA!$A$21:$H$221,8,0),0)</f>
        <v>0</v>
      </c>
      <c r="J605" s="86">
        <f>-IFERROR(VLOOKUP(C605,SIRTAC!$A$16:$H$1458,8,0),0)</f>
        <v>-48</v>
      </c>
      <c r="K605" s="86">
        <f>-IFERROR(VLOOKUP(C605,Gastos!$A$9:$J$1451,10,0),0)</f>
        <v>-46.56</v>
      </c>
      <c r="L605" s="86">
        <f>-IFERROR(VLOOKUP(C605,IDC!$A$20:$H$1763,8,0),0)</f>
        <v>-28.8</v>
      </c>
      <c r="M605" s="95">
        <f t="shared" si="19"/>
        <v>4800.0000000000009</v>
      </c>
      <c r="O605" s="1"/>
    </row>
    <row r="606" spans="1:15" hidden="1">
      <c r="A606" s="1" t="s">
        <v>636</v>
      </c>
      <c r="B606" s="1" t="s">
        <v>15</v>
      </c>
      <c r="C606" s="71">
        <v>128792088431</v>
      </c>
      <c r="D606" s="3">
        <v>4676.6400000000003</v>
      </c>
      <c r="E606" s="3">
        <v>9671950.7400000002</v>
      </c>
      <c r="F606" s="1" t="s">
        <v>3065</v>
      </c>
      <c r="G606"/>
      <c r="H606"/>
      <c r="I606" s="19">
        <f>-IFERROR(VLOOKUP(C606,SIRCUPA!$A$21:$H$221,8,0),0)</f>
        <v>0</v>
      </c>
      <c r="J606" s="86">
        <f>-IFERROR(VLOOKUP(C606,SIRTAC!$A$16:$H$1458,8,0),0)</f>
        <v>-48</v>
      </c>
      <c r="K606" s="86">
        <f>-IFERROR(VLOOKUP(C606,Gastos!$A$9:$J$1451,10,0),0)</f>
        <v>-46.56</v>
      </c>
      <c r="L606" s="86">
        <f>-IFERROR(VLOOKUP(C606,IDC!$A$20:$H$1763,8,0),0)</f>
        <v>-28.8</v>
      </c>
      <c r="M606" s="95">
        <f t="shared" si="19"/>
        <v>4800.0000000000009</v>
      </c>
      <c r="O606" s="1"/>
    </row>
    <row r="607" spans="1:15" hidden="1">
      <c r="A607" s="1" t="s">
        <v>636</v>
      </c>
      <c r="B607" s="1" t="s">
        <v>15</v>
      </c>
      <c r="C607" s="71">
        <v>129363795578</v>
      </c>
      <c r="D607" s="3">
        <v>19973.150000000001</v>
      </c>
      <c r="E607" s="3">
        <v>9691923.8900000006</v>
      </c>
      <c r="F607" s="1" t="s">
        <v>3065</v>
      </c>
      <c r="G607"/>
      <c r="H607"/>
      <c r="I607" s="19">
        <f>-IFERROR(VLOOKUP(C607,SIRCUPA!$A$21:$H$221,8,0),0)</f>
        <v>0</v>
      </c>
      <c r="J607" s="86">
        <f>-IFERROR(VLOOKUP(C607,SIRTAC!$A$16:$H$1458,8,0),0)</f>
        <v>-205</v>
      </c>
      <c r="K607" s="86">
        <f>-IFERROR(VLOOKUP(C607,Gastos!$A$9:$J$1451,10,0),0)</f>
        <v>-198.85</v>
      </c>
      <c r="L607" s="86">
        <f>-IFERROR(VLOOKUP(C607,IDC!$A$20:$H$1763,8,0),0)</f>
        <v>-123</v>
      </c>
      <c r="M607" s="95">
        <f t="shared" si="19"/>
        <v>20500</v>
      </c>
      <c r="O607" s="1"/>
    </row>
    <row r="608" spans="1:15" hidden="1">
      <c r="A608" s="1" t="s">
        <v>636</v>
      </c>
      <c r="B608" s="1" t="s">
        <v>15</v>
      </c>
      <c r="C608" s="71">
        <v>128792091581</v>
      </c>
      <c r="D608" s="3">
        <v>8963.56</v>
      </c>
      <c r="E608" s="3">
        <v>9700887.4499999993</v>
      </c>
      <c r="F608" s="1" t="s">
        <v>3065</v>
      </c>
      <c r="G608"/>
      <c r="H608"/>
      <c r="I608" s="19">
        <f>-IFERROR(VLOOKUP(C608,SIRCUPA!$A$21:$H$221,8,0),0)</f>
        <v>0</v>
      </c>
      <c r="J608" s="86">
        <f>-IFERROR(VLOOKUP(C608,SIRTAC!$A$16:$H$1458,8,0),0)</f>
        <v>-92</v>
      </c>
      <c r="K608" s="86">
        <f>-IFERROR(VLOOKUP(C608,Gastos!$A$9:$J$1451,10,0),0)</f>
        <v>-89.24</v>
      </c>
      <c r="L608" s="86">
        <f>-IFERROR(VLOOKUP(C608,IDC!$A$20:$H$1763,8,0),0)</f>
        <v>-55.2</v>
      </c>
      <c r="M608" s="95">
        <f t="shared" si="19"/>
        <v>9200</v>
      </c>
      <c r="O608" s="1"/>
    </row>
    <row r="609" spans="1:15" hidden="1">
      <c r="A609" s="1" t="s">
        <v>636</v>
      </c>
      <c r="B609" s="1" t="s">
        <v>699</v>
      </c>
      <c r="C609" s="71">
        <v>128792036011</v>
      </c>
      <c r="D609" s="2">
        <v>450.34</v>
      </c>
      <c r="E609" s="3">
        <v>9701337.7899999991</v>
      </c>
      <c r="F609" s="1" t="s">
        <v>3065</v>
      </c>
      <c r="G609"/>
      <c r="H609"/>
      <c r="I609" s="19">
        <f>-IFERROR(VLOOKUP(C609,SIRCUPA!$A$21:$H$221,8,0),0)</f>
        <v>-6.9</v>
      </c>
      <c r="J609" s="86">
        <f>-IFERROR(VLOOKUP(C609,SIRTAC!$A$16:$H$1458,8,0),0)</f>
        <v>0</v>
      </c>
      <c r="K609" s="86">
        <f>-IFERROR(VLOOKUP(C609,Gastos!$A$9:$J$1451,10,0),0)</f>
        <v>0</v>
      </c>
      <c r="L609" s="86">
        <f>-IFERROR(VLOOKUP(C609,IDC!$A$20:$H$1763,8,0),0)</f>
        <v>-2.76</v>
      </c>
      <c r="M609" s="95">
        <f t="shared" si="19"/>
        <v>459.99999999999994</v>
      </c>
      <c r="O609" s="1"/>
    </row>
    <row r="610" spans="1:15" hidden="1">
      <c r="A610" s="1" t="s">
        <v>636</v>
      </c>
      <c r="B610" s="1" t="s">
        <v>15</v>
      </c>
      <c r="C610" s="71">
        <v>128792133789</v>
      </c>
      <c r="D610" s="3">
        <v>26829.48</v>
      </c>
      <c r="E610" s="3">
        <v>9728167.2699999996</v>
      </c>
      <c r="F610" s="1" t="s">
        <v>3065</v>
      </c>
      <c r="G610"/>
      <c r="H610"/>
      <c r="I610" s="19">
        <f>-IFERROR(VLOOKUP(C610,SIRCUPA!$A$21:$H$221,8,0),0)</f>
        <v>0</v>
      </c>
      <c r="J610" s="86">
        <f>-IFERROR(VLOOKUP(C610,SIRTAC!$A$16:$H$1458,8,0),0)</f>
        <v>-284</v>
      </c>
      <c r="K610" s="86">
        <f>-IFERROR(VLOOKUP(C610,Gastos!$A$9:$J$1451,10,0),0)</f>
        <v>-1116.1199999999999</v>
      </c>
      <c r="L610" s="86">
        <f>-IFERROR(VLOOKUP(C610,IDC!$A$20:$H$1763,8,0),0)</f>
        <v>-170.4</v>
      </c>
      <c r="M610" s="95">
        <f t="shared" si="19"/>
        <v>28400</v>
      </c>
      <c r="O610" s="1"/>
    </row>
    <row r="611" spans="1:15" hidden="1">
      <c r="A611" s="1" t="s">
        <v>636</v>
      </c>
      <c r="B611" s="1" t="s">
        <v>15</v>
      </c>
      <c r="C611" s="71">
        <v>129364048342</v>
      </c>
      <c r="D611" s="3">
        <v>7014.96</v>
      </c>
      <c r="E611" s="3">
        <v>9735182.2300000004</v>
      </c>
      <c r="F611" s="1" t="s">
        <v>3065</v>
      </c>
      <c r="G611"/>
      <c r="H611"/>
      <c r="I611" s="19">
        <f>-IFERROR(VLOOKUP(C611,SIRCUPA!$A$21:$H$221,8,0),0)</f>
        <v>0</v>
      </c>
      <c r="J611" s="86">
        <f>-IFERROR(VLOOKUP(C611,SIRTAC!$A$16:$H$1458,8,0),0)</f>
        <v>-72</v>
      </c>
      <c r="K611" s="86">
        <f>-IFERROR(VLOOKUP(C611,Gastos!$A$9:$J$1451,10,0),0)</f>
        <v>-69.84</v>
      </c>
      <c r="L611" s="86">
        <f>-IFERROR(VLOOKUP(C611,IDC!$A$20:$H$1763,8,0),0)</f>
        <v>-43.2</v>
      </c>
      <c r="M611" s="95">
        <f t="shared" si="19"/>
        <v>7200</v>
      </c>
      <c r="O611" s="1"/>
    </row>
    <row r="612" spans="1:15" hidden="1">
      <c r="A612" s="1" t="s">
        <v>636</v>
      </c>
      <c r="B612" s="1" t="s">
        <v>15</v>
      </c>
      <c r="C612" s="71">
        <v>128792488121</v>
      </c>
      <c r="D612" s="3">
        <v>44428.08</v>
      </c>
      <c r="E612" s="3">
        <v>9779610.3100000005</v>
      </c>
      <c r="F612" s="1" t="s">
        <v>3065</v>
      </c>
      <c r="G612"/>
      <c r="H612"/>
      <c r="I612" s="19">
        <f>-IFERROR(VLOOKUP(C612,SIRCUPA!$A$21:$H$221,8,0),0)</f>
        <v>0</v>
      </c>
      <c r="J612" s="86">
        <f>-IFERROR(VLOOKUP(C612,SIRTAC!$A$16:$H$1458,8,0),0)</f>
        <v>-456</v>
      </c>
      <c r="K612" s="86">
        <f>-IFERROR(VLOOKUP(C612,Gastos!$A$9:$J$1451,10,0),0)</f>
        <v>-442.32</v>
      </c>
      <c r="L612" s="86">
        <f>-IFERROR(VLOOKUP(C612,IDC!$A$20:$H$1763,8,0),0)</f>
        <v>-273.60000000000002</v>
      </c>
      <c r="M612" s="95">
        <f t="shared" si="19"/>
        <v>45600</v>
      </c>
      <c r="O612" s="1"/>
    </row>
    <row r="613" spans="1:15" hidden="1">
      <c r="A613" s="1" t="s">
        <v>636</v>
      </c>
      <c r="B613" s="1" t="s">
        <v>704</v>
      </c>
      <c r="C613" s="71">
        <v>128792386801</v>
      </c>
      <c r="D613" s="3">
        <v>4464.24</v>
      </c>
      <c r="E613" s="3">
        <v>9784074.5500000007</v>
      </c>
      <c r="F613" s="1" t="s">
        <v>3065</v>
      </c>
      <c r="G613"/>
      <c r="H613"/>
      <c r="I613" s="19">
        <f>-IFERROR(VLOOKUP(C613,SIRCUPA!$A$21:$H$221,8,0),0)</f>
        <v>-68.400000000000006</v>
      </c>
      <c r="J613" s="86">
        <f>-IFERROR(VLOOKUP(C613,SIRTAC!$A$16:$H$1458,8,0),0)</f>
        <v>0</v>
      </c>
      <c r="K613" s="86">
        <f>-IFERROR(VLOOKUP(C613,Gastos!$A$9:$J$1451,10,0),0)</f>
        <v>0</v>
      </c>
      <c r="L613" s="86">
        <f>-IFERROR(VLOOKUP(C613,IDC!$A$20:$H$1763,8,0),0)</f>
        <v>-27.36</v>
      </c>
      <c r="M613" s="95">
        <f t="shared" si="19"/>
        <v>4559.9999999999991</v>
      </c>
      <c r="O613" s="1"/>
    </row>
    <row r="614" spans="1:15" hidden="1">
      <c r="A614" s="1" t="s">
        <v>636</v>
      </c>
      <c r="B614" s="1" t="s">
        <v>15</v>
      </c>
      <c r="C614" s="71">
        <v>128792450817</v>
      </c>
      <c r="D614" s="3">
        <v>1889.4</v>
      </c>
      <c r="E614" s="3">
        <v>9785963.9499999993</v>
      </c>
      <c r="F614" s="1" t="s">
        <v>3065</v>
      </c>
      <c r="G614"/>
      <c r="H614"/>
      <c r="I614" s="19">
        <f>-IFERROR(VLOOKUP(C614,SIRCUPA!$A$21:$H$221,8,0),0)</f>
        <v>0</v>
      </c>
      <c r="J614" s="86">
        <f>-IFERROR(VLOOKUP(C614,SIRTAC!$A$16:$H$1458,8,0),0)</f>
        <v>-20</v>
      </c>
      <c r="K614" s="86">
        <f>-IFERROR(VLOOKUP(C614,Gastos!$A$9:$J$1451,10,0),0)</f>
        <v>-78.599999999999994</v>
      </c>
      <c r="L614" s="86">
        <f>-IFERROR(VLOOKUP(C614,IDC!$A$20:$H$1763,8,0),0)</f>
        <v>-12</v>
      </c>
      <c r="M614" s="95">
        <f t="shared" si="19"/>
        <v>2000</v>
      </c>
      <c r="O614" s="1"/>
    </row>
    <row r="615" spans="1:15" hidden="1">
      <c r="A615" s="1" t="s">
        <v>636</v>
      </c>
      <c r="B615" s="1" t="s">
        <v>15</v>
      </c>
      <c r="C615" s="71">
        <v>129364171508</v>
      </c>
      <c r="D615" s="3">
        <v>9069.1200000000008</v>
      </c>
      <c r="E615" s="3">
        <v>9795033.0700000003</v>
      </c>
      <c r="F615" s="1" t="s">
        <v>3065</v>
      </c>
      <c r="G615"/>
      <c r="H615"/>
      <c r="I615" s="19">
        <f>-IFERROR(VLOOKUP(C615,SIRCUPA!$A$21:$H$221,8,0),0)</f>
        <v>0</v>
      </c>
      <c r="J615" s="86">
        <f>-IFERROR(VLOOKUP(C615,SIRTAC!$A$16:$H$1458,8,0),0)</f>
        <v>-96</v>
      </c>
      <c r="K615" s="86">
        <f>-IFERROR(VLOOKUP(C615,Gastos!$A$9:$J$1451,10,0),0)</f>
        <v>-377.28</v>
      </c>
      <c r="L615" s="86">
        <f>-IFERROR(VLOOKUP(C615,IDC!$A$20:$H$1763,8,0),0)</f>
        <v>-57.6</v>
      </c>
      <c r="M615" s="95">
        <f t="shared" si="19"/>
        <v>9600.0000000000018</v>
      </c>
      <c r="O615" s="1"/>
    </row>
    <row r="616" spans="1:15" hidden="1">
      <c r="A616" s="1" t="s">
        <v>636</v>
      </c>
      <c r="B616" s="1" t="s">
        <v>15</v>
      </c>
      <c r="C616" s="71">
        <v>129364305216</v>
      </c>
      <c r="D616" s="3">
        <v>1169.1600000000001</v>
      </c>
      <c r="E616" s="3">
        <v>9796202.2300000004</v>
      </c>
      <c r="F616" s="1" t="s">
        <v>3065</v>
      </c>
      <c r="G616"/>
      <c r="H616"/>
      <c r="I616" s="19">
        <f>-IFERROR(VLOOKUP(C616,SIRCUPA!$A$21:$H$221,8,0),0)</f>
        <v>0</v>
      </c>
      <c r="J616" s="86">
        <f>-IFERROR(VLOOKUP(C616,SIRTAC!$A$16:$H$1458,8,0),0)</f>
        <v>-12</v>
      </c>
      <c r="K616" s="86">
        <f>-IFERROR(VLOOKUP(C616,Gastos!$A$9:$J$1451,10,0),0)</f>
        <v>-11.64</v>
      </c>
      <c r="L616" s="86">
        <f>-IFERROR(VLOOKUP(C616,IDC!$A$20:$H$1763,8,0),0)</f>
        <v>-7.2</v>
      </c>
      <c r="M616" s="95">
        <f t="shared" si="19"/>
        <v>1200.0000000000002</v>
      </c>
      <c r="O616" s="1"/>
    </row>
    <row r="617" spans="1:15" hidden="1">
      <c r="A617" s="1" t="s">
        <v>636</v>
      </c>
      <c r="B617" s="1" t="s">
        <v>15</v>
      </c>
      <c r="C617" s="71">
        <v>128792696797</v>
      </c>
      <c r="D617" s="3">
        <v>33321.06</v>
      </c>
      <c r="E617" s="3">
        <v>9829523.2899999991</v>
      </c>
      <c r="F617" s="1" t="s">
        <v>3065</v>
      </c>
      <c r="G617"/>
      <c r="H617"/>
      <c r="I617" s="19">
        <f>-IFERROR(VLOOKUP(C617,SIRCUPA!$A$21:$H$221,8,0),0)</f>
        <v>0</v>
      </c>
      <c r="J617" s="86">
        <f>-IFERROR(VLOOKUP(C617,SIRTAC!$A$16:$H$1458,8,0),0)</f>
        <v>-342</v>
      </c>
      <c r="K617" s="86">
        <f>-IFERROR(VLOOKUP(C617,Gastos!$A$9:$J$1451,10,0),0)</f>
        <v>-331.74</v>
      </c>
      <c r="L617" s="86">
        <f>-IFERROR(VLOOKUP(C617,IDC!$A$20:$H$1763,8,0),0)</f>
        <v>-205.2</v>
      </c>
      <c r="M617" s="95">
        <f t="shared" si="19"/>
        <v>34199.999999999993</v>
      </c>
      <c r="O617" s="1"/>
    </row>
    <row r="618" spans="1:15" hidden="1">
      <c r="A618" s="1" t="s">
        <v>636</v>
      </c>
      <c r="B618" s="1" t="s">
        <v>15</v>
      </c>
      <c r="C618" s="71">
        <v>129457594142</v>
      </c>
      <c r="D618" s="3">
        <v>4676.6400000000003</v>
      </c>
      <c r="E618" s="3">
        <v>9834199.9299999997</v>
      </c>
      <c r="F618" s="1" t="s">
        <v>3065</v>
      </c>
      <c r="G618"/>
      <c r="H618"/>
      <c r="I618" s="19">
        <f>-IFERROR(VLOOKUP(C618,SIRCUPA!$A$21:$H$221,8,0),0)</f>
        <v>0</v>
      </c>
      <c r="J618" s="86">
        <f>-IFERROR(VLOOKUP(C618,SIRTAC!$A$16:$H$1458,8,0),0)</f>
        <v>-48</v>
      </c>
      <c r="K618" s="86">
        <f>-IFERROR(VLOOKUP(C618,Gastos!$A$9:$J$1451,10,0),0)</f>
        <v>-46.56</v>
      </c>
      <c r="L618" s="86">
        <f>-IFERROR(VLOOKUP(C618,IDC!$A$20:$H$1763,8,0),0)</f>
        <v>-28.8</v>
      </c>
      <c r="M618" s="95">
        <f t="shared" si="19"/>
        <v>4800.0000000000009</v>
      </c>
      <c r="O618" s="1"/>
    </row>
    <row r="619" spans="1:15" hidden="1">
      <c r="A619" s="1" t="s">
        <v>636</v>
      </c>
      <c r="B619" s="1" t="s">
        <v>15</v>
      </c>
      <c r="C619" s="71">
        <v>128887204983</v>
      </c>
      <c r="D619" s="3">
        <v>9158.42</v>
      </c>
      <c r="E619" s="3">
        <v>9843358.3499999996</v>
      </c>
      <c r="F619" s="1" t="s">
        <v>3065</v>
      </c>
      <c r="G619"/>
      <c r="H619"/>
      <c r="I619" s="19">
        <f>-IFERROR(VLOOKUP(C619,SIRCUPA!$A$21:$H$221,8,0),0)</f>
        <v>0</v>
      </c>
      <c r="J619" s="86">
        <f>-IFERROR(VLOOKUP(C619,SIRTAC!$A$16:$H$1458,8,0),0)</f>
        <v>-94</v>
      </c>
      <c r="K619" s="86">
        <f>-IFERROR(VLOOKUP(C619,Gastos!$A$9:$J$1451,10,0),0)</f>
        <v>-91.18</v>
      </c>
      <c r="L619" s="86">
        <f>-IFERROR(VLOOKUP(C619,IDC!$A$20:$H$1763,8,0),0)</f>
        <v>-56.4</v>
      </c>
      <c r="M619" s="95">
        <f t="shared" si="19"/>
        <v>9400</v>
      </c>
      <c r="O619" s="1"/>
    </row>
    <row r="620" spans="1:15" hidden="1">
      <c r="A620" s="1" t="s">
        <v>636</v>
      </c>
      <c r="B620" s="1" t="s">
        <v>15</v>
      </c>
      <c r="C620" s="71">
        <v>129461153768</v>
      </c>
      <c r="D620" s="3">
        <v>4676.6400000000003</v>
      </c>
      <c r="E620" s="3">
        <v>9848034.9900000002</v>
      </c>
      <c r="F620" s="1" t="s">
        <v>3065</v>
      </c>
      <c r="G620"/>
      <c r="H620"/>
      <c r="I620" s="19">
        <f>-IFERROR(VLOOKUP(C620,SIRCUPA!$A$21:$H$221,8,0),0)</f>
        <v>0</v>
      </c>
      <c r="J620" s="86">
        <f>-IFERROR(VLOOKUP(C620,SIRTAC!$A$16:$H$1458,8,0),0)</f>
        <v>-48</v>
      </c>
      <c r="K620" s="86">
        <f>-IFERROR(VLOOKUP(C620,Gastos!$A$9:$J$1451,10,0),0)</f>
        <v>-46.56</v>
      </c>
      <c r="L620" s="86">
        <f>-IFERROR(VLOOKUP(C620,IDC!$A$20:$H$1763,8,0),0)</f>
        <v>-28.8</v>
      </c>
      <c r="M620" s="95">
        <f t="shared" si="19"/>
        <v>4800.0000000000009</v>
      </c>
      <c r="O620" s="1"/>
    </row>
    <row r="621" spans="1:15" hidden="1">
      <c r="A621" s="1" t="s">
        <v>636</v>
      </c>
      <c r="B621" s="1" t="s">
        <v>15</v>
      </c>
      <c r="C621" s="71">
        <v>129462582556</v>
      </c>
      <c r="D621" s="3">
        <v>8184.12</v>
      </c>
      <c r="E621" s="3">
        <v>9856219.1099999994</v>
      </c>
      <c r="F621" s="1" t="s">
        <v>3065</v>
      </c>
      <c r="G621"/>
      <c r="H621"/>
      <c r="I621" s="19">
        <f>-IFERROR(VLOOKUP(C621,SIRCUPA!$A$21:$H$221,8,0),0)</f>
        <v>0</v>
      </c>
      <c r="J621" s="86">
        <f>-IFERROR(VLOOKUP(C621,SIRTAC!$A$16:$H$1458,8,0),0)</f>
        <v>-84</v>
      </c>
      <c r="K621" s="86">
        <f>-IFERROR(VLOOKUP(C621,Gastos!$A$9:$J$1451,10,0),0)</f>
        <v>-81.48</v>
      </c>
      <c r="L621" s="86">
        <f>-IFERROR(VLOOKUP(C621,IDC!$A$20:$H$1763,8,0),0)</f>
        <v>-50.4</v>
      </c>
      <c r="M621" s="95">
        <f t="shared" si="19"/>
        <v>8399.9999999999982</v>
      </c>
      <c r="O621" s="1"/>
    </row>
    <row r="622" spans="1:15" hidden="1">
      <c r="A622" s="1" t="s">
        <v>636</v>
      </c>
      <c r="B622" s="1" t="s">
        <v>714</v>
      </c>
      <c r="C622" s="71">
        <v>129462536948</v>
      </c>
      <c r="D622" s="2">
        <v>411.18</v>
      </c>
      <c r="E622" s="3">
        <v>9856630.2899999991</v>
      </c>
      <c r="F622" s="1" t="s">
        <v>3065</v>
      </c>
      <c r="G622"/>
      <c r="H622"/>
      <c r="I622" s="19">
        <f>-IFERROR(VLOOKUP(C622,SIRCUPA!$A$21:$H$221,8,0),0)</f>
        <v>-6.3</v>
      </c>
      <c r="J622" s="86">
        <f>-IFERROR(VLOOKUP(C622,SIRTAC!$A$16:$H$1458,8,0),0)</f>
        <v>0</v>
      </c>
      <c r="K622" s="86">
        <f>-IFERROR(VLOOKUP(C622,Gastos!$A$9:$J$1451,10,0),0)</f>
        <v>0</v>
      </c>
      <c r="L622" s="86">
        <f>-IFERROR(VLOOKUP(C622,IDC!$A$20:$H$1763,8,0),0)</f>
        <v>-2.52</v>
      </c>
      <c r="M622" s="95">
        <f t="shared" ref="M622:M653" si="20">+D622-I622-J622-K622-L622</f>
        <v>420</v>
      </c>
      <c r="O622" s="1"/>
    </row>
    <row r="623" spans="1:15" hidden="1">
      <c r="A623" s="1" t="s">
        <v>636</v>
      </c>
      <c r="B623" s="1" t="s">
        <v>15</v>
      </c>
      <c r="C623" s="71">
        <v>128892698657</v>
      </c>
      <c r="D623" s="3">
        <v>21044.880000000001</v>
      </c>
      <c r="E623" s="3">
        <v>9877675.1699999999</v>
      </c>
      <c r="F623" s="1" t="s">
        <v>3065</v>
      </c>
      <c r="G623"/>
      <c r="H623"/>
      <c r="I623" s="19">
        <f>-IFERROR(VLOOKUP(C623,SIRCUPA!$A$21:$H$221,8,0),0)</f>
        <v>0</v>
      </c>
      <c r="J623" s="86">
        <f>-IFERROR(VLOOKUP(C623,SIRTAC!$A$16:$H$1458,8,0),0)</f>
        <v>-216</v>
      </c>
      <c r="K623" s="86">
        <f>-IFERROR(VLOOKUP(C623,Gastos!$A$9:$J$1451,10,0),0)</f>
        <v>-209.52</v>
      </c>
      <c r="L623" s="86">
        <f>-IFERROR(VLOOKUP(C623,IDC!$A$20:$H$1763,8,0),0)</f>
        <v>-129.6</v>
      </c>
      <c r="M623" s="95">
        <f t="shared" si="20"/>
        <v>21600</v>
      </c>
      <c r="O623" s="1"/>
    </row>
    <row r="624" spans="1:15" hidden="1">
      <c r="A624" s="1" t="s">
        <v>636</v>
      </c>
      <c r="B624" s="1" t="s">
        <v>15</v>
      </c>
      <c r="C624" s="71">
        <v>129466450092</v>
      </c>
      <c r="D624" s="3">
        <v>23423.82</v>
      </c>
      <c r="E624" s="3">
        <v>9901098.9900000002</v>
      </c>
      <c r="F624" s="1" t="s">
        <v>3065</v>
      </c>
      <c r="G624"/>
      <c r="H624"/>
      <c r="I624" s="19">
        <f>-IFERROR(VLOOKUP(C624,SIRCUPA!$A$21:$H$221,8,0),0)</f>
        <v>0</v>
      </c>
      <c r="J624" s="86">
        <f>-IFERROR(VLOOKUP(C624,SIRTAC!$A$16:$H$1458,8,0),0)</f>
        <v>-258</v>
      </c>
      <c r="K624" s="86">
        <f>-IFERROR(VLOOKUP(C624,Gastos!$A$9:$J$1451,10,0),0)</f>
        <v>-1963.38</v>
      </c>
      <c r="L624" s="86">
        <f>-IFERROR(VLOOKUP(C624,IDC!$A$20:$H$1763,8,0),0)</f>
        <v>-154.80000000000001</v>
      </c>
      <c r="M624" s="95">
        <f t="shared" si="20"/>
        <v>25800</v>
      </c>
      <c r="O624" s="1"/>
    </row>
    <row r="625" spans="1:15" hidden="1">
      <c r="A625" s="1" t="s">
        <v>636</v>
      </c>
      <c r="B625" s="1" t="s">
        <v>192</v>
      </c>
      <c r="C625" s="71">
        <v>128893710093</v>
      </c>
      <c r="D625" s="3">
        <v>1262.9100000000001</v>
      </c>
      <c r="E625" s="3">
        <v>9902361.9000000004</v>
      </c>
      <c r="F625" s="1" t="s">
        <v>3065</v>
      </c>
      <c r="G625"/>
      <c r="H625"/>
      <c r="I625" s="19">
        <f>-IFERROR(VLOOKUP(C625,SIRCUPA!$A$21:$H$221,8,0),0)</f>
        <v>-19.350000000000001</v>
      </c>
      <c r="J625" s="86">
        <f>-IFERROR(VLOOKUP(C625,SIRTAC!$A$16:$H$1458,8,0),0)</f>
        <v>0</v>
      </c>
      <c r="K625" s="86">
        <f>-IFERROR(VLOOKUP(C625,Gastos!$A$9:$J$1451,10,0),0)</f>
        <v>0</v>
      </c>
      <c r="L625" s="86">
        <f>-IFERROR(VLOOKUP(C625,IDC!$A$20:$H$1763,8,0),0)</f>
        <v>-7.74</v>
      </c>
      <c r="M625" s="95">
        <f t="shared" si="20"/>
        <v>1290</v>
      </c>
      <c r="O625" s="1"/>
    </row>
    <row r="626" spans="1:15" hidden="1">
      <c r="A626" s="1" t="s">
        <v>636</v>
      </c>
      <c r="B626" s="1" t="s">
        <v>15</v>
      </c>
      <c r="C626" s="71">
        <v>128896844399</v>
      </c>
      <c r="D626" s="3">
        <v>11301.88</v>
      </c>
      <c r="E626" s="3">
        <v>9913663.7799999993</v>
      </c>
      <c r="F626" s="1" t="s">
        <v>3065</v>
      </c>
      <c r="G626"/>
      <c r="H626"/>
      <c r="I626" s="19">
        <f>-IFERROR(VLOOKUP(C626,SIRCUPA!$A$21:$H$221,8,0),0)</f>
        <v>0</v>
      </c>
      <c r="J626" s="86">
        <f>-IFERROR(VLOOKUP(C626,SIRTAC!$A$16:$H$1458,8,0),0)</f>
        <v>-116</v>
      </c>
      <c r="K626" s="86">
        <f>-IFERROR(VLOOKUP(C626,Gastos!$A$9:$J$1451,10,0),0)</f>
        <v>-112.52</v>
      </c>
      <c r="L626" s="86">
        <f>-IFERROR(VLOOKUP(C626,IDC!$A$20:$H$1763,8,0),0)</f>
        <v>-69.599999999999994</v>
      </c>
      <c r="M626" s="95">
        <f t="shared" si="20"/>
        <v>11600</v>
      </c>
      <c r="O626" s="1"/>
    </row>
    <row r="627" spans="1:15" hidden="1">
      <c r="A627" s="1" t="s">
        <v>636</v>
      </c>
      <c r="B627" s="1" t="s">
        <v>15</v>
      </c>
      <c r="C627" s="71">
        <v>129470560460</v>
      </c>
      <c r="D627" s="3">
        <v>72995.16</v>
      </c>
      <c r="E627" s="3">
        <v>9986658.9399999995</v>
      </c>
      <c r="F627" s="1" t="s">
        <v>3065</v>
      </c>
      <c r="G627"/>
      <c r="H627"/>
      <c r="I627" s="19">
        <f>-IFERROR(VLOOKUP(C627,SIRCUPA!$A$21:$H$221,8,0),0)</f>
        <v>0</v>
      </c>
      <c r="J627" s="86">
        <f>-IFERROR(VLOOKUP(C627,SIRTAC!$A$16:$H$1458,8,0),0)</f>
        <v>-804</v>
      </c>
      <c r="K627" s="86">
        <f>-IFERROR(VLOOKUP(C627,Gastos!$A$9:$J$1451,10,0),0)</f>
        <v>-6118.44</v>
      </c>
      <c r="L627" s="86">
        <f>-IFERROR(VLOOKUP(C627,IDC!$A$20:$H$1763,8,0),0)</f>
        <v>-482.4</v>
      </c>
      <c r="M627" s="95">
        <f t="shared" si="20"/>
        <v>80400</v>
      </c>
      <c r="O627" s="1"/>
    </row>
    <row r="628" spans="1:15" hidden="1">
      <c r="A628" s="1" t="s">
        <v>636</v>
      </c>
      <c r="B628" s="1" t="s">
        <v>15</v>
      </c>
      <c r="C628" s="71">
        <v>128897966025</v>
      </c>
      <c r="D628" s="3">
        <v>9450.7099999999991</v>
      </c>
      <c r="E628" s="3">
        <v>9996109.6500000004</v>
      </c>
      <c r="F628" s="1" t="s">
        <v>3065</v>
      </c>
      <c r="G628"/>
      <c r="H628"/>
      <c r="I628" s="19">
        <f>-IFERROR(VLOOKUP(C628,SIRCUPA!$A$21:$H$221,8,0),0)</f>
        <v>0</v>
      </c>
      <c r="J628" s="86">
        <f>-IFERROR(VLOOKUP(C628,SIRTAC!$A$16:$H$1458,8,0),0)</f>
        <v>-97</v>
      </c>
      <c r="K628" s="86">
        <f>-IFERROR(VLOOKUP(C628,Gastos!$A$9:$J$1451,10,0),0)</f>
        <v>-94.09</v>
      </c>
      <c r="L628" s="86">
        <f>-IFERROR(VLOOKUP(C628,IDC!$A$20:$H$1763,8,0),0)</f>
        <v>-58.2</v>
      </c>
      <c r="M628" s="95">
        <f t="shared" si="20"/>
        <v>9700</v>
      </c>
      <c r="O628" s="1"/>
    </row>
    <row r="629" spans="1:15" hidden="1">
      <c r="A629" s="1" t="s">
        <v>636</v>
      </c>
      <c r="B629" s="1" t="s">
        <v>15</v>
      </c>
      <c r="C629" s="71">
        <v>129475831332</v>
      </c>
      <c r="D629" s="3">
        <v>4189.49</v>
      </c>
      <c r="E629" s="3">
        <v>10000299.140000001</v>
      </c>
      <c r="F629" s="1" t="s">
        <v>3065</v>
      </c>
      <c r="G629"/>
      <c r="H629"/>
      <c r="I629" s="19">
        <f>-IFERROR(VLOOKUP(C629,SIRCUPA!$A$21:$H$221,8,0),0)</f>
        <v>0</v>
      </c>
      <c r="J629" s="86">
        <f>-IFERROR(VLOOKUP(C629,SIRTAC!$A$16:$H$1458,8,0),0)</f>
        <v>-43</v>
      </c>
      <c r="K629" s="86">
        <f>-IFERROR(VLOOKUP(C629,Gastos!$A$9:$J$1451,10,0),0)</f>
        <v>-41.71</v>
      </c>
      <c r="L629" s="86">
        <f>-IFERROR(VLOOKUP(C629,IDC!$A$20:$H$1763,8,0),0)</f>
        <v>-25.8</v>
      </c>
      <c r="M629" s="95">
        <f t="shared" si="20"/>
        <v>4300</v>
      </c>
      <c r="O629" s="1"/>
    </row>
    <row r="630" spans="1:15" hidden="1">
      <c r="A630" s="1" t="s">
        <v>636</v>
      </c>
      <c r="B630" s="1" t="s">
        <v>723</v>
      </c>
      <c r="C630" s="71">
        <v>129475789772</v>
      </c>
      <c r="D630" s="2">
        <v>210.48</v>
      </c>
      <c r="E630" s="3">
        <v>10000509.619999999</v>
      </c>
      <c r="F630" s="1" t="s">
        <v>3065</v>
      </c>
      <c r="G630"/>
      <c r="H630"/>
      <c r="I630" s="19">
        <f>-IFERROR(VLOOKUP(C630,SIRCUPA!$A$21:$H$221,8,0),0)</f>
        <v>-3.23</v>
      </c>
      <c r="J630" s="86">
        <f>-IFERROR(VLOOKUP(C630,SIRTAC!$A$16:$H$1458,8,0),0)</f>
        <v>0</v>
      </c>
      <c r="K630" s="86">
        <f>-IFERROR(VLOOKUP(C630,Gastos!$A$9:$J$1451,10,0),0)</f>
        <v>0</v>
      </c>
      <c r="L630" s="86">
        <f>-IFERROR(VLOOKUP(C630,IDC!$A$20:$H$1763,8,0),0)</f>
        <v>-1.29</v>
      </c>
      <c r="M630" s="95">
        <f t="shared" si="20"/>
        <v>214.99999999999997</v>
      </c>
      <c r="O630" s="1"/>
    </row>
    <row r="631" spans="1:15" hidden="1">
      <c r="A631" s="1" t="s">
        <v>636</v>
      </c>
      <c r="B631" s="1" t="s">
        <v>15</v>
      </c>
      <c r="C631" s="71">
        <v>129476370902</v>
      </c>
      <c r="D631" s="3">
        <v>18706.560000000001</v>
      </c>
      <c r="E631" s="3">
        <v>10019216.18</v>
      </c>
      <c r="F631" s="1" t="s">
        <v>3065</v>
      </c>
      <c r="G631"/>
      <c r="H631"/>
      <c r="I631" s="19">
        <f>-IFERROR(VLOOKUP(C631,SIRCUPA!$A$21:$H$221,8,0),0)</f>
        <v>0</v>
      </c>
      <c r="J631" s="86">
        <f>-IFERROR(VLOOKUP(C631,SIRTAC!$A$16:$H$1458,8,0),0)</f>
        <v>-192</v>
      </c>
      <c r="K631" s="86">
        <f>-IFERROR(VLOOKUP(C631,Gastos!$A$9:$J$1451,10,0),0)</f>
        <v>-186.24</v>
      </c>
      <c r="L631" s="86">
        <f>-IFERROR(VLOOKUP(C631,IDC!$A$20:$H$1763,8,0),0)</f>
        <v>-115.2</v>
      </c>
      <c r="M631" s="95">
        <f t="shared" si="20"/>
        <v>19200.000000000004</v>
      </c>
      <c r="O631" s="1"/>
    </row>
    <row r="632" spans="1:15" hidden="1">
      <c r="A632" s="1" t="s">
        <v>636</v>
      </c>
      <c r="B632" s="1" t="s">
        <v>15</v>
      </c>
      <c r="C632" s="71">
        <v>128906379869</v>
      </c>
      <c r="D632" s="3">
        <v>22483.86</v>
      </c>
      <c r="E632" s="3">
        <v>10041700.039999999</v>
      </c>
      <c r="F632" s="1" t="s">
        <v>3065</v>
      </c>
      <c r="G632"/>
      <c r="H632"/>
      <c r="I632" s="19">
        <f>-IFERROR(VLOOKUP(C632,SIRCUPA!$A$21:$H$221,8,0),0)</f>
        <v>0</v>
      </c>
      <c r="J632" s="86">
        <f>-IFERROR(VLOOKUP(C632,SIRTAC!$A$16:$H$1458,8,0),0)</f>
        <v>-238</v>
      </c>
      <c r="K632" s="86">
        <f>-IFERROR(VLOOKUP(C632,Gastos!$A$9:$J$1451,10,0),0)</f>
        <v>-935.34</v>
      </c>
      <c r="L632" s="86">
        <f>-IFERROR(VLOOKUP(C632,IDC!$A$20:$H$1763,8,0),0)</f>
        <v>-142.80000000000001</v>
      </c>
      <c r="M632" s="95">
        <f t="shared" si="20"/>
        <v>23800</v>
      </c>
      <c r="O632" s="1"/>
    </row>
    <row r="633" spans="1:15" hidden="1">
      <c r="A633" s="1" t="s">
        <v>636</v>
      </c>
      <c r="B633" s="1" t="s">
        <v>15</v>
      </c>
      <c r="C633" s="71">
        <v>128907134521</v>
      </c>
      <c r="D633" s="3">
        <v>9548.14</v>
      </c>
      <c r="E633" s="3">
        <v>10051248.18</v>
      </c>
      <c r="F633" s="1" t="s">
        <v>3065</v>
      </c>
      <c r="G633"/>
      <c r="H633"/>
      <c r="I633" s="19">
        <f>-IFERROR(VLOOKUP(C633,SIRCUPA!$A$21:$H$221,8,0),0)</f>
        <v>0</v>
      </c>
      <c r="J633" s="86">
        <f>-IFERROR(VLOOKUP(C633,SIRTAC!$A$16:$H$1458,8,0),0)</f>
        <v>-98</v>
      </c>
      <c r="K633" s="86">
        <f>-IFERROR(VLOOKUP(C633,Gastos!$A$9:$J$1451,10,0),0)</f>
        <v>-95.06</v>
      </c>
      <c r="L633" s="86">
        <f>-IFERROR(VLOOKUP(C633,IDC!$A$20:$H$1763,8,0),0)</f>
        <v>-58.8</v>
      </c>
      <c r="M633" s="95">
        <f t="shared" si="20"/>
        <v>9799.9999999999982</v>
      </c>
      <c r="O633" s="1"/>
    </row>
    <row r="634" spans="1:15" hidden="1">
      <c r="A634" s="1" t="s">
        <v>636</v>
      </c>
      <c r="B634" s="1" t="s">
        <v>15</v>
      </c>
      <c r="C634" s="71">
        <v>128907143061</v>
      </c>
      <c r="D634" s="3">
        <v>49464.22</v>
      </c>
      <c r="E634" s="3">
        <v>10100712.4</v>
      </c>
      <c r="F634" s="1" t="s">
        <v>3065</v>
      </c>
      <c r="G634"/>
      <c r="H634"/>
      <c r="I634" s="19">
        <f>-IFERROR(VLOOKUP(C634,SIRCUPA!$A$21:$H$221,8,0),0)</f>
        <v>0</v>
      </c>
      <c r="J634" s="86">
        <f>-IFERROR(VLOOKUP(C634,SIRTAC!$A$16:$H$1458,8,0),0)</f>
        <v>-527</v>
      </c>
      <c r="K634" s="86">
        <f>-IFERROR(VLOOKUP(C634,Gastos!$A$9:$J$1451,10,0),0)</f>
        <v>-2392.58</v>
      </c>
      <c r="L634" s="86">
        <f>-IFERROR(VLOOKUP(C634,IDC!$A$20:$H$1763,8,0),0)</f>
        <v>-316.2</v>
      </c>
      <c r="M634" s="95">
        <f t="shared" si="20"/>
        <v>52700</v>
      </c>
      <c r="O634" s="1"/>
    </row>
    <row r="635" spans="1:15" hidden="1">
      <c r="A635" s="1" t="s">
        <v>636</v>
      </c>
      <c r="B635" s="1" t="s">
        <v>15</v>
      </c>
      <c r="C635" s="71">
        <v>129481762152</v>
      </c>
      <c r="D635" s="3">
        <v>13603.68</v>
      </c>
      <c r="E635" s="3">
        <v>10114316.08</v>
      </c>
      <c r="F635" s="1" t="s">
        <v>3065</v>
      </c>
      <c r="G635"/>
      <c r="H635"/>
      <c r="I635" s="19">
        <f>-IFERROR(VLOOKUP(C635,SIRCUPA!$A$21:$H$221,8,0),0)</f>
        <v>0</v>
      </c>
      <c r="J635" s="86">
        <f>-IFERROR(VLOOKUP(C635,SIRTAC!$A$16:$H$1458,8,0),0)</f>
        <v>-144</v>
      </c>
      <c r="K635" s="86">
        <f>-IFERROR(VLOOKUP(C635,Gastos!$A$9:$J$1451,10,0),0)</f>
        <v>-565.91999999999996</v>
      </c>
      <c r="L635" s="86">
        <f>-IFERROR(VLOOKUP(C635,IDC!$A$20:$H$1763,8,0),0)</f>
        <v>-86.4</v>
      </c>
      <c r="M635" s="95">
        <f t="shared" si="20"/>
        <v>14400</v>
      </c>
      <c r="O635" s="1"/>
    </row>
    <row r="636" spans="1:15" hidden="1">
      <c r="A636" s="1" t="s">
        <v>636</v>
      </c>
      <c r="B636" s="1" t="s">
        <v>15</v>
      </c>
      <c r="C636" s="71">
        <v>129483019148</v>
      </c>
      <c r="D636" s="3">
        <v>60466.14</v>
      </c>
      <c r="E636" s="3">
        <v>10174782.220000001</v>
      </c>
      <c r="F636" s="1" t="s">
        <v>3065</v>
      </c>
      <c r="G636"/>
      <c r="H636"/>
      <c r="I636" s="19">
        <f>-IFERROR(VLOOKUP(C636,SIRCUPA!$A$21:$H$221,8,0),0)</f>
        <v>0</v>
      </c>
      <c r="J636" s="86">
        <f>-IFERROR(VLOOKUP(C636,SIRTAC!$A$16:$H$1458,8,0),0)</f>
        <v>-666</v>
      </c>
      <c r="K636" s="86">
        <f>-IFERROR(VLOOKUP(C636,Gastos!$A$9:$J$1451,10,0),0)</f>
        <v>-5068.26</v>
      </c>
      <c r="L636" s="86">
        <f>-IFERROR(VLOOKUP(C636,IDC!$A$20:$H$1763,8,0),0)</f>
        <v>-399.6</v>
      </c>
      <c r="M636" s="95">
        <f t="shared" si="20"/>
        <v>66600</v>
      </c>
      <c r="O636" s="1"/>
    </row>
    <row r="637" spans="1:15" hidden="1">
      <c r="A637" s="1" t="s">
        <v>636</v>
      </c>
      <c r="B637" s="1" t="s">
        <v>15</v>
      </c>
      <c r="C637" s="71">
        <v>128910094011</v>
      </c>
      <c r="D637" s="3">
        <v>105770.35</v>
      </c>
      <c r="E637" s="3">
        <v>10280552.57</v>
      </c>
      <c r="F637" s="1" t="s">
        <v>3065</v>
      </c>
      <c r="G637"/>
      <c r="H637"/>
      <c r="I637" s="19">
        <f>-IFERROR(VLOOKUP(C637,SIRCUPA!$A$21:$H$221,8,0),0)</f>
        <v>0</v>
      </c>
      <c r="J637" s="86">
        <f>-IFERROR(VLOOKUP(C637,SIRTAC!$A$16:$H$1458,8,0),0)</f>
        <v>-1165</v>
      </c>
      <c r="K637" s="86">
        <f>-IFERROR(VLOOKUP(C637,Gastos!$A$9:$J$1451,10,0),0)</f>
        <v>-8865.65</v>
      </c>
      <c r="L637" s="86">
        <f>-IFERROR(VLOOKUP(C637,IDC!$A$20:$H$1763,8,0),0)</f>
        <v>-699</v>
      </c>
      <c r="M637" s="95">
        <f t="shared" si="20"/>
        <v>116500</v>
      </c>
      <c r="O637" s="1"/>
    </row>
    <row r="638" spans="1:15" hidden="1">
      <c r="A638" s="1" t="s">
        <v>636</v>
      </c>
      <c r="B638" s="1" t="s">
        <v>15</v>
      </c>
      <c r="C638" s="71">
        <v>128913553137</v>
      </c>
      <c r="D638" s="3">
        <v>49662.13</v>
      </c>
      <c r="E638" s="3">
        <v>10330214.699999999</v>
      </c>
      <c r="F638" s="1" t="s">
        <v>3065</v>
      </c>
      <c r="G638"/>
      <c r="H638"/>
      <c r="I638" s="19">
        <f>-IFERROR(VLOOKUP(C638,SIRCUPA!$A$21:$H$221,8,0),0)</f>
        <v>0</v>
      </c>
      <c r="J638" s="86">
        <f>-IFERROR(VLOOKUP(C638,SIRTAC!$A$16:$H$1458,8,0),0)</f>
        <v>-547</v>
      </c>
      <c r="K638" s="86">
        <f>-IFERROR(VLOOKUP(C638,Gastos!$A$9:$J$1451,10,0),0)</f>
        <v>-4162.67</v>
      </c>
      <c r="L638" s="86">
        <f>-IFERROR(VLOOKUP(C638,IDC!$A$20:$H$1763,8,0),0)</f>
        <v>-328.2</v>
      </c>
      <c r="M638" s="95">
        <f t="shared" si="20"/>
        <v>54699.999999999993</v>
      </c>
      <c r="O638" s="1"/>
    </row>
    <row r="639" spans="1:15" hidden="1">
      <c r="A639" s="1" t="s">
        <v>636</v>
      </c>
      <c r="B639" s="1" t="s">
        <v>15</v>
      </c>
      <c r="C639" s="71">
        <v>128913776569</v>
      </c>
      <c r="D639" s="3">
        <v>30323.86</v>
      </c>
      <c r="E639" s="3">
        <v>10360538.560000001</v>
      </c>
      <c r="F639" s="1" t="s">
        <v>3065</v>
      </c>
      <c r="G639"/>
      <c r="H639"/>
      <c r="I639" s="19">
        <f>-IFERROR(VLOOKUP(C639,SIRCUPA!$A$21:$H$221,8,0),0)</f>
        <v>0</v>
      </c>
      <c r="J639" s="86">
        <f>-IFERROR(VLOOKUP(C639,SIRTAC!$A$16:$H$1458,8,0),0)</f>
        <v>-334</v>
      </c>
      <c r="K639" s="86">
        <f>-IFERROR(VLOOKUP(C639,Gastos!$A$9:$J$1451,10,0),0)</f>
        <v>-2541.7399999999998</v>
      </c>
      <c r="L639" s="86">
        <f>-IFERROR(VLOOKUP(C639,IDC!$A$20:$H$1763,8,0),0)</f>
        <v>-200.4</v>
      </c>
      <c r="M639" s="95">
        <f t="shared" si="20"/>
        <v>33400</v>
      </c>
      <c r="O639" s="1"/>
    </row>
    <row r="640" spans="1:15" hidden="1">
      <c r="A640" s="1" t="s">
        <v>636</v>
      </c>
      <c r="B640" s="1" t="s">
        <v>15</v>
      </c>
      <c r="C640" s="71">
        <v>129486752692</v>
      </c>
      <c r="D640" s="3">
        <v>19933.169999999998</v>
      </c>
      <c r="E640" s="3">
        <v>10380471.73</v>
      </c>
      <c r="F640" s="1" t="s">
        <v>3065</v>
      </c>
      <c r="G640"/>
      <c r="H640"/>
      <c r="I640" s="19">
        <f>-IFERROR(VLOOKUP(C640,SIRCUPA!$A$21:$H$221,8,0),0)</f>
        <v>0</v>
      </c>
      <c r="J640" s="86">
        <f>-IFERROR(VLOOKUP(C640,SIRTAC!$A$16:$H$1458,8,0),0)</f>
        <v>-211</v>
      </c>
      <c r="K640" s="86">
        <f>-IFERROR(VLOOKUP(C640,Gastos!$A$9:$J$1451,10,0),0)</f>
        <v>-829.23</v>
      </c>
      <c r="L640" s="86">
        <f>-IFERROR(VLOOKUP(C640,IDC!$A$20:$H$1763,8,0),0)</f>
        <v>-126.6</v>
      </c>
      <c r="M640" s="95">
        <f t="shared" si="20"/>
        <v>21099.999999999996</v>
      </c>
      <c r="O640" s="1"/>
    </row>
    <row r="641" spans="1:15" hidden="1">
      <c r="A641" s="1" t="s">
        <v>636</v>
      </c>
      <c r="B641" s="1" t="s">
        <v>15</v>
      </c>
      <c r="C641" s="71">
        <v>129486918346</v>
      </c>
      <c r="D641" s="3">
        <v>4599.1400000000003</v>
      </c>
      <c r="E641" s="3">
        <v>10385070.869999999</v>
      </c>
      <c r="F641" s="1" t="s">
        <v>3065</v>
      </c>
      <c r="G641"/>
      <c r="H641"/>
      <c r="I641" s="19">
        <f>-IFERROR(VLOOKUP(C641,SIRCUPA!$A$21:$H$221,8,0),0)</f>
        <v>0</v>
      </c>
      <c r="J641" s="86">
        <f>-IFERROR(VLOOKUP(C641,SIRTAC!$A$16:$H$1458,8,0),0)</f>
        <v>-49</v>
      </c>
      <c r="K641" s="86">
        <f>-IFERROR(VLOOKUP(C641,Gastos!$A$9:$J$1451,10,0),0)</f>
        <v>-222.46</v>
      </c>
      <c r="L641" s="86">
        <f>-IFERROR(VLOOKUP(C641,IDC!$A$20:$H$1763,8,0),0)</f>
        <v>-29.4</v>
      </c>
      <c r="M641" s="95">
        <f t="shared" si="20"/>
        <v>4900</v>
      </c>
      <c r="O641" s="1"/>
    </row>
    <row r="642" spans="1:15" hidden="1">
      <c r="A642" s="1" t="s">
        <v>636</v>
      </c>
      <c r="B642" s="1" t="s">
        <v>15</v>
      </c>
      <c r="C642" s="71">
        <v>128915102153</v>
      </c>
      <c r="D642" s="3">
        <v>24162.639999999999</v>
      </c>
      <c r="E642" s="3">
        <v>10409233.51</v>
      </c>
      <c r="F642" s="1" t="s">
        <v>3065</v>
      </c>
      <c r="G642"/>
      <c r="H642"/>
      <c r="I642" s="19">
        <f>-IFERROR(VLOOKUP(C642,SIRCUPA!$A$21:$H$221,8,0),0)</f>
        <v>0</v>
      </c>
      <c r="J642" s="86">
        <f>-IFERROR(VLOOKUP(C642,SIRTAC!$A$16:$H$1458,8,0),0)</f>
        <v>-248</v>
      </c>
      <c r="K642" s="86">
        <f>-IFERROR(VLOOKUP(C642,Gastos!$A$9:$J$1451,10,0),0)</f>
        <v>-240.56</v>
      </c>
      <c r="L642" s="86">
        <f>-IFERROR(VLOOKUP(C642,IDC!$A$20:$H$1763,8,0),0)</f>
        <v>-148.80000000000001</v>
      </c>
      <c r="M642" s="95">
        <f t="shared" si="20"/>
        <v>24800</v>
      </c>
      <c r="O642" s="1"/>
    </row>
    <row r="643" spans="1:15" hidden="1">
      <c r="A643" s="1" t="s">
        <v>636</v>
      </c>
      <c r="B643" s="1" t="s">
        <v>15</v>
      </c>
      <c r="C643" s="71">
        <v>129487356030</v>
      </c>
      <c r="D643" s="3">
        <v>47120.01</v>
      </c>
      <c r="E643" s="3">
        <v>10456353.52</v>
      </c>
      <c r="F643" s="1" t="s">
        <v>3065</v>
      </c>
      <c r="G643"/>
      <c r="H643"/>
      <c r="I643" s="19">
        <f>-IFERROR(VLOOKUP(C643,SIRCUPA!$A$21:$H$221,8,0),0)</f>
        <v>0</v>
      </c>
      <c r="J643" s="86">
        <f>-IFERROR(VLOOKUP(C643,SIRTAC!$A$16:$H$1458,8,0),0)</f>
        <v>-519</v>
      </c>
      <c r="K643" s="86">
        <f>-IFERROR(VLOOKUP(C643,Gastos!$A$9:$J$1451,10,0),0)</f>
        <v>-3949.59</v>
      </c>
      <c r="L643" s="86">
        <f>-IFERROR(VLOOKUP(C643,IDC!$A$20:$H$1763,8,0),0)</f>
        <v>-311.39999999999998</v>
      </c>
      <c r="M643" s="95">
        <f t="shared" si="20"/>
        <v>51900.000000000007</v>
      </c>
      <c r="O643" s="1"/>
    </row>
    <row r="644" spans="1:15" hidden="1">
      <c r="A644" s="1" t="s">
        <v>636</v>
      </c>
      <c r="B644" s="1" t="s">
        <v>15</v>
      </c>
      <c r="C644" s="71">
        <v>129487550932</v>
      </c>
      <c r="D644" s="3">
        <v>8715.84</v>
      </c>
      <c r="E644" s="3">
        <v>10465069.359999999</v>
      </c>
      <c r="F644" s="1" t="s">
        <v>3065</v>
      </c>
      <c r="G644"/>
      <c r="H644"/>
      <c r="I644" s="19">
        <f>-IFERROR(VLOOKUP(C644,SIRCUPA!$A$21:$H$221,8,0),0)</f>
        <v>0</v>
      </c>
      <c r="J644" s="86">
        <f>-IFERROR(VLOOKUP(C644,SIRTAC!$A$16:$H$1458,8,0),0)</f>
        <v>-96</v>
      </c>
      <c r="K644" s="86">
        <f>-IFERROR(VLOOKUP(C644,Gastos!$A$9:$J$1451,10,0),0)</f>
        <v>-730.56</v>
      </c>
      <c r="L644" s="86">
        <f>-IFERROR(VLOOKUP(C644,IDC!$A$20:$H$1763,8,0),0)</f>
        <v>-57.6</v>
      </c>
      <c r="M644" s="95">
        <f t="shared" si="20"/>
        <v>9600</v>
      </c>
      <c r="O644" s="1"/>
    </row>
    <row r="645" spans="1:15" hidden="1">
      <c r="A645" s="1" t="s">
        <v>636</v>
      </c>
      <c r="B645" s="1" t="s">
        <v>15</v>
      </c>
      <c r="C645" s="71">
        <v>129488848480</v>
      </c>
      <c r="D645" s="3">
        <v>14322.21</v>
      </c>
      <c r="E645" s="3">
        <v>10479391.57</v>
      </c>
      <c r="F645" s="1" t="s">
        <v>3065</v>
      </c>
      <c r="G645"/>
      <c r="H645"/>
      <c r="I645" s="19">
        <f>-IFERROR(VLOOKUP(C645,SIRCUPA!$A$21:$H$221,8,0),0)</f>
        <v>0</v>
      </c>
      <c r="J645" s="86">
        <f>-IFERROR(VLOOKUP(C645,SIRTAC!$A$16:$H$1458,8,0),0)</f>
        <v>-147</v>
      </c>
      <c r="K645" s="86">
        <f>-IFERROR(VLOOKUP(C645,Gastos!$A$9:$J$1451,10,0),0)</f>
        <v>-142.59</v>
      </c>
      <c r="L645" s="86">
        <f>-IFERROR(VLOOKUP(C645,IDC!$A$20:$H$1763,8,0),0)</f>
        <v>-88.2</v>
      </c>
      <c r="M645" s="95">
        <f t="shared" si="20"/>
        <v>14700</v>
      </c>
      <c r="O645" s="1"/>
    </row>
    <row r="646" spans="1:15" hidden="1">
      <c r="A646" s="1" t="s">
        <v>636</v>
      </c>
      <c r="B646" s="1" t="s">
        <v>15</v>
      </c>
      <c r="C646" s="71">
        <v>129489074570</v>
      </c>
      <c r="D646" s="3">
        <v>27872.53</v>
      </c>
      <c r="E646" s="3">
        <v>10507264.1</v>
      </c>
      <c r="F646" s="1" t="s">
        <v>3065</v>
      </c>
      <c r="G646"/>
      <c r="H646"/>
      <c r="I646" s="19">
        <f>-IFERROR(VLOOKUP(C646,SIRCUPA!$A$21:$H$221,8,0),0)</f>
        <v>0</v>
      </c>
      <c r="J646" s="86">
        <f>-IFERROR(VLOOKUP(C646,SIRTAC!$A$16:$H$1458,8,0),0)</f>
        <v>-307</v>
      </c>
      <c r="K646" s="86">
        <f>-IFERROR(VLOOKUP(C646,Gastos!$A$9:$J$1451,10,0),0)</f>
        <v>-2336.27</v>
      </c>
      <c r="L646" s="86">
        <f>-IFERROR(VLOOKUP(C646,IDC!$A$20:$H$1763,8,0),0)</f>
        <v>-184.2</v>
      </c>
      <c r="M646" s="95">
        <f t="shared" si="20"/>
        <v>30700</v>
      </c>
      <c r="O646" s="1"/>
    </row>
    <row r="647" spans="1:15" hidden="1">
      <c r="A647" s="1" t="s">
        <v>636</v>
      </c>
      <c r="B647" s="1" t="s">
        <v>15</v>
      </c>
      <c r="C647" s="71">
        <v>128916581093</v>
      </c>
      <c r="D647" s="3">
        <v>36146.53</v>
      </c>
      <c r="E647" s="3">
        <v>10543410.630000001</v>
      </c>
      <c r="F647" s="1" t="s">
        <v>3065</v>
      </c>
      <c r="G647"/>
      <c r="H647"/>
      <c r="I647" s="19">
        <f>-IFERROR(VLOOKUP(C647,SIRCUPA!$A$21:$H$221,8,0),0)</f>
        <v>0</v>
      </c>
      <c r="J647" s="86">
        <f>-IFERROR(VLOOKUP(C647,SIRTAC!$A$16:$H$1458,8,0),0)</f>
        <v>-371</v>
      </c>
      <c r="K647" s="86">
        <f>-IFERROR(VLOOKUP(C647,Gastos!$A$9:$J$1451,10,0),0)</f>
        <v>-359.87</v>
      </c>
      <c r="L647" s="86">
        <f>-IFERROR(VLOOKUP(C647,IDC!$A$20:$H$1763,8,0),0)</f>
        <v>-222.6</v>
      </c>
      <c r="M647" s="95">
        <f t="shared" si="20"/>
        <v>37100</v>
      </c>
      <c r="O647" s="1"/>
    </row>
    <row r="648" spans="1:15" hidden="1">
      <c r="A648" s="1" t="s">
        <v>636</v>
      </c>
      <c r="B648" s="1" t="s">
        <v>15</v>
      </c>
      <c r="C648" s="71">
        <v>129489255208</v>
      </c>
      <c r="D648" s="3">
        <v>34165.040000000001</v>
      </c>
      <c r="E648" s="3">
        <v>10577575.67</v>
      </c>
      <c r="F648" s="1" t="s">
        <v>3065</v>
      </c>
      <c r="G648"/>
      <c r="H648"/>
      <c r="I648" s="19">
        <f>-IFERROR(VLOOKUP(C648,SIRCUPA!$A$21:$H$221,8,0),0)</f>
        <v>0</v>
      </c>
      <c r="J648" s="86">
        <f>-IFERROR(VLOOKUP(C648,SIRTAC!$A$16:$H$1458,8,0),0)</f>
        <v>-364</v>
      </c>
      <c r="K648" s="86">
        <f>-IFERROR(VLOOKUP(C648,Gastos!$A$9:$J$1451,10,0),0)</f>
        <v>-1652.56</v>
      </c>
      <c r="L648" s="86">
        <f>-IFERROR(VLOOKUP(C648,IDC!$A$20:$H$1763,8,0),0)</f>
        <v>-218.4</v>
      </c>
      <c r="M648" s="95">
        <f t="shared" si="20"/>
        <v>36400</v>
      </c>
      <c r="O648" s="1"/>
    </row>
    <row r="649" spans="1:15" hidden="1">
      <c r="A649" s="1" t="s">
        <v>636</v>
      </c>
      <c r="B649" s="1" t="s">
        <v>15</v>
      </c>
      <c r="C649" s="71">
        <v>128916762757</v>
      </c>
      <c r="D649" s="3">
        <v>5650.94</v>
      </c>
      <c r="E649" s="3">
        <v>10583226.609999999</v>
      </c>
      <c r="F649" s="1" t="s">
        <v>3065</v>
      </c>
      <c r="G649"/>
      <c r="H649"/>
      <c r="I649" s="19">
        <f>-IFERROR(VLOOKUP(C649,SIRCUPA!$A$21:$H$221,8,0),0)</f>
        <v>0</v>
      </c>
      <c r="J649" s="86">
        <f>-IFERROR(VLOOKUP(C649,SIRTAC!$A$16:$H$1458,8,0),0)</f>
        <v>-58</v>
      </c>
      <c r="K649" s="86">
        <f>-IFERROR(VLOOKUP(C649,Gastos!$A$9:$J$1451,10,0),0)</f>
        <v>-56.26</v>
      </c>
      <c r="L649" s="86">
        <f>-IFERROR(VLOOKUP(C649,IDC!$A$20:$H$1763,8,0),0)</f>
        <v>-34.799999999999997</v>
      </c>
      <c r="M649" s="95">
        <f t="shared" si="20"/>
        <v>5800</v>
      </c>
      <c r="O649" s="1"/>
    </row>
    <row r="650" spans="1:15" hidden="1">
      <c r="A650" s="1" t="s">
        <v>636</v>
      </c>
      <c r="B650" s="1" t="s">
        <v>15</v>
      </c>
      <c r="C650" s="71">
        <v>128917530747</v>
      </c>
      <c r="D650" s="3">
        <v>48812.43</v>
      </c>
      <c r="E650" s="3">
        <v>10632039.039999999</v>
      </c>
      <c r="F650" s="1" t="s">
        <v>3065</v>
      </c>
      <c r="G650"/>
      <c r="H650"/>
      <c r="I650" s="19">
        <f>-IFERROR(VLOOKUP(C650,SIRCUPA!$A$21:$H$221,8,0),0)</f>
        <v>0</v>
      </c>
      <c r="J650" s="86">
        <f>-IFERROR(VLOOKUP(C650,SIRTAC!$A$16:$H$1458,8,0),0)</f>
        <v>-501</v>
      </c>
      <c r="K650" s="86">
        <f>-IFERROR(VLOOKUP(C650,Gastos!$A$9:$J$1451,10,0),0)</f>
        <v>-485.97</v>
      </c>
      <c r="L650" s="86">
        <f>-IFERROR(VLOOKUP(C650,IDC!$A$20:$H$1763,8,0),0)</f>
        <v>-300.60000000000002</v>
      </c>
      <c r="M650" s="95">
        <f t="shared" si="20"/>
        <v>50100</v>
      </c>
      <c r="O650" s="1"/>
    </row>
    <row r="651" spans="1:15" hidden="1">
      <c r="A651" s="1" t="s">
        <v>636</v>
      </c>
      <c r="B651" s="1" t="s">
        <v>15</v>
      </c>
      <c r="C651" s="71">
        <v>128917593137</v>
      </c>
      <c r="D651" s="3">
        <v>92512.12</v>
      </c>
      <c r="E651" s="3">
        <v>10724551.16</v>
      </c>
      <c r="F651" s="1" t="s">
        <v>3065</v>
      </c>
      <c r="G651"/>
      <c r="H651"/>
      <c r="I651" s="19">
        <f>-IFERROR(VLOOKUP(C651,SIRCUPA!$A$21:$H$221,8,0),0)</f>
        <v>0</v>
      </c>
      <c r="J651" s="86">
        <f>-IFERROR(VLOOKUP(C651,SIRTAC!$A$16:$H$1458,8,0),0)</f>
        <v>-956</v>
      </c>
      <c r="K651" s="86">
        <f>-IFERROR(VLOOKUP(C651,Gastos!$A$9:$J$1451,10,0),0)</f>
        <v>-1558.28</v>
      </c>
      <c r="L651" s="86">
        <f>-IFERROR(VLOOKUP(C651,IDC!$A$20:$H$1763,8,0),0)</f>
        <v>-573.6</v>
      </c>
      <c r="M651" s="95">
        <f t="shared" si="20"/>
        <v>95600</v>
      </c>
      <c r="O651" s="1"/>
    </row>
    <row r="652" spans="1:15" hidden="1">
      <c r="A652" s="1" t="s">
        <v>636</v>
      </c>
      <c r="B652" s="1" t="s">
        <v>15</v>
      </c>
      <c r="C652" s="71">
        <v>128917687725</v>
      </c>
      <c r="D652" s="3">
        <v>39361.72</v>
      </c>
      <c r="E652" s="3">
        <v>10763912.880000001</v>
      </c>
      <c r="F652" s="1" t="s">
        <v>3065</v>
      </c>
      <c r="G652"/>
      <c r="H652"/>
      <c r="I652" s="19">
        <f>-IFERROR(VLOOKUP(C652,SIRCUPA!$A$21:$H$221,8,0),0)</f>
        <v>0</v>
      </c>
      <c r="J652" s="86">
        <f>-IFERROR(VLOOKUP(C652,SIRTAC!$A$16:$H$1458,8,0),0)</f>
        <v>-404</v>
      </c>
      <c r="K652" s="86">
        <f>-IFERROR(VLOOKUP(C652,Gastos!$A$9:$J$1451,10,0),0)</f>
        <v>-391.88</v>
      </c>
      <c r="L652" s="86">
        <f>-IFERROR(VLOOKUP(C652,IDC!$A$20:$H$1763,8,0),0)</f>
        <v>-242.4</v>
      </c>
      <c r="M652" s="95">
        <f t="shared" si="20"/>
        <v>40400</v>
      </c>
      <c r="O652" s="1"/>
    </row>
    <row r="653" spans="1:15" hidden="1">
      <c r="A653" s="1" t="s">
        <v>636</v>
      </c>
      <c r="B653" s="1" t="s">
        <v>15</v>
      </c>
      <c r="C653" s="71">
        <v>129490400868</v>
      </c>
      <c r="D653" s="3">
        <v>20655.16</v>
      </c>
      <c r="E653" s="3">
        <v>10784568.039999999</v>
      </c>
      <c r="F653" s="1" t="s">
        <v>3065</v>
      </c>
      <c r="G653"/>
      <c r="H653"/>
      <c r="I653" s="19">
        <f>-IFERROR(VLOOKUP(C653,SIRCUPA!$A$21:$H$221,8,0),0)</f>
        <v>0</v>
      </c>
      <c r="J653" s="86">
        <f>-IFERROR(VLOOKUP(C653,SIRTAC!$A$16:$H$1458,8,0),0)</f>
        <v>-212</v>
      </c>
      <c r="K653" s="86">
        <f>-IFERROR(VLOOKUP(C653,Gastos!$A$9:$J$1451,10,0),0)</f>
        <v>-205.64</v>
      </c>
      <c r="L653" s="86">
        <f>-IFERROR(VLOOKUP(C653,IDC!$A$20:$H$1763,8,0),0)</f>
        <v>-127.2</v>
      </c>
      <c r="M653" s="95">
        <f t="shared" si="20"/>
        <v>21200</v>
      </c>
      <c r="O653" s="1"/>
    </row>
    <row r="654" spans="1:15" hidden="1">
      <c r="A654" s="1" t="s">
        <v>636</v>
      </c>
      <c r="B654" s="1" t="s">
        <v>15</v>
      </c>
      <c r="C654" s="71">
        <v>128919083425</v>
      </c>
      <c r="D654" s="3">
        <v>30690.45</v>
      </c>
      <c r="E654" s="3">
        <v>10815258.49</v>
      </c>
      <c r="F654" s="1" t="s">
        <v>3065</v>
      </c>
      <c r="G654"/>
      <c r="H654"/>
      <c r="I654" s="19">
        <f>-IFERROR(VLOOKUP(C654,SIRCUPA!$A$21:$H$221,8,0),0)</f>
        <v>0</v>
      </c>
      <c r="J654" s="86">
        <f>-IFERROR(VLOOKUP(C654,SIRTAC!$A$16:$H$1458,8,0),0)</f>
        <v>-315</v>
      </c>
      <c r="K654" s="86">
        <f>-IFERROR(VLOOKUP(C654,Gastos!$A$9:$J$1451,10,0),0)</f>
        <v>-305.55</v>
      </c>
      <c r="L654" s="86">
        <f>-IFERROR(VLOOKUP(C654,IDC!$A$20:$H$1763,8,0),0)</f>
        <v>-189</v>
      </c>
      <c r="M654" s="95">
        <f t="shared" ref="M654:M677" si="21">+D654-I654-J654-K654-L654</f>
        <v>31500</v>
      </c>
      <c r="O654" s="1"/>
    </row>
    <row r="655" spans="1:15" hidden="1">
      <c r="A655" s="1" t="s">
        <v>636</v>
      </c>
      <c r="B655" s="1" t="s">
        <v>15</v>
      </c>
      <c r="C655" s="71">
        <v>128919574591</v>
      </c>
      <c r="D655" s="3">
        <v>43062.65</v>
      </c>
      <c r="E655" s="3">
        <v>10858321.140000001</v>
      </c>
      <c r="F655" s="1" t="s">
        <v>3065</v>
      </c>
      <c r="G655"/>
      <c r="H655"/>
      <c r="I655" s="19">
        <f>-IFERROR(VLOOKUP(C655,SIRCUPA!$A$21:$H$221,8,0),0)</f>
        <v>0</v>
      </c>
      <c r="J655" s="86">
        <f>-IFERROR(VLOOKUP(C655,SIRTAC!$A$16:$H$1458,8,0),0)</f>
        <v>-445</v>
      </c>
      <c r="K655" s="86">
        <f>-IFERROR(VLOOKUP(C655,Gastos!$A$9:$J$1451,10,0),0)</f>
        <v>-725.35</v>
      </c>
      <c r="L655" s="86">
        <f>-IFERROR(VLOOKUP(C655,IDC!$A$20:$H$1763,8,0),0)</f>
        <v>-267</v>
      </c>
      <c r="M655" s="95">
        <f t="shared" si="21"/>
        <v>44500</v>
      </c>
      <c r="O655" s="1"/>
    </row>
    <row r="656" spans="1:15" hidden="1">
      <c r="A656" s="1" t="s">
        <v>636</v>
      </c>
      <c r="B656" s="1" t="s">
        <v>15</v>
      </c>
      <c r="C656" s="71">
        <v>129492088316</v>
      </c>
      <c r="D656" s="3">
        <v>4676.6400000000003</v>
      </c>
      <c r="E656" s="3">
        <v>10862997.779999999</v>
      </c>
      <c r="F656" s="1" t="s">
        <v>3065</v>
      </c>
      <c r="G656"/>
      <c r="H656"/>
      <c r="I656" s="19">
        <f>-IFERROR(VLOOKUP(C656,SIRCUPA!$A$21:$H$221,8,0),0)</f>
        <v>0</v>
      </c>
      <c r="J656" s="86">
        <f>-IFERROR(VLOOKUP(C656,SIRTAC!$A$16:$H$1458,8,0),0)</f>
        <v>-48</v>
      </c>
      <c r="K656" s="86">
        <f>-IFERROR(VLOOKUP(C656,Gastos!$A$9:$J$1451,10,0),0)</f>
        <v>-46.56</v>
      </c>
      <c r="L656" s="86">
        <f>-IFERROR(VLOOKUP(C656,IDC!$A$20:$H$1763,8,0),0)</f>
        <v>-28.8</v>
      </c>
      <c r="M656" s="95">
        <f t="shared" si="21"/>
        <v>4800.0000000000009</v>
      </c>
      <c r="O656" s="1"/>
    </row>
    <row r="657" spans="1:15" hidden="1">
      <c r="A657" s="1" t="s">
        <v>636</v>
      </c>
      <c r="B657" s="1" t="s">
        <v>15</v>
      </c>
      <c r="C657" s="71">
        <v>129492181546</v>
      </c>
      <c r="D657" s="3">
        <v>7794.4</v>
      </c>
      <c r="E657" s="3">
        <v>10870792.18</v>
      </c>
      <c r="F657" s="1" t="s">
        <v>3065</v>
      </c>
      <c r="G657"/>
      <c r="H657"/>
      <c r="I657" s="19">
        <f>-IFERROR(VLOOKUP(C657,SIRCUPA!$A$21:$H$221,8,0),0)</f>
        <v>0</v>
      </c>
      <c r="J657" s="86">
        <f>-IFERROR(VLOOKUP(C657,SIRTAC!$A$16:$H$1458,8,0),0)</f>
        <v>-80</v>
      </c>
      <c r="K657" s="86">
        <f>-IFERROR(VLOOKUP(C657,Gastos!$A$9:$J$1451,10,0),0)</f>
        <v>-77.599999999999994</v>
      </c>
      <c r="L657" s="86">
        <f>-IFERROR(VLOOKUP(C657,IDC!$A$20:$H$1763,8,0),0)</f>
        <v>-48</v>
      </c>
      <c r="M657" s="95">
        <f t="shared" si="21"/>
        <v>8000</v>
      </c>
      <c r="O657" s="1"/>
    </row>
    <row r="658" spans="1:15" hidden="1">
      <c r="A658" s="1" t="s">
        <v>636</v>
      </c>
      <c r="B658" s="1" t="s">
        <v>15</v>
      </c>
      <c r="C658" s="71">
        <v>129492203894</v>
      </c>
      <c r="D658" s="3">
        <v>3897.2</v>
      </c>
      <c r="E658" s="3">
        <v>10874689.380000001</v>
      </c>
      <c r="F658" s="1" t="s">
        <v>3065</v>
      </c>
      <c r="G658"/>
      <c r="H658"/>
      <c r="I658" s="19">
        <f>-IFERROR(VLOOKUP(C658,SIRCUPA!$A$21:$H$221,8,0),0)</f>
        <v>0</v>
      </c>
      <c r="J658" s="86">
        <f>-IFERROR(VLOOKUP(C658,SIRTAC!$A$16:$H$1458,8,0),0)</f>
        <v>-40</v>
      </c>
      <c r="K658" s="86">
        <f>-IFERROR(VLOOKUP(C658,Gastos!$A$9:$J$1451,10,0),0)</f>
        <v>-38.799999999999997</v>
      </c>
      <c r="L658" s="86">
        <f>-IFERROR(VLOOKUP(C658,IDC!$A$20:$H$1763,8,0),0)</f>
        <v>-24</v>
      </c>
      <c r="M658" s="95">
        <f t="shared" si="21"/>
        <v>4000</v>
      </c>
      <c r="O658" s="1"/>
    </row>
    <row r="659" spans="1:15" hidden="1">
      <c r="A659" s="1" t="s">
        <v>636</v>
      </c>
      <c r="B659" s="1" t="s">
        <v>15</v>
      </c>
      <c r="C659" s="71">
        <v>129492338552</v>
      </c>
      <c r="D659" s="3">
        <v>85796.55</v>
      </c>
      <c r="E659" s="3">
        <v>10960485.93</v>
      </c>
      <c r="F659" s="1" t="s">
        <v>3065</v>
      </c>
      <c r="G659"/>
      <c r="H659"/>
      <c r="I659" s="19">
        <f>-IFERROR(VLOOKUP(C659,SIRCUPA!$A$21:$H$221,8,0),0)</f>
        <v>0</v>
      </c>
      <c r="J659" s="86">
        <f>-IFERROR(VLOOKUP(C659,SIRTAC!$A$16:$H$1458,8,0),0)</f>
        <v>-945</v>
      </c>
      <c r="K659" s="86">
        <f>-IFERROR(VLOOKUP(C659,Gastos!$A$9:$J$1451,10,0),0)</f>
        <v>-7191.45</v>
      </c>
      <c r="L659" s="86">
        <f>-IFERROR(VLOOKUP(C659,IDC!$A$20:$H$1763,8,0),0)</f>
        <v>-567</v>
      </c>
      <c r="M659" s="95">
        <f t="shared" si="21"/>
        <v>94500</v>
      </c>
      <c r="O659" s="1"/>
    </row>
    <row r="660" spans="1:15" hidden="1">
      <c r="A660" s="1" t="s">
        <v>636</v>
      </c>
      <c r="B660" s="1" t="s">
        <v>15</v>
      </c>
      <c r="C660" s="71">
        <v>129492476708</v>
      </c>
      <c r="D660" s="3">
        <v>4481.78</v>
      </c>
      <c r="E660" s="3">
        <v>10964967.710000001</v>
      </c>
      <c r="F660" s="1" t="s">
        <v>3065</v>
      </c>
      <c r="G660"/>
      <c r="H660"/>
      <c r="I660" s="19">
        <f>-IFERROR(VLOOKUP(C660,SIRCUPA!$A$21:$H$221,8,0),0)</f>
        <v>0</v>
      </c>
      <c r="J660" s="86">
        <f>-IFERROR(VLOOKUP(C660,SIRTAC!$A$16:$H$1458,8,0),0)</f>
        <v>-46</v>
      </c>
      <c r="K660" s="86">
        <f>-IFERROR(VLOOKUP(C660,Gastos!$A$9:$J$1451,10,0),0)</f>
        <v>-44.62</v>
      </c>
      <c r="L660" s="86">
        <f>-IFERROR(VLOOKUP(C660,IDC!$A$20:$H$1763,8,0),0)</f>
        <v>-27.6</v>
      </c>
      <c r="M660" s="95">
        <f t="shared" si="21"/>
        <v>4600</v>
      </c>
      <c r="O660" s="1"/>
    </row>
    <row r="661" spans="1:15" hidden="1">
      <c r="A661" s="1" t="s">
        <v>636</v>
      </c>
      <c r="B661" s="1" t="s">
        <v>15</v>
      </c>
      <c r="C661" s="71">
        <v>129492602114</v>
      </c>
      <c r="D661" s="3">
        <v>13797.42</v>
      </c>
      <c r="E661" s="3">
        <v>10978765.130000001</v>
      </c>
      <c r="F661" s="1" t="s">
        <v>3065</v>
      </c>
      <c r="G661"/>
      <c r="H661"/>
      <c r="I661" s="19">
        <f>-IFERROR(VLOOKUP(C661,SIRCUPA!$A$21:$H$221,8,0),0)</f>
        <v>0</v>
      </c>
      <c r="J661" s="86">
        <f>-IFERROR(VLOOKUP(C661,SIRTAC!$A$16:$H$1458,8,0),0)</f>
        <v>-147</v>
      </c>
      <c r="K661" s="86">
        <f>-IFERROR(VLOOKUP(C661,Gastos!$A$9:$J$1451,10,0),0)</f>
        <v>-667.38</v>
      </c>
      <c r="L661" s="86">
        <f>-IFERROR(VLOOKUP(C661,IDC!$A$20:$H$1763,8,0),0)</f>
        <v>-88.2</v>
      </c>
      <c r="M661" s="95">
        <f t="shared" si="21"/>
        <v>14700</v>
      </c>
      <c r="O661" s="1"/>
    </row>
    <row r="662" spans="1:15" hidden="1">
      <c r="A662" s="1" t="s">
        <v>636</v>
      </c>
      <c r="B662" s="1" t="s">
        <v>15</v>
      </c>
      <c r="C662" s="71">
        <v>129492654176</v>
      </c>
      <c r="D662" s="3">
        <v>82523.210000000006</v>
      </c>
      <c r="E662" s="3">
        <v>11061288.34</v>
      </c>
      <c r="F662" s="1" t="s">
        <v>3065</v>
      </c>
      <c r="G662"/>
      <c r="H662"/>
      <c r="I662" s="19">
        <f>-IFERROR(VLOOKUP(C662,SIRCUPA!$A$21:$H$221,8,0),0)</f>
        <v>0</v>
      </c>
      <c r="J662" s="86">
        <f>-IFERROR(VLOOKUP(C662,SIRTAC!$A$16:$H$1458,8,0),0)</f>
        <v>-847</v>
      </c>
      <c r="K662" s="86">
        <f>-IFERROR(VLOOKUP(C662,Gastos!$A$9:$J$1451,10,0),0)</f>
        <v>-821.59</v>
      </c>
      <c r="L662" s="86">
        <f>-IFERROR(VLOOKUP(C662,IDC!$A$20:$H$1763,8,0),0)</f>
        <v>-508.2</v>
      </c>
      <c r="M662" s="95">
        <f t="shared" si="21"/>
        <v>84700</v>
      </c>
      <c r="O662" s="1"/>
    </row>
    <row r="663" spans="1:15" hidden="1">
      <c r="A663" s="1" t="s">
        <v>636</v>
      </c>
      <c r="B663" s="1" t="s">
        <v>15</v>
      </c>
      <c r="C663" s="71">
        <v>128920484187</v>
      </c>
      <c r="D663" s="3">
        <v>16757.96</v>
      </c>
      <c r="E663" s="3">
        <v>11078046.300000001</v>
      </c>
      <c r="F663" s="1" t="s">
        <v>3065</v>
      </c>
      <c r="G663"/>
      <c r="H663"/>
      <c r="I663" s="19">
        <f>-IFERROR(VLOOKUP(C663,SIRCUPA!$A$21:$H$221,8,0),0)</f>
        <v>0</v>
      </c>
      <c r="J663" s="86">
        <f>-IFERROR(VLOOKUP(C663,SIRTAC!$A$16:$H$1458,8,0),0)</f>
        <v>-172</v>
      </c>
      <c r="K663" s="86">
        <f>-IFERROR(VLOOKUP(C663,Gastos!$A$9:$J$1451,10,0),0)</f>
        <v>-166.84</v>
      </c>
      <c r="L663" s="86">
        <f>-IFERROR(VLOOKUP(C663,IDC!$A$20:$H$1763,8,0),0)</f>
        <v>-103.2</v>
      </c>
      <c r="M663" s="95">
        <f t="shared" si="21"/>
        <v>17200</v>
      </c>
      <c r="O663" s="1"/>
    </row>
    <row r="664" spans="1:15" hidden="1">
      <c r="A664" s="1" t="s">
        <v>636</v>
      </c>
      <c r="B664" s="1" t="s">
        <v>393</v>
      </c>
      <c r="C664" s="71">
        <v>128920403673</v>
      </c>
      <c r="D664" s="2">
        <v>841.94</v>
      </c>
      <c r="E664" s="3">
        <v>11078888.24</v>
      </c>
      <c r="F664" s="1" t="s">
        <v>3065</v>
      </c>
      <c r="G664"/>
      <c r="H664"/>
      <c r="I664" s="19">
        <f>-IFERROR(VLOOKUP(C664,SIRCUPA!$A$21:$H$221,8,0),0)</f>
        <v>-12.9</v>
      </c>
      <c r="J664" s="86">
        <f>-IFERROR(VLOOKUP(C664,SIRTAC!$A$16:$H$1458,8,0),0)</f>
        <v>0</v>
      </c>
      <c r="K664" s="86">
        <f>-IFERROR(VLOOKUP(C664,Gastos!$A$9:$J$1451,10,0),0)</f>
        <v>0</v>
      </c>
      <c r="L664" s="86">
        <f>-IFERROR(VLOOKUP(C664,IDC!$A$20:$H$1763,8,0),0)</f>
        <v>-5.16</v>
      </c>
      <c r="M664" s="95">
        <f t="shared" si="21"/>
        <v>860</v>
      </c>
      <c r="O664" s="1"/>
    </row>
    <row r="665" spans="1:15" hidden="1">
      <c r="A665" s="1" t="s">
        <v>636</v>
      </c>
      <c r="B665" s="1" t="s">
        <v>15</v>
      </c>
      <c r="C665" s="71">
        <v>129493185740</v>
      </c>
      <c r="D665" s="3">
        <v>12471.04</v>
      </c>
      <c r="E665" s="3">
        <v>11091359.279999999</v>
      </c>
      <c r="F665" s="1" t="s">
        <v>3065</v>
      </c>
      <c r="G665"/>
      <c r="H665"/>
      <c r="I665" s="19">
        <f>-IFERROR(VLOOKUP(C665,SIRCUPA!$A$21:$H$221,8,0),0)</f>
        <v>0</v>
      </c>
      <c r="J665" s="86">
        <f>-IFERROR(VLOOKUP(C665,SIRTAC!$A$16:$H$1458,8,0),0)</f>
        <v>-128</v>
      </c>
      <c r="K665" s="86">
        <f>-IFERROR(VLOOKUP(C665,Gastos!$A$9:$J$1451,10,0),0)</f>
        <v>-124.16</v>
      </c>
      <c r="L665" s="86">
        <f>-IFERROR(VLOOKUP(C665,IDC!$A$20:$H$1763,8,0),0)</f>
        <v>-76.8</v>
      </c>
      <c r="M665" s="95">
        <f t="shared" si="21"/>
        <v>12800</v>
      </c>
      <c r="O665" s="1"/>
    </row>
    <row r="666" spans="1:15" hidden="1">
      <c r="A666" s="1" t="s">
        <v>636</v>
      </c>
      <c r="B666" s="1" t="s">
        <v>15</v>
      </c>
      <c r="C666" s="71">
        <v>129493359646</v>
      </c>
      <c r="D666" s="3">
        <v>18803.990000000002</v>
      </c>
      <c r="E666" s="3">
        <v>11110163.27</v>
      </c>
      <c r="F666" s="1" t="s">
        <v>3065</v>
      </c>
      <c r="G666"/>
      <c r="H666"/>
      <c r="I666" s="19">
        <f>-IFERROR(VLOOKUP(C666,SIRCUPA!$A$21:$H$221,8,0),0)</f>
        <v>0</v>
      </c>
      <c r="J666" s="86">
        <f>-IFERROR(VLOOKUP(C666,SIRTAC!$A$16:$H$1458,8,0),0)</f>
        <v>-193</v>
      </c>
      <c r="K666" s="86">
        <f>-IFERROR(VLOOKUP(C666,Gastos!$A$9:$J$1451,10,0),0)</f>
        <v>-187.21</v>
      </c>
      <c r="L666" s="86">
        <f>-IFERROR(VLOOKUP(C666,IDC!$A$20:$H$1763,8,0),0)</f>
        <v>-115.8</v>
      </c>
      <c r="M666" s="95">
        <f t="shared" si="21"/>
        <v>19300</v>
      </c>
      <c r="O666" s="1"/>
    </row>
    <row r="667" spans="1:15" hidden="1">
      <c r="A667" s="1" t="s">
        <v>761</v>
      </c>
      <c r="B667" s="1" t="s">
        <v>15</v>
      </c>
      <c r="C667" s="71">
        <v>128921310181</v>
      </c>
      <c r="D667" s="3">
        <v>4448.71</v>
      </c>
      <c r="E667" s="3">
        <v>11114611.98</v>
      </c>
      <c r="F667" s="1" t="s">
        <v>3065</v>
      </c>
      <c r="G667"/>
      <c r="H667"/>
      <c r="I667" s="19">
        <f>-IFERROR(VLOOKUP(C667,SIRCUPA!$A$21:$H$221,8,0),0)</f>
        <v>0</v>
      </c>
      <c r="J667" s="86">
        <f>-IFERROR(VLOOKUP(C667,SIRTAC!$A$16:$H$1458,8,0),0)</f>
        <v>-49</v>
      </c>
      <c r="K667" s="86">
        <f>-IFERROR(VLOOKUP(C667,Gastos!$A$9:$J$1451,10,0),0)</f>
        <v>-372.89</v>
      </c>
      <c r="L667" s="86">
        <f>-IFERROR(VLOOKUP(C667,IDC!$A$20:$H$1763,8,0),0)</f>
        <v>-29.4</v>
      </c>
      <c r="M667" s="95">
        <f t="shared" si="21"/>
        <v>4900</v>
      </c>
      <c r="O667" s="1"/>
    </row>
    <row r="668" spans="1:15" hidden="1">
      <c r="A668" s="1" t="s">
        <v>761</v>
      </c>
      <c r="B668" s="1" t="s">
        <v>15</v>
      </c>
      <c r="C668" s="71">
        <v>128922302919</v>
      </c>
      <c r="D668" s="3">
        <v>50079.02</v>
      </c>
      <c r="E668" s="3">
        <v>11164691</v>
      </c>
      <c r="F668" s="1" t="s">
        <v>3065</v>
      </c>
      <c r="G668"/>
      <c r="H668"/>
      <c r="I668" s="19">
        <f>-IFERROR(VLOOKUP(C668,SIRCUPA!$A$21:$H$221,8,0),0)</f>
        <v>0</v>
      </c>
      <c r="J668" s="86">
        <f>-IFERROR(VLOOKUP(C668,SIRTAC!$A$16:$H$1458,8,0),0)</f>
        <v>-514</v>
      </c>
      <c r="K668" s="86">
        <f>-IFERROR(VLOOKUP(C668,Gastos!$A$9:$J$1451,10,0),0)</f>
        <v>-498.58</v>
      </c>
      <c r="L668" s="86">
        <f>-IFERROR(VLOOKUP(C668,IDC!$A$20:$H$1763,8,0),0)</f>
        <v>-308.39999999999998</v>
      </c>
      <c r="M668" s="95">
        <f t="shared" si="21"/>
        <v>51400</v>
      </c>
      <c r="O668" s="1"/>
    </row>
    <row r="669" spans="1:15" hidden="1">
      <c r="A669" s="1" t="s">
        <v>761</v>
      </c>
      <c r="B669" s="1" t="s">
        <v>15</v>
      </c>
      <c r="C669" s="71">
        <v>128922474729</v>
      </c>
      <c r="D669" s="3">
        <v>65514.28</v>
      </c>
      <c r="E669" s="3">
        <v>11230205.279999999</v>
      </c>
      <c r="F669" s="1" t="s">
        <v>3065</v>
      </c>
      <c r="G669"/>
      <c r="H669"/>
      <c r="I669" s="19">
        <f>-IFERROR(VLOOKUP(C669,SIRCUPA!$A$21:$H$221,8,0),0)</f>
        <v>0</v>
      </c>
      <c r="J669" s="86">
        <f>-IFERROR(VLOOKUP(C669,SIRTAC!$A$16:$H$1458,8,0),0)</f>
        <v>-698</v>
      </c>
      <c r="K669" s="86">
        <f>-IFERROR(VLOOKUP(C669,Gastos!$A$9:$J$1451,10,0),0)</f>
        <v>-3168.92</v>
      </c>
      <c r="L669" s="86">
        <f>-IFERROR(VLOOKUP(C669,IDC!$A$20:$H$1763,8,0),0)</f>
        <v>-418.8</v>
      </c>
      <c r="M669" s="95">
        <f t="shared" si="21"/>
        <v>69800</v>
      </c>
      <c r="O669" s="1"/>
    </row>
    <row r="670" spans="1:15" hidden="1">
      <c r="A670" s="1" t="s">
        <v>761</v>
      </c>
      <c r="B670" s="1" t="s">
        <v>15</v>
      </c>
      <c r="C670" s="71">
        <v>129495024752</v>
      </c>
      <c r="D670" s="3">
        <v>91584.2</v>
      </c>
      <c r="E670" s="3">
        <v>11321789.48</v>
      </c>
      <c r="F670" s="1" t="s">
        <v>3065</v>
      </c>
      <c r="G670"/>
      <c r="H670"/>
      <c r="I670" s="19">
        <f>-IFERROR(VLOOKUP(C670,SIRCUPA!$A$21:$H$221,8,0),0)</f>
        <v>0</v>
      </c>
      <c r="J670" s="86">
        <f>-IFERROR(VLOOKUP(C670,SIRTAC!$A$16:$H$1458,8,0),0)</f>
        <v>-940</v>
      </c>
      <c r="K670" s="86">
        <f>-IFERROR(VLOOKUP(C670,Gastos!$A$9:$J$1451,10,0),0)</f>
        <v>-911.8</v>
      </c>
      <c r="L670" s="86">
        <f>-IFERROR(VLOOKUP(C670,IDC!$A$20:$H$1763,8,0),0)</f>
        <v>-564</v>
      </c>
      <c r="M670" s="95">
        <f t="shared" si="21"/>
        <v>94000</v>
      </c>
      <c r="O670" s="1"/>
    </row>
    <row r="671" spans="1:15" hidden="1">
      <c r="A671" s="1" t="s">
        <v>761</v>
      </c>
      <c r="B671" s="1" t="s">
        <v>15</v>
      </c>
      <c r="C671" s="71">
        <v>129495145126</v>
      </c>
      <c r="D671" s="3">
        <v>37315.65</v>
      </c>
      <c r="E671" s="3">
        <v>11359105.130000001</v>
      </c>
      <c r="F671" s="1" t="s">
        <v>3065</v>
      </c>
      <c r="G671"/>
      <c r="H671"/>
      <c r="I671" s="19">
        <f>-IFERROR(VLOOKUP(C671,SIRCUPA!$A$21:$H$221,8,0),0)</f>
        <v>0</v>
      </c>
      <c r="J671" s="86">
        <f>-IFERROR(VLOOKUP(C671,SIRTAC!$A$16:$H$1458,8,0),0)</f>
        <v>-395</v>
      </c>
      <c r="K671" s="86">
        <f>-IFERROR(VLOOKUP(C671,Gastos!$A$9:$J$1451,10,0),0)</f>
        <v>-1552.35</v>
      </c>
      <c r="L671" s="86">
        <f>-IFERROR(VLOOKUP(C671,IDC!$A$20:$H$1763,8,0),0)</f>
        <v>-237</v>
      </c>
      <c r="M671" s="95">
        <f t="shared" si="21"/>
        <v>39500</v>
      </c>
      <c r="O671" s="1"/>
    </row>
    <row r="672" spans="1:15" hidden="1">
      <c r="A672" s="1" t="s">
        <v>761</v>
      </c>
      <c r="B672" s="1" t="s">
        <v>15</v>
      </c>
      <c r="C672" s="71">
        <v>128922682971</v>
      </c>
      <c r="D672" s="3">
        <v>32781.089999999997</v>
      </c>
      <c r="E672" s="3">
        <v>11391886.220000001</v>
      </c>
      <c r="F672" s="1" t="s">
        <v>3065</v>
      </c>
      <c r="G672"/>
      <c r="H672"/>
      <c r="I672" s="19">
        <f>-IFERROR(VLOOKUP(C672,SIRCUPA!$A$21:$H$221,8,0),0)</f>
        <v>0</v>
      </c>
      <c r="J672" s="86">
        <f>-IFERROR(VLOOKUP(C672,SIRTAC!$A$16:$H$1458,8,0),0)</f>
        <v>-347</v>
      </c>
      <c r="K672" s="86">
        <f>-IFERROR(VLOOKUP(C672,Gastos!$A$9:$J$1451,10,0),0)</f>
        <v>-1363.71</v>
      </c>
      <c r="L672" s="86">
        <f>-IFERROR(VLOOKUP(C672,IDC!$A$20:$H$1763,8,0),0)</f>
        <v>-208.2</v>
      </c>
      <c r="M672" s="95">
        <f t="shared" si="21"/>
        <v>34699.999999999993</v>
      </c>
      <c r="O672" s="1"/>
    </row>
    <row r="673" spans="1:17" hidden="1">
      <c r="A673" s="1" t="s">
        <v>761</v>
      </c>
      <c r="B673" s="1" t="s">
        <v>15</v>
      </c>
      <c r="C673" s="71">
        <v>129495185528</v>
      </c>
      <c r="D673" s="3">
        <v>8378.98</v>
      </c>
      <c r="E673" s="3">
        <v>11400265.199999999</v>
      </c>
      <c r="F673" s="1" t="s">
        <v>3065</v>
      </c>
      <c r="G673"/>
      <c r="H673"/>
      <c r="I673" s="19">
        <f>-IFERROR(VLOOKUP(C673,SIRCUPA!$A$21:$H$221,8,0),0)</f>
        <v>0</v>
      </c>
      <c r="J673" s="86">
        <f>-IFERROR(VLOOKUP(C673,SIRTAC!$A$16:$H$1458,8,0),0)</f>
        <v>-86</v>
      </c>
      <c r="K673" s="86">
        <f>-IFERROR(VLOOKUP(C673,Gastos!$A$9:$J$1451,10,0),0)</f>
        <v>-83.42</v>
      </c>
      <c r="L673" s="86">
        <f>-IFERROR(VLOOKUP(C673,IDC!$A$20:$H$1763,8,0),0)</f>
        <v>-51.6</v>
      </c>
      <c r="M673" s="95">
        <f t="shared" si="21"/>
        <v>8600</v>
      </c>
      <c r="O673" s="1"/>
    </row>
    <row r="674" spans="1:17" hidden="1">
      <c r="A674" s="1" t="s">
        <v>761</v>
      </c>
      <c r="B674" s="1" t="s">
        <v>15</v>
      </c>
      <c r="C674" s="71">
        <v>129495380726</v>
      </c>
      <c r="D674" s="3">
        <v>4092.06</v>
      </c>
      <c r="E674" s="3">
        <v>11404357.26</v>
      </c>
      <c r="F674" s="1" t="s">
        <v>3065</v>
      </c>
      <c r="G674"/>
      <c r="H674"/>
      <c r="I674" s="19">
        <f>-IFERROR(VLOOKUP(C674,SIRCUPA!$A$21:$H$221,8,0),0)</f>
        <v>0</v>
      </c>
      <c r="J674" s="86">
        <f>-IFERROR(VLOOKUP(C674,SIRTAC!$A$16:$H$1458,8,0),0)</f>
        <v>-42</v>
      </c>
      <c r="K674" s="86">
        <f>-IFERROR(VLOOKUP(C674,Gastos!$A$9:$J$1451,10,0),0)</f>
        <v>-40.74</v>
      </c>
      <c r="L674" s="86">
        <f>-IFERROR(VLOOKUP(C674,IDC!$A$20:$H$1763,8,0),0)</f>
        <v>-25.2</v>
      </c>
      <c r="M674" s="95">
        <f t="shared" si="21"/>
        <v>4199.9999999999991</v>
      </c>
      <c r="O674" s="1"/>
    </row>
    <row r="675" spans="1:17" hidden="1">
      <c r="A675" s="1" t="s">
        <v>761</v>
      </c>
      <c r="B675" s="1" t="s">
        <v>15</v>
      </c>
      <c r="C675" s="71">
        <v>129495617158</v>
      </c>
      <c r="D675" s="3">
        <v>71123.899999999994</v>
      </c>
      <c r="E675" s="3">
        <v>11475481.16</v>
      </c>
      <c r="F675" s="1" t="s">
        <v>3065</v>
      </c>
      <c r="G675"/>
      <c r="H675"/>
      <c r="I675" s="19">
        <f>-IFERROR(VLOOKUP(C675,SIRCUPA!$A$21:$H$221,8,0),0)</f>
        <v>0</v>
      </c>
      <c r="J675" s="86">
        <f>-IFERROR(VLOOKUP(C675,SIRTAC!$A$16:$H$1458,8,0),0)</f>
        <v>-730</v>
      </c>
      <c r="K675" s="86">
        <f>-IFERROR(VLOOKUP(C675,Gastos!$A$9:$J$1451,10,0),0)</f>
        <v>-708.1</v>
      </c>
      <c r="L675" s="86">
        <f>-IFERROR(VLOOKUP(C675,IDC!$A$20:$H$1763,8,0),0)</f>
        <v>-438</v>
      </c>
      <c r="M675" s="95">
        <f t="shared" si="21"/>
        <v>73000</v>
      </c>
      <c r="O675" s="1"/>
    </row>
    <row r="676" spans="1:17" hidden="1">
      <c r="A676" s="1" t="s">
        <v>761</v>
      </c>
      <c r="B676" s="1" t="s">
        <v>15</v>
      </c>
      <c r="C676" s="71">
        <v>129495780212</v>
      </c>
      <c r="D676" s="3">
        <v>9743</v>
      </c>
      <c r="E676" s="3">
        <v>11485224.16</v>
      </c>
      <c r="F676" s="1" t="s">
        <v>3065</v>
      </c>
      <c r="G676"/>
      <c r="H676"/>
      <c r="I676" s="19">
        <f>-IFERROR(VLOOKUP(C676,SIRCUPA!$A$21:$H$221,8,0),0)</f>
        <v>0</v>
      </c>
      <c r="J676" s="86">
        <f>-IFERROR(VLOOKUP(C676,SIRTAC!$A$16:$H$1458,8,0),0)</f>
        <v>-100</v>
      </c>
      <c r="K676" s="86">
        <f>-IFERROR(VLOOKUP(C676,Gastos!$A$9:$J$1451,10,0),0)</f>
        <v>-97</v>
      </c>
      <c r="L676" s="86">
        <f>-IFERROR(VLOOKUP(C676,IDC!$A$20:$H$1763,8,0),0)</f>
        <v>-60</v>
      </c>
      <c r="M676" s="95">
        <f t="shared" si="21"/>
        <v>10000</v>
      </c>
      <c r="O676" s="1"/>
    </row>
    <row r="677" spans="1:17" hidden="1">
      <c r="A677" s="1" t="s">
        <v>761</v>
      </c>
      <c r="B677" s="1" t="s">
        <v>15</v>
      </c>
      <c r="C677" s="71">
        <v>129495728004</v>
      </c>
      <c r="D677" s="3">
        <v>30324.87</v>
      </c>
      <c r="E677" s="3">
        <v>11515549.029999999</v>
      </c>
      <c r="F677" s="1" t="s">
        <v>3065</v>
      </c>
      <c r="G677"/>
      <c r="H677"/>
      <c r="I677" s="19">
        <f>-IFERROR(VLOOKUP(C677,SIRCUPA!$A$21:$H$221,8,0),0)</f>
        <v>0</v>
      </c>
      <c r="J677" s="86">
        <f>-IFERROR(VLOOKUP(C677,SIRTAC!$A$16:$H$1458,8,0),0)</f>
        <v>-321</v>
      </c>
      <c r="K677" s="86">
        <f>-IFERROR(VLOOKUP(C677,Gastos!$A$9:$J$1451,10,0),0)</f>
        <v>-1261.53</v>
      </c>
      <c r="L677" s="86">
        <f>-IFERROR(VLOOKUP(C677,IDC!$A$20:$H$1763,8,0),0)</f>
        <v>-192.6</v>
      </c>
      <c r="M677" s="95">
        <f t="shared" si="21"/>
        <v>32099.999999999996</v>
      </c>
      <c r="O677" s="1"/>
    </row>
    <row r="678" spans="1:17" s="67" customFormat="1" hidden="1">
      <c r="A678" s="67" t="s">
        <v>548</v>
      </c>
      <c r="B678" s="67" t="s">
        <v>51</v>
      </c>
      <c r="C678" s="75">
        <v>129258131166</v>
      </c>
      <c r="D678" s="68">
        <v>-1187.28</v>
      </c>
      <c r="E678" s="3">
        <v>9216695.8300000001</v>
      </c>
      <c r="F678" s="67" t="s">
        <v>3062</v>
      </c>
      <c r="G678" s="69">
        <f>+D678/0.006</f>
        <v>-197880</v>
      </c>
      <c r="H678" s="69"/>
      <c r="I678" s="69">
        <f>-IFERROR(VLOOKUP(C678,SIRCUPA!$A$21:$H$221,8,0),0)</f>
        <v>0</v>
      </c>
      <c r="J678" s="69">
        <f>-IFERROR(VLOOKUP(C678,SIRTAC!$A$16:$H$1458,8,0),0)</f>
        <v>0</v>
      </c>
      <c r="K678" s="69">
        <f>-IFERROR(VLOOKUP(C678,Gastos!$A$9:$J$1451,10,0),0)</f>
        <v>0</v>
      </c>
      <c r="L678" s="69"/>
      <c r="M678" s="96">
        <f>+D678</f>
        <v>-1187.28</v>
      </c>
      <c r="P678" s="19"/>
      <c r="Q678" s="19"/>
    </row>
    <row r="679" spans="1:17" hidden="1">
      <c r="A679" s="1" t="s">
        <v>761</v>
      </c>
      <c r="B679" s="1" t="s">
        <v>15</v>
      </c>
      <c r="C679" s="71">
        <v>129495961410</v>
      </c>
      <c r="D679" s="3">
        <v>4505.28</v>
      </c>
      <c r="E679" s="3">
        <v>11490004.619999999</v>
      </c>
      <c r="F679" s="1" t="s">
        <v>3065</v>
      </c>
      <c r="G679"/>
      <c r="H679"/>
      <c r="I679" s="19">
        <f>-IFERROR(VLOOKUP(C679,SIRCUPA!$A$21:$H$221,8,0),0)</f>
        <v>0</v>
      </c>
      <c r="J679" s="86">
        <f>-IFERROR(VLOOKUP(C679,SIRTAC!$A$16:$H$1458,8,0),0)</f>
        <v>-48</v>
      </c>
      <c r="K679" s="86">
        <f>-IFERROR(VLOOKUP(C679,Gastos!$A$9:$J$1451,10,0),0)</f>
        <v>-217.92</v>
      </c>
      <c r="L679" s="86">
        <f>-IFERROR(VLOOKUP(C679,IDC!$A$20:$H$1763,8,0),0)</f>
        <v>-28.8</v>
      </c>
      <c r="M679" s="95">
        <f t="shared" ref="M679:M742" si="22">+D679-I679-J679-K679-L679</f>
        <v>4800</v>
      </c>
      <c r="O679" s="1"/>
    </row>
    <row r="680" spans="1:17" hidden="1">
      <c r="A680" s="1" t="s">
        <v>761</v>
      </c>
      <c r="B680" s="1" t="s">
        <v>15</v>
      </c>
      <c r="C680" s="71">
        <v>128923606311</v>
      </c>
      <c r="D680" s="3">
        <v>64835.9</v>
      </c>
      <c r="E680" s="3">
        <v>11554840.52</v>
      </c>
      <c r="F680" s="1" t="s">
        <v>3065</v>
      </c>
      <c r="G680"/>
      <c r="H680"/>
      <c r="I680" s="19">
        <f>-IFERROR(VLOOKUP(C680,SIRCUPA!$A$21:$H$221,8,0),0)</f>
        <v>0</v>
      </c>
      <c r="J680" s="86">
        <f>-IFERROR(VLOOKUP(C680,SIRTAC!$A$16:$H$1458,8,0),0)</f>
        <v>-670</v>
      </c>
      <c r="K680" s="86">
        <f>-IFERROR(VLOOKUP(C680,Gastos!$A$9:$J$1451,10,0),0)</f>
        <v>-1092.0999999999999</v>
      </c>
      <c r="L680" s="86">
        <f>-IFERROR(VLOOKUP(C680,IDC!$A$20:$H$1763,8,0),0)</f>
        <v>-402</v>
      </c>
      <c r="M680" s="95">
        <f t="shared" si="22"/>
        <v>67000</v>
      </c>
      <c r="O680" s="1"/>
    </row>
    <row r="681" spans="1:17" hidden="1">
      <c r="A681" s="1" t="s">
        <v>761</v>
      </c>
      <c r="B681" s="1" t="s">
        <v>15</v>
      </c>
      <c r="C681" s="71">
        <v>129496190454</v>
      </c>
      <c r="D681" s="3">
        <v>16796.150000000001</v>
      </c>
      <c r="E681" s="3">
        <v>11571636.67</v>
      </c>
      <c r="F681" s="1" t="s">
        <v>3065</v>
      </c>
      <c r="G681"/>
      <c r="H681"/>
      <c r="I681" s="19">
        <f>-IFERROR(VLOOKUP(C681,SIRCUPA!$A$21:$H$221,8,0),0)</f>
        <v>0</v>
      </c>
      <c r="J681" s="86">
        <f>-IFERROR(VLOOKUP(C681,SIRTAC!$A$16:$H$1458,8,0),0)</f>
        <v>-185</v>
      </c>
      <c r="K681" s="86">
        <f>-IFERROR(VLOOKUP(C681,Gastos!$A$9:$J$1451,10,0),0)</f>
        <v>-1407.85</v>
      </c>
      <c r="L681" s="86">
        <f>-IFERROR(VLOOKUP(C681,IDC!$A$20:$H$1763,8,0),0)</f>
        <v>-111</v>
      </c>
      <c r="M681" s="95">
        <f t="shared" si="22"/>
        <v>18500</v>
      </c>
      <c r="O681" s="1"/>
    </row>
    <row r="682" spans="1:17" hidden="1">
      <c r="A682" s="1" t="s">
        <v>761</v>
      </c>
      <c r="B682" s="1" t="s">
        <v>15</v>
      </c>
      <c r="C682" s="71">
        <v>128923725051</v>
      </c>
      <c r="D682" s="3">
        <v>51930.19</v>
      </c>
      <c r="E682" s="3">
        <v>11623566.859999999</v>
      </c>
      <c r="F682" s="1" t="s">
        <v>3065</v>
      </c>
      <c r="G682"/>
      <c r="H682"/>
      <c r="I682" s="19">
        <f>-IFERROR(VLOOKUP(C682,SIRCUPA!$A$21:$H$221,8,0),0)</f>
        <v>0</v>
      </c>
      <c r="J682" s="86">
        <f>-IFERROR(VLOOKUP(C682,SIRTAC!$A$16:$H$1458,8,0),0)</f>
        <v>-533</v>
      </c>
      <c r="K682" s="86">
        <f>-IFERROR(VLOOKUP(C682,Gastos!$A$9:$J$1451,10,0),0)</f>
        <v>-517.01</v>
      </c>
      <c r="L682" s="86">
        <f>-IFERROR(VLOOKUP(C682,IDC!$A$20:$H$1763,8,0),0)</f>
        <v>-319.8</v>
      </c>
      <c r="M682" s="95">
        <f t="shared" si="22"/>
        <v>53300.000000000007</v>
      </c>
      <c r="O682" s="1"/>
    </row>
    <row r="683" spans="1:17" hidden="1">
      <c r="A683" s="1" t="s">
        <v>761</v>
      </c>
      <c r="B683" s="1" t="s">
        <v>15</v>
      </c>
      <c r="C683" s="71">
        <v>129496252230</v>
      </c>
      <c r="D683" s="3">
        <v>12347.44</v>
      </c>
      <c r="E683" s="3">
        <v>11635914.300000001</v>
      </c>
      <c r="F683" s="1" t="s">
        <v>3065</v>
      </c>
      <c r="G683"/>
      <c r="H683"/>
      <c r="I683" s="19">
        <f>-IFERROR(VLOOKUP(C683,SIRCUPA!$A$21:$H$221,8,0),0)</f>
        <v>0</v>
      </c>
      <c r="J683" s="86">
        <f>-IFERROR(VLOOKUP(C683,SIRTAC!$A$16:$H$1458,8,0),0)</f>
        <v>-136</v>
      </c>
      <c r="K683" s="86">
        <f>-IFERROR(VLOOKUP(C683,Gastos!$A$9:$J$1451,10,0),0)</f>
        <v>-1034.96</v>
      </c>
      <c r="L683" s="86">
        <f>-IFERROR(VLOOKUP(C683,IDC!$A$20:$H$1763,8,0),0)</f>
        <v>-81.599999999999994</v>
      </c>
      <c r="M683" s="95">
        <f t="shared" si="22"/>
        <v>13600.000000000002</v>
      </c>
      <c r="O683" s="1"/>
    </row>
    <row r="684" spans="1:17" hidden="1">
      <c r="A684" s="1" t="s">
        <v>761</v>
      </c>
      <c r="B684" s="1" t="s">
        <v>780</v>
      </c>
      <c r="C684" s="71">
        <v>129496220702</v>
      </c>
      <c r="D684" s="3">
        <v>1997.16</v>
      </c>
      <c r="E684" s="3">
        <v>11637911.460000001</v>
      </c>
      <c r="F684" s="1" t="s">
        <v>3065</v>
      </c>
      <c r="G684"/>
      <c r="H684"/>
      <c r="I684" s="19">
        <f>-IFERROR(VLOOKUP(C684,SIRCUPA!$A$21:$H$221,8,0),0)</f>
        <v>-30.6</v>
      </c>
      <c r="J684" s="86">
        <f>-IFERROR(VLOOKUP(C684,SIRTAC!$A$16:$H$1458,8,0),0)</f>
        <v>0</v>
      </c>
      <c r="K684" s="86">
        <f>-IFERROR(VLOOKUP(C684,Gastos!$A$9:$J$1451,10,0),0)</f>
        <v>0</v>
      </c>
      <c r="L684" s="86">
        <f>-IFERROR(VLOOKUP(C684,IDC!$A$20:$H$1763,8,0),0)</f>
        <v>-12.24</v>
      </c>
      <c r="M684" s="95">
        <f t="shared" si="22"/>
        <v>2040</v>
      </c>
      <c r="O684" s="1"/>
    </row>
    <row r="685" spans="1:17" hidden="1">
      <c r="A685" s="1" t="s">
        <v>761</v>
      </c>
      <c r="B685" s="1" t="s">
        <v>15</v>
      </c>
      <c r="C685" s="71">
        <v>128923886243</v>
      </c>
      <c r="D685" s="3">
        <v>41115.46</v>
      </c>
      <c r="E685" s="3">
        <v>11679026.92</v>
      </c>
      <c r="F685" s="1" t="s">
        <v>3065</v>
      </c>
      <c r="G685"/>
      <c r="H685"/>
      <c r="I685" s="19">
        <f>-IFERROR(VLOOKUP(C685,SIRCUPA!$A$21:$H$221,8,0),0)</f>
        <v>0</v>
      </c>
      <c r="J685" s="86">
        <f>-IFERROR(VLOOKUP(C685,SIRTAC!$A$16:$H$1458,8,0),0)</f>
        <v>-422</v>
      </c>
      <c r="K685" s="86">
        <f>-IFERROR(VLOOKUP(C685,Gastos!$A$9:$J$1451,10,0),0)</f>
        <v>-409.34</v>
      </c>
      <c r="L685" s="86">
        <f>-IFERROR(VLOOKUP(C685,IDC!$A$20:$H$1763,8,0),0)</f>
        <v>-253.2</v>
      </c>
      <c r="M685" s="95">
        <f t="shared" si="22"/>
        <v>42199.999999999993</v>
      </c>
      <c r="O685" s="1"/>
    </row>
    <row r="686" spans="1:17" hidden="1">
      <c r="A686" s="1" t="s">
        <v>761</v>
      </c>
      <c r="B686" s="1" t="s">
        <v>15</v>
      </c>
      <c r="C686" s="71">
        <v>128923983439</v>
      </c>
      <c r="D686" s="3">
        <v>48713.34</v>
      </c>
      <c r="E686" s="3">
        <v>11727740.26</v>
      </c>
      <c r="F686" s="1" t="s">
        <v>3065</v>
      </c>
      <c r="G686"/>
      <c r="H686"/>
      <c r="I686" s="19">
        <f>-IFERROR(VLOOKUP(C686,SIRCUPA!$A$21:$H$221,8,0),0)</f>
        <v>0</v>
      </c>
      <c r="J686" s="86">
        <f>-IFERROR(VLOOKUP(C686,SIRTAC!$A$16:$H$1458,8,0),0)</f>
        <v>-519</v>
      </c>
      <c r="K686" s="86">
        <f>-IFERROR(VLOOKUP(C686,Gastos!$A$9:$J$1451,10,0),0)</f>
        <v>-2356.2600000000002</v>
      </c>
      <c r="L686" s="86">
        <f>-IFERROR(VLOOKUP(C686,IDC!$A$20:$H$1763,8,0),0)</f>
        <v>-311.39999999999998</v>
      </c>
      <c r="M686" s="95">
        <f t="shared" si="22"/>
        <v>51900</v>
      </c>
      <c r="O686" s="1"/>
    </row>
    <row r="687" spans="1:17" hidden="1">
      <c r="A687" s="1" t="s">
        <v>761</v>
      </c>
      <c r="B687" s="1" t="s">
        <v>15</v>
      </c>
      <c r="C687" s="71">
        <v>128924146425</v>
      </c>
      <c r="D687" s="3">
        <v>10327.58</v>
      </c>
      <c r="E687" s="3">
        <v>11738067.84</v>
      </c>
      <c r="F687" s="1" t="s">
        <v>3065</v>
      </c>
      <c r="G687"/>
      <c r="H687"/>
      <c r="I687" s="19">
        <f>-IFERROR(VLOOKUP(C687,SIRCUPA!$A$21:$H$221,8,0),0)</f>
        <v>0</v>
      </c>
      <c r="J687" s="86">
        <f>-IFERROR(VLOOKUP(C687,SIRTAC!$A$16:$H$1458,8,0),0)</f>
        <v>-106</v>
      </c>
      <c r="K687" s="86">
        <f>-IFERROR(VLOOKUP(C687,Gastos!$A$9:$J$1451,10,0),0)</f>
        <v>-102.82</v>
      </c>
      <c r="L687" s="86">
        <f>-IFERROR(VLOOKUP(C687,IDC!$A$20:$H$1763,8,0),0)</f>
        <v>-63.6</v>
      </c>
      <c r="M687" s="95">
        <f t="shared" si="22"/>
        <v>10600</v>
      </c>
      <c r="O687" s="1"/>
    </row>
    <row r="688" spans="1:17" hidden="1">
      <c r="A688" s="1" t="s">
        <v>761</v>
      </c>
      <c r="B688" s="1" t="s">
        <v>15</v>
      </c>
      <c r="C688" s="71">
        <v>128924489675</v>
      </c>
      <c r="D688" s="3">
        <v>8635.1200000000008</v>
      </c>
      <c r="E688" s="3">
        <v>11746702.960000001</v>
      </c>
      <c r="F688" s="1" t="s">
        <v>3065</v>
      </c>
      <c r="G688"/>
      <c r="H688"/>
      <c r="I688" s="19">
        <f>-IFERROR(VLOOKUP(C688,SIRCUPA!$A$21:$H$221,8,0),0)</f>
        <v>0</v>
      </c>
      <c r="J688" s="86">
        <f>-IFERROR(VLOOKUP(C688,SIRTAC!$A$16:$H$1458,8,0),0)</f>
        <v>-92</v>
      </c>
      <c r="K688" s="86">
        <f>-IFERROR(VLOOKUP(C688,Gastos!$A$9:$J$1451,10,0),0)</f>
        <v>-417.68</v>
      </c>
      <c r="L688" s="86">
        <f>-IFERROR(VLOOKUP(C688,IDC!$A$20:$H$1763,8,0),0)</f>
        <v>-55.2</v>
      </c>
      <c r="M688" s="95">
        <f t="shared" si="22"/>
        <v>9200.0000000000018</v>
      </c>
      <c r="O688" s="1"/>
    </row>
    <row r="689" spans="1:15" hidden="1">
      <c r="A689" s="1" t="s">
        <v>761</v>
      </c>
      <c r="B689" s="1" t="s">
        <v>15</v>
      </c>
      <c r="C689" s="71">
        <v>128924615147</v>
      </c>
      <c r="D689" s="3">
        <v>9840.43</v>
      </c>
      <c r="E689" s="3">
        <v>11756543.390000001</v>
      </c>
      <c r="F689" s="1" t="s">
        <v>3065</v>
      </c>
      <c r="G689"/>
      <c r="H689"/>
      <c r="I689" s="19">
        <f>-IFERROR(VLOOKUP(C689,SIRCUPA!$A$21:$H$221,8,0),0)</f>
        <v>0</v>
      </c>
      <c r="J689" s="86">
        <f>-IFERROR(VLOOKUP(C689,SIRTAC!$A$16:$H$1458,8,0),0)</f>
        <v>-101</v>
      </c>
      <c r="K689" s="86">
        <f>-IFERROR(VLOOKUP(C689,Gastos!$A$9:$J$1451,10,0),0)</f>
        <v>-97.97</v>
      </c>
      <c r="L689" s="86">
        <f>-IFERROR(VLOOKUP(C689,IDC!$A$20:$H$1763,8,0),0)</f>
        <v>-60.6</v>
      </c>
      <c r="M689" s="95">
        <f t="shared" si="22"/>
        <v>10100</v>
      </c>
      <c r="O689" s="1"/>
    </row>
    <row r="690" spans="1:15" hidden="1">
      <c r="A690" s="1" t="s">
        <v>761</v>
      </c>
      <c r="B690" s="1" t="s">
        <v>15</v>
      </c>
      <c r="C690" s="71">
        <v>128924745117</v>
      </c>
      <c r="D690" s="3">
        <v>12665.9</v>
      </c>
      <c r="E690" s="3">
        <v>11769209.289999999</v>
      </c>
      <c r="F690" s="1" t="s">
        <v>3065</v>
      </c>
      <c r="G690"/>
      <c r="H690"/>
      <c r="I690" s="19">
        <f>-IFERROR(VLOOKUP(C690,SIRCUPA!$A$21:$H$221,8,0),0)</f>
        <v>0</v>
      </c>
      <c r="J690" s="86">
        <f>-IFERROR(VLOOKUP(C690,SIRTAC!$A$16:$H$1458,8,0),0)</f>
        <v>-130</v>
      </c>
      <c r="K690" s="86">
        <f>-IFERROR(VLOOKUP(C690,Gastos!$A$9:$J$1451,10,0),0)</f>
        <v>-126.1</v>
      </c>
      <c r="L690" s="86">
        <f>-IFERROR(VLOOKUP(C690,IDC!$A$20:$H$1763,8,0),0)</f>
        <v>-78</v>
      </c>
      <c r="M690" s="95">
        <f t="shared" si="22"/>
        <v>13000</v>
      </c>
      <c r="O690" s="1"/>
    </row>
    <row r="691" spans="1:15" hidden="1">
      <c r="A691" s="1" t="s">
        <v>761</v>
      </c>
      <c r="B691" s="1" t="s">
        <v>15</v>
      </c>
      <c r="C691" s="71">
        <v>128925028115</v>
      </c>
      <c r="D691" s="3">
        <v>10327.58</v>
      </c>
      <c r="E691" s="3">
        <v>11779536.869999999</v>
      </c>
      <c r="F691" s="1" t="s">
        <v>3065</v>
      </c>
      <c r="G691"/>
      <c r="H691"/>
      <c r="I691" s="19">
        <f>-IFERROR(VLOOKUP(C691,SIRCUPA!$A$21:$H$221,8,0),0)</f>
        <v>0</v>
      </c>
      <c r="J691" s="86">
        <f>-IFERROR(VLOOKUP(C691,SIRTAC!$A$16:$H$1458,8,0),0)</f>
        <v>-106</v>
      </c>
      <c r="K691" s="86">
        <f>-IFERROR(VLOOKUP(C691,Gastos!$A$9:$J$1451,10,0),0)</f>
        <v>-102.82</v>
      </c>
      <c r="L691" s="86">
        <f>-IFERROR(VLOOKUP(C691,IDC!$A$20:$H$1763,8,0),0)</f>
        <v>-63.6</v>
      </c>
      <c r="M691" s="95">
        <f t="shared" si="22"/>
        <v>10600</v>
      </c>
      <c r="O691" s="1"/>
    </row>
    <row r="692" spans="1:15" hidden="1">
      <c r="A692" s="1" t="s">
        <v>761</v>
      </c>
      <c r="B692" s="1" t="s">
        <v>15</v>
      </c>
      <c r="C692" s="71">
        <v>128925124795</v>
      </c>
      <c r="D692" s="3">
        <v>4676.6400000000003</v>
      </c>
      <c r="E692" s="3">
        <v>11784213.51</v>
      </c>
      <c r="F692" s="1" t="s">
        <v>3065</v>
      </c>
      <c r="G692"/>
      <c r="H692"/>
      <c r="I692" s="19">
        <f>-IFERROR(VLOOKUP(C692,SIRCUPA!$A$21:$H$221,8,0),0)</f>
        <v>0</v>
      </c>
      <c r="J692" s="86">
        <f>-IFERROR(VLOOKUP(C692,SIRTAC!$A$16:$H$1458,8,0),0)</f>
        <v>-48</v>
      </c>
      <c r="K692" s="86">
        <f>-IFERROR(VLOOKUP(C692,Gastos!$A$9:$J$1451,10,0),0)</f>
        <v>-46.56</v>
      </c>
      <c r="L692" s="86">
        <f>-IFERROR(VLOOKUP(C692,IDC!$A$20:$H$1763,8,0),0)</f>
        <v>-28.8</v>
      </c>
      <c r="M692" s="95">
        <f t="shared" si="22"/>
        <v>4800.0000000000009</v>
      </c>
      <c r="O692" s="1"/>
    </row>
    <row r="693" spans="1:15" hidden="1">
      <c r="A693" s="1" t="s">
        <v>761</v>
      </c>
      <c r="B693" s="1" t="s">
        <v>15</v>
      </c>
      <c r="C693" s="71">
        <v>129497682076</v>
      </c>
      <c r="D693" s="3">
        <v>18121.98</v>
      </c>
      <c r="E693" s="3">
        <v>11802335.49</v>
      </c>
      <c r="F693" s="1" t="s">
        <v>3065</v>
      </c>
      <c r="G693"/>
      <c r="H693"/>
      <c r="I693" s="19">
        <f>-IFERROR(VLOOKUP(C693,SIRCUPA!$A$21:$H$221,8,0),0)</f>
        <v>0</v>
      </c>
      <c r="J693" s="86">
        <f>-IFERROR(VLOOKUP(C693,SIRTAC!$A$16:$H$1458,8,0),0)</f>
        <v>-186</v>
      </c>
      <c r="K693" s="86">
        <f>-IFERROR(VLOOKUP(C693,Gastos!$A$9:$J$1451,10,0),0)</f>
        <v>-180.42</v>
      </c>
      <c r="L693" s="86">
        <f>-IFERROR(VLOOKUP(C693,IDC!$A$20:$H$1763,8,0),0)</f>
        <v>-111.6</v>
      </c>
      <c r="M693" s="95">
        <f t="shared" si="22"/>
        <v>18599.999999999996</v>
      </c>
      <c r="O693" s="1"/>
    </row>
    <row r="694" spans="1:15" hidden="1">
      <c r="A694" s="1" t="s">
        <v>761</v>
      </c>
      <c r="B694" s="1" t="s">
        <v>15</v>
      </c>
      <c r="C694" s="71">
        <v>129497757396</v>
      </c>
      <c r="D694" s="3">
        <v>41602.61</v>
      </c>
      <c r="E694" s="3">
        <v>11843938.1</v>
      </c>
      <c r="F694" s="1" t="s">
        <v>3065</v>
      </c>
      <c r="G694"/>
      <c r="H694"/>
      <c r="I694" s="19">
        <f>-IFERROR(VLOOKUP(C694,SIRCUPA!$A$21:$H$221,8,0),0)</f>
        <v>0</v>
      </c>
      <c r="J694" s="86">
        <f>-IFERROR(VLOOKUP(C694,SIRTAC!$A$16:$H$1458,8,0),0)</f>
        <v>-427</v>
      </c>
      <c r="K694" s="86">
        <f>-IFERROR(VLOOKUP(C694,Gastos!$A$9:$J$1451,10,0),0)</f>
        <v>-414.19</v>
      </c>
      <c r="L694" s="86">
        <f>-IFERROR(VLOOKUP(C694,IDC!$A$20:$H$1763,8,0),0)</f>
        <v>-256.2</v>
      </c>
      <c r="M694" s="95">
        <f t="shared" si="22"/>
        <v>42700</v>
      </c>
      <c r="O694" s="1"/>
    </row>
    <row r="695" spans="1:15" hidden="1">
      <c r="A695" s="1" t="s">
        <v>761</v>
      </c>
      <c r="B695" s="1" t="s">
        <v>15</v>
      </c>
      <c r="C695" s="71">
        <v>128925323397</v>
      </c>
      <c r="D695" s="3">
        <v>76354.39</v>
      </c>
      <c r="E695" s="3">
        <v>11920292.49</v>
      </c>
      <c r="F695" s="1" t="s">
        <v>3065</v>
      </c>
      <c r="G695"/>
      <c r="H695"/>
      <c r="I695" s="19">
        <f>-IFERROR(VLOOKUP(C695,SIRCUPA!$A$21:$H$221,8,0),0)</f>
        <v>0</v>
      </c>
      <c r="J695" s="86">
        <f>-IFERROR(VLOOKUP(C695,SIRTAC!$A$16:$H$1458,8,0),0)</f>
        <v>-841</v>
      </c>
      <c r="K695" s="86">
        <f>-IFERROR(VLOOKUP(C695,Gastos!$A$9:$J$1451,10,0),0)</f>
        <v>-6400.01</v>
      </c>
      <c r="L695" s="86">
        <f>-IFERROR(VLOOKUP(C695,IDC!$A$20:$H$1763,8,0),0)</f>
        <v>-504.6</v>
      </c>
      <c r="M695" s="95">
        <f t="shared" si="22"/>
        <v>84100</v>
      </c>
      <c r="O695" s="1"/>
    </row>
    <row r="696" spans="1:15" hidden="1">
      <c r="A696" s="1" t="s">
        <v>761</v>
      </c>
      <c r="B696" s="1" t="s">
        <v>15</v>
      </c>
      <c r="C696" s="71">
        <v>128925850887</v>
      </c>
      <c r="D696" s="3">
        <v>64498.66</v>
      </c>
      <c r="E696" s="3">
        <v>11984791.15</v>
      </c>
      <c r="F696" s="1" t="s">
        <v>3065</v>
      </c>
      <c r="G696"/>
      <c r="H696"/>
      <c r="I696" s="19">
        <f>-IFERROR(VLOOKUP(C696,SIRCUPA!$A$21:$H$221,8,0),0)</f>
        <v>0</v>
      </c>
      <c r="J696" s="86">
        <f>-IFERROR(VLOOKUP(C696,SIRTAC!$A$16:$H$1458,8,0),0)</f>
        <v>-662</v>
      </c>
      <c r="K696" s="86">
        <f>-IFERROR(VLOOKUP(C696,Gastos!$A$9:$J$1451,10,0),0)</f>
        <v>-642.14</v>
      </c>
      <c r="L696" s="86">
        <f>-IFERROR(VLOOKUP(C696,IDC!$A$20:$H$1763,8,0),0)</f>
        <v>-397.2</v>
      </c>
      <c r="M696" s="95">
        <f t="shared" si="22"/>
        <v>66200</v>
      </c>
      <c r="O696" s="1"/>
    </row>
    <row r="697" spans="1:15" hidden="1">
      <c r="A697" s="1" t="s">
        <v>761</v>
      </c>
      <c r="B697" s="1" t="s">
        <v>794</v>
      </c>
      <c r="C697" s="71">
        <v>129498298984</v>
      </c>
      <c r="D697" s="3">
        <v>6480.98</v>
      </c>
      <c r="E697" s="3">
        <v>11991272.130000001</v>
      </c>
      <c r="F697" s="1" t="s">
        <v>3065</v>
      </c>
      <c r="G697"/>
      <c r="H697"/>
      <c r="I697" s="19">
        <f>-IFERROR(VLOOKUP(C697,SIRCUPA!$A$21:$H$221,8,0),0)</f>
        <v>-99.3</v>
      </c>
      <c r="J697" s="86">
        <f>-IFERROR(VLOOKUP(C697,SIRTAC!$A$16:$H$1458,8,0),0)</f>
        <v>0</v>
      </c>
      <c r="K697" s="86">
        <f>-IFERROR(VLOOKUP(C697,Gastos!$A$9:$J$1451,10,0),0)</f>
        <v>0</v>
      </c>
      <c r="L697" s="86">
        <f>-IFERROR(VLOOKUP(C697,IDC!$A$20:$H$1763,8,0),0)</f>
        <v>-39.72</v>
      </c>
      <c r="M697" s="95">
        <f t="shared" si="22"/>
        <v>6620</v>
      </c>
      <c r="O697" s="1"/>
    </row>
    <row r="698" spans="1:15" hidden="1">
      <c r="A698" s="1" t="s">
        <v>761</v>
      </c>
      <c r="B698" s="1" t="s">
        <v>15</v>
      </c>
      <c r="C698" s="71">
        <v>129498257936</v>
      </c>
      <c r="D698" s="3">
        <v>9158.42</v>
      </c>
      <c r="E698" s="3">
        <v>12000430.550000001</v>
      </c>
      <c r="F698" s="1" t="s">
        <v>3065</v>
      </c>
      <c r="G698"/>
      <c r="H698"/>
      <c r="I698" s="19">
        <f>-IFERROR(VLOOKUP(C698,SIRCUPA!$A$21:$H$221,8,0),0)</f>
        <v>0</v>
      </c>
      <c r="J698" s="86">
        <f>-IFERROR(VLOOKUP(C698,SIRTAC!$A$16:$H$1458,8,0),0)</f>
        <v>-94</v>
      </c>
      <c r="K698" s="86">
        <f>-IFERROR(VLOOKUP(C698,Gastos!$A$9:$J$1451,10,0),0)</f>
        <v>-91.18</v>
      </c>
      <c r="L698" s="86">
        <f>-IFERROR(VLOOKUP(C698,IDC!$A$20:$H$1763,8,0),0)</f>
        <v>-56.4</v>
      </c>
      <c r="M698" s="95">
        <f t="shared" si="22"/>
        <v>9400</v>
      </c>
      <c r="O698" s="1"/>
    </row>
    <row r="699" spans="1:15" hidden="1">
      <c r="A699" s="1" t="s">
        <v>761</v>
      </c>
      <c r="B699" s="1" t="s">
        <v>15</v>
      </c>
      <c r="C699" s="71">
        <v>128926011103</v>
      </c>
      <c r="D699" s="3">
        <v>4676.6400000000003</v>
      </c>
      <c r="E699" s="3">
        <v>12005107.189999999</v>
      </c>
      <c r="F699" s="1" t="s">
        <v>3065</v>
      </c>
      <c r="G699"/>
      <c r="H699"/>
      <c r="I699" s="19">
        <f>-IFERROR(VLOOKUP(C699,SIRCUPA!$A$21:$H$221,8,0),0)</f>
        <v>0</v>
      </c>
      <c r="J699" s="86">
        <f>-IFERROR(VLOOKUP(C699,SIRTAC!$A$16:$H$1458,8,0),0)</f>
        <v>-48</v>
      </c>
      <c r="K699" s="86">
        <f>-IFERROR(VLOOKUP(C699,Gastos!$A$9:$J$1451,10,0),0)</f>
        <v>-46.56</v>
      </c>
      <c r="L699" s="86">
        <f>-IFERROR(VLOOKUP(C699,IDC!$A$20:$H$1763,8,0),0)</f>
        <v>-28.8</v>
      </c>
      <c r="M699" s="95">
        <f t="shared" si="22"/>
        <v>4800.0000000000009</v>
      </c>
      <c r="O699" s="1"/>
    </row>
    <row r="700" spans="1:15" hidden="1">
      <c r="A700" s="1" t="s">
        <v>761</v>
      </c>
      <c r="B700" s="1" t="s">
        <v>15</v>
      </c>
      <c r="C700" s="71">
        <v>129498617424</v>
      </c>
      <c r="D700" s="3">
        <v>37802.839999999997</v>
      </c>
      <c r="E700" s="3">
        <v>12042910.029999999</v>
      </c>
      <c r="F700" s="1" t="s">
        <v>3065</v>
      </c>
      <c r="G700"/>
      <c r="H700"/>
      <c r="I700" s="19">
        <f>-IFERROR(VLOOKUP(C700,SIRCUPA!$A$21:$H$221,8,0),0)</f>
        <v>0</v>
      </c>
      <c r="J700" s="86">
        <f>-IFERROR(VLOOKUP(C700,SIRTAC!$A$16:$H$1458,8,0),0)</f>
        <v>-388</v>
      </c>
      <c r="K700" s="86">
        <f>-IFERROR(VLOOKUP(C700,Gastos!$A$9:$J$1451,10,0),0)</f>
        <v>-376.36</v>
      </c>
      <c r="L700" s="86">
        <f>-IFERROR(VLOOKUP(C700,IDC!$A$20:$H$1763,8,0),0)</f>
        <v>-232.8</v>
      </c>
      <c r="M700" s="95">
        <f t="shared" si="22"/>
        <v>38800</v>
      </c>
      <c r="O700" s="1"/>
    </row>
    <row r="701" spans="1:15" hidden="1">
      <c r="A701" s="1" t="s">
        <v>761</v>
      </c>
      <c r="B701" s="1" t="s">
        <v>15</v>
      </c>
      <c r="C701" s="71">
        <v>129498761266</v>
      </c>
      <c r="D701" s="3">
        <v>17927.12</v>
      </c>
      <c r="E701" s="3">
        <v>12060837.15</v>
      </c>
      <c r="F701" s="1" t="s">
        <v>3065</v>
      </c>
      <c r="G701"/>
      <c r="H701"/>
      <c r="I701" s="19">
        <f>-IFERROR(VLOOKUP(C701,SIRCUPA!$A$21:$H$221,8,0),0)</f>
        <v>0</v>
      </c>
      <c r="J701" s="86">
        <f>-IFERROR(VLOOKUP(C701,SIRTAC!$A$16:$H$1458,8,0),0)</f>
        <v>-184</v>
      </c>
      <c r="K701" s="86">
        <f>-IFERROR(VLOOKUP(C701,Gastos!$A$9:$J$1451,10,0),0)</f>
        <v>-178.48</v>
      </c>
      <c r="L701" s="86">
        <f>-IFERROR(VLOOKUP(C701,IDC!$A$20:$H$1763,8,0),0)</f>
        <v>-110.4</v>
      </c>
      <c r="M701" s="95">
        <f t="shared" si="22"/>
        <v>18400</v>
      </c>
      <c r="O701" s="1"/>
    </row>
    <row r="702" spans="1:15" hidden="1">
      <c r="A702" s="1" t="s">
        <v>761</v>
      </c>
      <c r="B702" s="1" t="s">
        <v>15</v>
      </c>
      <c r="C702" s="71">
        <v>129499008366</v>
      </c>
      <c r="D702" s="3">
        <v>4092.06</v>
      </c>
      <c r="E702" s="3">
        <v>12064929.210000001</v>
      </c>
      <c r="F702" s="1" t="s">
        <v>3065</v>
      </c>
      <c r="G702"/>
      <c r="H702"/>
      <c r="I702" s="19">
        <f>-IFERROR(VLOOKUP(C702,SIRCUPA!$A$21:$H$221,8,0),0)</f>
        <v>0</v>
      </c>
      <c r="J702" s="86">
        <f>-IFERROR(VLOOKUP(C702,SIRTAC!$A$16:$H$1458,8,0),0)</f>
        <v>-42</v>
      </c>
      <c r="K702" s="86">
        <f>-IFERROR(VLOOKUP(C702,Gastos!$A$9:$J$1451,10,0),0)</f>
        <v>-40.74</v>
      </c>
      <c r="L702" s="86">
        <f>-IFERROR(VLOOKUP(C702,IDC!$A$20:$H$1763,8,0),0)</f>
        <v>-25.2</v>
      </c>
      <c r="M702" s="95">
        <f t="shared" si="22"/>
        <v>4199.9999999999991</v>
      </c>
      <c r="O702" s="1"/>
    </row>
    <row r="703" spans="1:15" hidden="1">
      <c r="A703" s="1" t="s">
        <v>761</v>
      </c>
      <c r="B703" s="1" t="s">
        <v>801</v>
      </c>
      <c r="C703" s="71">
        <v>128926303123</v>
      </c>
      <c r="D703" s="2">
        <v>205.59</v>
      </c>
      <c r="E703" s="3">
        <v>12065134.800000001</v>
      </c>
      <c r="F703" s="1" t="s">
        <v>3065</v>
      </c>
      <c r="G703"/>
      <c r="H703"/>
      <c r="I703" s="19">
        <f>-IFERROR(VLOOKUP(C703,SIRCUPA!$A$21:$H$221,8,0),0)</f>
        <v>-3.15</v>
      </c>
      <c r="J703" s="86">
        <f>-IFERROR(VLOOKUP(C703,SIRTAC!$A$16:$H$1458,8,0),0)</f>
        <v>0</v>
      </c>
      <c r="K703" s="86">
        <f>-IFERROR(VLOOKUP(C703,Gastos!$A$9:$J$1451,10,0),0)</f>
        <v>0</v>
      </c>
      <c r="L703" s="86">
        <f>-IFERROR(VLOOKUP(C703,IDC!$A$20:$H$1763,8,0),0)</f>
        <v>-1.26</v>
      </c>
      <c r="M703" s="95">
        <f t="shared" si="22"/>
        <v>210</v>
      </c>
      <c r="O703" s="1"/>
    </row>
    <row r="704" spans="1:15" hidden="1">
      <c r="A704" s="1" t="s">
        <v>761</v>
      </c>
      <c r="B704" s="1" t="s">
        <v>15</v>
      </c>
      <c r="C704" s="71">
        <v>129498994698</v>
      </c>
      <c r="D704" s="3">
        <v>80960.789999999994</v>
      </c>
      <c r="E704" s="3">
        <v>12146095.59</v>
      </c>
      <c r="F704" s="1" t="s">
        <v>3065</v>
      </c>
      <c r="G704"/>
      <c r="H704"/>
      <c r="I704" s="19">
        <f>-IFERROR(VLOOKUP(C704,SIRCUPA!$A$21:$H$221,8,0),0)</f>
        <v>0</v>
      </c>
      <c r="J704" s="86">
        <f>-IFERROR(VLOOKUP(C704,SIRTAC!$A$16:$H$1458,8,0),0)</f>
        <v>-857</v>
      </c>
      <c r="K704" s="86">
        <f>-IFERROR(VLOOKUP(C704,Gastos!$A$9:$J$1451,10,0),0)</f>
        <v>-3368.01</v>
      </c>
      <c r="L704" s="86">
        <f>-IFERROR(VLOOKUP(C704,IDC!$A$20:$H$1763,8,0),0)</f>
        <v>-514.20000000000005</v>
      </c>
      <c r="M704" s="95">
        <f t="shared" si="22"/>
        <v>85699.999999999985</v>
      </c>
      <c r="O704" s="1"/>
    </row>
    <row r="705" spans="1:15" hidden="1">
      <c r="A705" s="1" t="s">
        <v>761</v>
      </c>
      <c r="B705" s="1" t="s">
        <v>15</v>
      </c>
      <c r="C705" s="71">
        <v>129499208348</v>
      </c>
      <c r="D705" s="3">
        <v>8822.84</v>
      </c>
      <c r="E705" s="3">
        <v>12154918.43</v>
      </c>
      <c r="F705" s="1" t="s">
        <v>3065</v>
      </c>
      <c r="G705"/>
      <c r="H705"/>
      <c r="I705" s="19">
        <f>-IFERROR(VLOOKUP(C705,SIRCUPA!$A$21:$H$221,8,0),0)</f>
        <v>0</v>
      </c>
      <c r="J705" s="86">
        <f>-IFERROR(VLOOKUP(C705,SIRTAC!$A$16:$H$1458,8,0),0)</f>
        <v>-94</v>
      </c>
      <c r="K705" s="86">
        <f>-IFERROR(VLOOKUP(C705,Gastos!$A$9:$J$1451,10,0),0)</f>
        <v>-426.76</v>
      </c>
      <c r="L705" s="86">
        <f>-IFERROR(VLOOKUP(C705,IDC!$A$20:$H$1763,8,0),0)</f>
        <v>-56.4</v>
      </c>
      <c r="M705" s="95">
        <f t="shared" si="22"/>
        <v>9400</v>
      </c>
      <c r="O705" s="1"/>
    </row>
    <row r="706" spans="1:15" hidden="1">
      <c r="A706" s="1" t="s">
        <v>761</v>
      </c>
      <c r="B706" s="1" t="s">
        <v>15</v>
      </c>
      <c r="C706" s="71">
        <v>129499227386</v>
      </c>
      <c r="D706" s="3">
        <v>42382.05</v>
      </c>
      <c r="E706" s="3">
        <v>12197300.48</v>
      </c>
      <c r="F706" s="1" t="s">
        <v>3065</v>
      </c>
      <c r="G706"/>
      <c r="H706"/>
      <c r="I706" s="19">
        <f>-IFERROR(VLOOKUP(C706,SIRCUPA!$A$21:$H$221,8,0),0)</f>
        <v>0</v>
      </c>
      <c r="J706" s="86">
        <f>-IFERROR(VLOOKUP(C706,SIRTAC!$A$16:$H$1458,8,0),0)</f>
        <v>-435</v>
      </c>
      <c r="K706" s="86">
        <f>-IFERROR(VLOOKUP(C706,Gastos!$A$9:$J$1451,10,0),0)</f>
        <v>-421.95</v>
      </c>
      <c r="L706" s="86">
        <f>-IFERROR(VLOOKUP(C706,IDC!$A$20:$H$1763,8,0),0)</f>
        <v>-261</v>
      </c>
      <c r="M706" s="95">
        <f t="shared" si="22"/>
        <v>43500</v>
      </c>
      <c r="O706" s="1"/>
    </row>
    <row r="707" spans="1:15" hidden="1">
      <c r="A707" s="1" t="s">
        <v>761</v>
      </c>
      <c r="B707" s="1" t="s">
        <v>15</v>
      </c>
      <c r="C707" s="71">
        <v>129499287010</v>
      </c>
      <c r="D707" s="3">
        <v>9743</v>
      </c>
      <c r="E707" s="3">
        <v>12207043.48</v>
      </c>
      <c r="F707" s="1" t="s">
        <v>3065</v>
      </c>
      <c r="G707"/>
      <c r="H707"/>
      <c r="I707" s="19">
        <f>-IFERROR(VLOOKUP(C707,SIRCUPA!$A$21:$H$221,8,0),0)</f>
        <v>0</v>
      </c>
      <c r="J707" s="86">
        <f>-IFERROR(VLOOKUP(C707,SIRTAC!$A$16:$H$1458,8,0),0)</f>
        <v>-100</v>
      </c>
      <c r="K707" s="86">
        <f>-IFERROR(VLOOKUP(C707,Gastos!$A$9:$J$1451,10,0),0)</f>
        <v>-97</v>
      </c>
      <c r="L707" s="86">
        <f>-IFERROR(VLOOKUP(C707,IDC!$A$20:$H$1763,8,0),0)</f>
        <v>-60</v>
      </c>
      <c r="M707" s="95">
        <f t="shared" si="22"/>
        <v>10000</v>
      </c>
      <c r="O707" s="1"/>
    </row>
    <row r="708" spans="1:15" hidden="1">
      <c r="A708" s="1" t="s">
        <v>761</v>
      </c>
      <c r="B708" s="1" t="s">
        <v>807</v>
      </c>
      <c r="C708" s="71">
        <v>128926832933</v>
      </c>
      <c r="D708" s="2">
        <v>979</v>
      </c>
      <c r="E708" s="3">
        <v>12208022.48</v>
      </c>
      <c r="F708" s="1" t="s">
        <v>3065</v>
      </c>
      <c r="G708"/>
      <c r="H708"/>
      <c r="I708" s="19">
        <f>-IFERROR(VLOOKUP(C708,SIRCUPA!$A$21:$H$221,8,0),0)</f>
        <v>-15</v>
      </c>
      <c r="J708" s="86">
        <f>-IFERROR(VLOOKUP(C708,SIRTAC!$A$16:$H$1458,8,0),0)</f>
        <v>0</v>
      </c>
      <c r="K708" s="86">
        <f>-IFERROR(VLOOKUP(C708,Gastos!$A$9:$J$1451,10,0),0)</f>
        <v>0</v>
      </c>
      <c r="L708" s="86">
        <f>-IFERROR(VLOOKUP(C708,IDC!$A$20:$H$1763,8,0),0)</f>
        <v>-6</v>
      </c>
      <c r="M708" s="95">
        <f t="shared" si="22"/>
        <v>1000</v>
      </c>
      <c r="O708" s="1"/>
    </row>
    <row r="709" spans="1:15" hidden="1">
      <c r="A709" s="1" t="s">
        <v>761</v>
      </c>
      <c r="B709" s="1" t="s">
        <v>15</v>
      </c>
      <c r="C709" s="71">
        <v>129499309216</v>
      </c>
      <c r="D709" s="3">
        <v>8768.7000000000007</v>
      </c>
      <c r="E709" s="3">
        <v>12216791.18</v>
      </c>
      <c r="F709" s="1" t="s">
        <v>3065</v>
      </c>
      <c r="G709"/>
      <c r="H709"/>
      <c r="I709" s="19">
        <f>-IFERROR(VLOOKUP(C709,SIRCUPA!$A$21:$H$221,8,0),0)</f>
        <v>0</v>
      </c>
      <c r="J709" s="86">
        <f>-IFERROR(VLOOKUP(C709,SIRTAC!$A$16:$H$1458,8,0),0)</f>
        <v>-90</v>
      </c>
      <c r="K709" s="86">
        <f>-IFERROR(VLOOKUP(C709,Gastos!$A$9:$J$1451,10,0),0)</f>
        <v>-87.3</v>
      </c>
      <c r="L709" s="86">
        <f>-IFERROR(VLOOKUP(C709,IDC!$A$20:$H$1763,8,0),0)</f>
        <v>-54</v>
      </c>
      <c r="M709" s="95">
        <f t="shared" si="22"/>
        <v>9000</v>
      </c>
      <c r="O709" s="1"/>
    </row>
    <row r="710" spans="1:15" hidden="1">
      <c r="A710" s="1" t="s">
        <v>761</v>
      </c>
      <c r="B710" s="1" t="s">
        <v>15</v>
      </c>
      <c r="C710" s="71">
        <v>128927187489</v>
      </c>
      <c r="D710" s="3">
        <v>163390.10999999999</v>
      </c>
      <c r="E710" s="3">
        <v>12380181.289999999</v>
      </c>
      <c r="F710" s="1" t="s">
        <v>3065</v>
      </c>
      <c r="G710"/>
      <c r="H710"/>
      <c r="I710" s="19">
        <f>-IFERROR(VLOOKUP(C710,SIRCUPA!$A$21:$H$221,8,0),0)</f>
        <v>0</v>
      </c>
      <c r="J710" s="86">
        <f>-IFERROR(VLOOKUP(C710,SIRTAC!$A$16:$H$1458,8,0),0)</f>
        <v>-1677</v>
      </c>
      <c r="K710" s="86">
        <f>-IFERROR(VLOOKUP(C710,Gastos!$A$9:$J$1451,10,0),0)</f>
        <v>-1626.69</v>
      </c>
      <c r="L710" s="86">
        <f>-IFERROR(VLOOKUP(C710,IDC!$A$20:$H$1763,8,0),0)</f>
        <v>-1006.2</v>
      </c>
      <c r="M710" s="95">
        <f t="shared" si="22"/>
        <v>167700</v>
      </c>
      <c r="O710" s="1"/>
    </row>
    <row r="711" spans="1:15" hidden="1">
      <c r="A711" s="1" t="s">
        <v>761</v>
      </c>
      <c r="B711" s="1" t="s">
        <v>15</v>
      </c>
      <c r="C711" s="71">
        <v>128927240081</v>
      </c>
      <c r="D711" s="3">
        <v>7599.54</v>
      </c>
      <c r="E711" s="3">
        <v>12387780.83</v>
      </c>
      <c r="F711" s="1" t="s">
        <v>3065</v>
      </c>
      <c r="G711"/>
      <c r="H711"/>
      <c r="I711" s="19">
        <f>-IFERROR(VLOOKUP(C711,SIRCUPA!$A$21:$H$221,8,0),0)</f>
        <v>0</v>
      </c>
      <c r="J711" s="86">
        <f>-IFERROR(VLOOKUP(C711,SIRTAC!$A$16:$H$1458,8,0),0)</f>
        <v>-78</v>
      </c>
      <c r="K711" s="86">
        <f>-IFERROR(VLOOKUP(C711,Gastos!$A$9:$J$1451,10,0),0)</f>
        <v>-75.66</v>
      </c>
      <c r="L711" s="86">
        <f>-IFERROR(VLOOKUP(C711,IDC!$A$20:$H$1763,8,0),0)</f>
        <v>-46.8</v>
      </c>
      <c r="M711" s="95">
        <f t="shared" si="22"/>
        <v>7800</v>
      </c>
      <c r="O711" s="1"/>
    </row>
    <row r="712" spans="1:15" hidden="1">
      <c r="A712" s="1" t="s">
        <v>761</v>
      </c>
      <c r="B712" s="1" t="s">
        <v>15</v>
      </c>
      <c r="C712" s="71">
        <v>128927347565</v>
      </c>
      <c r="D712" s="3">
        <v>14614.5</v>
      </c>
      <c r="E712" s="3">
        <v>12402395.33</v>
      </c>
      <c r="F712" s="1" t="s">
        <v>3065</v>
      </c>
      <c r="G712"/>
      <c r="H712"/>
      <c r="I712" s="19">
        <f>-IFERROR(VLOOKUP(C712,SIRCUPA!$A$21:$H$221,8,0),0)</f>
        <v>0</v>
      </c>
      <c r="J712" s="86">
        <f>-IFERROR(VLOOKUP(C712,SIRTAC!$A$16:$H$1458,8,0),0)</f>
        <v>-150</v>
      </c>
      <c r="K712" s="86">
        <f>-IFERROR(VLOOKUP(C712,Gastos!$A$9:$J$1451,10,0),0)</f>
        <v>-145.5</v>
      </c>
      <c r="L712" s="86">
        <f>-IFERROR(VLOOKUP(C712,IDC!$A$20:$H$1763,8,0),0)</f>
        <v>-90</v>
      </c>
      <c r="M712" s="95">
        <f t="shared" si="22"/>
        <v>15000</v>
      </c>
      <c r="O712" s="1"/>
    </row>
    <row r="713" spans="1:15" hidden="1">
      <c r="A713" s="1" t="s">
        <v>761</v>
      </c>
      <c r="B713" s="1" t="s">
        <v>15</v>
      </c>
      <c r="C713" s="71">
        <v>129500372322</v>
      </c>
      <c r="D713" s="3">
        <v>27280.400000000001</v>
      </c>
      <c r="E713" s="3">
        <v>12429675.73</v>
      </c>
      <c r="F713" s="1" t="s">
        <v>3065</v>
      </c>
      <c r="G713"/>
      <c r="H713"/>
      <c r="I713" s="19">
        <f>-IFERROR(VLOOKUP(C713,SIRCUPA!$A$21:$H$221,8,0),0)</f>
        <v>0</v>
      </c>
      <c r="J713" s="86">
        <f>-IFERROR(VLOOKUP(C713,SIRTAC!$A$16:$H$1458,8,0),0)</f>
        <v>-280</v>
      </c>
      <c r="K713" s="86">
        <f>-IFERROR(VLOOKUP(C713,Gastos!$A$9:$J$1451,10,0),0)</f>
        <v>-271.60000000000002</v>
      </c>
      <c r="L713" s="86">
        <f>-IFERROR(VLOOKUP(C713,IDC!$A$20:$H$1763,8,0),0)</f>
        <v>-168</v>
      </c>
      <c r="M713" s="95">
        <f t="shared" si="22"/>
        <v>28000</v>
      </c>
      <c r="O713" s="1"/>
    </row>
    <row r="714" spans="1:15" hidden="1">
      <c r="A714" s="1" t="s">
        <v>761</v>
      </c>
      <c r="B714" s="1" t="s">
        <v>15</v>
      </c>
      <c r="C714" s="71">
        <v>129500491858</v>
      </c>
      <c r="D714" s="3">
        <v>73657.08</v>
      </c>
      <c r="E714" s="3">
        <v>12503332.810000001</v>
      </c>
      <c r="F714" s="1" t="s">
        <v>3065</v>
      </c>
      <c r="G714"/>
      <c r="H714"/>
      <c r="I714" s="19">
        <f>-IFERROR(VLOOKUP(C714,SIRCUPA!$A$21:$H$221,8,0),0)</f>
        <v>0</v>
      </c>
      <c r="J714" s="86">
        <f>-IFERROR(VLOOKUP(C714,SIRTAC!$A$16:$H$1458,8,0),0)</f>
        <v>-756</v>
      </c>
      <c r="K714" s="86">
        <f>-IFERROR(VLOOKUP(C714,Gastos!$A$9:$J$1451,10,0),0)</f>
        <v>-733.32</v>
      </c>
      <c r="L714" s="86">
        <f>-IFERROR(VLOOKUP(C714,IDC!$A$20:$H$1763,8,0),0)</f>
        <v>-453.6</v>
      </c>
      <c r="M714" s="95">
        <f t="shared" si="22"/>
        <v>75600.000000000015</v>
      </c>
      <c r="O714" s="1"/>
    </row>
    <row r="715" spans="1:15" hidden="1">
      <c r="A715" s="1" t="s">
        <v>761</v>
      </c>
      <c r="B715" s="1" t="s">
        <v>15</v>
      </c>
      <c r="C715" s="71">
        <v>128928139243</v>
      </c>
      <c r="D715" s="3">
        <v>64985.81</v>
      </c>
      <c r="E715" s="3">
        <v>12568318.619999999</v>
      </c>
      <c r="F715" s="1" t="s">
        <v>3065</v>
      </c>
      <c r="G715"/>
      <c r="H715"/>
      <c r="I715" s="19">
        <f>-IFERROR(VLOOKUP(C715,SIRCUPA!$A$21:$H$221,8,0),0)</f>
        <v>0</v>
      </c>
      <c r="J715" s="86">
        <f>-IFERROR(VLOOKUP(C715,SIRTAC!$A$16:$H$1458,8,0),0)</f>
        <v>-667</v>
      </c>
      <c r="K715" s="86">
        <f>-IFERROR(VLOOKUP(C715,Gastos!$A$9:$J$1451,10,0),0)</f>
        <v>-646.99</v>
      </c>
      <c r="L715" s="86">
        <f>-IFERROR(VLOOKUP(C715,IDC!$A$20:$H$1763,8,0),0)</f>
        <v>-400.2</v>
      </c>
      <c r="M715" s="95">
        <f t="shared" si="22"/>
        <v>66700</v>
      </c>
      <c r="O715" s="1"/>
    </row>
    <row r="716" spans="1:15" hidden="1">
      <c r="A716" s="1" t="s">
        <v>761</v>
      </c>
      <c r="B716" s="1" t="s">
        <v>15</v>
      </c>
      <c r="C716" s="71">
        <v>128928251957</v>
      </c>
      <c r="D716" s="3">
        <v>30203.3</v>
      </c>
      <c r="E716" s="3">
        <v>12598521.92</v>
      </c>
      <c r="F716" s="1" t="s">
        <v>3065</v>
      </c>
      <c r="G716"/>
      <c r="H716"/>
      <c r="I716" s="19">
        <f>-IFERROR(VLOOKUP(C716,SIRCUPA!$A$21:$H$221,8,0),0)</f>
        <v>0</v>
      </c>
      <c r="J716" s="86">
        <f>-IFERROR(VLOOKUP(C716,SIRTAC!$A$16:$H$1458,8,0),0)</f>
        <v>-310</v>
      </c>
      <c r="K716" s="86">
        <f>-IFERROR(VLOOKUP(C716,Gastos!$A$9:$J$1451,10,0),0)</f>
        <v>-300.7</v>
      </c>
      <c r="L716" s="86">
        <f>-IFERROR(VLOOKUP(C716,IDC!$A$20:$H$1763,8,0),0)</f>
        <v>-186</v>
      </c>
      <c r="M716" s="95">
        <f t="shared" si="22"/>
        <v>31000</v>
      </c>
      <c r="O716" s="1"/>
    </row>
    <row r="717" spans="1:15" hidden="1">
      <c r="A717" s="1" t="s">
        <v>761</v>
      </c>
      <c r="B717" s="1" t="s">
        <v>15</v>
      </c>
      <c r="C717" s="71">
        <v>129500767252</v>
      </c>
      <c r="D717" s="3">
        <v>23239.62</v>
      </c>
      <c r="E717" s="3">
        <v>12621761.539999999</v>
      </c>
      <c r="F717" s="1" t="s">
        <v>3065</v>
      </c>
      <c r="G717"/>
      <c r="H717"/>
      <c r="I717" s="19">
        <f>-IFERROR(VLOOKUP(C717,SIRCUPA!$A$21:$H$221,8,0),0)</f>
        <v>0</v>
      </c>
      <c r="J717" s="86">
        <f>-IFERROR(VLOOKUP(C717,SIRTAC!$A$16:$H$1458,8,0),0)</f>
        <v>-246</v>
      </c>
      <c r="K717" s="86">
        <f>-IFERROR(VLOOKUP(C717,Gastos!$A$9:$J$1451,10,0),0)</f>
        <v>-966.78</v>
      </c>
      <c r="L717" s="86">
        <f>-IFERROR(VLOOKUP(C717,IDC!$A$20:$H$1763,8,0),0)</f>
        <v>-147.6</v>
      </c>
      <c r="M717" s="95">
        <f t="shared" si="22"/>
        <v>24599.999999999996</v>
      </c>
      <c r="O717" s="1"/>
    </row>
    <row r="718" spans="1:15" hidden="1">
      <c r="A718" s="1" t="s">
        <v>761</v>
      </c>
      <c r="B718" s="1" t="s">
        <v>15</v>
      </c>
      <c r="C718" s="71">
        <v>128928488341</v>
      </c>
      <c r="D718" s="3">
        <v>13618.5</v>
      </c>
      <c r="E718" s="3">
        <v>12635380.039999999</v>
      </c>
      <c r="F718" s="1" t="s">
        <v>3065</v>
      </c>
      <c r="G718"/>
      <c r="H718"/>
      <c r="I718" s="19">
        <f>-IFERROR(VLOOKUP(C718,SIRCUPA!$A$21:$H$221,8,0),0)</f>
        <v>0</v>
      </c>
      <c r="J718" s="86">
        <f>-IFERROR(VLOOKUP(C718,SIRTAC!$A$16:$H$1458,8,0),0)</f>
        <v>-150</v>
      </c>
      <c r="K718" s="86">
        <f>-IFERROR(VLOOKUP(C718,Gastos!$A$9:$J$1451,10,0),0)</f>
        <v>-1141.5</v>
      </c>
      <c r="L718" s="86">
        <f>-IFERROR(VLOOKUP(C718,IDC!$A$20:$H$1763,8,0),0)</f>
        <v>-90</v>
      </c>
      <c r="M718" s="95">
        <f t="shared" si="22"/>
        <v>15000</v>
      </c>
      <c r="O718" s="1"/>
    </row>
    <row r="719" spans="1:15" hidden="1">
      <c r="A719" s="1" t="s">
        <v>761</v>
      </c>
      <c r="B719" s="1" t="s">
        <v>15</v>
      </c>
      <c r="C719" s="71">
        <v>129500923562</v>
      </c>
      <c r="D719" s="3">
        <v>10327.58</v>
      </c>
      <c r="E719" s="3">
        <v>12645707.619999999</v>
      </c>
      <c r="F719" s="1" t="s">
        <v>3065</v>
      </c>
      <c r="G719"/>
      <c r="H719"/>
      <c r="I719" s="19">
        <f>-IFERROR(VLOOKUP(C719,SIRCUPA!$A$21:$H$221,8,0),0)</f>
        <v>0</v>
      </c>
      <c r="J719" s="86">
        <f>-IFERROR(VLOOKUP(C719,SIRTAC!$A$16:$H$1458,8,0),0)</f>
        <v>-106</v>
      </c>
      <c r="K719" s="86">
        <f>-IFERROR(VLOOKUP(C719,Gastos!$A$9:$J$1451,10,0),0)</f>
        <v>-102.82</v>
      </c>
      <c r="L719" s="86">
        <f>-IFERROR(VLOOKUP(C719,IDC!$A$20:$H$1763,8,0),0)</f>
        <v>-63.6</v>
      </c>
      <c r="M719" s="95">
        <f t="shared" si="22"/>
        <v>10600</v>
      </c>
      <c r="O719" s="1"/>
    </row>
    <row r="720" spans="1:15" hidden="1">
      <c r="A720" s="1" t="s">
        <v>761</v>
      </c>
      <c r="B720" s="1" t="s">
        <v>15</v>
      </c>
      <c r="C720" s="71">
        <v>129500992922</v>
      </c>
      <c r="D720" s="3">
        <v>14029.92</v>
      </c>
      <c r="E720" s="3">
        <v>12659737.539999999</v>
      </c>
      <c r="F720" s="1" t="s">
        <v>3065</v>
      </c>
      <c r="G720"/>
      <c r="H720"/>
      <c r="I720" s="19">
        <f>-IFERROR(VLOOKUP(C720,SIRCUPA!$A$21:$H$221,8,0),0)</f>
        <v>0</v>
      </c>
      <c r="J720" s="86">
        <f>-IFERROR(VLOOKUP(C720,SIRTAC!$A$16:$H$1458,8,0),0)</f>
        <v>-144</v>
      </c>
      <c r="K720" s="86">
        <f>-IFERROR(VLOOKUP(C720,Gastos!$A$9:$J$1451,10,0),0)</f>
        <v>-139.68</v>
      </c>
      <c r="L720" s="86">
        <f>-IFERROR(VLOOKUP(C720,IDC!$A$20:$H$1763,8,0),0)</f>
        <v>-86.4</v>
      </c>
      <c r="M720" s="95">
        <f t="shared" si="22"/>
        <v>14400</v>
      </c>
      <c r="O720" s="1"/>
    </row>
    <row r="721" spans="1:15" hidden="1">
      <c r="A721" s="1" t="s">
        <v>761</v>
      </c>
      <c r="B721" s="1" t="s">
        <v>15</v>
      </c>
      <c r="C721" s="71">
        <v>129501096404</v>
      </c>
      <c r="D721" s="3">
        <v>22019.18</v>
      </c>
      <c r="E721" s="3">
        <v>12681756.720000001</v>
      </c>
      <c r="F721" s="1" t="s">
        <v>3065</v>
      </c>
      <c r="G721"/>
      <c r="H721"/>
      <c r="I721" s="19">
        <f>-IFERROR(VLOOKUP(C721,SIRCUPA!$A$21:$H$221,8,0),0)</f>
        <v>0</v>
      </c>
      <c r="J721" s="86">
        <f>-IFERROR(VLOOKUP(C721,SIRTAC!$A$16:$H$1458,8,0),0)</f>
        <v>-226</v>
      </c>
      <c r="K721" s="86">
        <f>-IFERROR(VLOOKUP(C721,Gastos!$A$9:$J$1451,10,0),0)</f>
        <v>-219.22</v>
      </c>
      <c r="L721" s="86">
        <f>-IFERROR(VLOOKUP(C721,IDC!$A$20:$H$1763,8,0),0)</f>
        <v>-135.6</v>
      </c>
      <c r="M721" s="95">
        <f t="shared" si="22"/>
        <v>22600</v>
      </c>
      <c r="O721" s="1"/>
    </row>
    <row r="722" spans="1:15" hidden="1">
      <c r="A722" s="1" t="s">
        <v>761</v>
      </c>
      <c r="B722" s="1" t="s">
        <v>15</v>
      </c>
      <c r="C722" s="71">
        <v>128928561231</v>
      </c>
      <c r="D722" s="3">
        <v>52417.34</v>
      </c>
      <c r="E722" s="3">
        <v>12734174.060000001</v>
      </c>
      <c r="F722" s="1" t="s">
        <v>3065</v>
      </c>
      <c r="G722"/>
      <c r="H722"/>
      <c r="I722" s="19">
        <f>-IFERROR(VLOOKUP(C722,SIRCUPA!$A$21:$H$221,8,0),0)</f>
        <v>0</v>
      </c>
      <c r="J722" s="86">
        <f>-IFERROR(VLOOKUP(C722,SIRTAC!$A$16:$H$1458,8,0),0)</f>
        <v>-538</v>
      </c>
      <c r="K722" s="86">
        <f>-IFERROR(VLOOKUP(C722,Gastos!$A$9:$J$1451,10,0),0)</f>
        <v>-521.86</v>
      </c>
      <c r="L722" s="86">
        <f>-IFERROR(VLOOKUP(C722,IDC!$A$20:$H$1763,8,0),0)</f>
        <v>-322.8</v>
      </c>
      <c r="M722" s="95">
        <f t="shared" si="22"/>
        <v>53800</v>
      </c>
      <c r="O722" s="1"/>
    </row>
    <row r="723" spans="1:15" hidden="1">
      <c r="A723" s="1" t="s">
        <v>761</v>
      </c>
      <c r="B723" s="1" t="s">
        <v>15</v>
      </c>
      <c r="C723" s="71">
        <v>129586128048</v>
      </c>
      <c r="D723" s="3">
        <v>11301.88</v>
      </c>
      <c r="E723" s="3">
        <v>12745475.939999999</v>
      </c>
      <c r="F723" s="1" t="s">
        <v>3065</v>
      </c>
      <c r="G723"/>
      <c r="H723"/>
      <c r="I723" s="19">
        <f>-IFERROR(VLOOKUP(C723,SIRCUPA!$A$21:$H$221,8,0),0)</f>
        <v>0</v>
      </c>
      <c r="J723" s="86">
        <f>-IFERROR(VLOOKUP(C723,SIRTAC!$A$16:$H$1458,8,0),0)</f>
        <v>-116</v>
      </c>
      <c r="K723" s="86">
        <f>-IFERROR(VLOOKUP(C723,Gastos!$A$9:$J$1451,10,0),0)</f>
        <v>-112.52</v>
      </c>
      <c r="L723" s="86">
        <f>-IFERROR(VLOOKUP(C723,IDC!$A$20:$H$1763,8,0),0)</f>
        <v>-69.599999999999994</v>
      </c>
      <c r="M723" s="95">
        <f t="shared" si="22"/>
        <v>11600</v>
      </c>
      <c r="O723" s="1"/>
    </row>
    <row r="724" spans="1:15" hidden="1">
      <c r="A724" s="1" t="s">
        <v>761</v>
      </c>
      <c r="B724" s="1" t="s">
        <v>15</v>
      </c>
      <c r="C724" s="71">
        <v>129017128399</v>
      </c>
      <c r="D724" s="3">
        <v>9353.2800000000007</v>
      </c>
      <c r="E724" s="3">
        <v>12754829.220000001</v>
      </c>
      <c r="F724" s="1" t="s">
        <v>3065</v>
      </c>
      <c r="G724"/>
      <c r="H724"/>
      <c r="I724" s="19">
        <f>-IFERROR(VLOOKUP(C724,SIRCUPA!$A$21:$H$221,8,0),0)</f>
        <v>0</v>
      </c>
      <c r="J724" s="86">
        <f>-IFERROR(VLOOKUP(C724,SIRTAC!$A$16:$H$1458,8,0),0)</f>
        <v>-96</v>
      </c>
      <c r="K724" s="86">
        <f>-IFERROR(VLOOKUP(C724,Gastos!$A$9:$J$1451,10,0),0)</f>
        <v>-93.12</v>
      </c>
      <c r="L724" s="86">
        <f>-IFERROR(VLOOKUP(C724,IDC!$A$20:$H$1763,8,0),0)</f>
        <v>-57.6</v>
      </c>
      <c r="M724" s="95">
        <f t="shared" si="22"/>
        <v>9600.0000000000018</v>
      </c>
      <c r="O724" s="1"/>
    </row>
    <row r="725" spans="1:15" hidden="1">
      <c r="A725" s="1" t="s">
        <v>761</v>
      </c>
      <c r="B725" s="1" t="s">
        <v>15</v>
      </c>
      <c r="C725" s="71">
        <v>129018427613</v>
      </c>
      <c r="D725" s="3">
        <v>9163.59</v>
      </c>
      <c r="E725" s="3">
        <v>12763992.810000001</v>
      </c>
      <c r="F725" s="1" t="s">
        <v>3065</v>
      </c>
      <c r="G725"/>
      <c r="H725"/>
      <c r="I725" s="19">
        <f>-IFERROR(VLOOKUP(C725,SIRCUPA!$A$21:$H$221,8,0),0)</f>
        <v>0</v>
      </c>
      <c r="J725" s="86">
        <f>-IFERROR(VLOOKUP(C725,SIRTAC!$A$16:$H$1458,8,0),0)</f>
        <v>-97</v>
      </c>
      <c r="K725" s="86">
        <f>-IFERROR(VLOOKUP(C725,Gastos!$A$9:$J$1451,10,0),0)</f>
        <v>-381.21</v>
      </c>
      <c r="L725" s="86">
        <f>-IFERROR(VLOOKUP(C725,IDC!$A$20:$H$1763,8,0),0)</f>
        <v>-58.2</v>
      </c>
      <c r="M725" s="95">
        <f t="shared" si="22"/>
        <v>9700</v>
      </c>
      <c r="O725" s="1"/>
    </row>
    <row r="726" spans="1:15" hidden="1">
      <c r="A726" s="1" t="s">
        <v>761</v>
      </c>
      <c r="B726" s="1" t="s">
        <v>15</v>
      </c>
      <c r="C726" s="71">
        <v>129592679060</v>
      </c>
      <c r="D726" s="3">
        <v>4676.6400000000003</v>
      </c>
      <c r="E726" s="3">
        <v>12768669.449999999</v>
      </c>
      <c r="F726" s="1" t="s">
        <v>3065</v>
      </c>
      <c r="G726"/>
      <c r="H726"/>
      <c r="I726" s="19">
        <f>-IFERROR(VLOOKUP(C726,SIRCUPA!$A$21:$H$221,8,0),0)</f>
        <v>0</v>
      </c>
      <c r="J726" s="86">
        <f>-IFERROR(VLOOKUP(C726,SIRTAC!$A$16:$H$1458,8,0),0)</f>
        <v>-48</v>
      </c>
      <c r="K726" s="86">
        <f>-IFERROR(VLOOKUP(C726,Gastos!$A$9:$J$1451,10,0),0)</f>
        <v>-46.56</v>
      </c>
      <c r="L726" s="86">
        <f>-IFERROR(VLOOKUP(C726,IDC!$A$20:$H$1763,8,0),0)</f>
        <v>-28.8</v>
      </c>
      <c r="M726" s="95">
        <f t="shared" si="22"/>
        <v>4800.0000000000009</v>
      </c>
      <c r="O726" s="1"/>
    </row>
    <row r="727" spans="1:15" hidden="1">
      <c r="A727" s="1" t="s">
        <v>761</v>
      </c>
      <c r="B727" s="1" t="s">
        <v>15</v>
      </c>
      <c r="C727" s="71">
        <v>129593690834</v>
      </c>
      <c r="D727" s="3">
        <v>8806.6299999999992</v>
      </c>
      <c r="E727" s="3">
        <v>12777476.08</v>
      </c>
      <c r="F727" s="1" t="s">
        <v>3065</v>
      </c>
      <c r="G727"/>
      <c r="H727"/>
      <c r="I727" s="19">
        <f>-IFERROR(VLOOKUP(C727,SIRCUPA!$A$21:$H$221,8,0),0)</f>
        <v>0</v>
      </c>
      <c r="J727" s="86">
        <f>-IFERROR(VLOOKUP(C727,SIRTAC!$A$16:$H$1458,8,0),0)</f>
        <v>-97</v>
      </c>
      <c r="K727" s="86">
        <f>-IFERROR(VLOOKUP(C727,Gastos!$A$9:$J$1451,10,0),0)</f>
        <v>-738.17</v>
      </c>
      <c r="L727" s="86">
        <f>-IFERROR(VLOOKUP(C727,IDC!$A$20:$H$1763,8,0),0)</f>
        <v>-58.2</v>
      </c>
      <c r="M727" s="95">
        <f t="shared" si="22"/>
        <v>9700</v>
      </c>
      <c r="O727" s="1"/>
    </row>
    <row r="728" spans="1:15" hidden="1">
      <c r="A728" s="1" t="s">
        <v>761</v>
      </c>
      <c r="B728" s="1" t="s">
        <v>15</v>
      </c>
      <c r="C728" s="71">
        <v>129594827970</v>
      </c>
      <c r="D728" s="3">
        <v>21142.31</v>
      </c>
      <c r="E728" s="3">
        <v>12798618.390000001</v>
      </c>
      <c r="F728" s="1" t="s">
        <v>3065</v>
      </c>
      <c r="G728"/>
      <c r="H728"/>
      <c r="I728" s="19">
        <f>-IFERROR(VLOOKUP(C728,SIRCUPA!$A$21:$H$221,8,0),0)</f>
        <v>0</v>
      </c>
      <c r="J728" s="86">
        <f>-IFERROR(VLOOKUP(C728,SIRTAC!$A$16:$H$1458,8,0),0)</f>
        <v>-217</v>
      </c>
      <c r="K728" s="86">
        <f>-IFERROR(VLOOKUP(C728,Gastos!$A$9:$J$1451,10,0),0)</f>
        <v>-210.49</v>
      </c>
      <c r="L728" s="86">
        <f>-IFERROR(VLOOKUP(C728,IDC!$A$20:$H$1763,8,0),0)</f>
        <v>-130.19999999999999</v>
      </c>
      <c r="M728" s="95">
        <f t="shared" si="22"/>
        <v>21700.000000000004</v>
      </c>
      <c r="O728" s="1"/>
    </row>
    <row r="729" spans="1:15" hidden="1">
      <c r="A729" s="1" t="s">
        <v>761</v>
      </c>
      <c r="B729" s="1" t="s">
        <v>15</v>
      </c>
      <c r="C729" s="71">
        <v>129022677169</v>
      </c>
      <c r="D729" s="3">
        <v>18706.560000000001</v>
      </c>
      <c r="E729" s="3">
        <v>12817324.949999999</v>
      </c>
      <c r="F729" s="1" t="s">
        <v>3065</v>
      </c>
      <c r="G729"/>
      <c r="H729"/>
      <c r="I729" s="19">
        <f>-IFERROR(VLOOKUP(C729,SIRCUPA!$A$21:$H$221,8,0),0)</f>
        <v>0</v>
      </c>
      <c r="J729" s="86">
        <f>-IFERROR(VLOOKUP(C729,SIRTAC!$A$16:$H$1458,8,0),0)</f>
        <v>-192</v>
      </c>
      <c r="K729" s="86">
        <f>-IFERROR(VLOOKUP(C729,Gastos!$A$9:$J$1451,10,0),0)</f>
        <v>-186.24</v>
      </c>
      <c r="L729" s="86">
        <f>-IFERROR(VLOOKUP(C729,IDC!$A$20:$H$1763,8,0),0)</f>
        <v>-115.2</v>
      </c>
      <c r="M729" s="95">
        <f t="shared" si="22"/>
        <v>19200.000000000004</v>
      </c>
      <c r="O729" s="1"/>
    </row>
    <row r="730" spans="1:15" hidden="1">
      <c r="A730" s="1" t="s">
        <v>761</v>
      </c>
      <c r="B730" s="1" t="s">
        <v>15</v>
      </c>
      <c r="C730" s="71">
        <v>129023931579</v>
      </c>
      <c r="D730" s="3">
        <v>9258.06</v>
      </c>
      <c r="E730" s="3">
        <v>12826583.01</v>
      </c>
      <c r="F730" s="1" t="s">
        <v>3065</v>
      </c>
      <c r="G730"/>
      <c r="H730"/>
      <c r="I730" s="19">
        <f>-IFERROR(VLOOKUP(C730,SIRCUPA!$A$21:$H$221,8,0),0)</f>
        <v>0</v>
      </c>
      <c r="J730" s="86">
        <f>-IFERROR(VLOOKUP(C730,SIRTAC!$A$16:$H$1458,8,0),0)</f>
        <v>-98</v>
      </c>
      <c r="K730" s="86">
        <f>-IFERROR(VLOOKUP(C730,Gastos!$A$9:$J$1451,10,0),0)</f>
        <v>-385.14</v>
      </c>
      <c r="L730" s="86">
        <f>-IFERROR(VLOOKUP(C730,IDC!$A$20:$H$1763,8,0),0)</f>
        <v>-58.8</v>
      </c>
      <c r="M730" s="95">
        <f t="shared" si="22"/>
        <v>9799.9999999999982</v>
      </c>
      <c r="O730" s="1"/>
    </row>
    <row r="731" spans="1:15" hidden="1">
      <c r="A731" s="1" t="s">
        <v>761</v>
      </c>
      <c r="B731" s="1" t="s">
        <v>15</v>
      </c>
      <c r="C731" s="71">
        <v>129596975966</v>
      </c>
      <c r="D731" s="3">
        <v>36182.01</v>
      </c>
      <c r="E731" s="3">
        <v>12862765.02</v>
      </c>
      <c r="F731" s="1" t="s">
        <v>3065</v>
      </c>
      <c r="G731"/>
      <c r="H731"/>
      <c r="I731" s="19">
        <f>-IFERROR(VLOOKUP(C731,SIRCUPA!$A$21:$H$221,8,0),0)</f>
        <v>0</v>
      </c>
      <c r="J731" s="86">
        <f>-IFERROR(VLOOKUP(C731,SIRTAC!$A$16:$H$1458,8,0),0)</f>
        <v>-383</v>
      </c>
      <c r="K731" s="86">
        <f>-IFERROR(VLOOKUP(C731,Gastos!$A$9:$J$1451,10,0),0)</f>
        <v>-1505.19</v>
      </c>
      <c r="L731" s="86">
        <f>-IFERROR(VLOOKUP(C731,IDC!$A$20:$H$1763,8,0),0)</f>
        <v>-229.8</v>
      </c>
      <c r="M731" s="95">
        <f t="shared" si="22"/>
        <v>38300.000000000007</v>
      </c>
      <c r="O731" s="1"/>
    </row>
    <row r="732" spans="1:15" hidden="1">
      <c r="A732" s="1" t="s">
        <v>761</v>
      </c>
      <c r="B732" s="1" t="s">
        <v>15</v>
      </c>
      <c r="C732" s="71">
        <v>129024231633</v>
      </c>
      <c r="D732" s="3">
        <v>5573.73</v>
      </c>
      <c r="E732" s="3">
        <v>12868338.75</v>
      </c>
      <c r="F732" s="1" t="s">
        <v>3065</v>
      </c>
      <c r="G732"/>
      <c r="H732"/>
      <c r="I732" s="19">
        <f>-IFERROR(VLOOKUP(C732,SIRCUPA!$A$21:$H$221,8,0),0)</f>
        <v>0</v>
      </c>
      <c r="J732" s="86">
        <f>-IFERROR(VLOOKUP(C732,SIRTAC!$A$16:$H$1458,8,0),0)</f>
        <v>-59</v>
      </c>
      <c r="K732" s="86">
        <f>-IFERROR(VLOOKUP(C732,Gastos!$A$9:$J$1451,10,0),0)</f>
        <v>-231.87</v>
      </c>
      <c r="L732" s="86">
        <f>-IFERROR(VLOOKUP(C732,IDC!$A$20:$H$1763,8,0),0)</f>
        <v>-35.4</v>
      </c>
      <c r="M732" s="95">
        <f t="shared" si="22"/>
        <v>5899.9999999999991</v>
      </c>
      <c r="O732" s="1"/>
    </row>
    <row r="733" spans="1:15" hidden="1">
      <c r="A733" s="1" t="s">
        <v>761</v>
      </c>
      <c r="B733" s="1" t="s">
        <v>15</v>
      </c>
      <c r="C733" s="71">
        <v>129024994181</v>
      </c>
      <c r="D733" s="3">
        <v>28871.22</v>
      </c>
      <c r="E733" s="3">
        <v>12897209.970000001</v>
      </c>
      <c r="F733" s="1" t="s">
        <v>3065</v>
      </c>
      <c r="G733"/>
      <c r="H733"/>
      <c r="I733" s="19">
        <f>-IFERROR(VLOOKUP(C733,SIRCUPA!$A$21:$H$221,8,0),0)</f>
        <v>0</v>
      </c>
      <c r="J733" s="86">
        <f>-IFERROR(VLOOKUP(C733,SIRTAC!$A$16:$H$1458,8,0),0)</f>
        <v>-318</v>
      </c>
      <c r="K733" s="86">
        <f>-IFERROR(VLOOKUP(C733,Gastos!$A$9:$J$1451,10,0),0)</f>
        <v>-2419.98</v>
      </c>
      <c r="L733" s="86">
        <f>-IFERROR(VLOOKUP(C733,IDC!$A$20:$H$1763,8,0),0)</f>
        <v>-190.8</v>
      </c>
      <c r="M733" s="95">
        <f t="shared" si="22"/>
        <v>31800</v>
      </c>
      <c r="O733" s="1"/>
    </row>
    <row r="734" spans="1:15" hidden="1">
      <c r="A734" s="1" t="s">
        <v>761</v>
      </c>
      <c r="B734" s="1" t="s">
        <v>15</v>
      </c>
      <c r="C734" s="71">
        <v>129598052900</v>
      </c>
      <c r="D734" s="3">
        <v>27146.21</v>
      </c>
      <c r="E734" s="3">
        <v>12924356.18</v>
      </c>
      <c r="F734" s="1" t="s">
        <v>3065</v>
      </c>
      <c r="G734"/>
      <c r="H734"/>
      <c r="I734" s="19">
        <f>-IFERROR(VLOOKUP(C734,SIRCUPA!$A$21:$H$221,8,0),0)</f>
        <v>0</v>
      </c>
      <c r="J734" s="86">
        <f>-IFERROR(VLOOKUP(C734,SIRTAC!$A$16:$H$1458,8,0),0)</f>
        <v>-299</v>
      </c>
      <c r="K734" s="86">
        <f>-IFERROR(VLOOKUP(C734,Gastos!$A$9:$J$1451,10,0),0)</f>
        <v>-2275.39</v>
      </c>
      <c r="L734" s="86">
        <f>-IFERROR(VLOOKUP(C734,IDC!$A$20:$H$1763,8,0),0)</f>
        <v>-179.4</v>
      </c>
      <c r="M734" s="95">
        <f t="shared" si="22"/>
        <v>29900</v>
      </c>
      <c r="O734" s="1"/>
    </row>
    <row r="735" spans="1:15" hidden="1">
      <c r="A735" s="1" t="s">
        <v>761</v>
      </c>
      <c r="B735" s="1" t="s">
        <v>15</v>
      </c>
      <c r="C735" s="71">
        <v>129025880623</v>
      </c>
      <c r="D735" s="3">
        <v>7557.6</v>
      </c>
      <c r="E735" s="3">
        <v>12931913.779999999</v>
      </c>
      <c r="F735" s="1" t="s">
        <v>3065</v>
      </c>
      <c r="G735"/>
      <c r="H735"/>
      <c r="I735" s="19">
        <f>-IFERROR(VLOOKUP(C735,SIRCUPA!$A$21:$H$221,8,0),0)</f>
        <v>0</v>
      </c>
      <c r="J735" s="86">
        <f>-IFERROR(VLOOKUP(C735,SIRTAC!$A$16:$H$1458,8,0),0)</f>
        <v>-80</v>
      </c>
      <c r="K735" s="86">
        <f>-IFERROR(VLOOKUP(C735,Gastos!$A$9:$J$1451,10,0),0)</f>
        <v>-314.39999999999998</v>
      </c>
      <c r="L735" s="86">
        <f>-IFERROR(VLOOKUP(C735,IDC!$A$20:$H$1763,8,0),0)</f>
        <v>-48</v>
      </c>
      <c r="M735" s="95">
        <f t="shared" si="22"/>
        <v>8000</v>
      </c>
      <c r="O735" s="1"/>
    </row>
    <row r="736" spans="1:15" hidden="1">
      <c r="A736" s="1" t="s">
        <v>761</v>
      </c>
      <c r="B736" s="1" t="s">
        <v>15</v>
      </c>
      <c r="C736" s="71">
        <v>129025992691</v>
      </c>
      <c r="D736" s="3">
        <v>73949.37</v>
      </c>
      <c r="E736" s="3">
        <v>13005863.15</v>
      </c>
      <c r="F736" s="1" t="s">
        <v>3065</v>
      </c>
      <c r="G736"/>
      <c r="H736"/>
      <c r="I736" s="19">
        <f>-IFERROR(VLOOKUP(C736,SIRCUPA!$A$21:$H$221,8,0),0)</f>
        <v>0</v>
      </c>
      <c r="J736" s="86">
        <f>-IFERROR(VLOOKUP(C736,SIRTAC!$A$16:$H$1458,8,0),0)</f>
        <v>-759</v>
      </c>
      <c r="K736" s="86">
        <f>-IFERROR(VLOOKUP(C736,Gastos!$A$9:$J$1451,10,0),0)</f>
        <v>-736.23</v>
      </c>
      <c r="L736" s="86">
        <f>-IFERROR(VLOOKUP(C736,IDC!$A$20:$H$1763,8,0),0)</f>
        <v>-455.4</v>
      </c>
      <c r="M736" s="95">
        <f t="shared" si="22"/>
        <v>75899.999999999985</v>
      </c>
      <c r="O736" s="1"/>
    </row>
    <row r="737" spans="1:15" hidden="1">
      <c r="A737" s="1" t="s">
        <v>761</v>
      </c>
      <c r="B737" s="1" t="s">
        <v>15</v>
      </c>
      <c r="C737" s="71">
        <v>129599378422</v>
      </c>
      <c r="D737" s="3">
        <v>73539.899999999994</v>
      </c>
      <c r="E737" s="3">
        <v>13079403.050000001</v>
      </c>
      <c r="F737" s="1" t="s">
        <v>3065</v>
      </c>
      <c r="G737"/>
      <c r="H737"/>
      <c r="I737" s="19">
        <f>-IFERROR(VLOOKUP(C737,SIRCUPA!$A$21:$H$221,8,0),0)</f>
        <v>0</v>
      </c>
      <c r="J737" s="86">
        <f>-IFERROR(VLOOKUP(C737,SIRTAC!$A$16:$H$1458,8,0),0)</f>
        <v>-810</v>
      </c>
      <c r="K737" s="86">
        <f>-IFERROR(VLOOKUP(C737,Gastos!$A$9:$J$1451,10,0),0)</f>
        <v>-6164.1</v>
      </c>
      <c r="L737" s="86">
        <f>-IFERROR(VLOOKUP(C737,IDC!$A$20:$H$1763,8,0),0)</f>
        <v>-486</v>
      </c>
      <c r="M737" s="95">
        <f t="shared" si="22"/>
        <v>81000</v>
      </c>
      <c r="O737" s="1"/>
    </row>
    <row r="738" spans="1:15" hidden="1">
      <c r="A738" s="1" t="s">
        <v>761</v>
      </c>
      <c r="B738" s="1" t="s">
        <v>838</v>
      </c>
      <c r="C738" s="71">
        <v>129599239718</v>
      </c>
      <c r="D738" s="3">
        <v>11894.85</v>
      </c>
      <c r="E738" s="3">
        <v>13091297.9</v>
      </c>
      <c r="F738" s="1" t="s">
        <v>3065</v>
      </c>
      <c r="G738"/>
      <c r="H738"/>
      <c r="I738" s="19">
        <f>-IFERROR(VLOOKUP(C738,SIRCUPA!$A$21:$H$221,8,0),0)</f>
        <v>-182.25</v>
      </c>
      <c r="J738" s="86">
        <f>-IFERROR(VLOOKUP(C738,SIRTAC!$A$16:$H$1458,8,0),0)</f>
        <v>0</v>
      </c>
      <c r="K738" s="86">
        <f>-IFERROR(VLOOKUP(C738,Gastos!$A$9:$J$1451,10,0),0)</f>
        <v>0</v>
      </c>
      <c r="L738" s="86">
        <f>-IFERROR(VLOOKUP(C738,IDC!$A$20:$H$1763,8,0),0)</f>
        <v>-72.900000000000006</v>
      </c>
      <c r="M738" s="95">
        <f t="shared" si="22"/>
        <v>12150</v>
      </c>
      <c r="O738" s="1"/>
    </row>
    <row r="739" spans="1:15" hidden="1">
      <c r="A739" s="1" t="s">
        <v>761</v>
      </c>
      <c r="B739" s="1" t="s">
        <v>15</v>
      </c>
      <c r="C739" s="71">
        <v>129599307758</v>
      </c>
      <c r="D739" s="3">
        <v>33321.06</v>
      </c>
      <c r="E739" s="3">
        <v>13124618.960000001</v>
      </c>
      <c r="F739" s="1" t="s">
        <v>3065</v>
      </c>
      <c r="G739"/>
      <c r="H739"/>
      <c r="I739" s="19">
        <f>-IFERROR(VLOOKUP(C739,SIRCUPA!$A$21:$H$221,8,0),0)</f>
        <v>0</v>
      </c>
      <c r="J739" s="86">
        <f>-IFERROR(VLOOKUP(C739,SIRTAC!$A$16:$H$1458,8,0),0)</f>
        <v>-342</v>
      </c>
      <c r="K739" s="86">
        <f>-IFERROR(VLOOKUP(C739,Gastos!$A$9:$J$1451,10,0),0)</f>
        <v>-331.74</v>
      </c>
      <c r="L739" s="86">
        <f>-IFERROR(VLOOKUP(C739,IDC!$A$20:$H$1763,8,0),0)</f>
        <v>-205.2</v>
      </c>
      <c r="M739" s="95">
        <f t="shared" si="22"/>
        <v>34199.999999999993</v>
      </c>
      <c r="O739" s="1"/>
    </row>
    <row r="740" spans="1:15" hidden="1">
      <c r="A740" s="1" t="s">
        <v>761</v>
      </c>
      <c r="B740" s="1" t="s">
        <v>841</v>
      </c>
      <c r="C740" s="71">
        <v>129026510653</v>
      </c>
      <c r="D740" s="3">
        <v>1674.09</v>
      </c>
      <c r="E740" s="3">
        <v>13126293.050000001</v>
      </c>
      <c r="F740" s="1" t="s">
        <v>3065</v>
      </c>
      <c r="G740"/>
      <c r="H740"/>
      <c r="I740" s="19">
        <f>-IFERROR(VLOOKUP(C740,SIRCUPA!$A$21:$H$221,8,0),0)</f>
        <v>-25.65</v>
      </c>
      <c r="J740" s="86">
        <f>-IFERROR(VLOOKUP(C740,SIRTAC!$A$16:$H$1458,8,0),0)</f>
        <v>0</v>
      </c>
      <c r="K740" s="86">
        <f>-IFERROR(VLOOKUP(C740,Gastos!$A$9:$J$1451,10,0),0)</f>
        <v>0</v>
      </c>
      <c r="L740" s="86">
        <f>-IFERROR(VLOOKUP(C740,IDC!$A$20:$H$1763,8,0),0)</f>
        <v>-10.26</v>
      </c>
      <c r="M740" s="95">
        <f t="shared" si="22"/>
        <v>1710</v>
      </c>
      <c r="O740" s="1"/>
    </row>
    <row r="741" spans="1:15" hidden="1">
      <c r="A741" s="1" t="s">
        <v>761</v>
      </c>
      <c r="B741" s="1" t="s">
        <v>15</v>
      </c>
      <c r="C741" s="71">
        <v>129026897081</v>
      </c>
      <c r="D741" s="3">
        <v>21239.74</v>
      </c>
      <c r="E741" s="3">
        <v>13147532.789999999</v>
      </c>
      <c r="F741" s="1" t="s">
        <v>3065</v>
      </c>
      <c r="G741"/>
      <c r="H741"/>
      <c r="I741" s="19">
        <f>-IFERROR(VLOOKUP(C741,SIRCUPA!$A$21:$H$221,8,0),0)</f>
        <v>0</v>
      </c>
      <c r="J741" s="86">
        <f>-IFERROR(VLOOKUP(C741,SIRTAC!$A$16:$H$1458,8,0),0)</f>
        <v>-218</v>
      </c>
      <c r="K741" s="86">
        <f>-IFERROR(VLOOKUP(C741,Gastos!$A$9:$J$1451,10,0),0)</f>
        <v>-211.46</v>
      </c>
      <c r="L741" s="86">
        <f>-IFERROR(VLOOKUP(C741,IDC!$A$20:$H$1763,8,0),0)</f>
        <v>-130.80000000000001</v>
      </c>
      <c r="M741" s="95">
        <f t="shared" si="22"/>
        <v>21800</v>
      </c>
      <c r="O741" s="1"/>
    </row>
    <row r="742" spans="1:15" hidden="1">
      <c r="A742" s="1" t="s">
        <v>761</v>
      </c>
      <c r="B742" s="1" t="s">
        <v>15</v>
      </c>
      <c r="C742" s="71">
        <v>129027124435</v>
      </c>
      <c r="D742" s="3">
        <v>13792.62</v>
      </c>
      <c r="E742" s="3">
        <v>13161325.41</v>
      </c>
      <c r="F742" s="1" t="s">
        <v>3065</v>
      </c>
      <c r="G742"/>
      <c r="H742"/>
      <c r="I742" s="19">
        <f>-IFERROR(VLOOKUP(C742,SIRCUPA!$A$21:$H$221,8,0),0)</f>
        <v>0</v>
      </c>
      <c r="J742" s="86">
        <f>-IFERROR(VLOOKUP(C742,SIRTAC!$A$16:$H$1458,8,0),0)</f>
        <v>-146</v>
      </c>
      <c r="K742" s="86">
        <f>-IFERROR(VLOOKUP(C742,Gastos!$A$9:$J$1451,10,0),0)</f>
        <v>-573.78</v>
      </c>
      <c r="L742" s="86">
        <f>-IFERROR(VLOOKUP(C742,IDC!$A$20:$H$1763,8,0),0)</f>
        <v>-87.6</v>
      </c>
      <c r="M742" s="95">
        <f t="shared" si="22"/>
        <v>14600.000000000002</v>
      </c>
      <c r="O742" s="1"/>
    </row>
    <row r="743" spans="1:15" hidden="1">
      <c r="A743" s="1" t="s">
        <v>761</v>
      </c>
      <c r="B743" s="1" t="s">
        <v>15</v>
      </c>
      <c r="C743" s="71">
        <v>129601578702</v>
      </c>
      <c r="D743" s="3">
        <v>9353.2800000000007</v>
      </c>
      <c r="E743" s="3">
        <v>13170678.689999999</v>
      </c>
      <c r="F743" s="1" t="s">
        <v>3065</v>
      </c>
      <c r="G743"/>
      <c r="H743"/>
      <c r="I743" s="19">
        <f>-IFERROR(VLOOKUP(C743,SIRCUPA!$A$21:$H$221,8,0),0)</f>
        <v>0</v>
      </c>
      <c r="J743" s="86">
        <f>-IFERROR(VLOOKUP(C743,SIRTAC!$A$16:$H$1458,8,0),0)</f>
        <v>-96</v>
      </c>
      <c r="K743" s="86">
        <f>-IFERROR(VLOOKUP(C743,Gastos!$A$9:$J$1451,10,0),0)</f>
        <v>-93.12</v>
      </c>
      <c r="L743" s="86">
        <f>-IFERROR(VLOOKUP(C743,IDC!$A$20:$H$1763,8,0),0)</f>
        <v>-57.6</v>
      </c>
      <c r="M743" s="95">
        <f t="shared" ref="M743:M806" si="23">+D743-I743-J743-K743-L743</f>
        <v>9600.0000000000018</v>
      </c>
      <c r="O743" s="1"/>
    </row>
    <row r="744" spans="1:15" hidden="1">
      <c r="A744" s="1" t="s">
        <v>761</v>
      </c>
      <c r="B744" s="1" t="s">
        <v>15</v>
      </c>
      <c r="C744" s="71">
        <v>129028884505</v>
      </c>
      <c r="D744" s="3">
        <v>9069.1200000000008</v>
      </c>
      <c r="E744" s="3">
        <v>13179747.810000001</v>
      </c>
      <c r="F744" s="1" t="s">
        <v>3065</v>
      </c>
      <c r="G744"/>
      <c r="H744"/>
      <c r="I744" s="19">
        <f>-IFERROR(VLOOKUP(C744,SIRCUPA!$A$21:$H$221,8,0),0)</f>
        <v>0</v>
      </c>
      <c r="J744" s="86">
        <f>-IFERROR(VLOOKUP(C744,SIRTAC!$A$16:$H$1458,8,0),0)</f>
        <v>-96</v>
      </c>
      <c r="K744" s="86">
        <f>-IFERROR(VLOOKUP(C744,Gastos!$A$9:$J$1451,10,0),0)</f>
        <v>-377.28</v>
      </c>
      <c r="L744" s="86">
        <f>-IFERROR(VLOOKUP(C744,IDC!$A$20:$H$1763,8,0),0)</f>
        <v>-57.6</v>
      </c>
      <c r="M744" s="95">
        <f t="shared" si="23"/>
        <v>9600.0000000000018</v>
      </c>
      <c r="O744" s="1"/>
    </row>
    <row r="745" spans="1:15" hidden="1">
      <c r="A745" s="1" t="s">
        <v>761</v>
      </c>
      <c r="B745" s="1" t="s">
        <v>15</v>
      </c>
      <c r="C745" s="71">
        <v>129029037517</v>
      </c>
      <c r="D745" s="3">
        <v>20168.009999999998</v>
      </c>
      <c r="E745" s="3">
        <v>13199915.82</v>
      </c>
      <c r="F745" s="1" t="s">
        <v>3065</v>
      </c>
      <c r="G745"/>
      <c r="H745"/>
      <c r="I745" s="19">
        <f>-IFERROR(VLOOKUP(C745,SIRCUPA!$A$21:$H$221,8,0),0)</f>
        <v>0</v>
      </c>
      <c r="J745" s="86">
        <f>-IFERROR(VLOOKUP(C745,SIRTAC!$A$16:$H$1458,8,0),0)</f>
        <v>-207</v>
      </c>
      <c r="K745" s="86">
        <f>-IFERROR(VLOOKUP(C745,Gastos!$A$9:$J$1451,10,0),0)</f>
        <v>-200.79</v>
      </c>
      <c r="L745" s="86">
        <f>-IFERROR(VLOOKUP(C745,IDC!$A$20:$H$1763,8,0),0)</f>
        <v>-124.2</v>
      </c>
      <c r="M745" s="95">
        <f t="shared" si="23"/>
        <v>20700</v>
      </c>
      <c r="O745" s="1"/>
    </row>
    <row r="746" spans="1:15" hidden="1">
      <c r="A746" s="1" t="s">
        <v>761</v>
      </c>
      <c r="B746" s="1" t="s">
        <v>15</v>
      </c>
      <c r="C746" s="71">
        <v>129602058662</v>
      </c>
      <c r="D746" s="3">
        <v>12081.32</v>
      </c>
      <c r="E746" s="3">
        <v>13211997.140000001</v>
      </c>
      <c r="F746" s="1" t="s">
        <v>3065</v>
      </c>
      <c r="G746"/>
      <c r="H746"/>
      <c r="I746" s="19">
        <f>-IFERROR(VLOOKUP(C746,SIRCUPA!$A$21:$H$221,8,0),0)</f>
        <v>0</v>
      </c>
      <c r="J746" s="86">
        <f>-IFERROR(VLOOKUP(C746,SIRTAC!$A$16:$H$1458,8,0),0)</f>
        <v>-124</v>
      </c>
      <c r="K746" s="86">
        <f>-IFERROR(VLOOKUP(C746,Gastos!$A$9:$J$1451,10,0),0)</f>
        <v>-120.28</v>
      </c>
      <c r="L746" s="86">
        <f>-IFERROR(VLOOKUP(C746,IDC!$A$20:$H$1763,8,0),0)</f>
        <v>-74.400000000000006</v>
      </c>
      <c r="M746" s="95">
        <f t="shared" si="23"/>
        <v>12400</v>
      </c>
      <c r="O746" s="1"/>
    </row>
    <row r="747" spans="1:15" hidden="1">
      <c r="A747" s="1" t="s">
        <v>761</v>
      </c>
      <c r="B747" s="1" t="s">
        <v>15</v>
      </c>
      <c r="C747" s="71">
        <v>129029166013</v>
      </c>
      <c r="D747" s="3">
        <v>9353.2800000000007</v>
      </c>
      <c r="E747" s="3">
        <v>13221350.42</v>
      </c>
      <c r="F747" s="1" t="s">
        <v>3065</v>
      </c>
      <c r="G747"/>
      <c r="H747"/>
      <c r="I747" s="19">
        <f>-IFERROR(VLOOKUP(C747,SIRCUPA!$A$21:$H$221,8,0),0)</f>
        <v>0</v>
      </c>
      <c r="J747" s="86">
        <f>-IFERROR(VLOOKUP(C747,SIRTAC!$A$16:$H$1458,8,0),0)</f>
        <v>-96</v>
      </c>
      <c r="K747" s="86">
        <f>-IFERROR(VLOOKUP(C747,Gastos!$A$9:$J$1451,10,0),0)</f>
        <v>-93.12</v>
      </c>
      <c r="L747" s="86">
        <f>-IFERROR(VLOOKUP(C747,IDC!$A$20:$H$1763,8,0),0)</f>
        <v>-57.6</v>
      </c>
      <c r="M747" s="95">
        <f t="shared" si="23"/>
        <v>9600.0000000000018</v>
      </c>
      <c r="O747" s="1"/>
    </row>
    <row r="748" spans="1:15" hidden="1">
      <c r="A748" s="1" t="s">
        <v>761</v>
      </c>
      <c r="B748" s="1" t="s">
        <v>850</v>
      </c>
      <c r="C748" s="71">
        <v>129602059464</v>
      </c>
      <c r="D748" s="2">
        <v>469.92</v>
      </c>
      <c r="E748" s="3">
        <v>13221820.34</v>
      </c>
      <c r="F748" s="1" t="s">
        <v>3065</v>
      </c>
      <c r="G748"/>
      <c r="H748"/>
      <c r="I748" s="19">
        <f>-IFERROR(VLOOKUP(C748,SIRCUPA!$A$21:$H$221,8,0),0)</f>
        <v>-7.2</v>
      </c>
      <c r="J748" s="86">
        <f>-IFERROR(VLOOKUP(C748,SIRTAC!$A$16:$H$1458,8,0),0)</f>
        <v>0</v>
      </c>
      <c r="K748" s="86">
        <f>-IFERROR(VLOOKUP(C748,Gastos!$A$9:$J$1451,10,0),0)</f>
        <v>0</v>
      </c>
      <c r="L748" s="86">
        <f>-IFERROR(VLOOKUP(C748,IDC!$A$20:$H$1763,8,0),0)</f>
        <v>-2.88</v>
      </c>
      <c r="M748" s="95">
        <f t="shared" si="23"/>
        <v>480</v>
      </c>
      <c r="O748" s="1"/>
    </row>
    <row r="749" spans="1:15" hidden="1">
      <c r="A749" s="1" t="s">
        <v>761</v>
      </c>
      <c r="B749" s="1" t="s">
        <v>15</v>
      </c>
      <c r="C749" s="71">
        <v>129603583714</v>
      </c>
      <c r="D749" s="3">
        <v>24104.74</v>
      </c>
      <c r="E749" s="3">
        <v>13245925.08</v>
      </c>
      <c r="F749" s="1" t="s">
        <v>3065</v>
      </c>
      <c r="G749"/>
      <c r="H749"/>
      <c r="I749" s="19">
        <f>-IFERROR(VLOOKUP(C749,SIRCUPA!$A$21:$H$221,8,0),0)</f>
        <v>0</v>
      </c>
      <c r="J749" s="86">
        <f>-IFERROR(VLOOKUP(C749,SIRTAC!$A$16:$H$1458,8,0),0)</f>
        <v>-265.5</v>
      </c>
      <c r="K749" s="86">
        <f>-IFERROR(VLOOKUP(C749,Gastos!$A$9:$J$1451,10,0),0)</f>
        <v>-2020.46</v>
      </c>
      <c r="L749" s="86">
        <f>-IFERROR(VLOOKUP(C749,IDC!$A$20:$H$1763,8,0),0)</f>
        <v>-159.30000000000001</v>
      </c>
      <c r="M749" s="95">
        <f t="shared" si="23"/>
        <v>26550</v>
      </c>
      <c r="O749" s="1"/>
    </row>
    <row r="750" spans="1:15" hidden="1">
      <c r="A750" s="1" t="s">
        <v>761</v>
      </c>
      <c r="B750" s="1" t="s">
        <v>853</v>
      </c>
      <c r="C750" s="71">
        <v>129603670366</v>
      </c>
      <c r="D750" s="3">
        <v>1299.1300000000001</v>
      </c>
      <c r="E750" s="3">
        <v>13247224.210000001</v>
      </c>
      <c r="F750" s="1" t="s">
        <v>3065</v>
      </c>
      <c r="G750"/>
      <c r="H750"/>
      <c r="I750" s="19">
        <f>-IFERROR(VLOOKUP(C750,SIRCUPA!$A$21:$H$221,8,0),0)</f>
        <v>-19.91</v>
      </c>
      <c r="J750" s="86">
        <f>-IFERROR(VLOOKUP(C750,SIRTAC!$A$16:$H$1458,8,0),0)</f>
        <v>0</v>
      </c>
      <c r="K750" s="86">
        <f>-IFERROR(VLOOKUP(C750,Gastos!$A$9:$J$1451,10,0),0)</f>
        <v>0</v>
      </c>
      <c r="L750" s="86">
        <f>-IFERROR(VLOOKUP(C750,IDC!$A$20:$H$1763,8,0),0)</f>
        <v>-7.96</v>
      </c>
      <c r="M750" s="95">
        <f t="shared" si="23"/>
        <v>1327.0000000000002</v>
      </c>
      <c r="O750" s="1"/>
    </row>
    <row r="751" spans="1:15" hidden="1">
      <c r="A751" s="1" t="s">
        <v>761</v>
      </c>
      <c r="B751" s="1" t="s">
        <v>15</v>
      </c>
      <c r="C751" s="71">
        <v>129030713857</v>
      </c>
      <c r="D751" s="3">
        <v>24065.21</v>
      </c>
      <c r="E751" s="3">
        <v>13271289.42</v>
      </c>
      <c r="F751" s="1" t="s">
        <v>3065</v>
      </c>
      <c r="G751"/>
      <c r="H751"/>
      <c r="I751" s="19">
        <f>-IFERROR(VLOOKUP(C751,SIRCUPA!$A$21:$H$221,8,0),0)</f>
        <v>0</v>
      </c>
      <c r="J751" s="86">
        <f>-IFERROR(VLOOKUP(C751,SIRTAC!$A$16:$H$1458,8,0),0)</f>
        <v>-247</v>
      </c>
      <c r="K751" s="86">
        <f>-IFERROR(VLOOKUP(C751,Gastos!$A$9:$J$1451,10,0),0)</f>
        <v>-239.59</v>
      </c>
      <c r="L751" s="86">
        <f>-IFERROR(VLOOKUP(C751,IDC!$A$20:$H$1763,8,0),0)</f>
        <v>-148.19999999999999</v>
      </c>
      <c r="M751" s="95">
        <f t="shared" si="23"/>
        <v>24700</v>
      </c>
      <c r="O751" s="1"/>
    </row>
    <row r="752" spans="1:15" hidden="1">
      <c r="A752" s="1" t="s">
        <v>761</v>
      </c>
      <c r="B752" s="1" t="s">
        <v>856</v>
      </c>
      <c r="C752" s="71">
        <v>129030721859</v>
      </c>
      <c r="D752" s="3">
        <v>1209.06</v>
      </c>
      <c r="E752" s="3">
        <v>13272498.48</v>
      </c>
      <c r="F752" s="1" t="s">
        <v>3065</v>
      </c>
      <c r="G752"/>
      <c r="H752"/>
      <c r="I752" s="19">
        <f>-IFERROR(VLOOKUP(C752,SIRCUPA!$A$21:$H$221,8,0),0)</f>
        <v>-18.53</v>
      </c>
      <c r="J752" s="86">
        <f>-IFERROR(VLOOKUP(C752,SIRTAC!$A$16:$H$1458,8,0),0)</f>
        <v>0</v>
      </c>
      <c r="K752" s="86">
        <f>-IFERROR(VLOOKUP(C752,Gastos!$A$9:$J$1451,10,0),0)</f>
        <v>0</v>
      </c>
      <c r="L752" s="86">
        <f>-IFERROR(VLOOKUP(C752,IDC!$A$20:$H$1763,8,0),0)</f>
        <v>-7.41</v>
      </c>
      <c r="M752" s="95">
        <f t="shared" si="23"/>
        <v>1235</v>
      </c>
      <c r="O752" s="1"/>
    </row>
    <row r="753" spans="1:15" hidden="1">
      <c r="A753" s="1" t="s">
        <v>761</v>
      </c>
      <c r="B753" s="1" t="s">
        <v>15</v>
      </c>
      <c r="C753" s="71">
        <v>129031186867</v>
      </c>
      <c r="D753" s="3">
        <v>55548.36</v>
      </c>
      <c r="E753" s="3">
        <v>13328046.84</v>
      </c>
      <c r="F753" s="1" t="s">
        <v>3065</v>
      </c>
      <c r="G753"/>
      <c r="H753"/>
      <c r="I753" s="19">
        <f>-IFERROR(VLOOKUP(C753,SIRCUPA!$A$21:$H$221,8,0),0)</f>
        <v>0</v>
      </c>
      <c r="J753" s="86">
        <f>-IFERROR(VLOOKUP(C753,SIRTAC!$A$16:$H$1458,8,0),0)</f>
        <v>-588</v>
      </c>
      <c r="K753" s="86">
        <f>-IFERROR(VLOOKUP(C753,Gastos!$A$9:$J$1451,10,0),0)</f>
        <v>-2310.84</v>
      </c>
      <c r="L753" s="86">
        <f>-IFERROR(VLOOKUP(C753,IDC!$A$20:$H$1763,8,0),0)</f>
        <v>-352.8</v>
      </c>
      <c r="M753" s="95">
        <f t="shared" si="23"/>
        <v>58800</v>
      </c>
      <c r="O753" s="1"/>
    </row>
    <row r="754" spans="1:15" hidden="1">
      <c r="A754" s="1" t="s">
        <v>761</v>
      </c>
      <c r="B754" s="1" t="s">
        <v>15</v>
      </c>
      <c r="C754" s="71">
        <v>129031118031</v>
      </c>
      <c r="D754" s="3">
        <v>18901.419999999998</v>
      </c>
      <c r="E754" s="3">
        <v>13346948.26</v>
      </c>
      <c r="F754" s="1" t="s">
        <v>3065</v>
      </c>
      <c r="G754"/>
      <c r="H754"/>
      <c r="I754" s="19">
        <f>-IFERROR(VLOOKUP(C754,SIRCUPA!$A$21:$H$221,8,0),0)</f>
        <v>0</v>
      </c>
      <c r="J754" s="86">
        <f>-IFERROR(VLOOKUP(C754,SIRTAC!$A$16:$H$1458,8,0),0)</f>
        <v>-194</v>
      </c>
      <c r="K754" s="86">
        <f>-IFERROR(VLOOKUP(C754,Gastos!$A$9:$J$1451,10,0),0)</f>
        <v>-188.18</v>
      </c>
      <c r="L754" s="86">
        <f>-IFERROR(VLOOKUP(C754,IDC!$A$20:$H$1763,8,0),0)</f>
        <v>-116.4</v>
      </c>
      <c r="M754" s="95">
        <f t="shared" si="23"/>
        <v>19400</v>
      </c>
      <c r="O754" s="1"/>
    </row>
    <row r="755" spans="1:15" hidden="1">
      <c r="A755" s="1" t="s">
        <v>761</v>
      </c>
      <c r="B755" s="1" t="s">
        <v>15</v>
      </c>
      <c r="C755" s="71">
        <v>129031727651</v>
      </c>
      <c r="D755" s="3">
        <v>13036.86</v>
      </c>
      <c r="E755" s="3">
        <v>13359985.119999999</v>
      </c>
      <c r="F755" s="1" t="s">
        <v>3065</v>
      </c>
      <c r="G755"/>
      <c r="H755"/>
      <c r="I755" s="19">
        <f>-IFERROR(VLOOKUP(C755,SIRCUPA!$A$21:$H$221,8,0),0)</f>
        <v>0</v>
      </c>
      <c r="J755" s="86">
        <f>-IFERROR(VLOOKUP(C755,SIRTAC!$A$16:$H$1458,8,0),0)</f>
        <v>-138</v>
      </c>
      <c r="K755" s="86">
        <f>-IFERROR(VLOOKUP(C755,Gastos!$A$9:$J$1451,10,0),0)</f>
        <v>-542.34</v>
      </c>
      <c r="L755" s="86">
        <f>-IFERROR(VLOOKUP(C755,IDC!$A$20:$H$1763,8,0),0)</f>
        <v>-82.8</v>
      </c>
      <c r="M755" s="95">
        <f t="shared" si="23"/>
        <v>13800</v>
      </c>
      <c r="O755" s="1"/>
    </row>
    <row r="756" spans="1:15" hidden="1">
      <c r="A756" s="1" t="s">
        <v>761</v>
      </c>
      <c r="B756" s="1" t="s">
        <v>15</v>
      </c>
      <c r="C756" s="71">
        <v>129606428966</v>
      </c>
      <c r="D756" s="3">
        <v>102301.5</v>
      </c>
      <c r="E756" s="3">
        <v>13462286.619999999</v>
      </c>
      <c r="F756" s="1" t="s">
        <v>3065</v>
      </c>
      <c r="G756"/>
      <c r="H756"/>
      <c r="I756" s="19">
        <f>-IFERROR(VLOOKUP(C756,SIRCUPA!$A$21:$H$221,8,0),0)</f>
        <v>0</v>
      </c>
      <c r="J756" s="86">
        <f>-IFERROR(VLOOKUP(C756,SIRTAC!$A$16:$H$1458,8,0),0)</f>
        <v>-1050</v>
      </c>
      <c r="K756" s="86">
        <f>-IFERROR(VLOOKUP(C756,Gastos!$A$9:$J$1451,10,0),0)</f>
        <v>-1018.5</v>
      </c>
      <c r="L756" s="86">
        <f>-IFERROR(VLOOKUP(C756,IDC!$A$20:$H$1763,8,0),0)</f>
        <v>-630</v>
      </c>
      <c r="M756" s="95">
        <f t="shared" si="23"/>
        <v>105000</v>
      </c>
      <c r="O756" s="1"/>
    </row>
    <row r="757" spans="1:15" hidden="1">
      <c r="A757" s="1" t="s">
        <v>761</v>
      </c>
      <c r="B757" s="1" t="s">
        <v>862</v>
      </c>
      <c r="C757" s="71">
        <v>129033517789</v>
      </c>
      <c r="D757" s="3">
        <v>5139.75</v>
      </c>
      <c r="E757" s="3">
        <v>13467426.369999999</v>
      </c>
      <c r="F757" s="1" t="s">
        <v>3065</v>
      </c>
      <c r="G757"/>
      <c r="H757"/>
      <c r="I757" s="19">
        <f>-IFERROR(VLOOKUP(C757,SIRCUPA!$A$21:$H$221,8,0),0)</f>
        <v>-78.75</v>
      </c>
      <c r="J757" s="86">
        <f>-IFERROR(VLOOKUP(C757,SIRTAC!$A$16:$H$1458,8,0),0)</f>
        <v>0</v>
      </c>
      <c r="K757" s="86">
        <f>-IFERROR(VLOOKUP(C757,Gastos!$A$9:$J$1451,10,0),0)</f>
        <v>0</v>
      </c>
      <c r="L757" s="86">
        <f>-IFERROR(VLOOKUP(C757,IDC!$A$20:$H$1763,8,0),0)</f>
        <v>-31.5</v>
      </c>
      <c r="M757" s="95">
        <f t="shared" si="23"/>
        <v>5250</v>
      </c>
      <c r="O757" s="1"/>
    </row>
    <row r="758" spans="1:15" hidden="1">
      <c r="A758" s="1" t="s">
        <v>761</v>
      </c>
      <c r="B758" s="1" t="s">
        <v>15</v>
      </c>
      <c r="C758" s="71">
        <v>129034163043</v>
      </c>
      <c r="D758" s="3">
        <v>32119.8</v>
      </c>
      <c r="E758" s="3">
        <v>13499546.17</v>
      </c>
      <c r="F758" s="1" t="s">
        <v>3065</v>
      </c>
      <c r="G758"/>
      <c r="H758"/>
      <c r="I758" s="19">
        <f>-IFERROR(VLOOKUP(C758,SIRCUPA!$A$21:$H$221,8,0),0)</f>
        <v>0</v>
      </c>
      <c r="J758" s="86">
        <f>-IFERROR(VLOOKUP(C758,SIRTAC!$A$16:$H$1458,8,0),0)</f>
        <v>-340</v>
      </c>
      <c r="K758" s="86">
        <f>-IFERROR(VLOOKUP(C758,Gastos!$A$9:$J$1451,10,0),0)</f>
        <v>-1336.2</v>
      </c>
      <c r="L758" s="86">
        <f>-IFERROR(VLOOKUP(C758,IDC!$A$20:$H$1763,8,0),0)</f>
        <v>-204</v>
      </c>
      <c r="M758" s="95">
        <f t="shared" si="23"/>
        <v>34000</v>
      </c>
      <c r="O758" s="1"/>
    </row>
    <row r="759" spans="1:15" hidden="1">
      <c r="A759" s="1" t="s">
        <v>761</v>
      </c>
      <c r="B759" s="1" t="s">
        <v>15</v>
      </c>
      <c r="C759" s="71">
        <v>129034274459</v>
      </c>
      <c r="D759" s="3">
        <v>59822.02</v>
      </c>
      <c r="E759" s="3">
        <v>13559368.189999999</v>
      </c>
      <c r="F759" s="1" t="s">
        <v>3065</v>
      </c>
      <c r="G759"/>
      <c r="H759"/>
      <c r="I759" s="19">
        <f>-IFERROR(VLOOKUP(C759,SIRCUPA!$A$21:$H$221,8,0),0)</f>
        <v>0</v>
      </c>
      <c r="J759" s="86">
        <f>-IFERROR(VLOOKUP(C759,SIRTAC!$A$16:$H$1458,8,0),0)</f>
        <v>-614</v>
      </c>
      <c r="K759" s="86">
        <f>-IFERROR(VLOOKUP(C759,Gastos!$A$9:$J$1451,10,0),0)</f>
        <v>-595.58000000000004</v>
      </c>
      <c r="L759" s="86">
        <f>-IFERROR(VLOOKUP(C759,IDC!$A$20:$H$1763,8,0),0)</f>
        <v>-368.4</v>
      </c>
      <c r="M759" s="95">
        <f t="shared" si="23"/>
        <v>61400</v>
      </c>
      <c r="O759" s="1"/>
    </row>
    <row r="760" spans="1:15" hidden="1">
      <c r="A760" s="1" t="s">
        <v>761</v>
      </c>
      <c r="B760" s="1" t="s">
        <v>866</v>
      </c>
      <c r="C760" s="71">
        <v>129607130142</v>
      </c>
      <c r="D760" s="3">
        <v>9016.59</v>
      </c>
      <c r="E760" s="3">
        <v>13568384.779999999</v>
      </c>
      <c r="F760" s="1" t="s">
        <v>3065</v>
      </c>
      <c r="G760"/>
      <c r="H760"/>
      <c r="I760" s="19">
        <f>-IFERROR(VLOOKUP(C760,SIRCUPA!$A$21:$H$221,8,0),0)</f>
        <v>-138.15</v>
      </c>
      <c r="J760" s="86">
        <f>-IFERROR(VLOOKUP(C760,SIRTAC!$A$16:$H$1458,8,0),0)</f>
        <v>0</v>
      </c>
      <c r="K760" s="86">
        <f>-IFERROR(VLOOKUP(C760,Gastos!$A$9:$J$1451,10,0),0)</f>
        <v>0</v>
      </c>
      <c r="L760" s="86">
        <f>-IFERROR(VLOOKUP(C760,IDC!$A$20:$H$1763,8,0),0)</f>
        <v>-55.26</v>
      </c>
      <c r="M760" s="95">
        <f t="shared" si="23"/>
        <v>9210</v>
      </c>
      <c r="O760" s="1"/>
    </row>
    <row r="761" spans="1:15" hidden="1">
      <c r="A761" s="1" t="s">
        <v>761</v>
      </c>
      <c r="B761" s="1" t="s">
        <v>15</v>
      </c>
      <c r="C761" s="71">
        <v>129607232380</v>
      </c>
      <c r="D761" s="3">
        <v>7989.26</v>
      </c>
      <c r="E761" s="3">
        <v>13576374.039999999</v>
      </c>
      <c r="F761" s="1" t="s">
        <v>3065</v>
      </c>
      <c r="G761"/>
      <c r="H761"/>
      <c r="I761" s="19">
        <f>-IFERROR(VLOOKUP(C761,SIRCUPA!$A$21:$H$221,8,0),0)</f>
        <v>0</v>
      </c>
      <c r="J761" s="86">
        <f>-IFERROR(VLOOKUP(C761,SIRTAC!$A$16:$H$1458,8,0),0)</f>
        <v>-82</v>
      </c>
      <c r="K761" s="86">
        <f>-IFERROR(VLOOKUP(C761,Gastos!$A$9:$J$1451,10,0),0)</f>
        <v>-79.540000000000006</v>
      </c>
      <c r="L761" s="86">
        <f>-IFERROR(VLOOKUP(C761,IDC!$A$20:$H$1763,8,0),0)</f>
        <v>-49.2</v>
      </c>
      <c r="M761" s="95">
        <f t="shared" si="23"/>
        <v>8200</v>
      </c>
      <c r="O761" s="1"/>
    </row>
    <row r="762" spans="1:15" hidden="1">
      <c r="A762" s="1" t="s">
        <v>761</v>
      </c>
      <c r="B762" s="1" t="s">
        <v>15</v>
      </c>
      <c r="C762" s="71">
        <v>129607601758</v>
      </c>
      <c r="D762" s="3">
        <v>11999.48</v>
      </c>
      <c r="E762" s="3">
        <v>13588373.52</v>
      </c>
      <c r="F762" s="1" t="s">
        <v>3065</v>
      </c>
      <c r="G762"/>
      <c r="H762"/>
      <c r="I762" s="19">
        <f>-IFERROR(VLOOKUP(C762,SIRCUPA!$A$21:$H$221,8,0),0)</f>
        <v>0</v>
      </c>
      <c r="J762" s="86">
        <f>-IFERROR(VLOOKUP(C762,SIRTAC!$A$16:$H$1458,8,0),0)</f>
        <v>-124</v>
      </c>
      <c r="K762" s="86">
        <f>-IFERROR(VLOOKUP(C762,Gastos!$A$9:$J$1451,10,0),0)</f>
        <v>-202.12</v>
      </c>
      <c r="L762" s="86">
        <f>-IFERROR(VLOOKUP(C762,IDC!$A$20:$H$1763,8,0),0)</f>
        <v>-74.400000000000006</v>
      </c>
      <c r="M762" s="95">
        <f t="shared" si="23"/>
        <v>12400</v>
      </c>
      <c r="O762" s="1"/>
    </row>
    <row r="763" spans="1:15" hidden="1">
      <c r="A763" s="1" t="s">
        <v>761</v>
      </c>
      <c r="B763" s="1" t="s">
        <v>15</v>
      </c>
      <c r="C763" s="71">
        <v>129608485214</v>
      </c>
      <c r="D763" s="3">
        <v>67547.759999999995</v>
      </c>
      <c r="E763" s="3">
        <v>13655921.279999999</v>
      </c>
      <c r="F763" s="1" t="s">
        <v>3065</v>
      </c>
      <c r="G763"/>
      <c r="H763"/>
      <c r="I763" s="19">
        <f>-IFERROR(VLOOKUP(C763,SIRCUPA!$A$21:$H$221,8,0),0)</f>
        <v>0</v>
      </c>
      <c r="J763" s="86">
        <f>-IFERROR(VLOOKUP(C763,SIRTAC!$A$16:$H$1458,8,0),0)</f>
        <v>-744</v>
      </c>
      <c r="K763" s="86">
        <f>-IFERROR(VLOOKUP(C763,Gastos!$A$9:$J$1451,10,0),0)</f>
        <v>-5661.84</v>
      </c>
      <c r="L763" s="86">
        <f>-IFERROR(VLOOKUP(C763,IDC!$A$20:$H$1763,8,0),0)</f>
        <v>-446.4</v>
      </c>
      <c r="M763" s="95">
        <f t="shared" si="23"/>
        <v>74399.999999999985</v>
      </c>
      <c r="O763" s="1"/>
    </row>
    <row r="764" spans="1:15" hidden="1">
      <c r="A764" s="1" t="s">
        <v>761</v>
      </c>
      <c r="B764" s="1" t="s">
        <v>15</v>
      </c>
      <c r="C764" s="71">
        <v>129608565554</v>
      </c>
      <c r="D764" s="3">
        <v>4774.07</v>
      </c>
      <c r="E764" s="3">
        <v>13660695.35</v>
      </c>
      <c r="F764" s="1" t="s">
        <v>3065</v>
      </c>
      <c r="G764"/>
      <c r="H764"/>
      <c r="I764" s="19">
        <f>-IFERROR(VLOOKUP(C764,SIRCUPA!$A$21:$H$221,8,0),0)</f>
        <v>0</v>
      </c>
      <c r="J764" s="86">
        <f>-IFERROR(VLOOKUP(C764,SIRTAC!$A$16:$H$1458,8,0),0)</f>
        <v>-49</v>
      </c>
      <c r="K764" s="86">
        <f>-IFERROR(VLOOKUP(C764,Gastos!$A$9:$J$1451,10,0),0)</f>
        <v>-47.53</v>
      </c>
      <c r="L764" s="86">
        <f>-IFERROR(VLOOKUP(C764,IDC!$A$20:$H$1763,8,0),0)</f>
        <v>-29.4</v>
      </c>
      <c r="M764" s="95">
        <f t="shared" si="23"/>
        <v>4899.9999999999991</v>
      </c>
      <c r="O764" s="1"/>
    </row>
    <row r="765" spans="1:15" hidden="1">
      <c r="A765" s="1" t="s">
        <v>761</v>
      </c>
      <c r="B765" s="1" t="s">
        <v>15</v>
      </c>
      <c r="C765" s="71">
        <v>129035729183</v>
      </c>
      <c r="D765" s="3">
        <v>9548.14</v>
      </c>
      <c r="E765" s="3">
        <v>13670243.49</v>
      </c>
      <c r="F765" s="1" t="s">
        <v>3065</v>
      </c>
      <c r="G765"/>
      <c r="H765"/>
      <c r="I765" s="19">
        <f>-IFERROR(VLOOKUP(C765,SIRCUPA!$A$21:$H$221,8,0),0)</f>
        <v>0</v>
      </c>
      <c r="J765" s="86">
        <f>-IFERROR(VLOOKUP(C765,SIRTAC!$A$16:$H$1458,8,0),0)</f>
        <v>-98</v>
      </c>
      <c r="K765" s="86">
        <f>-IFERROR(VLOOKUP(C765,Gastos!$A$9:$J$1451,10,0),0)</f>
        <v>-95.06</v>
      </c>
      <c r="L765" s="86">
        <f>-IFERROR(VLOOKUP(C765,IDC!$A$20:$H$1763,8,0),0)</f>
        <v>-58.8</v>
      </c>
      <c r="M765" s="95">
        <f t="shared" si="23"/>
        <v>9799.9999999999982</v>
      </c>
      <c r="O765" s="1"/>
    </row>
    <row r="766" spans="1:15" hidden="1">
      <c r="A766" s="1" t="s">
        <v>761</v>
      </c>
      <c r="B766" s="1" t="s">
        <v>15</v>
      </c>
      <c r="C766" s="71">
        <v>129036090355</v>
      </c>
      <c r="D766" s="3">
        <v>4871.5</v>
      </c>
      <c r="E766" s="3">
        <v>13675114.99</v>
      </c>
      <c r="F766" s="1" t="s">
        <v>3065</v>
      </c>
      <c r="G766"/>
      <c r="H766"/>
      <c r="I766" s="19">
        <f>-IFERROR(VLOOKUP(C766,SIRCUPA!$A$21:$H$221,8,0),0)</f>
        <v>0</v>
      </c>
      <c r="J766" s="86">
        <f>-IFERROR(VLOOKUP(C766,SIRTAC!$A$16:$H$1458,8,0),0)</f>
        <v>-50</v>
      </c>
      <c r="K766" s="86">
        <f>-IFERROR(VLOOKUP(C766,Gastos!$A$9:$J$1451,10,0),0)</f>
        <v>-48.5</v>
      </c>
      <c r="L766" s="86">
        <f>-IFERROR(VLOOKUP(C766,IDC!$A$20:$H$1763,8,0),0)</f>
        <v>-30</v>
      </c>
      <c r="M766" s="95">
        <f t="shared" si="23"/>
        <v>5000</v>
      </c>
      <c r="O766" s="1"/>
    </row>
    <row r="767" spans="1:15" hidden="1">
      <c r="A767" s="1" t="s">
        <v>761</v>
      </c>
      <c r="B767" s="1" t="s">
        <v>874</v>
      </c>
      <c r="C767" s="71">
        <v>129608793634</v>
      </c>
      <c r="D767" s="2">
        <v>244.75</v>
      </c>
      <c r="E767" s="3">
        <v>13675359.74</v>
      </c>
      <c r="F767" s="1" t="s">
        <v>3065</v>
      </c>
      <c r="G767"/>
      <c r="H767"/>
      <c r="I767" s="19">
        <f>-IFERROR(VLOOKUP(C767,SIRCUPA!$A$21:$H$221,8,0),0)</f>
        <v>-3.75</v>
      </c>
      <c r="J767" s="86">
        <f>-IFERROR(VLOOKUP(C767,SIRTAC!$A$16:$H$1458,8,0),0)</f>
        <v>0</v>
      </c>
      <c r="K767" s="86">
        <f>-IFERROR(VLOOKUP(C767,Gastos!$A$9:$J$1451,10,0),0)</f>
        <v>0</v>
      </c>
      <c r="L767" s="86">
        <f>-IFERROR(VLOOKUP(C767,IDC!$A$20:$H$1763,8,0),0)</f>
        <v>-1.5</v>
      </c>
      <c r="M767" s="95">
        <f t="shared" si="23"/>
        <v>250</v>
      </c>
      <c r="O767" s="1"/>
    </row>
    <row r="768" spans="1:15" hidden="1">
      <c r="A768" s="1" t="s">
        <v>761</v>
      </c>
      <c r="B768" s="1" t="s">
        <v>15</v>
      </c>
      <c r="C768" s="71">
        <v>129609138584</v>
      </c>
      <c r="D768" s="3">
        <v>33905.64</v>
      </c>
      <c r="E768" s="3">
        <v>13709265.380000001</v>
      </c>
      <c r="F768" s="1" t="s">
        <v>3065</v>
      </c>
      <c r="G768"/>
      <c r="H768"/>
      <c r="I768" s="19">
        <f>-IFERROR(VLOOKUP(C768,SIRCUPA!$A$21:$H$221,8,0),0)</f>
        <v>0</v>
      </c>
      <c r="J768" s="86">
        <f>-IFERROR(VLOOKUP(C768,SIRTAC!$A$16:$H$1458,8,0),0)</f>
        <v>-348</v>
      </c>
      <c r="K768" s="86">
        <f>-IFERROR(VLOOKUP(C768,Gastos!$A$9:$J$1451,10,0),0)</f>
        <v>-337.56</v>
      </c>
      <c r="L768" s="86">
        <f>-IFERROR(VLOOKUP(C768,IDC!$A$20:$H$1763,8,0),0)</f>
        <v>-208.8</v>
      </c>
      <c r="M768" s="95">
        <f t="shared" si="23"/>
        <v>34800</v>
      </c>
      <c r="O768" s="1"/>
    </row>
    <row r="769" spans="1:15" hidden="1">
      <c r="A769" s="1" t="s">
        <v>761</v>
      </c>
      <c r="B769" s="1" t="s">
        <v>877</v>
      </c>
      <c r="C769" s="71">
        <v>129609093236</v>
      </c>
      <c r="D769" s="3">
        <v>3406.92</v>
      </c>
      <c r="E769" s="3">
        <v>13712672.300000001</v>
      </c>
      <c r="F769" s="1" t="s">
        <v>3065</v>
      </c>
      <c r="G769"/>
      <c r="H769"/>
      <c r="I769" s="19">
        <f>-IFERROR(VLOOKUP(C769,SIRCUPA!$A$21:$H$221,8,0),0)</f>
        <v>-52.2</v>
      </c>
      <c r="J769" s="86">
        <f>-IFERROR(VLOOKUP(C769,SIRTAC!$A$16:$H$1458,8,0),0)</f>
        <v>0</v>
      </c>
      <c r="K769" s="86">
        <f>-IFERROR(VLOOKUP(C769,Gastos!$A$9:$J$1451,10,0),0)</f>
        <v>0</v>
      </c>
      <c r="L769" s="86">
        <f>-IFERROR(VLOOKUP(C769,IDC!$A$20:$H$1763,8,0),0)</f>
        <v>-20.88</v>
      </c>
      <c r="M769" s="95">
        <f t="shared" si="23"/>
        <v>3480</v>
      </c>
      <c r="O769" s="1"/>
    </row>
    <row r="770" spans="1:15" hidden="1">
      <c r="A770" s="1" t="s">
        <v>761</v>
      </c>
      <c r="B770" s="1" t="s">
        <v>15</v>
      </c>
      <c r="C770" s="71">
        <v>129036637851</v>
      </c>
      <c r="D770" s="3">
        <v>9743</v>
      </c>
      <c r="E770" s="3">
        <v>13722415.300000001</v>
      </c>
      <c r="F770" s="1" t="s">
        <v>3065</v>
      </c>
      <c r="G770"/>
      <c r="H770"/>
      <c r="I770" s="19">
        <f>-IFERROR(VLOOKUP(C770,SIRCUPA!$A$21:$H$221,8,0),0)</f>
        <v>0</v>
      </c>
      <c r="J770" s="86">
        <f>-IFERROR(VLOOKUP(C770,SIRTAC!$A$16:$H$1458,8,0),0)</f>
        <v>-100</v>
      </c>
      <c r="K770" s="86">
        <f>-IFERROR(VLOOKUP(C770,Gastos!$A$9:$J$1451,10,0),0)</f>
        <v>-97</v>
      </c>
      <c r="L770" s="86">
        <f>-IFERROR(VLOOKUP(C770,IDC!$A$20:$H$1763,8,0),0)</f>
        <v>-60</v>
      </c>
      <c r="M770" s="95">
        <f t="shared" si="23"/>
        <v>10000</v>
      </c>
      <c r="O770" s="1"/>
    </row>
    <row r="771" spans="1:15" hidden="1">
      <c r="A771" s="1" t="s">
        <v>761</v>
      </c>
      <c r="B771" s="1" t="s">
        <v>15</v>
      </c>
      <c r="C771" s="71">
        <v>129609804684</v>
      </c>
      <c r="D771" s="3">
        <v>9069.1200000000008</v>
      </c>
      <c r="E771" s="3">
        <v>13731484.42</v>
      </c>
      <c r="F771" s="1" t="s">
        <v>3065</v>
      </c>
      <c r="G771"/>
      <c r="H771"/>
      <c r="I771" s="19">
        <f>-IFERROR(VLOOKUP(C771,SIRCUPA!$A$21:$H$221,8,0),0)</f>
        <v>0</v>
      </c>
      <c r="J771" s="86">
        <f>-IFERROR(VLOOKUP(C771,SIRTAC!$A$16:$H$1458,8,0),0)</f>
        <v>-96</v>
      </c>
      <c r="K771" s="86">
        <f>-IFERROR(VLOOKUP(C771,Gastos!$A$9:$J$1451,10,0),0)</f>
        <v>-377.28</v>
      </c>
      <c r="L771" s="86">
        <f>-IFERROR(VLOOKUP(C771,IDC!$A$20:$H$1763,8,0),0)</f>
        <v>-57.6</v>
      </c>
      <c r="M771" s="95">
        <f t="shared" si="23"/>
        <v>9600.0000000000018</v>
      </c>
      <c r="O771" s="1"/>
    </row>
    <row r="772" spans="1:15" hidden="1">
      <c r="A772" s="1" t="s">
        <v>761</v>
      </c>
      <c r="B772" s="1" t="s">
        <v>15</v>
      </c>
      <c r="C772" s="71">
        <v>129610020300</v>
      </c>
      <c r="D772" s="3">
        <v>58360.57</v>
      </c>
      <c r="E772" s="3">
        <v>13789844.99</v>
      </c>
      <c r="F772" s="1" t="s">
        <v>3065</v>
      </c>
      <c r="G772"/>
      <c r="H772"/>
      <c r="I772" s="19">
        <f>-IFERROR(VLOOKUP(C772,SIRCUPA!$A$21:$H$221,8,0),0)</f>
        <v>0</v>
      </c>
      <c r="J772" s="86">
        <f>-IFERROR(VLOOKUP(C772,SIRTAC!$A$16:$H$1458,8,0),0)</f>
        <v>-599</v>
      </c>
      <c r="K772" s="86">
        <f>-IFERROR(VLOOKUP(C772,Gastos!$A$9:$J$1451,10,0),0)</f>
        <v>-581.03</v>
      </c>
      <c r="L772" s="86">
        <f>-IFERROR(VLOOKUP(C772,IDC!$A$20:$H$1763,8,0),0)</f>
        <v>-359.4</v>
      </c>
      <c r="M772" s="95">
        <f t="shared" si="23"/>
        <v>59900</v>
      </c>
      <c r="O772" s="1"/>
    </row>
    <row r="773" spans="1:15" hidden="1">
      <c r="A773" s="1" t="s">
        <v>761</v>
      </c>
      <c r="B773" s="1" t="s">
        <v>15</v>
      </c>
      <c r="C773" s="71">
        <v>129610390102</v>
      </c>
      <c r="D773" s="3">
        <v>38972</v>
      </c>
      <c r="E773" s="3">
        <v>13828816.99</v>
      </c>
      <c r="F773" s="1" t="s">
        <v>3065</v>
      </c>
      <c r="G773"/>
      <c r="H773"/>
      <c r="I773" s="19">
        <f>-IFERROR(VLOOKUP(C773,SIRCUPA!$A$21:$H$221,8,0),0)</f>
        <v>0</v>
      </c>
      <c r="J773" s="86">
        <f>-IFERROR(VLOOKUP(C773,SIRTAC!$A$16:$H$1458,8,0),0)</f>
        <v>-400</v>
      </c>
      <c r="K773" s="86">
        <f>-IFERROR(VLOOKUP(C773,Gastos!$A$9:$J$1451,10,0),0)</f>
        <v>-388</v>
      </c>
      <c r="L773" s="86">
        <f>-IFERROR(VLOOKUP(C773,IDC!$A$20:$H$1763,8,0),0)</f>
        <v>-240</v>
      </c>
      <c r="M773" s="95">
        <f t="shared" si="23"/>
        <v>40000</v>
      </c>
      <c r="O773" s="1"/>
    </row>
    <row r="774" spans="1:15" hidden="1">
      <c r="A774" s="1" t="s">
        <v>761</v>
      </c>
      <c r="B774" s="1" t="s">
        <v>15</v>
      </c>
      <c r="C774" s="71">
        <v>129610361428</v>
      </c>
      <c r="D774" s="3">
        <v>70002.27</v>
      </c>
      <c r="E774" s="3">
        <v>13898819.26</v>
      </c>
      <c r="F774" s="1" t="s">
        <v>3065</v>
      </c>
      <c r="G774"/>
      <c r="H774"/>
      <c r="I774" s="19">
        <f>-IFERROR(VLOOKUP(C774,SIRCUPA!$A$21:$H$221,8,0),0)</f>
        <v>0</v>
      </c>
      <c r="J774" s="86">
        <f>-IFERROR(VLOOKUP(C774,SIRTAC!$A$16:$H$1458,8,0),0)</f>
        <v>-741</v>
      </c>
      <c r="K774" s="86">
        <f>-IFERROR(VLOOKUP(C774,Gastos!$A$9:$J$1451,10,0),0)</f>
        <v>-2912.13</v>
      </c>
      <c r="L774" s="86">
        <f>-IFERROR(VLOOKUP(C774,IDC!$A$20:$H$1763,8,0),0)</f>
        <v>-444.6</v>
      </c>
      <c r="M774" s="95">
        <f t="shared" si="23"/>
        <v>74100.000000000015</v>
      </c>
      <c r="O774" s="1"/>
    </row>
    <row r="775" spans="1:15" hidden="1">
      <c r="A775" s="1" t="s">
        <v>761</v>
      </c>
      <c r="B775" s="1" t="s">
        <v>15</v>
      </c>
      <c r="C775" s="71">
        <v>129038067875</v>
      </c>
      <c r="D775" s="3">
        <v>8171.1</v>
      </c>
      <c r="E775" s="3">
        <v>13906990.359999999</v>
      </c>
      <c r="F775" s="1" t="s">
        <v>3065</v>
      </c>
      <c r="G775"/>
      <c r="H775"/>
      <c r="I775" s="19">
        <f>-IFERROR(VLOOKUP(C775,SIRCUPA!$A$21:$H$221,8,0),0)</f>
        <v>0</v>
      </c>
      <c r="J775" s="86">
        <f>-IFERROR(VLOOKUP(C775,SIRTAC!$A$16:$H$1458,8,0),0)</f>
        <v>-90</v>
      </c>
      <c r="K775" s="86">
        <f>-IFERROR(VLOOKUP(C775,Gastos!$A$9:$J$1451,10,0),0)</f>
        <v>-684.9</v>
      </c>
      <c r="L775" s="86">
        <f>-IFERROR(VLOOKUP(C775,IDC!$A$20:$H$1763,8,0),0)</f>
        <v>-54</v>
      </c>
      <c r="M775" s="95">
        <f t="shared" si="23"/>
        <v>9000</v>
      </c>
      <c r="O775" s="1"/>
    </row>
    <row r="776" spans="1:15" hidden="1">
      <c r="A776" s="1" t="s">
        <v>761</v>
      </c>
      <c r="B776" s="1" t="s">
        <v>15</v>
      </c>
      <c r="C776" s="71">
        <v>129038255279</v>
      </c>
      <c r="D776" s="3">
        <v>12967.18</v>
      </c>
      <c r="E776" s="3">
        <v>13919957.539999999</v>
      </c>
      <c r="F776" s="1" t="s">
        <v>3065</v>
      </c>
      <c r="G776"/>
      <c r="H776"/>
      <c r="I776" s="19">
        <f>-IFERROR(VLOOKUP(C776,SIRCUPA!$A$21:$H$221,8,0),0)</f>
        <v>0</v>
      </c>
      <c r="J776" s="86">
        <f>-IFERROR(VLOOKUP(C776,SIRTAC!$A$16:$H$1458,8,0),0)</f>
        <v>-134</v>
      </c>
      <c r="K776" s="86">
        <f>-IFERROR(VLOOKUP(C776,Gastos!$A$9:$J$1451,10,0),0)</f>
        <v>-218.42</v>
      </c>
      <c r="L776" s="86">
        <f>-IFERROR(VLOOKUP(C776,IDC!$A$20:$H$1763,8,0),0)</f>
        <v>-80.400000000000006</v>
      </c>
      <c r="M776" s="95">
        <f t="shared" si="23"/>
        <v>13400</v>
      </c>
      <c r="O776" s="1"/>
    </row>
    <row r="777" spans="1:15" hidden="1">
      <c r="A777" s="1" t="s">
        <v>761</v>
      </c>
      <c r="B777" s="1" t="s">
        <v>15</v>
      </c>
      <c r="C777" s="71">
        <v>129611198742</v>
      </c>
      <c r="D777" s="3">
        <v>20850.02</v>
      </c>
      <c r="E777" s="3">
        <v>13940807.560000001</v>
      </c>
      <c r="F777" s="1" t="s">
        <v>3065</v>
      </c>
      <c r="G777"/>
      <c r="H777"/>
      <c r="I777" s="19">
        <f>-IFERROR(VLOOKUP(C777,SIRCUPA!$A$21:$H$221,8,0),0)</f>
        <v>0</v>
      </c>
      <c r="J777" s="86">
        <f>-IFERROR(VLOOKUP(C777,SIRTAC!$A$16:$H$1458,8,0),0)</f>
        <v>-214</v>
      </c>
      <c r="K777" s="86">
        <f>-IFERROR(VLOOKUP(C777,Gastos!$A$9:$J$1451,10,0),0)</f>
        <v>-207.58</v>
      </c>
      <c r="L777" s="86">
        <f>-IFERROR(VLOOKUP(C777,IDC!$A$20:$H$1763,8,0),0)</f>
        <v>-128.4</v>
      </c>
      <c r="M777" s="95">
        <f t="shared" si="23"/>
        <v>21400.000000000004</v>
      </c>
      <c r="O777" s="1"/>
    </row>
    <row r="778" spans="1:15" hidden="1">
      <c r="A778" s="1" t="s">
        <v>761</v>
      </c>
      <c r="B778" s="1" t="s">
        <v>887</v>
      </c>
      <c r="C778" s="71">
        <v>129611119996</v>
      </c>
      <c r="D778" s="3">
        <v>2095.06</v>
      </c>
      <c r="E778" s="3">
        <v>13942902.619999999</v>
      </c>
      <c r="F778" s="1" t="s">
        <v>3065</v>
      </c>
      <c r="G778"/>
      <c r="H778"/>
      <c r="I778" s="19">
        <f>-IFERROR(VLOOKUP(C778,SIRCUPA!$A$21:$H$221,8,0),0)</f>
        <v>-32.1</v>
      </c>
      <c r="J778" s="86">
        <f>-IFERROR(VLOOKUP(C778,SIRTAC!$A$16:$H$1458,8,0),0)</f>
        <v>0</v>
      </c>
      <c r="K778" s="86">
        <f>-IFERROR(VLOOKUP(C778,Gastos!$A$9:$J$1451,10,0),0)</f>
        <v>0</v>
      </c>
      <c r="L778" s="86">
        <f>-IFERROR(VLOOKUP(C778,IDC!$A$20:$H$1763,8,0),0)</f>
        <v>-12.84</v>
      </c>
      <c r="M778" s="95">
        <f t="shared" si="23"/>
        <v>2140</v>
      </c>
      <c r="O778" s="1"/>
    </row>
    <row r="779" spans="1:15" hidden="1">
      <c r="A779" s="1" t="s">
        <v>761</v>
      </c>
      <c r="B779" s="1" t="s">
        <v>15</v>
      </c>
      <c r="C779" s="71">
        <v>129611514822</v>
      </c>
      <c r="D779" s="3">
        <v>34587.65</v>
      </c>
      <c r="E779" s="3">
        <v>13977490.27</v>
      </c>
      <c r="F779" s="1" t="s">
        <v>3065</v>
      </c>
      <c r="G779"/>
      <c r="H779"/>
      <c r="I779" s="19">
        <f>-IFERROR(VLOOKUP(C779,SIRCUPA!$A$21:$H$221,8,0),0)</f>
        <v>0</v>
      </c>
      <c r="J779" s="86">
        <f>-IFERROR(VLOOKUP(C779,SIRTAC!$A$16:$H$1458,8,0),0)</f>
        <v>-355</v>
      </c>
      <c r="K779" s="86">
        <f>-IFERROR(VLOOKUP(C779,Gastos!$A$9:$J$1451,10,0),0)</f>
        <v>-344.35</v>
      </c>
      <c r="L779" s="86">
        <f>-IFERROR(VLOOKUP(C779,IDC!$A$20:$H$1763,8,0),0)</f>
        <v>-213</v>
      </c>
      <c r="M779" s="95">
        <f t="shared" si="23"/>
        <v>35500</v>
      </c>
      <c r="O779" s="1"/>
    </row>
    <row r="780" spans="1:15" hidden="1">
      <c r="A780" s="1" t="s">
        <v>761</v>
      </c>
      <c r="B780" s="1" t="s">
        <v>15</v>
      </c>
      <c r="C780" s="71">
        <v>129611461620</v>
      </c>
      <c r="D780" s="3">
        <v>14224.78</v>
      </c>
      <c r="E780" s="3">
        <v>13991715.050000001</v>
      </c>
      <c r="F780" s="1" t="s">
        <v>3065</v>
      </c>
      <c r="G780"/>
      <c r="H780"/>
      <c r="I780" s="19">
        <f>-IFERROR(VLOOKUP(C780,SIRCUPA!$A$21:$H$221,8,0),0)</f>
        <v>0</v>
      </c>
      <c r="J780" s="86">
        <f>-IFERROR(VLOOKUP(C780,SIRTAC!$A$16:$H$1458,8,0),0)</f>
        <v>-146</v>
      </c>
      <c r="K780" s="86">
        <f>-IFERROR(VLOOKUP(C780,Gastos!$A$9:$J$1451,10,0),0)</f>
        <v>-141.62</v>
      </c>
      <c r="L780" s="86">
        <f>-IFERROR(VLOOKUP(C780,IDC!$A$20:$H$1763,8,0),0)</f>
        <v>-87.6</v>
      </c>
      <c r="M780" s="95">
        <f t="shared" si="23"/>
        <v>14600.000000000002</v>
      </c>
      <c r="O780" s="1"/>
    </row>
    <row r="781" spans="1:15" hidden="1">
      <c r="A781" s="1" t="s">
        <v>761</v>
      </c>
      <c r="B781" s="1" t="s">
        <v>15</v>
      </c>
      <c r="C781" s="71">
        <v>129611760024</v>
      </c>
      <c r="D781" s="3">
        <v>4676.6400000000003</v>
      </c>
      <c r="E781" s="3">
        <v>13996391.689999999</v>
      </c>
      <c r="F781" s="1" t="s">
        <v>3065</v>
      </c>
      <c r="G781"/>
      <c r="H781"/>
      <c r="I781" s="19">
        <f>-IFERROR(VLOOKUP(C781,SIRCUPA!$A$21:$H$221,8,0),0)</f>
        <v>0</v>
      </c>
      <c r="J781" s="86">
        <f>-IFERROR(VLOOKUP(C781,SIRTAC!$A$16:$H$1458,8,0),0)</f>
        <v>-48</v>
      </c>
      <c r="K781" s="86">
        <f>-IFERROR(VLOOKUP(C781,Gastos!$A$9:$J$1451,10,0),0)</f>
        <v>-46.56</v>
      </c>
      <c r="L781" s="86">
        <f>-IFERROR(VLOOKUP(C781,IDC!$A$20:$H$1763,8,0),0)</f>
        <v>-28.8</v>
      </c>
      <c r="M781" s="95">
        <f t="shared" si="23"/>
        <v>4800.0000000000009</v>
      </c>
      <c r="O781" s="1"/>
    </row>
    <row r="782" spans="1:15" hidden="1">
      <c r="A782" s="1" t="s">
        <v>761</v>
      </c>
      <c r="B782" s="1" t="s">
        <v>15</v>
      </c>
      <c r="C782" s="71">
        <v>129039009389</v>
      </c>
      <c r="D782" s="3">
        <v>4092.06</v>
      </c>
      <c r="E782" s="3">
        <v>14000483.75</v>
      </c>
      <c r="F782" s="1" t="s">
        <v>3065</v>
      </c>
      <c r="G782"/>
      <c r="H782"/>
      <c r="I782" s="19">
        <f>-IFERROR(VLOOKUP(C782,SIRCUPA!$A$21:$H$221,8,0),0)</f>
        <v>0</v>
      </c>
      <c r="J782" s="86">
        <f>-IFERROR(VLOOKUP(C782,SIRTAC!$A$16:$H$1458,8,0),0)</f>
        <v>-42</v>
      </c>
      <c r="K782" s="86">
        <f>-IFERROR(VLOOKUP(C782,Gastos!$A$9:$J$1451,10,0),0)</f>
        <v>-40.74</v>
      </c>
      <c r="L782" s="86">
        <f>-IFERROR(VLOOKUP(C782,IDC!$A$20:$H$1763,8,0),0)</f>
        <v>-25.2</v>
      </c>
      <c r="M782" s="95">
        <f t="shared" si="23"/>
        <v>4199.9999999999991</v>
      </c>
      <c r="O782" s="1"/>
    </row>
    <row r="783" spans="1:15" hidden="1">
      <c r="A783" s="1" t="s">
        <v>761</v>
      </c>
      <c r="B783" s="1" t="s">
        <v>15</v>
      </c>
      <c r="C783" s="71">
        <v>129612039128</v>
      </c>
      <c r="D783" s="3">
        <v>4676.6400000000003</v>
      </c>
      <c r="E783" s="3">
        <v>14005160.390000001</v>
      </c>
      <c r="F783" s="1" t="s">
        <v>3065</v>
      </c>
      <c r="G783"/>
      <c r="H783"/>
      <c r="I783" s="19">
        <f>-IFERROR(VLOOKUP(C783,SIRCUPA!$A$21:$H$221,8,0),0)</f>
        <v>0</v>
      </c>
      <c r="J783" s="86">
        <f>-IFERROR(VLOOKUP(C783,SIRTAC!$A$16:$H$1458,8,0),0)</f>
        <v>-48</v>
      </c>
      <c r="K783" s="86">
        <f>-IFERROR(VLOOKUP(C783,Gastos!$A$9:$J$1451,10,0),0)</f>
        <v>-46.56</v>
      </c>
      <c r="L783" s="86">
        <f>-IFERROR(VLOOKUP(C783,IDC!$A$20:$H$1763,8,0),0)</f>
        <v>-28.8</v>
      </c>
      <c r="M783" s="95">
        <f t="shared" si="23"/>
        <v>4800.0000000000009</v>
      </c>
      <c r="O783" s="1"/>
    </row>
    <row r="784" spans="1:15" hidden="1">
      <c r="A784" s="1" t="s">
        <v>761</v>
      </c>
      <c r="B784" s="1" t="s">
        <v>15</v>
      </c>
      <c r="C784" s="71">
        <v>129039190217</v>
      </c>
      <c r="D784" s="3">
        <v>4481.78</v>
      </c>
      <c r="E784" s="3">
        <v>14009642.17</v>
      </c>
      <c r="F784" s="1" t="s">
        <v>3065</v>
      </c>
      <c r="G784"/>
      <c r="H784"/>
      <c r="I784" s="19">
        <f>-IFERROR(VLOOKUP(C784,SIRCUPA!$A$21:$H$221,8,0),0)</f>
        <v>0</v>
      </c>
      <c r="J784" s="86">
        <f>-IFERROR(VLOOKUP(C784,SIRTAC!$A$16:$H$1458,8,0),0)</f>
        <v>-46</v>
      </c>
      <c r="K784" s="86">
        <f>-IFERROR(VLOOKUP(C784,Gastos!$A$9:$J$1451,10,0),0)</f>
        <v>-44.62</v>
      </c>
      <c r="L784" s="86">
        <f>-IFERROR(VLOOKUP(C784,IDC!$A$20:$H$1763,8,0),0)</f>
        <v>-27.6</v>
      </c>
      <c r="M784" s="95">
        <f t="shared" si="23"/>
        <v>4600</v>
      </c>
      <c r="O784" s="1"/>
    </row>
    <row r="785" spans="1:15" hidden="1">
      <c r="A785" s="1" t="s">
        <v>761</v>
      </c>
      <c r="B785" s="1" t="s">
        <v>15</v>
      </c>
      <c r="C785" s="71">
        <v>129039242257</v>
      </c>
      <c r="D785" s="3">
        <v>64011.51</v>
      </c>
      <c r="E785" s="3">
        <v>14073653.68</v>
      </c>
      <c r="F785" s="1" t="s">
        <v>3065</v>
      </c>
      <c r="G785"/>
      <c r="H785"/>
      <c r="I785" s="19">
        <f>-IFERROR(VLOOKUP(C785,SIRCUPA!$A$21:$H$221,8,0),0)</f>
        <v>0</v>
      </c>
      <c r="J785" s="86">
        <f>-IFERROR(VLOOKUP(C785,SIRTAC!$A$16:$H$1458,8,0),0)</f>
        <v>-657</v>
      </c>
      <c r="K785" s="86">
        <f>-IFERROR(VLOOKUP(C785,Gastos!$A$9:$J$1451,10,0),0)</f>
        <v>-637.29</v>
      </c>
      <c r="L785" s="86">
        <f>-IFERROR(VLOOKUP(C785,IDC!$A$20:$H$1763,8,0),0)</f>
        <v>-394.2</v>
      </c>
      <c r="M785" s="95">
        <f t="shared" si="23"/>
        <v>65700</v>
      </c>
      <c r="O785" s="1"/>
    </row>
    <row r="786" spans="1:15" hidden="1">
      <c r="A786" s="1" t="s">
        <v>761</v>
      </c>
      <c r="B786" s="1" t="s">
        <v>15</v>
      </c>
      <c r="C786" s="71">
        <v>129612215634</v>
      </c>
      <c r="D786" s="3">
        <v>9353.2800000000007</v>
      </c>
      <c r="E786" s="3">
        <v>14083006.960000001</v>
      </c>
      <c r="F786" s="1" t="s">
        <v>3065</v>
      </c>
      <c r="G786"/>
      <c r="H786"/>
      <c r="I786" s="19">
        <f>-IFERROR(VLOOKUP(C786,SIRCUPA!$A$21:$H$221,8,0),0)</f>
        <v>0</v>
      </c>
      <c r="J786" s="86">
        <f>-IFERROR(VLOOKUP(C786,SIRTAC!$A$16:$H$1458,8,0),0)</f>
        <v>-96</v>
      </c>
      <c r="K786" s="86">
        <f>-IFERROR(VLOOKUP(C786,Gastos!$A$9:$J$1451,10,0),0)</f>
        <v>-93.12</v>
      </c>
      <c r="L786" s="86">
        <f>-IFERROR(VLOOKUP(C786,IDC!$A$20:$H$1763,8,0),0)</f>
        <v>-57.6</v>
      </c>
      <c r="M786" s="95">
        <f t="shared" si="23"/>
        <v>9600.0000000000018</v>
      </c>
      <c r="O786" s="1"/>
    </row>
    <row r="787" spans="1:15" hidden="1">
      <c r="A787" s="1" t="s">
        <v>761</v>
      </c>
      <c r="B787" s="1" t="s">
        <v>15</v>
      </c>
      <c r="C787" s="71">
        <v>129613344728</v>
      </c>
      <c r="D787" s="3">
        <v>12470.04</v>
      </c>
      <c r="E787" s="3">
        <v>14095477</v>
      </c>
      <c r="F787" s="1" t="s">
        <v>3065</v>
      </c>
      <c r="G787"/>
      <c r="H787"/>
      <c r="I787" s="19">
        <f>-IFERROR(VLOOKUP(C787,SIRCUPA!$A$21:$H$221,8,0),0)</f>
        <v>0</v>
      </c>
      <c r="J787" s="86">
        <f>-IFERROR(VLOOKUP(C787,SIRTAC!$A$16:$H$1458,8,0),0)</f>
        <v>-132</v>
      </c>
      <c r="K787" s="86">
        <f>-IFERROR(VLOOKUP(C787,Gastos!$A$9:$J$1451,10,0),0)</f>
        <v>-518.76</v>
      </c>
      <c r="L787" s="86">
        <f>-IFERROR(VLOOKUP(C787,IDC!$A$20:$H$1763,8,0),0)</f>
        <v>-79.2</v>
      </c>
      <c r="M787" s="95">
        <f t="shared" si="23"/>
        <v>13200.000000000002</v>
      </c>
      <c r="O787" s="1"/>
    </row>
    <row r="788" spans="1:15" hidden="1">
      <c r="A788" s="1" t="s">
        <v>761</v>
      </c>
      <c r="B788" s="1" t="s">
        <v>15</v>
      </c>
      <c r="C788" s="71">
        <v>129040565267</v>
      </c>
      <c r="D788" s="3">
        <v>68298.429999999993</v>
      </c>
      <c r="E788" s="3">
        <v>14163775.43</v>
      </c>
      <c r="F788" s="1" t="s">
        <v>3065</v>
      </c>
      <c r="G788"/>
      <c r="H788"/>
      <c r="I788" s="19">
        <f>-IFERROR(VLOOKUP(C788,SIRCUPA!$A$21:$H$221,8,0),0)</f>
        <v>0</v>
      </c>
      <c r="J788" s="86">
        <f>-IFERROR(VLOOKUP(C788,SIRTAC!$A$16:$H$1458,8,0),0)</f>
        <v>-701</v>
      </c>
      <c r="K788" s="86">
        <f>-IFERROR(VLOOKUP(C788,Gastos!$A$9:$J$1451,10,0),0)</f>
        <v>-679.97</v>
      </c>
      <c r="L788" s="86">
        <f>-IFERROR(VLOOKUP(C788,IDC!$A$20:$H$1763,8,0),0)</f>
        <v>-420.6</v>
      </c>
      <c r="M788" s="95">
        <f t="shared" si="23"/>
        <v>70100</v>
      </c>
      <c r="O788" s="1"/>
    </row>
    <row r="789" spans="1:15" hidden="1">
      <c r="A789" s="1" t="s">
        <v>761</v>
      </c>
      <c r="B789" s="1" t="s">
        <v>15</v>
      </c>
      <c r="C789" s="71">
        <v>129040694001</v>
      </c>
      <c r="D789" s="3">
        <v>8447.4</v>
      </c>
      <c r="E789" s="3">
        <v>14172222.83</v>
      </c>
      <c r="F789" s="1" t="s">
        <v>3065</v>
      </c>
      <c r="G789"/>
      <c r="H789"/>
      <c r="I789" s="19">
        <f>-IFERROR(VLOOKUP(C789,SIRCUPA!$A$21:$H$221,8,0),0)</f>
        <v>0</v>
      </c>
      <c r="J789" s="86">
        <f>-IFERROR(VLOOKUP(C789,SIRTAC!$A$16:$H$1458,8,0),0)</f>
        <v>-90</v>
      </c>
      <c r="K789" s="86">
        <f>-IFERROR(VLOOKUP(C789,Gastos!$A$9:$J$1451,10,0),0)</f>
        <v>-408.6</v>
      </c>
      <c r="L789" s="86">
        <f>-IFERROR(VLOOKUP(C789,IDC!$A$20:$H$1763,8,0),0)</f>
        <v>-54</v>
      </c>
      <c r="M789" s="95">
        <f t="shared" si="23"/>
        <v>9000</v>
      </c>
      <c r="O789" s="1"/>
    </row>
    <row r="790" spans="1:15" hidden="1">
      <c r="A790" s="1" t="s">
        <v>761</v>
      </c>
      <c r="B790" s="1" t="s">
        <v>15</v>
      </c>
      <c r="C790" s="71">
        <v>129613766564</v>
      </c>
      <c r="D790" s="3">
        <v>4505.28</v>
      </c>
      <c r="E790" s="3">
        <v>14176728.109999999</v>
      </c>
      <c r="F790" s="1" t="s">
        <v>3065</v>
      </c>
      <c r="G790"/>
      <c r="H790"/>
      <c r="I790" s="19">
        <f>-IFERROR(VLOOKUP(C790,SIRCUPA!$A$21:$H$221,8,0),0)</f>
        <v>0</v>
      </c>
      <c r="J790" s="86">
        <f>-IFERROR(VLOOKUP(C790,SIRTAC!$A$16:$H$1458,8,0),0)</f>
        <v>-48</v>
      </c>
      <c r="K790" s="86">
        <f>-IFERROR(VLOOKUP(C790,Gastos!$A$9:$J$1451,10,0),0)</f>
        <v>-217.92</v>
      </c>
      <c r="L790" s="86">
        <f>-IFERROR(VLOOKUP(C790,IDC!$A$20:$H$1763,8,0),0)</f>
        <v>-28.8</v>
      </c>
      <c r="M790" s="95">
        <f t="shared" si="23"/>
        <v>4800</v>
      </c>
      <c r="O790" s="1"/>
    </row>
    <row r="791" spans="1:15" hidden="1">
      <c r="A791" s="1" t="s">
        <v>761</v>
      </c>
      <c r="B791" s="1" t="s">
        <v>15</v>
      </c>
      <c r="C791" s="71">
        <v>129040868883</v>
      </c>
      <c r="D791" s="3">
        <v>37315.65</v>
      </c>
      <c r="E791" s="3">
        <v>14214043.76</v>
      </c>
      <c r="F791" s="1" t="s">
        <v>3065</v>
      </c>
      <c r="G791"/>
      <c r="H791"/>
      <c r="I791" s="19">
        <f>-IFERROR(VLOOKUP(C791,SIRCUPA!$A$21:$H$221,8,0),0)</f>
        <v>0</v>
      </c>
      <c r="J791" s="86">
        <f>-IFERROR(VLOOKUP(C791,SIRTAC!$A$16:$H$1458,8,0),0)</f>
        <v>-395</v>
      </c>
      <c r="K791" s="86">
        <f>-IFERROR(VLOOKUP(C791,Gastos!$A$9:$J$1451,10,0),0)</f>
        <v>-1552.35</v>
      </c>
      <c r="L791" s="86">
        <f>-IFERROR(VLOOKUP(C791,IDC!$A$20:$H$1763,8,0),0)</f>
        <v>-237</v>
      </c>
      <c r="M791" s="95">
        <f t="shared" si="23"/>
        <v>39500</v>
      </c>
      <c r="O791" s="1"/>
    </row>
    <row r="792" spans="1:15" hidden="1">
      <c r="A792" s="1" t="s">
        <v>761</v>
      </c>
      <c r="B792" s="1" t="s">
        <v>15</v>
      </c>
      <c r="C792" s="71">
        <v>129613900400</v>
      </c>
      <c r="D792" s="3">
        <v>9730.41</v>
      </c>
      <c r="E792" s="3">
        <v>14223774.17</v>
      </c>
      <c r="F792" s="1" t="s">
        <v>3065</v>
      </c>
      <c r="G792"/>
      <c r="H792"/>
      <c r="I792" s="19">
        <f>-IFERROR(VLOOKUP(C792,SIRCUPA!$A$21:$H$221,8,0),0)</f>
        <v>0</v>
      </c>
      <c r="J792" s="86">
        <f>-IFERROR(VLOOKUP(C792,SIRTAC!$A$16:$H$1458,8,0),0)</f>
        <v>-103</v>
      </c>
      <c r="K792" s="86">
        <f>-IFERROR(VLOOKUP(C792,Gastos!$A$9:$J$1451,10,0),0)</f>
        <v>-404.79</v>
      </c>
      <c r="L792" s="86">
        <f>-IFERROR(VLOOKUP(C792,IDC!$A$20:$H$1763,8,0),0)</f>
        <v>-61.8</v>
      </c>
      <c r="M792" s="95">
        <f t="shared" si="23"/>
        <v>10300</v>
      </c>
      <c r="O792" s="1"/>
    </row>
    <row r="793" spans="1:15" hidden="1">
      <c r="A793" s="1" t="s">
        <v>761</v>
      </c>
      <c r="B793" s="1" t="s">
        <v>15</v>
      </c>
      <c r="C793" s="71">
        <v>129613950886</v>
      </c>
      <c r="D793" s="3">
        <v>16815.66</v>
      </c>
      <c r="E793" s="3">
        <v>14240589.83</v>
      </c>
      <c r="F793" s="1" t="s">
        <v>3065</v>
      </c>
      <c r="G793"/>
      <c r="H793"/>
      <c r="I793" s="19">
        <f>-IFERROR(VLOOKUP(C793,SIRCUPA!$A$21:$H$221,8,0),0)</f>
        <v>0</v>
      </c>
      <c r="J793" s="86">
        <f>-IFERROR(VLOOKUP(C793,SIRTAC!$A$16:$H$1458,8,0),0)</f>
        <v>-178</v>
      </c>
      <c r="K793" s="86">
        <f>-IFERROR(VLOOKUP(C793,Gastos!$A$9:$J$1451,10,0),0)</f>
        <v>-699.54</v>
      </c>
      <c r="L793" s="86">
        <f>-IFERROR(VLOOKUP(C793,IDC!$A$20:$H$1763,8,0),0)</f>
        <v>-106.8</v>
      </c>
      <c r="M793" s="95">
        <f t="shared" si="23"/>
        <v>17800</v>
      </c>
      <c r="O793" s="1"/>
    </row>
    <row r="794" spans="1:15" hidden="1">
      <c r="A794" s="1" t="s">
        <v>904</v>
      </c>
      <c r="B794" s="1" t="s">
        <v>15</v>
      </c>
      <c r="C794" s="71">
        <v>129041040795</v>
      </c>
      <c r="D794" s="3">
        <v>100645.19</v>
      </c>
      <c r="E794" s="3">
        <v>14341235.02</v>
      </c>
      <c r="F794" s="1" t="s">
        <v>3065</v>
      </c>
      <c r="G794"/>
      <c r="H794"/>
      <c r="I794" s="19">
        <f>-IFERROR(VLOOKUP(C794,SIRCUPA!$A$21:$H$221,8,0),0)</f>
        <v>0</v>
      </c>
      <c r="J794" s="86">
        <f>-IFERROR(VLOOKUP(C794,SIRTAC!$A$16:$H$1458,8,0),0)</f>
        <v>-1033</v>
      </c>
      <c r="K794" s="86">
        <f>-IFERROR(VLOOKUP(C794,Gastos!$A$9:$J$1451,10,0),0)</f>
        <v>-1002.01</v>
      </c>
      <c r="L794" s="86">
        <f>-IFERROR(VLOOKUP(C794,IDC!$A$20:$H$1763,8,0),0)</f>
        <v>-619.79999999999995</v>
      </c>
      <c r="M794" s="95">
        <f t="shared" si="23"/>
        <v>103300</v>
      </c>
      <c r="O794" s="1"/>
    </row>
    <row r="795" spans="1:15" hidden="1">
      <c r="A795" s="1" t="s">
        <v>904</v>
      </c>
      <c r="B795" s="1" t="s">
        <v>15</v>
      </c>
      <c r="C795" s="71">
        <v>129041177509</v>
      </c>
      <c r="D795" s="3">
        <v>35709.660000000003</v>
      </c>
      <c r="E795" s="3">
        <v>14376944.68</v>
      </c>
      <c r="F795" s="1" t="s">
        <v>3065</v>
      </c>
      <c r="G795"/>
      <c r="H795"/>
      <c r="I795" s="19">
        <f>-IFERROR(VLOOKUP(C795,SIRCUPA!$A$21:$H$221,8,0),0)</f>
        <v>0</v>
      </c>
      <c r="J795" s="86">
        <f>-IFERROR(VLOOKUP(C795,SIRTAC!$A$16:$H$1458,8,0),0)</f>
        <v>-378</v>
      </c>
      <c r="K795" s="86">
        <f>-IFERROR(VLOOKUP(C795,Gastos!$A$9:$J$1451,10,0),0)</f>
        <v>-1485.54</v>
      </c>
      <c r="L795" s="86">
        <f>-IFERROR(VLOOKUP(C795,IDC!$A$20:$H$1763,8,0),0)</f>
        <v>-226.8</v>
      </c>
      <c r="M795" s="95">
        <f t="shared" si="23"/>
        <v>37800.000000000007</v>
      </c>
      <c r="O795" s="1"/>
    </row>
    <row r="796" spans="1:15" hidden="1">
      <c r="A796" s="1" t="s">
        <v>904</v>
      </c>
      <c r="B796" s="1" t="s">
        <v>15</v>
      </c>
      <c r="C796" s="71">
        <v>129041338131</v>
      </c>
      <c r="D796" s="3">
        <v>46766.400000000001</v>
      </c>
      <c r="E796" s="3">
        <v>14423711.08</v>
      </c>
      <c r="F796" s="1" t="s">
        <v>3065</v>
      </c>
      <c r="G796"/>
      <c r="H796"/>
      <c r="I796" s="19">
        <f>-IFERROR(VLOOKUP(C796,SIRCUPA!$A$21:$H$221,8,0),0)</f>
        <v>0</v>
      </c>
      <c r="J796" s="86">
        <f>-IFERROR(VLOOKUP(C796,SIRTAC!$A$16:$H$1458,8,0),0)</f>
        <v>-480</v>
      </c>
      <c r="K796" s="86">
        <f>-IFERROR(VLOOKUP(C796,Gastos!$A$9:$J$1451,10,0),0)</f>
        <v>-465.6</v>
      </c>
      <c r="L796" s="86">
        <f>-IFERROR(VLOOKUP(C796,IDC!$A$20:$H$1763,8,0),0)</f>
        <v>-288</v>
      </c>
      <c r="M796" s="95">
        <f t="shared" si="23"/>
        <v>48000</v>
      </c>
      <c r="O796" s="1"/>
    </row>
    <row r="797" spans="1:15" hidden="1">
      <c r="A797" s="1" t="s">
        <v>904</v>
      </c>
      <c r="B797" s="1" t="s">
        <v>908</v>
      </c>
      <c r="C797" s="71">
        <v>129041249333</v>
      </c>
      <c r="D797" s="3">
        <v>4699.2</v>
      </c>
      <c r="E797" s="3">
        <v>14428410.279999999</v>
      </c>
      <c r="F797" s="1" t="s">
        <v>3065</v>
      </c>
      <c r="G797"/>
      <c r="H797"/>
      <c r="I797" s="19">
        <f>-IFERROR(VLOOKUP(C797,SIRCUPA!$A$21:$H$221,8,0),0)</f>
        <v>-72</v>
      </c>
      <c r="J797" s="86">
        <f>-IFERROR(VLOOKUP(C797,SIRTAC!$A$16:$H$1458,8,0),0)</f>
        <v>0</v>
      </c>
      <c r="K797" s="86">
        <f>-IFERROR(VLOOKUP(C797,Gastos!$A$9:$J$1451,10,0),0)</f>
        <v>0</v>
      </c>
      <c r="L797" s="86">
        <f>-IFERROR(VLOOKUP(C797,IDC!$A$20:$H$1763,8,0),0)</f>
        <v>-28.8</v>
      </c>
      <c r="M797" s="95">
        <f t="shared" si="23"/>
        <v>4800</v>
      </c>
      <c r="O797" s="1"/>
    </row>
    <row r="798" spans="1:15" hidden="1">
      <c r="A798" s="1" t="s">
        <v>904</v>
      </c>
      <c r="B798" s="1" t="s">
        <v>15</v>
      </c>
      <c r="C798" s="71">
        <v>129041378905</v>
      </c>
      <c r="D798" s="3">
        <v>34292.61</v>
      </c>
      <c r="E798" s="3">
        <v>14462702.890000001</v>
      </c>
      <c r="F798" s="1" t="s">
        <v>3065</v>
      </c>
      <c r="G798"/>
      <c r="H798"/>
      <c r="I798" s="19">
        <f>-IFERROR(VLOOKUP(C798,SIRCUPA!$A$21:$H$221,8,0),0)</f>
        <v>0</v>
      </c>
      <c r="J798" s="86">
        <f>-IFERROR(VLOOKUP(C798,SIRTAC!$A$16:$H$1458,8,0),0)</f>
        <v>-363</v>
      </c>
      <c r="K798" s="86">
        <f>-IFERROR(VLOOKUP(C798,Gastos!$A$9:$J$1451,10,0),0)</f>
        <v>-1426.59</v>
      </c>
      <c r="L798" s="86">
        <f>-IFERROR(VLOOKUP(C798,IDC!$A$20:$H$1763,8,0),0)</f>
        <v>-217.8</v>
      </c>
      <c r="M798" s="95">
        <f t="shared" si="23"/>
        <v>36300</v>
      </c>
      <c r="O798" s="1"/>
    </row>
    <row r="799" spans="1:15" hidden="1">
      <c r="A799" s="1" t="s">
        <v>904</v>
      </c>
      <c r="B799" s="1" t="s">
        <v>15</v>
      </c>
      <c r="C799" s="71">
        <v>129041401037</v>
      </c>
      <c r="D799" s="3">
        <v>8671.27</v>
      </c>
      <c r="E799" s="3">
        <v>14471374.16</v>
      </c>
      <c r="F799" s="1" t="s">
        <v>3065</v>
      </c>
      <c r="G799"/>
      <c r="H799"/>
      <c r="I799" s="19">
        <f>-IFERROR(VLOOKUP(C799,SIRCUPA!$A$21:$H$221,8,0),0)</f>
        <v>0</v>
      </c>
      <c r="J799" s="86">
        <f>-IFERROR(VLOOKUP(C799,SIRTAC!$A$16:$H$1458,8,0),0)</f>
        <v>-89</v>
      </c>
      <c r="K799" s="86">
        <f>-IFERROR(VLOOKUP(C799,Gastos!$A$9:$J$1451,10,0),0)</f>
        <v>-86.33</v>
      </c>
      <c r="L799" s="86">
        <f>-IFERROR(VLOOKUP(C799,IDC!$A$20:$H$1763,8,0),0)</f>
        <v>-53.4</v>
      </c>
      <c r="M799" s="95">
        <f t="shared" si="23"/>
        <v>8900</v>
      </c>
      <c r="O799" s="1"/>
    </row>
    <row r="800" spans="1:15" hidden="1">
      <c r="A800" s="1" t="s">
        <v>904</v>
      </c>
      <c r="B800" s="1" t="s">
        <v>15</v>
      </c>
      <c r="C800" s="71">
        <v>129614386934</v>
      </c>
      <c r="D800" s="3">
        <v>44677.36</v>
      </c>
      <c r="E800" s="3">
        <v>14516051.52</v>
      </c>
      <c r="F800" s="1" t="s">
        <v>3065</v>
      </c>
      <c r="G800"/>
      <c r="H800"/>
      <c r="I800" s="19">
        <f>-IFERROR(VLOOKUP(C800,SIRCUPA!$A$21:$H$221,8,0),0)</f>
        <v>0</v>
      </c>
      <c r="J800" s="86">
        <f>-IFERROR(VLOOKUP(C800,SIRTAC!$A$16:$H$1458,8,0),0)</f>
        <v>-476</v>
      </c>
      <c r="K800" s="86">
        <f>-IFERROR(VLOOKUP(C800,Gastos!$A$9:$J$1451,10,0),0)</f>
        <v>-2161.04</v>
      </c>
      <c r="L800" s="86">
        <f>-IFERROR(VLOOKUP(C800,IDC!$A$20:$H$1763,8,0),0)</f>
        <v>-285.60000000000002</v>
      </c>
      <c r="M800" s="95">
        <f t="shared" si="23"/>
        <v>47600</v>
      </c>
      <c r="O800" s="1"/>
    </row>
    <row r="801" spans="1:15" hidden="1">
      <c r="A801" s="1" t="s">
        <v>904</v>
      </c>
      <c r="B801" s="1" t="s">
        <v>15</v>
      </c>
      <c r="C801" s="71">
        <v>129614525496</v>
      </c>
      <c r="D801" s="3">
        <v>45792.1</v>
      </c>
      <c r="E801" s="3">
        <v>14561843.619999999</v>
      </c>
      <c r="F801" s="1" t="s">
        <v>3065</v>
      </c>
      <c r="G801"/>
      <c r="H801"/>
      <c r="I801" s="19">
        <f>-IFERROR(VLOOKUP(C801,SIRCUPA!$A$21:$H$221,8,0),0)</f>
        <v>0</v>
      </c>
      <c r="J801" s="86">
        <f>-IFERROR(VLOOKUP(C801,SIRTAC!$A$16:$H$1458,8,0),0)</f>
        <v>-470</v>
      </c>
      <c r="K801" s="86">
        <f>-IFERROR(VLOOKUP(C801,Gastos!$A$9:$J$1451,10,0),0)</f>
        <v>-455.9</v>
      </c>
      <c r="L801" s="86">
        <f>-IFERROR(VLOOKUP(C801,IDC!$A$20:$H$1763,8,0),0)</f>
        <v>-282</v>
      </c>
      <c r="M801" s="95">
        <f t="shared" si="23"/>
        <v>47000</v>
      </c>
      <c r="O801" s="1"/>
    </row>
    <row r="802" spans="1:15" hidden="1">
      <c r="A802" s="1" t="s">
        <v>904</v>
      </c>
      <c r="B802" s="1" t="s">
        <v>914</v>
      </c>
      <c r="C802" s="71">
        <v>129041627863</v>
      </c>
      <c r="D802" s="3">
        <v>4601.3</v>
      </c>
      <c r="E802" s="3">
        <v>14566444.92</v>
      </c>
      <c r="F802" s="1" t="s">
        <v>3065</v>
      </c>
      <c r="G802"/>
      <c r="H802"/>
      <c r="I802" s="19">
        <f>-IFERROR(VLOOKUP(C802,SIRCUPA!$A$21:$H$221,8,0),0)</f>
        <v>-70.5</v>
      </c>
      <c r="J802" s="86">
        <f>-IFERROR(VLOOKUP(C802,SIRTAC!$A$16:$H$1458,8,0),0)</f>
        <v>0</v>
      </c>
      <c r="K802" s="86">
        <f>-IFERROR(VLOOKUP(C802,Gastos!$A$9:$J$1451,10,0),0)</f>
        <v>0</v>
      </c>
      <c r="L802" s="86">
        <f>-IFERROR(VLOOKUP(C802,IDC!$A$20:$H$1763,8,0),0)</f>
        <v>-28.2</v>
      </c>
      <c r="M802" s="95">
        <f t="shared" si="23"/>
        <v>4700</v>
      </c>
      <c r="O802" s="1"/>
    </row>
    <row r="803" spans="1:15" hidden="1">
      <c r="A803" s="1" t="s">
        <v>904</v>
      </c>
      <c r="B803" s="1" t="s">
        <v>15</v>
      </c>
      <c r="C803" s="71">
        <v>129614515948</v>
      </c>
      <c r="D803" s="3">
        <v>9353.2800000000007</v>
      </c>
      <c r="E803" s="3">
        <v>14575798.199999999</v>
      </c>
      <c r="F803" s="1" t="s">
        <v>3065</v>
      </c>
      <c r="G803"/>
      <c r="H803"/>
      <c r="I803" s="19">
        <f>-IFERROR(VLOOKUP(C803,SIRCUPA!$A$21:$H$221,8,0),0)</f>
        <v>0</v>
      </c>
      <c r="J803" s="86">
        <f>-IFERROR(VLOOKUP(C803,SIRTAC!$A$16:$H$1458,8,0),0)</f>
        <v>-96</v>
      </c>
      <c r="K803" s="86">
        <f>-IFERROR(VLOOKUP(C803,Gastos!$A$9:$J$1451,10,0),0)</f>
        <v>-93.12</v>
      </c>
      <c r="L803" s="86">
        <f>-IFERROR(VLOOKUP(C803,IDC!$A$20:$H$1763,8,0),0)</f>
        <v>-57.6</v>
      </c>
      <c r="M803" s="95">
        <f t="shared" si="23"/>
        <v>9600.0000000000018</v>
      </c>
      <c r="O803" s="1"/>
    </row>
    <row r="804" spans="1:15" hidden="1">
      <c r="A804" s="1" t="s">
        <v>904</v>
      </c>
      <c r="B804" s="1" t="s">
        <v>15</v>
      </c>
      <c r="C804" s="71">
        <v>129041884973</v>
      </c>
      <c r="D804" s="3">
        <v>14127.35</v>
      </c>
      <c r="E804" s="3">
        <v>14589925.550000001</v>
      </c>
      <c r="F804" s="1" t="s">
        <v>3065</v>
      </c>
      <c r="G804"/>
      <c r="H804"/>
      <c r="I804" s="19">
        <f>-IFERROR(VLOOKUP(C804,SIRCUPA!$A$21:$H$221,8,0),0)</f>
        <v>0</v>
      </c>
      <c r="J804" s="86">
        <f>-IFERROR(VLOOKUP(C804,SIRTAC!$A$16:$H$1458,8,0),0)</f>
        <v>-145</v>
      </c>
      <c r="K804" s="86">
        <f>-IFERROR(VLOOKUP(C804,Gastos!$A$9:$J$1451,10,0),0)</f>
        <v>-140.65</v>
      </c>
      <c r="L804" s="86">
        <f>-IFERROR(VLOOKUP(C804,IDC!$A$20:$H$1763,8,0),0)</f>
        <v>-87</v>
      </c>
      <c r="M804" s="95">
        <f t="shared" si="23"/>
        <v>14500</v>
      </c>
      <c r="O804" s="1"/>
    </row>
    <row r="805" spans="1:15" hidden="1">
      <c r="A805" s="1" t="s">
        <v>904</v>
      </c>
      <c r="B805" s="1" t="s">
        <v>15</v>
      </c>
      <c r="C805" s="71">
        <v>129042046381</v>
      </c>
      <c r="D805" s="3">
        <v>32054.47</v>
      </c>
      <c r="E805" s="3">
        <v>14621980.02</v>
      </c>
      <c r="F805" s="1" t="s">
        <v>3065</v>
      </c>
      <c r="G805"/>
      <c r="H805"/>
      <c r="I805" s="19">
        <f>-IFERROR(VLOOKUP(C805,SIRCUPA!$A$21:$H$221,8,0),0)</f>
        <v>0</v>
      </c>
      <c r="J805" s="86">
        <f>-IFERROR(VLOOKUP(C805,SIRTAC!$A$16:$H$1458,8,0),0)</f>
        <v>-329</v>
      </c>
      <c r="K805" s="86">
        <f>-IFERROR(VLOOKUP(C805,Gastos!$A$9:$J$1451,10,0),0)</f>
        <v>-319.13</v>
      </c>
      <c r="L805" s="86">
        <f>-IFERROR(VLOOKUP(C805,IDC!$A$20:$H$1763,8,0),0)</f>
        <v>-197.4</v>
      </c>
      <c r="M805" s="95">
        <f t="shared" si="23"/>
        <v>32900</v>
      </c>
      <c r="O805" s="1"/>
    </row>
    <row r="806" spans="1:15" hidden="1">
      <c r="A806" s="1" t="s">
        <v>904</v>
      </c>
      <c r="B806" s="1" t="s">
        <v>919</v>
      </c>
      <c r="C806" s="71">
        <v>129042018715</v>
      </c>
      <c r="D806" s="3">
        <v>3220.91</v>
      </c>
      <c r="E806" s="3">
        <v>14625200.93</v>
      </c>
      <c r="F806" s="1" t="s">
        <v>3065</v>
      </c>
      <c r="G806"/>
      <c r="H806"/>
      <c r="I806" s="19">
        <f>-IFERROR(VLOOKUP(C806,SIRCUPA!$A$21:$H$221,8,0),0)</f>
        <v>-49.35</v>
      </c>
      <c r="J806" s="86">
        <f>-IFERROR(VLOOKUP(C806,SIRTAC!$A$16:$H$1458,8,0),0)</f>
        <v>0</v>
      </c>
      <c r="K806" s="86">
        <f>-IFERROR(VLOOKUP(C806,Gastos!$A$9:$J$1451,10,0),0)</f>
        <v>0</v>
      </c>
      <c r="L806" s="86">
        <f>-IFERROR(VLOOKUP(C806,IDC!$A$20:$H$1763,8,0),0)</f>
        <v>-19.739999999999998</v>
      </c>
      <c r="M806" s="95">
        <f t="shared" si="23"/>
        <v>3289.9999999999995</v>
      </c>
      <c r="O806" s="1"/>
    </row>
    <row r="807" spans="1:15" hidden="1">
      <c r="A807" s="1" t="s">
        <v>904</v>
      </c>
      <c r="B807" s="1" t="s">
        <v>15</v>
      </c>
      <c r="C807" s="71">
        <v>129042140311</v>
      </c>
      <c r="D807" s="3">
        <v>29326.43</v>
      </c>
      <c r="E807" s="3">
        <v>14654527.359999999</v>
      </c>
      <c r="F807" s="1" t="s">
        <v>3065</v>
      </c>
      <c r="G807"/>
      <c r="H807"/>
      <c r="I807" s="19">
        <f>-IFERROR(VLOOKUP(C807,SIRCUPA!$A$21:$H$221,8,0),0)</f>
        <v>0</v>
      </c>
      <c r="J807" s="86">
        <f>-IFERROR(VLOOKUP(C807,SIRTAC!$A$16:$H$1458,8,0),0)</f>
        <v>-301</v>
      </c>
      <c r="K807" s="86">
        <f>-IFERROR(VLOOKUP(C807,Gastos!$A$9:$J$1451,10,0),0)</f>
        <v>-291.97000000000003</v>
      </c>
      <c r="L807" s="86">
        <f>-IFERROR(VLOOKUP(C807,IDC!$A$20:$H$1763,8,0),0)</f>
        <v>-180.6</v>
      </c>
      <c r="M807" s="95">
        <f t="shared" ref="M807:M870" si="24">+D807-I807-J807-K807-L807</f>
        <v>30100</v>
      </c>
      <c r="O807" s="1"/>
    </row>
    <row r="808" spans="1:15" hidden="1">
      <c r="A808" s="1" t="s">
        <v>904</v>
      </c>
      <c r="B808" s="1" t="s">
        <v>15</v>
      </c>
      <c r="C808" s="71">
        <v>129614959172</v>
      </c>
      <c r="D808" s="3">
        <v>12373.61</v>
      </c>
      <c r="E808" s="3">
        <v>14666900.970000001</v>
      </c>
      <c r="F808" s="1" t="s">
        <v>3065</v>
      </c>
      <c r="G808"/>
      <c r="H808"/>
      <c r="I808" s="19">
        <f>-IFERROR(VLOOKUP(C808,SIRCUPA!$A$21:$H$221,8,0),0)</f>
        <v>0</v>
      </c>
      <c r="J808" s="86">
        <f>-IFERROR(VLOOKUP(C808,SIRTAC!$A$16:$H$1458,8,0),0)</f>
        <v>-127</v>
      </c>
      <c r="K808" s="86">
        <f>-IFERROR(VLOOKUP(C808,Gastos!$A$9:$J$1451,10,0),0)</f>
        <v>-123.19</v>
      </c>
      <c r="L808" s="86">
        <f>-IFERROR(VLOOKUP(C808,IDC!$A$20:$H$1763,8,0),0)</f>
        <v>-76.2</v>
      </c>
      <c r="M808" s="95">
        <f t="shared" si="24"/>
        <v>12700.000000000002</v>
      </c>
      <c r="O808" s="1"/>
    </row>
    <row r="809" spans="1:15" hidden="1">
      <c r="A809" s="1" t="s">
        <v>904</v>
      </c>
      <c r="B809" s="1" t="s">
        <v>15</v>
      </c>
      <c r="C809" s="71">
        <v>129615274552</v>
      </c>
      <c r="D809" s="3">
        <v>10035.290000000001</v>
      </c>
      <c r="E809" s="3">
        <v>14676936.26</v>
      </c>
      <c r="F809" s="1" t="s">
        <v>3065</v>
      </c>
      <c r="G809"/>
      <c r="H809"/>
      <c r="I809" s="19">
        <f>-IFERROR(VLOOKUP(C809,SIRCUPA!$A$21:$H$221,8,0),0)</f>
        <v>0</v>
      </c>
      <c r="J809" s="86">
        <f>-IFERROR(VLOOKUP(C809,SIRTAC!$A$16:$H$1458,8,0),0)</f>
        <v>-103</v>
      </c>
      <c r="K809" s="86">
        <f>-IFERROR(VLOOKUP(C809,Gastos!$A$9:$J$1451,10,0),0)</f>
        <v>-99.91</v>
      </c>
      <c r="L809" s="86">
        <f>-IFERROR(VLOOKUP(C809,IDC!$A$20:$H$1763,8,0),0)</f>
        <v>-61.8</v>
      </c>
      <c r="M809" s="95">
        <f t="shared" si="24"/>
        <v>10300</v>
      </c>
      <c r="O809" s="1"/>
    </row>
    <row r="810" spans="1:15" hidden="1">
      <c r="A810" s="1" t="s">
        <v>904</v>
      </c>
      <c r="B810" s="1" t="s">
        <v>15</v>
      </c>
      <c r="C810" s="71">
        <v>129615263844</v>
      </c>
      <c r="D810" s="3">
        <v>12665.9</v>
      </c>
      <c r="E810" s="3">
        <v>14689602.16</v>
      </c>
      <c r="F810" s="1" t="s">
        <v>3065</v>
      </c>
      <c r="G810"/>
      <c r="H810"/>
      <c r="I810" s="19">
        <f>-IFERROR(VLOOKUP(C810,SIRCUPA!$A$21:$H$221,8,0),0)</f>
        <v>0</v>
      </c>
      <c r="J810" s="86">
        <f>-IFERROR(VLOOKUP(C810,SIRTAC!$A$16:$H$1458,8,0),0)</f>
        <v>-130</v>
      </c>
      <c r="K810" s="86">
        <f>-IFERROR(VLOOKUP(C810,Gastos!$A$9:$J$1451,10,0),0)</f>
        <v>-126.1</v>
      </c>
      <c r="L810" s="86">
        <f>-IFERROR(VLOOKUP(C810,IDC!$A$20:$H$1763,8,0),0)</f>
        <v>-78</v>
      </c>
      <c r="M810" s="95">
        <f t="shared" si="24"/>
        <v>13000</v>
      </c>
      <c r="O810" s="1"/>
    </row>
    <row r="811" spans="1:15" hidden="1">
      <c r="A811" s="1" t="s">
        <v>904</v>
      </c>
      <c r="B811" s="1" t="s">
        <v>15</v>
      </c>
      <c r="C811" s="71">
        <v>129042467745</v>
      </c>
      <c r="D811" s="3">
        <v>23967.78</v>
      </c>
      <c r="E811" s="3">
        <v>14713569.939999999</v>
      </c>
      <c r="F811" s="1" t="s">
        <v>3065</v>
      </c>
      <c r="G811"/>
      <c r="H811"/>
      <c r="I811" s="19">
        <f>-IFERROR(VLOOKUP(C811,SIRCUPA!$A$21:$H$221,8,0),0)</f>
        <v>0</v>
      </c>
      <c r="J811" s="86">
        <f>-IFERROR(VLOOKUP(C811,SIRTAC!$A$16:$H$1458,8,0),0)</f>
        <v>-246</v>
      </c>
      <c r="K811" s="86">
        <f>-IFERROR(VLOOKUP(C811,Gastos!$A$9:$J$1451,10,0),0)</f>
        <v>-238.62</v>
      </c>
      <c r="L811" s="86">
        <f>-IFERROR(VLOOKUP(C811,IDC!$A$20:$H$1763,8,0),0)</f>
        <v>-147.6</v>
      </c>
      <c r="M811" s="95">
        <f t="shared" si="24"/>
        <v>24599.999999999996</v>
      </c>
      <c r="O811" s="1"/>
    </row>
    <row r="812" spans="1:15" hidden="1">
      <c r="A812" s="1" t="s">
        <v>904</v>
      </c>
      <c r="B812" s="1" t="s">
        <v>15</v>
      </c>
      <c r="C812" s="71">
        <v>129043240467</v>
      </c>
      <c r="D812" s="3">
        <v>9548.14</v>
      </c>
      <c r="E812" s="3">
        <v>14723118.08</v>
      </c>
      <c r="F812" s="1" t="s">
        <v>3065</v>
      </c>
      <c r="G812"/>
      <c r="H812"/>
      <c r="I812" s="19">
        <f>-IFERROR(VLOOKUP(C812,SIRCUPA!$A$21:$H$221,8,0),0)</f>
        <v>0</v>
      </c>
      <c r="J812" s="86">
        <f>-IFERROR(VLOOKUP(C812,SIRTAC!$A$16:$H$1458,8,0),0)</f>
        <v>-98</v>
      </c>
      <c r="K812" s="86">
        <f>-IFERROR(VLOOKUP(C812,Gastos!$A$9:$J$1451,10,0),0)</f>
        <v>-95.06</v>
      </c>
      <c r="L812" s="86">
        <f>-IFERROR(VLOOKUP(C812,IDC!$A$20:$H$1763,8,0),0)</f>
        <v>-58.8</v>
      </c>
      <c r="M812" s="95">
        <f t="shared" si="24"/>
        <v>9799.9999999999982</v>
      </c>
      <c r="O812" s="1"/>
    </row>
    <row r="813" spans="1:15" hidden="1">
      <c r="A813" s="1" t="s">
        <v>904</v>
      </c>
      <c r="B813" s="1" t="s">
        <v>15</v>
      </c>
      <c r="C813" s="71">
        <v>129043316565</v>
      </c>
      <c r="D813" s="3">
        <v>8963.56</v>
      </c>
      <c r="E813" s="3">
        <v>14732081.640000001</v>
      </c>
      <c r="F813" s="1" t="s">
        <v>3065</v>
      </c>
      <c r="G813"/>
      <c r="H813"/>
      <c r="I813" s="19">
        <f>-IFERROR(VLOOKUP(C813,SIRCUPA!$A$21:$H$221,8,0),0)</f>
        <v>0</v>
      </c>
      <c r="J813" s="86">
        <f>-IFERROR(VLOOKUP(C813,SIRTAC!$A$16:$H$1458,8,0),0)</f>
        <v>-92</v>
      </c>
      <c r="K813" s="86">
        <f>-IFERROR(VLOOKUP(C813,Gastos!$A$9:$J$1451,10,0),0)</f>
        <v>-89.24</v>
      </c>
      <c r="L813" s="86">
        <f>-IFERROR(VLOOKUP(C813,IDC!$A$20:$H$1763,8,0),0)</f>
        <v>-55.2</v>
      </c>
      <c r="M813" s="95">
        <f t="shared" si="24"/>
        <v>9200</v>
      </c>
      <c r="O813" s="1"/>
    </row>
    <row r="814" spans="1:15" hidden="1">
      <c r="A814" s="1" t="s">
        <v>904</v>
      </c>
      <c r="B814" s="1" t="s">
        <v>15</v>
      </c>
      <c r="C814" s="71">
        <v>129043313181</v>
      </c>
      <c r="D814" s="3">
        <v>49299.58</v>
      </c>
      <c r="E814" s="3">
        <v>14781381.220000001</v>
      </c>
      <c r="F814" s="1" t="s">
        <v>3065</v>
      </c>
      <c r="G814"/>
      <c r="H814"/>
      <c r="I814" s="19">
        <f>-IFERROR(VLOOKUP(C814,SIRCUPA!$A$21:$H$221,8,0),0)</f>
        <v>0</v>
      </c>
      <c r="J814" s="86">
        <f>-IFERROR(VLOOKUP(C814,SIRTAC!$A$16:$H$1458,8,0),0)</f>
        <v>-506</v>
      </c>
      <c r="K814" s="86">
        <f>-IFERROR(VLOOKUP(C814,Gastos!$A$9:$J$1451,10,0),0)</f>
        <v>-490.82</v>
      </c>
      <c r="L814" s="86">
        <f>-IFERROR(VLOOKUP(C814,IDC!$A$20:$H$1763,8,0),0)</f>
        <v>-303.60000000000002</v>
      </c>
      <c r="M814" s="95">
        <f t="shared" si="24"/>
        <v>50600</v>
      </c>
      <c r="O814" s="1"/>
    </row>
    <row r="815" spans="1:15" hidden="1">
      <c r="A815" s="1" t="s">
        <v>904</v>
      </c>
      <c r="B815" s="1" t="s">
        <v>15</v>
      </c>
      <c r="C815" s="71">
        <v>129043545109</v>
      </c>
      <c r="D815" s="3">
        <v>8184.12</v>
      </c>
      <c r="E815" s="3">
        <v>14789565.34</v>
      </c>
      <c r="F815" s="1" t="s">
        <v>3065</v>
      </c>
      <c r="G815"/>
      <c r="H815"/>
      <c r="I815" s="19">
        <f>-IFERROR(VLOOKUP(C815,SIRCUPA!$A$21:$H$221,8,0),0)</f>
        <v>0</v>
      </c>
      <c r="J815" s="86">
        <f>-IFERROR(VLOOKUP(C815,SIRTAC!$A$16:$H$1458,8,0),0)</f>
        <v>-84</v>
      </c>
      <c r="K815" s="86">
        <f>-IFERROR(VLOOKUP(C815,Gastos!$A$9:$J$1451,10,0),0)</f>
        <v>-81.48</v>
      </c>
      <c r="L815" s="86">
        <f>-IFERROR(VLOOKUP(C815,IDC!$A$20:$H$1763,8,0),0)</f>
        <v>-50.4</v>
      </c>
      <c r="M815" s="95">
        <f t="shared" si="24"/>
        <v>8399.9999999999982</v>
      </c>
      <c r="O815" s="1"/>
    </row>
    <row r="816" spans="1:15" hidden="1">
      <c r="A816" s="1" t="s">
        <v>904</v>
      </c>
      <c r="B816" s="1" t="s">
        <v>930</v>
      </c>
      <c r="C816" s="71">
        <v>129616337706</v>
      </c>
      <c r="D816" s="2">
        <v>411.18</v>
      </c>
      <c r="E816" s="3">
        <v>14789976.52</v>
      </c>
      <c r="F816" s="1" t="s">
        <v>3065</v>
      </c>
      <c r="G816"/>
      <c r="H816"/>
      <c r="I816" s="19">
        <f>-IFERROR(VLOOKUP(C816,SIRCUPA!$A$21:$H$221,8,0),0)</f>
        <v>-6.3</v>
      </c>
      <c r="J816" s="86">
        <f>-IFERROR(VLOOKUP(C816,SIRTAC!$A$16:$H$1458,8,0),0)</f>
        <v>0</v>
      </c>
      <c r="K816" s="86">
        <f>-IFERROR(VLOOKUP(C816,Gastos!$A$9:$J$1451,10,0),0)</f>
        <v>0</v>
      </c>
      <c r="L816" s="86">
        <f>-IFERROR(VLOOKUP(C816,IDC!$A$20:$H$1763,8,0),0)</f>
        <v>-2.52</v>
      </c>
      <c r="M816" s="95">
        <f t="shared" si="24"/>
        <v>420</v>
      </c>
      <c r="O816" s="1"/>
    </row>
    <row r="817" spans="1:15" hidden="1">
      <c r="A817" s="1" t="s">
        <v>904</v>
      </c>
      <c r="B817" s="1" t="s">
        <v>15</v>
      </c>
      <c r="C817" s="71">
        <v>129043666455</v>
      </c>
      <c r="D817" s="3">
        <v>8071.96</v>
      </c>
      <c r="E817" s="3">
        <v>14798048.48</v>
      </c>
      <c r="F817" s="1" t="s">
        <v>3065</v>
      </c>
      <c r="G817"/>
      <c r="H817"/>
      <c r="I817" s="19">
        <f>-IFERROR(VLOOKUP(C817,SIRCUPA!$A$21:$H$221,8,0),0)</f>
        <v>0</v>
      </c>
      <c r="J817" s="86">
        <f>-IFERROR(VLOOKUP(C817,SIRTAC!$A$16:$H$1458,8,0),0)</f>
        <v>-86</v>
      </c>
      <c r="K817" s="86">
        <f>-IFERROR(VLOOKUP(C817,Gastos!$A$9:$J$1451,10,0),0)</f>
        <v>-390.44</v>
      </c>
      <c r="L817" s="86">
        <f>-IFERROR(VLOOKUP(C817,IDC!$A$20:$H$1763,8,0),0)</f>
        <v>-51.6</v>
      </c>
      <c r="M817" s="95">
        <f t="shared" si="24"/>
        <v>8600</v>
      </c>
      <c r="O817" s="1"/>
    </row>
    <row r="818" spans="1:15" hidden="1">
      <c r="A818" s="1" t="s">
        <v>904</v>
      </c>
      <c r="B818" s="1" t="s">
        <v>15</v>
      </c>
      <c r="C818" s="71">
        <v>129043708273</v>
      </c>
      <c r="D818" s="3">
        <v>86817.93</v>
      </c>
      <c r="E818" s="3">
        <v>14884866.41</v>
      </c>
      <c r="F818" s="1" t="s">
        <v>3065</v>
      </c>
      <c r="G818"/>
      <c r="H818"/>
      <c r="I818" s="19">
        <f>-IFERROR(VLOOKUP(C818,SIRCUPA!$A$21:$H$221,8,0),0)</f>
        <v>0</v>
      </c>
      <c r="J818" s="86">
        <f>-IFERROR(VLOOKUP(C818,SIRTAC!$A$16:$H$1458,8,0),0)</f>
        <v>-919</v>
      </c>
      <c r="K818" s="86">
        <f>-IFERROR(VLOOKUP(C818,Gastos!$A$9:$J$1451,10,0),0)</f>
        <v>-3611.67</v>
      </c>
      <c r="L818" s="86">
        <f>-IFERROR(VLOOKUP(C818,IDC!$A$20:$H$1763,8,0),0)</f>
        <v>-551.4</v>
      </c>
      <c r="M818" s="95">
        <f t="shared" si="24"/>
        <v>91899.999999999985</v>
      </c>
      <c r="O818" s="1"/>
    </row>
    <row r="819" spans="1:15" hidden="1">
      <c r="A819" s="1" t="s">
        <v>904</v>
      </c>
      <c r="B819" s="1" t="s">
        <v>15</v>
      </c>
      <c r="C819" s="71">
        <v>129043974077</v>
      </c>
      <c r="D819" s="3">
        <v>25136.94</v>
      </c>
      <c r="E819" s="3">
        <v>14910003.35</v>
      </c>
      <c r="F819" s="1" t="s">
        <v>3065</v>
      </c>
      <c r="G819"/>
      <c r="H819"/>
      <c r="I819" s="19">
        <f>-IFERROR(VLOOKUP(C819,SIRCUPA!$A$21:$H$221,8,0),0)</f>
        <v>0</v>
      </c>
      <c r="J819" s="86">
        <f>-IFERROR(VLOOKUP(C819,SIRTAC!$A$16:$H$1458,8,0),0)</f>
        <v>-258</v>
      </c>
      <c r="K819" s="86">
        <f>-IFERROR(VLOOKUP(C819,Gastos!$A$9:$J$1451,10,0),0)</f>
        <v>-250.26</v>
      </c>
      <c r="L819" s="86">
        <f>-IFERROR(VLOOKUP(C819,IDC!$A$20:$H$1763,8,0),0)</f>
        <v>-154.80000000000001</v>
      </c>
      <c r="M819" s="95">
        <f t="shared" si="24"/>
        <v>25799.999999999996</v>
      </c>
      <c r="O819" s="1"/>
    </row>
    <row r="820" spans="1:15" hidden="1">
      <c r="A820" s="1" t="s">
        <v>904</v>
      </c>
      <c r="B820" s="1" t="s">
        <v>935</v>
      </c>
      <c r="C820" s="71">
        <v>129044011245</v>
      </c>
      <c r="D820" s="3">
        <v>1262.9100000000001</v>
      </c>
      <c r="E820" s="3">
        <v>14911266.26</v>
      </c>
      <c r="F820" s="1" t="s">
        <v>3065</v>
      </c>
      <c r="G820"/>
      <c r="H820"/>
      <c r="I820" s="19">
        <f>-IFERROR(VLOOKUP(C820,SIRCUPA!$A$21:$H$221,8,0),0)</f>
        <v>-19.350000000000001</v>
      </c>
      <c r="J820" s="86">
        <f>-IFERROR(VLOOKUP(C820,SIRTAC!$A$16:$H$1458,8,0),0)</f>
        <v>0</v>
      </c>
      <c r="K820" s="86">
        <f>-IFERROR(VLOOKUP(C820,Gastos!$A$9:$J$1451,10,0),0)</f>
        <v>0</v>
      </c>
      <c r="L820" s="86">
        <f>-IFERROR(VLOOKUP(C820,IDC!$A$20:$H$1763,8,0),0)</f>
        <v>-7.74</v>
      </c>
      <c r="M820" s="95">
        <f t="shared" si="24"/>
        <v>1290</v>
      </c>
      <c r="O820" s="1"/>
    </row>
    <row r="821" spans="1:15" hidden="1">
      <c r="A821" s="1" t="s">
        <v>904</v>
      </c>
      <c r="B821" s="1" t="s">
        <v>15</v>
      </c>
      <c r="C821" s="71">
        <v>129044065429</v>
      </c>
      <c r="D821" s="3">
        <v>44684.31</v>
      </c>
      <c r="E821" s="3">
        <v>14955950.57</v>
      </c>
      <c r="F821" s="1" t="s">
        <v>3065</v>
      </c>
      <c r="G821"/>
      <c r="H821"/>
      <c r="I821" s="19">
        <f>-IFERROR(VLOOKUP(C821,SIRCUPA!$A$21:$H$221,8,0),0)</f>
        <v>0</v>
      </c>
      <c r="J821" s="86">
        <f>-IFERROR(VLOOKUP(C821,SIRTAC!$A$16:$H$1458,8,0),0)</f>
        <v>-473</v>
      </c>
      <c r="K821" s="86">
        <f>-IFERROR(VLOOKUP(C821,Gastos!$A$9:$J$1451,10,0),0)</f>
        <v>-1858.89</v>
      </c>
      <c r="L821" s="86">
        <f>-IFERROR(VLOOKUP(C821,IDC!$A$20:$H$1763,8,0),0)</f>
        <v>-283.8</v>
      </c>
      <c r="M821" s="95">
        <f t="shared" si="24"/>
        <v>47300</v>
      </c>
      <c r="O821" s="1"/>
    </row>
    <row r="822" spans="1:15" hidden="1">
      <c r="A822" s="1" t="s">
        <v>904</v>
      </c>
      <c r="B822" s="1" t="s">
        <v>15</v>
      </c>
      <c r="C822" s="71">
        <v>129617259534</v>
      </c>
      <c r="D822" s="3">
        <v>10327.58</v>
      </c>
      <c r="E822" s="3">
        <v>14966278.15</v>
      </c>
      <c r="F822" s="1" t="s">
        <v>3065</v>
      </c>
      <c r="G822"/>
      <c r="H822"/>
      <c r="I822" s="19">
        <f>-IFERROR(VLOOKUP(C822,SIRCUPA!$A$21:$H$221,8,0),0)</f>
        <v>0</v>
      </c>
      <c r="J822" s="86">
        <f>-IFERROR(VLOOKUP(C822,SIRTAC!$A$16:$H$1458,8,0),0)</f>
        <v>-106</v>
      </c>
      <c r="K822" s="86">
        <f>-IFERROR(VLOOKUP(C822,Gastos!$A$9:$J$1451,10,0),0)</f>
        <v>-102.82</v>
      </c>
      <c r="L822" s="86">
        <f>-IFERROR(VLOOKUP(C822,IDC!$A$20:$H$1763,8,0),0)</f>
        <v>-63.6</v>
      </c>
      <c r="M822" s="95">
        <f t="shared" si="24"/>
        <v>10600</v>
      </c>
      <c r="O822" s="1"/>
    </row>
    <row r="823" spans="1:15" hidden="1">
      <c r="A823" s="1" t="s">
        <v>904</v>
      </c>
      <c r="B823" s="1" t="s">
        <v>15</v>
      </c>
      <c r="C823" s="71">
        <v>129044322707</v>
      </c>
      <c r="D823" s="3">
        <v>75292.59</v>
      </c>
      <c r="E823" s="3">
        <v>15041570.74</v>
      </c>
      <c r="F823" s="1" t="s">
        <v>3065</v>
      </c>
      <c r="G823"/>
      <c r="H823"/>
      <c r="I823" s="19">
        <f>-IFERROR(VLOOKUP(C823,SIRCUPA!$A$21:$H$221,8,0),0)</f>
        <v>0</v>
      </c>
      <c r="J823" s="86">
        <f>-IFERROR(VLOOKUP(C823,SIRTAC!$A$16:$H$1458,8,0),0)</f>
        <v>-797</v>
      </c>
      <c r="K823" s="86">
        <f>-IFERROR(VLOOKUP(C823,Gastos!$A$9:$J$1451,10,0),0)</f>
        <v>-3132.21</v>
      </c>
      <c r="L823" s="86">
        <f>-IFERROR(VLOOKUP(C823,IDC!$A$20:$H$1763,8,0),0)</f>
        <v>-478.2</v>
      </c>
      <c r="M823" s="95">
        <f t="shared" si="24"/>
        <v>79700</v>
      </c>
      <c r="O823" s="1"/>
    </row>
    <row r="824" spans="1:15" hidden="1">
      <c r="A824" s="1" t="s">
        <v>904</v>
      </c>
      <c r="B824" s="1" t="s">
        <v>15</v>
      </c>
      <c r="C824" s="71">
        <v>129044360883</v>
      </c>
      <c r="D824" s="3">
        <v>36828.54</v>
      </c>
      <c r="E824" s="3">
        <v>15078399.279999999</v>
      </c>
      <c r="F824" s="1" t="s">
        <v>3065</v>
      </c>
      <c r="G824"/>
      <c r="H824"/>
      <c r="I824" s="19">
        <f>-IFERROR(VLOOKUP(C824,SIRCUPA!$A$21:$H$221,8,0),0)</f>
        <v>0</v>
      </c>
      <c r="J824" s="86">
        <f>-IFERROR(VLOOKUP(C824,SIRTAC!$A$16:$H$1458,8,0),0)</f>
        <v>-378</v>
      </c>
      <c r="K824" s="86">
        <f>-IFERROR(VLOOKUP(C824,Gastos!$A$9:$J$1451,10,0),0)</f>
        <v>-366.66</v>
      </c>
      <c r="L824" s="86">
        <f>-IFERROR(VLOOKUP(C824,IDC!$A$20:$H$1763,8,0),0)</f>
        <v>-226.8</v>
      </c>
      <c r="M824" s="95">
        <f t="shared" si="24"/>
        <v>37800.000000000007</v>
      </c>
      <c r="O824" s="1"/>
    </row>
    <row r="825" spans="1:15" hidden="1">
      <c r="A825" s="1" t="s">
        <v>904</v>
      </c>
      <c r="B825" s="1" t="s">
        <v>598</v>
      </c>
      <c r="C825" s="71">
        <v>129044329247</v>
      </c>
      <c r="D825" s="3">
        <v>3700.62</v>
      </c>
      <c r="E825" s="3">
        <v>15082099.9</v>
      </c>
      <c r="F825" s="1" t="s">
        <v>3065</v>
      </c>
      <c r="G825"/>
      <c r="H825"/>
      <c r="I825" s="19">
        <f>-IFERROR(VLOOKUP(C825,SIRCUPA!$A$21:$H$221,8,0),0)</f>
        <v>-56.7</v>
      </c>
      <c r="J825" s="86">
        <f>-IFERROR(VLOOKUP(C825,SIRTAC!$A$16:$H$1458,8,0),0)</f>
        <v>0</v>
      </c>
      <c r="K825" s="86">
        <f>-IFERROR(VLOOKUP(C825,Gastos!$A$9:$J$1451,10,0),0)</f>
        <v>0</v>
      </c>
      <c r="L825" s="86">
        <f>-IFERROR(VLOOKUP(C825,IDC!$A$20:$H$1763,8,0),0)</f>
        <v>-22.68</v>
      </c>
      <c r="M825" s="95">
        <f t="shared" si="24"/>
        <v>3779.9999999999995</v>
      </c>
      <c r="O825" s="1"/>
    </row>
    <row r="826" spans="1:15" hidden="1">
      <c r="A826" s="1" t="s">
        <v>904</v>
      </c>
      <c r="B826" s="1" t="s">
        <v>15</v>
      </c>
      <c r="C826" s="71">
        <v>129044603083</v>
      </c>
      <c r="D826" s="3">
        <v>16432.990000000002</v>
      </c>
      <c r="E826" s="3">
        <v>15098532.890000001</v>
      </c>
      <c r="F826" s="1" t="s">
        <v>3065</v>
      </c>
      <c r="G826"/>
      <c r="H826"/>
      <c r="I826" s="19">
        <f>-IFERROR(VLOOKUP(C826,SIRCUPA!$A$21:$H$221,8,0),0)</f>
        <v>0</v>
      </c>
      <c r="J826" s="86">
        <f>-IFERROR(VLOOKUP(C826,SIRTAC!$A$16:$H$1458,8,0),0)</f>
        <v>-181</v>
      </c>
      <c r="K826" s="86">
        <f>-IFERROR(VLOOKUP(C826,Gastos!$A$9:$J$1451,10,0),0)</f>
        <v>-1377.41</v>
      </c>
      <c r="L826" s="86">
        <f>-IFERROR(VLOOKUP(C826,IDC!$A$20:$H$1763,8,0),0)</f>
        <v>-108.6</v>
      </c>
      <c r="M826" s="95">
        <f t="shared" si="24"/>
        <v>18100</v>
      </c>
      <c r="O826" s="1"/>
    </row>
    <row r="827" spans="1:15" hidden="1">
      <c r="A827" s="1" t="s">
        <v>904</v>
      </c>
      <c r="B827" s="1" t="s">
        <v>15</v>
      </c>
      <c r="C827" s="71">
        <v>129045120785</v>
      </c>
      <c r="D827" s="3">
        <v>126288.89</v>
      </c>
      <c r="E827" s="3">
        <v>15224821.779999999</v>
      </c>
      <c r="F827" s="1" t="s">
        <v>3065</v>
      </c>
      <c r="G827"/>
      <c r="H827"/>
      <c r="I827" s="19">
        <f>-IFERROR(VLOOKUP(C827,SIRCUPA!$A$21:$H$221,8,0),0)</f>
        <v>0</v>
      </c>
      <c r="J827" s="86">
        <f>-IFERROR(VLOOKUP(C827,SIRTAC!$A$16:$H$1458,8,0),0)</f>
        <v>-1391</v>
      </c>
      <c r="K827" s="86">
        <f>-IFERROR(VLOOKUP(C827,Gastos!$A$9:$J$1451,10,0),0)</f>
        <v>-10585.51</v>
      </c>
      <c r="L827" s="86">
        <f>-IFERROR(VLOOKUP(C827,IDC!$A$20:$H$1763,8,0),0)</f>
        <v>-834.6</v>
      </c>
      <c r="M827" s="95">
        <f t="shared" si="24"/>
        <v>139100</v>
      </c>
      <c r="O827" s="1"/>
    </row>
    <row r="828" spans="1:15" hidden="1">
      <c r="A828" s="1" t="s">
        <v>904</v>
      </c>
      <c r="B828" s="1" t="s">
        <v>15</v>
      </c>
      <c r="C828" s="71">
        <v>129045122761</v>
      </c>
      <c r="D828" s="3">
        <v>13835.06</v>
      </c>
      <c r="E828" s="3">
        <v>15238656.84</v>
      </c>
      <c r="F828" s="1" t="s">
        <v>3065</v>
      </c>
      <c r="G828"/>
      <c r="H828"/>
      <c r="I828" s="19">
        <f>-IFERROR(VLOOKUP(C828,SIRCUPA!$A$21:$H$221,8,0),0)</f>
        <v>0</v>
      </c>
      <c r="J828" s="86">
        <f>-IFERROR(VLOOKUP(C828,SIRTAC!$A$16:$H$1458,8,0),0)</f>
        <v>-142</v>
      </c>
      <c r="K828" s="86">
        <f>-IFERROR(VLOOKUP(C828,Gastos!$A$9:$J$1451,10,0),0)</f>
        <v>-137.74</v>
      </c>
      <c r="L828" s="86">
        <f>-IFERROR(VLOOKUP(C828,IDC!$A$20:$H$1763,8,0),0)</f>
        <v>-85.2</v>
      </c>
      <c r="M828" s="95">
        <f t="shared" si="24"/>
        <v>14200</v>
      </c>
      <c r="O828" s="1"/>
    </row>
    <row r="829" spans="1:15" hidden="1">
      <c r="A829" s="1" t="s">
        <v>904</v>
      </c>
      <c r="B829" s="1" t="s">
        <v>15</v>
      </c>
      <c r="C829" s="71">
        <v>129617996694</v>
      </c>
      <c r="D829" s="3">
        <v>7508.8</v>
      </c>
      <c r="E829" s="3">
        <v>15246165.640000001</v>
      </c>
      <c r="F829" s="1" t="s">
        <v>3065</v>
      </c>
      <c r="G829"/>
      <c r="H829"/>
      <c r="I829" s="19">
        <f>-IFERROR(VLOOKUP(C829,SIRCUPA!$A$21:$H$221,8,0),0)</f>
        <v>0</v>
      </c>
      <c r="J829" s="86">
        <f>-IFERROR(VLOOKUP(C829,SIRTAC!$A$16:$H$1458,8,0),0)</f>
        <v>-80</v>
      </c>
      <c r="K829" s="86">
        <f>-IFERROR(VLOOKUP(C829,Gastos!$A$9:$J$1451,10,0),0)</f>
        <v>-363.2</v>
      </c>
      <c r="L829" s="86">
        <f>-IFERROR(VLOOKUP(C829,IDC!$A$20:$H$1763,8,0),0)</f>
        <v>-48</v>
      </c>
      <c r="M829" s="95">
        <f t="shared" si="24"/>
        <v>8000</v>
      </c>
      <c r="O829" s="1"/>
    </row>
    <row r="830" spans="1:15" hidden="1">
      <c r="A830" s="1" t="s">
        <v>904</v>
      </c>
      <c r="B830" s="1" t="s">
        <v>15</v>
      </c>
      <c r="C830" s="71">
        <v>129045288133</v>
      </c>
      <c r="D830" s="3">
        <v>9353.2800000000007</v>
      </c>
      <c r="E830" s="3">
        <v>15255518.92</v>
      </c>
      <c r="F830" s="1" t="s">
        <v>3065</v>
      </c>
      <c r="G830"/>
      <c r="H830"/>
      <c r="I830" s="19">
        <f>-IFERROR(VLOOKUP(C830,SIRCUPA!$A$21:$H$221,8,0),0)</f>
        <v>0</v>
      </c>
      <c r="J830" s="86">
        <f>-IFERROR(VLOOKUP(C830,SIRTAC!$A$16:$H$1458,8,0),0)</f>
        <v>-96</v>
      </c>
      <c r="K830" s="86">
        <f>-IFERROR(VLOOKUP(C830,Gastos!$A$9:$J$1451,10,0),0)</f>
        <v>-93.12</v>
      </c>
      <c r="L830" s="86">
        <f>-IFERROR(VLOOKUP(C830,IDC!$A$20:$H$1763,8,0),0)</f>
        <v>-57.6</v>
      </c>
      <c r="M830" s="95">
        <f t="shared" si="24"/>
        <v>9600.0000000000018</v>
      </c>
      <c r="O830" s="1"/>
    </row>
    <row r="831" spans="1:15" hidden="1">
      <c r="A831" s="1" t="s">
        <v>904</v>
      </c>
      <c r="B831" s="1" t="s">
        <v>15</v>
      </c>
      <c r="C831" s="71">
        <v>129045319317</v>
      </c>
      <c r="D831" s="3">
        <v>26890.68</v>
      </c>
      <c r="E831" s="3">
        <v>15282409.6</v>
      </c>
      <c r="F831" s="1" t="s">
        <v>3065</v>
      </c>
      <c r="G831"/>
      <c r="H831"/>
      <c r="I831" s="19">
        <f>-IFERROR(VLOOKUP(C831,SIRCUPA!$A$21:$H$221,8,0),0)</f>
        <v>0</v>
      </c>
      <c r="J831" s="86">
        <f>-IFERROR(VLOOKUP(C831,SIRTAC!$A$16:$H$1458,8,0),0)</f>
        <v>-276</v>
      </c>
      <c r="K831" s="86">
        <f>-IFERROR(VLOOKUP(C831,Gastos!$A$9:$J$1451,10,0),0)</f>
        <v>-267.72000000000003</v>
      </c>
      <c r="L831" s="86">
        <f>-IFERROR(VLOOKUP(C831,IDC!$A$20:$H$1763,8,0),0)</f>
        <v>-165.6</v>
      </c>
      <c r="M831" s="95">
        <f t="shared" si="24"/>
        <v>27600</v>
      </c>
      <c r="O831" s="1"/>
    </row>
    <row r="832" spans="1:15" hidden="1">
      <c r="A832" s="1" t="s">
        <v>904</v>
      </c>
      <c r="B832" s="1" t="s">
        <v>15</v>
      </c>
      <c r="C832" s="71">
        <v>129045423297</v>
      </c>
      <c r="D832" s="3">
        <v>14224.78</v>
      </c>
      <c r="E832" s="3">
        <v>15296634.380000001</v>
      </c>
      <c r="F832" s="1" t="s">
        <v>3065</v>
      </c>
      <c r="G832"/>
      <c r="H832"/>
      <c r="I832" s="19">
        <f>-IFERROR(VLOOKUP(C832,SIRCUPA!$A$21:$H$221,8,0),0)</f>
        <v>0</v>
      </c>
      <c r="J832" s="86">
        <f>-IFERROR(VLOOKUP(C832,SIRTAC!$A$16:$H$1458,8,0),0)</f>
        <v>-146</v>
      </c>
      <c r="K832" s="86">
        <f>-IFERROR(VLOOKUP(C832,Gastos!$A$9:$J$1451,10,0),0)</f>
        <v>-141.62</v>
      </c>
      <c r="L832" s="86">
        <f>-IFERROR(VLOOKUP(C832,IDC!$A$20:$H$1763,8,0),0)</f>
        <v>-87.6</v>
      </c>
      <c r="M832" s="95">
        <f t="shared" si="24"/>
        <v>14600.000000000002</v>
      </c>
      <c r="O832" s="1"/>
    </row>
    <row r="833" spans="1:15" hidden="1">
      <c r="A833" s="1" t="s">
        <v>904</v>
      </c>
      <c r="B833" s="1" t="s">
        <v>15</v>
      </c>
      <c r="C833" s="71">
        <v>129618551002</v>
      </c>
      <c r="D833" s="3">
        <v>109316.46</v>
      </c>
      <c r="E833" s="3">
        <v>15405950.84</v>
      </c>
      <c r="F833" s="1" t="s">
        <v>3065</v>
      </c>
      <c r="G833"/>
      <c r="H833"/>
      <c r="I833" s="19">
        <f>-IFERROR(VLOOKUP(C833,SIRCUPA!$A$21:$H$221,8,0),0)</f>
        <v>0</v>
      </c>
      <c r="J833" s="86">
        <f>-IFERROR(VLOOKUP(C833,SIRTAC!$A$16:$H$1458,8,0),0)</f>
        <v>-1122</v>
      </c>
      <c r="K833" s="86">
        <f>-IFERROR(VLOOKUP(C833,Gastos!$A$9:$J$1451,10,0),0)</f>
        <v>-1088.3399999999999</v>
      </c>
      <c r="L833" s="86">
        <f>-IFERROR(VLOOKUP(C833,IDC!$A$20:$H$1763,8,0),0)</f>
        <v>-673.2</v>
      </c>
      <c r="M833" s="95">
        <f t="shared" si="24"/>
        <v>112200</v>
      </c>
      <c r="O833" s="1"/>
    </row>
    <row r="834" spans="1:15" hidden="1">
      <c r="A834" s="1" t="s">
        <v>904</v>
      </c>
      <c r="B834" s="1" t="s">
        <v>950</v>
      </c>
      <c r="C834" s="71">
        <v>129045547407</v>
      </c>
      <c r="D834" s="3">
        <v>5492.19</v>
      </c>
      <c r="E834" s="3">
        <v>15411443.029999999</v>
      </c>
      <c r="F834" s="1" t="s">
        <v>3065</v>
      </c>
      <c r="G834"/>
      <c r="H834"/>
      <c r="I834" s="19">
        <f>-IFERROR(VLOOKUP(C834,SIRCUPA!$A$21:$H$221,8,0),0)</f>
        <v>-84.15</v>
      </c>
      <c r="J834" s="86">
        <f>-IFERROR(VLOOKUP(C834,SIRTAC!$A$16:$H$1458,8,0),0)</f>
        <v>0</v>
      </c>
      <c r="K834" s="86">
        <f>-IFERROR(VLOOKUP(C834,Gastos!$A$9:$J$1451,10,0),0)</f>
        <v>0</v>
      </c>
      <c r="L834" s="86">
        <f>-IFERROR(VLOOKUP(C834,IDC!$A$20:$H$1763,8,0),0)</f>
        <v>-33.659999999999997</v>
      </c>
      <c r="M834" s="95">
        <f t="shared" si="24"/>
        <v>5609.9999999999991</v>
      </c>
      <c r="O834" s="1"/>
    </row>
    <row r="835" spans="1:15" hidden="1">
      <c r="A835" s="1" t="s">
        <v>904</v>
      </c>
      <c r="B835" s="1" t="s">
        <v>15</v>
      </c>
      <c r="C835" s="71">
        <v>129618619096</v>
      </c>
      <c r="D835" s="3">
        <v>9069.1200000000008</v>
      </c>
      <c r="E835" s="3">
        <v>15420512.15</v>
      </c>
      <c r="F835" s="1" t="s">
        <v>3065</v>
      </c>
      <c r="G835"/>
      <c r="H835"/>
      <c r="I835" s="19">
        <f>-IFERROR(VLOOKUP(C835,SIRCUPA!$A$21:$H$221,8,0),0)</f>
        <v>0</v>
      </c>
      <c r="J835" s="86">
        <f>-IFERROR(VLOOKUP(C835,SIRTAC!$A$16:$H$1458,8,0),0)</f>
        <v>-96</v>
      </c>
      <c r="K835" s="86">
        <f>-IFERROR(VLOOKUP(C835,Gastos!$A$9:$J$1451,10,0),0)</f>
        <v>-377.28</v>
      </c>
      <c r="L835" s="86">
        <f>-IFERROR(VLOOKUP(C835,IDC!$A$20:$H$1763,8,0),0)</f>
        <v>-57.6</v>
      </c>
      <c r="M835" s="95">
        <f t="shared" si="24"/>
        <v>9600.0000000000018</v>
      </c>
      <c r="O835" s="1"/>
    </row>
    <row r="836" spans="1:15" hidden="1">
      <c r="A836" s="1" t="s">
        <v>904</v>
      </c>
      <c r="B836" s="1" t="s">
        <v>15</v>
      </c>
      <c r="C836" s="71">
        <v>129045868221</v>
      </c>
      <c r="D836" s="3">
        <v>4534.5600000000004</v>
      </c>
      <c r="E836" s="3">
        <v>15425046.710000001</v>
      </c>
      <c r="F836" s="1" t="s">
        <v>3065</v>
      </c>
      <c r="G836"/>
      <c r="H836"/>
      <c r="I836" s="19">
        <f>-IFERROR(VLOOKUP(C836,SIRCUPA!$A$21:$H$221,8,0),0)</f>
        <v>0</v>
      </c>
      <c r="J836" s="86">
        <f>-IFERROR(VLOOKUP(C836,SIRTAC!$A$16:$H$1458,8,0),0)</f>
        <v>-48</v>
      </c>
      <c r="K836" s="86">
        <f>-IFERROR(VLOOKUP(C836,Gastos!$A$9:$J$1451,10,0),0)</f>
        <v>-188.64</v>
      </c>
      <c r="L836" s="86">
        <f>-IFERROR(VLOOKUP(C836,IDC!$A$20:$H$1763,8,0),0)</f>
        <v>-28.8</v>
      </c>
      <c r="M836" s="95">
        <f t="shared" si="24"/>
        <v>4800.0000000000009</v>
      </c>
      <c r="O836" s="1"/>
    </row>
    <row r="837" spans="1:15" hidden="1">
      <c r="A837" s="1" t="s">
        <v>904</v>
      </c>
      <c r="B837" s="1" t="s">
        <v>15</v>
      </c>
      <c r="C837" s="71">
        <v>129046696415</v>
      </c>
      <c r="D837" s="3">
        <v>9353.2800000000007</v>
      </c>
      <c r="E837" s="3">
        <v>15434399.99</v>
      </c>
      <c r="F837" s="1" t="s">
        <v>3065</v>
      </c>
      <c r="G837"/>
      <c r="H837"/>
      <c r="I837" s="19">
        <f>-IFERROR(VLOOKUP(C837,SIRCUPA!$A$21:$H$221,8,0),0)</f>
        <v>0</v>
      </c>
      <c r="J837" s="86">
        <f>-IFERROR(VLOOKUP(C837,SIRTAC!$A$16:$H$1458,8,0),0)</f>
        <v>-96</v>
      </c>
      <c r="K837" s="86">
        <f>-IFERROR(VLOOKUP(C837,Gastos!$A$9:$J$1451,10,0),0)</f>
        <v>-93.12</v>
      </c>
      <c r="L837" s="86">
        <f>-IFERROR(VLOOKUP(C837,IDC!$A$20:$H$1763,8,0),0)</f>
        <v>-57.6</v>
      </c>
      <c r="M837" s="95">
        <f t="shared" si="24"/>
        <v>9600.0000000000018</v>
      </c>
      <c r="O837" s="1"/>
    </row>
    <row r="838" spans="1:15" hidden="1">
      <c r="A838" s="1" t="s">
        <v>904</v>
      </c>
      <c r="B838" s="1" t="s">
        <v>15</v>
      </c>
      <c r="C838" s="71">
        <v>129046863069</v>
      </c>
      <c r="D838" s="3">
        <v>9548.14</v>
      </c>
      <c r="E838" s="3">
        <v>15443948.130000001</v>
      </c>
      <c r="F838" s="1" t="s">
        <v>3065</v>
      </c>
      <c r="G838"/>
      <c r="H838"/>
      <c r="I838" s="19">
        <f>-IFERROR(VLOOKUP(C838,SIRCUPA!$A$21:$H$221,8,0),0)</f>
        <v>0</v>
      </c>
      <c r="J838" s="86">
        <f>-IFERROR(VLOOKUP(C838,SIRTAC!$A$16:$H$1458,8,0),0)</f>
        <v>-98</v>
      </c>
      <c r="K838" s="86">
        <f>-IFERROR(VLOOKUP(C838,Gastos!$A$9:$J$1451,10,0),0)</f>
        <v>-95.06</v>
      </c>
      <c r="L838" s="86">
        <f>-IFERROR(VLOOKUP(C838,IDC!$A$20:$H$1763,8,0),0)</f>
        <v>-58.8</v>
      </c>
      <c r="M838" s="95">
        <f t="shared" si="24"/>
        <v>9799.9999999999982</v>
      </c>
      <c r="O838" s="1"/>
    </row>
    <row r="839" spans="1:15" hidden="1">
      <c r="A839" s="1" t="s">
        <v>904</v>
      </c>
      <c r="B839" s="1" t="s">
        <v>15</v>
      </c>
      <c r="C839" s="71">
        <v>129047014463</v>
      </c>
      <c r="D839" s="3">
        <v>22798.62</v>
      </c>
      <c r="E839" s="3">
        <v>15466746.75</v>
      </c>
      <c r="F839" s="1" t="s">
        <v>3065</v>
      </c>
      <c r="G839"/>
      <c r="H839"/>
      <c r="I839" s="19">
        <f>-IFERROR(VLOOKUP(C839,SIRCUPA!$A$21:$H$221,8,0),0)</f>
        <v>0</v>
      </c>
      <c r="J839" s="86">
        <f>-IFERROR(VLOOKUP(C839,SIRTAC!$A$16:$H$1458,8,0),0)</f>
        <v>-234</v>
      </c>
      <c r="K839" s="86">
        <f>-IFERROR(VLOOKUP(C839,Gastos!$A$9:$J$1451,10,0),0)</f>
        <v>-226.98</v>
      </c>
      <c r="L839" s="86">
        <f>-IFERROR(VLOOKUP(C839,IDC!$A$20:$H$1763,8,0),0)</f>
        <v>-140.4</v>
      </c>
      <c r="M839" s="95">
        <f t="shared" si="24"/>
        <v>23400</v>
      </c>
      <c r="O839" s="1"/>
    </row>
    <row r="840" spans="1:15" hidden="1">
      <c r="A840" s="1" t="s">
        <v>904</v>
      </c>
      <c r="B840" s="1" t="s">
        <v>15</v>
      </c>
      <c r="C840" s="71">
        <v>129620006666</v>
      </c>
      <c r="D840" s="3">
        <v>3897.2</v>
      </c>
      <c r="E840" s="3">
        <v>15470643.949999999</v>
      </c>
      <c r="F840" s="1" t="s">
        <v>3065</v>
      </c>
      <c r="G840"/>
      <c r="H840"/>
      <c r="I840" s="19">
        <f>-IFERROR(VLOOKUP(C840,SIRCUPA!$A$21:$H$221,8,0),0)</f>
        <v>0</v>
      </c>
      <c r="J840" s="86">
        <f>-IFERROR(VLOOKUP(C840,SIRTAC!$A$16:$H$1458,8,0),0)</f>
        <v>-40</v>
      </c>
      <c r="K840" s="86">
        <f>-IFERROR(VLOOKUP(C840,Gastos!$A$9:$J$1451,10,0),0)</f>
        <v>-38.799999999999997</v>
      </c>
      <c r="L840" s="86">
        <f>-IFERROR(VLOOKUP(C840,IDC!$A$20:$H$1763,8,0),0)</f>
        <v>-24</v>
      </c>
      <c r="M840" s="95">
        <f t="shared" si="24"/>
        <v>4000</v>
      </c>
      <c r="O840" s="1"/>
    </row>
    <row r="841" spans="1:15" hidden="1">
      <c r="A841" s="1" t="s">
        <v>904</v>
      </c>
      <c r="B841" s="1" t="s">
        <v>15</v>
      </c>
      <c r="C841" s="71">
        <v>129046984055</v>
      </c>
      <c r="D841" s="3">
        <v>3754.4</v>
      </c>
      <c r="E841" s="3">
        <v>15474398.35</v>
      </c>
      <c r="F841" s="1" t="s">
        <v>3065</v>
      </c>
      <c r="G841"/>
      <c r="H841"/>
      <c r="I841" s="19">
        <f>-IFERROR(VLOOKUP(C841,SIRCUPA!$A$21:$H$221,8,0),0)</f>
        <v>0</v>
      </c>
      <c r="J841" s="86">
        <f>-IFERROR(VLOOKUP(C841,SIRTAC!$A$16:$H$1458,8,0),0)</f>
        <v>-40</v>
      </c>
      <c r="K841" s="86">
        <f>-IFERROR(VLOOKUP(C841,Gastos!$A$9:$J$1451,10,0),0)</f>
        <v>-181.6</v>
      </c>
      <c r="L841" s="86">
        <f>-IFERROR(VLOOKUP(C841,IDC!$A$20:$H$1763,8,0),0)</f>
        <v>-24</v>
      </c>
      <c r="M841" s="95">
        <f t="shared" si="24"/>
        <v>4000</v>
      </c>
      <c r="O841" s="1"/>
    </row>
    <row r="842" spans="1:15" hidden="1">
      <c r="A842" s="1" t="s">
        <v>904</v>
      </c>
      <c r="B842" s="1" t="s">
        <v>15</v>
      </c>
      <c r="C842" s="71">
        <v>129047335457</v>
      </c>
      <c r="D842" s="3">
        <v>17760.36</v>
      </c>
      <c r="E842" s="3">
        <v>15492158.710000001</v>
      </c>
      <c r="F842" s="1" t="s">
        <v>3065</v>
      </c>
      <c r="G842"/>
      <c r="H842"/>
      <c r="I842" s="19">
        <f>-IFERROR(VLOOKUP(C842,SIRCUPA!$A$21:$H$221,8,0),0)</f>
        <v>0</v>
      </c>
      <c r="J842" s="86">
        <f>-IFERROR(VLOOKUP(C842,SIRTAC!$A$16:$H$1458,8,0),0)</f>
        <v>-188</v>
      </c>
      <c r="K842" s="86">
        <f>-IFERROR(VLOOKUP(C842,Gastos!$A$9:$J$1451,10,0),0)</f>
        <v>-738.84</v>
      </c>
      <c r="L842" s="86">
        <f>-IFERROR(VLOOKUP(C842,IDC!$A$20:$H$1763,8,0),0)</f>
        <v>-112.8</v>
      </c>
      <c r="M842" s="95">
        <f t="shared" si="24"/>
        <v>18800</v>
      </c>
      <c r="O842" s="1"/>
    </row>
    <row r="843" spans="1:15" hidden="1">
      <c r="A843" s="1" t="s">
        <v>904</v>
      </c>
      <c r="B843" s="1" t="s">
        <v>15</v>
      </c>
      <c r="C843" s="71">
        <v>129047936471</v>
      </c>
      <c r="D843" s="3">
        <v>9743</v>
      </c>
      <c r="E843" s="3">
        <v>15501901.710000001</v>
      </c>
      <c r="F843" s="1" t="s">
        <v>3065</v>
      </c>
      <c r="G843"/>
      <c r="H843"/>
      <c r="I843" s="19">
        <f>-IFERROR(VLOOKUP(C843,SIRCUPA!$A$21:$H$221,8,0),0)</f>
        <v>0</v>
      </c>
      <c r="J843" s="86">
        <f>-IFERROR(VLOOKUP(C843,SIRTAC!$A$16:$H$1458,8,0),0)</f>
        <v>-100</v>
      </c>
      <c r="K843" s="86">
        <f>-IFERROR(VLOOKUP(C843,Gastos!$A$9:$J$1451,10,0),0)</f>
        <v>-97</v>
      </c>
      <c r="L843" s="86">
        <f>-IFERROR(VLOOKUP(C843,IDC!$A$20:$H$1763,8,0),0)</f>
        <v>-60</v>
      </c>
      <c r="M843" s="95">
        <f t="shared" si="24"/>
        <v>10000</v>
      </c>
      <c r="O843" s="1"/>
    </row>
    <row r="844" spans="1:15" hidden="1">
      <c r="A844" s="1" t="s">
        <v>904</v>
      </c>
      <c r="B844" s="1" t="s">
        <v>961</v>
      </c>
      <c r="C844" s="71">
        <v>129620763756</v>
      </c>
      <c r="D844" s="2">
        <v>489.5</v>
      </c>
      <c r="E844" s="3">
        <v>15502391.210000001</v>
      </c>
      <c r="F844" s="1" t="s">
        <v>3065</v>
      </c>
      <c r="G844"/>
      <c r="H844"/>
      <c r="I844" s="19">
        <f>-IFERROR(VLOOKUP(C844,SIRCUPA!$A$21:$H$221,8,0),0)</f>
        <v>-7.5</v>
      </c>
      <c r="J844" s="86">
        <f>-IFERROR(VLOOKUP(C844,SIRTAC!$A$16:$H$1458,8,0),0)</f>
        <v>0</v>
      </c>
      <c r="K844" s="86">
        <f>-IFERROR(VLOOKUP(C844,Gastos!$A$9:$J$1451,10,0),0)</f>
        <v>0</v>
      </c>
      <c r="L844" s="86">
        <f>-IFERROR(VLOOKUP(C844,IDC!$A$20:$H$1763,8,0),0)</f>
        <v>-3</v>
      </c>
      <c r="M844" s="95">
        <f t="shared" si="24"/>
        <v>500</v>
      </c>
      <c r="O844" s="1"/>
    </row>
    <row r="845" spans="1:15" hidden="1">
      <c r="A845" s="1" t="s">
        <v>904</v>
      </c>
      <c r="B845" s="1" t="s">
        <v>15</v>
      </c>
      <c r="C845" s="71">
        <v>129620916788</v>
      </c>
      <c r="D845" s="3">
        <v>9255.85</v>
      </c>
      <c r="E845" s="3">
        <v>15511647.060000001</v>
      </c>
      <c r="F845" s="1" t="s">
        <v>3065</v>
      </c>
      <c r="G845"/>
      <c r="H845"/>
      <c r="I845" s="19">
        <f>-IFERROR(VLOOKUP(C845,SIRCUPA!$A$21:$H$221,8,0),0)</f>
        <v>0</v>
      </c>
      <c r="J845" s="86">
        <f>-IFERROR(VLOOKUP(C845,SIRTAC!$A$16:$H$1458,8,0),0)</f>
        <v>-95</v>
      </c>
      <c r="K845" s="86">
        <f>-IFERROR(VLOOKUP(C845,Gastos!$A$9:$J$1451,10,0),0)</f>
        <v>-92.15</v>
      </c>
      <c r="L845" s="86">
        <f>-IFERROR(VLOOKUP(C845,IDC!$A$20:$H$1763,8,0),0)</f>
        <v>-57</v>
      </c>
      <c r="M845" s="95">
        <f t="shared" si="24"/>
        <v>9500</v>
      </c>
      <c r="O845" s="1"/>
    </row>
    <row r="846" spans="1:15" hidden="1">
      <c r="A846" s="1" t="s">
        <v>904</v>
      </c>
      <c r="B846" s="1" t="s">
        <v>15</v>
      </c>
      <c r="C846" s="71">
        <v>129621107146</v>
      </c>
      <c r="D846" s="3">
        <v>3897.2</v>
      </c>
      <c r="E846" s="3">
        <v>15515544.26</v>
      </c>
      <c r="F846" s="1" t="s">
        <v>3065</v>
      </c>
      <c r="G846"/>
      <c r="H846"/>
      <c r="I846" s="19">
        <f>-IFERROR(VLOOKUP(C846,SIRCUPA!$A$21:$H$221,8,0),0)</f>
        <v>0</v>
      </c>
      <c r="J846" s="86">
        <f>-IFERROR(VLOOKUP(C846,SIRTAC!$A$16:$H$1458,8,0),0)</f>
        <v>-40</v>
      </c>
      <c r="K846" s="86">
        <f>-IFERROR(VLOOKUP(C846,Gastos!$A$9:$J$1451,10,0),0)</f>
        <v>-38.799999999999997</v>
      </c>
      <c r="L846" s="86">
        <f>-IFERROR(VLOOKUP(C846,IDC!$A$20:$H$1763,8,0),0)</f>
        <v>-24</v>
      </c>
      <c r="M846" s="95">
        <f t="shared" si="24"/>
        <v>4000</v>
      </c>
      <c r="O846" s="1"/>
    </row>
    <row r="847" spans="1:15" hidden="1">
      <c r="A847" s="1" t="s">
        <v>904</v>
      </c>
      <c r="B847" s="1" t="s">
        <v>15</v>
      </c>
      <c r="C847" s="71">
        <v>129621143792</v>
      </c>
      <c r="D847" s="3">
        <v>10035.290000000001</v>
      </c>
      <c r="E847" s="3">
        <v>15525579.550000001</v>
      </c>
      <c r="F847" s="1" t="s">
        <v>3065</v>
      </c>
      <c r="G847"/>
      <c r="H847"/>
      <c r="I847" s="19">
        <f>-IFERROR(VLOOKUP(C847,SIRCUPA!$A$21:$H$221,8,0),0)</f>
        <v>0</v>
      </c>
      <c r="J847" s="86">
        <f>-IFERROR(VLOOKUP(C847,SIRTAC!$A$16:$H$1458,8,0),0)</f>
        <v>-103</v>
      </c>
      <c r="K847" s="86">
        <f>-IFERROR(VLOOKUP(C847,Gastos!$A$9:$J$1451,10,0),0)</f>
        <v>-99.91</v>
      </c>
      <c r="L847" s="86">
        <f>-IFERROR(VLOOKUP(C847,IDC!$A$20:$H$1763,8,0),0)</f>
        <v>-61.8</v>
      </c>
      <c r="M847" s="95">
        <f t="shared" si="24"/>
        <v>10300</v>
      </c>
      <c r="O847" s="1"/>
    </row>
    <row r="848" spans="1:15" hidden="1">
      <c r="A848" s="1" t="s">
        <v>904</v>
      </c>
      <c r="B848" s="1" t="s">
        <v>15</v>
      </c>
      <c r="C848" s="71">
        <v>129621179894</v>
      </c>
      <c r="D848" s="3">
        <v>12860.76</v>
      </c>
      <c r="E848" s="3">
        <v>15538440.310000001</v>
      </c>
      <c r="F848" s="1" t="s">
        <v>3065</v>
      </c>
      <c r="G848"/>
      <c r="H848"/>
      <c r="I848" s="19">
        <f>-IFERROR(VLOOKUP(C848,SIRCUPA!$A$21:$H$221,8,0),0)</f>
        <v>0</v>
      </c>
      <c r="J848" s="86">
        <f>-IFERROR(VLOOKUP(C848,SIRTAC!$A$16:$H$1458,8,0),0)</f>
        <v>-132</v>
      </c>
      <c r="K848" s="86">
        <f>-IFERROR(VLOOKUP(C848,Gastos!$A$9:$J$1451,10,0),0)</f>
        <v>-128.04</v>
      </c>
      <c r="L848" s="86">
        <f>-IFERROR(VLOOKUP(C848,IDC!$A$20:$H$1763,8,0),0)</f>
        <v>-79.2</v>
      </c>
      <c r="M848" s="95">
        <f t="shared" si="24"/>
        <v>13200.000000000002</v>
      </c>
      <c r="O848" s="1"/>
    </row>
    <row r="849" spans="1:15" hidden="1">
      <c r="A849" s="1" t="s">
        <v>904</v>
      </c>
      <c r="B849" s="1" t="s">
        <v>15</v>
      </c>
      <c r="C849" s="71">
        <v>129048368871</v>
      </c>
      <c r="D849" s="3">
        <v>15199.08</v>
      </c>
      <c r="E849" s="3">
        <v>15553639.390000001</v>
      </c>
      <c r="F849" s="1" t="s">
        <v>3065</v>
      </c>
      <c r="G849"/>
      <c r="H849"/>
      <c r="I849" s="19">
        <f>-IFERROR(VLOOKUP(C849,SIRCUPA!$A$21:$H$221,8,0),0)</f>
        <v>0</v>
      </c>
      <c r="J849" s="86">
        <f>-IFERROR(VLOOKUP(C849,SIRTAC!$A$16:$H$1458,8,0),0)</f>
        <v>-156</v>
      </c>
      <c r="K849" s="86">
        <f>-IFERROR(VLOOKUP(C849,Gastos!$A$9:$J$1451,10,0),0)</f>
        <v>-151.32</v>
      </c>
      <c r="L849" s="86">
        <f>-IFERROR(VLOOKUP(C849,IDC!$A$20:$H$1763,8,0),0)</f>
        <v>-93.6</v>
      </c>
      <c r="M849" s="95">
        <f t="shared" si="24"/>
        <v>15600</v>
      </c>
      <c r="O849" s="1"/>
    </row>
    <row r="850" spans="1:15" hidden="1">
      <c r="A850" s="1" t="s">
        <v>904</v>
      </c>
      <c r="B850" s="1" t="s">
        <v>15</v>
      </c>
      <c r="C850" s="71">
        <v>129048444225</v>
      </c>
      <c r="D850" s="3">
        <v>10257.620000000001</v>
      </c>
      <c r="E850" s="3">
        <v>15563897.01</v>
      </c>
      <c r="F850" s="1" t="s">
        <v>3065</v>
      </c>
      <c r="G850"/>
      <c r="H850"/>
      <c r="I850" s="19">
        <f>-IFERROR(VLOOKUP(C850,SIRCUPA!$A$21:$H$221,8,0),0)</f>
        <v>0</v>
      </c>
      <c r="J850" s="86">
        <f>-IFERROR(VLOOKUP(C850,SIRTAC!$A$16:$H$1458,8,0),0)</f>
        <v>-106</v>
      </c>
      <c r="K850" s="86">
        <f>-IFERROR(VLOOKUP(C850,Gastos!$A$9:$J$1451,10,0),0)</f>
        <v>-172.78</v>
      </c>
      <c r="L850" s="86">
        <f>-IFERROR(VLOOKUP(C850,IDC!$A$20:$H$1763,8,0),0)</f>
        <v>-63.6</v>
      </c>
      <c r="M850" s="95">
        <f t="shared" si="24"/>
        <v>10600.000000000002</v>
      </c>
      <c r="O850" s="1"/>
    </row>
    <row r="851" spans="1:15" hidden="1">
      <c r="A851" s="1" t="s">
        <v>904</v>
      </c>
      <c r="B851" s="1" t="s">
        <v>15</v>
      </c>
      <c r="C851" s="71">
        <v>129621259702</v>
      </c>
      <c r="D851" s="3">
        <v>9158.42</v>
      </c>
      <c r="E851" s="3">
        <v>15573055.43</v>
      </c>
      <c r="F851" s="1" t="s">
        <v>3065</v>
      </c>
      <c r="G851"/>
      <c r="H851"/>
      <c r="I851" s="19">
        <f>-IFERROR(VLOOKUP(C851,SIRCUPA!$A$21:$H$221,8,0),0)</f>
        <v>0</v>
      </c>
      <c r="J851" s="86">
        <f>-IFERROR(VLOOKUP(C851,SIRTAC!$A$16:$H$1458,8,0),0)</f>
        <v>-94</v>
      </c>
      <c r="K851" s="86">
        <f>-IFERROR(VLOOKUP(C851,Gastos!$A$9:$J$1451,10,0),0)</f>
        <v>-91.18</v>
      </c>
      <c r="L851" s="86">
        <f>-IFERROR(VLOOKUP(C851,IDC!$A$20:$H$1763,8,0),0)</f>
        <v>-56.4</v>
      </c>
      <c r="M851" s="95">
        <f t="shared" si="24"/>
        <v>9400</v>
      </c>
      <c r="O851" s="1"/>
    </row>
    <row r="852" spans="1:15" hidden="1">
      <c r="A852" s="1" t="s">
        <v>904</v>
      </c>
      <c r="B852" s="1" t="s">
        <v>15</v>
      </c>
      <c r="C852" s="71">
        <v>129621293638</v>
      </c>
      <c r="D852" s="3">
        <v>9258.06</v>
      </c>
      <c r="E852" s="3">
        <v>15582313.49</v>
      </c>
      <c r="F852" s="1" t="s">
        <v>3065</v>
      </c>
      <c r="G852"/>
      <c r="H852"/>
      <c r="I852" s="19">
        <f>-IFERROR(VLOOKUP(C852,SIRCUPA!$A$21:$H$221,8,0),0)</f>
        <v>0</v>
      </c>
      <c r="J852" s="86">
        <f>-IFERROR(VLOOKUP(C852,SIRTAC!$A$16:$H$1458,8,0),0)</f>
        <v>-98</v>
      </c>
      <c r="K852" s="86">
        <f>-IFERROR(VLOOKUP(C852,Gastos!$A$9:$J$1451,10,0),0)</f>
        <v>-385.14</v>
      </c>
      <c r="L852" s="86">
        <f>-IFERROR(VLOOKUP(C852,IDC!$A$20:$H$1763,8,0),0)</f>
        <v>-58.8</v>
      </c>
      <c r="M852" s="95">
        <f t="shared" si="24"/>
        <v>9799.9999999999982</v>
      </c>
      <c r="O852" s="1"/>
    </row>
    <row r="853" spans="1:15" hidden="1">
      <c r="A853" s="1" t="s">
        <v>904</v>
      </c>
      <c r="B853" s="1" t="s">
        <v>15</v>
      </c>
      <c r="C853" s="71">
        <v>129621414226</v>
      </c>
      <c r="D853" s="3">
        <v>27864.98</v>
      </c>
      <c r="E853" s="3">
        <v>15610178.470000001</v>
      </c>
      <c r="F853" s="1" t="s">
        <v>3065</v>
      </c>
      <c r="G853"/>
      <c r="H853"/>
      <c r="I853" s="19">
        <f>-IFERROR(VLOOKUP(C853,SIRCUPA!$A$21:$H$221,8,0),0)</f>
        <v>0</v>
      </c>
      <c r="J853" s="86">
        <f>-IFERROR(VLOOKUP(C853,SIRTAC!$A$16:$H$1458,8,0),0)</f>
        <v>-286</v>
      </c>
      <c r="K853" s="86">
        <f>-IFERROR(VLOOKUP(C853,Gastos!$A$9:$J$1451,10,0),0)</f>
        <v>-277.42</v>
      </c>
      <c r="L853" s="86">
        <f>-IFERROR(VLOOKUP(C853,IDC!$A$20:$H$1763,8,0),0)</f>
        <v>-171.6</v>
      </c>
      <c r="M853" s="95">
        <f t="shared" si="24"/>
        <v>28599.999999999996</v>
      </c>
      <c r="O853" s="1"/>
    </row>
    <row r="854" spans="1:15" hidden="1">
      <c r="A854" s="1" t="s">
        <v>904</v>
      </c>
      <c r="B854" s="1" t="s">
        <v>15</v>
      </c>
      <c r="C854" s="71">
        <v>129621426704</v>
      </c>
      <c r="D854" s="3">
        <v>54853.09</v>
      </c>
      <c r="E854" s="3">
        <v>15665031.560000001</v>
      </c>
      <c r="F854" s="1" t="s">
        <v>3065</v>
      </c>
      <c r="G854"/>
      <c r="H854"/>
      <c r="I854" s="19">
        <f>-IFERROR(VLOOKUP(C854,SIRCUPA!$A$21:$H$221,8,0),0)</f>
        <v>0</v>
      </c>
      <c r="J854" s="86">
        <f>-IFERROR(VLOOKUP(C854,SIRTAC!$A$16:$H$1458,8,0),0)</f>
        <v>-563</v>
      </c>
      <c r="K854" s="86">
        <f>-IFERROR(VLOOKUP(C854,Gastos!$A$9:$J$1451,10,0),0)</f>
        <v>-546.11</v>
      </c>
      <c r="L854" s="86">
        <f>-IFERROR(VLOOKUP(C854,IDC!$A$20:$H$1763,8,0),0)</f>
        <v>-337.8</v>
      </c>
      <c r="M854" s="95">
        <f t="shared" si="24"/>
        <v>56300</v>
      </c>
      <c r="O854" s="1"/>
    </row>
    <row r="855" spans="1:15" hidden="1">
      <c r="A855" s="1" t="s">
        <v>904</v>
      </c>
      <c r="B855" s="1" t="s">
        <v>15</v>
      </c>
      <c r="C855" s="71">
        <v>129048678585</v>
      </c>
      <c r="D855" s="3">
        <v>191868.57</v>
      </c>
      <c r="E855" s="3">
        <v>15856900.130000001</v>
      </c>
      <c r="F855" s="1" t="s">
        <v>3065</v>
      </c>
      <c r="G855"/>
      <c r="H855"/>
      <c r="I855" s="19">
        <f>-IFERROR(VLOOKUP(C855,SIRCUPA!$A$21:$H$221,8,0),0)</f>
        <v>0</v>
      </c>
      <c r="J855" s="86">
        <f>-IFERROR(VLOOKUP(C855,SIRTAC!$A$16:$H$1458,8,0),0)</f>
        <v>-2031</v>
      </c>
      <c r="K855" s="86">
        <f>-IFERROR(VLOOKUP(C855,Gastos!$A$9:$J$1451,10,0),0)</f>
        <v>-7981.83</v>
      </c>
      <c r="L855" s="86">
        <f>-IFERROR(VLOOKUP(C855,IDC!$A$20:$H$1763,8,0),0)</f>
        <v>-1218.5999999999999</v>
      </c>
      <c r="M855" s="95">
        <f t="shared" si="24"/>
        <v>203100</v>
      </c>
      <c r="O855" s="1"/>
    </row>
    <row r="856" spans="1:15" hidden="1">
      <c r="A856" s="1" t="s">
        <v>904</v>
      </c>
      <c r="B856" s="1" t="s">
        <v>15</v>
      </c>
      <c r="C856" s="71">
        <v>129621447690</v>
      </c>
      <c r="D856" s="3">
        <v>39582.93</v>
      </c>
      <c r="E856" s="3">
        <v>15896483.060000001</v>
      </c>
      <c r="F856" s="1" t="s">
        <v>3065</v>
      </c>
      <c r="G856"/>
      <c r="H856"/>
      <c r="I856" s="19">
        <f>-IFERROR(VLOOKUP(C856,SIRCUPA!$A$21:$H$221,8,0),0)</f>
        <v>0</v>
      </c>
      <c r="J856" s="86">
        <f>-IFERROR(VLOOKUP(C856,SIRTAC!$A$16:$H$1458,8,0),0)</f>
        <v>-419</v>
      </c>
      <c r="K856" s="86">
        <f>-IFERROR(VLOOKUP(C856,Gastos!$A$9:$J$1451,10,0),0)</f>
        <v>-1646.67</v>
      </c>
      <c r="L856" s="86">
        <f>-IFERROR(VLOOKUP(C856,IDC!$A$20:$H$1763,8,0),0)</f>
        <v>-251.4</v>
      </c>
      <c r="M856" s="95">
        <f t="shared" si="24"/>
        <v>41900</v>
      </c>
      <c r="O856" s="1"/>
    </row>
    <row r="857" spans="1:15" hidden="1">
      <c r="A857" s="1" t="s">
        <v>904</v>
      </c>
      <c r="B857" s="1" t="s">
        <v>15</v>
      </c>
      <c r="C857" s="71">
        <v>129686309290</v>
      </c>
      <c r="D857" s="3">
        <v>4774.07</v>
      </c>
      <c r="E857" s="3">
        <v>15901257.130000001</v>
      </c>
      <c r="F857" s="1" t="s">
        <v>3065</v>
      </c>
      <c r="G857"/>
      <c r="H857"/>
      <c r="I857" s="19">
        <f>-IFERROR(VLOOKUP(C857,SIRCUPA!$A$21:$H$221,8,0),0)</f>
        <v>0</v>
      </c>
      <c r="J857" s="86">
        <f>-IFERROR(VLOOKUP(C857,SIRTAC!$A$16:$H$1458,8,0),0)</f>
        <v>-49</v>
      </c>
      <c r="K857" s="86">
        <f>-IFERROR(VLOOKUP(C857,Gastos!$A$9:$J$1451,10,0),0)</f>
        <v>-47.53</v>
      </c>
      <c r="L857" s="86">
        <f>-IFERROR(VLOOKUP(C857,IDC!$A$20:$H$1763,8,0),0)</f>
        <v>-29.4</v>
      </c>
      <c r="M857" s="95">
        <f t="shared" si="24"/>
        <v>4899.9999999999991</v>
      </c>
      <c r="O857" s="1"/>
    </row>
    <row r="858" spans="1:15" hidden="1">
      <c r="A858" s="1" t="s">
        <v>904</v>
      </c>
      <c r="B858" s="1" t="s">
        <v>15</v>
      </c>
      <c r="C858" s="71">
        <v>129117110511</v>
      </c>
      <c r="D858" s="3">
        <v>12568.47</v>
      </c>
      <c r="E858" s="3">
        <v>15913825.6</v>
      </c>
      <c r="F858" s="1" t="s">
        <v>3065</v>
      </c>
      <c r="G858"/>
      <c r="H858"/>
      <c r="I858" s="19">
        <f>-IFERROR(VLOOKUP(C858,SIRCUPA!$A$21:$H$221,8,0),0)</f>
        <v>0</v>
      </c>
      <c r="J858" s="86">
        <f>-IFERROR(VLOOKUP(C858,SIRTAC!$A$16:$H$1458,8,0),0)</f>
        <v>-129</v>
      </c>
      <c r="K858" s="86">
        <f>-IFERROR(VLOOKUP(C858,Gastos!$A$9:$J$1451,10,0),0)</f>
        <v>-125.13</v>
      </c>
      <c r="L858" s="86">
        <f>-IFERROR(VLOOKUP(C858,IDC!$A$20:$H$1763,8,0),0)</f>
        <v>-77.400000000000006</v>
      </c>
      <c r="M858" s="95">
        <f t="shared" si="24"/>
        <v>12899.999999999998</v>
      </c>
      <c r="O858" s="1"/>
    </row>
    <row r="859" spans="1:15" hidden="1">
      <c r="A859" s="1" t="s">
        <v>904</v>
      </c>
      <c r="B859" s="1" t="s">
        <v>15</v>
      </c>
      <c r="C859" s="71">
        <v>129117741955</v>
      </c>
      <c r="D859" s="3">
        <v>18129.28</v>
      </c>
      <c r="E859" s="3">
        <v>15931954.880000001</v>
      </c>
      <c r="F859" s="1" t="s">
        <v>3065</v>
      </c>
      <c r="G859"/>
      <c r="H859"/>
      <c r="I859" s="19">
        <f>-IFERROR(VLOOKUP(C859,SIRCUPA!$A$21:$H$221,8,0),0)</f>
        <v>0</v>
      </c>
      <c r="J859" s="86">
        <f>-IFERROR(VLOOKUP(C859,SIRTAC!$A$16:$H$1458,8,0),0)</f>
        <v>-208</v>
      </c>
      <c r="K859" s="86">
        <f>-IFERROR(VLOOKUP(C859,Gastos!$A$9:$J$1451,10,0),0)</f>
        <v>-2337.92</v>
      </c>
      <c r="L859" s="86">
        <f>-IFERROR(VLOOKUP(C859,IDC!$A$20:$H$1763,8,0),0)</f>
        <v>-124.8</v>
      </c>
      <c r="M859" s="95">
        <f t="shared" si="24"/>
        <v>20799.999999999996</v>
      </c>
      <c r="O859" s="1"/>
    </row>
    <row r="860" spans="1:15" hidden="1">
      <c r="A860" s="1" t="s">
        <v>904</v>
      </c>
      <c r="B860" s="1" t="s">
        <v>15</v>
      </c>
      <c r="C860" s="71">
        <v>129694991650</v>
      </c>
      <c r="D860" s="3">
        <v>15115.2</v>
      </c>
      <c r="E860" s="3">
        <v>15947070.08</v>
      </c>
      <c r="F860" s="1" t="s">
        <v>3065</v>
      </c>
      <c r="G860"/>
      <c r="H860"/>
      <c r="I860" s="19">
        <f>-IFERROR(VLOOKUP(C860,SIRCUPA!$A$21:$H$221,8,0),0)</f>
        <v>0</v>
      </c>
      <c r="J860" s="86">
        <f>-IFERROR(VLOOKUP(C860,SIRTAC!$A$16:$H$1458,8,0),0)</f>
        <v>-160</v>
      </c>
      <c r="K860" s="86">
        <f>-IFERROR(VLOOKUP(C860,Gastos!$A$9:$J$1451,10,0),0)</f>
        <v>-628.79999999999995</v>
      </c>
      <c r="L860" s="86">
        <f>-IFERROR(VLOOKUP(C860,IDC!$A$20:$H$1763,8,0),0)</f>
        <v>-96</v>
      </c>
      <c r="M860" s="95">
        <f t="shared" si="24"/>
        <v>16000</v>
      </c>
      <c r="O860" s="1"/>
    </row>
    <row r="861" spans="1:15" hidden="1">
      <c r="A861" s="1" t="s">
        <v>904</v>
      </c>
      <c r="B861" s="1" t="s">
        <v>15</v>
      </c>
      <c r="C861" s="71">
        <v>129696609972</v>
      </c>
      <c r="D861" s="3">
        <v>26695.82</v>
      </c>
      <c r="E861" s="3">
        <v>15973765.9</v>
      </c>
      <c r="F861" s="1" t="s">
        <v>3065</v>
      </c>
      <c r="G861"/>
      <c r="H861"/>
      <c r="I861" s="19">
        <f>-IFERROR(VLOOKUP(C861,SIRCUPA!$A$21:$H$221,8,0),0)</f>
        <v>0</v>
      </c>
      <c r="J861" s="86">
        <f>-IFERROR(VLOOKUP(C861,SIRTAC!$A$16:$H$1458,8,0),0)</f>
        <v>-274</v>
      </c>
      <c r="K861" s="86">
        <f>-IFERROR(VLOOKUP(C861,Gastos!$A$9:$J$1451,10,0),0)</f>
        <v>-265.77999999999997</v>
      </c>
      <c r="L861" s="86">
        <f>-IFERROR(VLOOKUP(C861,IDC!$A$20:$H$1763,8,0),0)</f>
        <v>-164.4</v>
      </c>
      <c r="M861" s="95">
        <f t="shared" si="24"/>
        <v>27400</v>
      </c>
      <c r="O861" s="1"/>
    </row>
    <row r="862" spans="1:15" hidden="1">
      <c r="A862" s="1" t="s">
        <v>904</v>
      </c>
      <c r="B862" s="1" t="s">
        <v>15</v>
      </c>
      <c r="C862" s="71">
        <v>129698242386</v>
      </c>
      <c r="D862" s="3">
        <v>46006.89</v>
      </c>
      <c r="E862" s="3">
        <v>16019772.789999999</v>
      </c>
      <c r="F862" s="1" t="s">
        <v>3065</v>
      </c>
      <c r="G862"/>
      <c r="H862"/>
      <c r="I862" s="19">
        <f>-IFERROR(VLOOKUP(C862,SIRCUPA!$A$21:$H$221,8,0),0)</f>
        <v>0</v>
      </c>
      <c r="J862" s="86">
        <f>-IFERROR(VLOOKUP(C862,SIRTAC!$A$16:$H$1458,8,0),0)</f>
        <v>-487</v>
      </c>
      <c r="K862" s="86">
        <f>-IFERROR(VLOOKUP(C862,Gastos!$A$9:$J$1451,10,0),0)</f>
        <v>-1913.91</v>
      </c>
      <c r="L862" s="86">
        <f>-IFERROR(VLOOKUP(C862,IDC!$A$20:$H$1763,8,0),0)</f>
        <v>-292.2</v>
      </c>
      <c r="M862" s="95">
        <f t="shared" si="24"/>
        <v>48700</v>
      </c>
      <c r="O862" s="1"/>
    </row>
    <row r="863" spans="1:15" hidden="1">
      <c r="A863" s="1" t="s">
        <v>904</v>
      </c>
      <c r="B863" s="1" t="s">
        <v>15</v>
      </c>
      <c r="C863" s="71">
        <v>129700170344</v>
      </c>
      <c r="D863" s="3">
        <v>61290.58</v>
      </c>
      <c r="E863" s="3">
        <v>16081063.369999999</v>
      </c>
      <c r="F863" s="1" t="s">
        <v>3065</v>
      </c>
      <c r="G863"/>
      <c r="H863"/>
      <c r="I863" s="19">
        <f>-IFERROR(VLOOKUP(C863,SIRCUPA!$A$21:$H$221,8,0),0)</f>
        <v>0</v>
      </c>
      <c r="J863" s="86">
        <f>-IFERROR(VLOOKUP(C863,SIRTAC!$A$16:$H$1458,8,0),0)</f>
        <v>-653</v>
      </c>
      <c r="K863" s="86">
        <f>-IFERROR(VLOOKUP(C863,Gastos!$A$9:$J$1451,10,0),0)</f>
        <v>-2964.62</v>
      </c>
      <c r="L863" s="86">
        <f>-IFERROR(VLOOKUP(C863,IDC!$A$20:$H$1763,8,0),0)</f>
        <v>-391.8</v>
      </c>
      <c r="M863" s="95">
        <f t="shared" si="24"/>
        <v>65300.000000000007</v>
      </c>
      <c r="O863" s="1"/>
    </row>
    <row r="864" spans="1:15" hidden="1">
      <c r="A864" s="1" t="s">
        <v>904</v>
      </c>
      <c r="B864" s="1" t="s">
        <v>15</v>
      </c>
      <c r="C864" s="71">
        <v>129127283837</v>
      </c>
      <c r="D864" s="3">
        <v>34772.57</v>
      </c>
      <c r="E864" s="3">
        <v>16115835.939999999</v>
      </c>
      <c r="F864" s="1" t="s">
        <v>3065</v>
      </c>
      <c r="G864"/>
      <c r="H864"/>
      <c r="I864" s="19">
        <f>-IFERROR(VLOOKUP(C864,SIRCUPA!$A$21:$H$221,8,0),0)</f>
        <v>0</v>
      </c>
      <c r="J864" s="86">
        <f>-IFERROR(VLOOKUP(C864,SIRTAC!$A$16:$H$1458,8,0),0)</f>
        <v>-383</v>
      </c>
      <c r="K864" s="86">
        <f>-IFERROR(VLOOKUP(C864,Gastos!$A$9:$J$1451,10,0),0)</f>
        <v>-2914.63</v>
      </c>
      <c r="L864" s="86">
        <f>-IFERROR(VLOOKUP(C864,IDC!$A$20:$H$1763,8,0),0)</f>
        <v>-229.8</v>
      </c>
      <c r="M864" s="95">
        <f t="shared" si="24"/>
        <v>38300</v>
      </c>
      <c r="O864" s="1"/>
    </row>
    <row r="865" spans="1:15" hidden="1">
      <c r="A865" s="1" t="s">
        <v>904</v>
      </c>
      <c r="B865" s="1" t="s">
        <v>15</v>
      </c>
      <c r="C865" s="71">
        <v>129127816699</v>
      </c>
      <c r="D865" s="3">
        <v>11886.46</v>
      </c>
      <c r="E865" s="3">
        <v>16127722.4</v>
      </c>
      <c r="F865" s="1" t="s">
        <v>3065</v>
      </c>
      <c r="G865"/>
      <c r="H865"/>
      <c r="I865" s="19">
        <f>-IFERROR(VLOOKUP(C865,SIRCUPA!$A$21:$H$221,8,0),0)</f>
        <v>0</v>
      </c>
      <c r="J865" s="86">
        <f>-IFERROR(VLOOKUP(C865,SIRTAC!$A$16:$H$1458,8,0),0)</f>
        <v>-122</v>
      </c>
      <c r="K865" s="86">
        <f>-IFERROR(VLOOKUP(C865,Gastos!$A$9:$J$1451,10,0),0)</f>
        <v>-118.34</v>
      </c>
      <c r="L865" s="86">
        <f>-IFERROR(VLOOKUP(C865,IDC!$A$20:$H$1763,8,0),0)</f>
        <v>-73.2</v>
      </c>
      <c r="M865" s="95">
        <f t="shared" si="24"/>
        <v>12200</v>
      </c>
      <c r="O865" s="1"/>
    </row>
    <row r="866" spans="1:15" hidden="1">
      <c r="A866" s="1" t="s">
        <v>904</v>
      </c>
      <c r="B866" s="1" t="s">
        <v>15</v>
      </c>
      <c r="C866" s="71">
        <v>129131320825</v>
      </c>
      <c r="D866" s="3">
        <v>39946.300000000003</v>
      </c>
      <c r="E866" s="3">
        <v>16167668.699999999</v>
      </c>
      <c r="F866" s="1" t="s">
        <v>3065</v>
      </c>
      <c r="G866"/>
      <c r="H866"/>
      <c r="I866" s="19">
        <f>-IFERROR(VLOOKUP(C866,SIRCUPA!$A$21:$H$221,8,0),0)</f>
        <v>0</v>
      </c>
      <c r="J866" s="86">
        <f>-IFERROR(VLOOKUP(C866,SIRTAC!$A$16:$H$1458,8,0),0)</f>
        <v>-410</v>
      </c>
      <c r="K866" s="86">
        <f>-IFERROR(VLOOKUP(C866,Gastos!$A$9:$J$1451,10,0),0)</f>
        <v>-397.7</v>
      </c>
      <c r="L866" s="86">
        <f>-IFERROR(VLOOKUP(C866,IDC!$A$20:$H$1763,8,0),0)</f>
        <v>-246</v>
      </c>
      <c r="M866" s="95">
        <f t="shared" si="24"/>
        <v>41000</v>
      </c>
      <c r="O866" s="1"/>
    </row>
    <row r="867" spans="1:15" hidden="1">
      <c r="A867" s="1" t="s">
        <v>904</v>
      </c>
      <c r="B867" s="1" t="s">
        <v>985</v>
      </c>
      <c r="C867" s="71">
        <v>129131291041</v>
      </c>
      <c r="D867" s="3">
        <v>6020.85</v>
      </c>
      <c r="E867" s="3">
        <v>16173689.550000001</v>
      </c>
      <c r="F867" s="1" t="s">
        <v>3065</v>
      </c>
      <c r="G867"/>
      <c r="H867"/>
      <c r="I867" s="19">
        <f>-IFERROR(VLOOKUP(C867,SIRCUPA!$A$21:$H$221,8,0),0)</f>
        <v>-92.25</v>
      </c>
      <c r="J867" s="86">
        <f>-IFERROR(VLOOKUP(C867,SIRTAC!$A$16:$H$1458,8,0),0)</f>
        <v>0</v>
      </c>
      <c r="K867" s="86">
        <f>-IFERROR(VLOOKUP(C867,Gastos!$A$9:$J$1451,10,0),0)</f>
        <v>0</v>
      </c>
      <c r="L867" s="86">
        <f>-IFERROR(VLOOKUP(C867,IDC!$A$20:$H$1763,8,0),0)</f>
        <v>-36.9</v>
      </c>
      <c r="M867" s="95">
        <f t="shared" si="24"/>
        <v>6150</v>
      </c>
      <c r="O867" s="1"/>
    </row>
    <row r="868" spans="1:15" hidden="1">
      <c r="A868" s="1" t="s">
        <v>904</v>
      </c>
      <c r="B868" s="1" t="s">
        <v>15</v>
      </c>
      <c r="C868" s="71">
        <v>129131301899</v>
      </c>
      <c r="D868" s="3">
        <v>28059.84</v>
      </c>
      <c r="E868" s="3">
        <v>16201749.390000001</v>
      </c>
      <c r="F868" s="1" t="s">
        <v>3065</v>
      </c>
      <c r="G868"/>
      <c r="H868"/>
      <c r="I868" s="19">
        <f>-IFERROR(VLOOKUP(C868,SIRCUPA!$A$21:$H$221,8,0),0)</f>
        <v>0</v>
      </c>
      <c r="J868" s="86">
        <f>-IFERROR(VLOOKUP(C868,SIRTAC!$A$16:$H$1458,8,0),0)</f>
        <v>-288</v>
      </c>
      <c r="K868" s="86">
        <f>-IFERROR(VLOOKUP(C868,Gastos!$A$9:$J$1451,10,0),0)</f>
        <v>-279.36</v>
      </c>
      <c r="L868" s="86">
        <f>-IFERROR(VLOOKUP(C868,IDC!$A$20:$H$1763,8,0),0)</f>
        <v>-172.8</v>
      </c>
      <c r="M868" s="95">
        <f t="shared" si="24"/>
        <v>28800</v>
      </c>
      <c r="O868" s="1"/>
    </row>
    <row r="869" spans="1:15" hidden="1">
      <c r="A869" s="1" t="s">
        <v>904</v>
      </c>
      <c r="B869" s="1" t="s">
        <v>988</v>
      </c>
      <c r="C869" s="71">
        <v>129704501978</v>
      </c>
      <c r="D869" s="3">
        <v>2819.52</v>
      </c>
      <c r="E869" s="3">
        <v>16204568.91</v>
      </c>
      <c r="F869" s="1" t="s">
        <v>3065</v>
      </c>
      <c r="G869"/>
      <c r="H869"/>
      <c r="I869" s="19">
        <f>-IFERROR(VLOOKUP(C869,SIRCUPA!$A$21:$H$221,8,0),0)</f>
        <v>-43.2</v>
      </c>
      <c r="J869" s="86">
        <f>-IFERROR(VLOOKUP(C869,SIRTAC!$A$16:$H$1458,8,0),0)</f>
        <v>0</v>
      </c>
      <c r="K869" s="86">
        <f>-IFERROR(VLOOKUP(C869,Gastos!$A$9:$J$1451,10,0),0)</f>
        <v>0</v>
      </c>
      <c r="L869" s="86">
        <f>-IFERROR(VLOOKUP(C869,IDC!$A$20:$H$1763,8,0),0)</f>
        <v>-17.28</v>
      </c>
      <c r="M869" s="95">
        <f t="shared" si="24"/>
        <v>2880</v>
      </c>
      <c r="O869" s="1"/>
    </row>
    <row r="870" spans="1:15" hidden="1">
      <c r="A870" s="1" t="s">
        <v>904</v>
      </c>
      <c r="B870" s="1" t="s">
        <v>15</v>
      </c>
      <c r="C870" s="71">
        <v>129131482843</v>
      </c>
      <c r="D870" s="3">
        <v>24552.36</v>
      </c>
      <c r="E870" s="3">
        <v>16229121.27</v>
      </c>
      <c r="F870" s="1" t="s">
        <v>3065</v>
      </c>
      <c r="G870"/>
      <c r="H870"/>
      <c r="I870" s="19">
        <f>-IFERROR(VLOOKUP(C870,SIRCUPA!$A$21:$H$221,8,0),0)</f>
        <v>0</v>
      </c>
      <c r="J870" s="86">
        <f>-IFERROR(VLOOKUP(C870,SIRTAC!$A$16:$H$1458,8,0),0)</f>
        <v>-252</v>
      </c>
      <c r="K870" s="86">
        <f>-IFERROR(VLOOKUP(C870,Gastos!$A$9:$J$1451,10,0),0)</f>
        <v>-244.44</v>
      </c>
      <c r="L870" s="86">
        <f>-IFERROR(VLOOKUP(C870,IDC!$A$20:$H$1763,8,0),0)</f>
        <v>-151.19999999999999</v>
      </c>
      <c r="M870" s="95">
        <f t="shared" si="24"/>
        <v>25200</v>
      </c>
      <c r="O870" s="1"/>
    </row>
    <row r="871" spans="1:15" hidden="1">
      <c r="A871" s="1" t="s">
        <v>904</v>
      </c>
      <c r="B871" s="1" t="s">
        <v>15</v>
      </c>
      <c r="C871" s="71">
        <v>129131696927</v>
      </c>
      <c r="D871" s="3">
        <v>17176.38</v>
      </c>
      <c r="E871" s="3">
        <v>16246297.65</v>
      </c>
      <c r="F871" s="1" t="s">
        <v>3065</v>
      </c>
      <c r="G871"/>
      <c r="H871"/>
      <c r="I871" s="19">
        <f>-IFERROR(VLOOKUP(C871,SIRCUPA!$A$21:$H$221,8,0),0)</f>
        <v>0</v>
      </c>
      <c r="J871" s="86">
        <f>-IFERROR(VLOOKUP(C871,SIRTAC!$A$16:$H$1458,8,0),0)</f>
        <v>-183</v>
      </c>
      <c r="K871" s="86">
        <f>-IFERROR(VLOOKUP(C871,Gastos!$A$9:$J$1451,10,0),0)</f>
        <v>-830.82</v>
      </c>
      <c r="L871" s="86">
        <f>-IFERROR(VLOOKUP(C871,IDC!$A$20:$H$1763,8,0),0)</f>
        <v>-109.8</v>
      </c>
      <c r="M871" s="95">
        <f t="shared" ref="M871:M883" si="25">+D871-I871-J871-K871-L871</f>
        <v>18300</v>
      </c>
      <c r="O871" s="1"/>
    </row>
    <row r="872" spans="1:15" hidden="1">
      <c r="A872" s="1" t="s">
        <v>904</v>
      </c>
      <c r="B872" s="1" t="s">
        <v>15</v>
      </c>
      <c r="C872" s="71">
        <v>129705455082</v>
      </c>
      <c r="D872" s="3">
        <v>75605.679999999993</v>
      </c>
      <c r="E872" s="3">
        <v>16321903.33</v>
      </c>
      <c r="F872" s="1" t="s">
        <v>3065</v>
      </c>
      <c r="G872"/>
      <c r="H872"/>
      <c r="I872" s="19">
        <f>-IFERROR(VLOOKUP(C872,SIRCUPA!$A$21:$H$221,8,0),0)</f>
        <v>0</v>
      </c>
      <c r="J872" s="86">
        <f>-IFERROR(VLOOKUP(C872,SIRTAC!$A$16:$H$1458,8,0),0)</f>
        <v>-776</v>
      </c>
      <c r="K872" s="86">
        <f>-IFERROR(VLOOKUP(C872,Gastos!$A$9:$J$1451,10,0),0)</f>
        <v>-752.72</v>
      </c>
      <c r="L872" s="86">
        <f>-IFERROR(VLOOKUP(C872,IDC!$A$20:$H$1763,8,0),0)</f>
        <v>-465.6</v>
      </c>
      <c r="M872" s="95">
        <f t="shared" si="25"/>
        <v>77600</v>
      </c>
      <c r="O872" s="1"/>
    </row>
    <row r="873" spans="1:15" hidden="1">
      <c r="A873" s="1" t="s">
        <v>904</v>
      </c>
      <c r="B873" s="1" t="s">
        <v>15</v>
      </c>
      <c r="C873" s="71">
        <v>129705486752</v>
      </c>
      <c r="D873" s="3">
        <v>79210.59</v>
      </c>
      <c r="E873" s="3">
        <v>16401113.92</v>
      </c>
      <c r="F873" s="1" t="s">
        <v>3065</v>
      </c>
      <c r="G873"/>
      <c r="H873"/>
      <c r="I873" s="19">
        <f>-IFERROR(VLOOKUP(C873,SIRCUPA!$A$21:$H$221,8,0),0)</f>
        <v>0</v>
      </c>
      <c r="J873" s="86">
        <f>-IFERROR(VLOOKUP(C873,SIRTAC!$A$16:$H$1458,8,0),0)</f>
        <v>-813</v>
      </c>
      <c r="K873" s="86">
        <f>-IFERROR(VLOOKUP(C873,Gastos!$A$9:$J$1451,10,0),0)</f>
        <v>-788.61</v>
      </c>
      <c r="L873" s="86">
        <f>-IFERROR(VLOOKUP(C873,IDC!$A$20:$H$1763,8,0),0)</f>
        <v>-487.8</v>
      </c>
      <c r="M873" s="95">
        <f t="shared" si="25"/>
        <v>81300</v>
      </c>
      <c r="O873" s="1"/>
    </row>
    <row r="874" spans="1:15" hidden="1">
      <c r="A874" s="1" t="s">
        <v>904</v>
      </c>
      <c r="B874" s="1" t="s">
        <v>15</v>
      </c>
      <c r="C874" s="71">
        <v>129705584190</v>
      </c>
      <c r="D874" s="3">
        <v>9730.41</v>
      </c>
      <c r="E874" s="3">
        <v>16410844.33</v>
      </c>
      <c r="F874" s="1" t="s">
        <v>3065</v>
      </c>
      <c r="G874"/>
      <c r="H874"/>
      <c r="I874" s="19">
        <f>-IFERROR(VLOOKUP(C874,SIRCUPA!$A$21:$H$221,8,0),0)</f>
        <v>0</v>
      </c>
      <c r="J874" s="86">
        <f>-IFERROR(VLOOKUP(C874,SIRTAC!$A$16:$H$1458,8,0),0)</f>
        <v>-103</v>
      </c>
      <c r="K874" s="86">
        <f>-IFERROR(VLOOKUP(C874,Gastos!$A$9:$J$1451,10,0),0)</f>
        <v>-404.79</v>
      </c>
      <c r="L874" s="86">
        <f>-IFERROR(VLOOKUP(C874,IDC!$A$20:$H$1763,8,0),0)</f>
        <v>-61.8</v>
      </c>
      <c r="M874" s="95">
        <f t="shared" si="25"/>
        <v>10300</v>
      </c>
      <c r="O874" s="1"/>
    </row>
    <row r="875" spans="1:15" hidden="1">
      <c r="A875" s="1" t="s">
        <v>904</v>
      </c>
      <c r="B875" s="1" t="s">
        <v>15</v>
      </c>
      <c r="C875" s="71">
        <v>129132489041</v>
      </c>
      <c r="D875" s="3">
        <v>14029.92</v>
      </c>
      <c r="E875" s="3">
        <v>16424874.25</v>
      </c>
      <c r="F875" s="1" t="s">
        <v>3065</v>
      </c>
      <c r="G875"/>
      <c r="H875"/>
      <c r="I875" s="19">
        <f>-IFERROR(VLOOKUP(C875,SIRCUPA!$A$21:$H$221,8,0),0)</f>
        <v>0</v>
      </c>
      <c r="J875" s="86">
        <f>-IFERROR(VLOOKUP(C875,SIRTAC!$A$16:$H$1458,8,0),0)</f>
        <v>-144</v>
      </c>
      <c r="K875" s="86">
        <f>-IFERROR(VLOOKUP(C875,Gastos!$A$9:$J$1451,10,0),0)</f>
        <v>-139.68</v>
      </c>
      <c r="L875" s="86">
        <f>-IFERROR(VLOOKUP(C875,IDC!$A$20:$H$1763,8,0),0)</f>
        <v>-86.4</v>
      </c>
      <c r="M875" s="95">
        <f t="shared" si="25"/>
        <v>14400</v>
      </c>
      <c r="O875" s="1"/>
    </row>
    <row r="876" spans="1:15" hidden="1">
      <c r="A876" s="1" t="s">
        <v>904</v>
      </c>
      <c r="B876" s="1" t="s">
        <v>15</v>
      </c>
      <c r="C876" s="71">
        <v>129705741726</v>
      </c>
      <c r="D876" s="3">
        <v>35464.519999999997</v>
      </c>
      <c r="E876" s="3">
        <v>16460338.77</v>
      </c>
      <c r="F876" s="1" t="s">
        <v>3065</v>
      </c>
      <c r="G876"/>
      <c r="H876"/>
      <c r="I876" s="19">
        <f>-IFERROR(VLOOKUP(C876,SIRCUPA!$A$21:$H$221,8,0),0)</f>
        <v>0</v>
      </c>
      <c r="J876" s="86">
        <f>-IFERROR(VLOOKUP(C876,SIRTAC!$A$16:$H$1458,8,0),0)</f>
        <v>-364</v>
      </c>
      <c r="K876" s="86">
        <f>-IFERROR(VLOOKUP(C876,Gastos!$A$9:$J$1451,10,0),0)</f>
        <v>-353.08</v>
      </c>
      <c r="L876" s="86">
        <f>-IFERROR(VLOOKUP(C876,IDC!$A$20:$H$1763,8,0),0)</f>
        <v>-218.4</v>
      </c>
      <c r="M876" s="95">
        <f t="shared" si="25"/>
        <v>36400</v>
      </c>
      <c r="O876" s="1"/>
    </row>
    <row r="877" spans="1:15" hidden="1">
      <c r="A877" s="1" t="s">
        <v>904</v>
      </c>
      <c r="B877" s="1" t="s">
        <v>15</v>
      </c>
      <c r="C877" s="71">
        <v>129705904234</v>
      </c>
      <c r="D877" s="3">
        <v>4871.5</v>
      </c>
      <c r="E877" s="3">
        <v>16465210.27</v>
      </c>
      <c r="F877" s="1" t="s">
        <v>3065</v>
      </c>
      <c r="G877"/>
      <c r="H877"/>
      <c r="I877" s="19">
        <f>-IFERROR(VLOOKUP(C877,SIRCUPA!$A$21:$H$221,8,0),0)</f>
        <v>0</v>
      </c>
      <c r="J877" s="86">
        <f>-IFERROR(VLOOKUP(C877,SIRTAC!$A$16:$H$1458,8,0),0)</f>
        <v>-50</v>
      </c>
      <c r="K877" s="86">
        <f>-IFERROR(VLOOKUP(C877,Gastos!$A$9:$J$1451,10,0),0)</f>
        <v>-48.5</v>
      </c>
      <c r="L877" s="86">
        <f>-IFERROR(VLOOKUP(C877,IDC!$A$20:$H$1763,8,0),0)</f>
        <v>-30</v>
      </c>
      <c r="M877" s="95">
        <f t="shared" si="25"/>
        <v>5000</v>
      </c>
      <c r="O877" s="1"/>
    </row>
    <row r="878" spans="1:15" hidden="1">
      <c r="A878" s="1" t="s">
        <v>904</v>
      </c>
      <c r="B878" s="1" t="s">
        <v>998</v>
      </c>
      <c r="C878" s="71">
        <v>129132696737</v>
      </c>
      <c r="D878" s="2">
        <v>244.75</v>
      </c>
      <c r="E878" s="3">
        <v>16465455.02</v>
      </c>
      <c r="F878" s="1" t="s">
        <v>3065</v>
      </c>
      <c r="G878"/>
      <c r="H878"/>
      <c r="I878" s="19">
        <f>-IFERROR(VLOOKUP(C878,SIRCUPA!$A$21:$H$221,8,0),0)</f>
        <v>-3.75</v>
      </c>
      <c r="J878" s="86">
        <f>-IFERROR(VLOOKUP(C878,SIRTAC!$A$16:$H$1458,8,0),0)</f>
        <v>0</v>
      </c>
      <c r="K878" s="86">
        <f>-IFERROR(VLOOKUP(C878,Gastos!$A$9:$J$1451,10,0),0)</f>
        <v>0</v>
      </c>
      <c r="L878" s="86">
        <f>-IFERROR(VLOOKUP(C878,IDC!$A$20:$H$1763,8,0),0)</f>
        <v>-1.5</v>
      </c>
      <c r="M878" s="95">
        <f t="shared" si="25"/>
        <v>250</v>
      </c>
      <c r="O878" s="1"/>
    </row>
    <row r="879" spans="1:15" hidden="1">
      <c r="A879" s="1" t="s">
        <v>1000</v>
      </c>
      <c r="B879" s="1" t="s">
        <v>15</v>
      </c>
      <c r="C879" s="71">
        <v>129707362676</v>
      </c>
      <c r="D879" s="3">
        <v>86907.56</v>
      </c>
      <c r="E879" s="3">
        <v>16552362.58</v>
      </c>
      <c r="F879" s="1" t="s">
        <v>3065</v>
      </c>
      <c r="G879"/>
      <c r="H879"/>
      <c r="I879" s="19">
        <f>-IFERROR(VLOOKUP(C879,SIRCUPA!$A$21:$H$221,8,0),0)</f>
        <v>0</v>
      </c>
      <c r="J879" s="86">
        <f>-IFERROR(VLOOKUP(C879,SIRTAC!$A$16:$H$1458,8,0),0)</f>
        <v>-892</v>
      </c>
      <c r="K879" s="86">
        <f>-IFERROR(VLOOKUP(C879,Gastos!$A$9:$J$1451,10,0),0)</f>
        <v>-865.24</v>
      </c>
      <c r="L879" s="86">
        <f>-IFERROR(VLOOKUP(C879,IDC!$A$20:$H$1763,8,0),0)</f>
        <v>-535.20000000000005</v>
      </c>
      <c r="M879" s="95">
        <f t="shared" si="25"/>
        <v>89200</v>
      </c>
      <c r="O879" s="1"/>
    </row>
    <row r="880" spans="1:15" hidden="1">
      <c r="A880" s="1" t="s">
        <v>1000</v>
      </c>
      <c r="B880" s="1" t="s">
        <v>15</v>
      </c>
      <c r="C880" s="71">
        <v>129709148788</v>
      </c>
      <c r="D880" s="3">
        <v>18121.98</v>
      </c>
      <c r="E880" s="3">
        <v>16570484.560000001</v>
      </c>
      <c r="F880" s="1" t="s">
        <v>3065</v>
      </c>
      <c r="G880"/>
      <c r="H880"/>
      <c r="I880" s="19">
        <f>-IFERROR(VLOOKUP(C880,SIRCUPA!$A$21:$H$221,8,0),0)</f>
        <v>0</v>
      </c>
      <c r="J880" s="86">
        <f>-IFERROR(VLOOKUP(C880,SIRTAC!$A$16:$H$1458,8,0),0)</f>
        <v>-186</v>
      </c>
      <c r="K880" s="86">
        <f>-IFERROR(VLOOKUP(C880,Gastos!$A$9:$J$1451,10,0),0)</f>
        <v>-180.42</v>
      </c>
      <c r="L880" s="86">
        <f>-IFERROR(VLOOKUP(C880,IDC!$A$20:$H$1763,8,0),0)</f>
        <v>-111.6</v>
      </c>
      <c r="M880" s="95">
        <f t="shared" si="25"/>
        <v>18599.999999999996</v>
      </c>
      <c r="O880" s="1"/>
    </row>
    <row r="881" spans="1:17" hidden="1">
      <c r="A881" s="1" t="s">
        <v>1000</v>
      </c>
      <c r="B881" s="1" t="s">
        <v>1003</v>
      </c>
      <c r="C881" s="71">
        <v>129709073862</v>
      </c>
      <c r="D881" s="2">
        <v>910.47</v>
      </c>
      <c r="E881" s="3">
        <v>16571395.029999999</v>
      </c>
      <c r="F881" s="1" t="s">
        <v>3065</v>
      </c>
      <c r="G881"/>
      <c r="H881"/>
      <c r="I881" s="19">
        <f>-IFERROR(VLOOKUP(C881,SIRCUPA!$A$21:$H$221,8,0),0)</f>
        <v>-13.95</v>
      </c>
      <c r="J881" s="86">
        <f>-IFERROR(VLOOKUP(C881,SIRTAC!$A$16:$H$1458,8,0),0)</f>
        <v>0</v>
      </c>
      <c r="K881" s="86">
        <f>-IFERROR(VLOOKUP(C881,Gastos!$A$9:$J$1451,10,0),0)</f>
        <v>0</v>
      </c>
      <c r="L881" s="86">
        <f>-IFERROR(VLOOKUP(C881,IDC!$A$20:$H$1763,8,0),0)</f>
        <v>-5.58</v>
      </c>
      <c r="M881" s="95">
        <f t="shared" si="25"/>
        <v>930.00000000000011</v>
      </c>
      <c r="O881" s="1"/>
    </row>
    <row r="882" spans="1:17" hidden="1">
      <c r="A882" s="1" t="s">
        <v>1000</v>
      </c>
      <c r="B882" s="1" t="s">
        <v>15</v>
      </c>
      <c r="C882" s="71">
        <v>129710895224</v>
      </c>
      <c r="D882" s="3">
        <v>14614.5</v>
      </c>
      <c r="E882" s="3">
        <v>16586009.529999999</v>
      </c>
      <c r="F882" s="1" t="s">
        <v>3065</v>
      </c>
      <c r="G882"/>
      <c r="H882"/>
      <c r="I882" s="19">
        <f>-IFERROR(VLOOKUP(C882,SIRCUPA!$A$21:$H$221,8,0),0)</f>
        <v>0</v>
      </c>
      <c r="J882" s="86">
        <f>-IFERROR(VLOOKUP(C882,SIRTAC!$A$16:$H$1458,8,0),0)</f>
        <v>-150</v>
      </c>
      <c r="K882" s="86">
        <f>-IFERROR(VLOOKUP(C882,Gastos!$A$9:$J$1451,10,0),0)</f>
        <v>-145.5</v>
      </c>
      <c r="L882" s="86">
        <f>-IFERROR(VLOOKUP(C882,IDC!$A$20:$H$1763,8,0),0)</f>
        <v>-90</v>
      </c>
      <c r="M882" s="95">
        <f t="shared" si="25"/>
        <v>15000</v>
      </c>
      <c r="O882" s="1"/>
    </row>
    <row r="883" spans="1:17" hidden="1">
      <c r="A883" s="1" t="s">
        <v>1000</v>
      </c>
      <c r="B883" s="1" t="s">
        <v>15</v>
      </c>
      <c r="C883" s="71">
        <v>129710939716</v>
      </c>
      <c r="D883" s="3">
        <v>38972</v>
      </c>
      <c r="E883" s="3">
        <v>16624981.529999999</v>
      </c>
      <c r="F883" s="1" t="s">
        <v>3065</v>
      </c>
      <c r="G883"/>
      <c r="H883"/>
      <c r="I883" s="19">
        <f>-IFERROR(VLOOKUP(C883,SIRCUPA!$A$21:$H$221,8,0),0)</f>
        <v>0</v>
      </c>
      <c r="J883" s="86">
        <f>-IFERROR(VLOOKUP(C883,SIRTAC!$A$16:$H$1458,8,0),0)</f>
        <v>-400</v>
      </c>
      <c r="K883" s="86">
        <f>-IFERROR(VLOOKUP(C883,Gastos!$A$9:$J$1451,10,0),0)</f>
        <v>-388</v>
      </c>
      <c r="L883" s="86">
        <f>-IFERROR(VLOOKUP(C883,IDC!$A$20:$H$1763,8,0),0)</f>
        <v>-240</v>
      </c>
      <c r="M883" s="95">
        <f t="shared" si="25"/>
        <v>40000</v>
      </c>
      <c r="O883" s="1"/>
    </row>
    <row r="884" spans="1:17" s="67" customFormat="1" hidden="1">
      <c r="A884" s="67" t="s">
        <v>548</v>
      </c>
      <c r="B884" s="67" t="s">
        <v>55</v>
      </c>
      <c r="C884" s="75">
        <v>129258131166</v>
      </c>
      <c r="D884" s="68">
        <v>-197879.97</v>
      </c>
      <c r="E884" s="3">
        <v>9217883.1099999994</v>
      </c>
      <c r="F884" s="67" t="s">
        <v>3066</v>
      </c>
      <c r="G884" s="69">
        <f>+D884/1.006</f>
        <v>-196699.77137176937</v>
      </c>
      <c r="H884" s="69">
        <f>+D884-G884</f>
        <v>-1180.1986282306316</v>
      </c>
      <c r="I884" s="69">
        <f>-IFERROR(VLOOKUP(C884,SIRCUPA!$A$21:$H$221,8,0),0)</f>
        <v>0</v>
      </c>
      <c r="J884" s="69">
        <f>-IFERROR(VLOOKUP(C884,SIRTAC!$A$16:$H$1458,8,0),0)</f>
        <v>0</v>
      </c>
      <c r="K884" s="69">
        <f>-IFERROR(VLOOKUP(C884,Gastos!$A$9:$J$1451,10,0),0)</f>
        <v>0</v>
      </c>
      <c r="L884" s="69">
        <f>-IFERROR(VLOOKUP(C884,IDC!$A$20:$H$1763,8,0),0)</f>
        <v>-1187.28</v>
      </c>
      <c r="M884" s="96">
        <f>+D884</f>
        <v>-197879.97</v>
      </c>
      <c r="P884" s="19"/>
      <c r="Q884" s="19"/>
    </row>
    <row r="885" spans="1:17" s="67" customFormat="1" hidden="1">
      <c r="A885" s="1" t="s">
        <v>548</v>
      </c>
      <c r="B885" s="1" t="s">
        <v>566</v>
      </c>
      <c r="C885" s="71">
        <v>129262467630</v>
      </c>
      <c r="D885" s="3">
        <v>-857112</v>
      </c>
      <c r="E885" s="3">
        <v>8293399.0899999999</v>
      </c>
      <c r="F885" s="1" t="s">
        <v>3069</v>
      </c>
      <c r="G885" s="19">
        <f>+D885/1.006</f>
        <v>-852000</v>
      </c>
      <c r="H885" s="19">
        <f>+D885-G885</f>
        <v>-5112</v>
      </c>
      <c r="I885" s="19">
        <f>-IFERROR(VLOOKUP(C885,SIRCUPA!$A$21:$H$221,8,0),0)</f>
        <v>0</v>
      </c>
      <c r="J885" s="86">
        <f>-IFERROR(VLOOKUP(C885,SIRTAC!$A$16:$H$1458,8,0),0)</f>
        <v>0</v>
      </c>
      <c r="K885" s="86">
        <f>-IFERROR(VLOOKUP(C885,Gastos!$A$9:$J$1451,10,0),0)</f>
        <v>0</v>
      </c>
      <c r="L885" s="86">
        <f>+D885-G885</f>
        <v>-5112</v>
      </c>
      <c r="M885" s="94">
        <f>+D885-I885-J885-K885-L885</f>
        <v>-852000</v>
      </c>
      <c r="N885" s="1"/>
      <c r="O885" s="1"/>
      <c r="P885" s="19"/>
      <c r="Q885" s="19"/>
    </row>
    <row r="886" spans="1:17" s="67" customFormat="1" hidden="1">
      <c r="A886" s="1" t="s">
        <v>548</v>
      </c>
      <c r="B886" s="1" t="s">
        <v>568</v>
      </c>
      <c r="C886" s="71">
        <v>129264424592</v>
      </c>
      <c r="D886" s="3">
        <v>-333798.15000000002</v>
      </c>
      <c r="E886" s="3">
        <v>7959600.9400000004</v>
      </c>
      <c r="F886" s="1" t="s">
        <v>3066</v>
      </c>
      <c r="G886" s="19">
        <f>+D886/1.006</f>
        <v>-331807.30616302189</v>
      </c>
      <c r="H886" s="19">
        <f>+D886-G886</f>
        <v>-1990.8438369781361</v>
      </c>
      <c r="I886" s="19">
        <f>-IFERROR(VLOOKUP(C886,SIRCUPA!$A$21:$H$221,8,0),0)</f>
        <v>0</v>
      </c>
      <c r="J886" s="86">
        <f>-IFERROR(VLOOKUP(C886,SIRTAC!$A$16:$H$1458,8,0),0)</f>
        <v>0</v>
      </c>
      <c r="K886" s="86">
        <f>-IFERROR(VLOOKUP(C886,Gastos!$A$9:$J$1451,10,0),0)</f>
        <v>0</v>
      </c>
      <c r="L886" s="86">
        <f>+D886-G886</f>
        <v>-1990.8438369781361</v>
      </c>
      <c r="M886" s="94">
        <f>+D886-I886-J886-K886-L886</f>
        <v>-331807.30616302189</v>
      </c>
      <c r="N886" s="1"/>
      <c r="O886" s="1"/>
      <c r="P886" s="19"/>
      <c r="Q886" s="19"/>
    </row>
    <row r="887" spans="1:17" s="67" customFormat="1" hidden="1">
      <c r="A887" s="1" t="s">
        <v>1011</v>
      </c>
      <c r="B887" s="32" t="s">
        <v>53</v>
      </c>
      <c r="C887" s="72">
        <v>129327674841</v>
      </c>
      <c r="D887" s="33">
        <v>-51378.43</v>
      </c>
      <c r="E887" s="33">
        <v>14229474.85</v>
      </c>
      <c r="F887" s="1" t="s">
        <v>3066</v>
      </c>
      <c r="G887" s="19">
        <f>+D887/1.006</f>
        <v>-51071.99801192843</v>
      </c>
      <c r="H887" s="19">
        <f>+D887-G887</f>
        <v>-306.43198807157023</v>
      </c>
      <c r="I887" s="19">
        <f>-IFERROR(VLOOKUP(C887,SIRCUPA!$A$21:$H$221,8,0),0)</f>
        <v>0</v>
      </c>
      <c r="J887" s="86">
        <f>-IFERROR(VLOOKUP(C887,SIRTAC!$A$16:$H$1458,8,0),0)</f>
        <v>0</v>
      </c>
      <c r="K887" s="86">
        <f>-IFERROR(VLOOKUP(C887,Gastos!$A$9:$J$1451,10,0),0)</f>
        <v>0</v>
      </c>
      <c r="L887" s="86">
        <f>-IFERROR(VLOOKUP(C887,IDC!$A$20:$H$1763,8,0),0)</f>
        <v>-306.43</v>
      </c>
      <c r="M887" s="94">
        <f>+D887-I887-J887-K887-L887</f>
        <v>-51072</v>
      </c>
      <c r="N887" s="1"/>
      <c r="O887" s="32" t="s">
        <v>2017</v>
      </c>
      <c r="P887" s="19"/>
      <c r="Q887" s="19"/>
    </row>
    <row r="888" spans="1:17" s="67" customFormat="1" hidden="1">
      <c r="A888" s="67" t="s">
        <v>1013</v>
      </c>
      <c r="B888" s="67" t="s">
        <v>51</v>
      </c>
      <c r="C888" s="75">
        <v>129462587231</v>
      </c>
      <c r="D888" s="68">
        <v>-1409.31</v>
      </c>
      <c r="E888" s="3">
        <v>13716504.550000001</v>
      </c>
      <c r="F888" s="67" t="s">
        <v>3062</v>
      </c>
      <c r="G888" s="69">
        <f>+D888/0.006</f>
        <v>-234885</v>
      </c>
      <c r="H888" s="69"/>
      <c r="I888" s="69">
        <f>-IFERROR(VLOOKUP(C888,SIRCUPA!$A$21:$H$221,8,0),0)</f>
        <v>0</v>
      </c>
      <c r="J888" s="69">
        <f>-IFERROR(VLOOKUP(C888,SIRTAC!$A$16:$H$1458,8,0),0)</f>
        <v>0</v>
      </c>
      <c r="K888" s="69">
        <f>-IFERROR(VLOOKUP(C888,Gastos!$A$9:$J$1451,10,0),0)</f>
        <v>0</v>
      </c>
      <c r="L888" s="69"/>
      <c r="M888" s="96">
        <f>+D888</f>
        <v>-1409.31</v>
      </c>
      <c r="P888" s="19"/>
      <c r="Q888" s="19"/>
    </row>
    <row r="889" spans="1:17" s="67" customFormat="1" hidden="1">
      <c r="A889" s="67" t="s">
        <v>1013</v>
      </c>
      <c r="B889" s="67" t="s">
        <v>484</v>
      </c>
      <c r="C889" s="75">
        <v>129462587231</v>
      </c>
      <c r="D889" s="68">
        <v>-234885.71</v>
      </c>
      <c r="E889" s="3">
        <v>13717913.859999999</v>
      </c>
      <c r="F889" s="67" t="s">
        <v>3066</v>
      </c>
      <c r="G889" s="69">
        <f>+D889/1.006</f>
        <v>-233484.80119284292</v>
      </c>
      <c r="H889" s="69">
        <f>+D889-G889</f>
        <v>-1400.9088071570732</v>
      </c>
      <c r="I889" s="69">
        <f>-IFERROR(VLOOKUP(C889,SIRCUPA!$A$21:$H$221,8,0),0)</f>
        <v>0</v>
      </c>
      <c r="J889" s="69">
        <f>-IFERROR(VLOOKUP(C889,SIRTAC!$A$16:$H$1458,8,0),0)</f>
        <v>0</v>
      </c>
      <c r="K889" s="69">
        <f>-IFERROR(VLOOKUP(C889,Gastos!$A$9:$J$1451,10,0),0)</f>
        <v>0</v>
      </c>
      <c r="L889" s="69">
        <f>-IFERROR(VLOOKUP(C889,IDC!$A$20:$H$1763,8,0),0)</f>
        <v>-1409.31</v>
      </c>
      <c r="M889" s="96">
        <f>+D889</f>
        <v>-234885.71</v>
      </c>
      <c r="P889" s="19"/>
      <c r="Q889" s="19"/>
    </row>
    <row r="890" spans="1:17" s="67" customFormat="1" hidden="1">
      <c r="A890" s="1" t="s">
        <v>1039</v>
      </c>
      <c r="B890" s="1" t="s">
        <v>475</v>
      </c>
      <c r="C890" s="71">
        <v>129567351075</v>
      </c>
      <c r="D890" s="3">
        <v>-21729.59</v>
      </c>
      <c r="E890" s="3">
        <v>14268676.689999999</v>
      </c>
      <c r="F890" s="1" t="s">
        <v>3066</v>
      </c>
      <c r="G890" s="19">
        <f>+D890/1.006</f>
        <v>-21599.990059642147</v>
      </c>
      <c r="H890" s="19">
        <f>+D890-G890</f>
        <v>-129.59994035785348</v>
      </c>
      <c r="I890" s="19">
        <f>-IFERROR(VLOOKUP(C890,SIRCUPA!$A$21:$H$221,8,0),0)</f>
        <v>0</v>
      </c>
      <c r="J890" s="86">
        <f>-IFERROR(VLOOKUP(C890,SIRTAC!$A$16:$H$1458,8,0),0)</f>
        <v>0</v>
      </c>
      <c r="K890" s="86">
        <f>-IFERROR(VLOOKUP(C890,Gastos!$A$9:$J$1451,10,0),0)</f>
        <v>0</v>
      </c>
      <c r="L890" s="86">
        <f>+D890-G890</f>
        <v>-129.59994035785348</v>
      </c>
      <c r="M890" s="94">
        <f>+D890-I890-J890-K890-L890</f>
        <v>-21599.990059642147</v>
      </c>
      <c r="N890" s="1"/>
      <c r="O890" s="1" t="s">
        <v>2012</v>
      </c>
      <c r="P890" s="19"/>
      <c r="Q890" s="19"/>
    </row>
    <row r="891" spans="1:17" s="67" customFormat="1" hidden="1">
      <c r="A891" s="67" t="s">
        <v>1039</v>
      </c>
      <c r="B891" s="67" t="s">
        <v>51</v>
      </c>
      <c r="C891" s="75">
        <v>129568085939</v>
      </c>
      <c r="D891" s="70">
        <v>-518.33000000000004</v>
      </c>
      <c r="E891" s="3">
        <v>13961803.18</v>
      </c>
      <c r="F891" s="67" t="s">
        <v>3062</v>
      </c>
      <c r="G891" s="69">
        <f>+D891/0.006</f>
        <v>-86388.333333333343</v>
      </c>
      <c r="H891" s="69"/>
      <c r="I891" s="69">
        <f>-IFERROR(VLOOKUP(C891,SIRCUPA!$A$21:$H$221,8,0),0)</f>
        <v>0</v>
      </c>
      <c r="J891" s="69">
        <f>-IFERROR(VLOOKUP(C891,SIRTAC!$A$16:$H$1458,8,0),0)</f>
        <v>0</v>
      </c>
      <c r="K891" s="69">
        <f>-IFERROR(VLOOKUP(C891,Gastos!$A$9:$J$1451,10,0),0)</f>
        <v>0</v>
      </c>
      <c r="L891" s="69"/>
      <c r="M891" s="96">
        <f>+D891</f>
        <v>-518.33000000000004</v>
      </c>
      <c r="P891" s="19"/>
      <c r="Q891" s="19"/>
    </row>
    <row r="892" spans="1:17" s="67" customFormat="1" hidden="1">
      <c r="A892" s="67" t="s">
        <v>1039</v>
      </c>
      <c r="B892" s="67" t="s">
        <v>55</v>
      </c>
      <c r="C892" s="75">
        <v>129568085939</v>
      </c>
      <c r="D892" s="68">
        <v>-86388.25</v>
      </c>
      <c r="E892" s="3">
        <v>13962321.51</v>
      </c>
      <c r="F892" s="67" t="s">
        <v>3066</v>
      </c>
      <c r="G892" s="69">
        <f>+D892/1.006</f>
        <v>-85873.01192842942</v>
      </c>
      <c r="H892" s="69">
        <f>+D892-G892</f>
        <v>-515.23807157058036</v>
      </c>
      <c r="I892" s="69">
        <f>-IFERROR(VLOOKUP(C892,SIRCUPA!$A$21:$H$221,8,0),0)</f>
        <v>0</v>
      </c>
      <c r="J892" s="69">
        <f>-IFERROR(VLOOKUP(C892,SIRTAC!$A$16:$H$1458,8,0),0)</f>
        <v>0</v>
      </c>
      <c r="K892" s="69">
        <f>-IFERROR(VLOOKUP(C892,Gastos!$A$9:$J$1451,10,0),0)</f>
        <v>0</v>
      </c>
      <c r="L892" s="69">
        <f>-IFERROR(VLOOKUP(C892,IDC!$A$20:$H$1763,8,0),0)</f>
        <v>-518.33000000000004</v>
      </c>
      <c r="M892" s="96">
        <f>+D892</f>
        <v>-86388.25</v>
      </c>
      <c r="P892" s="19"/>
      <c r="Q892" s="19"/>
    </row>
    <row r="893" spans="1:17" hidden="1">
      <c r="A893" s="1" t="s">
        <v>1013</v>
      </c>
      <c r="B893" s="1" t="s">
        <v>15</v>
      </c>
      <c r="C893" s="71">
        <v>129500898477</v>
      </c>
      <c r="D893" s="3">
        <v>9258.06</v>
      </c>
      <c r="E893" s="3">
        <v>13725762.609999999</v>
      </c>
      <c r="F893" s="1" t="s">
        <v>3065</v>
      </c>
      <c r="G893"/>
      <c r="H893"/>
      <c r="I893" s="19">
        <f>-IFERROR(VLOOKUP(C893,SIRCUPA!$A$21:$H$221,8,0),0)</f>
        <v>0</v>
      </c>
      <c r="J893" s="86">
        <f>-IFERROR(VLOOKUP(C893,SIRTAC!$A$16:$H$1458,8,0),0)</f>
        <v>-98</v>
      </c>
      <c r="K893" s="86">
        <f>-IFERROR(VLOOKUP(C893,Gastos!$A$9:$J$1451,10,0),0)</f>
        <v>-385.14</v>
      </c>
      <c r="L893" s="86">
        <f>-IFERROR(VLOOKUP(C893,IDC!$A$20:$H$1763,8,0),0)</f>
        <v>-58.8</v>
      </c>
      <c r="M893" s="95">
        <f t="shared" ref="M893:M920" si="26">+D893-I893-J893-K893-L893</f>
        <v>9799.9999999999982</v>
      </c>
      <c r="O893" s="1"/>
    </row>
    <row r="894" spans="1:17" hidden="1">
      <c r="A894" s="1" t="s">
        <v>1013</v>
      </c>
      <c r="B894" s="1" t="s">
        <v>15</v>
      </c>
      <c r="C894" s="71">
        <v>129509437895</v>
      </c>
      <c r="D894" s="3">
        <v>4774.07</v>
      </c>
      <c r="E894" s="3">
        <v>13730536.68</v>
      </c>
      <c r="F894" s="1" t="s">
        <v>3065</v>
      </c>
      <c r="G894"/>
      <c r="H894"/>
      <c r="I894" s="19">
        <f>-IFERROR(VLOOKUP(C894,SIRCUPA!$A$21:$H$221,8,0),0)</f>
        <v>0</v>
      </c>
      <c r="J894" s="86">
        <f>-IFERROR(VLOOKUP(C894,SIRTAC!$A$16:$H$1458,8,0),0)</f>
        <v>-49</v>
      </c>
      <c r="K894" s="86">
        <f>-IFERROR(VLOOKUP(C894,Gastos!$A$9:$J$1451,10,0),0)</f>
        <v>-47.53</v>
      </c>
      <c r="L894" s="86">
        <f>-IFERROR(VLOOKUP(C894,IDC!$A$20:$H$1763,8,0),0)</f>
        <v>-29.4</v>
      </c>
      <c r="M894" s="95">
        <f t="shared" si="26"/>
        <v>4899.9999999999991</v>
      </c>
      <c r="O894" s="1"/>
    </row>
    <row r="895" spans="1:17" hidden="1">
      <c r="A895" s="1" t="s">
        <v>1013</v>
      </c>
      <c r="B895" s="1" t="s">
        <v>15</v>
      </c>
      <c r="C895" s="71">
        <v>130086288874</v>
      </c>
      <c r="D895" s="3">
        <v>37413.120000000003</v>
      </c>
      <c r="E895" s="3">
        <v>13767949.800000001</v>
      </c>
      <c r="F895" s="1" t="s">
        <v>3065</v>
      </c>
      <c r="G895"/>
      <c r="H895"/>
      <c r="I895" s="19">
        <f>-IFERROR(VLOOKUP(C895,SIRCUPA!$A$21:$H$221,8,0),0)</f>
        <v>0</v>
      </c>
      <c r="J895" s="86">
        <f>-IFERROR(VLOOKUP(C895,SIRTAC!$A$16:$H$1458,8,0),0)</f>
        <v>-384</v>
      </c>
      <c r="K895" s="86">
        <f>-IFERROR(VLOOKUP(C895,Gastos!$A$9:$J$1451,10,0),0)</f>
        <v>-372.48</v>
      </c>
      <c r="L895" s="86">
        <f>-IFERROR(VLOOKUP(C895,IDC!$A$20:$H$1763,8,0),0)</f>
        <v>-230.4</v>
      </c>
      <c r="M895" s="95">
        <f t="shared" si="26"/>
        <v>38400.000000000007</v>
      </c>
      <c r="O895" s="1"/>
    </row>
    <row r="896" spans="1:17" hidden="1">
      <c r="A896" s="1" t="s">
        <v>1013</v>
      </c>
      <c r="B896" s="1" t="s">
        <v>15</v>
      </c>
      <c r="C896" s="71">
        <v>130091108900</v>
      </c>
      <c r="D896" s="3">
        <v>4534.5600000000004</v>
      </c>
      <c r="E896" s="3">
        <v>13772484.359999999</v>
      </c>
      <c r="F896" s="1" t="s">
        <v>3065</v>
      </c>
      <c r="G896"/>
      <c r="H896"/>
      <c r="I896" s="19">
        <f>-IFERROR(VLOOKUP(C896,SIRCUPA!$A$21:$H$221,8,0),0)</f>
        <v>0</v>
      </c>
      <c r="J896" s="86">
        <f>-IFERROR(VLOOKUP(C896,SIRTAC!$A$16:$H$1458,8,0),0)</f>
        <v>-48</v>
      </c>
      <c r="K896" s="86">
        <f>-IFERROR(VLOOKUP(C896,Gastos!$A$9:$J$1451,10,0),0)</f>
        <v>-188.64</v>
      </c>
      <c r="L896" s="86">
        <f>-IFERROR(VLOOKUP(C896,IDC!$A$20:$H$1763,8,0),0)</f>
        <v>-28.8</v>
      </c>
      <c r="M896" s="95">
        <f t="shared" si="26"/>
        <v>4800.0000000000009</v>
      </c>
      <c r="O896" s="1"/>
    </row>
    <row r="897" spans="1:15" hidden="1">
      <c r="A897" s="1" t="s">
        <v>1013</v>
      </c>
      <c r="B897" s="1" t="s">
        <v>15</v>
      </c>
      <c r="C897" s="71">
        <v>129516329095</v>
      </c>
      <c r="D897" s="3">
        <v>9353.2800000000007</v>
      </c>
      <c r="E897" s="3">
        <v>13781837.640000001</v>
      </c>
      <c r="F897" s="1" t="s">
        <v>3065</v>
      </c>
      <c r="G897"/>
      <c r="H897"/>
      <c r="I897" s="19">
        <f>-IFERROR(VLOOKUP(C897,SIRCUPA!$A$21:$H$221,8,0),0)</f>
        <v>0</v>
      </c>
      <c r="J897" s="86">
        <f>-IFERROR(VLOOKUP(C897,SIRTAC!$A$16:$H$1458,8,0),0)</f>
        <v>-96</v>
      </c>
      <c r="K897" s="86">
        <f>-IFERROR(VLOOKUP(C897,Gastos!$A$9:$J$1451,10,0),0)</f>
        <v>-93.12</v>
      </c>
      <c r="L897" s="86">
        <f>-IFERROR(VLOOKUP(C897,IDC!$A$20:$H$1763,8,0),0)</f>
        <v>-57.6</v>
      </c>
      <c r="M897" s="95">
        <f t="shared" si="26"/>
        <v>9600.0000000000018</v>
      </c>
      <c r="O897" s="1"/>
    </row>
    <row r="898" spans="1:15" hidden="1">
      <c r="A898" s="1" t="s">
        <v>1013</v>
      </c>
      <c r="B898" s="1" t="s">
        <v>15</v>
      </c>
      <c r="C898" s="71">
        <v>129518900805</v>
      </c>
      <c r="D898" s="3">
        <v>9353.2800000000007</v>
      </c>
      <c r="E898" s="3">
        <v>13791190.92</v>
      </c>
      <c r="F898" s="1" t="s">
        <v>3065</v>
      </c>
      <c r="G898"/>
      <c r="H898"/>
      <c r="I898" s="19">
        <f>-IFERROR(VLOOKUP(C898,SIRCUPA!$A$21:$H$221,8,0),0)</f>
        <v>0</v>
      </c>
      <c r="J898" s="86">
        <f>-IFERROR(VLOOKUP(C898,SIRTAC!$A$16:$H$1458,8,0),0)</f>
        <v>-96</v>
      </c>
      <c r="K898" s="86">
        <f>-IFERROR(VLOOKUP(C898,Gastos!$A$9:$J$1451,10,0),0)</f>
        <v>-93.12</v>
      </c>
      <c r="L898" s="86">
        <f>-IFERROR(VLOOKUP(C898,IDC!$A$20:$H$1763,8,0),0)</f>
        <v>-57.6</v>
      </c>
      <c r="M898" s="95">
        <f t="shared" si="26"/>
        <v>9600.0000000000018</v>
      </c>
      <c r="O898" s="1"/>
    </row>
    <row r="899" spans="1:15" hidden="1">
      <c r="A899" s="1" t="s">
        <v>1013</v>
      </c>
      <c r="B899" s="1" t="s">
        <v>15</v>
      </c>
      <c r="C899" s="71">
        <v>129520478821</v>
      </c>
      <c r="D899" s="3">
        <v>9353.2800000000007</v>
      </c>
      <c r="E899" s="3">
        <v>13800544.199999999</v>
      </c>
      <c r="F899" s="1" t="s">
        <v>3065</v>
      </c>
      <c r="G899"/>
      <c r="H899"/>
      <c r="I899" s="19">
        <f>-IFERROR(VLOOKUP(C899,SIRCUPA!$A$21:$H$221,8,0),0)</f>
        <v>0</v>
      </c>
      <c r="J899" s="86">
        <f>-IFERROR(VLOOKUP(C899,SIRTAC!$A$16:$H$1458,8,0),0)</f>
        <v>-96</v>
      </c>
      <c r="K899" s="86">
        <f>-IFERROR(VLOOKUP(C899,Gastos!$A$9:$J$1451,10,0),0)</f>
        <v>-93.12</v>
      </c>
      <c r="L899" s="86">
        <f>-IFERROR(VLOOKUP(C899,IDC!$A$20:$H$1763,8,0),0)</f>
        <v>-57.6</v>
      </c>
      <c r="M899" s="95">
        <f t="shared" si="26"/>
        <v>9600.0000000000018</v>
      </c>
      <c r="O899" s="1"/>
    </row>
    <row r="900" spans="1:15" hidden="1">
      <c r="A900" s="1" t="s">
        <v>1013</v>
      </c>
      <c r="B900" s="1" t="s">
        <v>15</v>
      </c>
      <c r="C900" s="71">
        <v>130098735448</v>
      </c>
      <c r="D900" s="3">
        <v>19270.939999999999</v>
      </c>
      <c r="E900" s="3">
        <v>13819815.140000001</v>
      </c>
      <c r="F900" s="1" t="s">
        <v>3065</v>
      </c>
      <c r="G900"/>
      <c r="H900"/>
      <c r="I900" s="19">
        <f>-IFERROR(VLOOKUP(C900,SIRCUPA!$A$21:$H$221,8,0),0)</f>
        <v>0</v>
      </c>
      <c r="J900" s="86">
        <f>-IFERROR(VLOOKUP(C900,SIRTAC!$A$16:$H$1458,8,0),0)</f>
        <v>-203.99</v>
      </c>
      <c r="K900" s="86">
        <f>-IFERROR(VLOOKUP(C900,Gastos!$A$9:$J$1451,10,0),0)</f>
        <v>-801.68</v>
      </c>
      <c r="L900" s="86">
        <f>-IFERROR(VLOOKUP(C900,IDC!$A$20:$H$1763,8,0),0)</f>
        <v>-122.39</v>
      </c>
      <c r="M900" s="95">
        <f t="shared" si="26"/>
        <v>20399</v>
      </c>
      <c r="O900" s="1"/>
    </row>
    <row r="901" spans="1:15" hidden="1">
      <c r="A901" s="1" t="s">
        <v>1013</v>
      </c>
      <c r="B901" s="1" t="s">
        <v>15</v>
      </c>
      <c r="C901" s="71">
        <v>129524072583</v>
      </c>
      <c r="D901" s="3">
        <v>11690.63</v>
      </c>
      <c r="E901" s="3">
        <v>13831505.77</v>
      </c>
      <c r="F901" s="1" t="s">
        <v>3065</v>
      </c>
      <c r="G901"/>
      <c r="H901"/>
      <c r="I901" s="19">
        <f>-IFERROR(VLOOKUP(C901,SIRCUPA!$A$21:$H$221,8,0),0)</f>
        <v>0</v>
      </c>
      <c r="J901" s="86">
        <f>-IFERROR(VLOOKUP(C901,SIRTAC!$A$16:$H$1458,8,0),0)</f>
        <v>-119.99</v>
      </c>
      <c r="K901" s="86">
        <f>-IFERROR(VLOOKUP(C901,Gastos!$A$9:$J$1451,10,0),0)</f>
        <v>-116.39</v>
      </c>
      <c r="L901" s="86">
        <f>-IFERROR(VLOOKUP(C901,IDC!$A$20:$H$1763,8,0),0)</f>
        <v>-71.989999999999995</v>
      </c>
      <c r="M901" s="95">
        <f t="shared" si="26"/>
        <v>11998.999999999998</v>
      </c>
      <c r="O901" s="1"/>
    </row>
    <row r="902" spans="1:15" hidden="1">
      <c r="A902" s="1" t="s">
        <v>1013</v>
      </c>
      <c r="B902" s="1" t="s">
        <v>15</v>
      </c>
      <c r="C902" s="71">
        <v>129524869951</v>
      </c>
      <c r="D902" s="3">
        <v>46762.5</v>
      </c>
      <c r="E902" s="3">
        <v>13878268.27</v>
      </c>
      <c r="F902" s="1" t="s">
        <v>3065</v>
      </c>
      <c r="G902"/>
      <c r="H902"/>
      <c r="I902" s="19">
        <f>-IFERROR(VLOOKUP(C902,SIRCUPA!$A$21:$H$221,8,0),0)</f>
        <v>0</v>
      </c>
      <c r="J902" s="86">
        <f>-IFERROR(VLOOKUP(C902,SIRTAC!$A$16:$H$1458,8,0),0)</f>
        <v>-479.96</v>
      </c>
      <c r="K902" s="86">
        <f>-IFERROR(VLOOKUP(C902,Gastos!$A$9:$J$1451,10,0),0)</f>
        <v>-465.56</v>
      </c>
      <c r="L902" s="86">
        <f>-IFERROR(VLOOKUP(C902,IDC!$A$20:$H$1763,8,0),0)</f>
        <v>-287.98</v>
      </c>
      <c r="M902" s="95">
        <f t="shared" si="26"/>
        <v>47996</v>
      </c>
      <c r="O902" s="1"/>
    </row>
    <row r="903" spans="1:15" hidden="1">
      <c r="A903" s="1" t="s">
        <v>1013</v>
      </c>
      <c r="B903" s="1" t="s">
        <v>1026</v>
      </c>
      <c r="C903" s="71">
        <v>129524992737</v>
      </c>
      <c r="D903" s="3">
        <v>2348.62</v>
      </c>
      <c r="E903" s="3">
        <v>13880616.890000001</v>
      </c>
      <c r="F903" s="1" t="s">
        <v>3065</v>
      </c>
      <c r="G903"/>
      <c r="H903"/>
      <c r="I903" s="19">
        <f>-IFERROR(VLOOKUP(C903,SIRCUPA!$A$21:$H$221,8,0),0)</f>
        <v>-35.99</v>
      </c>
      <c r="J903" s="86">
        <f>-IFERROR(VLOOKUP(C903,SIRTAC!$A$16:$H$1458,8,0),0)</f>
        <v>0</v>
      </c>
      <c r="K903" s="86">
        <f>-IFERROR(VLOOKUP(C903,Gastos!$A$9:$J$1451,10,0),0)</f>
        <v>0</v>
      </c>
      <c r="L903" s="86">
        <f>-IFERROR(VLOOKUP(C903,IDC!$A$20:$H$1763,8,0),0)</f>
        <v>-14.39</v>
      </c>
      <c r="M903" s="95">
        <f t="shared" si="26"/>
        <v>2398.9999999999995</v>
      </c>
      <c r="O903" s="1"/>
    </row>
    <row r="904" spans="1:15" hidden="1">
      <c r="A904" s="1" t="s">
        <v>1013</v>
      </c>
      <c r="B904" s="1" t="s">
        <v>15</v>
      </c>
      <c r="C904" s="71">
        <v>130101335936</v>
      </c>
      <c r="D904" s="3">
        <v>20609.330000000002</v>
      </c>
      <c r="E904" s="3">
        <v>13901226.220000001</v>
      </c>
      <c r="F904" s="1" t="s">
        <v>3065</v>
      </c>
      <c r="G904"/>
      <c r="H904"/>
      <c r="I904" s="19">
        <f>-IFERROR(VLOOKUP(C904,SIRCUPA!$A$21:$H$221,8,0),0)</f>
        <v>0</v>
      </c>
      <c r="J904" s="86">
        <f>-IFERROR(VLOOKUP(C904,SIRTAC!$A$16:$H$1458,8,0),0)</f>
        <v>-227</v>
      </c>
      <c r="K904" s="86">
        <f>-IFERROR(VLOOKUP(C904,Gastos!$A$9:$J$1451,10,0),0)</f>
        <v>-1727.47</v>
      </c>
      <c r="L904" s="86">
        <f>-IFERROR(VLOOKUP(C904,IDC!$A$20:$H$1763,8,0),0)</f>
        <v>-136.19999999999999</v>
      </c>
      <c r="M904" s="95">
        <f t="shared" si="26"/>
        <v>22700.000000000004</v>
      </c>
      <c r="O904" s="1"/>
    </row>
    <row r="905" spans="1:15" hidden="1">
      <c r="A905" s="1" t="s">
        <v>1013</v>
      </c>
      <c r="B905" s="1" t="s">
        <v>15</v>
      </c>
      <c r="C905" s="71">
        <v>130101623544</v>
      </c>
      <c r="D905" s="3">
        <v>27690.95</v>
      </c>
      <c r="E905" s="3">
        <v>13928917.17</v>
      </c>
      <c r="F905" s="1" t="s">
        <v>3065</v>
      </c>
      <c r="G905"/>
      <c r="H905"/>
      <c r="I905" s="19">
        <f>-IFERROR(VLOOKUP(C905,SIRCUPA!$A$21:$H$221,8,0),0)</f>
        <v>0</v>
      </c>
      <c r="J905" s="86">
        <f>-IFERROR(VLOOKUP(C905,SIRTAC!$A$16:$H$1458,8,0),0)</f>
        <v>-305</v>
      </c>
      <c r="K905" s="86">
        <f>-IFERROR(VLOOKUP(C905,Gastos!$A$9:$J$1451,10,0),0)</f>
        <v>-2321.0500000000002</v>
      </c>
      <c r="L905" s="86">
        <f>-IFERROR(VLOOKUP(C905,IDC!$A$20:$H$1763,8,0),0)</f>
        <v>-183</v>
      </c>
      <c r="M905" s="95">
        <f t="shared" si="26"/>
        <v>30500</v>
      </c>
      <c r="O905" s="1"/>
    </row>
    <row r="906" spans="1:15" hidden="1">
      <c r="A906" s="1" t="s">
        <v>1013</v>
      </c>
      <c r="B906" s="1" t="s">
        <v>15</v>
      </c>
      <c r="C906" s="71">
        <v>129527828423</v>
      </c>
      <c r="D906" s="3">
        <v>41611.1</v>
      </c>
      <c r="E906" s="3">
        <v>13970528.27</v>
      </c>
      <c r="F906" s="1" t="s">
        <v>3065</v>
      </c>
      <c r="G906"/>
      <c r="H906"/>
      <c r="I906" s="19">
        <f>-IFERROR(VLOOKUP(C906,SIRCUPA!$A$21:$H$221,8,0),0)</f>
        <v>0</v>
      </c>
      <c r="J906" s="86">
        <f>-IFERROR(VLOOKUP(C906,SIRTAC!$A$16:$H$1458,8,0),0)</f>
        <v>-430</v>
      </c>
      <c r="K906" s="86">
        <f>-IFERROR(VLOOKUP(C906,Gastos!$A$9:$J$1451,10,0),0)</f>
        <v>-700.9</v>
      </c>
      <c r="L906" s="86">
        <f>-IFERROR(VLOOKUP(C906,IDC!$A$20:$H$1763,8,0),0)</f>
        <v>-258</v>
      </c>
      <c r="M906" s="95">
        <f t="shared" si="26"/>
        <v>43000</v>
      </c>
      <c r="O906" s="1"/>
    </row>
    <row r="907" spans="1:15" hidden="1">
      <c r="A907" s="1" t="s">
        <v>1013</v>
      </c>
      <c r="B907" s="1" t="s">
        <v>15</v>
      </c>
      <c r="C907" s="71">
        <v>130104043986</v>
      </c>
      <c r="D907" s="3">
        <v>15115.2</v>
      </c>
      <c r="E907" s="3">
        <v>13985643.470000001</v>
      </c>
      <c r="F907" s="1" t="s">
        <v>3065</v>
      </c>
      <c r="G907"/>
      <c r="H907"/>
      <c r="I907" s="19">
        <f>-IFERROR(VLOOKUP(C907,SIRCUPA!$A$21:$H$221,8,0),0)</f>
        <v>0</v>
      </c>
      <c r="J907" s="86">
        <f>-IFERROR(VLOOKUP(C907,SIRTAC!$A$16:$H$1458,8,0),0)</f>
        <v>-160</v>
      </c>
      <c r="K907" s="86">
        <f>-IFERROR(VLOOKUP(C907,Gastos!$A$9:$J$1451,10,0),0)</f>
        <v>-628.79999999999995</v>
      </c>
      <c r="L907" s="86">
        <f>-IFERROR(VLOOKUP(C907,IDC!$A$20:$H$1763,8,0),0)</f>
        <v>-96</v>
      </c>
      <c r="M907" s="95">
        <f t="shared" si="26"/>
        <v>16000</v>
      </c>
      <c r="O907" s="1"/>
    </row>
    <row r="908" spans="1:15" hidden="1">
      <c r="A908" s="1" t="s">
        <v>1013</v>
      </c>
      <c r="B908" s="1" t="s">
        <v>15</v>
      </c>
      <c r="C908" s="71">
        <v>129528484869</v>
      </c>
      <c r="D908" s="3">
        <v>26013.81</v>
      </c>
      <c r="E908" s="3">
        <v>14011657.279999999</v>
      </c>
      <c r="F908" s="1" t="s">
        <v>3065</v>
      </c>
      <c r="G908"/>
      <c r="H908"/>
      <c r="I908" s="19">
        <f>-IFERROR(VLOOKUP(C908,SIRCUPA!$A$21:$H$221,8,0),0)</f>
        <v>0</v>
      </c>
      <c r="J908" s="86">
        <f>-IFERROR(VLOOKUP(C908,SIRTAC!$A$16:$H$1458,8,0),0)</f>
        <v>-267</v>
      </c>
      <c r="K908" s="86">
        <f>-IFERROR(VLOOKUP(C908,Gastos!$A$9:$J$1451,10,0),0)</f>
        <v>-258.99</v>
      </c>
      <c r="L908" s="86">
        <f>-IFERROR(VLOOKUP(C908,IDC!$A$20:$H$1763,8,0),0)</f>
        <v>-160.19999999999999</v>
      </c>
      <c r="M908" s="95">
        <f t="shared" si="26"/>
        <v>26700.000000000004</v>
      </c>
      <c r="O908" s="1"/>
    </row>
    <row r="909" spans="1:15" hidden="1">
      <c r="A909" s="1" t="s">
        <v>1013</v>
      </c>
      <c r="B909" s="1" t="s">
        <v>15</v>
      </c>
      <c r="C909" s="71">
        <v>130104586288</v>
      </c>
      <c r="D909" s="3">
        <v>65567.47</v>
      </c>
      <c r="E909" s="3">
        <v>14077224.75</v>
      </c>
      <c r="F909" s="1" t="s">
        <v>3065</v>
      </c>
      <c r="G909"/>
      <c r="H909"/>
      <c r="I909" s="19">
        <f>-IFERROR(VLOOKUP(C909,SIRCUPA!$A$21:$H$221,8,0),0)</f>
        <v>0</v>
      </c>
      <c r="J909" s="86">
        <f>-IFERROR(VLOOKUP(C909,SIRTAC!$A$16:$H$1458,8,0),0)</f>
        <v>-672.97</v>
      </c>
      <c r="K909" s="86">
        <f>-IFERROR(VLOOKUP(C909,Gastos!$A$9:$J$1451,10,0),0)</f>
        <v>-652.78</v>
      </c>
      <c r="L909" s="86">
        <f>-IFERROR(VLOOKUP(C909,IDC!$A$20:$H$1763,8,0),0)</f>
        <v>-403.78</v>
      </c>
      <c r="M909" s="95">
        <f t="shared" si="26"/>
        <v>67297</v>
      </c>
      <c r="O909" s="1"/>
    </row>
    <row r="910" spans="1:15" hidden="1">
      <c r="A910" s="1" t="s">
        <v>1013</v>
      </c>
      <c r="B910" s="1" t="s">
        <v>1034</v>
      </c>
      <c r="C910" s="71">
        <v>129528646145</v>
      </c>
      <c r="D910" s="3">
        <v>3293.36</v>
      </c>
      <c r="E910" s="3">
        <v>14080518.109999999</v>
      </c>
      <c r="F910" s="1" t="s">
        <v>3065</v>
      </c>
      <c r="G910"/>
      <c r="H910"/>
      <c r="I910" s="19">
        <f>-IFERROR(VLOOKUP(C910,SIRCUPA!$A$21:$H$221,8,0),0)</f>
        <v>-50.46</v>
      </c>
      <c r="J910" s="86">
        <f>-IFERROR(VLOOKUP(C910,SIRTAC!$A$16:$H$1458,8,0),0)</f>
        <v>0</v>
      </c>
      <c r="K910" s="86">
        <f>-IFERROR(VLOOKUP(C910,Gastos!$A$9:$J$1451,10,0),0)</f>
        <v>0</v>
      </c>
      <c r="L910" s="86">
        <f>-IFERROR(VLOOKUP(C910,IDC!$A$20:$H$1763,8,0),0)</f>
        <v>-20.18</v>
      </c>
      <c r="M910" s="95">
        <f t="shared" si="26"/>
        <v>3364</v>
      </c>
      <c r="O910" s="1"/>
    </row>
    <row r="911" spans="1:15" hidden="1">
      <c r="A911" s="1" t="s">
        <v>1013</v>
      </c>
      <c r="B911" s="1" t="s">
        <v>15</v>
      </c>
      <c r="C911" s="71">
        <v>130104527794</v>
      </c>
      <c r="D911" s="3">
        <v>26987.14</v>
      </c>
      <c r="E911" s="3">
        <v>14107505.25</v>
      </c>
      <c r="F911" s="1" t="s">
        <v>3065</v>
      </c>
      <c r="G911"/>
      <c r="H911"/>
      <c r="I911" s="19">
        <f>-IFERROR(VLOOKUP(C911,SIRCUPA!$A$21:$H$221,8,0),0)</f>
        <v>0</v>
      </c>
      <c r="J911" s="86">
        <f>-IFERROR(VLOOKUP(C911,SIRTAC!$A$16:$H$1458,8,0),0)</f>
        <v>-276.99</v>
      </c>
      <c r="K911" s="86">
        <f>-IFERROR(VLOOKUP(C911,Gastos!$A$9:$J$1451,10,0),0)</f>
        <v>-268.68</v>
      </c>
      <c r="L911" s="86">
        <f>-IFERROR(VLOOKUP(C911,IDC!$A$20:$H$1763,8,0),0)</f>
        <v>-166.19</v>
      </c>
      <c r="M911" s="95">
        <f t="shared" si="26"/>
        <v>27699</v>
      </c>
      <c r="O911" s="1"/>
    </row>
    <row r="912" spans="1:15" hidden="1">
      <c r="A912" s="1" t="s">
        <v>1013</v>
      </c>
      <c r="B912" s="1" t="s">
        <v>1037</v>
      </c>
      <c r="C912" s="71">
        <v>130104581222</v>
      </c>
      <c r="D912" s="3">
        <v>2710.85</v>
      </c>
      <c r="E912" s="3">
        <v>14110216.1</v>
      </c>
      <c r="F912" s="1" t="s">
        <v>3065</v>
      </c>
      <c r="G912"/>
      <c r="H912"/>
      <c r="I912" s="19">
        <f>-IFERROR(VLOOKUP(C912,SIRCUPA!$A$21:$H$221,8,0),0)</f>
        <v>-41.54</v>
      </c>
      <c r="J912" s="86">
        <f>-IFERROR(VLOOKUP(C912,SIRTAC!$A$16:$H$1458,8,0),0)</f>
        <v>0</v>
      </c>
      <c r="K912" s="86">
        <f>-IFERROR(VLOOKUP(C912,Gastos!$A$9:$J$1451,10,0),0)</f>
        <v>0</v>
      </c>
      <c r="L912" s="86">
        <f>-IFERROR(VLOOKUP(C912,IDC!$A$20:$H$1763,8,0),0)</f>
        <v>-16.61</v>
      </c>
      <c r="M912" s="95">
        <f t="shared" si="26"/>
        <v>2769</v>
      </c>
      <c r="O912" s="1"/>
    </row>
    <row r="913" spans="1:17" hidden="1">
      <c r="A913" s="1" t="s">
        <v>1039</v>
      </c>
      <c r="B913" s="1" t="s">
        <v>15</v>
      </c>
      <c r="C913" s="71">
        <v>130106124388</v>
      </c>
      <c r="D913" s="3">
        <v>18516.12</v>
      </c>
      <c r="E913" s="3">
        <v>14128732.220000001</v>
      </c>
      <c r="F913" s="1" t="s">
        <v>3065</v>
      </c>
      <c r="G913"/>
      <c r="H913"/>
      <c r="I913" s="19">
        <f>-IFERROR(VLOOKUP(C913,SIRCUPA!$A$21:$H$221,8,0),0)</f>
        <v>0</v>
      </c>
      <c r="J913" s="86">
        <f>-IFERROR(VLOOKUP(C913,SIRTAC!$A$16:$H$1458,8,0),0)</f>
        <v>-196</v>
      </c>
      <c r="K913" s="86">
        <f>-IFERROR(VLOOKUP(C913,Gastos!$A$9:$J$1451,10,0),0)</f>
        <v>-770.28</v>
      </c>
      <c r="L913" s="86">
        <f>-IFERROR(VLOOKUP(C913,IDC!$A$20:$H$1763,8,0),0)</f>
        <v>-117.6</v>
      </c>
      <c r="M913" s="95">
        <f t="shared" si="26"/>
        <v>19599.999999999996</v>
      </c>
      <c r="O913" s="1"/>
    </row>
    <row r="914" spans="1:17" hidden="1">
      <c r="A914" s="1" t="s">
        <v>1039</v>
      </c>
      <c r="B914" s="1" t="s">
        <v>15</v>
      </c>
      <c r="C914" s="71">
        <v>130106306538</v>
      </c>
      <c r="D914" s="3">
        <v>23381.25</v>
      </c>
      <c r="E914" s="3">
        <v>14152113.470000001</v>
      </c>
      <c r="F914" s="1" t="s">
        <v>3065</v>
      </c>
      <c r="G914"/>
      <c r="H914"/>
      <c r="I914" s="19">
        <f>-IFERROR(VLOOKUP(C914,SIRCUPA!$A$21:$H$221,8,0),0)</f>
        <v>0</v>
      </c>
      <c r="J914" s="86">
        <f>-IFERROR(VLOOKUP(C914,SIRTAC!$A$16:$H$1458,8,0),0)</f>
        <v>-239.98</v>
      </c>
      <c r="K914" s="86">
        <f>-IFERROR(VLOOKUP(C914,Gastos!$A$9:$J$1451,10,0),0)</f>
        <v>-232.78</v>
      </c>
      <c r="L914" s="86">
        <f>-IFERROR(VLOOKUP(C914,IDC!$A$20:$H$1763,8,0),0)</f>
        <v>-143.99</v>
      </c>
      <c r="M914" s="95">
        <f t="shared" si="26"/>
        <v>23998</v>
      </c>
      <c r="O914" s="1"/>
    </row>
    <row r="915" spans="1:17" hidden="1">
      <c r="A915" s="1" t="s">
        <v>1039</v>
      </c>
      <c r="B915" s="1" t="s">
        <v>15</v>
      </c>
      <c r="C915" s="71">
        <v>130106413210</v>
      </c>
      <c r="D915" s="3">
        <v>23381.25</v>
      </c>
      <c r="E915" s="3">
        <v>14175494.720000001</v>
      </c>
      <c r="F915" s="1" t="s">
        <v>3065</v>
      </c>
      <c r="G915"/>
      <c r="H915"/>
      <c r="I915" s="19">
        <f>-IFERROR(VLOOKUP(C915,SIRCUPA!$A$21:$H$221,8,0),0)</f>
        <v>0</v>
      </c>
      <c r="J915" s="86">
        <f>-IFERROR(VLOOKUP(C915,SIRTAC!$A$16:$H$1458,8,0),0)</f>
        <v>-239.98</v>
      </c>
      <c r="K915" s="86">
        <f>-IFERROR(VLOOKUP(C915,Gastos!$A$9:$J$1451,10,0),0)</f>
        <v>-232.78</v>
      </c>
      <c r="L915" s="86">
        <f>-IFERROR(VLOOKUP(C915,IDC!$A$20:$H$1763,8,0),0)</f>
        <v>-143.99</v>
      </c>
      <c r="M915" s="95">
        <f t="shared" si="26"/>
        <v>23998</v>
      </c>
      <c r="O915" s="1"/>
    </row>
    <row r="916" spans="1:17" hidden="1">
      <c r="A916" s="1" t="s">
        <v>1039</v>
      </c>
      <c r="B916" s="1" t="s">
        <v>1043</v>
      </c>
      <c r="C916" s="71">
        <v>129530476693</v>
      </c>
      <c r="D916" s="3">
        <v>1173.82</v>
      </c>
      <c r="E916" s="3">
        <v>14176668.539999999</v>
      </c>
      <c r="F916" s="1" t="s">
        <v>3065</v>
      </c>
      <c r="G916"/>
      <c r="H916"/>
      <c r="I916" s="19">
        <f>-IFERROR(VLOOKUP(C916,SIRCUPA!$A$21:$H$221,8,0),0)</f>
        <v>-17.989999999999998</v>
      </c>
      <c r="J916" s="86">
        <f>-IFERROR(VLOOKUP(C916,SIRTAC!$A$16:$H$1458,8,0),0)</f>
        <v>0</v>
      </c>
      <c r="K916" s="86">
        <f>-IFERROR(VLOOKUP(C916,Gastos!$A$9:$J$1451,10,0),0)</f>
        <v>0</v>
      </c>
      <c r="L916" s="86">
        <f>-IFERROR(VLOOKUP(C916,IDC!$A$20:$H$1763,8,0),0)</f>
        <v>-7.19</v>
      </c>
      <c r="M916" s="95">
        <f t="shared" si="26"/>
        <v>1199</v>
      </c>
      <c r="O916" s="1"/>
    </row>
    <row r="917" spans="1:17" hidden="1">
      <c r="A917" s="1" t="s">
        <v>1039</v>
      </c>
      <c r="B917" s="1" t="s">
        <v>15</v>
      </c>
      <c r="C917" s="71">
        <v>130106746606</v>
      </c>
      <c r="D917" s="3">
        <v>47253.55</v>
      </c>
      <c r="E917" s="3">
        <v>14223922.09</v>
      </c>
      <c r="F917" s="1" t="s">
        <v>3065</v>
      </c>
      <c r="G917"/>
      <c r="H917"/>
      <c r="I917" s="19">
        <f>-IFERROR(VLOOKUP(C917,SIRCUPA!$A$21:$H$221,8,0),0)</f>
        <v>0</v>
      </c>
      <c r="J917" s="86">
        <f>-IFERROR(VLOOKUP(C917,SIRTAC!$A$16:$H$1458,8,0),0)</f>
        <v>-485</v>
      </c>
      <c r="K917" s="86">
        <f>-IFERROR(VLOOKUP(C917,Gastos!$A$9:$J$1451,10,0),0)</f>
        <v>-470.45</v>
      </c>
      <c r="L917" s="86">
        <f>-IFERROR(VLOOKUP(C917,IDC!$A$20:$H$1763,8,0),0)</f>
        <v>-291</v>
      </c>
      <c r="M917" s="95">
        <f t="shared" si="26"/>
        <v>48500</v>
      </c>
      <c r="O917" s="1"/>
    </row>
    <row r="918" spans="1:17" hidden="1">
      <c r="A918" s="1" t="s">
        <v>1039</v>
      </c>
      <c r="B918" s="1" t="s">
        <v>15</v>
      </c>
      <c r="C918" s="71">
        <v>129530844735</v>
      </c>
      <c r="D918" s="3">
        <v>57775.99</v>
      </c>
      <c r="E918" s="3">
        <v>14281698.08</v>
      </c>
      <c r="F918" s="1" t="s">
        <v>3065</v>
      </c>
      <c r="G918"/>
      <c r="H918"/>
      <c r="I918" s="19">
        <f>-IFERROR(VLOOKUP(C918,SIRCUPA!$A$21:$H$221,8,0),0)</f>
        <v>0</v>
      </c>
      <c r="J918" s="86">
        <f>-IFERROR(VLOOKUP(C918,SIRTAC!$A$16:$H$1458,8,0),0)</f>
        <v>-593</v>
      </c>
      <c r="K918" s="86">
        <f>-IFERROR(VLOOKUP(C918,Gastos!$A$9:$J$1451,10,0),0)</f>
        <v>-575.21</v>
      </c>
      <c r="L918" s="86">
        <f>-IFERROR(VLOOKUP(C918,IDC!$A$20:$H$1763,8,0),0)</f>
        <v>-355.8</v>
      </c>
      <c r="M918" s="95">
        <f t="shared" si="26"/>
        <v>59300</v>
      </c>
      <c r="O918" s="1"/>
    </row>
    <row r="919" spans="1:17" hidden="1">
      <c r="A919" s="1" t="s">
        <v>1039</v>
      </c>
      <c r="B919" s="1" t="s">
        <v>1047</v>
      </c>
      <c r="C919" s="71">
        <v>129530882263</v>
      </c>
      <c r="D919" s="3">
        <v>8708.2000000000007</v>
      </c>
      <c r="E919" s="3">
        <v>14290406.279999999</v>
      </c>
      <c r="F919" s="1" t="s">
        <v>3065</v>
      </c>
      <c r="G919"/>
      <c r="H919"/>
      <c r="I919" s="19">
        <f>-IFERROR(VLOOKUP(C919,SIRCUPA!$A$21:$H$221,8,0),0)</f>
        <v>-133.43</v>
      </c>
      <c r="J919" s="86">
        <f>-IFERROR(VLOOKUP(C919,SIRTAC!$A$16:$H$1458,8,0),0)</f>
        <v>0</v>
      </c>
      <c r="K919" s="86">
        <f>-IFERROR(VLOOKUP(C919,Gastos!$A$9:$J$1451,10,0),0)</f>
        <v>0</v>
      </c>
      <c r="L919" s="86">
        <f>-IFERROR(VLOOKUP(C919,IDC!$A$20:$H$1763,8,0),0)</f>
        <v>-53.37</v>
      </c>
      <c r="M919" s="95">
        <f t="shared" si="26"/>
        <v>8895.0000000000018</v>
      </c>
      <c r="O919" s="1"/>
    </row>
    <row r="920" spans="1:17" s="67" customFormat="1" hidden="1">
      <c r="A920" s="1" t="s">
        <v>1039</v>
      </c>
      <c r="B920" s="34" t="s">
        <v>53</v>
      </c>
      <c r="C920" s="73">
        <v>129600289573</v>
      </c>
      <c r="D920" s="35">
        <v>-82800.84</v>
      </c>
      <c r="E920" s="35">
        <v>10922231.869999999</v>
      </c>
      <c r="F920" s="1" t="s">
        <v>3066</v>
      </c>
      <c r="G920" s="19">
        <f>+D920/1.006</f>
        <v>-82306.99801192843</v>
      </c>
      <c r="H920" s="19">
        <f>+D920-G920</f>
        <v>-493.84198807156645</v>
      </c>
      <c r="I920" s="19">
        <f>-IFERROR(VLOOKUP(C920,SIRCUPA!$A$21:$H$221,8,0),0)</f>
        <v>0</v>
      </c>
      <c r="J920" s="86">
        <f>-IFERROR(VLOOKUP(C920,SIRTAC!$A$16:$H$1458,8,0),0)</f>
        <v>0</v>
      </c>
      <c r="K920" s="86">
        <f>-IFERROR(VLOOKUP(C920,Gastos!$A$9:$J$1451,10,0),0)</f>
        <v>0</v>
      </c>
      <c r="L920" s="86">
        <f>-IFERROR(VLOOKUP(C920,IDC!$A$20:$H$1763,8,0),0)</f>
        <v>-493.84</v>
      </c>
      <c r="M920" s="94">
        <f t="shared" si="26"/>
        <v>-82307</v>
      </c>
      <c r="N920" s="1"/>
      <c r="O920" s="34" t="s">
        <v>2018</v>
      </c>
      <c r="P920" s="19"/>
      <c r="Q920" s="19"/>
    </row>
    <row r="921" spans="1:17" s="67" customFormat="1" hidden="1">
      <c r="A921" s="1" t="s">
        <v>1039</v>
      </c>
      <c r="B921" s="34" t="s">
        <v>1061</v>
      </c>
      <c r="C921" s="73">
        <v>129600289573</v>
      </c>
      <c r="D921" s="35">
        <v>82800.84</v>
      </c>
      <c r="E921" s="35">
        <v>10436268.18</v>
      </c>
      <c r="F921" s="1" t="s">
        <v>3067</v>
      </c>
      <c r="G921" s="19">
        <f>+D921/1.006</f>
        <v>82306.99801192843</v>
      </c>
      <c r="H921" s="19">
        <f>+D921-G921</f>
        <v>493.84198807156645</v>
      </c>
      <c r="I921" s="19">
        <f>-IFERROR(VLOOKUP(C921,SIRCUPA!$A$21:$H$221,8,0),0)</f>
        <v>0</v>
      </c>
      <c r="J921" s="86">
        <f>-IFERROR(VLOOKUP(C921,SIRTAC!$A$16:$H$1458,8,0),0)</f>
        <v>0</v>
      </c>
      <c r="K921" s="86">
        <f>-IFERROR(VLOOKUP(C921,Gastos!$A$9:$J$1451,10,0),0)</f>
        <v>0</v>
      </c>
      <c r="L921" s="86">
        <v>493.84</v>
      </c>
      <c r="M921" s="94">
        <f t="shared" ref="M921:M923" si="27">+D921-I921-J921-K921-L921</f>
        <v>82307</v>
      </c>
      <c r="N921" s="1"/>
      <c r="O921" s="34" t="s">
        <v>2019</v>
      </c>
      <c r="P921" s="19"/>
      <c r="Q921" s="19"/>
    </row>
    <row r="922" spans="1:17" s="67" customFormat="1" hidden="1">
      <c r="A922" s="1" t="s">
        <v>1118</v>
      </c>
      <c r="B922" s="1" t="s">
        <v>568</v>
      </c>
      <c r="C922" s="71">
        <v>129710340317</v>
      </c>
      <c r="D922" s="3">
        <v>-667219.43999999994</v>
      </c>
      <c r="E922" s="3">
        <v>11140071.800000001</v>
      </c>
      <c r="F922" s="1" t="s">
        <v>3066</v>
      </c>
      <c r="G922" s="19">
        <f>+D922/1.006</f>
        <v>-663239.99999999988</v>
      </c>
      <c r="H922" s="19">
        <f>+D922-G922</f>
        <v>-3979.4400000000605</v>
      </c>
      <c r="I922" s="19">
        <f>-IFERROR(VLOOKUP(C922,SIRCUPA!$A$21:$H$221,8,0),0)</f>
        <v>0</v>
      </c>
      <c r="J922" s="86">
        <f>-IFERROR(VLOOKUP(C922,SIRTAC!$A$16:$H$1458,8,0),0)</f>
        <v>0</v>
      </c>
      <c r="K922" s="86">
        <f>-IFERROR(VLOOKUP(C922,Gastos!$A$9:$J$1451,10,0),0)</f>
        <v>0</v>
      </c>
      <c r="L922" s="86">
        <f>+D922-G922</f>
        <v>-3979.4400000000605</v>
      </c>
      <c r="M922" s="94">
        <f t="shared" si="27"/>
        <v>-663239.99999999988</v>
      </c>
      <c r="N922" s="1"/>
      <c r="O922" s="1"/>
      <c r="P922" s="19"/>
      <c r="Q922" s="19"/>
    </row>
    <row r="923" spans="1:17" s="67" customFormat="1" hidden="1">
      <c r="A923" s="1" t="s">
        <v>1000</v>
      </c>
      <c r="B923" s="1" t="s">
        <v>465</v>
      </c>
      <c r="C923" s="71">
        <v>129739120808</v>
      </c>
      <c r="D923" s="3">
        <v>-1247158.32</v>
      </c>
      <c r="E923" s="3">
        <v>15377823.210000001</v>
      </c>
      <c r="F923" s="1" t="s">
        <v>3066</v>
      </c>
      <c r="G923" s="19">
        <f>+D923/1.006</f>
        <v>-1239720</v>
      </c>
      <c r="H923" s="19">
        <f>+D923-G923</f>
        <v>-7438.3200000000652</v>
      </c>
      <c r="I923" s="19">
        <f>-IFERROR(VLOOKUP(C923,SIRCUPA!$A$21:$H$221,8,0),0)</f>
        <v>0</v>
      </c>
      <c r="J923" s="86">
        <f>-IFERROR(VLOOKUP(C923,SIRTAC!$A$16:$H$1458,8,0),0)</f>
        <v>0</v>
      </c>
      <c r="K923" s="86">
        <f>-IFERROR(VLOOKUP(C923,Gastos!$A$9:$J$1451,10,0),0)</f>
        <v>0</v>
      </c>
      <c r="L923" s="86">
        <f>+D923-G923</f>
        <v>-7438.3200000000652</v>
      </c>
      <c r="M923" s="94">
        <f t="shared" si="27"/>
        <v>-1239720</v>
      </c>
      <c r="N923" s="1"/>
      <c r="O923" s="1"/>
      <c r="P923" s="19"/>
      <c r="Q923" s="19"/>
    </row>
    <row r="924" spans="1:17" s="67" customFormat="1" hidden="1">
      <c r="A924" s="67" t="s">
        <v>1013</v>
      </c>
      <c r="B924" s="67" t="s">
        <v>51</v>
      </c>
      <c r="C924" s="75">
        <v>130014131238</v>
      </c>
      <c r="D924" s="68">
        <v>-1650.15</v>
      </c>
      <c r="E924" s="3">
        <v>13952799.57</v>
      </c>
      <c r="F924" s="67" t="s">
        <v>3062</v>
      </c>
      <c r="G924" s="69">
        <f>+D924/0.006</f>
        <v>-275025</v>
      </c>
      <c r="H924" s="69"/>
      <c r="I924" s="69">
        <f>-IFERROR(VLOOKUP(C924,SIRCUPA!$A$21:$H$221,8,0),0)</f>
        <v>0</v>
      </c>
      <c r="J924" s="69">
        <f>-IFERROR(VLOOKUP(C924,SIRTAC!$A$16:$H$1458,8,0),0)</f>
        <v>0</v>
      </c>
      <c r="K924" s="69">
        <f>-IFERROR(VLOOKUP(C924,Gastos!$A$9:$J$1451,10,0),0)</f>
        <v>0</v>
      </c>
      <c r="L924" s="69"/>
      <c r="M924" s="96">
        <f>+D924</f>
        <v>-1650.15</v>
      </c>
      <c r="P924" s="19"/>
      <c r="Q924" s="19"/>
    </row>
    <row r="925" spans="1:17" s="67" customFormat="1" hidden="1">
      <c r="A925" s="67" t="s">
        <v>1013</v>
      </c>
      <c r="B925" s="67" t="s">
        <v>49</v>
      </c>
      <c r="C925" s="75">
        <v>130014131238</v>
      </c>
      <c r="D925" s="68">
        <v>-275025.13</v>
      </c>
      <c r="E925" s="3">
        <v>13954449.720000001</v>
      </c>
      <c r="F925" s="67" t="s">
        <v>3066</v>
      </c>
      <c r="G925" s="69">
        <f>+D925/1.006</f>
        <v>-273384.82107355865</v>
      </c>
      <c r="H925" s="69">
        <f>+D925-G925</f>
        <v>-1640.3089264413575</v>
      </c>
      <c r="I925" s="69">
        <f>-IFERROR(VLOOKUP(C925,SIRCUPA!$A$21:$H$221,8,0),0)</f>
        <v>0</v>
      </c>
      <c r="J925" s="69">
        <f>-IFERROR(VLOOKUP(C925,SIRTAC!$A$16:$H$1458,8,0),0)</f>
        <v>0</v>
      </c>
      <c r="K925" s="69">
        <f>-IFERROR(VLOOKUP(C925,Gastos!$A$9:$J$1451,10,0),0)</f>
        <v>0</v>
      </c>
      <c r="L925" s="69">
        <f>-IFERROR(VLOOKUP(C925,IDC!$A$20:$H$1763,8,0),0)</f>
        <v>-1650.15</v>
      </c>
      <c r="M925" s="96">
        <f>+D925</f>
        <v>-275025.13</v>
      </c>
      <c r="P925" s="19"/>
      <c r="Q925" s="19"/>
    </row>
    <row r="926" spans="1:17" s="67" customFormat="1" hidden="1">
      <c r="A926" s="1" t="s">
        <v>1377</v>
      </c>
      <c r="B926" s="1" t="s">
        <v>1388</v>
      </c>
      <c r="C926" s="71">
        <v>130079298437</v>
      </c>
      <c r="D926" s="3">
        <v>-6069.7</v>
      </c>
      <c r="E926" s="3">
        <v>13903844.57</v>
      </c>
      <c r="F926" s="1" t="s">
        <v>3066</v>
      </c>
      <c r="G926" s="19">
        <f>+D926/1.006</f>
        <v>-6033.4990059642141</v>
      </c>
      <c r="H926" s="19">
        <f>+D926-G926</f>
        <v>-36.200994035785698</v>
      </c>
      <c r="I926" s="19">
        <f>-IFERROR(VLOOKUP(C926,SIRCUPA!$A$21:$H$221,8,0),0)</f>
        <v>0</v>
      </c>
      <c r="J926" s="86">
        <f>-IFERROR(VLOOKUP(C926,SIRTAC!$A$16:$H$1458,8,0),0)</f>
        <v>0</v>
      </c>
      <c r="K926" s="86">
        <f>-IFERROR(VLOOKUP(C926,Gastos!$A$9:$J$1451,10,0),0)</f>
        <v>0</v>
      </c>
      <c r="L926" s="86">
        <f>+D926-G926</f>
        <v>-36.200994035785698</v>
      </c>
      <c r="M926" s="94">
        <f>+D926-I926-J926-K926-L926</f>
        <v>-6033.4990059642141</v>
      </c>
      <c r="N926" s="1"/>
      <c r="O926" s="1"/>
      <c r="P926" s="19"/>
      <c r="Q926" s="19"/>
    </row>
    <row r="927" spans="1:17" s="67" customFormat="1" hidden="1">
      <c r="A927" s="67" t="s">
        <v>1039</v>
      </c>
      <c r="B927" s="67" t="s">
        <v>51</v>
      </c>
      <c r="C927" s="75">
        <v>130144715934</v>
      </c>
      <c r="D927" s="70">
        <v>-966.65</v>
      </c>
      <c r="E927" s="3">
        <v>13585034.390000001</v>
      </c>
      <c r="F927" s="67" t="s">
        <v>3062</v>
      </c>
      <c r="G927" s="69">
        <f>+D927/0.006</f>
        <v>-161108.33333333331</v>
      </c>
      <c r="H927" s="69"/>
      <c r="I927" s="69">
        <f>-IFERROR(VLOOKUP(C927,SIRCUPA!$A$21:$H$221,8,0),0)</f>
        <v>0</v>
      </c>
      <c r="J927" s="69">
        <f>-IFERROR(VLOOKUP(C927,SIRTAC!$A$16:$H$1458,8,0),0)</f>
        <v>0</v>
      </c>
      <c r="K927" s="69">
        <f>-IFERROR(VLOOKUP(C927,Gastos!$A$9:$J$1451,10,0),0)</f>
        <v>0</v>
      </c>
      <c r="L927" s="69"/>
      <c r="M927" s="96">
        <f>+D927</f>
        <v>-966.65</v>
      </c>
      <c r="P927" s="19"/>
      <c r="Q927" s="19"/>
    </row>
    <row r="928" spans="1:17" s="67" customFormat="1" hidden="1">
      <c r="A928" s="67" t="s">
        <v>1039</v>
      </c>
      <c r="B928" s="67" t="s">
        <v>55</v>
      </c>
      <c r="C928" s="75">
        <v>130144715934</v>
      </c>
      <c r="D928" s="68">
        <v>-161109</v>
      </c>
      <c r="E928" s="3">
        <v>13586001.039999999</v>
      </c>
      <c r="F928" s="67" t="s">
        <v>3066</v>
      </c>
      <c r="G928" s="69">
        <f>+D928/1.006</f>
        <v>-160148.11133200795</v>
      </c>
      <c r="H928" s="69">
        <f>+D928-G928</f>
        <v>-960.88866799205425</v>
      </c>
      <c r="I928" s="69">
        <f>-IFERROR(VLOOKUP(C928,SIRCUPA!$A$21:$H$221,8,0),0)</f>
        <v>0</v>
      </c>
      <c r="J928" s="69">
        <f>-IFERROR(VLOOKUP(C928,SIRTAC!$A$16:$H$1458,8,0),0)</f>
        <v>0</v>
      </c>
      <c r="K928" s="69">
        <f>-IFERROR(VLOOKUP(C928,Gastos!$A$9:$J$1451,10,0),0)</f>
        <v>0</v>
      </c>
      <c r="L928" s="69">
        <f>-IFERROR(VLOOKUP(C928,IDC!$A$20:$H$1763,8,0),0)</f>
        <v>-966.65</v>
      </c>
      <c r="M928" s="96">
        <f>+D928</f>
        <v>-161109</v>
      </c>
      <c r="P928" s="19"/>
      <c r="Q928" s="19"/>
    </row>
    <row r="929" spans="1:17" hidden="1">
      <c r="A929" s="1" t="s">
        <v>1039</v>
      </c>
      <c r="B929" s="1" t="s">
        <v>564</v>
      </c>
      <c r="C929" s="71">
        <v>130144971598</v>
      </c>
      <c r="D929" s="3">
        <v>-219966.93</v>
      </c>
      <c r="E929" s="3">
        <v>14048709.76</v>
      </c>
      <c r="F929" t="s">
        <v>3066</v>
      </c>
      <c r="G929" s="19">
        <f>+D929/1.006</f>
        <v>-218655</v>
      </c>
      <c r="H929" s="19">
        <f>+D929-G929</f>
        <v>-1311.929999999993</v>
      </c>
      <c r="I929" s="19">
        <f>-IFERROR(VLOOKUP(C929,SIRCUPA!$A$21:$H$221,8,0),0)</f>
        <v>0</v>
      </c>
      <c r="J929" s="86">
        <f>-IFERROR(VLOOKUP(C929,SIRTAC!$A$16:$H$1458,8,0),0)</f>
        <v>0</v>
      </c>
      <c r="K929" s="86">
        <f>-IFERROR(VLOOKUP(C929,Gastos!$A$9:$J$1451,10,0),0)</f>
        <v>0</v>
      </c>
      <c r="L929" s="86">
        <f>+D929-G929</f>
        <v>-1311.929999999993</v>
      </c>
      <c r="M929" s="94">
        <f>+D929-I929-J929-K929-L929</f>
        <v>-218655</v>
      </c>
      <c r="O929" s="1"/>
    </row>
    <row r="930" spans="1:17" s="67" customFormat="1" hidden="1">
      <c r="A930" s="67" t="s">
        <v>1039</v>
      </c>
      <c r="B930" s="67" t="s">
        <v>51</v>
      </c>
      <c r="C930" s="75">
        <v>130145198838</v>
      </c>
      <c r="D930" s="68">
        <v>-1280.48</v>
      </c>
      <c r="E930" s="3">
        <v>13747110.039999999</v>
      </c>
      <c r="F930" s="67" t="s">
        <v>3062</v>
      </c>
      <c r="G930" s="69">
        <f>+D930/0.006</f>
        <v>-213413.33333333334</v>
      </c>
      <c r="H930" s="69"/>
      <c r="I930" s="69">
        <f>-IFERROR(VLOOKUP(C930,SIRCUPA!$A$21:$H$221,8,0),0)</f>
        <v>0</v>
      </c>
      <c r="J930" s="69">
        <f>-IFERROR(VLOOKUP(C930,SIRTAC!$A$16:$H$1458,8,0),0)</f>
        <v>0</v>
      </c>
      <c r="K930" s="69">
        <f>-IFERROR(VLOOKUP(C930,Gastos!$A$9:$J$1451,10,0),0)</f>
        <v>0</v>
      </c>
      <c r="L930" s="69"/>
      <c r="M930" s="96">
        <f>+D930</f>
        <v>-1280.48</v>
      </c>
      <c r="P930" s="19"/>
      <c r="Q930" s="19"/>
    </row>
    <row r="931" spans="1:17" s="67" customFormat="1" hidden="1">
      <c r="A931" s="67" t="s">
        <v>1039</v>
      </c>
      <c r="B931" s="67" t="s">
        <v>55</v>
      </c>
      <c r="C931" s="75">
        <v>130145198838</v>
      </c>
      <c r="D931" s="68">
        <v>-213412.66</v>
      </c>
      <c r="E931" s="3">
        <v>13748390.52</v>
      </c>
      <c r="F931" s="67" t="s">
        <v>3066</v>
      </c>
      <c r="G931" s="69">
        <f t="shared" ref="G931:G936" si="28">+D931/1.006</f>
        <v>-212139.82107355865</v>
      </c>
      <c r="H931" s="69">
        <f t="shared" ref="H931:H936" si="29">+D931-G931</f>
        <v>-1272.8389264413563</v>
      </c>
      <c r="I931" s="69">
        <f>-IFERROR(VLOOKUP(C931,SIRCUPA!$A$21:$H$221,8,0),0)</f>
        <v>0</v>
      </c>
      <c r="J931" s="69">
        <f>-IFERROR(VLOOKUP(C931,SIRTAC!$A$16:$H$1458,8,0),0)</f>
        <v>0</v>
      </c>
      <c r="K931" s="69">
        <f>-IFERROR(VLOOKUP(C931,Gastos!$A$9:$J$1451,10,0),0)</f>
        <v>0</v>
      </c>
      <c r="L931" s="69">
        <f>-IFERROR(VLOOKUP(C931,IDC!$A$20:$H$1763,8,0),0)</f>
        <v>-1280.48</v>
      </c>
      <c r="M931" s="96">
        <f>+D931</f>
        <v>-213412.66</v>
      </c>
      <c r="P931" s="19"/>
      <c r="Q931" s="19"/>
    </row>
    <row r="932" spans="1:17" hidden="1">
      <c r="A932" s="1" t="s">
        <v>1395</v>
      </c>
      <c r="B932" s="1" t="s">
        <v>564</v>
      </c>
      <c r="C932" s="71">
        <v>130164356911</v>
      </c>
      <c r="D932" s="3">
        <v>-67814.460000000006</v>
      </c>
      <c r="E932" s="3">
        <v>13812690.91</v>
      </c>
      <c r="F932" s="1" t="s">
        <v>3066</v>
      </c>
      <c r="G932" s="19">
        <f t="shared" si="28"/>
        <v>-67410</v>
      </c>
      <c r="H932" s="19">
        <f t="shared" si="29"/>
        <v>-404.4600000000064</v>
      </c>
      <c r="I932" s="19">
        <f>-IFERROR(VLOOKUP(C932,SIRCUPA!$A$21:$H$221,8,0),0)</f>
        <v>0</v>
      </c>
      <c r="J932" s="86">
        <f>-IFERROR(VLOOKUP(C932,SIRTAC!$A$16:$H$1458,8,0),0)</f>
        <v>0</v>
      </c>
      <c r="K932" s="86">
        <f>-IFERROR(VLOOKUP(C932,Gastos!$A$9:$J$1451,10,0),0)</f>
        <v>0</v>
      </c>
      <c r="L932" s="86">
        <f>+D932-G932</f>
        <v>-404.4600000000064</v>
      </c>
      <c r="M932" s="94">
        <f>+D932-I932-J932-K932-L932</f>
        <v>-67410</v>
      </c>
      <c r="O932" s="1"/>
    </row>
    <row r="933" spans="1:17" hidden="1">
      <c r="A933" s="1" t="s">
        <v>1039</v>
      </c>
      <c r="B933" s="1" t="s">
        <v>566</v>
      </c>
      <c r="C933" s="71">
        <v>130169079748</v>
      </c>
      <c r="D933" s="3">
        <v>-1428520</v>
      </c>
      <c r="E933" s="3">
        <v>12156514.390000001</v>
      </c>
      <c r="F933" s="1" t="s">
        <v>3069</v>
      </c>
      <c r="G933" s="19">
        <f t="shared" si="28"/>
        <v>-1420000</v>
      </c>
      <c r="H933" s="19">
        <f t="shared" si="29"/>
        <v>-8520</v>
      </c>
      <c r="I933" s="19">
        <f>-IFERROR(VLOOKUP(C933,SIRCUPA!$A$21:$H$221,8,0),0)</f>
        <v>0</v>
      </c>
      <c r="J933" s="86">
        <f>-IFERROR(VLOOKUP(C933,SIRTAC!$A$16:$H$1458,8,0),0)</f>
        <v>0</v>
      </c>
      <c r="K933" s="86">
        <f>-IFERROR(VLOOKUP(C933,Gastos!$A$9:$J$1451,10,0),0)</f>
        <v>0</v>
      </c>
      <c r="L933" s="86">
        <f>+D933-G933</f>
        <v>-8520</v>
      </c>
      <c r="M933" s="94">
        <f t="shared" ref="M933:M936" si="30">+D933-I933-J933-K933-L933</f>
        <v>-1420000</v>
      </c>
      <c r="O933" s="1"/>
    </row>
    <row r="934" spans="1:17" hidden="1">
      <c r="A934" s="1" t="s">
        <v>1039</v>
      </c>
      <c r="B934" s="1" t="s">
        <v>566</v>
      </c>
      <c r="C934" s="71">
        <v>130169143516</v>
      </c>
      <c r="D934" s="3">
        <v>-985880</v>
      </c>
      <c r="E934" s="3">
        <v>11170634.390000001</v>
      </c>
      <c r="F934" s="1" t="s">
        <v>3069</v>
      </c>
      <c r="G934" s="19">
        <f t="shared" si="28"/>
        <v>-980000</v>
      </c>
      <c r="H934" s="19">
        <f t="shared" si="29"/>
        <v>-5880</v>
      </c>
      <c r="I934" s="19">
        <f>-IFERROR(VLOOKUP(C934,SIRCUPA!$A$21:$H$221,8,0),0)</f>
        <v>0</v>
      </c>
      <c r="J934" s="86">
        <f>-IFERROR(VLOOKUP(C934,SIRTAC!$A$16:$H$1458,8,0),0)</f>
        <v>0</v>
      </c>
      <c r="K934" s="86">
        <f>-IFERROR(VLOOKUP(C934,Gastos!$A$9:$J$1451,10,0),0)</f>
        <v>0</v>
      </c>
      <c r="L934" s="86">
        <f>+D934-G934</f>
        <v>-5880</v>
      </c>
      <c r="M934" s="94">
        <f t="shared" si="30"/>
        <v>-980000</v>
      </c>
      <c r="O934" s="1"/>
    </row>
    <row r="935" spans="1:17" hidden="1">
      <c r="A935" s="1" t="s">
        <v>1039</v>
      </c>
      <c r="B935" s="34" t="s">
        <v>53</v>
      </c>
      <c r="C935" s="73">
        <v>130176556044</v>
      </c>
      <c r="D935" s="35">
        <v>-165601.68</v>
      </c>
      <c r="E935" s="35">
        <v>11005032.710000001</v>
      </c>
      <c r="F935" s="1" t="s">
        <v>3066</v>
      </c>
      <c r="G935" s="19">
        <f t="shared" si="28"/>
        <v>-164613.99602385686</v>
      </c>
      <c r="H935" s="19">
        <f t="shared" si="29"/>
        <v>-987.6839761431329</v>
      </c>
      <c r="I935" s="19">
        <f>-IFERROR(VLOOKUP(C935,SIRCUPA!$A$21:$H$221,8,0),0)</f>
        <v>0</v>
      </c>
      <c r="J935" s="86">
        <f>-IFERROR(VLOOKUP(C935,SIRTAC!$A$16:$H$1458,8,0),0)</f>
        <v>0</v>
      </c>
      <c r="K935" s="86">
        <f>-IFERROR(VLOOKUP(C935,Gastos!$A$9:$J$1451,10,0),0)</f>
        <v>0</v>
      </c>
      <c r="L935" s="86">
        <f>-IFERROR(VLOOKUP(C935,IDC!$A$20:$H$1763,8,0),0)</f>
        <v>-987.68</v>
      </c>
      <c r="M935" s="94">
        <f t="shared" si="30"/>
        <v>-164614</v>
      </c>
      <c r="O935" s="34" t="s">
        <v>2018</v>
      </c>
    </row>
    <row r="936" spans="1:17" hidden="1">
      <c r="A936" s="1" t="s">
        <v>1039</v>
      </c>
      <c r="B936" s="34" t="s">
        <v>1061</v>
      </c>
      <c r="C936" s="73">
        <v>130176556044</v>
      </c>
      <c r="D936" s="35">
        <v>165601.68</v>
      </c>
      <c r="E936" s="35">
        <v>10601869.859999999</v>
      </c>
      <c r="F936" s="1" t="s">
        <v>3067</v>
      </c>
      <c r="G936" s="19">
        <f t="shared" si="28"/>
        <v>164613.99602385686</v>
      </c>
      <c r="H936" s="19">
        <f t="shared" si="29"/>
        <v>987.6839761431329</v>
      </c>
      <c r="I936" s="19">
        <f>-IFERROR(VLOOKUP(C936,SIRCUPA!$A$21:$H$221,8,0),0)</f>
        <v>0</v>
      </c>
      <c r="J936" s="86">
        <f>-IFERROR(VLOOKUP(C936,SIRTAC!$A$16:$H$1458,8,0),0)</f>
        <v>0</v>
      </c>
      <c r="K936" s="86">
        <f>-IFERROR(VLOOKUP(C936,Gastos!$A$9:$J$1451,10,0),0)</f>
        <v>0</v>
      </c>
      <c r="L936" s="86">
        <v>987.68</v>
      </c>
      <c r="M936" s="94">
        <f t="shared" si="30"/>
        <v>164614</v>
      </c>
      <c r="O936" s="34" t="s">
        <v>2019</v>
      </c>
    </row>
    <row r="937" spans="1:17" s="67" customFormat="1" hidden="1">
      <c r="A937" s="67" t="s">
        <v>1039</v>
      </c>
      <c r="B937" s="67" t="s">
        <v>51</v>
      </c>
      <c r="C937" s="75">
        <v>130176737204</v>
      </c>
      <c r="D937" s="68">
        <v>-1198</v>
      </c>
      <c r="E937" s="3">
        <v>10353467.34</v>
      </c>
      <c r="F937" s="67" t="s">
        <v>3062</v>
      </c>
      <c r="G937" s="69">
        <f>+D937/0.006</f>
        <v>-199666.66666666666</v>
      </c>
      <c r="H937" s="69"/>
      <c r="I937" s="69">
        <f>-IFERROR(VLOOKUP(C937,SIRCUPA!$A$21:$H$221,8,0),0)</f>
        <v>0</v>
      </c>
      <c r="J937" s="69">
        <f>-IFERROR(VLOOKUP(C937,SIRTAC!$A$16:$H$1458,8,0),0)</f>
        <v>0</v>
      </c>
      <c r="K937" s="69">
        <f>-IFERROR(VLOOKUP(C937,Gastos!$A$9:$J$1451,10,0),0)</f>
        <v>0</v>
      </c>
      <c r="L937" s="69"/>
      <c r="M937" s="96">
        <f>+D937</f>
        <v>-1198</v>
      </c>
      <c r="P937" s="19"/>
      <c r="Q937" s="19"/>
    </row>
    <row r="938" spans="1:17" s="67" customFormat="1" hidden="1">
      <c r="A938" s="67" t="s">
        <v>1039</v>
      </c>
      <c r="B938" s="67" t="s">
        <v>1059</v>
      </c>
      <c r="C938" s="75">
        <v>130176737204</v>
      </c>
      <c r="D938" s="68">
        <v>-199666.29</v>
      </c>
      <c r="E938" s="3">
        <v>10354665.34</v>
      </c>
      <c r="F938" s="67" t="s">
        <v>3066</v>
      </c>
      <c r="G938" s="69">
        <f>+D938/1.006</f>
        <v>-198475.43737574553</v>
      </c>
      <c r="H938" s="69">
        <f>+D938-G938</f>
        <v>-1190.8526242544758</v>
      </c>
      <c r="I938" s="69">
        <f>-IFERROR(VLOOKUP(C938,SIRCUPA!$A$21:$H$221,8,0),0)</f>
        <v>0</v>
      </c>
      <c r="J938" s="69">
        <f>-IFERROR(VLOOKUP(C938,SIRTAC!$A$16:$H$1458,8,0),0)</f>
        <v>0</v>
      </c>
      <c r="K938" s="69">
        <f>-IFERROR(VLOOKUP(C938,Gastos!$A$9:$J$1451,10,0),0)</f>
        <v>0</v>
      </c>
      <c r="L938" s="69">
        <f>-IFERROR(VLOOKUP(C938,IDC!$A$20:$H$1763,8,0),0)</f>
        <v>-1198</v>
      </c>
      <c r="M938" s="96">
        <f>+D938</f>
        <v>-199666.29</v>
      </c>
      <c r="P938" s="19"/>
      <c r="Q938" s="19"/>
    </row>
    <row r="939" spans="1:17" hidden="1">
      <c r="A939" s="1" t="s">
        <v>1039</v>
      </c>
      <c r="B939" s="1" t="s">
        <v>15</v>
      </c>
      <c r="C939" s="71">
        <v>129646290259</v>
      </c>
      <c r="D939" s="3">
        <v>8184.12</v>
      </c>
      <c r="E939" s="3">
        <v>10108396.99</v>
      </c>
      <c r="F939" s="1" t="s">
        <v>3065</v>
      </c>
      <c r="G939"/>
      <c r="H939"/>
      <c r="I939" s="19">
        <f>-IFERROR(VLOOKUP(C939,SIRCUPA!$A$21:$H$221,8,0),0)</f>
        <v>0</v>
      </c>
      <c r="J939" s="86">
        <f>-IFERROR(VLOOKUP(C939,SIRTAC!$A$16:$H$1458,8,0),0)</f>
        <v>-84</v>
      </c>
      <c r="K939" s="86">
        <f>-IFERROR(VLOOKUP(C939,Gastos!$A$9:$J$1451,10,0),0)</f>
        <v>-81.48</v>
      </c>
      <c r="L939" s="86">
        <f>-IFERROR(VLOOKUP(C939,IDC!$A$20:$H$1763,8,0),0)</f>
        <v>-50.4</v>
      </c>
      <c r="M939" s="95">
        <f t="shared" ref="M939:M1002" si="31">+D939-I939-J939-K939-L939</f>
        <v>8399.9999999999982</v>
      </c>
      <c r="O939" s="1"/>
    </row>
    <row r="940" spans="1:17" hidden="1">
      <c r="A940" s="1" t="s">
        <v>1039</v>
      </c>
      <c r="B940" s="1" t="s">
        <v>15</v>
      </c>
      <c r="C940" s="71">
        <v>129648915079</v>
      </c>
      <c r="D940" s="3">
        <v>13640.2</v>
      </c>
      <c r="E940" s="3">
        <v>10122037.189999999</v>
      </c>
      <c r="F940" s="1" t="s">
        <v>3065</v>
      </c>
      <c r="G940"/>
      <c r="H940"/>
      <c r="I940" s="19">
        <f>-IFERROR(VLOOKUP(C940,SIRCUPA!$A$21:$H$221,8,0),0)</f>
        <v>0</v>
      </c>
      <c r="J940" s="86">
        <f>-IFERROR(VLOOKUP(C940,SIRTAC!$A$16:$H$1458,8,0),0)</f>
        <v>-140</v>
      </c>
      <c r="K940" s="86">
        <f>-IFERROR(VLOOKUP(C940,Gastos!$A$9:$J$1451,10,0),0)</f>
        <v>-135.80000000000001</v>
      </c>
      <c r="L940" s="86">
        <f>-IFERROR(VLOOKUP(C940,IDC!$A$20:$H$1763,8,0),0)</f>
        <v>-84</v>
      </c>
      <c r="M940" s="95">
        <f t="shared" si="31"/>
        <v>14000</v>
      </c>
      <c r="O940" s="1"/>
    </row>
    <row r="941" spans="1:17" hidden="1">
      <c r="A941" s="1" t="s">
        <v>1039</v>
      </c>
      <c r="B941" s="1" t="s">
        <v>15</v>
      </c>
      <c r="C941" s="71">
        <v>129649848031</v>
      </c>
      <c r="D941" s="3">
        <v>4676.6400000000003</v>
      </c>
      <c r="E941" s="3">
        <v>10126713.83</v>
      </c>
      <c r="F941" s="1" t="s">
        <v>3065</v>
      </c>
      <c r="G941"/>
      <c r="H941"/>
      <c r="I941" s="19">
        <f>-IFERROR(VLOOKUP(C941,SIRCUPA!$A$21:$H$221,8,0),0)</f>
        <v>0</v>
      </c>
      <c r="J941" s="86">
        <f>-IFERROR(VLOOKUP(C941,SIRTAC!$A$16:$H$1458,8,0),0)</f>
        <v>-48</v>
      </c>
      <c r="K941" s="86">
        <f>-IFERROR(VLOOKUP(C941,Gastos!$A$9:$J$1451,10,0),0)</f>
        <v>-46.56</v>
      </c>
      <c r="L941" s="86">
        <f>-IFERROR(VLOOKUP(C941,IDC!$A$20:$H$1763,8,0),0)</f>
        <v>-28.8</v>
      </c>
      <c r="M941" s="95">
        <f t="shared" si="31"/>
        <v>4800.0000000000009</v>
      </c>
      <c r="O941" s="1"/>
    </row>
    <row r="942" spans="1:17" hidden="1">
      <c r="A942" s="1" t="s">
        <v>1039</v>
      </c>
      <c r="B942" s="1" t="s">
        <v>15</v>
      </c>
      <c r="C942" s="71">
        <v>129650617159</v>
      </c>
      <c r="D942" s="3">
        <v>6518.43</v>
      </c>
      <c r="E942" s="3">
        <v>10133232.26</v>
      </c>
      <c r="F942" s="1" t="s">
        <v>3065</v>
      </c>
      <c r="G942"/>
      <c r="H942"/>
      <c r="I942" s="19">
        <f>-IFERROR(VLOOKUP(C942,SIRCUPA!$A$21:$H$221,8,0),0)</f>
        <v>0</v>
      </c>
      <c r="J942" s="86">
        <f>-IFERROR(VLOOKUP(C942,SIRTAC!$A$16:$H$1458,8,0),0)</f>
        <v>-69</v>
      </c>
      <c r="K942" s="86">
        <f>-IFERROR(VLOOKUP(C942,Gastos!$A$9:$J$1451,10,0),0)</f>
        <v>-271.17</v>
      </c>
      <c r="L942" s="86">
        <f>-IFERROR(VLOOKUP(C942,IDC!$A$20:$H$1763,8,0),0)</f>
        <v>-41.4</v>
      </c>
      <c r="M942" s="95">
        <f t="shared" si="31"/>
        <v>6900</v>
      </c>
      <c r="O942" s="1"/>
    </row>
    <row r="943" spans="1:17" hidden="1">
      <c r="A943" s="1" t="s">
        <v>1039</v>
      </c>
      <c r="B943" s="1" t="s">
        <v>15</v>
      </c>
      <c r="C943" s="71">
        <v>129650775843</v>
      </c>
      <c r="D943" s="3">
        <v>6518.43</v>
      </c>
      <c r="E943" s="3">
        <v>10139750.689999999</v>
      </c>
      <c r="F943" s="1" t="s">
        <v>3065</v>
      </c>
      <c r="G943"/>
      <c r="H943"/>
      <c r="I943" s="19">
        <f>-IFERROR(VLOOKUP(C943,SIRCUPA!$A$21:$H$221,8,0),0)</f>
        <v>0</v>
      </c>
      <c r="J943" s="86">
        <f>-IFERROR(VLOOKUP(C943,SIRTAC!$A$16:$H$1458,8,0),0)</f>
        <v>-69</v>
      </c>
      <c r="K943" s="86">
        <f>-IFERROR(VLOOKUP(C943,Gastos!$A$9:$J$1451,10,0),0)</f>
        <v>-271.17</v>
      </c>
      <c r="L943" s="86">
        <f>-IFERROR(VLOOKUP(C943,IDC!$A$20:$H$1763,8,0),0)</f>
        <v>-41.4</v>
      </c>
      <c r="M943" s="95">
        <f t="shared" si="31"/>
        <v>6900</v>
      </c>
      <c r="O943" s="1"/>
    </row>
    <row r="944" spans="1:17" hidden="1">
      <c r="A944" s="1" t="s">
        <v>1039</v>
      </c>
      <c r="B944" s="1" t="s">
        <v>15</v>
      </c>
      <c r="C944" s="71">
        <v>129651219591</v>
      </c>
      <c r="D944" s="3">
        <v>5748.37</v>
      </c>
      <c r="E944" s="3">
        <v>10145499.060000001</v>
      </c>
      <c r="F944" s="1" t="s">
        <v>3065</v>
      </c>
      <c r="G944"/>
      <c r="H944"/>
      <c r="I944" s="19">
        <f>-IFERROR(VLOOKUP(C944,SIRCUPA!$A$21:$H$221,8,0),0)</f>
        <v>0</v>
      </c>
      <c r="J944" s="86">
        <f>-IFERROR(VLOOKUP(C944,SIRTAC!$A$16:$H$1458,8,0),0)</f>
        <v>-59</v>
      </c>
      <c r="K944" s="86">
        <f>-IFERROR(VLOOKUP(C944,Gastos!$A$9:$J$1451,10,0),0)</f>
        <v>-57.23</v>
      </c>
      <c r="L944" s="86">
        <f>-IFERROR(VLOOKUP(C944,IDC!$A$20:$H$1763,8,0),0)</f>
        <v>-35.4</v>
      </c>
      <c r="M944" s="95">
        <f t="shared" si="31"/>
        <v>5899.9999999999991</v>
      </c>
      <c r="O944" s="1"/>
    </row>
    <row r="945" spans="1:15" hidden="1">
      <c r="A945" s="1" t="s">
        <v>1039</v>
      </c>
      <c r="B945" s="1" t="s">
        <v>15</v>
      </c>
      <c r="C945" s="71">
        <v>129653680393</v>
      </c>
      <c r="D945" s="3">
        <v>4286.92</v>
      </c>
      <c r="E945" s="3">
        <v>10149785.98</v>
      </c>
      <c r="F945" s="1" t="s">
        <v>3065</v>
      </c>
      <c r="G945"/>
      <c r="H945"/>
      <c r="I945" s="19">
        <f>-IFERROR(VLOOKUP(C945,SIRCUPA!$A$21:$H$221,8,0),0)</f>
        <v>0</v>
      </c>
      <c r="J945" s="86">
        <f>-IFERROR(VLOOKUP(C945,SIRTAC!$A$16:$H$1458,8,0),0)</f>
        <v>-44</v>
      </c>
      <c r="K945" s="86">
        <f>-IFERROR(VLOOKUP(C945,Gastos!$A$9:$J$1451,10,0),0)</f>
        <v>-42.68</v>
      </c>
      <c r="L945" s="86">
        <f>-IFERROR(VLOOKUP(C945,IDC!$A$20:$H$1763,8,0),0)</f>
        <v>-26.4</v>
      </c>
      <c r="M945" s="95">
        <f t="shared" si="31"/>
        <v>4400</v>
      </c>
      <c r="O945" s="1"/>
    </row>
    <row r="946" spans="1:15" hidden="1">
      <c r="A946" s="1" t="s">
        <v>1039</v>
      </c>
      <c r="B946" s="1" t="s">
        <v>15</v>
      </c>
      <c r="C946" s="71">
        <v>130231645538</v>
      </c>
      <c r="D946" s="3">
        <v>4676.6400000000003</v>
      </c>
      <c r="E946" s="3">
        <v>10154462.619999999</v>
      </c>
      <c r="F946" s="1" t="s">
        <v>3065</v>
      </c>
      <c r="G946"/>
      <c r="H946"/>
      <c r="I946" s="19">
        <f>-IFERROR(VLOOKUP(C946,SIRCUPA!$A$21:$H$221,8,0),0)</f>
        <v>0</v>
      </c>
      <c r="J946" s="86">
        <f>-IFERROR(VLOOKUP(C946,SIRTAC!$A$16:$H$1458,8,0),0)</f>
        <v>-48</v>
      </c>
      <c r="K946" s="86">
        <f>-IFERROR(VLOOKUP(C946,Gastos!$A$9:$J$1451,10,0),0)</f>
        <v>-46.56</v>
      </c>
      <c r="L946" s="86">
        <f>-IFERROR(VLOOKUP(C946,IDC!$A$20:$H$1763,8,0),0)</f>
        <v>-28.8</v>
      </c>
      <c r="M946" s="95">
        <f t="shared" si="31"/>
        <v>4800.0000000000009</v>
      </c>
      <c r="O946" s="1"/>
    </row>
    <row r="947" spans="1:15" hidden="1">
      <c r="A947" s="1" t="s">
        <v>1039</v>
      </c>
      <c r="B947" s="1" t="s">
        <v>15</v>
      </c>
      <c r="C947" s="71">
        <v>129655379537</v>
      </c>
      <c r="D947" s="3">
        <v>14029.92</v>
      </c>
      <c r="E947" s="3">
        <v>10168492.539999999</v>
      </c>
      <c r="F947" s="1" t="s">
        <v>3065</v>
      </c>
      <c r="G947"/>
      <c r="H947"/>
      <c r="I947" s="19">
        <f>-IFERROR(VLOOKUP(C947,SIRCUPA!$A$21:$H$221,8,0),0)</f>
        <v>0</v>
      </c>
      <c r="J947" s="86">
        <f>-IFERROR(VLOOKUP(C947,SIRTAC!$A$16:$H$1458,8,0),0)</f>
        <v>-144</v>
      </c>
      <c r="K947" s="86">
        <f>-IFERROR(VLOOKUP(C947,Gastos!$A$9:$J$1451,10,0),0)</f>
        <v>-139.68</v>
      </c>
      <c r="L947" s="86">
        <f>-IFERROR(VLOOKUP(C947,IDC!$A$20:$H$1763,8,0),0)</f>
        <v>-86.4</v>
      </c>
      <c r="M947" s="95">
        <f t="shared" si="31"/>
        <v>14400</v>
      </c>
      <c r="O947" s="1"/>
    </row>
    <row r="948" spans="1:15" hidden="1">
      <c r="A948" s="1" t="s">
        <v>1039</v>
      </c>
      <c r="B948" s="1" t="s">
        <v>15</v>
      </c>
      <c r="C948" s="71">
        <v>129656006133</v>
      </c>
      <c r="D948" s="3">
        <v>4676.6400000000003</v>
      </c>
      <c r="E948" s="3">
        <v>10173169.18</v>
      </c>
      <c r="F948" s="1" t="s">
        <v>3065</v>
      </c>
      <c r="G948"/>
      <c r="H948"/>
      <c r="I948" s="19">
        <f>-IFERROR(VLOOKUP(C948,SIRCUPA!$A$21:$H$221,8,0),0)</f>
        <v>0</v>
      </c>
      <c r="J948" s="86">
        <f>-IFERROR(VLOOKUP(C948,SIRTAC!$A$16:$H$1458,8,0),0)</f>
        <v>-48</v>
      </c>
      <c r="K948" s="86">
        <f>-IFERROR(VLOOKUP(C948,Gastos!$A$9:$J$1451,10,0),0)</f>
        <v>-46.56</v>
      </c>
      <c r="L948" s="86">
        <f>-IFERROR(VLOOKUP(C948,IDC!$A$20:$H$1763,8,0),0)</f>
        <v>-28.8</v>
      </c>
      <c r="M948" s="95">
        <f t="shared" si="31"/>
        <v>4800.0000000000009</v>
      </c>
      <c r="O948" s="1"/>
    </row>
    <row r="949" spans="1:15" hidden="1">
      <c r="A949" s="1" t="s">
        <v>1039</v>
      </c>
      <c r="B949" s="1" t="s">
        <v>15</v>
      </c>
      <c r="C949" s="71">
        <v>130233045784</v>
      </c>
      <c r="D949" s="3">
        <v>4357.92</v>
      </c>
      <c r="E949" s="3">
        <v>10177527.1</v>
      </c>
      <c r="F949" s="1" t="s">
        <v>3065</v>
      </c>
      <c r="G949"/>
      <c r="H949"/>
      <c r="I949" s="19">
        <f>-IFERROR(VLOOKUP(C949,SIRCUPA!$A$21:$H$221,8,0),0)</f>
        <v>0</v>
      </c>
      <c r="J949" s="86">
        <f>-IFERROR(VLOOKUP(C949,SIRTAC!$A$16:$H$1458,8,0),0)</f>
        <v>-48</v>
      </c>
      <c r="K949" s="86">
        <f>-IFERROR(VLOOKUP(C949,Gastos!$A$9:$J$1451,10,0),0)</f>
        <v>-365.28</v>
      </c>
      <c r="L949" s="86">
        <f>-IFERROR(VLOOKUP(C949,IDC!$A$20:$H$1763,8,0),0)</f>
        <v>-28.8</v>
      </c>
      <c r="M949" s="95">
        <f t="shared" si="31"/>
        <v>4800</v>
      </c>
      <c r="O949" s="1"/>
    </row>
    <row r="950" spans="1:15" hidden="1">
      <c r="A950" s="1" t="s">
        <v>1039</v>
      </c>
      <c r="B950" s="1" t="s">
        <v>15</v>
      </c>
      <c r="C950" s="71">
        <v>129656171055</v>
      </c>
      <c r="D950" s="3">
        <v>27475.26</v>
      </c>
      <c r="E950" s="3">
        <v>10205002.359999999</v>
      </c>
      <c r="F950" s="1" t="s">
        <v>3065</v>
      </c>
      <c r="G950"/>
      <c r="H950"/>
      <c r="I950" s="19">
        <f>-IFERROR(VLOOKUP(C950,SIRCUPA!$A$21:$H$221,8,0),0)</f>
        <v>0</v>
      </c>
      <c r="J950" s="86">
        <f>-IFERROR(VLOOKUP(C950,SIRTAC!$A$16:$H$1458,8,0),0)</f>
        <v>-282</v>
      </c>
      <c r="K950" s="86">
        <f>-IFERROR(VLOOKUP(C950,Gastos!$A$9:$J$1451,10,0),0)</f>
        <v>-273.54000000000002</v>
      </c>
      <c r="L950" s="86">
        <f>-IFERROR(VLOOKUP(C950,IDC!$A$20:$H$1763,8,0),0)</f>
        <v>-169.2</v>
      </c>
      <c r="M950" s="95">
        <f t="shared" si="31"/>
        <v>28200</v>
      </c>
      <c r="O950" s="1"/>
    </row>
    <row r="951" spans="1:15" hidden="1">
      <c r="A951" s="1" t="s">
        <v>1039</v>
      </c>
      <c r="B951" s="1" t="s">
        <v>15</v>
      </c>
      <c r="C951" s="71">
        <v>129656635025</v>
      </c>
      <c r="D951" s="3">
        <v>14029.92</v>
      </c>
      <c r="E951" s="3">
        <v>10219032.279999999</v>
      </c>
      <c r="F951" s="1" t="s">
        <v>3065</v>
      </c>
      <c r="G951"/>
      <c r="H951"/>
      <c r="I951" s="19">
        <f>-IFERROR(VLOOKUP(C951,SIRCUPA!$A$21:$H$221,8,0),0)</f>
        <v>0</v>
      </c>
      <c r="J951" s="86">
        <f>-IFERROR(VLOOKUP(C951,SIRTAC!$A$16:$H$1458,8,0),0)</f>
        <v>-144</v>
      </c>
      <c r="K951" s="86">
        <f>-IFERROR(VLOOKUP(C951,Gastos!$A$9:$J$1451,10,0),0)</f>
        <v>-139.68</v>
      </c>
      <c r="L951" s="86">
        <f>-IFERROR(VLOOKUP(C951,IDC!$A$20:$H$1763,8,0),0)</f>
        <v>-86.4</v>
      </c>
      <c r="M951" s="95">
        <f t="shared" si="31"/>
        <v>14400</v>
      </c>
      <c r="O951" s="1"/>
    </row>
    <row r="952" spans="1:15" hidden="1">
      <c r="A952" s="1" t="s">
        <v>1039</v>
      </c>
      <c r="B952" s="1" t="s">
        <v>15</v>
      </c>
      <c r="C952" s="71">
        <v>130235052390</v>
      </c>
      <c r="D952" s="3">
        <v>9353.2800000000007</v>
      </c>
      <c r="E952" s="3">
        <v>10228385.560000001</v>
      </c>
      <c r="F952" s="1" t="s">
        <v>3065</v>
      </c>
      <c r="G952"/>
      <c r="H952"/>
      <c r="I952" s="19">
        <f>-IFERROR(VLOOKUP(C952,SIRCUPA!$A$21:$H$221,8,0),0)</f>
        <v>0</v>
      </c>
      <c r="J952" s="86">
        <f>-IFERROR(VLOOKUP(C952,SIRTAC!$A$16:$H$1458,8,0),0)</f>
        <v>-96</v>
      </c>
      <c r="K952" s="86">
        <f>-IFERROR(VLOOKUP(C952,Gastos!$A$9:$J$1451,10,0),0)</f>
        <v>-93.12</v>
      </c>
      <c r="L952" s="86">
        <f>-IFERROR(VLOOKUP(C952,IDC!$A$20:$H$1763,8,0),0)</f>
        <v>-57.6</v>
      </c>
      <c r="M952" s="95">
        <f t="shared" si="31"/>
        <v>9600.0000000000018</v>
      </c>
      <c r="O952" s="1"/>
    </row>
    <row r="953" spans="1:15" hidden="1">
      <c r="A953" s="1" t="s">
        <v>1039</v>
      </c>
      <c r="B953" s="1" t="s">
        <v>15</v>
      </c>
      <c r="C953" s="71">
        <v>130235241138</v>
      </c>
      <c r="D953" s="3">
        <v>17829.689999999999</v>
      </c>
      <c r="E953" s="3">
        <v>10246215.25</v>
      </c>
      <c r="F953" s="1" t="s">
        <v>3065</v>
      </c>
      <c r="G953"/>
      <c r="H953"/>
      <c r="I953" s="19">
        <f>-IFERROR(VLOOKUP(C953,SIRCUPA!$A$21:$H$221,8,0),0)</f>
        <v>0</v>
      </c>
      <c r="J953" s="86">
        <f>-IFERROR(VLOOKUP(C953,SIRTAC!$A$16:$H$1458,8,0),0)</f>
        <v>-183</v>
      </c>
      <c r="K953" s="86">
        <f>-IFERROR(VLOOKUP(C953,Gastos!$A$9:$J$1451,10,0),0)</f>
        <v>-177.51</v>
      </c>
      <c r="L953" s="86">
        <f>-IFERROR(VLOOKUP(C953,IDC!$A$20:$H$1763,8,0),0)</f>
        <v>-109.8</v>
      </c>
      <c r="M953" s="95">
        <f t="shared" si="31"/>
        <v>18299.999999999996</v>
      </c>
      <c r="O953" s="1"/>
    </row>
    <row r="954" spans="1:15" hidden="1">
      <c r="A954" s="1" t="s">
        <v>1039</v>
      </c>
      <c r="B954" s="1" t="s">
        <v>1079</v>
      </c>
      <c r="C954" s="71">
        <v>130235248998</v>
      </c>
      <c r="D954" s="2">
        <v>895.78</v>
      </c>
      <c r="E954" s="3">
        <v>10247111.029999999</v>
      </c>
      <c r="F954" s="1" t="s">
        <v>3065</v>
      </c>
      <c r="G954"/>
      <c r="H954"/>
      <c r="I954" s="19">
        <f>-IFERROR(VLOOKUP(C954,SIRCUPA!$A$21:$H$221,8,0),0)</f>
        <v>-13.73</v>
      </c>
      <c r="J954" s="86">
        <f>-IFERROR(VLOOKUP(C954,SIRTAC!$A$16:$H$1458,8,0),0)</f>
        <v>0</v>
      </c>
      <c r="K954" s="86">
        <f>-IFERROR(VLOOKUP(C954,Gastos!$A$9:$J$1451,10,0),0)</f>
        <v>0</v>
      </c>
      <c r="L954" s="86">
        <f>-IFERROR(VLOOKUP(C954,IDC!$A$20:$H$1763,8,0),0)</f>
        <v>-5.49</v>
      </c>
      <c r="M954" s="95">
        <f t="shared" si="31"/>
        <v>915</v>
      </c>
      <c r="O954" s="1"/>
    </row>
    <row r="955" spans="1:15" hidden="1">
      <c r="A955" s="1" t="s">
        <v>1039</v>
      </c>
      <c r="B955" s="1" t="s">
        <v>15</v>
      </c>
      <c r="C955" s="71">
        <v>129658725887</v>
      </c>
      <c r="D955" s="3">
        <v>8184.12</v>
      </c>
      <c r="E955" s="3">
        <v>10255295.15</v>
      </c>
      <c r="F955" s="1" t="s">
        <v>3065</v>
      </c>
      <c r="G955"/>
      <c r="H955"/>
      <c r="I955" s="19">
        <f>-IFERROR(VLOOKUP(C955,SIRCUPA!$A$21:$H$221,8,0),0)</f>
        <v>0</v>
      </c>
      <c r="J955" s="86">
        <f>-IFERROR(VLOOKUP(C955,SIRTAC!$A$16:$H$1458,8,0),0)</f>
        <v>-84</v>
      </c>
      <c r="K955" s="86">
        <f>-IFERROR(VLOOKUP(C955,Gastos!$A$9:$J$1451,10,0),0)</f>
        <v>-81.48</v>
      </c>
      <c r="L955" s="86">
        <f>-IFERROR(VLOOKUP(C955,IDC!$A$20:$H$1763,8,0),0)</f>
        <v>-50.4</v>
      </c>
      <c r="M955" s="95">
        <f t="shared" si="31"/>
        <v>8399.9999999999982</v>
      </c>
      <c r="O955" s="1"/>
    </row>
    <row r="956" spans="1:15" hidden="1">
      <c r="A956" s="1" t="s">
        <v>1039</v>
      </c>
      <c r="B956" s="1" t="s">
        <v>15</v>
      </c>
      <c r="C956" s="71">
        <v>129658736007</v>
      </c>
      <c r="D956" s="3">
        <v>25234.37</v>
      </c>
      <c r="E956" s="3">
        <v>10280529.52</v>
      </c>
      <c r="F956" s="1" t="s">
        <v>3065</v>
      </c>
      <c r="G956"/>
      <c r="H956"/>
      <c r="I956" s="19">
        <f>-IFERROR(VLOOKUP(C956,SIRCUPA!$A$21:$H$221,8,0),0)</f>
        <v>0</v>
      </c>
      <c r="J956" s="86">
        <f>-IFERROR(VLOOKUP(C956,SIRTAC!$A$16:$H$1458,8,0),0)</f>
        <v>-259</v>
      </c>
      <c r="K956" s="86">
        <f>-IFERROR(VLOOKUP(C956,Gastos!$A$9:$J$1451,10,0),0)</f>
        <v>-251.23</v>
      </c>
      <c r="L956" s="86">
        <f>-IFERROR(VLOOKUP(C956,IDC!$A$20:$H$1763,8,0),0)</f>
        <v>-155.4</v>
      </c>
      <c r="M956" s="95">
        <f t="shared" si="31"/>
        <v>25900</v>
      </c>
      <c r="O956" s="1"/>
    </row>
    <row r="957" spans="1:15" hidden="1">
      <c r="A957" s="1" t="s">
        <v>1039</v>
      </c>
      <c r="B957" s="1" t="s">
        <v>15</v>
      </c>
      <c r="C957" s="71">
        <v>129658824099</v>
      </c>
      <c r="D957" s="3">
        <v>4676.6400000000003</v>
      </c>
      <c r="E957" s="3">
        <v>10285206.16</v>
      </c>
      <c r="F957" s="1" t="s">
        <v>3065</v>
      </c>
      <c r="G957"/>
      <c r="H957"/>
      <c r="I957" s="19">
        <f>-IFERROR(VLOOKUP(C957,SIRCUPA!$A$21:$H$221,8,0),0)</f>
        <v>0</v>
      </c>
      <c r="J957" s="86">
        <f>-IFERROR(VLOOKUP(C957,SIRTAC!$A$16:$H$1458,8,0),0)</f>
        <v>-48</v>
      </c>
      <c r="K957" s="86">
        <f>-IFERROR(VLOOKUP(C957,Gastos!$A$9:$J$1451,10,0),0)</f>
        <v>-46.56</v>
      </c>
      <c r="L957" s="86">
        <f>-IFERROR(VLOOKUP(C957,IDC!$A$20:$H$1763,8,0),0)</f>
        <v>-28.8</v>
      </c>
      <c r="M957" s="95">
        <f t="shared" si="31"/>
        <v>4800.0000000000009</v>
      </c>
      <c r="O957" s="1"/>
    </row>
    <row r="958" spans="1:15" hidden="1">
      <c r="A958" s="1" t="s">
        <v>1039</v>
      </c>
      <c r="B958" s="1" t="s">
        <v>1084</v>
      </c>
      <c r="C958" s="71">
        <v>130235811274</v>
      </c>
      <c r="D958" s="2">
        <v>469.92</v>
      </c>
      <c r="E958" s="3">
        <v>10285676.08</v>
      </c>
      <c r="F958" s="1" t="s">
        <v>3065</v>
      </c>
      <c r="G958"/>
      <c r="H958"/>
      <c r="I958" s="19">
        <f>-IFERROR(VLOOKUP(C958,SIRCUPA!$A$21:$H$221,8,0),0)</f>
        <v>-7.2</v>
      </c>
      <c r="J958" s="86">
        <f>-IFERROR(VLOOKUP(C958,SIRTAC!$A$16:$H$1458,8,0),0)</f>
        <v>0</v>
      </c>
      <c r="K958" s="86">
        <f>-IFERROR(VLOOKUP(C958,Gastos!$A$9:$J$1451,10,0),0)</f>
        <v>0</v>
      </c>
      <c r="L958" s="86">
        <f>-IFERROR(VLOOKUP(C958,IDC!$A$20:$H$1763,8,0),0)</f>
        <v>-2.88</v>
      </c>
      <c r="M958" s="95">
        <f t="shared" si="31"/>
        <v>480</v>
      </c>
      <c r="O958" s="1"/>
    </row>
    <row r="959" spans="1:15" hidden="1">
      <c r="A959" s="1" t="s">
        <v>1039</v>
      </c>
      <c r="B959" s="1" t="s">
        <v>15</v>
      </c>
      <c r="C959" s="71">
        <v>129658992507</v>
      </c>
      <c r="D959" s="3">
        <v>20752.59</v>
      </c>
      <c r="E959" s="3">
        <v>10306428.67</v>
      </c>
      <c r="F959" s="1" t="s">
        <v>3065</v>
      </c>
      <c r="G959"/>
      <c r="H959"/>
      <c r="I959" s="19">
        <f>-IFERROR(VLOOKUP(C959,SIRCUPA!$A$21:$H$221,8,0),0)</f>
        <v>0</v>
      </c>
      <c r="J959" s="86">
        <f>-IFERROR(VLOOKUP(C959,SIRTAC!$A$16:$H$1458,8,0),0)</f>
        <v>-213</v>
      </c>
      <c r="K959" s="86">
        <f>-IFERROR(VLOOKUP(C959,Gastos!$A$9:$J$1451,10,0),0)</f>
        <v>-206.61</v>
      </c>
      <c r="L959" s="86">
        <f>-IFERROR(VLOOKUP(C959,IDC!$A$20:$H$1763,8,0),0)</f>
        <v>-127.8</v>
      </c>
      <c r="M959" s="95">
        <f t="shared" si="31"/>
        <v>21300</v>
      </c>
      <c r="O959" s="1"/>
    </row>
    <row r="960" spans="1:15" hidden="1">
      <c r="A960" s="1" t="s">
        <v>1039</v>
      </c>
      <c r="B960" s="1" t="s">
        <v>15</v>
      </c>
      <c r="C960" s="71">
        <v>130236213438</v>
      </c>
      <c r="D960" s="3">
        <v>12665.9</v>
      </c>
      <c r="E960" s="3">
        <v>10319094.57</v>
      </c>
      <c r="F960" s="1" t="s">
        <v>3065</v>
      </c>
      <c r="G960"/>
      <c r="H960"/>
      <c r="I960" s="19">
        <f>-IFERROR(VLOOKUP(C960,SIRCUPA!$A$21:$H$221,8,0),0)</f>
        <v>0</v>
      </c>
      <c r="J960" s="86">
        <f>-IFERROR(VLOOKUP(C960,SIRTAC!$A$16:$H$1458,8,0),0)</f>
        <v>-130</v>
      </c>
      <c r="K960" s="86">
        <f>-IFERROR(VLOOKUP(C960,Gastos!$A$9:$J$1451,10,0),0)</f>
        <v>-126.1</v>
      </c>
      <c r="L960" s="86">
        <f>-IFERROR(VLOOKUP(C960,IDC!$A$20:$H$1763,8,0),0)</f>
        <v>-78</v>
      </c>
      <c r="M960" s="95">
        <f t="shared" si="31"/>
        <v>13000</v>
      </c>
      <c r="O960" s="1"/>
    </row>
    <row r="961" spans="1:15" hidden="1">
      <c r="A961" s="1" t="s">
        <v>1039</v>
      </c>
      <c r="B961" s="1" t="s">
        <v>15</v>
      </c>
      <c r="C961" s="71">
        <v>130236432300</v>
      </c>
      <c r="D961" s="3">
        <v>16519.36</v>
      </c>
      <c r="E961" s="3">
        <v>10335613.93</v>
      </c>
      <c r="F961" s="1" t="s">
        <v>3065</v>
      </c>
      <c r="G961"/>
      <c r="H961"/>
      <c r="I961" s="19">
        <f>-IFERROR(VLOOKUP(C961,SIRCUPA!$A$21:$H$221,8,0),0)</f>
        <v>0</v>
      </c>
      <c r="J961" s="86">
        <f>-IFERROR(VLOOKUP(C961,SIRTAC!$A$16:$H$1458,8,0),0)</f>
        <v>-176</v>
      </c>
      <c r="K961" s="86">
        <f>-IFERROR(VLOOKUP(C961,Gastos!$A$9:$J$1451,10,0),0)</f>
        <v>-799.04</v>
      </c>
      <c r="L961" s="86">
        <f>-IFERROR(VLOOKUP(C961,IDC!$A$20:$H$1763,8,0),0)</f>
        <v>-105.6</v>
      </c>
      <c r="M961" s="95">
        <f t="shared" si="31"/>
        <v>17600</v>
      </c>
      <c r="O961" s="1"/>
    </row>
    <row r="962" spans="1:15" hidden="1">
      <c r="A962" s="1" t="s">
        <v>1039</v>
      </c>
      <c r="B962" s="1" t="s">
        <v>15</v>
      </c>
      <c r="C962" s="71">
        <v>130236527594</v>
      </c>
      <c r="D962" s="3">
        <v>8768.7000000000007</v>
      </c>
      <c r="E962" s="3">
        <v>10344382.630000001</v>
      </c>
      <c r="F962" s="1" t="s">
        <v>3065</v>
      </c>
      <c r="G962"/>
      <c r="H962"/>
      <c r="I962" s="19">
        <f>-IFERROR(VLOOKUP(C962,SIRCUPA!$A$21:$H$221,8,0),0)</f>
        <v>0</v>
      </c>
      <c r="J962" s="86">
        <f>-IFERROR(VLOOKUP(C962,SIRTAC!$A$16:$H$1458,8,0),0)</f>
        <v>-90</v>
      </c>
      <c r="K962" s="86">
        <f>-IFERROR(VLOOKUP(C962,Gastos!$A$9:$J$1451,10,0),0)</f>
        <v>-87.3</v>
      </c>
      <c r="L962" s="86">
        <f>-IFERROR(VLOOKUP(C962,IDC!$A$20:$H$1763,8,0),0)</f>
        <v>-54</v>
      </c>
      <c r="M962" s="95">
        <f t="shared" si="31"/>
        <v>9000</v>
      </c>
      <c r="O962" s="1"/>
    </row>
    <row r="963" spans="1:15" hidden="1">
      <c r="A963" s="1" t="s">
        <v>1039</v>
      </c>
      <c r="B963" s="1" t="s">
        <v>15</v>
      </c>
      <c r="C963" s="71">
        <v>129659852815</v>
      </c>
      <c r="D963" s="3">
        <v>4676.6400000000003</v>
      </c>
      <c r="E963" s="3">
        <v>10349059.27</v>
      </c>
      <c r="F963" s="1" t="s">
        <v>3065</v>
      </c>
      <c r="G963"/>
      <c r="H963"/>
      <c r="I963" s="19">
        <f>-IFERROR(VLOOKUP(C963,SIRCUPA!$A$21:$H$221,8,0),0)</f>
        <v>0</v>
      </c>
      <c r="J963" s="86">
        <f>-IFERROR(VLOOKUP(C963,SIRTAC!$A$16:$H$1458,8,0),0)</f>
        <v>-48</v>
      </c>
      <c r="K963" s="86">
        <f>-IFERROR(VLOOKUP(C963,Gastos!$A$9:$J$1451,10,0),0)</f>
        <v>-46.56</v>
      </c>
      <c r="L963" s="86">
        <f>-IFERROR(VLOOKUP(C963,IDC!$A$20:$H$1763,8,0),0)</f>
        <v>-28.8</v>
      </c>
      <c r="M963" s="95">
        <f t="shared" si="31"/>
        <v>4800.0000000000009</v>
      </c>
      <c r="O963" s="1"/>
    </row>
    <row r="964" spans="1:15" hidden="1">
      <c r="A964" s="1" t="s">
        <v>1039</v>
      </c>
      <c r="B964" s="1" t="s">
        <v>15</v>
      </c>
      <c r="C964" s="71">
        <v>130237082714</v>
      </c>
      <c r="D964" s="3">
        <v>13225.8</v>
      </c>
      <c r="E964" s="3">
        <v>10362285.07</v>
      </c>
      <c r="F964" s="1" t="s">
        <v>3065</v>
      </c>
      <c r="G964"/>
      <c r="H964"/>
      <c r="I964" s="19">
        <f>-IFERROR(VLOOKUP(C964,SIRCUPA!$A$21:$H$221,8,0),0)</f>
        <v>0</v>
      </c>
      <c r="J964" s="86">
        <f>-IFERROR(VLOOKUP(C964,SIRTAC!$A$16:$H$1458,8,0),0)</f>
        <v>-140</v>
      </c>
      <c r="K964" s="86">
        <f>-IFERROR(VLOOKUP(C964,Gastos!$A$9:$J$1451,10,0),0)</f>
        <v>-550.20000000000005</v>
      </c>
      <c r="L964" s="86">
        <f>-IFERROR(VLOOKUP(C964,IDC!$A$20:$H$1763,8,0),0)</f>
        <v>-84</v>
      </c>
      <c r="M964" s="95">
        <f t="shared" si="31"/>
        <v>14000</v>
      </c>
      <c r="O964" s="1"/>
    </row>
    <row r="965" spans="1:15" hidden="1">
      <c r="A965" s="1" t="s">
        <v>1039</v>
      </c>
      <c r="B965" s="1" t="s">
        <v>15</v>
      </c>
      <c r="C965" s="71">
        <v>130237347830</v>
      </c>
      <c r="D965" s="3">
        <v>35426.25</v>
      </c>
      <c r="E965" s="3">
        <v>10397711.32</v>
      </c>
      <c r="F965" s="1" t="s">
        <v>3065</v>
      </c>
      <c r="G965"/>
      <c r="H965"/>
      <c r="I965" s="19">
        <f>-IFERROR(VLOOKUP(C965,SIRCUPA!$A$21:$H$221,8,0),0)</f>
        <v>0</v>
      </c>
      <c r="J965" s="86">
        <f>-IFERROR(VLOOKUP(C965,SIRTAC!$A$16:$H$1458,8,0),0)</f>
        <v>-375</v>
      </c>
      <c r="K965" s="86">
        <f>-IFERROR(VLOOKUP(C965,Gastos!$A$9:$J$1451,10,0),0)</f>
        <v>-1473.75</v>
      </c>
      <c r="L965" s="86">
        <f>-IFERROR(VLOOKUP(C965,IDC!$A$20:$H$1763,8,0),0)</f>
        <v>-225</v>
      </c>
      <c r="M965" s="95">
        <f t="shared" si="31"/>
        <v>37500</v>
      </c>
      <c r="O965" s="1"/>
    </row>
    <row r="966" spans="1:15" hidden="1">
      <c r="A966" s="1" t="s">
        <v>1039</v>
      </c>
      <c r="B966" s="1" t="s">
        <v>15</v>
      </c>
      <c r="C966" s="71">
        <v>130237685842</v>
      </c>
      <c r="D966" s="3">
        <v>9353.2800000000007</v>
      </c>
      <c r="E966" s="3">
        <v>10407064.6</v>
      </c>
      <c r="F966" s="1" t="s">
        <v>3065</v>
      </c>
      <c r="G966"/>
      <c r="H966"/>
      <c r="I966" s="19">
        <f>-IFERROR(VLOOKUP(C966,SIRCUPA!$A$21:$H$221,8,0),0)</f>
        <v>0</v>
      </c>
      <c r="J966" s="86">
        <f>-IFERROR(VLOOKUP(C966,SIRTAC!$A$16:$H$1458,8,0),0)</f>
        <v>-96</v>
      </c>
      <c r="K966" s="86">
        <f>-IFERROR(VLOOKUP(C966,Gastos!$A$9:$J$1451,10,0),0)</f>
        <v>-93.12</v>
      </c>
      <c r="L966" s="86">
        <f>-IFERROR(VLOOKUP(C966,IDC!$A$20:$H$1763,8,0),0)</f>
        <v>-57.6</v>
      </c>
      <c r="M966" s="95">
        <f t="shared" si="31"/>
        <v>9600.0000000000018</v>
      </c>
      <c r="O966" s="1"/>
    </row>
    <row r="967" spans="1:15" hidden="1">
      <c r="A967" s="1" t="s">
        <v>1039</v>
      </c>
      <c r="B967" s="1" t="s">
        <v>15</v>
      </c>
      <c r="C967" s="71">
        <v>130238444232</v>
      </c>
      <c r="D967" s="3">
        <v>5358.65</v>
      </c>
      <c r="E967" s="3">
        <v>10412423.25</v>
      </c>
      <c r="F967" s="1" t="s">
        <v>3065</v>
      </c>
      <c r="G967"/>
      <c r="H967"/>
      <c r="I967" s="19">
        <f>-IFERROR(VLOOKUP(C967,SIRCUPA!$A$21:$H$221,8,0),0)</f>
        <v>0</v>
      </c>
      <c r="J967" s="86">
        <f>-IFERROR(VLOOKUP(C967,SIRTAC!$A$16:$H$1458,8,0),0)</f>
        <v>-55</v>
      </c>
      <c r="K967" s="86">
        <f>-IFERROR(VLOOKUP(C967,Gastos!$A$9:$J$1451,10,0),0)</f>
        <v>-53.35</v>
      </c>
      <c r="L967" s="86">
        <f>-IFERROR(VLOOKUP(C967,IDC!$A$20:$H$1763,8,0),0)</f>
        <v>-33</v>
      </c>
      <c r="M967" s="95">
        <f t="shared" si="31"/>
        <v>5500</v>
      </c>
      <c r="O967" s="1"/>
    </row>
    <row r="968" spans="1:15" hidden="1">
      <c r="A968" s="1" t="s">
        <v>1039</v>
      </c>
      <c r="B968" s="1" t="s">
        <v>15</v>
      </c>
      <c r="C968" s="71">
        <v>129661557617</v>
      </c>
      <c r="D968" s="3">
        <v>13153.05</v>
      </c>
      <c r="E968" s="3">
        <v>10425576.300000001</v>
      </c>
      <c r="F968" s="1" t="s">
        <v>3065</v>
      </c>
      <c r="G968"/>
      <c r="H968"/>
      <c r="I968" s="19">
        <f>-IFERROR(VLOOKUP(C968,SIRCUPA!$A$21:$H$221,8,0),0)</f>
        <v>0</v>
      </c>
      <c r="J968" s="86">
        <f>-IFERROR(VLOOKUP(C968,SIRTAC!$A$16:$H$1458,8,0),0)</f>
        <v>-135</v>
      </c>
      <c r="K968" s="86">
        <f>-IFERROR(VLOOKUP(C968,Gastos!$A$9:$J$1451,10,0),0)</f>
        <v>-130.94999999999999</v>
      </c>
      <c r="L968" s="86">
        <f>-IFERROR(VLOOKUP(C968,IDC!$A$20:$H$1763,8,0),0)</f>
        <v>-81</v>
      </c>
      <c r="M968" s="95">
        <f t="shared" si="31"/>
        <v>13500</v>
      </c>
      <c r="O968" s="1"/>
    </row>
    <row r="969" spans="1:15" hidden="1">
      <c r="A969" s="1" t="s">
        <v>1039</v>
      </c>
      <c r="B969" s="1" t="s">
        <v>15</v>
      </c>
      <c r="C969" s="71">
        <v>129661707693</v>
      </c>
      <c r="D969" s="3">
        <v>9353.2800000000007</v>
      </c>
      <c r="E969" s="3">
        <v>10434929.58</v>
      </c>
      <c r="F969" s="1" t="s">
        <v>3065</v>
      </c>
      <c r="G969"/>
      <c r="H969"/>
      <c r="I969" s="19">
        <f>-IFERROR(VLOOKUP(C969,SIRCUPA!$A$21:$H$221,8,0),0)</f>
        <v>0</v>
      </c>
      <c r="J969" s="86">
        <f>-IFERROR(VLOOKUP(C969,SIRTAC!$A$16:$H$1458,8,0),0)</f>
        <v>-96</v>
      </c>
      <c r="K969" s="86">
        <f>-IFERROR(VLOOKUP(C969,Gastos!$A$9:$J$1451,10,0),0)</f>
        <v>-93.12</v>
      </c>
      <c r="L969" s="86">
        <f>-IFERROR(VLOOKUP(C969,IDC!$A$20:$H$1763,8,0),0)</f>
        <v>-57.6</v>
      </c>
      <c r="M969" s="95">
        <f t="shared" si="31"/>
        <v>9600.0000000000018</v>
      </c>
      <c r="O969" s="1"/>
    </row>
    <row r="970" spans="1:15" hidden="1">
      <c r="A970" s="1" t="s">
        <v>1039</v>
      </c>
      <c r="B970" s="1" t="s">
        <v>15</v>
      </c>
      <c r="C970" s="71">
        <v>129661865619</v>
      </c>
      <c r="D970" s="3">
        <v>8963.56</v>
      </c>
      <c r="E970" s="3">
        <v>10443893.140000001</v>
      </c>
      <c r="F970" s="1" t="s">
        <v>3065</v>
      </c>
      <c r="G970"/>
      <c r="H970"/>
      <c r="I970" s="19">
        <f>-IFERROR(VLOOKUP(C970,SIRCUPA!$A$21:$H$221,8,0),0)</f>
        <v>0</v>
      </c>
      <c r="J970" s="86">
        <f>-IFERROR(VLOOKUP(C970,SIRTAC!$A$16:$H$1458,8,0),0)</f>
        <v>-92</v>
      </c>
      <c r="K970" s="86">
        <f>-IFERROR(VLOOKUP(C970,Gastos!$A$9:$J$1451,10,0),0)</f>
        <v>-89.24</v>
      </c>
      <c r="L970" s="86">
        <f>-IFERROR(VLOOKUP(C970,IDC!$A$20:$H$1763,8,0),0)</f>
        <v>-55.2</v>
      </c>
      <c r="M970" s="95">
        <f t="shared" si="31"/>
        <v>9200</v>
      </c>
      <c r="O970" s="1"/>
    </row>
    <row r="971" spans="1:15" hidden="1">
      <c r="A971" s="1" t="s">
        <v>1039</v>
      </c>
      <c r="B971" s="1" t="s">
        <v>15</v>
      </c>
      <c r="C971" s="71">
        <v>130238857554</v>
      </c>
      <c r="D971" s="3">
        <v>4627.92</v>
      </c>
      <c r="E971" s="3">
        <v>10448521.060000001</v>
      </c>
      <c r="F971" s="1" t="s">
        <v>3065</v>
      </c>
      <c r="G971"/>
      <c r="H971"/>
      <c r="I971" s="19">
        <f>-IFERROR(VLOOKUP(C971,SIRCUPA!$A$21:$H$221,8,0),0)</f>
        <v>0</v>
      </c>
      <c r="J971" s="86">
        <f>-IFERROR(VLOOKUP(C971,SIRTAC!$A$16:$H$1458,8,0),0)</f>
        <v>-47.5</v>
      </c>
      <c r="K971" s="86">
        <f>-IFERROR(VLOOKUP(C971,Gastos!$A$9:$J$1451,10,0),0)</f>
        <v>-46.08</v>
      </c>
      <c r="L971" s="86">
        <f>-IFERROR(VLOOKUP(C971,IDC!$A$20:$H$1763,8,0),0)</f>
        <v>-28.5</v>
      </c>
      <c r="M971" s="95">
        <f t="shared" si="31"/>
        <v>4750</v>
      </c>
      <c r="O971" s="1"/>
    </row>
    <row r="972" spans="1:15" hidden="1">
      <c r="A972" s="1" t="s">
        <v>1039</v>
      </c>
      <c r="B972" s="1" t="s">
        <v>15</v>
      </c>
      <c r="C972" s="71">
        <v>130238877698</v>
      </c>
      <c r="D972" s="3">
        <v>8963.56</v>
      </c>
      <c r="E972" s="3">
        <v>10457484.619999999</v>
      </c>
      <c r="F972" s="1" t="s">
        <v>3065</v>
      </c>
      <c r="G972"/>
      <c r="H972"/>
      <c r="I972" s="19">
        <f>-IFERROR(VLOOKUP(C972,SIRCUPA!$A$21:$H$221,8,0),0)</f>
        <v>0</v>
      </c>
      <c r="J972" s="86">
        <f>-IFERROR(VLOOKUP(C972,SIRTAC!$A$16:$H$1458,8,0),0)</f>
        <v>-92</v>
      </c>
      <c r="K972" s="86">
        <f>-IFERROR(VLOOKUP(C972,Gastos!$A$9:$J$1451,10,0),0)</f>
        <v>-89.24</v>
      </c>
      <c r="L972" s="86">
        <f>-IFERROR(VLOOKUP(C972,IDC!$A$20:$H$1763,8,0),0)</f>
        <v>-55.2</v>
      </c>
      <c r="M972" s="95">
        <f t="shared" si="31"/>
        <v>9200</v>
      </c>
      <c r="O972" s="1"/>
    </row>
    <row r="973" spans="1:15" hidden="1">
      <c r="A973" s="1" t="s">
        <v>1039</v>
      </c>
      <c r="B973" s="1" t="s">
        <v>15</v>
      </c>
      <c r="C973" s="71">
        <v>129662268807</v>
      </c>
      <c r="D973" s="3">
        <v>8184.12</v>
      </c>
      <c r="E973" s="3">
        <v>10465668.74</v>
      </c>
      <c r="F973" s="1" t="s">
        <v>3065</v>
      </c>
      <c r="G973"/>
      <c r="H973"/>
      <c r="I973" s="19">
        <f>-IFERROR(VLOOKUP(C973,SIRCUPA!$A$21:$H$221,8,0),0)</f>
        <v>0</v>
      </c>
      <c r="J973" s="86">
        <f>-IFERROR(VLOOKUP(C973,SIRTAC!$A$16:$H$1458,8,0),0)</f>
        <v>-84</v>
      </c>
      <c r="K973" s="86">
        <f>-IFERROR(VLOOKUP(C973,Gastos!$A$9:$J$1451,10,0),0)</f>
        <v>-81.48</v>
      </c>
      <c r="L973" s="86">
        <f>-IFERROR(VLOOKUP(C973,IDC!$A$20:$H$1763,8,0),0)</f>
        <v>-50.4</v>
      </c>
      <c r="M973" s="95">
        <f t="shared" si="31"/>
        <v>8399.9999999999982</v>
      </c>
      <c r="O973" s="1"/>
    </row>
    <row r="974" spans="1:15" hidden="1">
      <c r="A974" s="1" t="s">
        <v>1039</v>
      </c>
      <c r="B974" s="1" t="s">
        <v>15</v>
      </c>
      <c r="C974" s="71">
        <v>130239526198</v>
      </c>
      <c r="D974" s="3">
        <v>4676.6400000000003</v>
      </c>
      <c r="E974" s="3">
        <v>10470345.380000001</v>
      </c>
      <c r="F974" s="1" t="s">
        <v>3065</v>
      </c>
      <c r="G974"/>
      <c r="H974"/>
      <c r="I974" s="19">
        <f>-IFERROR(VLOOKUP(C974,SIRCUPA!$A$21:$H$221,8,0),0)</f>
        <v>0</v>
      </c>
      <c r="J974" s="86">
        <f>-IFERROR(VLOOKUP(C974,SIRTAC!$A$16:$H$1458,8,0),0)</f>
        <v>-48</v>
      </c>
      <c r="K974" s="86">
        <f>-IFERROR(VLOOKUP(C974,Gastos!$A$9:$J$1451,10,0),0)</f>
        <v>-46.56</v>
      </c>
      <c r="L974" s="86">
        <f>-IFERROR(VLOOKUP(C974,IDC!$A$20:$H$1763,8,0),0)</f>
        <v>-28.8</v>
      </c>
      <c r="M974" s="95">
        <f t="shared" si="31"/>
        <v>4800.0000000000009</v>
      </c>
      <c r="O974" s="1"/>
    </row>
    <row r="975" spans="1:15" hidden="1">
      <c r="A975" s="1" t="s">
        <v>1039</v>
      </c>
      <c r="B975" s="1" t="s">
        <v>15</v>
      </c>
      <c r="C975" s="71">
        <v>130239601260</v>
      </c>
      <c r="D975" s="3">
        <v>7794.4</v>
      </c>
      <c r="E975" s="3">
        <v>10478139.779999999</v>
      </c>
      <c r="F975" s="1" t="s">
        <v>3065</v>
      </c>
      <c r="G975"/>
      <c r="H975"/>
      <c r="I975" s="19">
        <f>-IFERROR(VLOOKUP(C975,SIRCUPA!$A$21:$H$221,8,0),0)</f>
        <v>0</v>
      </c>
      <c r="J975" s="86">
        <f>-IFERROR(VLOOKUP(C975,SIRTAC!$A$16:$H$1458,8,0),0)</f>
        <v>-80</v>
      </c>
      <c r="K975" s="86">
        <f>-IFERROR(VLOOKUP(C975,Gastos!$A$9:$J$1451,10,0),0)</f>
        <v>-77.599999999999994</v>
      </c>
      <c r="L975" s="86">
        <f>-IFERROR(VLOOKUP(C975,IDC!$A$20:$H$1763,8,0),0)</f>
        <v>-48</v>
      </c>
      <c r="M975" s="95">
        <f t="shared" si="31"/>
        <v>8000</v>
      </c>
      <c r="O975" s="1"/>
    </row>
    <row r="976" spans="1:15" hidden="1">
      <c r="A976" s="1" t="s">
        <v>1039</v>
      </c>
      <c r="B976" s="1" t="s">
        <v>15</v>
      </c>
      <c r="C976" s="71">
        <v>129662993211</v>
      </c>
      <c r="D976" s="3">
        <v>8259.68</v>
      </c>
      <c r="E976" s="3">
        <v>10486399.460000001</v>
      </c>
      <c r="F976" s="1" t="s">
        <v>3065</v>
      </c>
      <c r="G976"/>
      <c r="H976"/>
      <c r="I976" s="19">
        <f>-IFERROR(VLOOKUP(C976,SIRCUPA!$A$21:$H$221,8,0),0)</f>
        <v>0</v>
      </c>
      <c r="J976" s="86">
        <f>-IFERROR(VLOOKUP(C976,SIRTAC!$A$16:$H$1458,8,0),0)</f>
        <v>-88</v>
      </c>
      <c r="K976" s="86">
        <f>-IFERROR(VLOOKUP(C976,Gastos!$A$9:$J$1451,10,0),0)</f>
        <v>-399.52</v>
      </c>
      <c r="L976" s="86">
        <f>-IFERROR(VLOOKUP(C976,IDC!$A$20:$H$1763,8,0),0)</f>
        <v>-52.8</v>
      </c>
      <c r="M976" s="95">
        <f t="shared" si="31"/>
        <v>8800</v>
      </c>
      <c r="O976" s="1"/>
    </row>
    <row r="977" spans="1:15" hidden="1">
      <c r="A977" s="1" t="s">
        <v>1039</v>
      </c>
      <c r="B977" s="1" t="s">
        <v>15</v>
      </c>
      <c r="C977" s="71">
        <v>129663216957</v>
      </c>
      <c r="D977" s="3">
        <v>15491.37</v>
      </c>
      <c r="E977" s="3">
        <v>10501890.83</v>
      </c>
      <c r="F977" s="1" t="s">
        <v>3065</v>
      </c>
      <c r="G977"/>
      <c r="H977"/>
      <c r="I977" s="19">
        <f>-IFERROR(VLOOKUP(C977,SIRCUPA!$A$21:$H$221,8,0),0)</f>
        <v>0</v>
      </c>
      <c r="J977" s="86">
        <f>-IFERROR(VLOOKUP(C977,SIRTAC!$A$16:$H$1458,8,0),0)</f>
        <v>-159</v>
      </c>
      <c r="K977" s="86">
        <f>-IFERROR(VLOOKUP(C977,Gastos!$A$9:$J$1451,10,0),0)</f>
        <v>-154.22999999999999</v>
      </c>
      <c r="L977" s="86">
        <f>-IFERROR(VLOOKUP(C977,IDC!$A$20:$H$1763,8,0),0)</f>
        <v>-95.4</v>
      </c>
      <c r="M977" s="95">
        <f t="shared" si="31"/>
        <v>15900</v>
      </c>
      <c r="O977" s="1"/>
    </row>
    <row r="978" spans="1:15" hidden="1">
      <c r="A978" s="1" t="s">
        <v>1039</v>
      </c>
      <c r="B978" s="1" t="s">
        <v>15</v>
      </c>
      <c r="C978" s="71">
        <v>129663343489</v>
      </c>
      <c r="D978" s="3">
        <v>11691.6</v>
      </c>
      <c r="E978" s="3">
        <v>10513582.43</v>
      </c>
      <c r="F978" s="1" t="s">
        <v>3065</v>
      </c>
      <c r="G978"/>
      <c r="H978"/>
      <c r="I978" s="19">
        <f>-IFERROR(VLOOKUP(C978,SIRCUPA!$A$21:$H$221,8,0),0)</f>
        <v>0</v>
      </c>
      <c r="J978" s="86">
        <f>-IFERROR(VLOOKUP(C978,SIRTAC!$A$16:$H$1458,8,0),0)</f>
        <v>-120</v>
      </c>
      <c r="K978" s="86">
        <f>-IFERROR(VLOOKUP(C978,Gastos!$A$9:$J$1451,10,0),0)</f>
        <v>-116.4</v>
      </c>
      <c r="L978" s="86">
        <f>-IFERROR(VLOOKUP(C978,IDC!$A$20:$H$1763,8,0),0)</f>
        <v>-72</v>
      </c>
      <c r="M978" s="95">
        <f t="shared" si="31"/>
        <v>12000</v>
      </c>
      <c r="O978" s="1"/>
    </row>
    <row r="979" spans="1:15" hidden="1">
      <c r="A979" s="1" t="s">
        <v>1039</v>
      </c>
      <c r="B979" s="1" t="s">
        <v>15</v>
      </c>
      <c r="C979" s="71">
        <v>130240464046</v>
      </c>
      <c r="D979" s="3">
        <v>20752.59</v>
      </c>
      <c r="E979" s="3">
        <v>10534335.02</v>
      </c>
      <c r="F979" s="1" t="s">
        <v>3065</v>
      </c>
      <c r="G979"/>
      <c r="H979"/>
      <c r="I979" s="19">
        <f>-IFERROR(VLOOKUP(C979,SIRCUPA!$A$21:$H$221,8,0),0)</f>
        <v>0</v>
      </c>
      <c r="J979" s="86">
        <f>-IFERROR(VLOOKUP(C979,SIRTAC!$A$16:$H$1458,8,0),0)</f>
        <v>-213</v>
      </c>
      <c r="K979" s="86">
        <f>-IFERROR(VLOOKUP(C979,Gastos!$A$9:$J$1451,10,0),0)</f>
        <v>-206.61</v>
      </c>
      <c r="L979" s="86">
        <f>-IFERROR(VLOOKUP(C979,IDC!$A$20:$H$1763,8,0),0)</f>
        <v>-127.8</v>
      </c>
      <c r="M979" s="95">
        <f t="shared" si="31"/>
        <v>21300</v>
      </c>
      <c r="O979" s="1"/>
    </row>
    <row r="980" spans="1:15" hidden="1">
      <c r="A980" s="1" t="s">
        <v>1039</v>
      </c>
      <c r="B980" s="1" t="s">
        <v>15</v>
      </c>
      <c r="C980" s="71">
        <v>129663918113</v>
      </c>
      <c r="D980" s="3">
        <v>14711.93</v>
      </c>
      <c r="E980" s="3">
        <v>10549046.949999999</v>
      </c>
      <c r="F980" s="1" t="s">
        <v>3065</v>
      </c>
      <c r="G980"/>
      <c r="H980"/>
      <c r="I980" s="19">
        <f>-IFERROR(VLOOKUP(C980,SIRCUPA!$A$21:$H$221,8,0),0)</f>
        <v>0</v>
      </c>
      <c r="J980" s="86">
        <f>-IFERROR(VLOOKUP(C980,SIRTAC!$A$16:$H$1458,8,0),0)</f>
        <v>-151</v>
      </c>
      <c r="K980" s="86">
        <f>-IFERROR(VLOOKUP(C980,Gastos!$A$9:$J$1451,10,0),0)</f>
        <v>-146.47</v>
      </c>
      <c r="L980" s="86">
        <f>-IFERROR(VLOOKUP(C980,IDC!$A$20:$H$1763,8,0),0)</f>
        <v>-90.6</v>
      </c>
      <c r="M980" s="95">
        <f t="shared" si="31"/>
        <v>15100</v>
      </c>
      <c r="O980" s="1"/>
    </row>
    <row r="981" spans="1:15" hidden="1">
      <c r="A981" s="1" t="s">
        <v>1039</v>
      </c>
      <c r="B981" s="1" t="s">
        <v>1108</v>
      </c>
      <c r="C981" s="71">
        <v>129663813559</v>
      </c>
      <c r="D981" s="2">
        <v>739.14</v>
      </c>
      <c r="E981" s="3">
        <v>10549786.09</v>
      </c>
      <c r="F981" s="1" t="s">
        <v>3065</v>
      </c>
      <c r="G981"/>
      <c r="H981"/>
      <c r="I981" s="19">
        <f>-IFERROR(VLOOKUP(C981,SIRCUPA!$A$21:$H$221,8,0),0)</f>
        <v>-11.33</v>
      </c>
      <c r="J981" s="86">
        <f>-IFERROR(VLOOKUP(C981,SIRTAC!$A$16:$H$1458,8,0),0)</f>
        <v>0</v>
      </c>
      <c r="K981" s="86">
        <f>-IFERROR(VLOOKUP(C981,Gastos!$A$9:$J$1451,10,0),0)</f>
        <v>0</v>
      </c>
      <c r="L981" s="86">
        <f>-IFERROR(VLOOKUP(C981,IDC!$A$20:$H$1763,8,0),0)</f>
        <v>-4.53</v>
      </c>
      <c r="M981" s="95">
        <f t="shared" si="31"/>
        <v>755</v>
      </c>
      <c r="O981" s="1"/>
    </row>
    <row r="982" spans="1:15" hidden="1">
      <c r="A982" s="1" t="s">
        <v>1039</v>
      </c>
      <c r="B982" s="1" t="s">
        <v>15</v>
      </c>
      <c r="C982" s="71">
        <v>129663962379</v>
      </c>
      <c r="D982" s="3">
        <v>117013.43</v>
      </c>
      <c r="E982" s="3">
        <v>10666799.52</v>
      </c>
      <c r="F982" s="1" t="s">
        <v>3065</v>
      </c>
      <c r="G982"/>
      <c r="H982"/>
      <c r="I982" s="19">
        <f>-IFERROR(VLOOKUP(C982,SIRCUPA!$A$21:$H$221,8,0),0)</f>
        <v>0</v>
      </c>
      <c r="J982" s="86">
        <f>-IFERROR(VLOOKUP(C982,SIRTAC!$A$16:$H$1458,8,0),0)</f>
        <v>-1201</v>
      </c>
      <c r="K982" s="86">
        <f>-IFERROR(VLOOKUP(C982,Gastos!$A$9:$J$1451,10,0),0)</f>
        <v>-1164.97</v>
      </c>
      <c r="L982" s="86">
        <f>-IFERROR(VLOOKUP(C982,IDC!$A$20:$H$1763,8,0),0)</f>
        <v>-720.6</v>
      </c>
      <c r="M982" s="95">
        <f t="shared" si="31"/>
        <v>120100</v>
      </c>
      <c r="O982" s="1"/>
    </row>
    <row r="983" spans="1:15" hidden="1">
      <c r="A983" s="1" t="s">
        <v>1039</v>
      </c>
      <c r="B983" s="1" t="s">
        <v>1111</v>
      </c>
      <c r="C983" s="71">
        <v>130240793762</v>
      </c>
      <c r="D983" s="3">
        <v>5878.89</v>
      </c>
      <c r="E983" s="3">
        <v>10672678.41</v>
      </c>
      <c r="F983" s="1" t="s">
        <v>3065</v>
      </c>
      <c r="G983"/>
      <c r="H983"/>
      <c r="I983" s="19">
        <f>-IFERROR(VLOOKUP(C983,SIRCUPA!$A$21:$H$221,8,0),0)</f>
        <v>-90.08</v>
      </c>
      <c r="J983" s="86">
        <f>-IFERROR(VLOOKUP(C983,SIRTAC!$A$16:$H$1458,8,0),0)</f>
        <v>0</v>
      </c>
      <c r="K983" s="86">
        <f>-IFERROR(VLOOKUP(C983,Gastos!$A$9:$J$1451,10,0),0)</f>
        <v>0</v>
      </c>
      <c r="L983" s="86">
        <f>-IFERROR(VLOOKUP(C983,IDC!$A$20:$H$1763,8,0),0)</f>
        <v>-36.03</v>
      </c>
      <c r="M983" s="95">
        <f t="shared" si="31"/>
        <v>6005</v>
      </c>
      <c r="O983" s="1"/>
    </row>
    <row r="984" spans="1:15" hidden="1">
      <c r="A984" s="1" t="s">
        <v>1039</v>
      </c>
      <c r="B984" s="1" t="s">
        <v>15</v>
      </c>
      <c r="C984" s="71">
        <v>130240900046</v>
      </c>
      <c r="D984" s="3">
        <v>18706.560000000001</v>
      </c>
      <c r="E984" s="3">
        <v>10691384.970000001</v>
      </c>
      <c r="F984" s="1" t="s">
        <v>3065</v>
      </c>
      <c r="G984"/>
      <c r="H984"/>
      <c r="I984" s="19">
        <f>-IFERROR(VLOOKUP(C984,SIRCUPA!$A$21:$H$221,8,0),0)</f>
        <v>0</v>
      </c>
      <c r="J984" s="86">
        <f>-IFERROR(VLOOKUP(C984,SIRTAC!$A$16:$H$1458,8,0),0)</f>
        <v>-192</v>
      </c>
      <c r="K984" s="86">
        <f>-IFERROR(VLOOKUP(C984,Gastos!$A$9:$J$1451,10,0),0)</f>
        <v>-186.24</v>
      </c>
      <c r="L984" s="86">
        <f>-IFERROR(VLOOKUP(C984,IDC!$A$20:$H$1763,8,0),0)</f>
        <v>-115.2</v>
      </c>
      <c r="M984" s="95">
        <f t="shared" si="31"/>
        <v>19200.000000000004</v>
      </c>
      <c r="O984" s="1"/>
    </row>
    <row r="985" spans="1:15" hidden="1">
      <c r="A985" s="1" t="s">
        <v>1039</v>
      </c>
      <c r="B985" s="1" t="s">
        <v>15</v>
      </c>
      <c r="C985" s="71">
        <v>129664222459</v>
      </c>
      <c r="D985" s="3">
        <v>95792.58</v>
      </c>
      <c r="E985" s="3">
        <v>10787177.550000001</v>
      </c>
      <c r="F985" s="1" t="s">
        <v>3065</v>
      </c>
      <c r="G985"/>
      <c r="H985"/>
      <c r="I985" s="19">
        <f>-IFERROR(VLOOKUP(C985,SIRCUPA!$A$21:$H$221,8,0),0)</f>
        <v>0</v>
      </c>
      <c r="J985" s="86">
        <f>-IFERROR(VLOOKUP(C985,SIRTAC!$A$16:$H$1458,8,0),0)</f>
        <v>-1014</v>
      </c>
      <c r="K985" s="86">
        <f>-IFERROR(VLOOKUP(C985,Gastos!$A$9:$J$1451,10,0),0)</f>
        <v>-3985.02</v>
      </c>
      <c r="L985" s="86">
        <f>-IFERROR(VLOOKUP(C985,IDC!$A$20:$H$1763,8,0),0)</f>
        <v>-608.4</v>
      </c>
      <c r="M985" s="95">
        <f t="shared" si="31"/>
        <v>101400</v>
      </c>
      <c r="O985" s="1"/>
    </row>
    <row r="986" spans="1:15" hidden="1">
      <c r="A986" s="1" t="s">
        <v>1039</v>
      </c>
      <c r="B986" s="1" t="s">
        <v>15</v>
      </c>
      <c r="C986" s="71">
        <v>130241438654</v>
      </c>
      <c r="D986" s="3">
        <v>4092.06</v>
      </c>
      <c r="E986" s="3">
        <v>10791269.609999999</v>
      </c>
      <c r="F986" s="1" t="s">
        <v>3065</v>
      </c>
      <c r="G986"/>
      <c r="H986"/>
      <c r="I986" s="19">
        <f>-IFERROR(VLOOKUP(C986,SIRCUPA!$A$21:$H$221,8,0),0)</f>
        <v>0</v>
      </c>
      <c r="J986" s="86">
        <f>-IFERROR(VLOOKUP(C986,SIRTAC!$A$16:$H$1458,8,0),0)</f>
        <v>-42</v>
      </c>
      <c r="K986" s="86">
        <f>-IFERROR(VLOOKUP(C986,Gastos!$A$9:$J$1451,10,0),0)</f>
        <v>-40.74</v>
      </c>
      <c r="L986" s="86">
        <f>-IFERROR(VLOOKUP(C986,IDC!$A$20:$H$1763,8,0),0)</f>
        <v>-25.2</v>
      </c>
      <c r="M986" s="95">
        <f t="shared" si="31"/>
        <v>4199.9999999999991</v>
      </c>
      <c r="O986" s="1"/>
    </row>
    <row r="987" spans="1:15" hidden="1">
      <c r="A987" s="1" t="s">
        <v>1039</v>
      </c>
      <c r="B987" s="1" t="s">
        <v>15</v>
      </c>
      <c r="C987" s="71">
        <v>130241731324</v>
      </c>
      <c r="D987" s="3">
        <v>11886.46</v>
      </c>
      <c r="E987" s="3">
        <v>10803156.07</v>
      </c>
      <c r="F987" s="1" t="s">
        <v>3065</v>
      </c>
      <c r="G987"/>
      <c r="H987"/>
      <c r="I987" s="19">
        <f>-IFERROR(VLOOKUP(C987,SIRCUPA!$A$21:$H$221,8,0),0)</f>
        <v>0</v>
      </c>
      <c r="J987" s="86">
        <f>-IFERROR(VLOOKUP(C987,SIRTAC!$A$16:$H$1458,8,0),0)</f>
        <v>-122</v>
      </c>
      <c r="K987" s="86">
        <f>-IFERROR(VLOOKUP(C987,Gastos!$A$9:$J$1451,10,0),0)</f>
        <v>-118.34</v>
      </c>
      <c r="L987" s="86">
        <f>-IFERROR(VLOOKUP(C987,IDC!$A$20:$H$1763,8,0),0)</f>
        <v>-73.2</v>
      </c>
      <c r="M987" s="95">
        <f t="shared" si="31"/>
        <v>12200</v>
      </c>
      <c r="O987" s="1"/>
    </row>
    <row r="988" spans="1:15" hidden="1">
      <c r="A988" s="1" t="s">
        <v>1039</v>
      </c>
      <c r="B988" s="1" t="s">
        <v>15</v>
      </c>
      <c r="C988" s="71">
        <v>129664922167</v>
      </c>
      <c r="D988" s="3">
        <v>39848.870000000003</v>
      </c>
      <c r="E988" s="3">
        <v>10843004.939999999</v>
      </c>
      <c r="F988" s="1" t="s">
        <v>3065</v>
      </c>
      <c r="G988"/>
      <c r="H988"/>
      <c r="I988" s="19">
        <f>-IFERROR(VLOOKUP(C988,SIRCUPA!$A$21:$H$221,8,0),0)</f>
        <v>0</v>
      </c>
      <c r="J988" s="86">
        <f>-IFERROR(VLOOKUP(C988,SIRTAC!$A$16:$H$1458,8,0),0)</f>
        <v>-409</v>
      </c>
      <c r="K988" s="86">
        <f>-IFERROR(VLOOKUP(C988,Gastos!$A$9:$J$1451,10,0),0)</f>
        <v>-396.73</v>
      </c>
      <c r="L988" s="86">
        <f>-IFERROR(VLOOKUP(C988,IDC!$A$20:$H$1763,8,0),0)</f>
        <v>-245.4</v>
      </c>
      <c r="M988" s="95">
        <f t="shared" si="31"/>
        <v>40900.000000000007</v>
      </c>
      <c r="O988" s="1"/>
    </row>
    <row r="989" spans="1:15" hidden="1">
      <c r="A989" s="1" t="s">
        <v>1118</v>
      </c>
      <c r="B989" s="1" t="s">
        <v>15</v>
      </c>
      <c r="C989" s="71">
        <v>129665013047</v>
      </c>
      <c r="D989" s="3">
        <v>17431.68</v>
      </c>
      <c r="E989" s="3">
        <v>10860436.619999999</v>
      </c>
      <c r="F989" s="1" t="s">
        <v>3065</v>
      </c>
      <c r="G989"/>
      <c r="H989"/>
      <c r="I989" s="19">
        <f>-IFERROR(VLOOKUP(C989,SIRCUPA!$A$21:$H$221,8,0),0)</f>
        <v>0</v>
      </c>
      <c r="J989" s="86">
        <f>-IFERROR(VLOOKUP(C989,SIRTAC!$A$16:$H$1458,8,0),0)</f>
        <v>-192</v>
      </c>
      <c r="K989" s="86">
        <f>-IFERROR(VLOOKUP(C989,Gastos!$A$9:$J$1451,10,0),0)</f>
        <v>-1461.12</v>
      </c>
      <c r="L989" s="86">
        <f>-IFERROR(VLOOKUP(C989,IDC!$A$20:$H$1763,8,0),0)</f>
        <v>-115.2</v>
      </c>
      <c r="M989" s="95">
        <f t="shared" si="31"/>
        <v>19200</v>
      </c>
      <c r="O989" s="1"/>
    </row>
    <row r="990" spans="1:15" hidden="1">
      <c r="A990" s="1" t="s">
        <v>1118</v>
      </c>
      <c r="B990" s="1" t="s">
        <v>15</v>
      </c>
      <c r="C990" s="71">
        <v>130242353180</v>
      </c>
      <c r="D990" s="3">
        <v>19837.849999999999</v>
      </c>
      <c r="E990" s="3">
        <v>10880274.470000001</v>
      </c>
      <c r="F990" s="1" t="s">
        <v>3065</v>
      </c>
      <c r="G990"/>
      <c r="H990"/>
      <c r="I990" s="19">
        <f>-IFERROR(VLOOKUP(C990,SIRCUPA!$A$21:$H$221,8,0),0)</f>
        <v>0</v>
      </c>
      <c r="J990" s="86">
        <f>-IFERROR(VLOOKUP(C990,SIRTAC!$A$16:$H$1458,8,0),0)</f>
        <v>-205</v>
      </c>
      <c r="K990" s="86">
        <f>-IFERROR(VLOOKUP(C990,Gastos!$A$9:$J$1451,10,0),0)</f>
        <v>-334.15</v>
      </c>
      <c r="L990" s="86">
        <f>-IFERROR(VLOOKUP(C990,IDC!$A$20:$H$1763,8,0),0)</f>
        <v>-123</v>
      </c>
      <c r="M990" s="95">
        <f t="shared" si="31"/>
        <v>20500</v>
      </c>
      <c r="O990" s="1"/>
    </row>
    <row r="991" spans="1:15" hidden="1">
      <c r="A991" s="1" t="s">
        <v>1118</v>
      </c>
      <c r="B991" s="1" t="s">
        <v>15</v>
      </c>
      <c r="C991" s="71">
        <v>129665646917</v>
      </c>
      <c r="D991" s="3">
        <v>3897.2</v>
      </c>
      <c r="E991" s="3">
        <v>10884171.67</v>
      </c>
      <c r="F991" s="1" t="s">
        <v>3065</v>
      </c>
      <c r="G991"/>
      <c r="H991"/>
      <c r="I991" s="19">
        <f>-IFERROR(VLOOKUP(C991,SIRCUPA!$A$21:$H$221,8,0),0)</f>
        <v>0</v>
      </c>
      <c r="J991" s="86">
        <f>-IFERROR(VLOOKUP(C991,SIRTAC!$A$16:$H$1458,8,0),0)</f>
        <v>-40</v>
      </c>
      <c r="K991" s="86">
        <f>-IFERROR(VLOOKUP(C991,Gastos!$A$9:$J$1451,10,0),0)</f>
        <v>-38.799999999999997</v>
      </c>
      <c r="L991" s="86">
        <f>-IFERROR(VLOOKUP(C991,IDC!$A$20:$H$1763,8,0),0)</f>
        <v>-24</v>
      </c>
      <c r="M991" s="95">
        <f t="shared" si="31"/>
        <v>4000</v>
      </c>
      <c r="O991" s="1"/>
    </row>
    <row r="992" spans="1:15" hidden="1">
      <c r="A992" s="1" t="s">
        <v>1118</v>
      </c>
      <c r="B992" s="1" t="s">
        <v>15</v>
      </c>
      <c r="C992" s="71">
        <v>129665679145</v>
      </c>
      <c r="D992" s="3">
        <v>6423.96</v>
      </c>
      <c r="E992" s="3">
        <v>10890595.630000001</v>
      </c>
      <c r="F992" s="1" t="s">
        <v>3065</v>
      </c>
      <c r="G992"/>
      <c r="H992"/>
      <c r="I992" s="19">
        <f>-IFERROR(VLOOKUP(C992,SIRCUPA!$A$21:$H$221,8,0),0)</f>
        <v>0</v>
      </c>
      <c r="J992" s="86">
        <f>-IFERROR(VLOOKUP(C992,SIRTAC!$A$16:$H$1458,8,0),0)</f>
        <v>-68</v>
      </c>
      <c r="K992" s="86">
        <f>-IFERROR(VLOOKUP(C992,Gastos!$A$9:$J$1451,10,0),0)</f>
        <v>-267.24</v>
      </c>
      <c r="L992" s="86">
        <f>-IFERROR(VLOOKUP(C992,IDC!$A$20:$H$1763,8,0),0)</f>
        <v>-40.799999999999997</v>
      </c>
      <c r="M992" s="95">
        <f t="shared" si="31"/>
        <v>6800</v>
      </c>
      <c r="O992" s="1"/>
    </row>
    <row r="993" spans="1:15" hidden="1">
      <c r="A993" s="1" t="s">
        <v>1118</v>
      </c>
      <c r="B993" s="1" t="s">
        <v>15</v>
      </c>
      <c r="C993" s="71">
        <v>130242682206</v>
      </c>
      <c r="D993" s="3">
        <v>47156.12</v>
      </c>
      <c r="E993" s="3">
        <v>10937751.75</v>
      </c>
      <c r="F993" s="1" t="s">
        <v>3065</v>
      </c>
      <c r="G993"/>
      <c r="H993"/>
      <c r="I993" s="19">
        <f>-IFERROR(VLOOKUP(C993,SIRCUPA!$A$21:$H$221,8,0),0)</f>
        <v>0</v>
      </c>
      <c r="J993" s="86">
        <f>-IFERROR(VLOOKUP(C993,SIRTAC!$A$16:$H$1458,8,0),0)</f>
        <v>-484</v>
      </c>
      <c r="K993" s="86">
        <f>-IFERROR(VLOOKUP(C993,Gastos!$A$9:$J$1451,10,0),0)</f>
        <v>-469.48</v>
      </c>
      <c r="L993" s="86">
        <f>-IFERROR(VLOOKUP(C993,IDC!$A$20:$H$1763,8,0),0)</f>
        <v>-290.39999999999998</v>
      </c>
      <c r="M993" s="95">
        <f t="shared" si="31"/>
        <v>48400.000000000007</v>
      </c>
      <c r="O993" s="1"/>
    </row>
    <row r="994" spans="1:15" hidden="1">
      <c r="A994" s="1" t="s">
        <v>1118</v>
      </c>
      <c r="B994" s="1" t="s">
        <v>1124</v>
      </c>
      <c r="C994" s="71">
        <v>129665744315</v>
      </c>
      <c r="D994" s="3">
        <v>2369.1799999999998</v>
      </c>
      <c r="E994" s="3">
        <v>10940120.93</v>
      </c>
      <c r="F994" s="1" t="s">
        <v>3065</v>
      </c>
      <c r="G994"/>
      <c r="H994"/>
      <c r="I994" s="19">
        <f>-IFERROR(VLOOKUP(C994,SIRCUPA!$A$21:$H$221,8,0),0)</f>
        <v>-36.299999999999997</v>
      </c>
      <c r="J994" s="86">
        <f>-IFERROR(VLOOKUP(C994,SIRTAC!$A$16:$H$1458,8,0),0)</f>
        <v>0</v>
      </c>
      <c r="K994" s="86">
        <f>-IFERROR(VLOOKUP(C994,Gastos!$A$9:$J$1451,10,0),0)</f>
        <v>0</v>
      </c>
      <c r="L994" s="86">
        <f>-IFERROR(VLOOKUP(C994,IDC!$A$20:$H$1763,8,0),0)</f>
        <v>-14.52</v>
      </c>
      <c r="M994" s="95">
        <f t="shared" si="31"/>
        <v>2420</v>
      </c>
      <c r="O994" s="1"/>
    </row>
    <row r="995" spans="1:15" hidden="1">
      <c r="A995" s="1" t="s">
        <v>1118</v>
      </c>
      <c r="B995" s="1" t="s">
        <v>15</v>
      </c>
      <c r="C995" s="71">
        <v>129665788341</v>
      </c>
      <c r="D995" s="3">
        <v>13445.34</v>
      </c>
      <c r="E995" s="3">
        <v>10953566.27</v>
      </c>
      <c r="F995" s="1" t="s">
        <v>3065</v>
      </c>
      <c r="G995"/>
      <c r="H995"/>
      <c r="I995" s="19">
        <f>-IFERROR(VLOOKUP(C995,SIRCUPA!$A$21:$H$221,8,0),0)</f>
        <v>0</v>
      </c>
      <c r="J995" s="86">
        <f>-IFERROR(VLOOKUP(C995,SIRTAC!$A$16:$H$1458,8,0),0)</f>
        <v>-138</v>
      </c>
      <c r="K995" s="86">
        <f>-IFERROR(VLOOKUP(C995,Gastos!$A$9:$J$1451,10,0),0)</f>
        <v>-133.86000000000001</v>
      </c>
      <c r="L995" s="86">
        <f>-IFERROR(VLOOKUP(C995,IDC!$A$20:$H$1763,8,0),0)</f>
        <v>-82.8</v>
      </c>
      <c r="M995" s="95">
        <f t="shared" si="31"/>
        <v>13800</v>
      </c>
      <c r="O995" s="1"/>
    </row>
    <row r="996" spans="1:15" hidden="1">
      <c r="A996" s="1" t="s">
        <v>1118</v>
      </c>
      <c r="B996" s="1" t="s">
        <v>15</v>
      </c>
      <c r="C996" s="71">
        <v>130242872800</v>
      </c>
      <c r="D996" s="3">
        <v>13250.48</v>
      </c>
      <c r="E996" s="3">
        <v>10966816.75</v>
      </c>
      <c r="F996" s="1" t="s">
        <v>3065</v>
      </c>
      <c r="G996"/>
      <c r="H996"/>
      <c r="I996" s="19">
        <f>-IFERROR(VLOOKUP(C996,SIRCUPA!$A$21:$H$221,8,0),0)</f>
        <v>0</v>
      </c>
      <c r="J996" s="86">
        <f>-IFERROR(VLOOKUP(C996,SIRTAC!$A$16:$H$1458,8,0),0)</f>
        <v>-136</v>
      </c>
      <c r="K996" s="86">
        <f>-IFERROR(VLOOKUP(C996,Gastos!$A$9:$J$1451,10,0),0)</f>
        <v>-131.91999999999999</v>
      </c>
      <c r="L996" s="86">
        <f>-IFERROR(VLOOKUP(C996,IDC!$A$20:$H$1763,8,0),0)</f>
        <v>-81.599999999999994</v>
      </c>
      <c r="M996" s="95">
        <f t="shared" si="31"/>
        <v>13600</v>
      </c>
      <c r="O996" s="1"/>
    </row>
    <row r="997" spans="1:15" hidden="1">
      <c r="A997" s="1" t="s">
        <v>1118</v>
      </c>
      <c r="B997" s="1" t="s">
        <v>15</v>
      </c>
      <c r="C997" s="71">
        <v>130243088256</v>
      </c>
      <c r="D997" s="3">
        <v>4156.68</v>
      </c>
      <c r="E997" s="3">
        <v>10970973.43</v>
      </c>
      <c r="F997" s="1" t="s">
        <v>3065</v>
      </c>
      <c r="G997"/>
      <c r="H997"/>
      <c r="I997" s="19">
        <f>-IFERROR(VLOOKUP(C997,SIRCUPA!$A$21:$H$221,8,0),0)</f>
        <v>0</v>
      </c>
      <c r="J997" s="86">
        <f>-IFERROR(VLOOKUP(C997,SIRTAC!$A$16:$H$1458,8,0),0)</f>
        <v>-44</v>
      </c>
      <c r="K997" s="86">
        <f>-IFERROR(VLOOKUP(C997,Gastos!$A$9:$J$1451,10,0),0)</f>
        <v>-172.92</v>
      </c>
      <c r="L997" s="86">
        <f>-IFERROR(VLOOKUP(C997,IDC!$A$20:$H$1763,8,0),0)</f>
        <v>-26.4</v>
      </c>
      <c r="M997" s="95">
        <f t="shared" si="31"/>
        <v>4400</v>
      </c>
      <c r="O997" s="1"/>
    </row>
    <row r="998" spans="1:15" hidden="1">
      <c r="A998" s="1" t="s">
        <v>1118</v>
      </c>
      <c r="B998" s="1" t="s">
        <v>15</v>
      </c>
      <c r="C998" s="71">
        <v>130243178826</v>
      </c>
      <c r="D998" s="3">
        <v>20168.009999999998</v>
      </c>
      <c r="E998" s="3">
        <v>10991141.439999999</v>
      </c>
      <c r="F998" s="1" t="s">
        <v>3065</v>
      </c>
      <c r="G998"/>
      <c r="H998"/>
      <c r="I998" s="19">
        <f>-IFERROR(VLOOKUP(C998,SIRCUPA!$A$21:$H$221,8,0),0)</f>
        <v>0</v>
      </c>
      <c r="J998" s="86">
        <f>-IFERROR(VLOOKUP(C998,SIRTAC!$A$16:$H$1458,8,0),0)</f>
        <v>-207</v>
      </c>
      <c r="K998" s="86">
        <f>-IFERROR(VLOOKUP(C998,Gastos!$A$9:$J$1451,10,0),0)</f>
        <v>-200.79</v>
      </c>
      <c r="L998" s="86">
        <f>-IFERROR(VLOOKUP(C998,IDC!$A$20:$H$1763,8,0),0)</f>
        <v>-124.2</v>
      </c>
      <c r="M998" s="95">
        <f t="shared" si="31"/>
        <v>20700</v>
      </c>
      <c r="O998" s="1"/>
    </row>
    <row r="999" spans="1:15" hidden="1">
      <c r="A999" s="1" t="s">
        <v>1118</v>
      </c>
      <c r="B999" s="1" t="s">
        <v>15</v>
      </c>
      <c r="C999" s="71">
        <v>130243259208</v>
      </c>
      <c r="D999" s="3">
        <v>21434.6</v>
      </c>
      <c r="E999" s="3">
        <v>11012576.039999999</v>
      </c>
      <c r="F999" s="1" t="s">
        <v>3065</v>
      </c>
      <c r="G999"/>
      <c r="H999"/>
      <c r="I999" s="19">
        <f>-IFERROR(VLOOKUP(C999,SIRCUPA!$A$21:$H$221,8,0),0)</f>
        <v>0</v>
      </c>
      <c r="J999" s="86">
        <f>-IFERROR(VLOOKUP(C999,SIRTAC!$A$16:$H$1458,8,0),0)</f>
        <v>-220</v>
      </c>
      <c r="K999" s="86">
        <f>-IFERROR(VLOOKUP(C999,Gastos!$A$9:$J$1451,10,0),0)</f>
        <v>-213.4</v>
      </c>
      <c r="L999" s="86">
        <f>-IFERROR(VLOOKUP(C999,IDC!$A$20:$H$1763,8,0),0)</f>
        <v>-132</v>
      </c>
      <c r="M999" s="95">
        <f t="shared" si="31"/>
        <v>22000</v>
      </c>
      <c r="O999" s="1"/>
    </row>
    <row r="1000" spans="1:15" hidden="1">
      <c r="A1000" s="1" t="s">
        <v>1118</v>
      </c>
      <c r="B1000" s="1" t="s">
        <v>15</v>
      </c>
      <c r="C1000" s="71">
        <v>130243432840</v>
      </c>
      <c r="D1000" s="3">
        <v>10717.3</v>
      </c>
      <c r="E1000" s="3">
        <v>11023293.34</v>
      </c>
      <c r="F1000" s="1" t="s">
        <v>3065</v>
      </c>
      <c r="G1000"/>
      <c r="H1000"/>
      <c r="I1000" s="19">
        <f>-IFERROR(VLOOKUP(C1000,SIRCUPA!$A$21:$H$221,8,0),0)</f>
        <v>0</v>
      </c>
      <c r="J1000" s="86">
        <f>-IFERROR(VLOOKUP(C1000,SIRTAC!$A$16:$H$1458,8,0),0)</f>
        <v>-110</v>
      </c>
      <c r="K1000" s="86">
        <f>-IFERROR(VLOOKUP(C1000,Gastos!$A$9:$J$1451,10,0),0)</f>
        <v>-106.7</v>
      </c>
      <c r="L1000" s="86">
        <f>-IFERROR(VLOOKUP(C1000,IDC!$A$20:$H$1763,8,0),0)</f>
        <v>-66</v>
      </c>
      <c r="M1000" s="95">
        <f t="shared" si="31"/>
        <v>11000</v>
      </c>
      <c r="O1000" s="1"/>
    </row>
    <row r="1001" spans="1:15" hidden="1">
      <c r="A1001" s="1" t="s">
        <v>1118</v>
      </c>
      <c r="B1001" s="1" t="s">
        <v>15</v>
      </c>
      <c r="C1001" s="71">
        <v>130243580586</v>
      </c>
      <c r="D1001" s="3">
        <v>28741.85</v>
      </c>
      <c r="E1001" s="3">
        <v>11052035.189999999</v>
      </c>
      <c r="F1001" s="1" t="s">
        <v>3065</v>
      </c>
      <c r="G1001"/>
      <c r="H1001"/>
      <c r="I1001" s="19">
        <f>-IFERROR(VLOOKUP(C1001,SIRCUPA!$A$21:$H$221,8,0),0)</f>
        <v>0</v>
      </c>
      <c r="J1001" s="86">
        <f>-IFERROR(VLOOKUP(C1001,SIRTAC!$A$16:$H$1458,8,0),0)</f>
        <v>-295</v>
      </c>
      <c r="K1001" s="86">
        <f>-IFERROR(VLOOKUP(C1001,Gastos!$A$9:$J$1451,10,0),0)</f>
        <v>-286.14999999999998</v>
      </c>
      <c r="L1001" s="86">
        <f>-IFERROR(VLOOKUP(C1001,IDC!$A$20:$H$1763,8,0),0)</f>
        <v>-177</v>
      </c>
      <c r="M1001" s="95">
        <f t="shared" si="31"/>
        <v>29500</v>
      </c>
      <c r="O1001" s="1"/>
    </row>
    <row r="1002" spans="1:15" hidden="1">
      <c r="A1002" s="1" t="s">
        <v>1118</v>
      </c>
      <c r="B1002" s="1" t="s">
        <v>15</v>
      </c>
      <c r="C1002" s="71">
        <v>129666703035</v>
      </c>
      <c r="D1002" s="3">
        <v>10327.58</v>
      </c>
      <c r="E1002" s="3">
        <v>11062362.77</v>
      </c>
      <c r="F1002" s="1" t="s">
        <v>3065</v>
      </c>
      <c r="G1002"/>
      <c r="H1002"/>
      <c r="I1002" s="19">
        <f>-IFERROR(VLOOKUP(C1002,SIRCUPA!$A$21:$H$221,8,0),0)</f>
        <v>0</v>
      </c>
      <c r="J1002" s="86">
        <f>-IFERROR(VLOOKUP(C1002,SIRTAC!$A$16:$H$1458,8,0),0)</f>
        <v>-106</v>
      </c>
      <c r="K1002" s="86">
        <f>-IFERROR(VLOOKUP(C1002,Gastos!$A$9:$J$1451,10,0),0)</f>
        <v>-102.82</v>
      </c>
      <c r="L1002" s="86">
        <f>-IFERROR(VLOOKUP(C1002,IDC!$A$20:$H$1763,8,0),0)</f>
        <v>-63.6</v>
      </c>
      <c r="M1002" s="95">
        <f t="shared" si="31"/>
        <v>10600</v>
      </c>
      <c r="O1002" s="1"/>
    </row>
    <row r="1003" spans="1:15" hidden="1">
      <c r="A1003" s="1" t="s">
        <v>1118</v>
      </c>
      <c r="B1003" s="1" t="s">
        <v>15</v>
      </c>
      <c r="C1003" s="71">
        <v>129666911033</v>
      </c>
      <c r="D1003" s="3">
        <v>78041.429999999993</v>
      </c>
      <c r="E1003" s="3">
        <v>11140404.199999999</v>
      </c>
      <c r="F1003" s="1" t="s">
        <v>3065</v>
      </c>
      <c r="G1003"/>
      <c r="H1003"/>
      <c r="I1003" s="19">
        <f>-IFERROR(VLOOKUP(C1003,SIRCUPA!$A$21:$H$221,8,0),0)</f>
        <v>0</v>
      </c>
      <c r="J1003" s="86">
        <f>-IFERROR(VLOOKUP(C1003,SIRTAC!$A$16:$H$1458,8,0),0)</f>
        <v>-801</v>
      </c>
      <c r="K1003" s="86">
        <f>-IFERROR(VLOOKUP(C1003,Gastos!$A$9:$J$1451,10,0),0)</f>
        <v>-776.97</v>
      </c>
      <c r="L1003" s="86">
        <f>-IFERROR(VLOOKUP(C1003,IDC!$A$20:$H$1763,8,0),0)</f>
        <v>-480.6</v>
      </c>
      <c r="M1003" s="95">
        <f t="shared" ref="M1003:M1066" si="32">+D1003-I1003-J1003-K1003-L1003</f>
        <v>80100</v>
      </c>
      <c r="O1003" s="1"/>
    </row>
    <row r="1004" spans="1:15" hidden="1">
      <c r="A1004" s="1" t="s">
        <v>1118</v>
      </c>
      <c r="B1004" s="1" t="s">
        <v>15</v>
      </c>
      <c r="C1004" s="71">
        <v>129667056931</v>
      </c>
      <c r="D1004" s="3">
        <v>5845.8</v>
      </c>
      <c r="E1004" s="3">
        <v>11146250</v>
      </c>
      <c r="F1004" s="1" t="s">
        <v>3065</v>
      </c>
      <c r="G1004"/>
      <c r="H1004"/>
      <c r="I1004" s="19">
        <f>-IFERROR(VLOOKUP(C1004,SIRCUPA!$A$21:$H$221,8,0),0)</f>
        <v>0</v>
      </c>
      <c r="J1004" s="86">
        <f>-IFERROR(VLOOKUP(C1004,SIRTAC!$A$16:$H$1458,8,0),0)</f>
        <v>-60</v>
      </c>
      <c r="K1004" s="86">
        <f>-IFERROR(VLOOKUP(C1004,Gastos!$A$9:$J$1451,10,0),0)</f>
        <v>-58.2</v>
      </c>
      <c r="L1004" s="86">
        <f>-IFERROR(VLOOKUP(C1004,IDC!$A$20:$H$1763,8,0),0)</f>
        <v>-36</v>
      </c>
      <c r="M1004" s="95">
        <f t="shared" si="32"/>
        <v>6000</v>
      </c>
      <c r="O1004" s="1"/>
    </row>
    <row r="1005" spans="1:15" hidden="1">
      <c r="A1005" s="1" t="s">
        <v>1118</v>
      </c>
      <c r="B1005" s="1" t="s">
        <v>15</v>
      </c>
      <c r="C1005" s="71">
        <v>129667302525</v>
      </c>
      <c r="D1005" s="3">
        <v>8573.84</v>
      </c>
      <c r="E1005" s="3">
        <v>11154823.84</v>
      </c>
      <c r="F1005" s="1" t="s">
        <v>3065</v>
      </c>
      <c r="G1005"/>
      <c r="H1005"/>
      <c r="I1005" s="19">
        <f>-IFERROR(VLOOKUP(C1005,SIRCUPA!$A$21:$H$221,8,0),0)</f>
        <v>0</v>
      </c>
      <c r="J1005" s="86">
        <f>-IFERROR(VLOOKUP(C1005,SIRTAC!$A$16:$H$1458,8,0),0)</f>
        <v>-88</v>
      </c>
      <c r="K1005" s="86">
        <f>-IFERROR(VLOOKUP(C1005,Gastos!$A$9:$J$1451,10,0),0)</f>
        <v>-85.36</v>
      </c>
      <c r="L1005" s="86">
        <f>-IFERROR(VLOOKUP(C1005,IDC!$A$20:$H$1763,8,0),0)</f>
        <v>-52.8</v>
      </c>
      <c r="M1005" s="95">
        <f t="shared" si="32"/>
        <v>8800</v>
      </c>
      <c r="O1005" s="1"/>
    </row>
    <row r="1006" spans="1:15" hidden="1">
      <c r="A1006" s="1" t="s">
        <v>1118</v>
      </c>
      <c r="B1006" s="1" t="s">
        <v>15</v>
      </c>
      <c r="C1006" s="71">
        <v>130244117942</v>
      </c>
      <c r="D1006" s="3">
        <v>19429.02</v>
      </c>
      <c r="E1006" s="3">
        <v>11174252.859999999</v>
      </c>
      <c r="F1006" s="1" t="s">
        <v>3065</v>
      </c>
      <c r="G1006"/>
      <c r="H1006"/>
      <c r="I1006" s="19">
        <f>-IFERROR(VLOOKUP(C1006,SIRCUPA!$A$21:$H$221,8,0),0)</f>
        <v>0</v>
      </c>
      <c r="J1006" s="86">
        <f>-IFERROR(VLOOKUP(C1006,SIRTAC!$A$16:$H$1458,8,0),0)</f>
        <v>-207</v>
      </c>
      <c r="K1006" s="86">
        <f>-IFERROR(VLOOKUP(C1006,Gastos!$A$9:$J$1451,10,0),0)</f>
        <v>-939.78</v>
      </c>
      <c r="L1006" s="86">
        <f>-IFERROR(VLOOKUP(C1006,IDC!$A$20:$H$1763,8,0),0)</f>
        <v>-124.2</v>
      </c>
      <c r="M1006" s="95">
        <f t="shared" si="32"/>
        <v>20700</v>
      </c>
      <c r="O1006" s="1"/>
    </row>
    <row r="1007" spans="1:15" hidden="1">
      <c r="A1007" s="1" t="s">
        <v>1118</v>
      </c>
      <c r="B1007" s="1" t="s">
        <v>15</v>
      </c>
      <c r="C1007" s="71">
        <v>129667297475</v>
      </c>
      <c r="D1007" s="3">
        <v>7508.8</v>
      </c>
      <c r="E1007" s="3">
        <v>11181761.66</v>
      </c>
      <c r="F1007" s="1" t="s">
        <v>3065</v>
      </c>
      <c r="G1007"/>
      <c r="H1007"/>
      <c r="I1007" s="19">
        <f>-IFERROR(VLOOKUP(C1007,SIRCUPA!$A$21:$H$221,8,0),0)</f>
        <v>0</v>
      </c>
      <c r="J1007" s="86">
        <f>-IFERROR(VLOOKUP(C1007,SIRTAC!$A$16:$H$1458,8,0),0)</f>
        <v>-80</v>
      </c>
      <c r="K1007" s="86">
        <f>-IFERROR(VLOOKUP(C1007,Gastos!$A$9:$J$1451,10,0),0)</f>
        <v>-363.2</v>
      </c>
      <c r="L1007" s="86">
        <f>-IFERROR(VLOOKUP(C1007,IDC!$A$20:$H$1763,8,0),0)</f>
        <v>-48</v>
      </c>
      <c r="M1007" s="95">
        <f t="shared" si="32"/>
        <v>8000</v>
      </c>
      <c r="O1007" s="1"/>
    </row>
    <row r="1008" spans="1:15" hidden="1">
      <c r="A1008" s="1" t="s">
        <v>1118</v>
      </c>
      <c r="B1008" s="1" t="s">
        <v>15</v>
      </c>
      <c r="C1008" s="71">
        <v>130244627434</v>
      </c>
      <c r="D1008" s="3">
        <v>4251.1499999999996</v>
      </c>
      <c r="E1008" s="3">
        <v>11186012.810000001</v>
      </c>
      <c r="F1008" s="1" t="s">
        <v>3065</v>
      </c>
      <c r="G1008"/>
      <c r="H1008"/>
      <c r="I1008" s="19">
        <f>-IFERROR(VLOOKUP(C1008,SIRCUPA!$A$21:$H$221,8,0),0)</f>
        <v>0</v>
      </c>
      <c r="J1008" s="86">
        <f>-IFERROR(VLOOKUP(C1008,SIRTAC!$A$16:$H$1458,8,0),0)</f>
        <v>-45</v>
      </c>
      <c r="K1008" s="86">
        <f>-IFERROR(VLOOKUP(C1008,Gastos!$A$9:$J$1451,10,0),0)</f>
        <v>-176.85</v>
      </c>
      <c r="L1008" s="86">
        <f>-IFERROR(VLOOKUP(C1008,IDC!$A$20:$H$1763,8,0),0)</f>
        <v>-27</v>
      </c>
      <c r="M1008" s="95">
        <f t="shared" si="32"/>
        <v>4500</v>
      </c>
      <c r="O1008" s="1"/>
    </row>
    <row r="1009" spans="1:15" hidden="1">
      <c r="A1009" s="1" t="s">
        <v>1118</v>
      </c>
      <c r="B1009" s="1" t="s">
        <v>15</v>
      </c>
      <c r="C1009" s="71">
        <v>129667759013</v>
      </c>
      <c r="D1009" s="3">
        <v>19147.439999999999</v>
      </c>
      <c r="E1009" s="3">
        <v>11205160.25</v>
      </c>
      <c r="F1009" s="1" t="s">
        <v>3065</v>
      </c>
      <c r="G1009"/>
      <c r="H1009"/>
      <c r="I1009" s="19">
        <f>-IFERROR(VLOOKUP(C1009,SIRCUPA!$A$21:$H$221,8,0),0)</f>
        <v>0</v>
      </c>
      <c r="J1009" s="86">
        <f>-IFERROR(VLOOKUP(C1009,SIRTAC!$A$16:$H$1458,8,0),0)</f>
        <v>-204</v>
      </c>
      <c r="K1009" s="86">
        <f>-IFERROR(VLOOKUP(C1009,Gastos!$A$9:$J$1451,10,0),0)</f>
        <v>-926.16</v>
      </c>
      <c r="L1009" s="86">
        <f>-IFERROR(VLOOKUP(C1009,IDC!$A$20:$H$1763,8,0),0)</f>
        <v>-122.4</v>
      </c>
      <c r="M1009" s="95">
        <f t="shared" si="32"/>
        <v>20400</v>
      </c>
      <c r="O1009" s="1"/>
    </row>
    <row r="1010" spans="1:15" hidden="1">
      <c r="A1010" s="1" t="s">
        <v>1118</v>
      </c>
      <c r="B1010" s="1" t="s">
        <v>15</v>
      </c>
      <c r="C1010" s="71">
        <v>130245490130</v>
      </c>
      <c r="D1010" s="3">
        <v>4035.98</v>
      </c>
      <c r="E1010" s="3">
        <v>11209196.23</v>
      </c>
      <c r="F1010" s="1" t="s">
        <v>3065</v>
      </c>
      <c r="G1010"/>
      <c r="H1010"/>
      <c r="I1010" s="19">
        <f>-IFERROR(VLOOKUP(C1010,SIRCUPA!$A$21:$H$221,8,0),0)</f>
        <v>0</v>
      </c>
      <c r="J1010" s="86">
        <f>-IFERROR(VLOOKUP(C1010,SIRTAC!$A$16:$H$1458,8,0),0)</f>
        <v>-43</v>
      </c>
      <c r="K1010" s="86">
        <f>-IFERROR(VLOOKUP(C1010,Gastos!$A$9:$J$1451,10,0),0)</f>
        <v>-195.22</v>
      </c>
      <c r="L1010" s="86">
        <f>-IFERROR(VLOOKUP(C1010,IDC!$A$20:$H$1763,8,0),0)</f>
        <v>-25.8</v>
      </c>
      <c r="M1010" s="95">
        <f t="shared" si="32"/>
        <v>4300</v>
      </c>
      <c r="O1010" s="1"/>
    </row>
    <row r="1011" spans="1:15" hidden="1">
      <c r="A1011" s="1" t="s">
        <v>1118</v>
      </c>
      <c r="B1011" s="1" t="s">
        <v>15</v>
      </c>
      <c r="C1011" s="71">
        <v>130245537370</v>
      </c>
      <c r="D1011" s="3">
        <v>8447.4</v>
      </c>
      <c r="E1011" s="3">
        <v>11217643.630000001</v>
      </c>
      <c r="F1011" s="1" t="s">
        <v>3065</v>
      </c>
      <c r="G1011"/>
      <c r="H1011"/>
      <c r="I1011" s="19">
        <f>-IFERROR(VLOOKUP(C1011,SIRCUPA!$A$21:$H$221,8,0),0)</f>
        <v>0</v>
      </c>
      <c r="J1011" s="86">
        <f>-IFERROR(VLOOKUP(C1011,SIRTAC!$A$16:$H$1458,8,0),0)</f>
        <v>-90</v>
      </c>
      <c r="K1011" s="86">
        <f>-IFERROR(VLOOKUP(C1011,Gastos!$A$9:$J$1451,10,0),0)</f>
        <v>-408.6</v>
      </c>
      <c r="L1011" s="86">
        <f>-IFERROR(VLOOKUP(C1011,IDC!$A$20:$H$1763,8,0),0)</f>
        <v>-54</v>
      </c>
      <c r="M1011" s="95">
        <f t="shared" si="32"/>
        <v>9000</v>
      </c>
      <c r="O1011" s="1"/>
    </row>
    <row r="1012" spans="1:15" hidden="1">
      <c r="A1012" s="1" t="s">
        <v>1118</v>
      </c>
      <c r="B1012" s="1" t="s">
        <v>15</v>
      </c>
      <c r="C1012" s="71">
        <v>129668822791</v>
      </c>
      <c r="D1012" s="3">
        <v>7794.4</v>
      </c>
      <c r="E1012" s="3">
        <v>11225438.029999999</v>
      </c>
      <c r="F1012" s="1" t="s">
        <v>3065</v>
      </c>
      <c r="G1012"/>
      <c r="H1012"/>
      <c r="I1012" s="19">
        <f>-IFERROR(VLOOKUP(C1012,SIRCUPA!$A$21:$H$221,8,0),0)</f>
        <v>0</v>
      </c>
      <c r="J1012" s="86">
        <f>-IFERROR(VLOOKUP(C1012,SIRTAC!$A$16:$H$1458,8,0),0)</f>
        <v>-80</v>
      </c>
      <c r="K1012" s="86">
        <f>-IFERROR(VLOOKUP(C1012,Gastos!$A$9:$J$1451,10,0),0)</f>
        <v>-77.599999999999994</v>
      </c>
      <c r="L1012" s="86">
        <f>-IFERROR(VLOOKUP(C1012,IDC!$A$20:$H$1763,8,0),0)</f>
        <v>-48</v>
      </c>
      <c r="M1012" s="95">
        <f t="shared" si="32"/>
        <v>8000</v>
      </c>
      <c r="O1012" s="1"/>
    </row>
    <row r="1013" spans="1:15" hidden="1">
      <c r="A1013" s="1" t="s">
        <v>1118</v>
      </c>
      <c r="B1013" s="1" t="s">
        <v>15</v>
      </c>
      <c r="C1013" s="71">
        <v>130245840846</v>
      </c>
      <c r="D1013" s="3">
        <v>79795.17</v>
      </c>
      <c r="E1013" s="3">
        <v>11305233.199999999</v>
      </c>
      <c r="F1013" s="1" t="s">
        <v>3065</v>
      </c>
      <c r="G1013"/>
      <c r="H1013"/>
      <c r="I1013" s="19">
        <f>-IFERROR(VLOOKUP(C1013,SIRCUPA!$A$21:$H$221,8,0),0)</f>
        <v>0</v>
      </c>
      <c r="J1013" s="86">
        <f>-IFERROR(VLOOKUP(C1013,SIRTAC!$A$16:$H$1458,8,0),0)</f>
        <v>-819</v>
      </c>
      <c r="K1013" s="86">
        <f>-IFERROR(VLOOKUP(C1013,Gastos!$A$9:$J$1451,10,0),0)</f>
        <v>-794.43</v>
      </c>
      <c r="L1013" s="86">
        <f>-IFERROR(VLOOKUP(C1013,IDC!$A$20:$H$1763,8,0),0)</f>
        <v>-491.4</v>
      </c>
      <c r="M1013" s="95">
        <f t="shared" si="32"/>
        <v>81899.999999999985</v>
      </c>
      <c r="O1013" s="1"/>
    </row>
    <row r="1014" spans="1:15" hidden="1">
      <c r="A1014" s="1" t="s">
        <v>1118</v>
      </c>
      <c r="B1014" s="1" t="s">
        <v>15</v>
      </c>
      <c r="C1014" s="71">
        <v>129668875591</v>
      </c>
      <c r="D1014" s="3">
        <v>12081.32</v>
      </c>
      <c r="E1014" s="3">
        <v>11317314.52</v>
      </c>
      <c r="F1014" s="1" t="s">
        <v>3065</v>
      </c>
      <c r="G1014"/>
      <c r="H1014"/>
      <c r="I1014" s="19">
        <f>-IFERROR(VLOOKUP(C1014,SIRCUPA!$A$21:$H$221,8,0),0)</f>
        <v>0</v>
      </c>
      <c r="J1014" s="86">
        <f>-IFERROR(VLOOKUP(C1014,SIRTAC!$A$16:$H$1458,8,0),0)</f>
        <v>-124</v>
      </c>
      <c r="K1014" s="86">
        <f>-IFERROR(VLOOKUP(C1014,Gastos!$A$9:$J$1451,10,0),0)</f>
        <v>-120.28</v>
      </c>
      <c r="L1014" s="86">
        <f>-IFERROR(VLOOKUP(C1014,IDC!$A$20:$H$1763,8,0),0)</f>
        <v>-74.400000000000006</v>
      </c>
      <c r="M1014" s="95">
        <f t="shared" si="32"/>
        <v>12400</v>
      </c>
      <c r="O1014" s="1"/>
    </row>
    <row r="1015" spans="1:15" hidden="1">
      <c r="A1015" s="1" t="s">
        <v>1118</v>
      </c>
      <c r="B1015" s="1" t="s">
        <v>15</v>
      </c>
      <c r="C1015" s="71">
        <v>129669344853</v>
      </c>
      <c r="D1015" s="3">
        <v>7794.4</v>
      </c>
      <c r="E1015" s="3">
        <v>11325108.92</v>
      </c>
      <c r="F1015" s="1" t="s">
        <v>3065</v>
      </c>
      <c r="G1015"/>
      <c r="H1015"/>
      <c r="I1015" s="19">
        <f>-IFERROR(VLOOKUP(C1015,SIRCUPA!$A$21:$H$221,8,0),0)</f>
        <v>0</v>
      </c>
      <c r="J1015" s="86">
        <f>-IFERROR(VLOOKUP(C1015,SIRTAC!$A$16:$H$1458,8,0),0)</f>
        <v>-80</v>
      </c>
      <c r="K1015" s="86">
        <f>-IFERROR(VLOOKUP(C1015,Gastos!$A$9:$J$1451,10,0),0)</f>
        <v>-77.599999999999994</v>
      </c>
      <c r="L1015" s="86">
        <f>-IFERROR(VLOOKUP(C1015,IDC!$A$20:$H$1763,8,0),0)</f>
        <v>-48</v>
      </c>
      <c r="M1015" s="95">
        <f t="shared" si="32"/>
        <v>8000</v>
      </c>
      <c r="O1015" s="1"/>
    </row>
    <row r="1016" spans="1:15" hidden="1">
      <c r="A1016" s="1" t="s">
        <v>1118</v>
      </c>
      <c r="B1016" s="1" t="s">
        <v>15</v>
      </c>
      <c r="C1016" s="71">
        <v>129669379157</v>
      </c>
      <c r="D1016" s="3">
        <v>11399.31</v>
      </c>
      <c r="E1016" s="3">
        <v>11336508.23</v>
      </c>
      <c r="F1016" s="1" t="s">
        <v>3065</v>
      </c>
      <c r="G1016"/>
      <c r="H1016"/>
      <c r="I1016" s="19">
        <f>-IFERROR(VLOOKUP(C1016,SIRCUPA!$A$21:$H$221,8,0),0)</f>
        <v>0</v>
      </c>
      <c r="J1016" s="86">
        <f>-IFERROR(VLOOKUP(C1016,SIRTAC!$A$16:$H$1458,8,0),0)</f>
        <v>-117</v>
      </c>
      <c r="K1016" s="86">
        <f>-IFERROR(VLOOKUP(C1016,Gastos!$A$9:$J$1451,10,0),0)</f>
        <v>-113.49</v>
      </c>
      <c r="L1016" s="86">
        <f>-IFERROR(VLOOKUP(C1016,IDC!$A$20:$H$1763,8,0),0)</f>
        <v>-70.2</v>
      </c>
      <c r="M1016" s="95">
        <f t="shared" si="32"/>
        <v>11700</v>
      </c>
      <c r="O1016" s="1"/>
    </row>
    <row r="1017" spans="1:15" hidden="1">
      <c r="A1017" s="1" t="s">
        <v>1118</v>
      </c>
      <c r="B1017" s="1" t="s">
        <v>15</v>
      </c>
      <c r="C1017" s="71">
        <v>130246425270</v>
      </c>
      <c r="D1017" s="3">
        <v>9353.2800000000007</v>
      </c>
      <c r="E1017" s="3">
        <v>11345861.51</v>
      </c>
      <c r="F1017" s="1" t="s">
        <v>3065</v>
      </c>
      <c r="G1017"/>
      <c r="H1017"/>
      <c r="I1017" s="19">
        <f>-IFERROR(VLOOKUP(C1017,SIRCUPA!$A$21:$H$221,8,0),0)</f>
        <v>0</v>
      </c>
      <c r="J1017" s="86">
        <f>-IFERROR(VLOOKUP(C1017,SIRTAC!$A$16:$H$1458,8,0),0)</f>
        <v>-96</v>
      </c>
      <c r="K1017" s="86">
        <f>-IFERROR(VLOOKUP(C1017,Gastos!$A$9:$J$1451,10,0),0)</f>
        <v>-93.12</v>
      </c>
      <c r="L1017" s="86">
        <f>-IFERROR(VLOOKUP(C1017,IDC!$A$20:$H$1763,8,0),0)</f>
        <v>-57.6</v>
      </c>
      <c r="M1017" s="95">
        <f t="shared" si="32"/>
        <v>9600.0000000000018</v>
      </c>
      <c r="O1017" s="1"/>
    </row>
    <row r="1018" spans="1:15" hidden="1">
      <c r="A1018" s="1" t="s">
        <v>1118</v>
      </c>
      <c r="B1018" s="1" t="s">
        <v>15</v>
      </c>
      <c r="C1018" s="71">
        <v>130246469118</v>
      </c>
      <c r="D1018" s="3">
        <v>24656.67</v>
      </c>
      <c r="E1018" s="3">
        <v>11370518.18</v>
      </c>
      <c r="F1018" s="1" t="s">
        <v>3065</v>
      </c>
      <c r="G1018"/>
      <c r="H1018"/>
      <c r="I1018" s="19">
        <f>-IFERROR(VLOOKUP(C1018,SIRCUPA!$A$21:$H$221,8,0),0)</f>
        <v>0</v>
      </c>
      <c r="J1018" s="86">
        <f>-IFERROR(VLOOKUP(C1018,SIRTAC!$A$16:$H$1458,8,0),0)</f>
        <v>-261</v>
      </c>
      <c r="K1018" s="86">
        <f>-IFERROR(VLOOKUP(C1018,Gastos!$A$9:$J$1451,10,0),0)</f>
        <v>-1025.73</v>
      </c>
      <c r="L1018" s="86">
        <f>-IFERROR(VLOOKUP(C1018,IDC!$A$20:$H$1763,8,0),0)</f>
        <v>-156.6</v>
      </c>
      <c r="M1018" s="95">
        <f t="shared" si="32"/>
        <v>26099.999999999996</v>
      </c>
      <c r="O1018" s="1"/>
    </row>
    <row r="1019" spans="1:15" hidden="1">
      <c r="A1019" s="1" t="s">
        <v>1118</v>
      </c>
      <c r="B1019" s="1" t="s">
        <v>15</v>
      </c>
      <c r="C1019" s="71">
        <v>129669964271</v>
      </c>
      <c r="D1019" s="3">
        <v>12081.32</v>
      </c>
      <c r="E1019" s="3">
        <v>11382599.5</v>
      </c>
      <c r="F1019" s="1" t="s">
        <v>3065</v>
      </c>
      <c r="G1019"/>
      <c r="H1019"/>
      <c r="I1019" s="19">
        <f>-IFERROR(VLOOKUP(C1019,SIRCUPA!$A$21:$H$221,8,0),0)</f>
        <v>0</v>
      </c>
      <c r="J1019" s="86">
        <f>-IFERROR(VLOOKUP(C1019,SIRTAC!$A$16:$H$1458,8,0),0)</f>
        <v>-124</v>
      </c>
      <c r="K1019" s="86">
        <f>-IFERROR(VLOOKUP(C1019,Gastos!$A$9:$J$1451,10,0),0)</f>
        <v>-120.28</v>
      </c>
      <c r="L1019" s="86">
        <f>-IFERROR(VLOOKUP(C1019,IDC!$A$20:$H$1763,8,0),0)</f>
        <v>-74.400000000000006</v>
      </c>
      <c r="M1019" s="95">
        <f t="shared" si="32"/>
        <v>12400</v>
      </c>
      <c r="O1019" s="1"/>
    </row>
    <row r="1020" spans="1:15" hidden="1">
      <c r="A1020" s="6" t="s">
        <v>1118</v>
      </c>
      <c r="B1020" s="6" t="s">
        <v>136</v>
      </c>
      <c r="C1020" s="74">
        <v>129669964271</v>
      </c>
      <c r="D1020" s="31">
        <v>-12081.32</v>
      </c>
      <c r="E1020" s="31">
        <v>11370518.18</v>
      </c>
      <c r="F1020" s="6" t="s">
        <v>3065</v>
      </c>
      <c r="G1020" s="6"/>
      <c r="H1020" s="6"/>
      <c r="I1020" s="22">
        <f>-IFERROR(VLOOKUP(C1020,SIRCUPA!$A$21:$H$221,8,0),0)</f>
        <v>0</v>
      </c>
      <c r="J1020" s="87">
        <v>124</v>
      </c>
      <c r="K1020" s="87">
        <v>120.28</v>
      </c>
      <c r="L1020" s="87">
        <v>74.400000000000006</v>
      </c>
      <c r="M1020" s="95">
        <f t="shared" si="32"/>
        <v>-12400</v>
      </c>
      <c r="N1020" s="6"/>
      <c r="O1020" s="6"/>
    </row>
    <row r="1021" spans="1:15" hidden="1">
      <c r="A1021" s="1" t="s">
        <v>1118</v>
      </c>
      <c r="B1021" s="1" t="s">
        <v>15</v>
      </c>
      <c r="C1021" s="71">
        <v>129669927047</v>
      </c>
      <c r="D1021" s="3">
        <v>8184.12</v>
      </c>
      <c r="E1021" s="3">
        <v>11378702.300000001</v>
      </c>
      <c r="F1021" s="1" t="s">
        <v>3065</v>
      </c>
      <c r="G1021"/>
      <c r="H1021"/>
      <c r="I1021" s="19">
        <f>-IFERROR(VLOOKUP(C1021,SIRCUPA!$A$21:$H$221,8,0),0)</f>
        <v>0</v>
      </c>
      <c r="J1021" s="86">
        <f>-IFERROR(VLOOKUP(C1021,SIRTAC!$A$16:$H$1458,8,0),0)</f>
        <v>-84</v>
      </c>
      <c r="K1021" s="86">
        <f>-IFERROR(VLOOKUP(C1021,Gastos!$A$9:$J$1451,10,0),0)</f>
        <v>-81.48</v>
      </c>
      <c r="L1021" s="86">
        <f>-IFERROR(VLOOKUP(C1021,IDC!$A$20:$H$1763,8,0),0)</f>
        <v>-50.4</v>
      </c>
      <c r="M1021" s="95">
        <f t="shared" si="32"/>
        <v>8399.9999999999982</v>
      </c>
      <c r="O1021" s="1"/>
    </row>
    <row r="1022" spans="1:15" hidden="1">
      <c r="A1022" s="1" t="s">
        <v>1118</v>
      </c>
      <c r="B1022" s="1" t="s">
        <v>15</v>
      </c>
      <c r="C1022" s="71">
        <v>130247086718</v>
      </c>
      <c r="D1022" s="3">
        <v>4676.6400000000003</v>
      </c>
      <c r="E1022" s="3">
        <v>11383378.939999999</v>
      </c>
      <c r="F1022" s="1" t="s">
        <v>3065</v>
      </c>
      <c r="G1022"/>
      <c r="H1022"/>
      <c r="I1022" s="19">
        <f>-IFERROR(VLOOKUP(C1022,SIRCUPA!$A$21:$H$221,8,0),0)</f>
        <v>0</v>
      </c>
      <c r="J1022" s="86">
        <f>-IFERROR(VLOOKUP(C1022,SIRTAC!$A$16:$H$1458,8,0),0)</f>
        <v>-48</v>
      </c>
      <c r="K1022" s="86">
        <f>-IFERROR(VLOOKUP(C1022,Gastos!$A$9:$J$1451,10,0),0)</f>
        <v>-46.56</v>
      </c>
      <c r="L1022" s="86">
        <f>-IFERROR(VLOOKUP(C1022,IDC!$A$20:$H$1763,8,0),0)</f>
        <v>-28.8</v>
      </c>
      <c r="M1022" s="95">
        <f t="shared" si="32"/>
        <v>4800.0000000000009</v>
      </c>
      <c r="O1022" s="1"/>
    </row>
    <row r="1023" spans="1:15" hidden="1">
      <c r="A1023" s="1" t="s">
        <v>1118</v>
      </c>
      <c r="B1023" s="1" t="s">
        <v>15</v>
      </c>
      <c r="C1023" s="71">
        <v>130247030066</v>
      </c>
      <c r="D1023" s="3">
        <v>13542.77</v>
      </c>
      <c r="E1023" s="3">
        <v>11396921.710000001</v>
      </c>
      <c r="F1023" s="1" t="s">
        <v>3065</v>
      </c>
      <c r="G1023"/>
      <c r="H1023"/>
      <c r="I1023" s="19">
        <f>-IFERROR(VLOOKUP(C1023,SIRCUPA!$A$21:$H$221,8,0),0)</f>
        <v>0</v>
      </c>
      <c r="J1023" s="86">
        <f>-IFERROR(VLOOKUP(C1023,SIRTAC!$A$16:$H$1458,8,0),0)</f>
        <v>-139</v>
      </c>
      <c r="K1023" s="86">
        <f>-IFERROR(VLOOKUP(C1023,Gastos!$A$9:$J$1451,10,0),0)</f>
        <v>-134.83000000000001</v>
      </c>
      <c r="L1023" s="86">
        <f>-IFERROR(VLOOKUP(C1023,IDC!$A$20:$H$1763,8,0),0)</f>
        <v>-83.4</v>
      </c>
      <c r="M1023" s="95">
        <f t="shared" si="32"/>
        <v>13900</v>
      </c>
      <c r="O1023" s="1"/>
    </row>
    <row r="1024" spans="1:15" hidden="1">
      <c r="A1024" s="1" t="s">
        <v>1118</v>
      </c>
      <c r="B1024" s="1" t="s">
        <v>15</v>
      </c>
      <c r="C1024" s="71">
        <v>130247117566</v>
      </c>
      <c r="D1024" s="3">
        <v>21434.6</v>
      </c>
      <c r="E1024" s="3">
        <v>11418356.310000001</v>
      </c>
      <c r="F1024" s="1" t="s">
        <v>3065</v>
      </c>
      <c r="G1024"/>
      <c r="H1024"/>
      <c r="I1024" s="19">
        <f>-IFERROR(VLOOKUP(C1024,SIRCUPA!$A$21:$H$221,8,0),0)</f>
        <v>0</v>
      </c>
      <c r="J1024" s="86">
        <f>-IFERROR(VLOOKUP(C1024,SIRTAC!$A$16:$H$1458,8,0),0)</f>
        <v>-220</v>
      </c>
      <c r="K1024" s="86">
        <f>-IFERROR(VLOOKUP(C1024,Gastos!$A$9:$J$1451,10,0),0)</f>
        <v>-213.4</v>
      </c>
      <c r="L1024" s="86">
        <f>-IFERROR(VLOOKUP(C1024,IDC!$A$20:$H$1763,8,0),0)</f>
        <v>-132</v>
      </c>
      <c r="M1024" s="95">
        <f t="shared" si="32"/>
        <v>22000</v>
      </c>
      <c r="O1024" s="1"/>
    </row>
    <row r="1025" spans="1:15" hidden="1">
      <c r="A1025" s="1" t="s">
        <v>1118</v>
      </c>
      <c r="B1025" s="1" t="s">
        <v>15</v>
      </c>
      <c r="C1025" s="71">
        <v>129670229407</v>
      </c>
      <c r="D1025" s="3">
        <v>13835.06</v>
      </c>
      <c r="E1025" s="3">
        <v>11432191.369999999</v>
      </c>
      <c r="F1025" s="1" t="s">
        <v>3065</v>
      </c>
      <c r="G1025"/>
      <c r="H1025"/>
      <c r="I1025" s="19">
        <f>-IFERROR(VLOOKUP(C1025,SIRCUPA!$A$21:$H$221,8,0),0)</f>
        <v>0</v>
      </c>
      <c r="J1025" s="86">
        <f>-IFERROR(VLOOKUP(C1025,SIRTAC!$A$16:$H$1458,8,0),0)</f>
        <v>-142</v>
      </c>
      <c r="K1025" s="86">
        <f>-IFERROR(VLOOKUP(C1025,Gastos!$A$9:$J$1451,10,0),0)</f>
        <v>-137.74</v>
      </c>
      <c r="L1025" s="86">
        <f>-IFERROR(VLOOKUP(C1025,IDC!$A$20:$H$1763,8,0),0)</f>
        <v>-85.2</v>
      </c>
      <c r="M1025" s="95">
        <f t="shared" si="32"/>
        <v>14200</v>
      </c>
      <c r="O1025" s="1"/>
    </row>
    <row r="1026" spans="1:15" hidden="1">
      <c r="A1026" s="1" t="s">
        <v>1118</v>
      </c>
      <c r="B1026" s="1" t="s">
        <v>15</v>
      </c>
      <c r="C1026" s="71">
        <v>130247304740</v>
      </c>
      <c r="D1026" s="3">
        <v>30505.439999999999</v>
      </c>
      <c r="E1026" s="3">
        <v>11462696.810000001</v>
      </c>
      <c r="F1026" s="1" t="s">
        <v>3065</v>
      </c>
      <c r="G1026"/>
      <c r="H1026"/>
      <c r="I1026" s="19">
        <f>-IFERROR(VLOOKUP(C1026,SIRCUPA!$A$21:$H$221,8,0),0)</f>
        <v>0</v>
      </c>
      <c r="J1026" s="86">
        <f>-IFERROR(VLOOKUP(C1026,SIRTAC!$A$16:$H$1458,8,0),0)</f>
        <v>-336</v>
      </c>
      <c r="K1026" s="86">
        <f>-IFERROR(VLOOKUP(C1026,Gastos!$A$9:$J$1451,10,0),0)</f>
        <v>-2556.96</v>
      </c>
      <c r="L1026" s="86">
        <f>-IFERROR(VLOOKUP(C1026,IDC!$A$20:$H$1763,8,0),0)</f>
        <v>-201.6</v>
      </c>
      <c r="M1026" s="95">
        <f t="shared" si="32"/>
        <v>33600</v>
      </c>
      <c r="O1026" s="1"/>
    </row>
    <row r="1027" spans="1:15" hidden="1">
      <c r="A1027" s="1" t="s">
        <v>1118</v>
      </c>
      <c r="B1027" s="1" t="s">
        <v>15</v>
      </c>
      <c r="C1027" s="71">
        <v>130247329100</v>
      </c>
      <c r="D1027" s="3">
        <v>10324.6</v>
      </c>
      <c r="E1027" s="3">
        <v>11473021.41</v>
      </c>
      <c r="F1027" s="1" t="s">
        <v>3065</v>
      </c>
      <c r="G1027"/>
      <c r="H1027"/>
      <c r="I1027" s="19">
        <f>-IFERROR(VLOOKUP(C1027,SIRCUPA!$A$21:$H$221,8,0),0)</f>
        <v>0</v>
      </c>
      <c r="J1027" s="86">
        <f>-IFERROR(VLOOKUP(C1027,SIRTAC!$A$16:$H$1458,8,0),0)</f>
        <v>-110</v>
      </c>
      <c r="K1027" s="86">
        <f>-IFERROR(VLOOKUP(C1027,Gastos!$A$9:$J$1451,10,0),0)</f>
        <v>-499.4</v>
      </c>
      <c r="L1027" s="86">
        <f>-IFERROR(VLOOKUP(C1027,IDC!$A$20:$H$1763,8,0),0)</f>
        <v>-66</v>
      </c>
      <c r="M1027" s="95">
        <f t="shared" si="32"/>
        <v>11000</v>
      </c>
      <c r="O1027" s="1"/>
    </row>
    <row r="1028" spans="1:15" hidden="1">
      <c r="A1028" s="1" t="s">
        <v>1118</v>
      </c>
      <c r="B1028" s="1" t="s">
        <v>15</v>
      </c>
      <c r="C1028" s="71">
        <v>130247568172</v>
      </c>
      <c r="D1028" s="3">
        <v>3942.12</v>
      </c>
      <c r="E1028" s="3">
        <v>11476963.529999999</v>
      </c>
      <c r="F1028" s="1" t="s">
        <v>3065</v>
      </c>
      <c r="G1028"/>
      <c r="H1028"/>
      <c r="I1028" s="19">
        <f>-IFERROR(VLOOKUP(C1028,SIRCUPA!$A$21:$H$221,8,0),0)</f>
        <v>0</v>
      </c>
      <c r="J1028" s="86">
        <f>-IFERROR(VLOOKUP(C1028,SIRTAC!$A$16:$H$1458,8,0),0)</f>
        <v>-42</v>
      </c>
      <c r="K1028" s="86">
        <f>-IFERROR(VLOOKUP(C1028,Gastos!$A$9:$J$1451,10,0),0)</f>
        <v>-190.68</v>
      </c>
      <c r="L1028" s="86">
        <f>-IFERROR(VLOOKUP(C1028,IDC!$A$20:$H$1763,8,0),0)</f>
        <v>-25.2</v>
      </c>
      <c r="M1028" s="95">
        <f t="shared" si="32"/>
        <v>4200</v>
      </c>
      <c r="O1028" s="1"/>
    </row>
    <row r="1029" spans="1:15" hidden="1">
      <c r="A1029" s="1" t="s">
        <v>1118</v>
      </c>
      <c r="B1029" s="1" t="s">
        <v>15</v>
      </c>
      <c r="C1029" s="71">
        <v>129670391921</v>
      </c>
      <c r="D1029" s="3">
        <v>9450.7099999999991</v>
      </c>
      <c r="E1029" s="3">
        <v>11486414.24</v>
      </c>
      <c r="F1029" s="1" t="s">
        <v>3065</v>
      </c>
      <c r="G1029"/>
      <c r="H1029"/>
      <c r="I1029" s="19">
        <f>-IFERROR(VLOOKUP(C1029,SIRCUPA!$A$21:$H$221,8,0),0)</f>
        <v>0</v>
      </c>
      <c r="J1029" s="86">
        <f>-IFERROR(VLOOKUP(C1029,SIRTAC!$A$16:$H$1458,8,0),0)</f>
        <v>-97</v>
      </c>
      <c r="K1029" s="86">
        <f>-IFERROR(VLOOKUP(C1029,Gastos!$A$9:$J$1451,10,0),0)</f>
        <v>-94.09</v>
      </c>
      <c r="L1029" s="86">
        <f>-IFERROR(VLOOKUP(C1029,IDC!$A$20:$H$1763,8,0),0)</f>
        <v>-58.2</v>
      </c>
      <c r="M1029" s="95">
        <f t="shared" si="32"/>
        <v>9700</v>
      </c>
      <c r="O1029" s="1"/>
    </row>
    <row r="1030" spans="1:15" hidden="1">
      <c r="A1030" s="1" t="s">
        <v>1118</v>
      </c>
      <c r="B1030" s="1" t="s">
        <v>15</v>
      </c>
      <c r="C1030" s="71">
        <v>129670591855</v>
      </c>
      <c r="D1030" s="3">
        <v>75995.399999999994</v>
      </c>
      <c r="E1030" s="3">
        <v>11562409.640000001</v>
      </c>
      <c r="F1030" s="1" t="s">
        <v>3065</v>
      </c>
      <c r="G1030"/>
      <c r="H1030"/>
      <c r="I1030" s="19">
        <f>-IFERROR(VLOOKUP(C1030,SIRCUPA!$A$21:$H$221,8,0),0)</f>
        <v>0</v>
      </c>
      <c r="J1030" s="86">
        <f>-IFERROR(VLOOKUP(C1030,SIRTAC!$A$16:$H$1458,8,0),0)</f>
        <v>-780</v>
      </c>
      <c r="K1030" s="86">
        <f>-IFERROR(VLOOKUP(C1030,Gastos!$A$9:$J$1451,10,0),0)</f>
        <v>-756.6</v>
      </c>
      <c r="L1030" s="86">
        <f>-IFERROR(VLOOKUP(C1030,IDC!$A$20:$H$1763,8,0),0)</f>
        <v>-468</v>
      </c>
      <c r="M1030" s="95">
        <f t="shared" si="32"/>
        <v>78000</v>
      </c>
      <c r="O1030" s="1"/>
    </row>
    <row r="1031" spans="1:15" hidden="1">
      <c r="A1031" s="1" t="s">
        <v>1118</v>
      </c>
      <c r="B1031" s="1" t="s">
        <v>15</v>
      </c>
      <c r="C1031" s="71">
        <v>130247812692</v>
      </c>
      <c r="D1031" s="3">
        <v>5358.65</v>
      </c>
      <c r="E1031" s="3">
        <v>11567768.289999999</v>
      </c>
      <c r="F1031" s="1" t="s">
        <v>3065</v>
      </c>
      <c r="G1031"/>
      <c r="H1031"/>
      <c r="I1031" s="19">
        <f>-IFERROR(VLOOKUP(C1031,SIRCUPA!$A$21:$H$221,8,0),0)</f>
        <v>0</v>
      </c>
      <c r="J1031" s="86">
        <f>-IFERROR(VLOOKUP(C1031,SIRTAC!$A$16:$H$1458,8,0),0)</f>
        <v>-55</v>
      </c>
      <c r="K1031" s="86">
        <f>-IFERROR(VLOOKUP(C1031,Gastos!$A$9:$J$1451,10,0),0)</f>
        <v>-53.35</v>
      </c>
      <c r="L1031" s="86">
        <f>-IFERROR(VLOOKUP(C1031,IDC!$A$20:$H$1763,8,0),0)</f>
        <v>-33</v>
      </c>
      <c r="M1031" s="95">
        <f t="shared" si="32"/>
        <v>5500</v>
      </c>
      <c r="O1031" s="1"/>
    </row>
    <row r="1032" spans="1:15" hidden="1">
      <c r="A1032" s="1" t="s">
        <v>1118</v>
      </c>
      <c r="B1032" s="1" t="s">
        <v>15</v>
      </c>
      <c r="C1032" s="71">
        <v>130247751270</v>
      </c>
      <c r="D1032" s="3">
        <v>4676.6400000000003</v>
      </c>
      <c r="E1032" s="3">
        <v>11572444.93</v>
      </c>
      <c r="F1032" s="1" t="s">
        <v>3065</v>
      </c>
      <c r="G1032"/>
      <c r="H1032"/>
      <c r="I1032" s="19">
        <f>-IFERROR(VLOOKUP(C1032,SIRCUPA!$A$21:$H$221,8,0),0)</f>
        <v>0</v>
      </c>
      <c r="J1032" s="86">
        <f>-IFERROR(VLOOKUP(C1032,SIRTAC!$A$16:$H$1458,8,0),0)</f>
        <v>-48</v>
      </c>
      <c r="K1032" s="86">
        <f>-IFERROR(VLOOKUP(C1032,Gastos!$A$9:$J$1451,10,0),0)</f>
        <v>-46.56</v>
      </c>
      <c r="L1032" s="86">
        <f>-IFERROR(VLOOKUP(C1032,IDC!$A$20:$H$1763,8,0),0)</f>
        <v>-28.8</v>
      </c>
      <c r="M1032" s="95">
        <f t="shared" si="32"/>
        <v>4800.0000000000009</v>
      </c>
      <c r="O1032" s="1"/>
    </row>
    <row r="1033" spans="1:15" hidden="1">
      <c r="A1033" s="1" t="s">
        <v>1118</v>
      </c>
      <c r="B1033" s="1" t="s">
        <v>15</v>
      </c>
      <c r="C1033" s="71">
        <v>130248036304</v>
      </c>
      <c r="D1033" s="3">
        <v>36146.53</v>
      </c>
      <c r="E1033" s="3">
        <v>11608591.460000001</v>
      </c>
      <c r="F1033" s="1" t="s">
        <v>3065</v>
      </c>
      <c r="G1033"/>
      <c r="H1033"/>
      <c r="I1033" s="19">
        <f>-IFERROR(VLOOKUP(C1033,SIRCUPA!$A$21:$H$221,8,0),0)</f>
        <v>0</v>
      </c>
      <c r="J1033" s="86">
        <f>-IFERROR(VLOOKUP(C1033,SIRTAC!$A$16:$H$1458,8,0),0)</f>
        <v>-371</v>
      </c>
      <c r="K1033" s="86">
        <f>-IFERROR(VLOOKUP(C1033,Gastos!$A$9:$J$1451,10,0),0)</f>
        <v>-359.87</v>
      </c>
      <c r="L1033" s="86">
        <f>-IFERROR(VLOOKUP(C1033,IDC!$A$20:$H$1763,8,0),0)</f>
        <v>-222.6</v>
      </c>
      <c r="M1033" s="95">
        <f t="shared" si="32"/>
        <v>37100</v>
      </c>
      <c r="O1033" s="1"/>
    </row>
    <row r="1034" spans="1:15" hidden="1">
      <c r="A1034" s="1" t="s">
        <v>1118</v>
      </c>
      <c r="B1034" s="1" t="s">
        <v>15</v>
      </c>
      <c r="C1034" s="71">
        <v>129670937377</v>
      </c>
      <c r="D1034" s="3">
        <v>18219.41</v>
      </c>
      <c r="E1034" s="3">
        <v>11626810.869999999</v>
      </c>
      <c r="F1034" s="1" t="s">
        <v>3065</v>
      </c>
      <c r="G1034"/>
      <c r="H1034"/>
      <c r="I1034" s="19">
        <f>-IFERROR(VLOOKUP(C1034,SIRCUPA!$A$21:$H$221,8,0),0)</f>
        <v>0</v>
      </c>
      <c r="J1034" s="86">
        <f>-IFERROR(VLOOKUP(C1034,SIRTAC!$A$16:$H$1458,8,0),0)</f>
        <v>-187</v>
      </c>
      <c r="K1034" s="86">
        <f>-IFERROR(VLOOKUP(C1034,Gastos!$A$9:$J$1451,10,0),0)</f>
        <v>-181.39</v>
      </c>
      <c r="L1034" s="86">
        <f>-IFERROR(VLOOKUP(C1034,IDC!$A$20:$H$1763,8,0),0)</f>
        <v>-112.2</v>
      </c>
      <c r="M1034" s="95">
        <f t="shared" si="32"/>
        <v>18700</v>
      </c>
      <c r="O1034" s="1"/>
    </row>
    <row r="1035" spans="1:15" hidden="1">
      <c r="A1035" s="1" t="s">
        <v>1118</v>
      </c>
      <c r="B1035" s="1" t="s">
        <v>15</v>
      </c>
      <c r="C1035" s="71">
        <v>130248023924</v>
      </c>
      <c r="D1035" s="3">
        <v>8963.56</v>
      </c>
      <c r="E1035" s="3">
        <v>11635774.43</v>
      </c>
      <c r="F1035" s="1" t="s">
        <v>3065</v>
      </c>
      <c r="G1035"/>
      <c r="H1035"/>
      <c r="I1035" s="19">
        <f>-IFERROR(VLOOKUP(C1035,SIRCUPA!$A$21:$H$221,8,0),0)</f>
        <v>0</v>
      </c>
      <c r="J1035" s="86">
        <f>-IFERROR(VLOOKUP(C1035,SIRTAC!$A$16:$H$1458,8,0),0)</f>
        <v>-92</v>
      </c>
      <c r="K1035" s="86">
        <f>-IFERROR(VLOOKUP(C1035,Gastos!$A$9:$J$1451,10,0),0)</f>
        <v>-89.24</v>
      </c>
      <c r="L1035" s="86">
        <f>-IFERROR(VLOOKUP(C1035,IDC!$A$20:$H$1763,8,0),0)</f>
        <v>-55.2</v>
      </c>
      <c r="M1035" s="95">
        <f t="shared" si="32"/>
        <v>9200</v>
      </c>
      <c r="O1035" s="1"/>
    </row>
    <row r="1036" spans="1:15" hidden="1">
      <c r="A1036" s="1" t="s">
        <v>1118</v>
      </c>
      <c r="B1036" s="1" t="s">
        <v>15</v>
      </c>
      <c r="C1036" s="71">
        <v>129671157781</v>
      </c>
      <c r="D1036" s="3">
        <v>10391.700000000001</v>
      </c>
      <c r="E1036" s="3">
        <v>11646166.130000001</v>
      </c>
      <c r="F1036" s="1" t="s">
        <v>3065</v>
      </c>
      <c r="G1036"/>
      <c r="H1036"/>
      <c r="I1036" s="19">
        <f>-IFERROR(VLOOKUP(C1036,SIRCUPA!$A$21:$H$221,8,0),0)</f>
        <v>0</v>
      </c>
      <c r="J1036" s="86">
        <f>-IFERROR(VLOOKUP(C1036,SIRTAC!$A$16:$H$1458,8,0),0)</f>
        <v>-110</v>
      </c>
      <c r="K1036" s="86">
        <f>-IFERROR(VLOOKUP(C1036,Gastos!$A$9:$J$1451,10,0),0)</f>
        <v>-432.3</v>
      </c>
      <c r="L1036" s="86">
        <f>-IFERROR(VLOOKUP(C1036,IDC!$A$20:$H$1763,8,0),0)</f>
        <v>-66</v>
      </c>
      <c r="M1036" s="95">
        <f t="shared" si="32"/>
        <v>11000</v>
      </c>
      <c r="O1036" s="1"/>
    </row>
    <row r="1037" spans="1:15" hidden="1">
      <c r="A1037" s="1" t="s">
        <v>1118</v>
      </c>
      <c r="B1037" s="1" t="s">
        <v>15</v>
      </c>
      <c r="C1037" s="71">
        <v>130248316942</v>
      </c>
      <c r="D1037" s="3">
        <v>5358.65</v>
      </c>
      <c r="E1037" s="3">
        <v>11651524.779999999</v>
      </c>
      <c r="F1037" s="1" t="s">
        <v>3065</v>
      </c>
      <c r="G1037"/>
      <c r="H1037"/>
      <c r="I1037" s="19">
        <f>-IFERROR(VLOOKUP(C1037,SIRCUPA!$A$21:$H$221,8,0),0)</f>
        <v>0</v>
      </c>
      <c r="J1037" s="86">
        <f>-IFERROR(VLOOKUP(C1037,SIRTAC!$A$16:$H$1458,8,0),0)</f>
        <v>-55</v>
      </c>
      <c r="K1037" s="86">
        <f>-IFERROR(VLOOKUP(C1037,Gastos!$A$9:$J$1451,10,0),0)</f>
        <v>-53.35</v>
      </c>
      <c r="L1037" s="86">
        <f>-IFERROR(VLOOKUP(C1037,IDC!$A$20:$H$1763,8,0),0)</f>
        <v>-33</v>
      </c>
      <c r="M1037" s="95">
        <f t="shared" si="32"/>
        <v>5500</v>
      </c>
      <c r="O1037" s="1"/>
    </row>
    <row r="1038" spans="1:15" hidden="1">
      <c r="A1038" s="1" t="s">
        <v>1118</v>
      </c>
      <c r="B1038" s="1" t="s">
        <v>15</v>
      </c>
      <c r="C1038" s="71">
        <v>129671797275</v>
      </c>
      <c r="D1038" s="3">
        <v>5358.65</v>
      </c>
      <c r="E1038" s="3">
        <v>11656883.43</v>
      </c>
      <c r="F1038" s="1" t="s">
        <v>3065</v>
      </c>
      <c r="G1038"/>
      <c r="H1038"/>
      <c r="I1038" s="19">
        <f>-IFERROR(VLOOKUP(C1038,SIRCUPA!$A$21:$H$221,8,0),0)</f>
        <v>0</v>
      </c>
      <c r="J1038" s="86">
        <f>-IFERROR(VLOOKUP(C1038,SIRTAC!$A$16:$H$1458,8,0),0)</f>
        <v>-55</v>
      </c>
      <c r="K1038" s="86">
        <f>-IFERROR(VLOOKUP(C1038,Gastos!$A$9:$J$1451,10,0),0)</f>
        <v>-53.35</v>
      </c>
      <c r="L1038" s="86">
        <f>-IFERROR(VLOOKUP(C1038,IDC!$A$20:$H$1763,8,0),0)</f>
        <v>-33</v>
      </c>
      <c r="M1038" s="95">
        <f t="shared" si="32"/>
        <v>5500</v>
      </c>
      <c r="O1038" s="1"/>
    </row>
    <row r="1039" spans="1:15" hidden="1">
      <c r="A1039" s="1" t="s">
        <v>1118</v>
      </c>
      <c r="B1039" s="1" t="s">
        <v>15</v>
      </c>
      <c r="C1039" s="71">
        <v>130248763394</v>
      </c>
      <c r="D1039" s="3">
        <v>15588.8</v>
      </c>
      <c r="E1039" s="3">
        <v>11672472.23</v>
      </c>
      <c r="F1039" s="1" t="s">
        <v>3065</v>
      </c>
      <c r="G1039"/>
      <c r="H1039"/>
      <c r="I1039" s="19">
        <f>-IFERROR(VLOOKUP(C1039,SIRCUPA!$A$21:$H$221,8,0),0)</f>
        <v>0</v>
      </c>
      <c r="J1039" s="86">
        <f>-IFERROR(VLOOKUP(C1039,SIRTAC!$A$16:$H$1458,8,0),0)</f>
        <v>-160</v>
      </c>
      <c r="K1039" s="86">
        <f>-IFERROR(VLOOKUP(C1039,Gastos!$A$9:$J$1451,10,0),0)</f>
        <v>-155.19999999999999</v>
      </c>
      <c r="L1039" s="86">
        <f>-IFERROR(VLOOKUP(C1039,IDC!$A$20:$H$1763,8,0),0)</f>
        <v>-96</v>
      </c>
      <c r="M1039" s="95">
        <f t="shared" si="32"/>
        <v>16000</v>
      </c>
      <c r="O1039" s="1"/>
    </row>
    <row r="1040" spans="1:15" hidden="1">
      <c r="A1040" s="1" t="s">
        <v>1118</v>
      </c>
      <c r="B1040" s="1" t="s">
        <v>15</v>
      </c>
      <c r="C1040" s="71">
        <v>129671936945</v>
      </c>
      <c r="D1040" s="3">
        <v>4676.6400000000003</v>
      </c>
      <c r="E1040" s="3">
        <v>11677148.869999999</v>
      </c>
      <c r="F1040" s="1" t="s">
        <v>3065</v>
      </c>
      <c r="G1040"/>
      <c r="H1040"/>
      <c r="I1040" s="19">
        <f>-IFERROR(VLOOKUP(C1040,SIRCUPA!$A$21:$H$221,8,0),0)</f>
        <v>0</v>
      </c>
      <c r="J1040" s="86">
        <f>-IFERROR(VLOOKUP(C1040,SIRTAC!$A$16:$H$1458,8,0),0)</f>
        <v>-48</v>
      </c>
      <c r="K1040" s="86">
        <f>-IFERROR(VLOOKUP(C1040,Gastos!$A$9:$J$1451,10,0),0)</f>
        <v>-46.56</v>
      </c>
      <c r="L1040" s="86">
        <f>-IFERROR(VLOOKUP(C1040,IDC!$A$20:$H$1763,8,0),0)</f>
        <v>-28.8</v>
      </c>
      <c r="M1040" s="95">
        <f t="shared" si="32"/>
        <v>4800.0000000000009</v>
      </c>
      <c r="O1040" s="1"/>
    </row>
    <row r="1041" spans="1:15" hidden="1">
      <c r="A1041" s="1" t="s">
        <v>1118</v>
      </c>
      <c r="B1041" s="1" t="s">
        <v>15</v>
      </c>
      <c r="C1041" s="71">
        <v>129671929721</v>
      </c>
      <c r="D1041" s="3">
        <v>25331.8</v>
      </c>
      <c r="E1041" s="3">
        <v>11702480.67</v>
      </c>
      <c r="F1041" s="1" t="s">
        <v>3065</v>
      </c>
      <c r="G1041"/>
      <c r="H1041"/>
      <c r="I1041" s="19">
        <f>-IFERROR(VLOOKUP(C1041,SIRCUPA!$A$21:$H$221,8,0),0)</f>
        <v>0</v>
      </c>
      <c r="J1041" s="86">
        <f>-IFERROR(VLOOKUP(C1041,SIRTAC!$A$16:$H$1458,8,0),0)</f>
        <v>-260</v>
      </c>
      <c r="K1041" s="86">
        <f>-IFERROR(VLOOKUP(C1041,Gastos!$A$9:$J$1451,10,0),0)</f>
        <v>-252.2</v>
      </c>
      <c r="L1041" s="86">
        <f>-IFERROR(VLOOKUP(C1041,IDC!$A$20:$H$1763,8,0),0)</f>
        <v>-156</v>
      </c>
      <c r="M1041" s="95">
        <f t="shared" si="32"/>
        <v>26000</v>
      </c>
      <c r="O1041" s="1"/>
    </row>
    <row r="1042" spans="1:15" hidden="1">
      <c r="A1042" s="1" t="s">
        <v>1118</v>
      </c>
      <c r="B1042" s="1" t="s">
        <v>15</v>
      </c>
      <c r="C1042" s="71">
        <v>130249595876</v>
      </c>
      <c r="D1042" s="3">
        <v>13515.84</v>
      </c>
      <c r="E1042" s="3">
        <v>11715996.51</v>
      </c>
      <c r="F1042" s="1" t="s">
        <v>3065</v>
      </c>
      <c r="G1042"/>
      <c r="H1042"/>
      <c r="I1042" s="19">
        <f>-IFERROR(VLOOKUP(C1042,SIRCUPA!$A$21:$H$221,8,0),0)</f>
        <v>0</v>
      </c>
      <c r="J1042" s="86">
        <f>-IFERROR(VLOOKUP(C1042,SIRTAC!$A$16:$H$1458,8,0),0)</f>
        <v>-144</v>
      </c>
      <c r="K1042" s="86">
        <f>-IFERROR(VLOOKUP(C1042,Gastos!$A$9:$J$1451,10,0),0)</f>
        <v>-653.76</v>
      </c>
      <c r="L1042" s="86">
        <f>-IFERROR(VLOOKUP(C1042,IDC!$A$20:$H$1763,8,0),0)</f>
        <v>-86.4</v>
      </c>
      <c r="M1042" s="95">
        <f t="shared" si="32"/>
        <v>14400</v>
      </c>
      <c r="O1042" s="1"/>
    </row>
    <row r="1043" spans="1:15" hidden="1">
      <c r="A1043" s="1" t="s">
        <v>1118</v>
      </c>
      <c r="B1043" s="1" t="s">
        <v>15</v>
      </c>
      <c r="C1043" s="71">
        <v>129672790911</v>
      </c>
      <c r="D1043" s="3">
        <v>24260.07</v>
      </c>
      <c r="E1043" s="3">
        <v>11740256.58</v>
      </c>
      <c r="F1043" s="1" t="s">
        <v>3065</v>
      </c>
      <c r="G1043"/>
      <c r="H1043"/>
      <c r="I1043" s="19">
        <f>-IFERROR(VLOOKUP(C1043,SIRCUPA!$A$21:$H$221,8,0),0)</f>
        <v>0</v>
      </c>
      <c r="J1043" s="86">
        <f>-IFERROR(VLOOKUP(C1043,SIRTAC!$A$16:$H$1458,8,0),0)</f>
        <v>-249</v>
      </c>
      <c r="K1043" s="86">
        <f>-IFERROR(VLOOKUP(C1043,Gastos!$A$9:$J$1451,10,0),0)</f>
        <v>-241.53</v>
      </c>
      <c r="L1043" s="86">
        <f>-IFERROR(VLOOKUP(C1043,IDC!$A$20:$H$1763,8,0),0)</f>
        <v>-149.4</v>
      </c>
      <c r="M1043" s="95">
        <f t="shared" si="32"/>
        <v>24900</v>
      </c>
      <c r="O1043" s="1"/>
    </row>
    <row r="1044" spans="1:15" hidden="1">
      <c r="A1044" s="1" t="s">
        <v>1118</v>
      </c>
      <c r="B1044" s="1" t="s">
        <v>15</v>
      </c>
      <c r="C1044" s="71">
        <v>130249957450</v>
      </c>
      <c r="D1044" s="3">
        <v>17732.259999999998</v>
      </c>
      <c r="E1044" s="3">
        <v>11757988.84</v>
      </c>
      <c r="F1044" s="1" t="s">
        <v>3065</v>
      </c>
      <c r="G1044"/>
      <c r="H1044"/>
      <c r="I1044" s="19">
        <f>-IFERROR(VLOOKUP(C1044,SIRCUPA!$A$21:$H$221,8,0),0)</f>
        <v>0</v>
      </c>
      <c r="J1044" s="86">
        <f>-IFERROR(VLOOKUP(C1044,SIRTAC!$A$16:$H$1458,8,0),0)</f>
        <v>-182</v>
      </c>
      <c r="K1044" s="86">
        <f>-IFERROR(VLOOKUP(C1044,Gastos!$A$9:$J$1451,10,0),0)</f>
        <v>-176.54</v>
      </c>
      <c r="L1044" s="86">
        <f>-IFERROR(VLOOKUP(C1044,IDC!$A$20:$H$1763,8,0),0)</f>
        <v>-109.2</v>
      </c>
      <c r="M1044" s="95">
        <f t="shared" si="32"/>
        <v>18200</v>
      </c>
      <c r="O1044" s="1"/>
    </row>
    <row r="1045" spans="1:15" hidden="1">
      <c r="A1045" s="1" t="s">
        <v>1118</v>
      </c>
      <c r="B1045" s="1" t="s">
        <v>15</v>
      </c>
      <c r="C1045" s="71">
        <v>129673252193</v>
      </c>
      <c r="D1045" s="3">
        <v>11691.6</v>
      </c>
      <c r="E1045" s="3">
        <v>11769680.439999999</v>
      </c>
      <c r="F1045" s="1" t="s">
        <v>3065</v>
      </c>
      <c r="G1045"/>
      <c r="H1045"/>
      <c r="I1045" s="19">
        <f>-IFERROR(VLOOKUP(C1045,SIRCUPA!$A$21:$H$221,8,0),0)</f>
        <v>0</v>
      </c>
      <c r="J1045" s="86">
        <f>-IFERROR(VLOOKUP(C1045,SIRTAC!$A$16:$H$1458,8,0),0)</f>
        <v>-120</v>
      </c>
      <c r="K1045" s="86">
        <f>-IFERROR(VLOOKUP(C1045,Gastos!$A$9:$J$1451,10,0),0)</f>
        <v>-116.4</v>
      </c>
      <c r="L1045" s="86">
        <f>-IFERROR(VLOOKUP(C1045,IDC!$A$20:$H$1763,8,0),0)</f>
        <v>-72</v>
      </c>
      <c r="M1045" s="95">
        <f t="shared" si="32"/>
        <v>12000</v>
      </c>
      <c r="O1045" s="1"/>
    </row>
    <row r="1046" spans="1:15" hidden="1">
      <c r="A1046" s="1" t="s">
        <v>1118</v>
      </c>
      <c r="B1046" s="1" t="s">
        <v>1176</v>
      </c>
      <c r="C1046" s="71">
        <v>130250135054</v>
      </c>
      <c r="D1046" s="2">
        <v>587.4</v>
      </c>
      <c r="E1046" s="3">
        <v>11770267.84</v>
      </c>
      <c r="F1046" s="1" t="s">
        <v>3065</v>
      </c>
      <c r="G1046"/>
      <c r="H1046"/>
      <c r="I1046" s="19">
        <f>-IFERROR(VLOOKUP(C1046,SIRCUPA!$A$21:$H$221,8,0),0)</f>
        <v>-9</v>
      </c>
      <c r="J1046" s="86">
        <f>-IFERROR(VLOOKUP(C1046,SIRTAC!$A$16:$H$1458,8,0),0)</f>
        <v>0</v>
      </c>
      <c r="K1046" s="86">
        <f>-IFERROR(VLOOKUP(C1046,Gastos!$A$9:$J$1451,10,0),0)</f>
        <v>0</v>
      </c>
      <c r="L1046" s="86">
        <f>-IFERROR(VLOOKUP(C1046,IDC!$A$20:$H$1763,8,0),0)</f>
        <v>-3.6</v>
      </c>
      <c r="M1046" s="95">
        <f t="shared" si="32"/>
        <v>600</v>
      </c>
      <c r="O1046" s="1"/>
    </row>
    <row r="1047" spans="1:15" hidden="1">
      <c r="A1047" s="1" t="s">
        <v>1118</v>
      </c>
      <c r="B1047" s="1" t="s">
        <v>15</v>
      </c>
      <c r="C1047" s="71">
        <v>129673278321</v>
      </c>
      <c r="D1047" s="3">
        <v>37023.4</v>
      </c>
      <c r="E1047" s="3">
        <v>11807291.24</v>
      </c>
      <c r="F1047" s="1" t="s">
        <v>3065</v>
      </c>
      <c r="G1047"/>
      <c r="H1047"/>
      <c r="I1047" s="19">
        <f>-IFERROR(VLOOKUP(C1047,SIRCUPA!$A$21:$H$221,8,0),0)</f>
        <v>0</v>
      </c>
      <c r="J1047" s="86">
        <f>-IFERROR(VLOOKUP(C1047,SIRTAC!$A$16:$H$1458,8,0),0)</f>
        <v>-380</v>
      </c>
      <c r="K1047" s="86">
        <f>-IFERROR(VLOOKUP(C1047,Gastos!$A$9:$J$1451,10,0),0)</f>
        <v>-368.6</v>
      </c>
      <c r="L1047" s="86">
        <f>-IFERROR(VLOOKUP(C1047,IDC!$A$20:$H$1763,8,0),0)</f>
        <v>-228</v>
      </c>
      <c r="M1047" s="95">
        <f t="shared" si="32"/>
        <v>38000</v>
      </c>
      <c r="O1047" s="1"/>
    </row>
    <row r="1048" spans="1:15" hidden="1">
      <c r="A1048" s="1" t="s">
        <v>1039</v>
      </c>
      <c r="B1048" s="1" t="s">
        <v>53</v>
      </c>
      <c r="C1048" s="71">
        <v>130177050648</v>
      </c>
      <c r="D1048" s="3">
        <v>-367900.24</v>
      </c>
      <c r="E1048" s="3">
        <v>10554331.630000001</v>
      </c>
      <c r="F1048" t="s">
        <v>3066</v>
      </c>
      <c r="G1048" s="19">
        <f>+D1048/1.006</f>
        <v>-365706.00397614314</v>
      </c>
      <c r="H1048" s="19">
        <f>+D1048-G1048</f>
        <v>-2194.2360238568508</v>
      </c>
      <c r="I1048" s="19">
        <f>-IFERROR(VLOOKUP(C1048,SIRCUPA!$A$21:$H$221,8,0),0)</f>
        <v>0</v>
      </c>
      <c r="J1048" s="86">
        <f>-IFERROR(VLOOKUP(C1048,SIRTAC!$A$16:$H$1458,8,0),0)</f>
        <v>0</v>
      </c>
      <c r="K1048" s="86">
        <f>-IFERROR(VLOOKUP(C1048,Gastos!$A$9:$J$1451,10,0),0)</f>
        <v>0</v>
      </c>
      <c r="L1048" s="86">
        <f>-IFERROR(VLOOKUP(C1048,IDC!$A$20:$H$1763,8,0),0)</f>
        <v>-2194.2399999999998</v>
      </c>
      <c r="M1048" s="94">
        <f t="shared" si="32"/>
        <v>-365706</v>
      </c>
      <c r="O1048" s="1" t="s">
        <v>2023</v>
      </c>
    </row>
    <row r="1049" spans="1:15" hidden="1">
      <c r="A1049" s="1" t="s">
        <v>1118</v>
      </c>
      <c r="B1049" s="1" t="s">
        <v>15</v>
      </c>
      <c r="C1049" s="71">
        <v>130353705012</v>
      </c>
      <c r="D1049" s="3">
        <v>9353.2800000000007</v>
      </c>
      <c r="E1049" s="3">
        <v>11149425.08</v>
      </c>
      <c r="F1049" s="1" t="s">
        <v>3065</v>
      </c>
      <c r="G1049"/>
      <c r="H1049"/>
      <c r="I1049" s="19">
        <f>-IFERROR(VLOOKUP(C1049,SIRCUPA!$A$21:$H$221,8,0),0)</f>
        <v>0</v>
      </c>
      <c r="J1049" s="86">
        <f>-IFERROR(VLOOKUP(C1049,SIRTAC!$A$16:$H$1458,8,0),0)</f>
        <v>-96</v>
      </c>
      <c r="K1049" s="86">
        <f>-IFERROR(VLOOKUP(C1049,Gastos!$A$9:$J$1451,10,0),0)</f>
        <v>-93.12</v>
      </c>
      <c r="L1049" s="86">
        <f>-IFERROR(VLOOKUP(C1049,IDC!$A$20:$H$1763,8,0),0)</f>
        <v>-57.6</v>
      </c>
      <c r="M1049" s="95">
        <f t="shared" si="32"/>
        <v>9600.0000000000018</v>
      </c>
      <c r="O1049" s="1"/>
    </row>
    <row r="1050" spans="1:15" hidden="1">
      <c r="A1050" s="1" t="s">
        <v>1118</v>
      </c>
      <c r="B1050" s="1" t="s">
        <v>1181</v>
      </c>
      <c r="C1050" s="71">
        <v>130353760104</v>
      </c>
      <c r="D1050" s="2">
        <v>469.92</v>
      </c>
      <c r="E1050" s="3">
        <v>11149895</v>
      </c>
      <c r="F1050" s="1" t="s">
        <v>3065</v>
      </c>
      <c r="G1050"/>
      <c r="H1050"/>
      <c r="I1050" s="19">
        <f>-IFERROR(VLOOKUP(C1050,SIRCUPA!$A$21:$H$221,8,0),0)</f>
        <v>-7.2</v>
      </c>
      <c r="J1050" s="86">
        <f>-IFERROR(VLOOKUP(C1050,SIRTAC!$A$16:$H$1458,8,0),0)</f>
        <v>0</v>
      </c>
      <c r="K1050" s="86">
        <f>-IFERROR(VLOOKUP(C1050,Gastos!$A$9:$J$1451,10,0),0)</f>
        <v>0</v>
      </c>
      <c r="L1050" s="86">
        <f>-IFERROR(VLOOKUP(C1050,IDC!$A$20:$H$1763,8,0),0)</f>
        <v>-2.88</v>
      </c>
      <c r="M1050" s="95">
        <f t="shared" si="32"/>
        <v>480</v>
      </c>
      <c r="O1050" s="1"/>
    </row>
    <row r="1051" spans="1:15" hidden="1">
      <c r="A1051" s="1" t="s">
        <v>1118</v>
      </c>
      <c r="B1051" s="1" t="s">
        <v>15</v>
      </c>
      <c r="C1051" s="71">
        <v>129778116759</v>
      </c>
      <c r="D1051" s="3">
        <v>15870.96</v>
      </c>
      <c r="E1051" s="3">
        <v>11165765.960000001</v>
      </c>
      <c r="F1051" s="1" t="s">
        <v>3065</v>
      </c>
      <c r="G1051"/>
      <c r="H1051"/>
      <c r="I1051" s="19">
        <f>-IFERROR(VLOOKUP(C1051,SIRCUPA!$A$21:$H$221,8,0),0)</f>
        <v>0</v>
      </c>
      <c r="J1051" s="86">
        <f>-IFERROR(VLOOKUP(C1051,SIRTAC!$A$16:$H$1458,8,0),0)</f>
        <v>-168</v>
      </c>
      <c r="K1051" s="86">
        <f>-IFERROR(VLOOKUP(C1051,Gastos!$A$9:$J$1451,10,0),0)</f>
        <v>-660.24</v>
      </c>
      <c r="L1051" s="86">
        <f>-IFERROR(VLOOKUP(C1051,IDC!$A$20:$H$1763,8,0),0)</f>
        <v>-100.8</v>
      </c>
      <c r="M1051" s="95">
        <f t="shared" si="32"/>
        <v>16800</v>
      </c>
      <c r="O1051" s="1"/>
    </row>
    <row r="1052" spans="1:15" hidden="1">
      <c r="A1052" s="1" t="s">
        <v>1118</v>
      </c>
      <c r="B1052" s="1" t="s">
        <v>15</v>
      </c>
      <c r="C1052" s="71">
        <v>130358126868</v>
      </c>
      <c r="D1052" s="3">
        <v>9353.2800000000007</v>
      </c>
      <c r="E1052" s="3">
        <v>11175119.24</v>
      </c>
      <c r="F1052" s="1" t="s">
        <v>3065</v>
      </c>
      <c r="G1052"/>
      <c r="H1052"/>
      <c r="I1052" s="19">
        <f>-IFERROR(VLOOKUP(C1052,SIRCUPA!$A$21:$H$221,8,0),0)</f>
        <v>0</v>
      </c>
      <c r="J1052" s="86">
        <f>-IFERROR(VLOOKUP(C1052,SIRTAC!$A$16:$H$1458,8,0),0)</f>
        <v>-96</v>
      </c>
      <c r="K1052" s="86">
        <f>-IFERROR(VLOOKUP(C1052,Gastos!$A$9:$J$1451,10,0),0)</f>
        <v>-93.12</v>
      </c>
      <c r="L1052" s="86">
        <f>-IFERROR(VLOOKUP(C1052,IDC!$A$20:$H$1763,8,0),0)</f>
        <v>-57.6</v>
      </c>
      <c r="M1052" s="95">
        <f t="shared" si="32"/>
        <v>9600.0000000000018</v>
      </c>
      <c r="O1052" s="1"/>
    </row>
    <row r="1053" spans="1:15" hidden="1">
      <c r="A1053" s="1" t="s">
        <v>1118</v>
      </c>
      <c r="B1053" s="1" t="s">
        <v>15</v>
      </c>
      <c r="C1053" s="71">
        <v>130361293554</v>
      </c>
      <c r="D1053" s="3">
        <v>4357.92</v>
      </c>
      <c r="E1053" s="3">
        <v>11179477.16</v>
      </c>
      <c r="F1053" s="1" t="s">
        <v>3065</v>
      </c>
      <c r="G1053"/>
      <c r="H1053"/>
      <c r="I1053" s="19">
        <f>-IFERROR(VLOOKUP(C1053,SIRCUPA!$A$21:$H$221,8,0),0)</f>
        <v>0</v>
      </c>
      <c r="J1053" s="86">
        <f>-IFERROR(VLOOKUP(C1053,SIRTAC!$A$16:$H$1458,8,0),0)</f>
        <v>-48</v>
      </c>
      <c r="K1053" s="86">
        <f>-IFERROR(VLOOKUP(C1053,Gastos!$A$9:$J$1451,10,0),0)</f>
        <v>-365.28</v>
      </c>
      <c r="L1053" s="86">
        <f>-IFERROR(VLOOKUP(C1053,IDC!$A$20:$H$1763,8,0),0)</f>
        <v>-28.8</v>
      </c>
      <c r="M1053" s="95">
        <f t="shared" si="32"/>
        <v>4800</v>
      </c>
      <c r="O1053" s="1"/>
    </row>
    <row r="1054" spans="1:15" hidden="1">
      <c r="A1054" s="1" t="s">
        <v>1118</v>
      </c>
      <c r="B1054" s="1" t="s">
        <v>15</v>
      </c>
      <c r="C1054" s="71">
        <v>129784003071</v>
      </c>
      <c r="D1054" s="3">
        <v>15588.8</v>
      </c>
      <c r="E1054" s="3">
        <v>11195065.960000001</v>
      </c>
      <c r="F1054" s="1" t="s">
        <v>3065</v>
      </c>
      <c r="G1054"/>
      <c r="H1054"/>
      <c r="I1054" s="19">
        <f>-IFERROR(VLOOKUP(C1054,SIRCUPA!$A$21:$H$221,8,0),0)</f>
        <v>0</v>
      </c>
      <c r="J1054" s="86">
        <f>-IFERROR(VLOOKUP(C1054,SIRTAC!$A$16:$H$1458,8,0),0)</f>
        <v>-160</v>
      </c>
      <c r="K1054" s="86">
        <f>-IFERROR(VLOOKUP(C1054,Gastos!$A$9:$J$1451,10,0),0)</f>
        <v>-155.19999999999999</v>
      </c>
      <c r="L1054" s="86">
        <f>-IFERROR(VLOOKUP(C1054,IDC!$A$20:$H$1763,8,0),0)</f>
        <v>-96</v>
      </c>
      <c r="M1054" s="95">
        <f t="shared" si="32"/>
        <v>16000</v>
      </c>
      <c r="O1054" s="1"/>
    </row>
    <row r="1055" spans="1:15" hidden="1">
      <c r="A1055" s="1" t="s">
        <v>1118</v>
      </c>
      <c r="B1055" s="1" t="s">
        <v>15</v>
      </c>
      <c r="C1055" s="71">
        <v>130361946326</v>
      </c>
      <c r="D1055" s="3">
        <v>4676.6400000000003</v>
      </c>
      <c r="E1055" s="3">
        <v>11199742.6</v>
      </c>
      <c r="F1055" s="1" t="s">
        <v>3065</v>
      </c>
      <c r="G1055"/>
      <c r="H1055"/>
      <c r="I1055" s="19">
        <f>-IFERROR(VLOOKUP(C1055,SIRCUPA!$A$21:$H$221,8,0),0)</f>
        <v>0</v>
      </c>
      <c r="J1055" s="86">
        <f>-IFERROR(VLOOKUP(C1055,SIRTAC!$A$16:$H$1458,8,0),0)</f>
        <v>-48</v>
      </c>
      <c r="K1055" s="86">
        <f>-IFERROR(VLOOKUP(C1055,Gastos!$A$9:$J$1451,10,0),0)</f>
        <v>-46.56</v>
      </c>
      <c r="L1055" s="86">
        <f>-IFERROR(VLOOKUP(C1055,IDC!$A$20:$H$1763,8,0),0)</f>
        <v>-28.8</v>
      </c>
      <c r="M1055" s="95">
        <f t="shared" si="32"/>
        <v>4800.0000000000009</v>
      </c>
      <c r="O1055" s="1"/>
    </row>
    <row r="1056" spans="1:15" hidden="1">
      <c r="A1056" s="1" t="s">
        <v>1118</v>
      </c>
      <c r="B1056" s="1" t="s">
        <v>1188</v>
      </c>
      <c r="C1056" s="71">
        <v>130361845382</v>
      </c>
      <c r="D1056" s="2">
        <v>234.96</v>
      </c>
      <c r="E1056" s="3">
        <v>11199977.560000001</v>
      </c>
      <c r="F1056" s="1" t="s">
        <v>3065</v>
      </c>
      <c r="G1056"/>
      <c r="H1056"/>
      <c r="I1056" s="19">
        <f>-IFERROR(VLOOKUP(C1056,SIRCUPA!$A$21:$H$221,8,0),0)</f>
        <v>-3.6</v>
      </c>
      <c r="J1056" s="86">
        <f>-IFERROR(VLOOKUP(C1056,SIRTAC!$A$16:$H$1458,8,0),0)</f>
        <v>0</v>
      </c>
      <c r="K1056" s="86">
        <f>-IFERROR(VLOOKUP(C1056,Gastos!$A$9:$J$1451,10,0),0)</f>
        <v>0</v>
      </c>
      <c r="L1056" s="86">
        <f>-IFERROR(VLOOKUP(C1056,IDC!$A$20:$H$1763,8,0),0)</f>
        <v>-1.44</v>
      </c>
      <c r="M1056" s="95">
        <f t="shared" si="32"/>
        <v>240</v>
      </c>
      <c r="O1056" s="1"/>
    </row>
    <row r="1057" spans="1:15" hidden="1">
      <c r="A1057" s="1" t="s">
        <v>1118</v>
      </c>
      <c r="B1057" s="1" t="s">
        <v>15</v>
      </c>
      <c r="C1057" s="71">
        <v>129785020933</v>
      </c>
      <c r="D1057" s="3">
        <v>18511.7</v>
      </c>
      <c r="E1057" s="3">
        <v>11218489.26</v>
      </c>
      <c r="F1057" s="1" t="s">
        <v>3065</v>
      </c>
      <c r="G1057"/>
      <c r="H1057"/>
      <c r="I1057" s="19">
        <f>-IFERROR(VLOOKUP(C1057,SIRCUPA!$A$21:$H$221,8,0),0)</f>
        <v>0</v>
      </c>
      <c r="J1057" s="86">
        <f>-IFERROR(VLOOKUP(C1057,SIRTAC!$A$16:$H$1458,8,0),0)</f>
        <v>-190</v>
      </c>
      <c r="K1057" s="86">
        <f>-IFERROR(VLOOKUP(C1057,Gastos!$A$9:$J$1451,10,0),0)</f>
        <v>-184.3</v>
      </c>
      <c r="L1057" s="86">
        <f>-IFERROR(VLOOKUP(C1057,IDC!$A$20:$H$1763,8,0),0)</f>
        <v>-114</v>
      </c>
      <c r="M1057" s="95">
        <f t="shared" si="32"/>
        <v>19000</v>
      </c>
      <c r="O1057" s="1"/>
    </row>
    <row r="1058" spans="1:15" hidden="1">
      <c r="A1058" s="1" t="s">
        <v>1118</v>
      </c>
      <c r="B1058" s="1" t="s">
        <v>15</v>
      </c>
      <c r="C1058" s="71">
        <v>129785087831</v>
      </c>
      <c r="D1058" s="3">
        <v>2338.3200000000002</v>
      </c>
      <c r="E1058" s="3">
        <v>11220827.58</v>
      </c>
      <c r="F1058" s="1" t="s">
        <v>3065</v>
      </c>
      <c r="G1058"/>
      <c r="H1058"/>
      <c r="I1058" s="19">
        <f>-IFERROR(VLOOKUP(C1058,SIRCUPA!$A$21:$H$221,8,0),0)</f>
        <v>0</v>
      </c>
      <c r="J1058" s="86">
        <f>-IFERROR(VLOOKUP(C1058,SIRTAC!$A$16:$H$1458,8,0),0)</f>
        <v>-24</v>
      </c>
      <c r="K1058" s="86">
        <f>-IFERROR(VLOOKUP(C1058,Gastos!$A$9:$J$1451,10,0),0)</f>
        <v>-23.28</v>
      </c>
      <c r="L1058" s="86">
        <f>-IFERROR(VLOOKUP(C1058,IDC!$A$20:$H$1763,8,0),0)</f>
        <v>-14.4</v>
      </c>
      <c r="M1058" s="95">
        <f t="shared" si="32"/>
        <v>2400.0000000000005</v>
      </c>
      <c r="O1058" s="1"/>
    </row>
    <row r="1059" spans="1:15" hidden="1">
      <c r="A1059" s="1" t="s">
        <v>1118</v>
      </c>
      <c r="B1059" s="1" t="s">
        <v>15</v>
      </c>
      <c r="C1059" s="71">
        <v>130364127788</v>
      </c>
      <c r="D1059" s="3">
        <v>11241.93</v>
      </c>
      <c r="E1059" s="3">
        <v>11232069.51</v>
      </c>
      <c r="F1059" s="1" t="s">
        <v>3065</v>
      </c>
      <c r="G1059"/>
      <c r="H1059"/>
      <c r="I1059" s="19">
        <f>-IFERROR(VLOOKUP(C1059,SIRCUPA!$A$21:$H$221,8,0),0)</f>
        <v>0</v>
      </c>
      <c r="J1059" s="86">
        <f>-IFERROR(VLOOKUP(C1059,SIRTAC!$A$16:$H$1458,8,0),0)</f>
        <v>-119</v>
      </c>
      <c r="K1059" s="86">
        <f>-IFERROR(VLOOKUP(C1059,Gastos!$A$9:$J$1451,10,0),0)</f>
        <v>-467.67</v>
      </c>
      <c r="L1059" s="86">
        <f>-IFERROR(VLOOKUP(C1059,IDC!$A$20:$H$1763,8,0),0)</f>
        <v>-71.400000000000006</v>
      </c>
      <c r="M1059" s="95">
        <f t="shared" si="32"/>
        <v>11900</v>
      </c>
      <c r="O1059" s="1"/>
    </row>
    <row r="1060" spans="1:15" hidden="1">
      <c r="A1060" s="1" t="s">
        <v>1118</v>
      </c>
      <c r="B1060" s="1" t="s">
        <v>15</v>
      </c>
      <c r="C1060" s="71">
        <v>129786974609</v>
      </c>
      <c r="D1060" s="3">
        <v>25429.23</v>
      </c>
      <c r="E1060" s="3">
        <v>11257498.74</v>
      </c>
      <c r="F1060" s="1" t="s">
        <v>3065</v>
      </c>
      <c r="G1060"/>
      <c r="H1060"/>
      <c r="I1060" s="19">
        <f>-IFERROR(VLOOKUP(C1060,SIRCUPA!$A$21:$H$221,8,0),0)</f>
        <v>0</v>
      </c>
      <c r="J1060" s="86">
        <f>-IFERROR(VLOOKUP(C1060,SIRTAC!$A$16:$H$1458,8,0),0)</f>
        <v>-261</v>
      </c>
      <c r="K1060" s="86">
        <f>-IFERROR(VLOOKUP(C1060,Gastos!$A$9:$J$1451,10,0),0)</f>
        <v>-253.17</v>
      </c>
      <c r="L1060" s="86">
        <f>-IFERROR(VLOOKUP(C1060,IDC!$A$20:$H$1763,8,0),0)</f>
        <v>-156.6</v>
      </c>
      <c r="M1060" s="95">
        <f t="shared" si="32"/>
        <v>26099.999999999996</v>
      </c>
      <c r="O1060" s="1"/>
    </row>
    <row r="1061" spans="1:15" hidden="1">
      <c r="A1061" s="1" t="s">
        <v>1118</v>
      </c>
      <c r="B1061" s="1" t="s">
        <v>1194</v>
      </c>
      <c r="C1061" s="71">
        <v>130364682784</v>
      </c>
      <c r="D1061" s="3">
        <v>1277.5899999999999</v>
      </c>
      <c r="E1061" s="3">
        <v>11258776.33</v>
      </c>
      <c r="F1061" s="1" t="s">
        <v>3065</v>
      </c>
      <c r="G1061"/>
      <c r="H1061"/>
      <c r="I1061" s="19">
        <f>-IFERROR(VLOOKUP(C1061,SIRCUPA!$A$21:$H$221,8,0),0)</f>
        <v>-19.579999999999998</v>
      </c>
      <c r="J1061" s="86">
        <f>-IFERROR(VLOOKUP(C1061,SIRTAC!$A$16:$H$1458,8,0),0)</f>
        <v>0</v>
      </c>
      <c r="K1061" s="86">
        <f>-IFERROR(VLOOKUP(C1061,Gastos!$A$9:$J$1451,10,0),0)</f>
        <v>0</v>
      </c>
      <c r="L1061" s="86">
        <f>-IFERROR(VLOOKUP(C1061,IDC!$A$20:$H$1763,8,0),0)</f>
        <v>-7.83</v>
      </c>
      <c r="M1061" s="95">
        <f t="shared" si="32"/>
        <v>1304.9999999999998</v>
      </c>
      <c r="O1061" s="1"/>
    </row>
    <row r="1062" spans="1:15" hidden="1">
      <c r="A1062" s="1" t="s">
        <v>1118</v>
      </c>
      <c r="B1062" s="1" t="s">
        <v>15</v>
      </c>
      <c r="C1062" s="71">
        <v>130366746476</v>
      </c>
      <c r="D1062" s="3">
        <v>4676.6400000000003</v>
      </c>
      <c r="E1062" s="3">
        <v>11263452.970000001</v>
      </c>
      <c r="F1062" s="1" t="s">
        <v>3065</v>
      </c>
      <c r="G1062"/>
      <c r="H1062"/>
      <c r="I1062" s="19">
        <f>-IFERROR(VLOOKUP(C1062,SIRCUPA!$A$21:$H$221,8,0),0)</f>
        <v>0</v>
      </c>
      <c r="J1062" s="86">
        <f>-IFERROR(VLOOKUP(C1062,SIRTAC!$A$16:$H$1458,8,0),0)</f>
        <v>-48</v>
      </c>
      <c r="K1062" s="86">
        <f>-IFERROR(VLOOKUP(C1062,Gastos!$A$9:$J$1451,10,0),0)</f>
        <v>-46.56</v>
      </c>
      <c r="L1062" s="86">
        <f>-IFERROR(VLOOKUP(C1062,IDC!$A$20:$H$1763,8,0),0)</f>
        <v>-28.8</v>
      </c>
      <c r="M1062" s="95">
        <f t="shared" si="32"/>
        <v>4800.0000000000009</v>
      </c>
      <c r="O1062" s="1"/>
    </row>
    <row r="1063" spans="1:15" hidden="1">
      <c r="A1063" s="1" t="s">
        <v>1118</v>
      </c>
      <c r="B1063" s="1" t="s">
        <v>15</v>
      </c>
      <c r="C1063" s="71">
        <v>129790304621</v>
      </c>
      <c r="D1063" s="3">
        <v>9010.56</v>
      </c>
      <c r="E1063" s="3">
        <v>11272463.529999999</v>
      </c>
      <c r="F1063" s="1" t="s">
        <v>3065</v>
      </c>
      <c r="G1063"/>
      <c r="H1063"/>
      <c r="I1063" s="19">
        <f>-IFERROR(VLOOKUP(C1063,SIRCUPA!$A$21:$H$221,8,0),0)</f>
        <v>0</v>
      </c>
      <c r="J1063" s="86">
        <f>-IFERROR(VLOOKUP(C1063,SIRTAC!$A$16:$H$1458,8,0),0)</f>
        <v>-96</v>
      </c>
      <c r="K1063" s="86">
        <f>-IFERROR(VLOOKUP(C1063,Gastos!$A$9:$J$1451,10,0),0)</f>
        <v>-435.84</v>
      </c>
      <c r="L1063" s="86">
        <f>-IFERROR(VLOOKUP(C1063,IDC!$A$20:$H$1763,8,0),0)</f>
        <v>-57.6</v>
      </c>
      <c r="M1063" s="95">
        <f t="shared" si="32"/>
        <v>9600</v>
      </c>
      <c r="O1063" s="1"/>
    </row>
    <row r="1064" spans="1:15" hidden="1">
      <c r="A1064" s="1" t="s">
        <v>1118</v>
      </c>
      <c r="B1064" s="1" t="s">
        <v>15</v>
      </c>
      <c r="C1064" s="71">
        <v>129792971801</v>
      </c>
      <c r="D1064" s="3">
        <v>5358.65</v>
      </c>
      <c r="E1064" s="3">
        <v>11277822.18</v>
      </c>
      <c r="F1064" s="1" t="s">
        <v>3065</v>
      </c>
      <c r="G1064"/>
      <c r="H1064"/>
      <c r="I1064" s="19">
        <f>-IFERROR(VLOOKUP(C1064,SIRCUPA!$A$21:$H$221,8,0),0)</f>
        <v>0</v>
      </c>
      <c r="J1064" s="86">
        <f>-IFERROR(VLOOKUP(C1064,SIRTAC!$A$16:$H$1458,8,0),0)</f>
        <v>-55</v>
      </c>
      <c r="K1064" s="86">
        <f>-IFERROR(VLOOKUP(C1064,Gastos!$A$9:$J$1451,10,0),0)</f>
        <v>-53.35</v>
      </c>
      <c r="L1064" s="86">
        <f>-IFERROR(VLOOKUP(C1064,IDC!$A$20:$H$1763,8,0),0)</f>
        <v>-33</v>
      </c>
      <c r="M1064" s="95">
        <f t="shared" si="32"/>
        <v>5500</v>
      </c>
      <c r="O1064" s="1"/>
    </row>
    <row r="1065" spans="1:15" hidden="1">
      <c r="A1065" s="1" t="s">
        <v>1118</v>
      </c>
      <c r="B1065" s="1" t="s">
        <v>1199</v>
      </c>
      <c r="C1065" s="71">
        <v>129793044845</v>
      </c>
      <c r="D1065" s="2">
        <v>269.22000000000003</v>
      </c>
      <c r="E1065" s="3">
        <v>11278091.4</v>
      </c>
      <c r="F1065" s="1" t="s">
        <v>3065</v>
      </c>
      <c r="G1065"/>
      <c r="H1065"/>
      <c r="I1065" s="19">
        <f>-IFERROR(VLOOKUP(C1065,SIRCUPA!$A$21:$H$221,8,0),0)</f>
        <v>-4.13</v>
      </c>
      <c r="J1065" s="86">
        <f>-IFERROR(VLOOKUP(C1065,SIRTAC!$A$16:$H$1458,8,0),0)</f>
        <v>0</v>
      </c>
      <c r="K1065" s="86">
        <f>-IFERROR(VLOOKUP(C1065,Gastos!$A$9:$J$1451,10,0),0)</f>
        <v>0</v>
      </c>
      <c r="L1065" s="86">
        <f>-IFERROR(VLOOKUP(C1065,IDC!$A$20:$H$1763,8,0),0)</f>
        <v>-1.65</v>
      </c>
      <c r="M1065" s="95">
        <f t="shared" si="32"/>
        <v>275</v>
      </c>
      <c r="O1065" s="1"/>
    </row>
    <row r="1066" spans="1:15" hidden="1">
      <c r="A1066" s="1" t="s">
        <v>1118</v>
      </c>
      <c r="B1066" s="1" t="s">
        <v>15</v>
      </c>
      <c r="C1066" s="71">
        <v>129794619261</v>
      </c>
      <c r="D1066" s="3">
        <v>27418.58</v>
      </c>
      <c r="E1066" s="3">
        <v>11305509.98</v>
      </c>
      <c r="F1066" s="1" t="s">
        <v>3065</v>
      </c>
      <c r="G1066"/>
      <c r="H1066"/>
      <c r="I1066" s="19">
        <f>-IFERROR(VLOOKUP(C1066,SIRCUPA!$A$21:$H$221,8,0),0)</f>
        <v>0</v>
      </c>
      <c r="J1066" s="86">
        <f>-IFERROR(VLOOKUP(C1066,SIRTAC!$A$16:$H$1458,8,0),0)</f>
        <v>-302</v>
      </c>
      <c r="K1066" s="86">
        <f>-IFERROR(VLOOKUP(C1066,Gastos!$A$9:$J$1451,10,0),0)</f>
        <v>-2298.2199999999998</v>
      </c>
      <c r="L1066" s="86">
        <f>-IFERROR(VLOOKUP(C1066,IDC!$A$20:$H$1763,8,0),0)</f>
        <v>-181.2</v>
      </c>
      <c r="M1066" s="95">
        <f t="shared" si="32"/>
        <v>30200.000000000004</v>
      </c>
      <c r="O1066" s="1"/>
    </row>
    <row r="1067" spans="1:15" hidden="1">
      <c r="A1067" s="1" t="s">
        <v>1118</v>
      </c>
      <c r="B1067" s="1" t="s">
        <v>15</v>
      </c>
      <c r="C1067" s="71">
        <v>129796256297</v>
      </c>
      <c r="D1067" s="3">
        <v>9548.14</v>
      </c>
      <c r="E1067" s="3">
        <v>11315058.119999999</v>
      </c>
      <c r="F1067" s="1" t="s">
        <v>3065</v>
      </c>
      <c r="G1067"/>
      <c r="H1067"/>
      <c r="I1067" s="19">
        <f>-IFERROR(VLOOKUP(C1067,SIRCUPA!$A$21:$H$221,8,0),0)</f>
        <v>0</v>
      </c>
      <c r="J1067" s="86">
        <f>-IFERROR(VLOOKUP(C1067,SIRTAC!$A$16:$H$1458,8,0),0)</f>
        <v>-98</v>
      </c>
      <c r="K1067" s="86">
        <f>-IFERROR(VLOOKUP(C1067,Gastos!$A$9:$J$1451,10,0),0)</f>
        <v>-95.06</v>
      </c>
      <c r="L1067" s="86">
        <f>-IFERROR(VLOOKUP(C1067,IDC!$A$20:$H$1763,8,0),0)</f>
        <v>-58.8</v>
      </c>
      <c r="M1067" s="95">
        <f t="shared" ref="M1067:M1130" si="33">+D1067-I1067-J1067-K1067-L1067</f>
        <v>9799.9999999999982</v>
      </c>
      <c r="O1067" s="1"/>
    </row>
    <row r="1068" spans="1:15" hidden="1">
      <c r="A1068" s="1" t="s">
        <v>1118</v>
      </c>
      <c r="B1068" s="1" t="s">
        <v>15</v>
      </c>
      <c r="C1068" s="71">
        <v>129796310089</v>
      </c>
      <c r="D1068" s="3">
        <v>36605.4</v>
      </c>
      <c r="E1068" s="3">
        <v>11351663.52</v>
      </c>
      <c r="F1068" s="1" t="s">
        <v>3065</v>
      </c>
      <c r="G1068"/>
      <c r="H1068"/>
      <c r="I1068" s="19">
        <f>-IFERROR(VLOOKUP(C1068,SIRCUPA!$A$21:$H$221,8,0),0)</f>
        <v>0</v>
      </c>
      <c r="J1068" s="86">
        <f>-IFERROR(VLOOKUP(C1068,SIRTAC!$A$16:$H$1458,8,0),0)</f>
        <v>-390</v>
      </c>
      <c r="K1068" s="86">
        <f>-IFERROR(VLOOKUP(C1068,Gastos!$A$9:$J$1451,10,0),0)</f>
        <v>-1770.6</v>
      </c>
      <c r="L1068" s="86">
        <f>-IFERROR(VLOOKUP(C1068,IDC!$A$20:$H$1763,8,0),0)</f>
        <v>-234</v>
      </c>
      <c r="M1068" s="95">
        <f t="shared" si="33"/>
        <v>39000</v>
      </c>
      <c r="O1068" s="1"/>
    </row>
    <row r="1069" spans="1:15" hidden="1">
      <c r="A1069" s="1" t="s">
        <v>1118</v>
      </c>
      <c r="B1069" s="1" t="s">
        <v>15</v>
      </c>
      <c r="C1069" s="71">
        <v>129796727397</v>
      </c>
      <c r="D1069" s="3">
        <v>60102.98</v>
      </c>
      <c r="E1069" s="3">
        <v>11411766.5</v>
      </c>
      <c r="F1069" s="1" t="s">
        <v>3065</v>
      </c>
      <c r="G1069"/>
      <c r="H1069"/>
      <c r="I1069" s="19">
        <f>-IFERROR(VLOOKUP(C1069,SIRCUPA!$A$21:$H$221,8,0),0)</f>
        <v>0</v>
      </c>
      <c r="J1069" s="86">
        <f>-IFERROR(VLOOKUP(C1069,SIRTAC!$A$16:$H$1458,8,0),0)</f>
        <v>-662</v>
      </c>
      <c r="K1069" s="86">
        <f>-IFERROR(VLOOKUP(C1069,Gastos!$A$9:$J$1451,10,0),0)</f>
        <v>-5037.82</v>
      </c>
      <c r="L1069" s="86">
        <f>-IFERROR(VLOOKUP(C1069,IDC!$A$20:$H$1763,8,0),0)</f>
        <v>-397.2</v>
      </c>
      <c r="M1069" s="95">
        <f t="shared" si="33"/>
        <v>66200</v>
      </c>
      <c r="O1069" s="1"/>
    </row>
    <row r="1070" spans="1:15" hidden="1">
      <c r="A1070" s="1" t="s">
        <v>1118</v>
      </c>
      <c r="B1070" s="1" t="s">
        <v>15</v>
      </c>
      <c r="C1070" s="71">
        <v>130375704532</v>
      </c>
      <c r="D1070" s="3">
        <v>83497.509999999995</v>
      </c>
      <c r="E1070" s="3">
        <v>11495264.01</v>
      </c>
      <c r="F1070" s="1" t="s">
        <v>3065</v>
      </c>
      <c r="G1070"/>
      <c r="H1070"/>
      <c r="I1070" s="19">
        <f>-IFERROR(VLOOKUP(C1070,SIRCUPA!$A$21:$H$221,8,0),0)</f>
        <v>0</v>
      </c>
      <c r="J1070" s="86">
        <f>-IFERROR(VLOOKUP(C1070,SIRTAC!$A$16:$H$1458,8,0),0)</f>
        <v>-857</v>
      </c>
      <c r="K1070" s="86">
        <f>-IFERROR(VLOOKUP(C1070,Gastos!$A$9:$J$1451,10,0),0)</f>
        <v>-831.29</v>
      </c>
      <c r="L1070" s="86">
        <f>-IFERROR(VLOOKUP(C1070,IDC!$A$20:$H$1763,8,0),0)</f>
        <v>-514.20000000000005</v>
      </c>
      <c r="M1070" s="95">
        <f t="shared" si="33"/>
        <v>85699.999999999985</v>
      </c>
      <c r="O1070" s="1"/>
    </row>
    <row r="1071" spans="1:15" hidden="1">
      <c r="A1071" s="1" t="s">
        <v>1118</v>
      </c>
      <c r="B1071" s="1" t="s">
        <v>15</v>
      </c>
      <c r="C1071" s="71">
        <v>129798660403</v>
      </c>
      <c r="D1071" s="3">
        <v>37693.53</v>
      </c>
      <c r="E1071" s="3">
        <v>11532957.539999999</v>
      </c>
      <c r="F1071" s="1" t="s">
        <v>3065</v>
      </c>
      <c r="G1071"/>
      <c r="H1071"/>
      <c r="I1071" s="19">
        <f>-IFERROR(VLOOKUP(C1071,SIRCUPA!$A$21:$H$221,8,0),0)</f>
        <v>0</v>
      </c>
      <c r="J1071" s="86">
        <f>-IFERROR(VLOOKUP(C1071,SIRTAC!$A$16:$H$1458,8,0),0)</f>
        <v>-399</v>
      </c>
      <c r="K1071" s="86">
        <f>-IFERROR(VLOOKUP(C1071,Gastos!$A$9:$J$1451,10,0),0)</f>
        <v>-1568.07</v>
      </c>
      <c r="L1071" s="86">
        <f>-IFERROR(VLOOKUP(C1071,IDC!$A$20:$H$1763,8,0),0)</f>
        <v>-239.4</v>
      </c>
      <c r="M1071" s="95">
        <f t="shared" si="33"/>
        <v>39900</v>
      </c>
      <c r="O1071" s="1"/>
    </row>
    <row r="1072" spans="1:15" hidden="1">
      <c r="A1072" s="1" t="s">
        <v>1118</v>
      </c>
      <c r="B1072" s="1" t="s">
        <v>15</v>
      </c>
      <c r="C1072" s="71">
        <v>130377596540</v>
      </c>
      <c r="D1072" s="3">
        <v>4451.42</v>
      </c>
      <c r="E1072" s="3">
        <v>11537408.960000001</v>
      </c>
      <c r="F1072" s="1" t="s">
        <v>3065</v>
      </c>
      <c r="G1072"/>
      <c r="H1072"/>
      <c r="I1072" s="19">
        <f>-IFERROR(VLOOKUP(C1072,SIRCUPA!$A$21:$H$221,8,0),0)</f>
        <v>0</v>
      </c>
      <c r="J1072" s="86">
        <f>-IFERROR(VLOOKUP(C1072,SIRTAC!$A$16:$H$1458,8,0),0)</f>
        <v>-46</v>
      </c>
      <c r="K1072" s="86">
        <f>-IFERROR(VLOOKUP(C1072,Gastos!$A$9:$J$1451,10,0),0)</f>
        <v>-74.98</v>
      </c>
      <c r="L1072" s="86">
        <f>-IFERROR(VLOOKUP(C1072,IDC!$A$20:$H$1763,8,0),0)</f>
        <v>-27.6</v>
      </c>
      <c r="M1072" s="95">
        <f t="shared" si="33"/>
        <v>4600</v>
      </c>
      <c r="O1072" s="1"/>
    </row>
    <row r="1073" spans="1:15" hidden="1">
      <c r="A1073" s="1" t="s">
        <v>1118</v>
      </c>
      <c r="B1073" s="1" t="s">
        <v>15</v>
      </c>
      <c r="C1073" s="71">
        <v>130377732924</v>
      </c>
      <c r="D1073" s="3">
        <v>60177.39</v>
      </c>
      <c r="E1073" s="3">
        <v>11597586.35</v>
      </c>
      <c r="F1073" s="1" t="s">
        <v>3065</v>
      </c>
      <c r="G1073"/>
      <c r="H1073"/>
      <c r="I1073" s="19">
        <f>-IFERROR(VLOOKUP(C1073,SIRCUPA!$A$21:$H$221,8,0),0)</f>
        <v>0</v>
      </c>
      <c r="J1073" s="86">
        <f>-IFERROR(VLOOKUP(C1073,SIRTAC!$A$16:$H$1458,8,0),0)</f>
        <v>-637</v>
      </c>
      <c r="K1073" s="86">
        <f>-IFERROR(VLOOKUP(C1073,Gastos!$A$9:$J$1451,10,0),0)</f>
        <v>-2503.41</v>
      </c>
      <c r="L1073" s="86">
        <f>-IFERROR(VLOOKUP(C1073,IDC!$A$20:$H$1763,8,0),0)</f>
        <v>-382.2</v>
      </c>
      <c r="M1073" s="95">
        <f t="shared" si="33"/>
        <v>63700</v>
      </c>
      <c r="O1073" s="1"/>
    </row>
    <row r="1074" spans="1:15" hidden="1">
      <c r="A1074" s="1" t="s">
        <v>1118</v>
      </c>
      <c r="B1074" s="1" t="s">
        <v>15</v>
      </c>
      <c r="C1074" s="71">
        <v>130380979778</v>
      </c>
      <c r="D1074" s="3">
        <v>39677.4</v>
      </c>
      <c r="E1074" s="3">
        <v>11637263.75</v>
      </c>
      <c r="F1074" s="1" t="s">
        <v>3065</v>
      </c>
      <c r="G1074"/>
      <c r="H1074"/>
      <c r="I1074" s="19">
        <f>-IFERROR(VLOOKUP(C1074,SIRCUPA!$A$21:$H$221,8,0),0)</f>
        <v>0</v>
      </c>
      <c r="J1074" s="86">
        <f>-IFERROR(VLOOKUP(C1074,SIRTAC!$A$16:$H$1458,8,0),0)</f>
        <v>-420</v>
      </c>
      <c r="K1074" s="86">
        <f>-IFERROR(VLOOKUP(C1074,Gastos!$A$9:$J$1451,10,0),0)</f>
        <v>-1650.6</v>
      </c>
      <c r="L1074" s="86">
        <f>-IFERROR(VLOOKUP(C1074,IDC!$A$20:$H$1763,8,0),0)</f>
        <v>-252</v>
      </c>
      <c r="M1074" s="95">
        <f t="shared" si="33"/>
        <v>42000</v>
      </c>
      <c r="O1074" s="1"/>
    </row>
    <row r="1075" spans="1:15" hidden="1">
      <c r="A1075" s="1" t="s">
        <v>1118</v>
      </c>
      <c r="B1075" s="1" t="s">
        <v>15</v>
      </c>
      <c r="C1075" s="71">
        <v>129803748097</v>
      </c>
      <c r="D1075" s="3">
        <v>44850.26</v>
      </c>
      <c r="E1075" s="3">
        <v>11682114.01</v>
      </c>
      <c r="F1075" s="1" t="s">
        <v>3065</v>
      </c>
      <c r="G1075"/>
      <c r="H1075"/>
      <c r="I1075" s="19">
        <f>-IFERROR(VLOOKUP(C1075,SIRCUPA!$A$21:$H$221,8,0),0)</f>
        <v>0</v>
      </c>
      <c r="J1075" s="86">
        <f>-IFERROR(VLOOKUP(C1075,SIRTAC!$A$16:$H$1458,8,0),0)</f>
        <v>-494</v>
      </c>
      <c r="K1075" s="86">
        <f>-IFERROR(VLOOKUP(C1075,Gastos!$A$9:$J$1451,10,0),0)</f>
        <v>-3759.34</v>
      </c>
      <c r="L1075" s="86">
        <f>-IFERROR(VLOOKUP(C1075,IDC!$A$20:$H$1763,8,0),0)</f>
        <v>-296.39999999999998</v>
      </c>
      <c r="M1075" s="95">
        <f t="shared" si="33"/>
        <v>49400.000000000007</v>
      </c>
      <c r="O1075" s="1"/>
    </row>
    <row r="1076" spans="1:15" hidden="1">
      <c r="A1076" s="1" t="s">
        <v>1118</v>
      </c>
      <c r="B1076" s="1" t="s">
        <v>15</v>
      </c>
      <c r="C1076" s="71">
        <v>130381748326</v>
      </c>
      <c r="D1076" s="3">
        <v>40141.160000000003</v>
      </c>
      <c r="E1076" s="3">
        <v>11722255.17</v>
      </c>
      <c r="F1076" s="1" t="s">
        <v>3065</v>
      </c>
      <c r="G1076"/>
      <c r="H1076"/>
      <c r="I1076" s="19">
        <f>-IFERROR(VLOOKUP(C1076,SIRCUPA!$A$21:$H$221,8,0),0)</f>
        <v>0</v>
      </c>
      <c r="J1076" s="86">
        <f>-IFERROR(VLOOKUP(C1076,SIRTAC!$A$16:$H$1458,8,0),0)</f>
        <v>-412</v>
      </c>
      <c r="K1076" s="86">
        <f>-IFERROR(VLOOKUP(C1076,Gastos!$A$9:$J$1451,10,0),0)</f>
        <v>-399.64</v>
      </c>
      <c r="L1076" s="86">
        <f>-IFERROR(VLOOKUP(C1076,IDC!$A$20:$H$1763,8,0),0)</f>
        <v>-247.2</v>
      </c>
      <c r="M1076" s="95">
        <f t="shared" si="33"/>
        <v>41200</v>
      </c>
      <c r="O1076" s="1"/>
    </row>
    <row r="1077" spans="1:15" hidden="1">
      <c r="A1077" s="1" t="s">
        <v>1118</v>
      </c>
      <c r="B1077" s="1" t="s">
        <v>15</v>
      </c>
      <c r="C1077" s="71">
        <v>129804183645</v>
      </c>
      <c r="D1077" s="3">
        <v>28235.69</v>
      </c>
      <c r="E1077" s="3">
        <v>11750490.859999999</v>
      </c>
      <c r="F1077" s="1" t="s">
        <v>3065</v>
      </c>
      <c r="G1077"/>
      <c r="H1077"/>
      <c r="I1077" s="19">
        <f>-IFERROR(VLOOKUP(C1077,SIRCUPA!$A$21:$H$221,8,0),0)</f>
        <v>0</v>
      </c>
      <c r="J1077" s="86">
        <f>-IFERROR(VLOOKUP(C1077,SIRTAC!$A$16:$H$1458,8,0),0)</f>
        <v>-311</v>
      </c>
      <c r="K1077" s="86">
        <f>-IFERROR(VLOOKUP(C1077,Gastos!$A$9:$J$1451,10,0),0)</f>
        <v>-2366.71</v>
      </c>
      <c r="L1077" s="86">
        <f>-IFERROR(VLOOKUP(C1077,IDC!$A$20:$H$1763,8,0),0)</f>
        <v>-186.6</v>
      </c>
      <c r="M1077" s="95">
        <f t="shared" si="33"/>
        <v>31099.999999999996</v>
      </c>
      <c r="O1077" s="1"/>
    </row>
    <row r="1078" spans="1:15" hidden="1">
      <c r="A1078" s="1" t="s">
        <v>1213</v>
      </c>
      <c r="B1078" s="1" t="s">
        <v>15</v>
      </c>
      <c r="C1078" s="71">
        <v>130383628858</v>
      </c>
      <c r="D1078" s="3">
        <v>45012.66</v>
      </c>
      <c r="E1078" s="3">
        <v>11795503.52</v>
      </c>
      <c r="F1078" s="1" t="s">
        <v>3065</v>
      </c>
      <c r="G1078"/>
      <c r="H1078"/>
      <c r="I1078" s="19">
        <f>-IFERROR(VLOOKUP(C1078,SIRCUPA!$A$21:$H$221,8,0),0)</f>
        <v>0</v>
      </c>
      <c r="J1078" s="86">
        <f>-IFERROR(VLOOKUP(C1078,SIRTAC!$A$16:$H$1458,8,0),0)</f>
        <v>-462</v>
      </c>
      <c r="K1078" s="86">
        <f>-IFERROR(VLOOKUP(C1078,Gastos!$A$9:$J$1451,10,0),0)</f>
        <v>-448.14</v>
      </c>
      <c r="L1078" s="86">
        <f>-IFERROR(VLOOKUP(C1078,IDC!$A$20:$H$1763,8,0),0)</f>
        <v>-277.2</v>
      </c>
      <c r="M1078" s="95">
        <f t="shared" si="33"/>
        <v>46200</v>
      </c>
      <c r="O1078" s="1"/>
    </row>
    <row r="1079" spans="1:15" hidden="1">
      <c r="A1079" s="1" t="s">
        <v>1213</v>
      </c>
      <c r="B1079" s="1" t="s">
        <v>15</v>
      </c>
      <c r="C1079" s="71">
        <v>130384067958</v>
      </c>
      <c r="D1079" s="3">
        <v>101995.58</v>
      </c>
      <c r="E1079" s="3">
        <v>11897499.1</v>
      </c>
      <c r="F1079" s="1" t="s">
        <v>3065</v>
      </c>
      <c r="G1079"/>
      <c r="H1079"/>
      <c r="I1079" s="19">
        <f>-IFERROR(VLOOKUP(C1079,SIRCUPA!$A$21:$H$221,8,0),0)</f>
        <v>0</v>
      </c>
      <c r="J1079" s="86">
        <f>-IFERROR(VLOOKUP(C1079,SIRTAC!$A$16:$H$1458,8,0),0)</f>
        <v>-1054</v>
      </c>
      <c r="K1079" s="86">
        <f>-IFERROR(VLOOKUP(C1079,Gastos!$A$9:$J$1451,10,0),0)</f>
        <v>-1718.02</v>
      </c>
      <c r="L1079" s="86">
        <f>-IFERROR(VLOOKUP(C1079,IDC!$A$20:$H$1763,8,0),0)</f>
        <v>-632.4</v>
      </c>
      <c r="M1079" s="95">
        <f t="shared" si="33"/>
        <v>105400</v>
      </c>
      <c r="O1079" s="1"/>
    </row>
    <row r="1080" spans="1:15" hidden="1">
      <c r="A1080" s="1" t="s">
        <v>1213</v>
      </c>
      <c r="B1080" s="1" t="s">
        <v>15</v>
      </c>
      <c r="C1080" s="71">
        <v>130385114790</v>
      </c>
      <c r="D1080" s="3">
        <v>14127.35</v>
      </c>
      <c r="E1080" s="3">
        <v>11911626.449999999</v>
      </c>
      <c r="F1080" s="1" t="s">
        <v>3065</v>
      </c>
      <c r="G1080"/>
      <c r="H1080"/>
      <c r="I1080" s="19">
        <f>-IFERROR(VLOOKUP(C1080,SIRCUPA!$A$21:$H$221,8,0),0)</f>
        <v>0</v>
      </c>
      <c r="J1080" s="86">
        <f>-IFERROR(VLOOKUP(C1080,SIRTAC!$A$16:$H$1458,8,0),0)</f>
        <v>-145</v>
      </c>
      <c r="K1080" s="86">
        <f>-IFERROR(VLOOKUP(C1080,Gastos!$A$9:$J$1451,10,0),0)</f>
        <v>-140.65</v>
      </c>
      <c r="L1080" s="86">
        <f>-IFERROR(VLOOKUP(C1080,IDC!$A$20:$H$1763,8,0),0)</f>
        <v>-87</v>
      </c>
      <c r="M1080" s="95">
        <f t="shared" si="33"/>
        <v>14500</v>
      </c>
      <c r="O1080" s="1"/>
    </row>
    <row r="1081" spans="1:15" hidden="1">
      <c r="A1081" s="1" t="s">
        <v>1213</v>
      </c>
      <c r="B1081" s="1" t="s">
        <v>15</v>
      </c>
      <c r="C1081" s="71">
        <v>129807437845</v>
      </c>
      <c r="D1081" s="3">
        <v>38289.99</v>
      </c>
      <c r="E1081" s="3">
        <v>11949916.439999999</v>
      </c>
      <c r="F1081" s="1" t="s">
        <v>3065</v>
      </c>
      <c r="G1081"/>
      <c r="H1081"/>
      <c r="I1081" s="19">
        <f>-IFERROR(VLOOKUP(C1081,SIRCUPA!$A$21:$H$221,8,0),0)</f>
        <v>0</v>
      </c>
      <c r="J1081" s="86">
        <f>-IFERROR(VLOOKUP(C1081,SIRTAC!$A$16:$H$1458,8,0),0)</f>
        <v>-393</v>
      </c>
      <c r="K1081" s="86">
        <f>-IFERROR(VLOOKUP(C1081,Gastos!$A$9:$J$1451,10,0),0)</f>
        <v>-381.21</v>
      </c>
      <c r="L1081" s="86">
        <f>-IFERROR(VLOOKUP(C1081,IDC!$A$20:$H$1763,8,0),0)</f>
        <v>-235.8</v>
      </c>
      <c r="M1081" s="95">
        <f t="shared" si="33"/>
        <v>39300</v>
      </c>
      <c r="O1081" s="1"/>
    </row>
    <row r="1082" spans="1:15" hidden="1">
      <c r="A1082" s="1" t="s">
        <v>1213</v>
      </c>
      <c r="B1082" s="1" t="s">
        <v>15</v>
      </c>
      <c r="C1082" s="71">
        <v>130386044450</v>
      </c>
      <c r="D1082" s="3">
        <v>13792.62</v>
      </c>
      <c r="E1082" s="3">
        <v>11963709.060000001</v>
      </c>
      <c r="F1082" s="1" t="s">
        <v>3065</v>
      </c>
      <c r="G1082"/>
      <c r="H1082"/>
      <c r="I1082" s="19">
        <f>-IFERROR(VLOOKUP(C1082,SIRCUPA!$A$21:$H$221,8,0),0)</f>
        <v>0</v>
      </c>
      <c r="J1082" s="86">
        <f>-IFERROR(VLOOKUP(C1082,SIRTAC!$A$16:$H$1458,8,0),0)</f>
        <v>-146</v>
      </c>
      <c r="K1082" s="86">
        <f>-IFERROR(VLOOKUP(C1082,Gastos!$A$9:$J$1451,10,0),0)</f>
        <v>-573.78</v>
      </c>
      <c r="L1082" s="86">
        <f>-IFERROR(VLOOKUP(C1082,IDC!$A$20:$H$1763,8,0),0)</f>
        <v>-87.6</v>
      </c>
      <c r="M1082" s="95">
        <f t="shared" si="33"/>
        <v>14600.000000000002</v>
      </c>
      <c r="O1082" s="1"/>
    </row>
    <row r="1083" spans="1:15" hidden="1">
      <c r="A1083" s="1" t="s">
        <v>1213</v>
      </c>
      <c r="B1083" s="1" t="s">
        <v>15</v>
      </c>
      <c r="C1083" s="71">
        <v>130386204302</v>
      </c>
      <c r="D1083" s="3">
        <v>27670.12</v>
      </c>
      <c r="E1083" s="3">
        <v>11991379.18</v>
      </c>
      <c r="F1083" s="1" t="s">
        <v>3065</v>
      </c>
      <c r="G1083"/>
      <c r="H1083"/>
      <c r="I1083" s="19">
        <f>-IFERROR(VLOOKUP(C1083,SIRCUPA!$A$21:$H$221,8,0),0)</f>
        <v>0</v>
      </c>
      <c r="J1083" s="86">
        <f>-IFERROR(VLOOKUP(C1083,SIRTAC!$A$16:$H$1458,8,0),0)</f>
        <v>-284</v>
      </c>
      <c r="K1083" s="86">
        <f>-IFERROR(VLOOKUP(C1083,Gastos!$A$9:$J$1451,10,0),0)</f>
        <v>-275.48</v>
      </c>
      <c r="L1083" s="86">
        <f>-IFERROR(VLOOKUP(C1083,IDC!$A$20:$H$1763,8,0),0)</f>
        <v>-170.4</v>
      </c>
      <c r="M1083" s="95">
        <f t="shared" si="33"/>
        <v>28400</v>
      </c>
      <c r="O1083" s="1"/>
    </row>
    <row r="1084" spans="1:15" hidden="1">
      <c r="A1084" s="1" t="s">
        <v>1213</v>
      </c>
      <c r="B1084" s="1" t="s">
        <v>15</v>
      </c>
      <c r="C1084" s="71">
        <v>130386612836</v>
      </c>
      <c r="D1084" s="3">
        <v>32444.19</v>
      </c>
      <c r="E1084" s="3">
        <v>12023823.369999999</v>
      </c>
      <c r="F1084" s="1" t="s">
        <v>3065</v>
      </c>
      <c r="G1084"/>
      <c r="H1084"/>
      <c r="I1084" s="19">
        <f>-IFERROR(VLOOKUP(C1084,SIRCUPA!$A$21:$H$221,8,0),0)</f>
        <v>0</v>
      </c>
      <c r="J1084" s="86">
        <f>-IFERROR(VLOOKUP(C1084,SIRTAC!$A$16:$H$1458,8,0),0)</f>
        <v>-333</v>
      </c>
      <c r="K1084" s="86">
        <f>-IFERROR(VLOOKUP(C1084,Gastos!$A$9:$J$1451,10,0),0)</f>
        <v>-323.01</v>
      </c>
      <c r="L1084" s="86">
        <f>-IFERROR(VLOOKUP(C1084,IDC!$A$20:$H$1763,8,0),0)</f>
        <v>-199.8</v>
      </c>
      <c r="M1084" s="95">
        <f t="shared" si="33"/>
        <v>33300.000000000007</v>
      </c>
      <c r="O1084" s="1"/>
    </row>
    <row r="1085" spans="1:15" hidden="1">
      <c r="A1085" s="1" t="s">
        <v>1213</v>
      </c>
      <c r="B1085" s="1" t="s">
        <v>15</v>
      </c>
      <c r="C1085" s="71">
        <v>129808985283</v>
      </c>
      <c r="D1085" s="3">
        <v>10327.58</v>
      </c>
      <c r="E1085" s="3">
        <v>12034150.949999999</v>
      </c>
      <c r="F1085" s="1" t="s">
        <v>3065</v>
      </c>
      <c r="G1085"/>
      <c r="H1085"/>
      <c r="I1085" s="19">
        <f>-IFERROR(VLOOKUP(C1085,SIRCUPA!$A$21:$H$221,8,0),0)</f>
        <v>0</v>
      </c>
      <c r="J1085" s="86">
        <f>-IFERROR(VLOOKUP(C1085,SIRTAC!$A$16:$H$1458,8,0),0)</f>
        <v>-106</v>
      </c>
      <c r="K1085" s="86">
        <f>-IFERROR(VLOOKUP(C1085,Gastos!$A$9:$J$1451,10,0),0)</f>
        <v>-102.82</v>
      </c>
      <c r="L1085" s="86">
        <f>-IFERROR(VLOOKUP(C1085,IDC!$A$20:$H$1763,8,0),0)</f>
        <v>-63.6</v>
      </c>
      <c r="M1085" s="95">
        <f t="shared" si="33"/>
        <v>10600</v>
      </c>
      <c r="O1085" s="1"/>
    </row>
    <row r="1086" spans="1:15" hidden="1">
      <c r="A1086" s="1" t="s">
        <v>1213</v>
      </c>
      <c r="B1086" s="1" t="s">
        <v>15</v>
      </c>
      <c r="C1086" s="71">
        <v>129809631405</v>
      </c>
      <c r="D1086" s="3">
        <v>14711.93</v>
      </c>
      <c r="E1086" s="3">
        <v>12048862.880000001</v>
      </c>
      <c r="F1086" s="1" t="s">
        <v>3065</v>
      </c>
      <c r="G1086"/>
      <c r="H1086"/>
      <c r="I1086" s="19">
        <f>-IFERROR(VLOOKUP(C1086,SIRCUPA!$A$21:$H$221,8,0),0)</f>
        <v>0</v>
      </c>
      <c r="J1086" s="86">
        <f>-IFERROR(VLOOKUP(C1086,SIRTAC!$A$16:$H$1458,8,0),0)</f>
        <v>-151</v>
      </c>
      <c r="K1086" s="86">
        <f>-IFERROR(VLOOKUP(C1086,Gastos!$A$9:$J$1451,10,0),0)</f>
        <v>-146.47</v>
      </c>
      <c r="L1086" s="86">
        <f>-IFERROR(VLOOKUP(C1086,IDC!$A$20:$H$1763,8,0),0)</f>
        <v>-90.6</v>
      </c>
      <c r="M1086" s="95">
        <f t="shared" si="33"/>
        <v>15100</v>
      </c>
      <c r="O1086" s="1"/>
    </row>
    <row r="1087" spans="1:15" hidden="1">
      <c r="A1087" s="1" t="s">
        <v>1213</v>
      </c>
      <c r="B1087" s="1" t="s">
        <v>1223</v>
      </c>
      <c r="C1087" s="71">
        <v>129809613779</v>
      </c>
      <c r="D1087" s="3">
        <v>1478.29</v>
      </c>
      <c r="E1087" s="3">
        <v>12050341.17</v>
      </c>
      <c r="F1087" s="1" t="s">
        <v>3065</v>
      </c>
      <c r="G1087"/>
      <c r="H1087"/>
      <c r="I1087" s="19">
        <f>-IFERROR(VLOOKUP(C1087,SIRCUPA!$A$21:$H$221,8,0),0)</f>
        <v>-22.65</v>
      </c>
      <c r="J1087" s="86">
        <f>-IFERROR(VLOOKUP(C1087,SIRTAC!$A$16:$H$1458,8,0),0)</f>
        <v>0</v>
      </c>
      <c r="K1087" s="86">
        <f>-IFERROR(VLOOKUP(C1087,Gastos!$A$9:$J$1451,10,0),0)</f>
        <v>0</v>
      </c>
      <c r="L1087" s="86">
        <f>-IFERROR(VLOOKUP(C1087,IDC!$A$20:$H$1763,8,0),0)</f>
        <v>-9.06</v>
      </c>
      <c r="M1087" s="95">
        <f t="shared" si="33"/>
        <v>1510</v>
      </c>
      <c r="O1087" s="1"/>
    </row>
    <row r="1088" spans="1:15" hidden="1">
      <c r="A1088" s="1" t="s">
        <v>1213</v>
      </c>
      <c r="B1088" s="1" t="s">
        <v>15</v>
      </c>
      <c r="C1088" s="71">
        <v>130388020290</v>
      </c>
      <c r="D1088" s="3">
        <v>38388.74</v>
      </c>
      <c r="E1088" s="3">
        <v>12088729.91</v>
      </c>
      <c r="F1088" s="1" t="s">
        <v>3065</v>
      </c>
      <c r="G1088"/>
      <c r="H1088"/>
      <c r="I1088" s="19">
        <f>-IFERROR(VLOOKUP(C1088,SIRCUPA!$A$21:$H$221,8,0),0)</f>
        <v>0</v>
      </c>
      <c r="J1088" s="86">
        <f>-IFERROR(VLOOKUP(C1088,SIRTAC!$A$16:$H$1458,8,0),0)</f>
        <v>-409</v>
      </c>
      <c r="K1088" s="86">
        <f>-IFERROR(VLOOKUP(C1088,Gastos!$A$9:$J$1451,10,0),0)</f>
        <v>-1856.86</v>
      </c>
      <c r="L1088" s="86">
        <f>-IFERROR(VLOOKUP(C1088,IDC!$A$20:$H$1763,8,0),0)</f>
        <v>-245.4</v>
      </c>
      <c r="M1088" s="95">
        <f t="shared" si="33"/>
        <v>40900</v>
      </c>
      <c r="O1088" s="1"/>
    </row>
    <row r="1089" spans="1:15" hidden="1">
      <c r="A1089" s="1" t="s">
        <v>1213</v>
      </c>
      <c r="B1089" s="1" t="s">
        <v>15</v>
      </c>
      <c r="C1089" s="71">
        <v>130388212390</v>
      </c>
      <c r="D1089" s="3">
        <v>22116.61</v>
      </c>
      <c r="E1089" s="3">
        <v>12110846.52</v>
      </c>
      <c r="F1089" s="1" t="s">
        <v>3065</v>
      </c>
      <c r="G1089"/>
      <c r="H1089"/>
      <c r="I1089" s="19">
        <f>-IFERROR(VLOOKUP(C1089,SIRCUPA!$A$21:$H$221,8,0),0)</f>
        <v>0</v>
      </c>
      <c r="J1089" s="86">
        <f>-IFERROR(VLOOKUP(C1089,SIRTAC!$A$16:$H$1458,8,0),0)</f>
        <v>-227</v>
      </c>
      <c r="K1089" s="86">
        <f>-IFERROR(VLOOKUP(C1089,Gastos!$A$9:$J$1451,10,0),0)</f>
        <v>-220.19</v>
      </c>
      <c r="L1089" s="86">
        <f>-IFERROR(VLOOKUP(C1089,IDC!$A$20:$H$1763,8,0),0)</f>
        <v>-136.19999999999999</v>
      </c>
      <c r="M1089" s="95">
        <f t="shared" si="33"/>
        <v>22700</v>
      </c>
      <c r="O1089" s="1"/>
    </row>
    <row r="1090" spans="1:15" hidden="1">
      <c r="A1090" s="1" t="s">
        <v>1213</v>
      </c>
      <c r="B1090" s="1" t="s">
        <v>15</v>
      </c>
      <c r="C1090" s="71">
        <v>129810423309</v>
      </c>
      <c r="D1090" s="3">
        <v>17927.12</v>
      </c>
      <c r="E1090" s="3">
        <v>12128773.640000001</v>
      </c>
      <c r="F1090" s="1" t="s">
        <v>3065</v>
      </c>
      <c r="G1090"/>
      <c r="H1090"/>
      <c r="I1090" s="19">
        <f>-IFERROR(VLOOKUP(C1090,SIRCUPA!$A$21:$H$221,8,0),0)</f>
        <v>0</v>
      </c>
      <c r="J1090" s="86">
        <f>-IFERROR(VLOOKUP(C1090,SIRTAC!$A$16:$H$1458,8,0),0)</f>
        <v>-184</v>
      </c>
      <c r="K1090" s="86">
        <f>-IFERROR(VLOOKUP(C1090,Gastos!$A$9:$J$1451,10,0),0)</f>
        <v>-178.48</v>
      </c>
      <c r="L1090" s="86">
        <f>-IFERROR(VLOOKUP(C1090,IDC!$A$20:$H$1763,8,0),0)</f>
        <v>-110.4</v>
      </c>
      <c r="M1090" s="95">
        <f t="shared" si="33"/>
        <v>18400</v>
      </c>
      <c r="O1090" s="1"/>
    </row>
    <row r="1091" spans="1:15" hidden="1">
      <c r="A1091" s="1" t="s">
        <v>1213</v>
      </c>
      <c r="B1091" s="1" t="s">
        <v>15</v>
      </c>
      <c r="C1091" s="71">
        <v>129810631191</v>
      </c>
      <c r="D1091" s="3">
        <v>23870.35</v>
      </c>
      <c r="E1091" s="3">
        <v>12152643.99</v>
      </c>
      <c r="F1091" s="1" t="s">
        <v>3065</v>
      </c>
      <c r="G1091"/>
      <c r="H1091"/>
      <c r="I1091" s="19">
        <f>-IFERROR(VLOOKUP(C1091,SIRCUPA!$A$21:$H$221,8,0),0)</f>
        <v>0</v>
      </c>
      <c r="J1091" s="86">
        <f>-IFERROR(VLOOKUP(C1091,SIRTAC!$A$16:$H$1458,8,0),0)</f>
        <v>-245</v>
      </c>
      <c r="K1091" s="86">
        <f>-IFERROR(VLOOKUP(C1091,Gastos!$A$9:$J$1451,10,0),0)</f>
        <v>-237.65</v>
      </c>
      <c r="L1091" s="86">
        <f>-IFERROR(VLOOKUP(C1091,IDC!$A$20:$H$1763,8,0),0)</f>
        <v>-147</v>
      </c>
      <c r="M1091" s="95">
        <f t="shared" si="33"/>
        <v>24500</v>
      </c>
      <c r="O1091" s="1"/>
    </row>
    <row r="1092" spans="1:15" hidden="1">
      <c r="A1092" s="1" t="s">
        <v>1213</v>
      </c>
      <c r="B1092" s="1" t="s">
        <v>1229</v>
      </c>
      <c r="C1092" s="71">
        <v>130388477312</v>
      </c>
      <c r="D1092" s="3">
        <v>1199.27</v>
      </c>
      <c r="E1092" s="3">
        <v>12153843.26</v>
      </c>
      <c r="F1092" s="1" t="s">
        <v>3065</v>
      </c>
      <c r="G1092"/>
      <c r="H1092"/>
      <c r="I1092" s="19">
        <f>-IFERROR(VLOOKUP(C1092,SIRCUPA!$A$21:$H$221,8,0),0)</f>
        <v>-18.38</v>
      </c>
      <c r="J1092" s="86">
        <f>-IFERROR(VLOOKUP(C1092,SIRTAC!$A$16:$H$1458,8,0),0)</f>
        <v>0</v>
      </c>
      <c r="K1092" s="86">
        <f>-IFERROR(VLOOKUP(C1092,Gastos!$A$9:$J$1451,10,0),0)</f>
        <v>0</v>
      </c>
      <c r="L1092" s="86">
        <f>-IFERROR(VLOOKUP(C1092,IDC!$A$20:$H$1763,8,0),0)</f>
        <v>-7.35</v>
      </c>
      <c r="M1092" s="95">
        <f t="shared" si="33"/>
        <v>1225</v>
      </c>
      <c r="O1092" s="1"/>
    </row>
    <row r="1093" spans="1:15" hidden="1">
      <c r="A1093" s="1" t="s">
        <v>1213</v>
      </c>
      <c r="B1093" s="1" t="s">
        <v>15</v>
      </c>
      <c r="C1093" s="71">
        <v>129810790437</v>
      </c>
      <c r="D1093" s="3">
        <v>7794.4</v>
      </c>
      <c r="E1093" s="3">
        <v>12161637.66</v>
      </c>
      <c r="F1093" s="1" t="s">
        <v>3065</v>
      </c>
      <c r="G1093"/>
      <c r="H1093"/>
      <c r="I1093" s="19">
        <f>-IFERROR(VLOOKUP(C1093,SIRCUPA!$A$21:$H$221,8,0),0)</f>
        <v>0</v>
      </c>
      <c r="J1093" s="86">
        <f>-IFERROR(VLOOKUP(C1093,SIRTAC!$A$16:$H$1458,8,0),0)</f>
        <v>-80</v>
      </c>
      <c r="K1093" s="86">
        <f>-IFERROR(VLOOKUP(C1093,Gastos!$A$9:$J$1451,10,0),0)</f>
        <v>-77.599999999999994</v>
      </c>
      <c r="L1093" s="86">
        <f>-IFERROR(VLOOKUP(C1093,IDC!$A$20:$H$1763,8,0),0)</f>
        <v>-48</v>
      </c>
      <c r="M1093" s="95">
        <f t="shared" si="33"/>
        <v>8000</v>
      </c>
      <c r="O1093" s="1"/>
    </row>
    <row r="1094" spans="1:15" hidden="1">
      <c r="A1094" s="1" t="s">
        <v>1213</v>
      </c>
      <c r="B1094" s="1" t="s">
        <v>15</v>
      </c>
      <c r="C1094" s="71">
        <v>129811436587</v>
      </c>
      <c r="D1094" s="3">
        <v>10644.7</v>
      </c>
      <c r="E1094" s="3">
        <v>12172282.359999999</v>
      </c>
      <c r="F1094" s="1" t="s">
        <v>3065</v>
      </c>
      <c r="G1094"/>
      <c r="H1094"/>
      <c r="I1094" s="19">
        <f>-IFERROR(VLOOKUP(C1094,SIRCUPA!$A$21:$H$221,8,0),0)</f>
        <v>0</v>
      </c>
      <c r="J1094" s="86">
        <f>-IFERROR(VLOOKUP(C1094,SIRTAC!$A$16:$H$1458,8,0),0)</f>
        <v>-110</v>
      </c>
      <c r="K1094" s="86">
        <f>-IFERROR(VLOOKUP(C1094,Gastos!$A$9:$J$1451,10,0),0)</f>
        <v>-179.3</v>
      </c>
      <c r="L1094" s="86">
        <f>-IFERROR(VLOOKUP(C1094,IDC!$A$20:$H$1763,8,0),0)</f>
        <v>-66</v>
      </c>
      <c r="M1094" s="95">
        <f t="shared" si="33"/>
        <v>11000</v>
      </c>
      <c r="O1094" s="1"/>
    </row>
    <row r="1095" spans="1:15" hidden="1">
      <c r="A1095" s="1" t="s">
        <v>1213</v>
      </c>
      <c r="B1095" s="1" t="s">
        <v>15</v>
      </c>
      <c r="C1095" s="71">
        <v>130476617200</v>
      </c>
      <c r="D1095" s="3">
        <v>9548.14</v>
      </c>
      <c r="E1095" s="3">
        <v>12181830.5</v>
      </c>
      <c r="F1095" s="1" t="s">
        <v>3065</v>
      </c>
      <c r="G1095"/>
      <c r="H1095"/>
      <c r="I1095" s="19">
        <f>-IFERROR(VLOOKUP(C1095,SIRCUPA!$A$21:$H$221,8,0),0)</f>
        <v>0</v>
      </c>
      <c r="J1095" s="86">
        <f>-IFERROR(VLOOKUP(C1095,SIRTAC!$A$16:$H$1458,8,0),0)</f>
        <v>-98</v>
      </c>
      <c r="K1095" s="86">
        <f>-IFERROR(VLOOKUP(C1095,Gastos!$A$9:$J$1451,10,0),0)</f>
        <v>-95.06</v>
      </c>
      <c r="L1095" s="86">
        <f>-IFERROR(VLOOKUP(C1095,IDC!$A$20:$H$1763,8,0),0)</f>
        <v>-58.8</v>
      </c>
      <c r="M1095" s="95">
        <f t="shared" si="33"/>
        <v>9799.9999999999982</v>
      </c>
      <c r="O1095" s="1"/>
    </row>
    <row r="1096" spans="1:15" hidden="1">
      <c r="A1096" s="1" t="s">
        <v>1213</v>
      </c>
      <c r="B1096" s="1" t="s">
        <v>15</v>
      </c>
      <c r="C1096" s="71">
        <v>129900664129</v>
      </c>
      <c r="D1096" s="3">
        <v>36654.36</v>
      </c>
      <c r="E1096" s="3">
        <v>12218484.859999999</v>
      </c>
      <c r="F1096" s="1" t="s">
        <v>3065</v>
      </c>
      <c r="G1096"/>
      <c r="H1096"/>
      <c r="I1096" s="19">
        <f>-IFERROR(VLOOKUP(C1096,SIRCUPA!$A$21:$H$221,8,0),0)</f>
        <v>0</v>
      </c>
      <c r="J1096" s="86">
        <f>-IFERROR(VLOOKUP(C1096,SIRTAC!$A$16:$H$1458,8,0),0)</f>
        <v>-388</v>
      </c>
      <c r="K1096" s="86">
        <f>-IFERROR(VLOOKUP(C1096,Gastos!$A$9:$J$1451,10,0),0)</f>
        <v>-1524.84</v>
      </c>
      <c r="L1096" s="86">
        <f>-IFERROR(VLOOKUP(C1096,IDC!$A$20:$H$1763,8,0),0)</f>
        <v>-232.8</v>
      </c>
      <c r="M1096" s="95">
        <f t="shared" si="33"/>
        <v>38800</v>
      </c>
      <c r="O1096" s="1"/>
    </row>
    <row r="1097" spans="1:15" hidden="1">
      <c r="A1097" s="1" t="s">
        <v>1213</v>
      </c>
      <c r="B1097" s="1" t="s">
        <v>15</v>
      </c>
      <c r="C1097" s="71">
        <v>129905597543</v>
      </c>
      <c r="D1097" s="3">
        <v>37768.639999999999</v>
      </c>
      <c r="E1097" s="3">
        <v>12256253.5</v>
      </c>
      <c r="F1097" s="1" t="s">
        <v>3065</v>
      </c>
      <c r="G1097"/>
      <c r="H1097"/>
      <c r="I1097" s="19">
        <f>-IFERROR(VLOOKUP(C1097,SIRCUPA!$A$21:$H$221,8,0),0)</f>
        <v>0</v>
      </c>
      <c r="J1097" s="86">
        <f>-IFERROR(VLOOKUP(C1097,SIRTAC!$A$16:$H$1458,8,0),0)</f>
        <v>-416</v>
      </c>
      <c r="K1097" s="86">
        <f>-IFERROR(VLOOKUP(C1097,Gastos!$A$9:$J$1451,10,0),0)</f>
        <v>-3165.76</v>
      </c>
      <c r="L1097" s="86">
        <f>-IFERROR(VLOOKUP(C1097,IDC!$A$20:$H$1763,8,0),0)</f>
        <v>-249.6</v>
      </c>
      <c r="M1097" s="95">
        <f t="shared" si="33"/>
        <v>41600</v>
      </c>
      <c r="O1097" s="1"/>
    </row>
    <row r="1098" spans="1:15" hidden="1">
      <c r="A1098" s="1" t="s">
        <v>1213</v>
      </c>
      <c r="B1098" s="1" t="s">
        <v>15</v>
      </c>
      <c r="C1098" s="71">
        <v>129911222493</v>
      </c>
      <c r="D1098" s="3">
        <v>37217.32</v>
      </c>
      <c r="E1098" s="3">
        <v>12293470.82</v>
      </c>
      <c r="F1098" s="1" t="s">
        <v>3065</v>
      </c>
      <c r="G1098"/>
      <c r="H1098"/>
      <c r="I1098" s="19">
        <f>-IFERROR(VLOOKUP(C1098,SIRCUPA!$A$21:$H$221,8,0),0)</f>
        <v>0</v>
      </c>
      <c r="J1098" s="86">
        <f>-IFERROR(VLOOKUP(C1098,SIRTAC!$A$16:$H$1458,8,0),0)</f>
        <v>-427</v>
      </c>
      <c r="K1098" s="86">
        <f>-IFERROR(VLOOKUP(C1098,Gastos!$A$9:$J$1451,10,0),0)</f>
        <v>-4799.4799999999996</v>
      </c>
      <c r="L1098" s="86">
        <f>-IFERROR(VLOOKUP(C1098,IDC!$A$20:$H$1763,8,0),0)</f>
        <v>-256.2</v>
      </c>
      <c r="M1098" s="95">
        <f t="shared" si="33"/>
        <v>42700</v>
      </c>
      <c r="O1098" s="1"/>
    </row>
    <row r="1099" spans="1:15" hidden="1">
      <c r="A1099" s="1" t="s">
        <v>1213</v>
      </c>
      <c r="B1099" s="1" t="s">
        <v>15</v>
      </c>
      <c r="C1099" s="71">
        <v>130491851554</v>
      </c>
      <c r="D1099" s="3">
        <v>14831.79</v>
      </c>
      <c r="E1099" s="3">
        <v>12308302.609999999</v>
      </c>
      <c r="F1099" s="1" t="s">
        <v>3065</v>
      </c>
      <c r="G1099"/>
      <c r="H1099"/>
      <c r="I1099" s="19">
        <f>-IFERROR(VLOOKUP(C1099,SIRCUPA!$A$21:$H$221,8,0),0)</f>
        <v>0</v>
      </c>
      <c r="J1099" s="86">
        <f>-IFERROR(VLOOKUP(C1099,SIRTAC!$A$16:$H$1458,8,0),0)</f>
        <v>-157</v>
      </c>
      <c r="K1099" s="86">
        <f>-IFERROR(VLOOKUP(C1099,Gastos!$A$9:$J$1451,10,0),0)</f>
        <v>-617.01</v>
      </c>
      <c r="L1099" s="86">
        <f>-IFERROR(VLOOKUP(C1099,IDC!$A$20:$H$1763,8,0),0)</f>
        <v>-94.2</v>
      </c>
      <c r="M1099" s="95">
        <f t="shared" si="33"/>
        <v>15700.000000000002</v>
      </c>
      <c r="O1099" s="1"/>
    </row>
    <row r="1100" spans="1:15" hidden="1">
      <c r="A1100" s="1" t="s">
        <v>1213</v>
      </c>
      <c r="B1100" s="1" t="s">
        <v>15</v>
      </c>
      <c r="C1100" s="71">
        <v>130493803330</v>
      </c>
      <c r="D1100" s="3">
        <v>23772.92</v>
      </c>
      <c r="E1100" s="3">
        <v>12332075.529999999</v>
      </c>
      <c r="F1100" s="1" t="s">
        <v>3065</v>
      </c>
      <c r="G1100"/>
      <c r="H1100"/>
      <c r="I1100" s="19">
        <f>-IFERROR(VLOOKUP(C1100,SIRCUPA!$A$21:$H$221,8,0),0)</f>
        <v>0</v>
      </c>
      <c r="J1100" s="86">
        <f>-IFERROR(VLOOKUP(C1100,SIRTAC!$A$16:$H$1458,8,0),0)</f>
        <v>-244</v>
      </c>
      <c r="K1100" s="86">
        <f>-IFERROR(VLOOKUP(C1100,Gastos!$A$9:$J$1451,10,0),0)</f>
        <v>-236.68</v>
      </c>
      <c r="L1100" s="86">
        <f>-IFERROR(VLOOKUP(C1100,IDC!$A$20:$H$1763,8,0),0)</f>
        <v>-146.4</v>
      </c>
      <c r="M1100" s="95">
        <f t="shared" si="33"/>
        <v>24400</v>
      </c>
      <c r="O1100" s="1"/>
    </row>
    <row r="1101" spans="1:15" hidden="1">
      <c r="A1101" s="1" t="s">
        <v>1213</v>
      </c>
      <c r="B1101" s="1" t="s">
        <v>1239</v>
      </c>
      <c r="C1101" s="71">
        <v>129915570871</v>
      </c>
      <c r="D1101" s="3">
        <v>2388.7600000000002</v>
      </c>
      <c r="E1101" s="3">
        <v>12334464.289999999</v>
      </c>
      <c r="F1101" s="1" t="s">
        <v>3065</v>
      </c>
      <c r="G1101"/>
      <c r="H1101"/>
      <c r="I1101" s="19">
        <f>-IFERROR(VLOOKUP(C1101,SIRCUPA!$A$21:$H$221,8,0),0)</f>
        <v>-36.6</v>
      </c>
      <c r="J1101" s="86">
        <f>-IFERROR(VLOOKUP(C1101,SIRTAC!$A$16:$H$1458,8,0),0)</f>
        <v>0</v>
      </c>
      <c r="K1101" s="86">
        <f>-IFERROR(VLOOKUP(C1101,Gastos!$A$9:$J$1451,10,0),0)</f>
        <v>0</v>
      </c>
      <c r="L1101" s="86">
        <f>-IFERROR(VLOOKUP(C1101,IDC!$A$20:$H$1763,8,0),0)</f>
        <v>-14.64</v>
      </c>
      <c r="M1101" s="95">
        <f t="shared" si="33"/>
        <v>2440</v>
      </c>
      <c r="O1101" s="1"/>
    </row>
    <row r="1102" spans="1:15" hidden="1">
      <c r="A1102" s="1" t="s">
        <v>1213</v>
      </c>
      <c r="B1102" s="1" t="s">
        <v>15</v>
      </c>
      <c r="C1102" s="71">
        <v>129915579909</v>
      </c>
      <c r="D1102" s="3">
        <v>46474.11</v>
      </c>
      <c r="E1102" s="3">
        <v>12380938.4</v>
      </c>
      <c r="F1102" s="1" t="s">
        <v>3065</v>
      </c>
      <c r="G1102"/>
      <c r="H1102"/>
      <c r="I1102" s="19">
        <f>-IFERROR(VLOOKUP(C1102,SIRCUPA!$A$21:$H$221,8,0),0)</f>
        <v>0</v>
      </c>
      <c r="J1102" s="86">
        <f>-IFERROR(VLOOKUP(C1102,SIRTAC!$A$16:$H$1458,8,0),0)</f>
        <v>-477</v>
      </c>
      <c r="K1102" s="86">
        <f>-IFERROR(VLOOKUP(C1102,Gastos!$A$9:$J$1451,10,0),0)</f>
        <v>-462.69</v>
      </c>
      <c r="L1102" s="86">
        <f>-IFERROR(VLOOKUP(C1102,IDC!$A$20:$H$1763,8,0),0)</f>
        <v>-286.2</v>
      </c>
      <c r="M1102" s="95">
        <f t="shared" si="33"/>
        <v>47700</v>
      </c>
      <c r="O1102" s="1"/>
    </row>
    <row r="1103" spans="1:15" hidden="1">
      <c r="A1103" s="1" t="s">
        <v>1213</v>
      </c>
      <c r="B1103" s="1" t="s">
        <v>15</v>
      </c>
      <c r="C1103" s="71">
        <v>129915872555</v>
      </c>
      <c r="D1103" s="3">
        <v>31177.599999999999</v>
      </c>
      <c r="E1103" s="3">
        <v>12412116</v>
      </c>
      <c r="F1103" s="1" t="s">
        <v>3065</v>
      </c>
      <c r="G1103"/>
      <c r="H1103"/>
      <c r="I1103" s="19">
        <f>-IFERROR(VLOOKUP(C1103,SIRCUPA!$A$21:$H$221,8,0),0)</f>
        <v>0</v>
      </c>
      <c r="J1103" s="86">
        <f>-IFERROR(VLOOKUP(C1103,SIRTAC!$A$16:$H$1458,8,0),0)</f>
        <v>-320</v>
      </c>
      <c r="K1103" s="86">
        <f>-IFERROR(VLOOKUP(C1103,Gastos!$A$9:$J$1451,10,0),0)</f>
        <v>-310.39999999999998</v>
      </c>
      <c r="L1103" s="86">
        <f>-IFERROR(VLOOKUP(C1103,IDC!$A$20:$H$1763,8,0),0)</f>
        <v>-192</v>
      </c>
      <c r="M1103" s="95">
        <f t="shared" si="33"/>
        <v>32000</v>
      </c>
      <c r="O1103" s="1"/>
    </row>
    <row r="1104" spans="1:15" hidden="1">
      <c r="A1104" s="1" t="s">
        <v>1213</v>
      </c>
      <c r="B1104" s="1" t="s">
        <v>1243</v>
      </c>
      <c r="C1104" s="71">
        <v>129915894155</v>
      </c>
      <c r="D1104" s="3">
        <v>1566.4</v>
      </c>
      <c r="E1104" s="3">
        <v>12413682.4</v>
      </c>
      <c r="F1104" s="1" t="s">
        <v>3065</v>
      </c>
      <c r="G1104"/>
      <c r="H1104"/>
      <c r="I1104" s="19">
        <f>-IFERROR(VLOOKUP(C1104,SIRCUPA!$A$21:$H$221,8,0),0)</f>
        <v>-24</v>
      </c>
      <c r="J1104" s="86">
        <f>-IFERROR(VLOOKUP(C1104,SIRTAC!$A$16:$H$1458,8,0),0)</f>
        <v>0</v>
      </c>
      <c r="K1104" s="86">
        <f>-IFERROR(VLOOKUP(C1104,Gastos!$A$9:$J$1451,10,0),0)</f>
        <v>0</v>
      </c>
      <c r="L1104" s="86">
        <f>-IFERROR(VLOOKUP(C1104,IDC!$A$20:$H$1763,8,0),0)</f>
        <v>-9.6</v>
      </c>
      <c r="M1104" s="95">
        <f t="shared" si="33"/>
        <v>1600</v>
      </c>
      <c r="O1104" s="1"/>
    </row>
    <row r="1105" spans="1:15" hidden="1">
      <c r="A1105" s="1" t="s">
        <v>1213</v>
      </c>
      <c r="B1105" s="1" t="s">
        <v>15</v>
      </c>
      <c r="C1105" s="71">
        <v>129916914361</v>
      </c>
      <c r="D1105" s="3">
        <v>28254.7</v>
      </c>
      <c r="E1105" s="3">
        <v>12441937.1</v>
      </c>
      <c r="F1105" s="1" t="s">
        <v>3065</v>
      </c>
      <c r="G1105"/>
      <c r="H1105"/>
      <c r="I1105" s="19">
        <f>-IFERROR(VLOOKUP(C1105,SIRCUPA!$A$21:$H$221,8,0),0)</f>
        <v>0</v>
      </c>
      <c r="J1105" s="86">
        <f>-IFERROR(VLOOKUP(C1105,SIRTAC!$A$16:$H$1458,8,0),0)</f>
        <v>-290</v>
      </c>
      <c r="K1105" s="86">
        <f>-IFERROR(VLOOKUP(C1105,Gastos!$A$9:$J$1451,10,0),0)</f>
        <v>-281.3</v>
      </c>
      <c r="L1105" s="86">
        <f>-IFERROR(VLOOKUP(C1105,IDC!$A$20:$H$1763,8,0),0)</f>
        <v>-174</v>
      </c>
      <c r="M1105" s="95">
        <f t="shared" si="33"/>
        <v>29000</v>
      </c>
      <c r="O1105" s="1"/>
    </row>
    <row r="1106" spans="1:15" hidden="1">
      <c r="A1106" s="1" t="s">
        <v>1213</v>
      </c>
      <c r="B1106" s="1" t="s">
        <v>1246</v>
      </c>
      <c r="C1106" s="71">
        <v>130495143130</v>
      </c>
      <c r="D1106" s="3">
        <v>2839.1</v>
      </c>
      <c r="E1106" s="3">
        <v>12444776.199999999</v>
      </c>
      <c r="F1106" s="1" t="s">
        <v>3065</v>
      </c>
      <c r="G1106"/>
      <c r="H1106"/>
      <c r="I1106" s="19">
        <f>-IFERROR(VLOOKUP(C1106,SIRCUPA!$A$21:$H$221,8,0),0)</f>
        <v>-43.5</v>
      </c>
      <c r="J1106" s="86">
        <f>-IFERROR(VLOOKUP(C1106,SIRTAC!$A$16:$H$1458,8,0),0)</f>
        <v>0</v>
      </c>
      <c r="K1106" s="86">
        <f>-IFERROR(VLOOKUP(C1106,Gastos!$A$9:$J$1451,10,0),0)</f>
        <v>0</v>
      </c>
      <c r="L1106" s="86">
        <f>-IFERROR(VLOOKUP(C1106,IDC!$A$20:$H$1763,8,0),0)</f>
        <v>-17.399999999999999</v>
      </c>
      <c r="M1106" s="95">
        <f t="shared" si="33"/>
        <v>2900</v>
      </c>
      <c r="O1106" s="1"/>
    </row>
    <row r="1107" spans="1:15" hidden="1">
      <c r="A1107" s="1" t="s">
        <v>1213</v>
      </c>
      <c r="B1107" s="1" t="s">
        <v>15</v>
      </c>
      <c r="C1107" s="71">
        <v>130495195432</v>
      </c>
      <c r="D1107" s="3">
        <v>4579.21</v>
      </c>
      <c r="E1107" s="3">
        <v>12449355.41</v>
      </c>
      <c r="F1107" s="1" t="s">
        <v>3065</v>
      </c>
      <c r="G1107"/>
      <c r="H1107"/>
      <c r="I1107" s="19">
        <f>-IFERROR(VLOOKUP(C1107,SIRCUPA!$A$21:$H$221,8,0),0)</f>
        <v>0</v>
      </c>
      <c r="J1107" s="86">
        <f>-IFERROR(VLOOKUP(C1107,SIRTAC!$A$16:$H$1458,8,0),0)</f>
        <v>-47</v>
      </c>
      <c r="K1107" s="86">
        <f>-IFERROR(VLOOKUP(C1107,Gastos!$A$9:$J$1451,10,0),0)</f>
        <v>-45.59</v>
      </c>
      <c r="L1107" s="86">
        <f>-IFERROR(VLOOKUP(C1107,IDC!$A$20:$H$1763,8,0),0)</f>
        <v>-28.2</v>
      </c>
      <c r="M1107" s="95">
        <f t="shared" si="33"/>
        <v>4700</v>
      </c>
      <c r="O1107" s="1"/>
    </row>
    <row r="1108" spans="1:15" hidden="1">
      <c r="A1108" s="1" t="s">
        <v>1213</v>
      </c>
      <c r="B1108" s="1" t="s">
        <v>15</v>
      </c>
      <c r="C1108" s="71">
        <v>129917003437</v>
      </c>
      <c r="D1108" s="3">
        <v>9548.14</v>
      </c>
      <c r="E1108" s="3">
        <v>12458903.550000001</v>
      </c>
      <c r="F1108" s="1" t="s">
        <v>3065</v>
      </c>
      <c r="G1108"/>
      <c r="H1108"/>
      <c r="I1108" s="19">
        <f>-IFERROR(VLOOKUP(C1108,SIRCUPA!$A$21:$H$221,8,0),0)</f>
        <v>0</v>
      </c>
      <c r="J1108" s="86">
        <f>-IFERROR(VLOOKUP(C1108,SIRTAC!$A$16:$H$1458,8,0),0)</f>
        <v>-98</v>
      </c>
      <c r="K1108" s="86">
        <f>-IFERROR(VLOOKUP(C1108,Gastos!$A$9:$J$1451,10,0),0)</f>
        <v>-95.06</v>
      </c>
      <c r="L1108" s="86">
        <f>-IFERROR(VLOOKUP(C1108,IDC!$A$20:$H$1763,8,0),0)</f>
        <v>-58.8</v>
      </c>
      <c r="M1108" s="95">
        <f t="shared" si="33"/>
        <v>9799.9999999999982</v>
      </c>
      <c r="O1108" s="1"/>
    </row>
    <row r="1109" spans="1:15" hidden="1">
      <c r="A1109" s="1" t="s">
        <v>1213</v>
      </c>
      <c r="B1109" s="1" t="s">
        <v>15</v>
      </c>
      <c r="C1109" s="71">
        <v>129917640259</v>
      </c>
      <c r="D1109" s="3">
        <v>61027.62</v>
      </c>
      <c r="E1109" s="3">
        <v>12519931.17</v>
      </c>
      <c r="F1109" s="1" t="s">
        <v>3065</v>
      </c>
      <c r="G1109"/>
      <c r="H1109"/>
      <c r="I1109" s="19">
        <f>-IFERROR(VLOOKUP(C1109,SIRCUPA!$A$21:$H$221,8,0),0)</f>
        <v>0</v>
      </c>
      <c r="J1109" s="86">
        <f>-IFERROR(VLOOKUP(C1109,SIRTAC!$A$16:$H$1458,8,0),0)</f>
        <v>-646</v>
      </c>
      <c r="K1109" s="86">
        <f>-IFERROR(VLOOKUP(C1109,Gastos!$A$9:$J$1451,10,0),0)</f>
        <v>-2538.7800000000002</v>
      </c>
      <c r="L1109" s="86">
        <f>-IFERROR(VLOOKUP(C1109,IDC!$A$20:$H$1763,8,0),0)</f>
        <v>-387.6</v>
      </c>
      <c r="M1109" s="95">
        <f t="shared" si="33"/>
        <v>64600</v>
      </c>
      <c r="O1109" s="1"/>
    </row>
    <row r="1110" spans="1:15" hidden="1">
      <c r="A1110" s="1" t="s">
        <v>1213</v>
      </c>
      <c r="B1110" s="1" t="s">
        <v>15</v>
      </c>
      <c r="C1110" s="71">
        <v>130495964660</v>
      </c>
      <c r="D1110" s="3">
        <v>18706.560000000001</v>
      </c>
      <c r="E1110" s="3">
        <v>12538637.73</v>
      </c>
      <c r="F1110" s="1" t="s">
        <v>3065</v>
      </c>
      <c r="G1110"/>
      <c r="H1110"/>
      <c r="I1110" s="19">
        <f>-IFERROR(VLOOKUP(C1110,SIRCUPA!$A$21:$H$221,8,0),0)</f>
        <v>0</v>
      </c>
      <c r="J1110" s="86">
        <f>-IFERROR(VLOOKUP(C1110,SIRTAC!$A$16:$H$1458,8,0),0)</f>
        <v>-192</v>
      </c>
      <c r="K1110" s="86">
        <f>-IFERROR(VLOOKUP(C1110,Gastos!$A$9:$J$1451,10,0),0)</f>
        <v>-186.24</v>
      </c>
      <c r="L1110" s="86">
        <f>-IFERROR(VLOOKUP(C1110,IDC!$A$20:$H$1763,8,0),0)</f>
        <v>-115.2</v>
      </c>
      <c r="M1110" s="95">
        <f t="shared" si="33"/>
        <v>19200.000000000004</v>
      </c>
      <c r="O1110" s="1"/>
    </row>
    <row r="1111" spans="1:15" hidden="1">
      <c r="A1111" s="1" t="s">
        <v>1213</v>
      </c>
      <c r="B1111" s="1" t="s">
        <v>15</v>
      </c>
      <c r="C1111" s="71">
        <v>129918023175</v>
      </c>
      <c r="D1111" s="3">
        <v>19555.29</v>
      </c>
      <c r="E1111" s="3">
        <v>12558193.02</v>
      </c>
      <c r="F1111" s="1" t="s">
        <v>3065</v>
      </c>
      <c r="G1111"/>
      <c r="H1111"/>
      <c r="I1111" s="19">
        <f>-IFERROR(VLOOKUP(C1111,SIRCUPA!$A$21:$H$221,8,0),0)</f>
        <v>0</v>
      </c>
      <c r="J1111" s="86">
        <f>-IFERROR(VLOOKUP(C1111,SIRTAC!$A$16:$H$1458,8,0),0)</f>
        <v>-207</v>
      </c>
      <c r="K1111" s="86">
        <f>-IFERROR(VLOOKUP(C1111,Gastos!$A$9:$J$1451,10,0),0)</f>
        <v>-813.51</v>
      </c>
      <c r="L1111" s="86">
        <f>-IFERROR(VLOOKUP(C1111,IDC!$A$20:$H$1763,8,0),0)</f>
        <v>-124.2</v>
      </c>
      <c r="M1111" s="95">
        <f t="shared" si="33"/>
        <v>20700</v>
      </c>
      <c r="O1111" s="1"/>
    </row>
    <row r="1112" spans="1:15" hidden="1">
      <c r="A1112" s="1" t="s">
        <v>1213</v>
      </c>
      <c r="B1112" s="1" t="s">
        <v>15</v>
      </c>
      <c r="C1112" s="71">
        <v>129918822439</v>
      </c>
      <c r="D1112" s="3">
        <v>9069.1200000000008</v>
      </c>
      <c r="E1112" s="3">
        <v>12567262.140000001</v>
      </c>
      <c r="F1112" s="1" t="s">
        <v>3065</v>
      </c>
      <c r="G1112"/>
      <c r="H1112"/>
      <c r="I1112" s="19">
        <f>-IFERROR(VLOOKUP(C1112,SIRCUPA!$A$21:$H$221,8,0),0)</f>
        <v>0</v>
      </c>
      <c r="J1112" s="86">
        <f>-IFERROR(VLOOKUP(C1112,SIRTAC!$A$16:$H$1458,8,0),0)</f>
        <v>-96</v>
      </c>
      <c r="K1112" s="86">
        <f>-IFERROR(VLOOKUP(C1112,Gastos!$A$9:$J$1451,10,0),0)</f>
        <v>-377.28</v>
      </c>
      <c r="L1112" s="86">
        <f>-IFERROR(VLOOKUP(C1112,IDC!$A$20:$H$1763,8,0),0)</f>
        <v>-57.6</v>
      </c>
      <c r="M1112" s="95">
        <f t="shared" si="33"/>
        <v>9600.0000000000018</v>
      </c>
      <c r="O1112" s="1"/>
    </row>
    <row r="1113" spans="1:15" hidden="1">
      <c r="A1113" s="1" t="s">
        <v>1213</v>
      </c>
      <c r="B1113" s="1" t="s">
        <v>15</v>
      </c>
      <c r="C1113" s="71">
        <v>129920053775</v>
      </c>
      <c r="D1113" s="3">
        <v>28157.27</v>
      </c>
      <c r="E1113" s="3">
        <v>12595419.41</v>
      </c>
      <c r="F1113" s="1" t="s">
        <v>3065</v>
      </c>
      <c r="G1113"/>
      <c r="H1113"/>
      <c r="I1113" s="19">
        <f>-IFERROR(VLOOKUP(C1113,SIRCUPA!$A$21:$H$221,8,0),0)</f>
        <v>0</v>
      </c>
      <c r="J1113" s="86">
        <f>-IFERROR(VLOOKUP(C1113,SIRTAC!$A$16:$H$1458,8,0),0)</f>
        <v>-289</v>
      </c>
      <c r="K1113" s="86">
        <f>-IFERROR(VLOOKUP(C1113,Gastos!$A$9:$J$1451,10,0),0)</f>
        <v>-280.33</v>
      </c>
      <c r="L1113" s="86">
        <f>-IFERROR(VLOOKUP(C1113,IDC!$A$20:$H$1763,8,0),0)</f>
        <v>-173.4</v>
      </c>
      <c r="M1113" s="95">
        <f t="shared" si="33"/>
        <v>28900.000000000004</v>
      </c>
      <c r="O1113" s="1"/>
    </row>
    <row r="1114" spans="1:15" hidden="1">
      <c r="A1114" s="1" t="s">
        <v>1213</v>
      </c>
      <c r="B1114" s="1" t="s">
        <v>15</v>
      </c>
      <c r="C1114" s="71">
        <v>129920811303</v>
      </c>
      <c r="D1114" s="3">
        <v>10985.59</v>
      </c>
      <c r="E1114" s="3">
        <v>12606405</v>
      </c>
      <c r="F1114" s="1" t="s">
        <v>3065</v>
      </c>
      <c r="G1114"/>
      <c r="H1114"/>
      <c r="I1114" s="19">
        <f>-IFERROR(VLOOKUP(C1114,SIRCUPA!$A$21:$H$221,8,0),0)</f>
        <v>0</v>
      </c>
      <c r="J1114" s="86">
        <f>-IFERROR(VLOOKUP(C1114,SIRTAC!$A$16:$H$1458,8,0),0)</f>
        <v>-121</v>
      </c>
      <c r="K1114" s="86">
        <f>-IFERROR(VLOOKUP(C1114,Gastos!$A$9:$J$1451,10,0),0)</f>
        <v>-920.81</v>
      </c>
      <c r="L1114" s="86">
        <f>-IFERROR(VLOOKUP(C1114,IDC!$A$20:$H$1763,8,0),0)</f>
        <v>-72.599999999999994</v>
      </c>
      <c r="M1114" s="95">
        <f t="shared" si="33"/>
        <v>12100</v>
      </c>
      <c r="O1114" s="1"/>
    </row>
    <row r="1115" spans="1:15" hidden="1">
      <c r="A1115" s="1" t="s">
        <v>1213</v>
      </c>
      <c r="B1115" s="1" t="s">
        <v>15</v>
      </c>
      <c r="C1115" s="71">
        <v>129921270221</v>
      </c>
      <c r="D1115" s="3">
        <v>27767.55</v>
      </c>
      <c r="E1115" s="3">
        <v>12634172.550000001</v>
      </c>
      <c r="F1115" s="1" t="s">
        <v>3065</v>
      </c>
      <c r="G1115"/>
      <c r="H1115"/>
      <c r="I1115" s="19">
        <f>-IFERROR(VLOOKUP(C1115,SIRCUPA!$A$21:$H$221,8,0),0)</f>
        <v>0</v>
      </c>
      <c r="J1115" s="86">
        <f>-IFERROR(VLOOKUP(C1115,SIRTAC!$A$16:$H$1458,8,0),0)</f>
        <v>-285</v>
      </c>
      <c r="K1115" s="86">
        <f>-IFERROR(VLOOKUP(C1115,Gastos!$A$9:$J$1451,10,0),0)</f>
        <v>-276.45</v>
      </c>
      <c r="L1115" s="86">
        <f>-IFERROR(VLOOKUP(C1115,IDC!$A$20:$H$1763,8,0),0)</f>
        <v>-171</v>
      </c>
      <c r="M1115" s="95">
        <f t="shared" si="33"/>
        <v>28500</v>
      </c>
      <c r="O1115" s="1"/>
    </row>
    <row r="1116" spans="1:15" hidden="1">
      <c r="A1116" s="1" t="s">
        <v>1213</v>
      </c>
      <c r="B1116" s="1" t="s">
        <v>15</v>
      </c>
      <c r="C1116" s="71">
        <v>129921550313</v>
      </c>
      <c r="D1116" s="3">
        <v>62191.15</v>
      </c>
      <c r="E1116" s="3">
        <v>12696363.699999999</v>
      </c>
      <c r="F1116" s="1" t="s">
        <v>3065</v>
      </c>
      <c r="G1116"/>
      <c r="H1116"/>
      <c r="I1116" s="19">
        <f>-IFERROR(VLOOKUP(C1116,SIRCUPA!$A$21:$H$221,8,0),0)</f>
        <v>0</v>
      </c>
      <c r="J1116" s="86">
        <f>-IFERROR(VLOOKUP(C1116,SIRTAC!$A$16:$H$1458,8,0),0)</f>
        <v>-685</v>
      </c>
      <c r="K1116" s="86">
        <f>-IFERROR(VLOOKUP(C1116,Gastos!$A$9:$J$1451,10,0),0)</f>
        <v>-5212.8500000000004</v>
      </c>
      <c r="L1116" s="86">
        <f>-IFERROR(VLOOKUP(C1116,IDC!$A$20:$H$1763,8,0),0)</f>
        <v>-411</v>
      </c>
      <c r="M1116" s="95">
        <f t="shared" si="33"/>
        <v>68500</v>
      </c>
      <c r="O1116" s="1"/>
    </row>
    <row r="1117" spans="1:15" hidden="1">
      <c r="A1117" s="1" t="s">
        <v>1213</v>
      </c>
      <c r="B1117" s="1" t="s">
        <v>15</v>
      </c>
      <c r="C1117" s="71">
        <v>129922194191</v>
      </c>
      <c r="D1117" s="3">
        <v>42794.91</v>
      </c>
      <c r="E1117" s="3">
        <v>12739158.609999999</v>
      </c>
      <c r="F1117" s="1" t="s">
        <v>3065</v>
      </c>
      <c r="G1117"/>
      <c r="H1117"/>
      <c r="I1117" s="19">
        <f>-IFERROR(VLOOKUP(C1117,SIRCUPA!$A$21:$H$221,8,0),0)</f>
        <v>0</v>
      </c>
      <c r="J1117" s="86">
        <f>-IFERROR(VLOOKUP(C1117,SIRTAC!$A$16:$H$1458,8,0),0)</f>
        <v>-453</v>
      </c>
      <c r="K1117" s="86">
        <f>-IFERROR(VLOOKUP(C1117,Gastos!$A$9:$J$1451,10,0),0)</f>
        <v>-1780.29</v>
      </c>
      <c r="L1117" s="86">
        <f>-IFERROR(VLOOKUP(C1117,IDC!$A$20:$H$1763,8,0),0)</f>
        <v>-271.8</v>
      </c>
      <c r="M1117" s="95">
        <f t="shared" si="33"/>
        <v>45300.000000000007</v>
      </c>
      <c r="O1117" s="1"/>
    </row>
    <row r="1118" spans="1:15" hidden="1">
      <c r="A1118" s="1" t="s">
        <v>1213</v>
      </c>
      <c r="B1118" s="1" t="s">
        <v>15</v>
      </c>
      <c r="C1118" s="71">
        <v>130500339498</v>
      </c>
      <c r="D1118" s="3">
        <v>39459.15</v>
      </c>
      <c r="E1118" s="3">
        <v>12778617.76</v>
      </c>
      <c r="F1118" s="1" t="s">
        <v>3065</v>
      </c>
      <c r="G1118"/>
      <c r="H1118"/>
      <c r="I1118" s="19">
        <f>-IFERROR(VLOOKUP(C1118,SIRCUPA!$A$21:$H$221,8,0),0)</f>
        <v>0</v>
      </c>
      <c r="J1118" s="86">
        <f>-IFERROR(VLOOKUP(C1118,SIRTAC!$A$16:$H$1458,8,0),0)</f>
        <v>-405</v>
      </c>
      <c r="K1118" s="86">
        <f>-IFERROR(VLOOKUP(C1118,Gastos!$A$9:$J$1451,10,0),0)</f>
        <v>-392.85</v>
      </c>
      <c r="L1118" s="86">
        <f>-IFERROR(VLOOKUP(C1118,IDC!$A$20:$H$1763,8,0),0)</f>
        <v>-243</v>
      </c>
      <c r="M1118" s="95">
        <f t="shared" si="33"/>
        <v>40500</v>
      </c>
      <c r="O1118" s="1"/>
    </row>
    <row r="1119" spans="1:15" hidden="1">
      <c r="A1119" s="1" t="s">
        <v>1213</v>
      </c>
      <c r="B1119" s="1" t="s">
        <v>15</v>
      </c>
      <c r="C1119" s="71">
        <v>129922802979</v>
      </c>
      <c r="D1119" s="3">
        <v>25717.64</v>
      </c>
      <c r="E1119" s="3">
        <v>12804335.4</v>
      </c>
      <c r="F1119" s="1" t="s">
        <v>3065</v>
      </c>
      <c r="G1119"/>
      <c r="H1119"/>
      <c r="I1119" s="19">
        <f>-IFERROR(VLOOKUP(C1119,SIRCUPA!$A$21:$H$221,8,0),0)</f>
        <v>0</v>
      </c>
      <c r="J1119" s="86">
        <f>-IFERROR(VLOOKUP(C1119,SIRTAC!$A$16:$H$1458,8,0),0)</f>
        <v>-274</v>
      </c>
      <c r="K1119" s="86">
        <f>-IFERROR(VLOOKUP(C1119,Gastos!$A$9:$J$1451,10,0),0)</f>
        <v>-1243.96</v>
      </c>
      <c r="L1119" s="86">
        <f>-IFERROR(VLOOKUP(C1119,IDC!$A$20:$H$1763,8,0),0)</f>
        <v>-164.4</v>
      </c>
      <c r="M1119" s="95">
        <f t="shared" si="33"/>
        <v>27400</v>
      </c>
      <c r="O1119" s="1"/>
    </row>
    <row r="1120" spans="1:15" hidden="1">
      <c r="A1120" s="1" t="s">
        <v>1213</v>
      </c>
      <c r="B1120" s="1" t="s">
        <v>15</v>
      </c>
      <c r="C1120" s="71">
        <v>129922827431</v>
      </c>
      <c r="D1120" s="3">
        <v>15686.23</v>
      </c>
      <c r="E1120" s="3">
        <v>12820021.630000001</v>
      </c>
      <c r="F1120" s="1" t="s">
        <v>3065</v>
      </c>
      <c r="G1120"/>
      <c r="H1120"/>
      <c r="I1120" s="19">
        <f>-IFERROR(VLOOKUP(C1120,SIRCUPA!$A$21:$H$221,8,0),0)</f>
        <v>0</v>
      </c>
      <c r="J1120" s="86">
        <f>-IFERROR(VLOOKUP(C1120,SIRTAC!$A$16:$H$1458,8,0),0)</f>
        <v>-161</v>
      </c>
      <c r="K1120" s="86">
        <f>-IFERROR(VLOOKUP(C1120,Gastos!$A$9:$J$1451,10,0),0)</f>
        <v>-156.16999999999999</v>
      </c>
      <c r="L1120" s="86">
        <f>-IFERROR(VLOOKUP(C1120,IDC!$A$20:$H$1763,8,0),0)</f>
        <v>-96.6</v>
      </c>
      <c r="M1120" s="95">
        <f t="shared" si="33"/>
        <v>16100</v>
      </c>
      <c r="O1120" s="1"/>
    </row>
    <row r="1121" spans="1:15" hidden="1">
      <c r="A1121" s="1" t="s">
        <v>1213</v>
      </c>
      <c r="B1121" s="1" t="s">
        <v>15</v>
      </c>
      <c r="C1121" s="71">
        <v>130501619064</v>
      </c>
      <c r="D1121" s="3">
        <v>64303.8</v>
      </c>
      <c r="E1121" s="3">
        <v>12884325.43</v>
      </c>
      <c r="F1121" s="1" t="s">
        <v>3065</v>
      </c>
      <c r="G1121"/>
      <c r="H1121"/>
      <c r="I1121" s="19">
        <f>-IFERROR(VLOOKUP(C1121,SIRCUPA!$A$21:$H$221,8,0),0)</f>
        <v>0</v>
      </c>
      <c r="J1121" s="86">
        <f>-IFERROR(VLOOKUP(C1121,SIRTAC!$A$16:$H$1458,8,0),0)</f>
        <v>-660</v>
      </c>
      <c r="K1121" s="86">
        <f>-IFERROR(VLOOKUP(C1121,Gastos!$A$9:$J$1451,10,0),0)</f>
        <v>-640.20000000000005</v>
      </c>
      <c r="L1121" s="86">
        <f>-IFERROR(VLOOKUP(C1121,IDC!$A$20:$H$1763,8,0),0)</f>
        <v>-396</v>
      </c>
      <c r="M1121" s="95">
        <f t="shared" si="33"/>
        <v>66000</v>
      </c>
      <c r="O1121" s="1"/>
    </row>
    <row r="1122" spans="1:15" hidden="1">
      <c r="A1122" s="1" t="s">
        <v>1213</v>
      </c>
      <c r="B1122" s="1" t="s">
        <v>1263</v>
      </c>
      <c r="C1122" s="71">
        <v>130501601308</v>
      </c>
      <c r="D1122" s="3">
        <v>3230.7</v>
      </c>
      <c r="E1122" s="3">
        <v>12887556.130000001</v>
      </c>
      <c r="F1122" s="1" t="s">
        <v>3065</v>
      </c>
      <c r="G1122"/>
      <c r="H1122"/>
      <c r="I1122" s="19">
        <f>-IFERROR(VLOOKUP(C1122,SIRCUPA!$A$21:$H$221,8,0),0)</f>
        <v>-49.5</v>
      </c>
      <c r="J1122" s="86">
        <f>-IFERROR(VLOOKUP(C1122,SIRTAC!$A$16:$H$1458,8,0),0)</f>
        <v>0</v>
      </c>
      <c r="K1122" s="86">
        <f>-IFERROR(VLOOKUP(C1122,Gastos!$A$9:$J$1451,10,0),0)</f>
        <v>0</v>
      </c>
      <c r="L1122" s="86">
        <f>-IFERROR(VLOOKUP(C1122,IDC!$A$20:$H$1763,8,0),0)</f>
        <v>-19.8</v>
      </c>
      <c r="M1122" s="95">
        <f t="shared" si="33"/>
        <v>3300</v>
      </c>
      <c r="O1122" s="1"/>
    </row>
    <row r="1123" spans="1:15" hidden="1">
      <c r="A1123" s="1" t="s">
        <v>1213</v>
      </c>
      <c r="B1123" s="1" t="s">
        <v>15</v>
      </c>
      <c r="C1123" s="71">
        <v>130501741454</v>
      </c>
      <c r="D1123" s="3">
        <v>44030.35</v>
      </c>
      <c r="E1123" s="3">
        <v>12931586.48</v>
      </c>
      <c r="F1123" s="1" t="s">
        <v>3065</v>
      </c>
      <c r="G1123"/>
      <c r="H1123"/>
      <c r="I1123" s="19">
        <f>-IFERROR(VLOOKUP(C1123,SIRCUPA!$A$21:$H$221,8,0),0)</f>
        <v>0</v>
      </c>
      <c r="J1123" s="86">
        <f>-IFERROR(VLOOKUP(C1123,SIRTAC!$A$16:$H$1458,8,0),0)</f>
        <v>-455</v>
      </c>
      <c r="K1123" s="86">
        <f>-IFERROR(VLOOKUP(C1123,Gastos!$A$9:$J$1451,10,0),0)</f>
        <v>-741.65</v>
      </c>
      <c r="L1123" s="86">
        <f>-IFERROR(VLOOKUP(C1123,IDC!$A$20:$H$1763,8,0),0)</f>
        <v>-273</v>
      </c>
      <c r="M1123" s="95">
        <f t="shared" si="33"/>
        <v>45500</v>
      </c>
      <c r="O1123" s="1"/>
    </row>
    <row r="1124" spans="1:15" hidden="1">
      <c r="A1124" s="1" t="s">
        <v>1213</v>
      </c>
      <c r="B1124" s="1" t="s">
        <v>15</v>
      </c>
      <c r="C1124" s="71">
        <v>130501959538</v>
      </c>
      <c r="D1124" s="3">
        <v>39166.86</v>
      </c>
      <c r="E1124" s="3">
        <v>12970753.34</v>
      </c>
      <c r="F1124" s="1" t="s">
        <v>3065</v>
      </c>
      <c r="G1124"/>
      <c r="H1124"/>
      <c r="I1124" s="19">
        <f>-IFERROR(VLOOKUP(C1124,SIRCUPA!$A$21:$H$221,8,0),0)</f>
        <v>0</v>
      </c>
      <c r="J1124" s="86">
        <f>-IFERROR(VLOOKUP(C1124,SIRTAC!$A$16:$H$1458,8,0),0)</f>
        <v>-402</v>
      </c>
      <c r="K1124" s="86">
        <f>-IFERROR(VLOOKUP(C1124,Gastos!$A$9:$J$1451,10,0),0)</f>
        <v>-389.94</v>
      </c>
      <c r="L1124" s="86">
        <f>-IFERROR(VLOOKUP(C1124,IDC!$A$20:$H$1763,8,0),0)</f>
        <v>-241.2</v>
      </c>
      <c r="M1124" s="95">
        <f t="shared" si="33"/>
        <v>40200</v>
      </c>
      <c r="O1124" s="1"/>
    </row>
    <row r="1125" spans="1:15" hidden="1">
      <c r="A1125" s="1" t="s">
        <v>1213</v>
      </c>
      <c r="B1125" s="1" t="s">
        <v>15</v>
      </c>
      <c r="C1125" s="71">
        <v>129923967495</v>
      </c>
      <c r="D1125" s="3">
        <v>62463.519999999997</v>
      </c>
      <c r="E1125" s="3">
        <v>13033216.859999999</v>
      </c>
      <c r="F1125" s="1" t="s">
        <v>3065</v>
      </c>
      <c r="G1125"/>
      <c r="H1125"/>
      <c r="I1125" s="19">
        <f>-IFERROR(VLOOKUP(C1125,SIRCUPA!$A$21:$H$221,8,0),0)</f>
        <v>0</v>
      </c>
      <c r="J1125" s="86">
        <f>-IFERROR(VLOOKUP(C1125,SIRTAC!$A$16:$H$1458,8,0),0)</f>
        <v>-688</v>
      </c>
      <c r="K1125" s="86">
        <f>-IFERROR(VLOOKUP(C1125,Gastos!$A$9:$J$1451,10,0),0)</f>
        <v>-5235.68</v>
      </c>
      <c r="L1125" s="86">
        <f>-IFERROR(VLOOKUP(C1125,IDC!$A$20:$H$1763,8,0),0)</f>
        <v>-412.8</v>
      </c>
      <c r="M1125" s="95">
        <f t="shared" si="33"/>
        <v>68800</v>
      </c>
      <c r="O1125" s="1"/>
    </row>
    <row r="1126" spans="1:15" hidden="1">
      <c r="A1126" s="1" t="s">
        <v>1213</v>
      </c>
      <c r="B1126" s="1" t="s">
        <v>15</v>
      </c>
      <c r="C1126" s="71">
        <v>129924104257</v>
      </c>
      <c r="D1126" s="3">
        <v>31567.32</v>
      </c>
      <c r="E1126" s="3">
        <v>13064784.18</v>
      </c>
      <c r="F1126" s="1" t="s">
        <v>3065</v>
      </c>
      <c r="G1126"/>
      <c r="H1126"/>
      <c r="I1126" s="19">
        <f>-IFERROR(VLOOKUP(C1126,SIRCUPA!$A$21:$H$221,8,0),0)</f>
        <v>0</v>
      </c>
      <c r="J1126" s="86">
        <f>-IFERROR(VLOOKUP(C1126,SIRTAC!$A$16:$H$1458,8,0),0)</f>
        <v>-324</v>
      </c>
      <c r="K1126" s="86">
        <f>-IFERROR(VLOOKUP(C1126,Gastos!$A$9:$J$1451,10,0),0)</f>
        <v>-314.27999999999997</v>
      </c>
      <c r="L1126" s="86">
        <f>-IFERROR(VLOOKUP(C1126,IDC!$A$20:$H$1763,8,0),0)</f>
        <v>-194.4</v>
      </c>
      <c r="M1126" s="95">
        <f t="shared" si="33"/>
        <v>32400</v>
      </c>
      <c r="O1126" s="1"/>
    </row>
    <row r="1127" spans="1:15" hidden="1">
      <c r="A1127" s="1" t="s">
        <v>1213</v>
      </c>
      <c r="B1127" s="1" t="s">
        <v>1269</v>
      </c>
      <c r="C1127" s="71">
        <v>129924012099</v>
      </c>
      <c r="D1127" s="3">
        <v>3171.96</v>
      </c>
      <c r="E1127" s="3">
        <v>13067956.140000001</v>
      </c>
      <c r="F1127" s="1" t="s">
        <v>3065</v>
      </c>
      <c r="G1127"/>
      <c r="H1127"/>
      <c r="I1127" s="19">
        <f>-IFERROR(VLOOKUP(C1127,SIRCUPA!$A$21:$H$221,8,0),0)</f>
        <v>-48.6</v>
      </c>
      <c r="J1127" s="86">
        <f>-IFERROR(VLOOKUP(C1127,SIRTAC!$A$16:$H$1458,8,0),0)</f>
        <v>0</v>
      </c>
      <c r="K1127" s="86">
        <f>-IFERROR(VLOOKUP(C1127,Gastos!$A$9:$J$1451,10,0),0)</f>
        <v>0</v>
      </c>
      <c r="L1127" s="86">
        <f>-IFERROR(VLOOKUP(C1127,IDC!$A$20:$H$1763,8,0),0)</f>
        <v>-19.440000000000001</v>
      </c>
      <c r="M1127" s="95">
        <f t="shared" si="33"/>
        <v>3240</v>
      </c>
      <c r="O1127" s="1"/>
    </row>
    <row r="1128" spans="1:15" hidden="1">
      <c r="A1128" s="1" t="s">
        <v>1213</v>
      </c>
      <c r="B1128" s="1" t="s">
        <v>15</v>
      </c>
      <c r="C1128" s="71">
        <v>130502314456</v>
      </c>
      <c r="D1128" s="3">
        <v>34003.07</v>
      </c>
      <c r="E1128" s="3">
        <v>13101959.210000001</v>
      </c>
      <c r="F1128" s="1" t="s">
        <v>3065</v>
      </c>
      <c r="G1128"/>
      <c r="H1128"/>
      <c r="I1128" s="19">
        <f>-IFERROR(VLOOKUP(C1128,SIRCUPA!$A$21:$H$221,8,0),0)</f>
        <v>0</v>
      </c>
      <c r="J1128" s="86">
        <f>-IFERROR(VLOOKUP(C1128,SIRTAC!$A$16:$H$1458,8,0),0)</f>
        <v>-349</v>
      </c>
      <c r="K1128" s="86">
        <f>-IFERROR(VLOOKUP(C1128,Gastos!$A$9:$J$1451,10,0),0)</f>
        <v>-338.53</v>
      </c>
      <c r="L1128" s="86">
        <f>-IFERROR(VLOOKUP(C1128,IDC!$A$20:$H$1763,8,0),0)</f>
        <v>-209.4</v>
      </c>
      <c r="M1128" s="95">
        <f t="shared" si="33"/>
        <v>34900</v>
      </c>
      <c r="O1128" s="1"/>
    </row>
    <row r="1129" spans="1:15" hidden="1">
      <c r="A1129" s="1" t="s">
        <v>1213</v>
      </c>
      <c r="B1129" s="1" t="s">
        <v>15</v>
      </c>
      <c r="C1129" s="71">
        <v>129924592831</v>
      </c>
      <c r="D1129" s="3">
        <v>35074.800000000003</v>
      </c>
      <c r="E1129" s="3">
        <v>13137034.01</v>
      </c>
      <c r="F1129" s="1" t="s">
        <v>3065</v>
      </c>
      <c r="G1129"/>
      <c r="H1129"/>
      <c r="I1129" s="19">
        <f>-IFERROR(VLOOKUP(C1129,SIRCUPA!$A$21:$H$221,8,0),0)</f>
        <v>0</v>
      </c>
      <c r="J1129" s="86">
        <f>-IFERROR(VLOOKUP(C1129,SIRTAC!$A$16:$H$1458,8,0),0)</f>
        <v>-360</v>
      </c>
      <c r="K1129" s="86">
        <f>-IFERROR(VLOOKUP(C1129,Gastos!$A$9:$J$1451,10,0),0)</f>
        <v>-349.2</v>
      </c>
      <c r="L1129" s="86">
        <f>-IFERROR(VLOOKUP(C1129,IDC!$A$20:$H$1763,8,0),0)</f>
        <v>-216</v>
      </c>
      <c r="M1129" s="95">
        <f t="shared" si="33"/>
        <v>36000</v>
      </c>
      <c r="O1129" s="1"/>
    </row>
    <row r="1130" spans="1:15" hidden="1">
      <c r="A1130" s="1" t="s">
        <v>1213</v>
      </c>
      <c r="B1130" s="1" t="s">
        <v>15</v>
      </c>
      <c r="C1130" s="71">
        <v>130503035948</v>
      </c>
      <c r="D1130" s="3">
        <v>8768.7000000000007</v>
      </c>
      <c r="E1130" s="3">
        <v>13145802.710000001</v>
      </c>
      <c r="F1130" s="1" t="s">
        <v>3065</v>
      </c>
      <c r="G1130"/>
      <c r="H1130"/>
      <c r="I1130" s="19">
        <f>-IFERROR(VLOOKUP(C1130,SIRCUPA!$A$21:$H$221,8,0),0)</f>
        <v>0</v>
      </c>
      <c r="J1130" s="86">
        <f>-IFERROR(VLOOKUP(C1130,SIRTAC!$A$16:$H$1458,8,0),0)</f>
        <v>-90</v>
      </c>
      <c r="K1130" s="86">
        <f>-IFERROR(VLOOKUP(C1130,Gastos!$A$9:$J$1451,10,0),0)</f>
        <v>-87.3</v>
      </c>
      <c r="L1130" s="86">
        <f>-IFERROR(VLOOKUP(C1130,IDC!$A$20:$H$1763,8,0),0)</f>
        <v>-54</v>
      </c>
      <c r="M1130" s="95">
        <f t="shared" si="33"/>
        <v>9000</v>
      </c>
      <c r="O1130" s="1"/>
    </row>
    <row r="1131" spans="1:15" hidden="1">
      <c r="A1131" s="1" t="s">
        <v>1213</v>
      </c>
      <c r="B1131" s="1" t="s">
        <v>1274</v>
      </c>
      <c r="C1131" s="71">
        <v>129924599633</v>
      </c>
      <c r="D1131" s="2">
        <v>881.1</v>
      </c>
      <c r="E1131" s="3">
        <v>13146683.810000001</v>
      </c>
      <c r="F1131" s="1" t="s">
        <v>3065</v>
      </c>
      <c r="G1131"/>
      <c r="H1131"/>
      <c r="I1131" s="19">
        <f>-IFERROR(VLOOKUP(C1131,SIRCUPA!$A$21:$H$221,8,0),0)</f>
        <v>-13.5</v>
      </c>
      <c r="J1131" s="86">
        <f>-IFERROR(VLOOKUP(C1131,SIRTAC!$A$16:$H$1458,8,0),0)</f>
        <v>0</v>
      </c>
      <c r="K1131" s="86">
        <f>-IFERROR(VLOOKUP(C1131,Gastos!$A$9:$J$1451,10,0),0)</f>
        <v>0</v>
      </c>
      <c r="L1131" s="86">
        <f>-IFERROR(VLOOKUP(C1131,IDC!$A$20:$H$1763,8,0),0)</f>
        <v>-5.4</v>
      </c>
      <c r="M1131" s="95">
        <f t="shared" ref="M1131:M1194" si="34">+D1131-I1131-J1131-K1131-L1131</f>
        <v>900</v>
      </c>
      <c r="O1131" s="1"/>
    </row>
    <row r="1132" spans="1:15" hidden="1">
      <c r="A1132" s="1" t="s">
        <v>1213</v>
      </c>
      <c r="B1132" s="1" t="s">
        <v>15</v>
      </c>
      <c r="C1132" s="71">
        <v>130503149626</v>
      </c>
      <c r="D1132" s="3">
        <v>21921.75</v>
      </c>
      <c r="E1132" s="3">
        <v>13168605.560000001</v>
      </c>
      <c r="F1132" s="1" t="s">
        <v>3065</v>
      </c>
      <c r="G1132"/>
      <c r="H1132"/>
      <c r="I1132" s="19">
        <f>-IFERROR(VLOOKUP(C1132,SIRCUPA!$A$21:$H$221,8,0),0)</f>
        <v>0</v>
      </c>
      <c r="J1132" s="86">
        <f>-IFERROR(VLOOKUP(C1132,SIRTAC!$A$16:$H$1458,8,0),0)</f>
        <v>-225</v>
      </c>
      <c r="K1132" s="86">
        <f>-IFERROR(VLOOKUP(C1132,Gastos!$A$9:$J$1451,10,0),0)</f>
        <v>-218.25</v>
      </c>
      <c r="L1132" s="86">
        <f>-IFERROR(VLOOKUP(C1132,IDC!$A$20:$H$1763,8,0),0)</f>
        <v>-135</v>
      </c>
      <c r="M1132" s="95">
        <f t="shared" si="34"/>
        <v>22500</v>
      </c>
      <c r="O1132" s="1"/>
    </row>
    <row r="1133" spans="1:15" hidden="1">
      <c r="A1133" s="1" t="s">
        <v>1213</v>
      </c>
      <c r="B1133" s="1" t="s">
        <v>15</v>
      </c>
      <c r="C1133" s="71">
        <v>130503293264</v>
      </c>
      <c r="D1133" s="3">
        <v>24357.5</v>
      </c>
      <c r="E1133" s="3">
        <v>13192963.060000001</v>
      </c>
      <c r="F1133" s="1" t="s">
        <v>3065</v>
      </c>
      <c r="G1133"/>
      <c r="H1133"/>
      <c r="I1133" s="19">
        <f>-IFERROR(VLOOKUP(C1133,SIRCUPA!$A$21:$H$221,8,0),0)</f>
        <v>0</v>
      </c>
      <c r="J1133" s="86">
        <f>-IFERROR(VLOOKUP(C1133,SIRTAC!$A$16:$H$1458,8,0),0)</f>
        <v>-250</v>
      </c>
      <c r="K1133" s="86">
        <f>-IFERROR(VLOOKUP(C1133,Gastos!$A$9:$J$1451,10,0),0)</f>
        <v>-242.5</v>
      </c>
      <c r="L1133" s="86">
        <f>-IFERROR(VLOOKUP(C1133,IDC!$A$20:$H$1763,8,0),0)</f>
        <v>-150</v>
      </c>
      <c r="M1133" s="95">
        <f t="shared" si="34"/>
        <v>25000</v>
      </c>
      <c r="O1133" s="1"/>
    </row>
    <row r="1134" spans="1:15" hidden="1">
      <c r="A1134" s="1" t="s">
        <v>1213</v>
      </c>
      <c r="B1134" s="1" t="s">
        <v>15</v>
      </c>
      <c r="C1134" s="71">
        <v>129924883769</v>
      </c>
      <c r="D1134" s="3">
        <v>47643.27</v>
      </c>
      <c r="E1134" s="3">
        <v>13240606.33</v>
      </c>
      <c r="F1134" s="1" t="s">
        <v>3065</v>
      </c>
      <c r="G1134"/>
      <c r="H1134"/>
      <c r="I1134" s="19">
        <f>-IFERROR(VLOOKUP(C1134,SIRCUPA!$A$21:$H$221,8,0),0)</f>
        <v>0</v>
      </c>
      <c r="J1134" s="86">
        <f>-IFERROR(VLOOKUP(C1134,SIRTAC!$A$16:$H$1458,8,0),0)</f>
        <v>-489</v>
      </c>
      <c r="K1134" s="86">
        <f>-IFERROR(VLOOKUP(C1134,Gastos!$A$9:$J$1451,10,0),0)</f>
        <v>-474.33</v>
      </c>
      <c r="L1134" s="86">
        <f>-IFERROR(VLOOKUP(C1134,IDC!$A$20:$H$1763,8,0),0)</f>
        <v>-293.39999999999998</v>
      </c>
      <c r="M1134" s="95">
        <f t="shared" si="34"/>
        <v>48900</v>
      </c>
      <c r="O1134" s="1"/>
    </row>
    <row r="1135" spans="1:15" hidden="1">
      <c r="A1135" s="1" t="s">
        <v>1213</v>
      </c>
      <c r="B1135" s="1" t="s">
        <v>15</v>
      </c>
      <c r="C1135" s="71">
        <v>130503399266</v>
      </c>
      <c r="D1135" s="3">
        <v>12373.61</v>
      </c>
      <c r="E1135" s="3">
        <v>13252979.939999999</v>
      </c>
      <c r="F1135" s="1" t="s">
        <v>3065</v>
      </c>
      <c r="G1135"/>
      <c r="H1135"/>
      <c r="I1135" s="19">
        <f>-IFERROR(VLOOKUP(C1135,SIRCUPA!$A$21:$H$221,8,0),0)</f>
        <v>0</v>
      </c>
      <c r="J1135" s="86">
        <f>-IFERROR(VLOOKUP(C1135,SIRTAC!$A$16:$H$1458,8,0),0)</f>
        <v>-127</v>
      </c>
      <c r="K1135" s="86">
        <f>-IFERROR(VLOOKUP(C1135,Gastos!$A$9:$J$1451,10,0),0)</f>
        <v>-123.19</v>
      </c>
      <c r="L1135" s="86">
        <f>-IFERROR(VLOOKUP(C1135,IDC!$A$20:$H$1763,8,0),0)</f>
        <v>-76.2</v>
      </c>
      <c r="M1135" s="95">
        <f t="shared" si="34"/>
        <v>12700.000000000002</v>
      </c>
      <c r="O1135" s="1"/>
    </row>
    <row r="1136" spans="1:15" hidden="1">
      <c r="A1136" s="1" t="s">
        <v>1213</v>
      </c>
      <c r="B1136" s="1" t="s">
        <v>15</v>
      </c>
      <c r="C1136" s="71">
        <v>130503401764</v>
      </c>
      <c r="D1136" s="3">
        <v>47838.13</v>
      </c>
      <c r="E1136" s="3">
        <v>13300818.07</v>
      </c>
      <c r="F1136" s="1" t="s">
        <v>3065</v>
      </c>
      <c r="G1136"/>
      <c r="H1136"/>
      <c r="I1136" s="19">
        <f>-IFERROR(VLOOKUP(C1136,SIRCUPA!$A$21:$H$221,8,0),0)</f>
        <v>0</v>
      </c>
      <c r="J1136" s="86">
        <f>-IFERROR(VLOOKUP(C1136,SIRTAC!$A$16:$H$1458,8,0),0)</f>
        <v>-491</v>
      </c>
      <c r="K1136" s="86">
        <f>-IFERROR(VLOOKUP(C1136,Gastos!$A$9:$J$1451,10,0),0)</f>
        <v>-476.27</v>
      </c>
      <c r="L1136" s="86">
        <f>-IFERROR(VLOOKUP(C1136,IDC!$A$20:$H$1763,8,0),0)</f>
        <v>-294.60000000000002</v>
      </c>
      <c r="M1136" s="95">
        <f t="shared" si="34"/>
        <v>49099.999999999993</v>
      </c>
      <c r="O1136" s="1"/>
    </row>
    <row r="1137" spans="1:15" hidden="1">
      <c r="A1137" s="1" t="s">
        <v>1213</v>
      </c>
      <c r="B1137" s="1" t="s">
        <v>15</v>
      </c>
      <c r="C1137" s="71">
        <v>129925367229</v>
      </c>
      <c r="D1137" s="3">
        <v>26793.25</v>
      </c>
      <c r="E1137" s="3">
        <v>13327611.32</v>
      </c>
      <c r="F1137" s="1" t="s">
        <v>3065</v>
      </c>
      <c r="G1137"/>
      <c r="H1137"/>
      <c r="I1137" s="19">
        <f>-IFERROR(VLOOKUP(C1137,SIRCUPA!$A$21:$H$221,8,0),0)</f>
        <v>0</v>
      </c>
      <c r="J1137" s="86">
        <f>-IFERROR(VLOOKUP(C1137,SIRTAC!$A$16:$H$1458,8,0),0)</f>
        <v>-275</v>
      </c>
      <c r="K1137" s="86">
        <f>-IFERROR(VLOOKUP(C1137,Gastos!$A$9:$J$1451,10,0),0)</f>
        <v>-266.75</v>
      </c>
      <c r="L1137" s="86">
        <f>-IFERROR(VLOOKUP(C1137,IDC!$A$20:$H$1763,8,0),0)</f>
        <v>-165</v>
      </c>
      <c r="M1137" s="95">
        <f t="shared" si="34"/>
        <v>27500</v>
      </c>
      <c r="O1137" s="1"/>
    </row>
    <row r="1138" spans="1:15" hidden="1">
      <c r="A1138" s="1" t="s">
        <v>1213</v>
      </c>
      <c r="B1138" s="1" t="s">
        <v>15</v>
      </c>
      <c r="C1138" s="71">
        <v>130503681142</v>
      </c>
      <c r="D1138" s="3">
        <v>25234.37</v>
      </c>
      <c r="E1138" s="3">
        <v>13352845.689999999</v>
      </c>
      <c r="F1138" s="1" t="s">
        <v>3065</v>
      </c>
      <c r="G1138"/>
      <c r="H1138"/>
      <c r="I1138" s="19">
        <f>-IFERROR(VLOOKUP(C1138,SIRCUPA!$A$21:$H$221,8,0),0)</f>
        <v>0</v>
      </c>
      <c r="J1138" s="86">
        <f>-IFERROR(VLOOKUP(C1138,SIRTAC!$A$16:$H$1458,8,0),0)</f>
        <v>-259</v>
      </c>
      <c r="K1138" s="86">
        <f>-IFERROR(VLOOKUP(C1138,Gastos!$A$9:$J$1451,10,0),0)</f>
        <v>-251.23</v>
      </c>
      <c r="L1138" s="86">
        <f>-IFERROR(VLOOKUP(C1138,IDC!$A$20:$H$1763,8,0),0)</f>
        <v>-155.4</v>
      </c>
      <c r="M1138" s="95">
        <f t="shared" si="34"/>
        <v>25900</v>
      </c>
      <c r="O1138" s="1"/>
    </row>
    <row r="1139" spans="1:15" hidden="1">
      <c r="A1139" s="1" t="s">
        <v>1213</v>
      </c>
      <c r="B1139" s="1" t="s">
        <v>15</v>
      </c>
      <c r="C1139" s="71">
        <v>130503796692</v>
      </c>
      <c r="D1139" s="3">
        <v>8171.1</v>
      </c>
      <c r="E1139" s="3">
        <v>13361016.789999999</v>
      </c>
      <c r="F1139" s="1" t="s">
        <v>3065</v>
      </c>
      <c r="G1139"/>
      <c r="H1139"/>
      <c r="I1139" s="19">
        <f>-IFERROR(VLOOKUP(C1139,SIRCUPA!$A$21:$H$221,8,0),0)</f>
        <v>0</v>
      </c>
      <c r="J1139" s="86">
        <f>-IFERROR(VLOOKUP(C1139,SIRTAC!$A$16:$H$1458,8,0),0)</f>
        <v>-90</v>
      </c>
      <c r="K1139" s="86">
        <f>-IFERROR(VLOOKUP(C1139,Gastos!$A$9:$J$1451,10,0),0)</f>
        <v>-684.9</v>
      </c>
      <c r="L1139" s="86">
        <f>-IFERROR(VLOOKUP(C1139,IDC!$A$20:$H$1763,8,0),0)</f>
        <v>-54</v>
      </c>
      <c r="M1139" s="95">
        <f t="shared" si="34"/>
        <v>9000</v>
      </c>
      <c r="O1139" s="1"/>
    </row>
    <row r="1140" spans="1:15" hidden="1">
      <c r="A1140" s="1" t="s">
        <v>1213</v>
      </c>
      <c r="B1140" s="1" t="s">
        <v>15</v>
      </c>
      <c r="C1140" s="71">
        <v>130503823030</v>
      </c>
      <c r="D1140" s="3">
        <v>9010.56</v>
      </c>
      <c r="E1140" s="3">
        <v>13370027.35</v>
      </c>
      <c r="F1140" s="1" t="s">
        <v>3065</v>
      </c>
      <c r="G1140"/>
      <c r="H1140"/>
      <c r="I1140" s="19">
        <f>-IFERROR(VLOOKUP(C1140,SIRCUPA!$A$21:$H$221,8,0),0)</f>
        <v>0</v>
      </c>
      <c r="J1140" s="86">
        <f>-IFERROR(VLOOKUP(C1140,SIRTAC!$A$16:$H$1458,8,0),0)</f>
        <v>-96</v>
      </c>
      <c r="K1140" s="86">
        <f>-IFERROR(VLOOKUP(C1140,Gastos!$A$9:$J$1451,10,0),0)</f>
        <v>-435.84</v>
      </c>
      <c r="L1140" s="86">
        <f>-IFERROR(VLOOKUP(C1140,IDC!$A$20:$H$1763,8,0),0)</f>
        <v>-57.6</v>
      </c>
      <c r="M1140" s="95">
        <f t="shared" si="34"/>
        <v>9600</v>
      </c>
      <c r="O1140" s="1"/>
    </row>
    <row r="1141" spans="1:15" hidden="1">
      <c r="A1141" s="1" t="s">
        <v>1213</v>
      </c>
      <c r="B1141" s="1" t="s">
        <v>15</v>
      </c>
      <c r="C1141" s="71">
        <v>130503831700</v>
      </c>
      <c r="D1141" s="3">
        <v>7989.26</v>
      </c>
      <c r="E1141" s="3">
        <v>13378016.609999999</v>
      </c>
      <c r="F1141" s="1" t="s">
        <v>3065</v>
      </c>
      <c r="G1141"/>
      <c r="H1141"/>
      <c r="I1141" s="19">
        <f>-IFERROR(VLOOKUP(C1141,SIRCUPA!$A$21:$H$221,8,0),0)</f>
        <v>0</v>
      </c>
      <c r="J1141" s="86">
        <f>-IFERROR(VLOOKUP(C1141,SIRTAC!$A$16:$H$1458,8,0),0)</f>
        <v>-82</v>
      </c>
      <c r="K1141" s="86">
        <f>-IFERROR(VLOOKUP(C1141,Gastos!$A$9:$J$1451,10,0),0)</f>
        <v>-79.540000000000006</v>
      </c>
      <c r="L1141" s="86">
        <f>-IFERROR(VLOOKUP(C1141,IDC!$A$20:$H$1763,8,0),0)</f>
        <v>-49.2</v>
      </c>
      <c r="M1141" s="95">
        <f t="shared" si="34"/>
        <v>8200</v>
      </c>
      <c r="O1141" s="1"/>
    </row>
    <row r="1142" spans="1:15" hidden="1">
      <c r="A1142" s="1" t="s">
        <v>1286</v>
      </c>
      <c r="B1142" s="1" t="s">
        <v>15</v>
      </c>
      <c r="C1142" s="71">
        <v>130503865664</v>
      </c>
      <c r="D1142" s="3">
        <v>17649.580000000002</v>
      </c>
      <c r="E1142" s="3">
        <v>13395666.189999999</v>
      </c>
      <c r="F1142" s="1" t="s">
        <v>3065</v>
      </c>
      <c r="G1142"/>
      <c r="H1142"/>
      <c r="I1142" s="19">
        <f>-IFERROR(VLOOKUP(C1142,SIRCUPA!$A$21:$H$221,8,0),0)</f>
        <v>0</v>
      </c>
      <c r="J1142" s="86">
        <f>-IFERROR(VLOOKUP(C1142,SIRTAC!$A$16:$H$1458,8,0),0)</f>
        <v>-194.4</v>
      </c>
      <c r="K1142" s="86">
        <f>-IFERROR(VLOOKUP(C1142,Gastos!$A$9:$J$1451,10,0),0)</f>
        <v>-1479.38</v>
      </c>
      <c r="L1142" s="86">
        <f>-IFERROR(VLOOKUP(C1142,IDC!$A$20:$H$1763,8,0),0)</f>
        <v>-116.64</v>
      </c>
      <c r="M1142" s="95">
        <f t="shared" si="34"/>
        <v>19440.000000000004</v>
      </c>
      <c r="O1142" s="1"/>
    </row>
    <row r="1143" spans="1:15" hidden="1">
      <c r="A1143" s="1" t="s">
        <v>1286</v>
      </c>
      <c r="B1143" s="1" t="s">
        <v>15</v>
      </c>
      <c r="C1143" s="71">
        <v>130504119406</v>
      </c>
      <c r="D1143" s="3">
        <v>36276.480000000003</v>
      </c>
      <c r="E1143" s="3">
        <v>13431942.67</v>
      </c>
      <c r="F1143" s="1" t="s">
        <v>3065</v>
      </c>
      <c r="G1143"/>
      <c r="H1143"/>
      <c r="I1143" s="19">
        <f>-IFERROR(VLOOKUP(C1143,SIRCUPA!$A$21:$H$221,8,0),0)</f>
        <v>0</v>
      </c>
      <c r="J1143" s="86">
        <f>-IFERROR(VLOOKUP(C1143,SIRTAC!$A$16:$H$1458,8,0),0)</f>
        <v>-384</v>
      </c>
      <c r="K1143" s="86">
        <f>-IFERROR(VLOOKUP(C1143,Gastos!$A$9:$J$1451,10,0),0)</f>
        <v>-1509.12</v>
      </c>
      <c r="L1143" s="86">
        <f>-IFERROR(VLOOKUP(C1143,IDC!$A$20:$H$1763,8,0),0)</f>
        <v>-230.4</v>
      </c>
      <c r="M1143" s="95">
        <f t="shared" si="34"/>
        <v>38400.000000000007</v>
      </c>
      <c r="O1143" s="1"/>
    </row>
    <row r="1144" spans="1:15" hidden="1">
      <c r="A1144" s="1" t="s">
        <v>1286</v>
      </c>
      <c r="B1144" s="1" t="s">
        <v>15</v>
      </c>
      <c r="C1144" s="71">
        <v>129925965239</v>
      </c>
      <c r="D1144" s="3">
        <v>51345.61</v>
      </c>
      <c r="E1144" s="3">
        <v>13483288.279999999</v>
      </c>
      <c r="F1144" s="1" t="s">
        <v>3065</v>
      </c>
      <c r="G1144"/>
      <c r="H1144"/>
      <c r="I1144" s="19">
        <f>-IFERROR(VLOOKUP(C1144,SIRCUPA!$A$21:$H$221,8,0),0)</f>
        <v>0</v>
      </c>
      <c r="J1144" s="86">
        <f>-IFERROR(VLOOKUP(C1144,SIRTAC!$A$16:$H$1458,8,0),0)</f>
        <v>-527</v>
      </c>
      <c r="K1144" s="86">
        <f>-IFERROR(VLOOKUP(C1144,Gastos!$A$9:$J$1451,10,0),0)</f>
        <v>-511.19</v>
      </c>
      <c r="L1144" s="86">
        <f>-IFERROR(VLOOKUP(C1144,IDC!$A$20:$H$1763,8,0),0)</f>
        <v>-316.2</v>
      </c>
      <c r="M1144" s="95">
        <f t="shared" si="34"/>
        <v>52700</v>
      </c>
      <c r="O1144" s="1"/>
    </row>
    <row r="1145" spans="1:15" hidden="1">
      <c r="A1145" s="1" t="s">
        <v>1286</v>
      </c>
      <c r="B1145" s="1" t="s">
        <v>15</v>
      </c>
      <c r="C1145" s="71">
        <v>129926108389</v>
      </c>
      <c r="D1145" s="3">
        <v>4993.45</v>
      </c>
      <c r="E1145" s="3">
        <v>13488281.73</v>
      </c>
      <c r="F1145" s="1" t="s">
        <v>3065</v>
      </c>
      <c r="G1145"/>
      <c r="H1145"/>
      <c r="I1145" s="19">
        <f>-IFERROR(VLOOKUP(C1145,SIRCUPA!$A$21:$H$221,8,0),0)</f>
        <v>0</v>
      </c>
      <c r="J1145" s="86">
        <f>-IFERROR(VLOOKUP(C1145,SIRTAC!$A$16:$H$1458,8,0),0)</f>
        <v>-55</v>
      </c>
      <c r="K1145" s="86">
        <f>-IFERROR(VLOOKUP(C1145,Gastos!$A$9:$J$1451,10,0),0)</f>
        <v>-418.55</v>
      </c>
      <c r="L1145" s="86">
        <f>-IFERROR(VLOOKUP(C1145,IDC!$A$20:$H$1763,8,0),0)</f>
        <v>-33</v>
      </c>
      <c r="M1145" s="95">
        <f t="shared" si="34"/>
        <v>5500</v>
      </c>
      <c r="O1145" s="1"/>
    </row>
    <row r="1146" spans="1:15" hidden="1">
      <c r="A1146" s="1" t="s">
        <v>1286</v>
      </c>
      <c r="B1146" s="1" t="s">
        <v>15</v>
      </c>
      <c r="C1146" s="71">
        <v>130504725754</v>
      </c>
      <c r="D1146" s="3">
        <v>52839.78</v>
      </c>
      <c r="E1146" s="3">
        <v>13541121.51</v>
      </c>
      <c r="F1146" s="1" t="s">
        <v>3065</v>
      </c>
      <c r="G1146"/>
      <c r="H1146"/>
      <c r="I1146" s="19">
        <f>-IFERROR(VLOOKUP(C1146,SIRCUPA!$A$21:$H$221,8,0),0)</f>
        <v>0</v>
      </c>
      <c r="J1146" s="86">
        <f>-IFERROR(VLOOKUP(C1146,SIRTAC!$A$16:$H$1458,8,0),0)</f>
        <v>-582</v>
      </c>
      <c r="K1146" s="86">
        <f>-IFERROR(VLOOKUP(C1146,Gastos!$A$9:$J$1451,10,0),0)</f>
        <v>-4429.0200000000004</v>
      </c>
      <c r="L1146" s="86">
        <f>-IFERROR(VLOOKUP(C1146,IDC!$A$20:$H$1763,8,0),0)</f>
        <v>-349.2</v>
      </c>
      <c r="M1146" s="95">
        <f t="shared" si="34"/>
        <v>58200</v>
      </c>
      <c r="O1146" s="1"/>
    </row>
    <row r="1147" spans="1:15" hidden="1">
      <c r="A1147" s="1" t="s">
        <v>1286</v>
      </c>
      <c r="B1147" s="1" t="s">
        <v>15</v>
      </c>
      <c r="C1147" s="71">
        <v>129926554953</v>
      </c>
      <c r="D1147" s="3">
        <v>9010.56</v>
      </c>
      <c r="E1147" s="3">
        <v>13550132.07</v>
      </c>
      <c r="F1147" s="1" t="s">
        <v>3065</v>
      </c>
      <c r="G1147"/>
      <c r="H1147"/>
      <c r="I1147" s="19">
        <f>-IFERROR(VLOOKUP(C1147,SIRCUPA!$A$21:$H$221,8,0),0)</f>
        <v>0</v>
      </c>
      <c r="J1147" s="86">
        <f>-IFERROR(VLOOKUP(C1147,SIRTAC!$A$16:$H$1458,8,0),0)</f>
        <v>-96</v>
      </c>
      <c r="K1147" s="86">
        <f>-IFERROR(VLOOKUP(C1147,Gastos!$A$9:$J$1451,10,0),0)</f>
        <v>-435.84</v>
      </c>
      <c r="L1147" s="86">
        <f>-IFERROR(VLOOKUP(C1147,IDC!$A$20:$H$1763,8,0),0)</f>
        <v>-57.6</v>
      </c>
      <c r="M1147" s="95">
        <f t="shared" si="34"/>
        <v>9600</v>
      </c>
      <c r="O1147" s="1"/>
    </row>
    <row r="1148" spans="1:15" hidden="1">
      <c r="A1148" s="1" t="s">
        <v>1286</v>
      </c>
      <c r="B1148" s="1" t="s">
        <v>15</v>
      </c>
      <c r="C1148" s="71">
        <v>130505063064</v>
      </c>
      <c r="D1148" s="3">
        <v>43064.06</v>
      </c>
      <c r="E1148" s="3">
        <v>13593196.130000001</v>
      </c>
      <c r="F1148" s="1" t="s">
        <v>3065</v>
      </c>
      <c r="G1148"/>
      <c r="H1148"/>
      <c r="I1148" s="19">
        <f>-IFERROR(VLOOKUP(C1148,SIRCUPA!$A$21:$H$221,8,0),0)</f>
        <v>0</v>
      </c>
      <c r="J1148" s="86">
        <f>-IFERROR(VLOOKUP(C1148,SIRTAC!$A$16:$H$1458,8,0),0)</f>
        <v>-442</v>
      </c>
      <c r="K1148" s="86">
        <f>-IFERROR(VLOOKUP(C1148,Gastos!$A$9:$J$1451,10,0),0)</f>
        <v>-428.74</v>
      </c>
      <c r="L1148" s="86">
        <f>-IFERROR(VLOOKUP(C1148,IDC!$A$20:$H$1763,8,0),0)</f>
        <v>-265.2</v>
      </c>
      <c r="M1148" s="95">
        <f t="shared" si="34"/>
        <v>44199.999999999993</v>
      </c>
      <c r="O1148" s="1"/>
    </row>
    <row r="1149" spans="1:15" hidden="1">
      <c r="A1149" s="1" t="s">
        <v>1286</v>
      </c>
      <c r="B1149" s="1" t="s">
        <v>15</v>
      </c>
      <c r="C1149" s="71">
        <v>130505213634</v>
      </c>
      <c r="D1149" s="3">
        <v>15296.51</v>
      </c>
      <c r="E1149" s="3">
        <v>13608492.640000001</v>
      </c>
      <c r="F1149" s="1" t="s">
        <v>3065</v>
      </c>
      <c r="G1149"/>
      <c r="H1149"/>
      <c r="I1149" s="19">
        <f>-IFERROR(VLOOKUP(C1149,SIRCUPA!$A$21:$H$221,8,0),0)</f>
        <v>0</v>
      </c>
      <c r="J1149" s="86">
        <f>-IFERROR(VLOOKUP(C1149,SIRTAC!$A$16:$H$1458,8,0),0)</f>
        <v>-157</v>
      </c>
      <c r="K1149" s="86">
        <f>-IFERROR(VLOOKUP(C1149,Gastos!$A$9:$J$1451,10,0),0)</f>
        <v>-152.29</v>
      </c>
      <c r="L1149" s="86">
        <f>-IFERROR(VLOOKUP(C1149,IDC!$A$20:$H$1763,8,0),0)</f>
        <v>-94.2</v>
      </c>
      <c r="M1149" s="95">
        <f t="shared" si="34"/>
        <v>15700.000000000002</v>
      </c>
      <c r="O1149" s="1"/>
    </row>
    <row r="1150" spans="1:15" hidden="1">
      <c r="A1150" s="1" t="s">
        <v>1286</v>
      </c>
      <c r="B1150" s="1" t="s">
        <v>1295</v>
      </c>
      <c r="C1150" s="71">
        <v>130505259044</v>
      </c>
      <c r="D1150" s="2">
        <v>768.51</v>
      </c>
      <c r="E1150" s="3">
        <v>13609261.15</v>
      </c>
      <c r="F1150" s="1" t="s">
        <v>3065</v>
      </c>
      <c r="G1150"/>
      <c r="H1150"/>
      <c r="I1150" s="19">
        <f>-IFERROR(VLOOKUP(C1150,SIRCUPA!$A$21:$H$221,8,0),0)</f>
        <v>-11.78</v>
      </c>
      <c r="J1150" s="86">
        <f>-IFERROR(VLOOKUP(C1150,SIRTAC!$A$16:$H$1458,8,0),0)</f>
        <v>0</v>
      </c>
      <c r="K1150" s="86">
        <f>-IFERROR(VLOOKUP(C1150,Gastos!$A$9:$J$1451,10,0),0)</f>
        <v>0</v>
      </c>
      <c r="L1150" s="86">
        <f>-IFERROR(VLOOKUP(C1150,IDC!$A$20:$H$1763,8,0),0)</f>
        <v>-4.71</v>
      </c>
      <c r="M1150" s="95">
        <f t="shared" si="34"/>
        <v>785</v>
      </c>
      <c r="O1150" s="1"/>
    </row>
    <row r="1151" spans="1:15" hidden="1">
      <c r="A1151" s="1" t="s">
        <v>1286</v>
      </c>
      <c r="B1151" s="1" t="s">
        <v>15</v>
      </c>
      <c r="C1151" s="71">
        <v>130505348210</v>
      </c>
      <c r="D1151" s="3">
        <v>16952.82</v>
      </c>
      <c r="E1151" s="3">
        <v>13626213.970000001</v>
      </c>
      <c r="F1151" s="1" t="s">
        <v>3065</v>
      </c>
      <c r="G1151"/>
      <c r="H1151"/>
      <c r="I1151" s="19">
        <f>-IFERROR(VLOOKUP(C1151,SIRCUPA!$A$21:$H$221,8,0),0)</f>
        <v>0</v>
      </c>
      <c r="J1151" s="86">
        <f>-IFERROR(VLOOKUP(C1151,SIRTAC!$A$16:$H$1458,8,0),0)</f>
        <v>-174</v>
      </c>
      <c r="K1151" s="86">
        <f>-IFERROR(VLOOKUP(C1151,Gastos!$A$9:$J$1451,10,0),0)</f>
        <v>-168.78</v>
      </c>
      <c r="L1151" s="86">
        <f>-IFERROR(VLOOKUP(C1151,IDC!$A$20:$H$1763,8,0),0)</f>
        <v>-104.4</v>
      </c>
      <c r="M1151" s="95">
        <f t="shared" si="34"/>
        <v>17400</v>
      </c>
      <c r="O1151" s="1"/>
    </row>
    <row r="1152" spans="1:15" hidden="1">
      <c r="A1152" s="1" t="s">
        <v>1286</v>
      </c>
      <c r="B1152" s="1" t="s">
        <v>15</v>
      </c>
      <c r="C1152" s="71">
        <v>129927348607</v>
      </c>
      <c r="D1152" s="3">
        <v>32931.339999999997</v>
      </c>
      <c r="E1152" s="3">
        <v>13659145.310000001</v>
      </c>
      <c r="F1152" s="1" t="s">
        <v>3065</v>
      </c>
      <c r="G1152"/>
      <c r="H1152"/>
      <c r="I1152" s="19">
        <f>-IFERROR(VLOOKUP(C1152,SIRCUPA!$A$21:$H$221,8,0),0)</f>
        <v>0</v>
      </c>
      <c r="J1152" s="86">
        <f>-IFERROR(VLOOKUP(C1152,SIRTAC!$A$16:$H$1458,8,0),0)</f>
        <v>-338</v>
      </c>
      <c r="K1152" s="86">
        <f>-IFERROR(VLOOKUP(C1152,Gastos!$A$9:$J$1451,10,0),0)</f>
        <v>-327.86</v>
      </c>
      <c r="L1152" s="86">
        <f>-IFERROR(VLOOKUP(C1152,IDC!$A$20:$H$1763,8,0),0)</f>
        <v>-202.8</v>
      </c>
      <c r="M1152" s="95">
        <f t="shared" si="34"/>
        <v>33800</v>
      </c>
      <c r="O1152" s="1"/>
    </row>
    <row r="1153" spans="1:15" hidden="1">
      <c r="A1153" s="1" t="s">
        <v>1286</v>
      </c>
      <c r="B1153" s="1" t="s">
        <v>15</v>
      </c>
      <c r="C1153" s="71">
        <v>130505521438</v>
      </c>
      <c r="D1153" s="3">
        <v>91607.11</v>
      </c>
      <c r="E1153" s="3">
        <v>13750752.42</v>
      </c>
      <c r="F1153" s="1" t="s">
        <v>3065</v>
      </c>
      <c r="G1153"/>
      <c r="H1153"/>
      <c r="I1153" s="19">
        <f>-IFERROR(VLOOKUP(C1153,SIRCUPA!$A$21:$H$221,8,0),0)</f>
        <v>0</v>
      </c>
      <c r="J1153" s="86">
        <f>-IFERROR(VLOOKUP(C1153,SIRTAC!$A$16:$H$1458,8,0),0)</f>
        <v>-1009</v>
      </c>
      <c r="K1153" s="86">
        <f>-IFERROR(VLOOKUP(C1153,Gastos!$A$9:$J$1451,10,0),0)</f>
        <v>-7678.49</v>
      </c>
      <c r="L1153" s="86">
        <f>-IFERROR(VLOOKUP(C1153,IDC!$A$20:$H$1763,8,0),0)</f>
        <v>-605.4</v>
      </c>
      <c r="M1153" s="95">
        <f t="shared" si="34"/>
        <v>100900</v>
      </c>
      <c r="O1153" s="1"/>
    </row>
    <row r="1154" spans="1:15" hidden="1">
      <c r="A1154" s="1" t="s">
        <v>1286</v>
      </c>
      <c r="B1154" s="1" t="s">
        <v>15</v>
      </c>
      <c r="C1154" s="71">
        <v>129927337673</v>
      </c>
      <c r="D1154" s="3">
        <v>18901.419999999998</v>
      </c>
      <c r="E1154" s="3">
        <v>13769653.84</v>
      </c>
      <c r="F1154" s="1" t="s">
        <v>3065</v>
      </c>
      <c r="G1154"/>
      <c r="H1154"/>
      <c r="I1154" s="19">
        <f>-IFERROR(VLOOKUP(C1154,SIRCUPA!$A$21:$H$221,8,0),0)</f>
        <v>0</v>
      </c>
      <c r="J1154" s="86">
        <f>-IFERROR(VLOOKUP(C1154,SIRTAC!$A$16:$H$1458,8,0),0)</f>
        <v>-194</v>
      </c>
      <c r="K1154" s="86">
        <f>-IFERROR(VLOOKUP(C1154,Gastos!$A$9:$J$1451,10,0),0)</f>
        <v>-188.18</v>
      </c>
      <c r="L1154" s="86">
        <f>-IFERROR(VLOOKUP(C1154,IDC!$A$20:$H$1763,8,0),0)</f>
        <v>-116.4</v>
      </c>
      <c r="M1154" s="95">
        <f t="shared" si="34"/>
        <v>19400</v>
      </c>
      <c r="O1154" s="1"/>
    </row>
    <row r="1155" spans="1:15" hidden="1">
      <c r="A1155" s="1" t="s">
        <v>1286</v>
      </c>
      <c r="B1155" s="1" t="s">
        <v>1301</v>
      </c>
      <c r="C1155" s="71">
        <v>130505561424</v>
      </c>
      <c r="D1155" s="2">
        <v>949.63</v>
      </c>
      <c r="E1155" s="3">
        <v>13770603.470000001</v>
      </c>
      <c r="F1155" s="1" t="s">
        <v>3065</v>
      </c>
      <c r="G1155"/>
      <c r="H1155"/>
      <c r="I1155" s="19">
        <f>-IFERROR(VLOOKUP(C1155,SIRCUPA!$A$21:$H$221,8,0),0)</f>
        <v>-14.55</v>
      </c>
      <c r="J1155" s="86">
        <f>-IFERROR(VLOOKUP(C1155,SIRTAC!$A$16:$H$1458,8,0),0)</f>
        <v>0</v>
      </c>
      <c r="K1155" s="86">
        <f>-IFERROR(VLOOKUP(C1155,Gastos!$A$9:$J$1451,10,0),0)</f>
        <v>0</v>
      </c>
      <c r="L1155" s="86">
        <f>-IFERROR(VLOOKUP(C1155,IDC!$A$20:$H$1763,8,0),0)</f>
        <v>-5.82</v>
      </c>
      <c r="M1155" s="95">
        <f t="shared" si="34"/>
        <v>970</v>
      </c>
      <c r="O1155" s="1"/>
    </row>
    <row r="1156" spans="1:15" hidden="1">
      <c r="A1156" s="1" t="s">
        <v>1286</v>
      </c>
      <c r="B1156" s="1" t="s">
        <v>15</v>
      </c>
      <c r="C1156" s="71">
        <v>130505652570</v>
      </c>
      <c r="D1156" s="3">
        <v>26793.25</v>
      </c>
      <c r="E1156" s="3">
        <v>13797396.720000001</v>
      </c>
      <c r="F1156" s="1" t="s">
        <v>3065</v>
      </c>
      <c r="G1156"/>
      <c r="H1156"/>
      <c r="I1156" s="19">
        <f>-IFERROR(VLOOKUP(C1156,SIRCUPA!$A$21:$H$221,8,0),0)</f>
        <v>0</v>
      </c>
      <c r="J1156" s="86">
        <f>-IFERROR(VLOOKUP(C1156,SIRTAC!$A$16:$H$1458,8,0),0)</f>
        <v>-275</v>
      </c>
      <c r="K1156" s="86">
        <f>-IFERROR(VLOOKUP(C1156,Gastos!$A$9:$J$1451,10,0),0)</f>
        <v>-266.75</v>
      </c>
      <c r="L1156" s="86">
        <f>-IFERROR(VLOOKUP(C1156,IDC!$A$20:$H$1763,8,0),0)</f>
        <v>-165</v>
      </c>
      <c r="M1156" s="95">
        <f t="shared" si="34"/>
        <v>27500</v>
      </c>
      <c r="O1156" s="1"/>
    </row>
    <row r="1157" spans="1:15" hidden="1">
      <c r="A1157" s="1" t="s">
        <v>1286</v>
      </c>
      <c r="B1157" s="1" t="s">
        <v>15</v>
      </c>
      <c r="C1157" s="71">
        <v>129927618037</v>
      </c>
      <c r="D1157" s="3">
        <v>21629.46</v>
      </c>
      <c r="E1157" s="3">
        <v>13819026.18</v>
      </c>
      <c r="F1157" s="1" t="s">
        <v>3065</v>
      </c>
      <c r="G1157"/>
      <c r="H1157"/>
      <c r="I1157" s="19">
        <f>-IFERROR(VLOOKUP(C1157,SIRCUPA!$A$21:$H$221,8,0),0)</f>
        <v>0</v>
      </c>
      <c r="J1157" s="86">
        <f>-IFERROR(VLOOKUP(C1157,SIRTAC!$A$16:$H$1458,8,0),0)</f>
        <v>-222</v>
      </c>
      <c r="K1157" s="86">
        <f>-IFERROR(VLOOKUP(C1157,Gastos!$A$9:$J$1451,10,0),0)</f>
        <v>-215.34</v>
      </c>
      <c r="L1157" s="86">
        <f>-IFERROR(VLOOKUP(C1157,IDC!$A$20:$H$1763,8,0),0)</f>
        <v>-133.19999999999999</v>
      </c>
      <c r="M1157" s="95">
        <f t="shared" si="34"/>
        <v>22200</v>
      </c>
      <c r="O1157" s="1"/>
    </row>
    <row r="1158" spans="1:15" hidden="1">
      <c r="A1158" s="1" t="s">
        <v>1286</v>
      </c>
      <c r="B1158" s="1" t="s">
        <v>15</v>
      </c>
      <c r="C1158" s="71">
        <v>129927699555</v>
      </c>
      <c r="D1158" s="3">
        <v>32475.56</v>
      </c>
      <c r="E1158" s="3">
        <v>13851501.74</v>
      </c>
      <c r="F1158" s="1" t="s">
        <v>3065</v>
      </c>
      <c r="G1158"/>
      <c r="H1158"/>
      <c r="I1158" s="19">
        <f>-IFERROR(VLOOKUP(C1158,SIRCUPA!$A$21:$H$221,8,0),0)</f>
        <v>0</v>
      </c>
      <c r="J1158" s="86">
        <f>-IFERROR(VLOOKUP(C1158,SIRTAC!$A$16:$H$1458,8,0),0)</f>
        <v>-346</v>
      </c>
      <c r="K1158" s="86">
        <f>-IFERROR(VLOOKUP(C1158,Gastos!$A$9:$J$1451,10,0),0)</f>
        <v>-1570.84</v>
      </c>
      <c r="L1158" s="86">
        <f>-IFERROR(VLOOKUP(C1158,IDC!$A$20:$H$1763,8,0),0)</f>
        <v>-207.6</v>
      </c>
      <c r="M1158" s="95">
        <f t="shared" si="34"/>
        <v>34599.999999999993</v>
      </c>
      <c r="O1158" s="1"/>
    </row>
    <row r="1159" spans="1:15" hidden="1">
      <c r="A1159" s="1" t="s">
        <v>1286</v>
      </c>
      <c r="B1159" s="1" t="s">
        <v>15</v>
      </c>
      <c r="C1159" s="71">
        <v>130506186280</v>
      </c>
      <c r="D1159" s="3">
        <v>13603.68</v>
      </c>
      <c r="E1159" s="3">
        <v>13865105.42</v>
      </c>
      <c r="F1159" s="1" t="s">
        <v>3065</v>
      </c>
      <c r="G1159"/>
      <c r="H1159"/>
      <c r="I1159" s="19">
        <f>-IFERROR(VLOOKUP(C1159,SIRCUPA!$A$21:$H$221,8,0),0)</f>
        <v>0</v>
      </c>
      <c r="J1159" s="86">
        <f>-IFERROR(VLOOKUP(C1159,SIRTAC!$A$16:$H$1458,8,0),0)</f>
        <v>-144</v>
      </c>
      <c r="K1159" s="86">
        <f>-IFERROR(VLOOKUP(C1159,Gastos!$A$9:$J$1451,10,0),0)</f>
        <v>-565.91999999999996</v>
      </c>
      <c r="L1159" s="86">
        <f>-IFERROR(VLOOKUP(C1159,IDC!$A$20:$H$1763,8,0),0)</f>
        <v>-86.4</v>
      </c>
      <c r="M1159" s="95">
        <f t="shared" si="34"/>
        <v>14400</v>
      </c>
      <c r="O1159" s="1"/>
    </row>
    <row r="1160" spans="1:15" hidden="1">
      <c r="A1160" s="1" t="s">
        <v>1286</v>
      </c>
      <c r="B1160" s="1" t="s">
        <v>15</v>
      </c>
      <c r="C1160" s="71">
        <v>129928026307</v>
      </c>
      <c r="D1160" s="3">
        <v>15491.37</v>
      </c>
      <c r="E1160" s="3">
        <v>13880596.789999999</v>
      </c>
      <c r="F1160" s="1" t="s">
        <v>3065</v>
      </c>
      <c r="G1160"/>
      <c r="H1160"/>
      <c r="I1160" s="19">
        <f>-IFERROR(VLOOKUP(C1160,SIRCUPA!$A$21:$H$221,8,0),0)</f>
        <v>0</v>
      </c>
      <c r="J1160" s="86">
        <f>-IFERROR(VLOOKUP(C1160,SIRTAC!$A$16:$H$1458,8,0),0)</f>
        <v>-159</v>
      </c>
      <c r="K1160" s="86">
        <f>-IFERROR(VLOOKUP(C1160,Gastos!$A$9:$J$1451,10,0),0)</f>
        <v>-154.22999999999999</v>
      </c>
      <c r="L1160" s="86">
        <f>-IFERROR(VLOOKUP(C1160,IDC!$A$20:$H$1763,8,0),0)</f>
        <v>-95.4</v>
      </c>
      <c r="M1160" s="95">
        <f t="shared" si="34"/>
        <v>15900</v>
      </c>
      <c r="O1160" s="1"/>
    </row>
    <row r="1161" spans="1:15" hidden="1">
      <c r="A1161" s="1" t="s">
        <v>1286</v>
      </c>
      <c r="B1161" s="1" t="s">
        <v>15</v>
      </c>
      <c r="C1161" s="71">
        <v>129928378923</v>
      </c>
      <c r="D1161" s="3">
        <v>2723.7</v>
      </c>
      <c r="E1161" s="3">
        <v>13883320.49</v>
      </c>
      <c r="F1161" s="1" t="s">
        <v>3065</v>
      </c>
      <c r="G1161"/>
      <c r="H1161"/>
      <c r="I1161" s="19">
        <f>-IFERROR(VLOOKUP(C1161,SIRCUPA!$A$21:$H$221,8,0),0)</f>
        <v>0</v>
      </c>
      <c r="J1161" s="86">
        <f>-IFERROR(VLOOKUP(C1161,SIRTAC!$A$16:$H$1458,8,0),0)</f>
        <v>-30</v>
      </c>
      <c r="K1161" s="86">
        <f>-IFERROR(VLOOKUP(C1161,Gastos!$A$9:$J$1451,10,0),0)</f>
        <v>-228.3</v>
      </c>
      <c r="L1161" s="86">
        <f>-IFERROR(VLOOKUP(C1161,IDC!$A$20:$H$1763,8,0),0)</f>
        <v>-18</v>
      </c>
      <c r="M1161" s="95">
        <f t="shared" si="34"/>
        <v>3000</v>
      </c>
      <c r="O1161" s="1"/>
    </row>
    <row r="1162" spans="1:15" hidden="1">
      <c r="A1162" s="1" t="s">
        <v>1286</v>
      </c>
      <c r="B1162" s="1" t="s">
        <v>15</v>
      </c>
      <c r="C1162" s="71">
        <v>129928917523</v>
      </c>
      <c r="D1162" s="3">
        <v>9158.42</v>
      </c>
      <c r="E1162" s="3">
        <v>13892478.91</v>
      </c>
      <c r="F1162" s="1" t="s">
        <v>3065</v>
      </c>
      <c r="G1162"/>
      <c r="H1162"/>
      <c r="I1162" s="19">
        <f>-IFERROR(VLOOKUP(C1162,SIRCUPA!$A$21:$H$221,8,0),0)</f>
        <v>0</v>
      </c>
      <c r="J1162" s="86">
        <f>-IFERROR(VLOOKUP(C1162,SIRTAC!$A$16:$H$1458,8,0),0)</f>
        <v>-94</v>
      </c>
      <c r="K1162" s="86">
        <f>-IFERROR(VLOOKUP(C1162,Gastos!$A$9:$J$1451,10,0),0)</f>
        <v>-91.18</v>
      </c>
      <c r="L1162" s="86">
        <f>-IFERROR(VLOOKUP(C1162,IDC!$A$20:$H$1763,8,0),0)</f>
        <v>-56.4</v>
      </c>
      <c r="M1162" s="95">
        <f t="shared" si="34"/>
        <v>9400</v>
      </c>
      <c r="O1162" s="1"/>
    </row>
    <row r="1163" spans="1:15" hidden="1">
      <c r="A1163" s="1" t="s">
        <v>1286</v>
      </c>
      <c r="B1163" s="1" t="s">
        <v>1274</v>
      </c>
      <c r="C1163" s="71">
        <v>129928888001</v>
      </c>
      <c r="D1163" s="2">
        <v>920.26</v>
      </c>
      <c r="E1163" s="3">
        <v>13893399.17</v>
      </c>
      <c r="F1163" s="1" t="s">
        <v>3065</v>
      </c>
      <c r="G1163"/>
      <c r="H1163"/>
      <c r="I1163" s="19">
        <f>-IFERROR(VLOOKUP(C1163,SIRCUPA!$A$21:$H$221,8,0),0)</f>
        <v>-14.1</v>
      </c>
      <c r="J1163" s="86">
        <f>-IFERROR(VLOOKUP(C1163,SIRTAC!$A$16:$H$1458,8,0),0)</f>
        <v>0</v>
      </c>
      <c r="K1163" s="86">
        <f>-IFERROR(VLOOKUP(C1163,Gastos!$A$9:$J$1451,10,0),0)</f>
        <v>0</v>
      </c>
      <c r="L1163" s="86">
        <f>-IFERROR(VLOOKUP(C1163,IDC!$A$20:$H$1763,8,0),0)</f>
        <v>-5.64</v>
      </c>
      <c r="M1163" s="95">
        <f t="shared" si="34"/>
        <v>940</v>
      </c>
      <c r="O1163" s="1"/>
    </row>
    <row r="1164" spans="1:15" hidden="1">
      <c r="A1164" s="1" t="s">
        <v>1286</v>
      </c>
      <c r="B1164" s="1" t="s">
        <v>15</v>
      </c>
      <c r="C1164" s="71">
        <v>130507433134</v>
      </c>
      <c r="D1164" s="3">
        <v>16660.53</v>
      </c>
      <c r="E1164" s="3">
        <v>13910059.699999999</v>
      </c>
      <c r="F1164" s="1" t="s">
        <v>3065</v>
      </c>
      <c r="G1164"/>
      <c r="H1164"/>
      <c r="I1164" s="19">
        <f>-IFERROR(VLOOKUP(C1164,SIRCUPA!$A$21:$H$221,8,0),0)</f>
        <v>0</v>
      </c>
      <c r="J1164" s="86">
        <f>-IFERROR(VLOOKUP(C1164,SIRTAC!$A$16:$H$1458,8,0),0)</f>
        <v>-171</v>
      </c>
      <c r="K1164" s="86">
        <f>-IFERROR(VLOOKUP(C1164,Gastos!$A$9:$J$1451,10,0),0)</f>
        <v>-165.87</v>
      </c>
      <c r="L1164" s="86">
        <f>-IFERROR(VLOOKUP(C1164,IDC!$A$20:$H$1763,8,0),0)</f>
        <v>-102.6</v>
      </c>
      <c r="M1164" s="95">
        <f t="shared" si="34"/>
        <v>17099.999999999996</v>
      </c>
      <c r="O1164" s="1"/>
    </row>
    <row r="1165" spans="1:15" hidden="1">
      <c r="A1165" s="1" t="s">
        <v>1286</v>
      </c>
      <c r="B1165" s="1" t="s">
        <v>1312</v>
      </c>
      <c r="C1165" s="71">
        <v>130507377794</v>
      </c>
      <c r="D1165" s="3">
        <v>1674.09</v>
      </c>
      <c r="E1165" s="3">
        <v>13911733.789999999</v>
      </c>
      <c r="F1165" s="1" t="s">
        <v>3065</v>
      </c>
      <c r="G1165"/>
      <c r="H1165"/>
      <c r="I1165" s="19">
        <f>-IFERROR(VLOOKUP(C1165,SIRCUPA!$A$21:$H$221,8,0),0)</f>
        <v>-25.65</v>
      </c>
      <c r="J1165" s="86">
        <f>-IFERROR(VLOOKUP(C1165,SIRTAC!$A$16:$H$1458,8,0),0)</f>
        <v>0</v>
      </c>
      <c r="K1165" s="86">
        <f>-IFERROR(VLOOKUP(C1165,Gastos!$A$9:$J$1451,10,0),0)</f>
        <v>0</v>
      </c>
      <c r="L1165" s="86">
        <f>-IFERROR(VLOOKUP(C1165,IDC!$A$20:$H$1763,8,0),0)</f>
        <v>-10.26</v>
      </c>
      <c r="M1165" s="95">
        <f t="shared" si="34"/>
        <v>1710</v>
      </c>
      <c r="O1165" s="1"/>
    </row>
    <row r="1166" spans="1:15" hidden="1">
      <c r="A1166" s="1" t="s">
        <v>1286</v>
      </c>
      <c r="B1166" s="1" t="s">
        <v>15</v>
      </c>
      <c r="C1166" s="71">
        <v>129929271469</v>
      </c>
      <c r="D1166" s="3">
        <v>27207.360000000001</v>
      </c>
      <c r="E1166" s="3">
        <v>13938941.15</v>
      </c>
      <c r="F1166" s="1" t="s">
        <v>3065</v>
      </c>
      <c r="G1166"/>
      <c r="H1166"/>
      <c r="I1166" s="19">
        <f>-IFERROR(VLOOKUP(C1166,SIRCUPA!$A$21:$H$221,8,0),0)</f>
        <v>0</v>
      </c>
      <c r="J1166" s="86">
        <f>-IFERROR(VLOOKUP(C1166,SIRTAC!$A$16:$H$1458,8,0),0)</f>
        <v>-288</v>
      </c>
      <c r="K1166" s="86">
        <f>-IFERROR(VLOOKUP(C1166,Gastos!$A$9:$J$1451,10,0),0)</f>
        <v>-1131.8399999999999</v>
      </c>
      <c r="L1166" s="86">
        <f>-IFERROR(VLOOKUP(C1166,IDC!$A$20:$H$1763,8,0),0)</f>
        <v>-172.8</v>
      </c>
      <c r="M1166" s="95">
        <f t="shared" si="34"/>
        <v>28800</v>
      </c>
      <c r="O1166" s="1"/>
    </row>
    <row r="1167" spans="1:15" hidden="1">
      <c r="A1167" s="1" t="s">
        <v>1286</v>
      </c>
      <c r="B1167" s="1" t="s">
        <v>15</v>
      </c>
      <c r="C1167" s="71">
        <v>130507908182</v>
      </c>
      <c r="D1167" s="3">
        <v>41581.82</v>
      </c>
      <c r="E1167" s="3">
        <v>13980522.970000001</v>
      </c>
      <c r="F1167" s="1" t="s">
        <v>3065</v>
      </c>
      <c r="G1167"/>
      <c r="H1167"/>
      <c r="I1167" s="19">
        <f>-IFERROR(VLOOKUP(C1167,SIRCUPA!$A$21:$H$221,8,0),0)</f>
        <v>0</v>
      </c>
      <c r="J1167" s="86">
        <f>-IFERROR(VLOOKUP(C1167,SIRTAC!$A$16:$H$1458,8,0),0)</f>
        <v>-458</v>
      </c>
      <c r="K1167" s="86">
        <f>-IFERROR(VLOOKUP(C1167,Gastos!$A$9:$J$1451,10,0),0)</f>
        <v>-3485.38</v>
      </c>
      <c r="L1167" s="86">
        <f>-IFERROR(VLOOKUP(C1167,IDC!$A$20:$H$1763,8,0),0)</f>
        <v>-274.8</v>
      </c>
      <c r="M1167" s="95">
        <f t="shared" si="34"/>
        <v>45800</v>
      </c>
      <c r="O1167" s="1"/>
    </row>
    <row r="1168" spans="1:15" hidden="1">
      <c r="A1168" s="1" t="s">
        <v>1286</v>
      </c>
      <c r="B1168" s="1" t="s">
        <v>15</v>
      </c>
      <c r="C1168" s="71">
        <v>129929732379</v>
      </c>
      <c r="D1168" s="3">
        <v>21629.46</v>
      </c>
      <c r="E1168" s="3">
        <v>14002152.43</v>
      </c>
      <c r="F1168" s="1" t="s">
        <v>3065</v>
      </c>
      <c r="G1168"/>
      <c r="H1168"/>
      <c r="I1168" s="19">
        <f>-IFERROR(VLOOKUP(C1168,SIRCUPA!$A$21:$H$221,8,0),0)</f>
        <v>0</v>
      </c>
      <c r="J1168" s="86">
        <f>-IFERROR(VLOOKUP(C1168,SIRTAC!$A$16:$H$1458,8,0),0)</f>
        <v>-222</v>
      </c>
      <c r="K1168" s="86">
        <f>-IFERROR(VLOOKUP(C1168,Gastos!$A$9:$J$1451,10,0),0)</f>
        <v>-215.34</v>
      </c>
      <c r="L1168" s="86">
        <f>-IFERROR(VLOOKUP(C1168,IDC!$A$20:$H$1763,8,0),0)</f>
        <v>-133.19999999999999</v>
      </c>
      <c r="M1168" s="95">
        <f t="shared" si="34"/>
        <v>22200</v>
      </c>
      <c r="O1168" s="1"/>
    </row>
    <row r="1169" spans="1:15" hidden="1">
      <c r="A1169" s="1" t="s">
        <v>1286</v>
      </c>
      <c r="B1169" s="1" t="s">
        <v>15</v>
      </c>
      <c r="C1169" s="71">
        <v>129929852927</v>
      </c>
      <c r="D1169" s="3">
        <v>9198.2800000000007</v>
      </c>
      <c r="E1169" s="3">
        <v>14011350.710000001</v>
      </c>
      <c r="F1169" s="1" t="s">
        <v>3065</v>
      </c>
      <c r="G1169"/>
      <c r="H1169"/>
      <c r="I1169" s="19">
        <f>-IFERROR(VLOOKUP(C1169,SIRCUPA!$A$21:$H$221,8,0),0)</f>
        <v>0</v>
      </c>
      <c r="J1169" s="86">
        <f>-IFERROR(VLOOKUP(C1169,SIRTAC!$A$16:$H$1458,8,0),0)</f>
        <v>-98</v>
      </c>
      <c r="K1169" s="86">
        <f>-IFERROR(VLOOKUP(C1169,Gastos!$A$9:$J$1451,10,0),0)</f>
        <v>-444.92</v>
      </c>
      <c r="L1169" s="86">
        <f>-IFERROR(VLOOKUP(C1169,IDC!$A$20:$H$1763,8,0),0)</f>
        <v>-58.8</v>
      </c>
      <c r="M1169" s="95">
        <f t="shared" si="34"/>
        <v>9800</v>
      </c>
      <c r="O1169" s="1"/>
    </row>
    <row r="1170" spans="1:15" hidden="1">
      <c r="A1170" s="1" t="s">
        <v>1286</v>
      </c>
      <c r="B1170" s="1" t="s">
        <v>15</v>
      </c>
      <c r="C1170" s="71">
        <v>130508497912</v>
      </c>
      <c r="D1170" s="3">
        <v>13737.63</v>
      </c>
      <c r="E1170" s="3">
        <v>14025088.34</v>
      </c>
      <c r="F1170" s="1" t="s">
        <v>3065</v>
      </c>
      <c r="G1170"/>
      <c r="H1170"/>
      <c r="I1170" s="19">
        <f>-IFERROR(VLOOKUP(C1170,SIRCUPA!$A$21:$H$221,8,0),0)</f>
        <v>0</v>
      </c>
      <c r="J1170" s="86">
        <f>-IFERROR(VLOOKUP(C1170,SIRTAC!$A$16:$H$1458,8,0),0)</f>
        <v>-141</v>
      </c>
      <c r="K1170" s="86">
        <f>-IFERROR(VLOOKUP(C1170,Gastos!$A$9:$J$1451,10,0),0)</f>
        <v>-136.77000000000001</v>
      </c>
      <c r="L1170" s="86">
        <f>-IFERROR(VLOOKUP(C1170,IDC!$A$20:$H$1763,8,0),0)</f>
        <v>-84.6</v>
      </c>
      <c r="M1170" s="95">
        <f t="shared" si="34"/>
        <v>14100</v>
      </c>
      <c r="O1170" s="1"/>
    </row>
    <row r="1171" spans="1:15" hidden="1">
      <c r="A1171" s="1" t="s">
        <v>1286</v>
      </c>
      <c r="B1171" s="1" t="s">
        <v>15</v>
      </c>
      <c r="C1171" s="71">
        <v>130508636164</v>
      </c>
      <c r="D1171" s="3">
        <v>10327.58</v>
      </c>
      <c r="E1171" s="3">
        <v>14035415.92</v>
      </c>
      <c r="F1171" s="1" t="s">
        <v>3065</v>
      </c>
      <c r="G1171"/>
      <c r="H1171"/>
      <c r="I1171" s="19">
        <f>-IFERROR(VLOOKUP(C1171,SIRCUPA!$A$21:$H$221,8,0),0)</f>
        <v>0</v>
      </c>
      <c r="J1171" s="86">
        <f>-IFERROR(VLOOKUP(C1171,SIRTAC!$A$16:$H$1458,8,0),0)</f>
        <v>-106</v>
      </c>
      <c r="K1171" s="86">
        <f>-IFERROR(VLOOKUP(C1171,Gastos!$A$9:$J$1451,10,0),0)</f>
        <v>-102.82</v>
      </c>
      <c r="L1171" s="86">
        <f>-IFERROR(VLOOKUP(C1171,IDC!$A$20:$H$1763,8,0),0)</f>
        <v>-63.6</v>
      </c>
      <c r="M1171" s="95">
        <f t="shared" si="34"/>
        <v>10600</v>
      </c>
      <c r="O1171" s="1"/>
    </row>
    <row r="1172" spans="1:15" hidden="1">
      <c r="A1172" s="1" t="s">
        <v>1286</v>
      </c>
      <c r="B1172" s="1" t="s">
        <v>15</v>
      </c>
      <c r="C1172" s="71">
        <v>130508789716</v>
      </c>
      <c r="D1172" s="3">
        <v>33536.85</v>
      </c>
      <c r="E1172" s="3">
        <v>14068952.77</v>
      </c>
      <c r="F1172" s="1" t="s">
        <v>3065</v>
      </c>
      <c r="G1172"/>
      <c r="H1172"/>
      <c r="I1172" s="19">
        <f>-IFERROR(VLOOKUP(C1172,SIRCUPA!$A$21:$H$221,8,0),0)</f>
        <v>0</v>
      </c>
      <c r="J1172" s="86">
        <f>-IFERROR(VLOOKUP(C1172,SIRTAC!$A$16:$H$1458,8,0),0)</f>
        <v>-355</v>
      </c>
      <c r="K1172" s="86">
        <f>-IFERROR(VLOOKUP(C1172,Gastos!$A$9:$J$1451,10,0),0)</f>
        <v>-1395.15</v>
      </c>
      <c r="L1172" s="86">
        <f>-IFERROR(VLOOKUP(C1172,IDC!$A$20:$H$1763,8,0),0)</f>
        <v>-213</v>
      </c>
      <c r="M1172" s="95">
        <f t="shared" si="34"/>
        <v>35500</v>
      </c>
      <c r="O1172" s="1"/>
    </row>
    <row r="1173" spans="1:15" hidden="1">
      <c r="A1173" s="1" t="s">
        <v>1286</v>
      </c>
      <c r="B1173" s="1" t="s">
        <v>15</v>
      </c>
      <c r="C1173" s="71">
        <v>130509146786</v>
      </c>
      <c r="D1173" s="3">
        <v>24649.79</v>
      </c>
      <c r="E1173" s="3">
        <v>14093602.560000001</v>
      </c>
      <c r="F1173" s="1" t="s">
        <v>3065</v>
      </c>
      <c r="G1173"/>
      <c r="H1173"/>
      <c r="I1173" s="19">
        <f>-IFERROR(VLOOKUP(C1173,SIRCUPA!$A$21:$H$221,8,0),0)</f>
        <v>0</v>
      </c>
      <c r="J1173" s="86">
        <f>-IFERROR(VLOOKUP(C1173,SIRTAC!$A$16:$H$1458,8,0),0)</f>
        <v>-253</v>
      </c>
      <c r="K1173" s="86">
        <f>-IFERROR(VLOOKUP(C1173,Gastos!$A$9:$J$1451,10,0),0)</f>
        <v>-245.41</v>
      </c>
      <c r="L1173" s="86">
        <f>-IFERROR(VLOOKUP(C1173,IDC!$A$20:$H$1763,8,0),0)</f>
        <v>-151.80000000000001</v>
      </c>
      <c r="M1173" s="95">
        <f t="shared" si="34"/>
        <v>25300</v>
      </c>
      <c r="O1173" s="1"/>
    </row>
    <row r="1174" spans="1:15" hidden="1">
      <c r="A1174" s="1" t="s">
        <v>1286</v>
      </c>
      <c r="B1174" s="1" t="s">
        <v>15</v>
      </c>
      <c r="C1174" s="71">
        <v>130509116046</v>
      </c>
      <c r="D1174" s="3">
        <v>18316.84</v>
      </c>
      <c r="E1174" s="3">
        <v>14111919.4</v>
      </c>
      <c r="F1174" s="1" t="s">
        <v>3065</v>
      </c>
      <c r="G1174"/>
      <c r="H1174"/>
      <c r="I1174" s="19">
        <f>-IFERROR(VLOOKUP(C1174,SIRCUPA!$A$21:$H$221,8,0),0)</f>
        <v>0</v>
      </c>
      <c r="J1174" s="86">
        <f>-IFERROR(VLOOKUP(C1174,SIRTAC!$A$16:$H$1458,8,0),0)</f>
        <v>-188</v>
      </c>
      <c r="K1174" s="86">
        <f>-IFERROR(VLOOKUP(C1174,Gastos!$A$9:$J$1451,10,0),0)</f>
        <v>-182.36</v>
      </c>
      <c r="L1174" s="86">
        <f>-IFERROR(VLOOKUP(C1174,IDC!$A$20:$H$1763,8,0),0)</f>
        <v>-112.8</v>
      </c>
      <c r="M1174" s="95">
        <f t="shared" si="34"/>
        <v>18800</v>
      </c>
      <c r="O1174" s="1"/>
    </row>
    <row r="1175" spans="1:15" hidden="1">
      <c r="A1175" s="1" t="s">
        <v>1286</v>
      </c>
      <c r="B1175" s="1" t="s">
        <v>15</v>
      </c>
      <c r="C1175" s="71">
        <v>129930974625</v>
      </c>
      <c r="D1175" s="3">
        <v>120228.62</v>
      </c>
      <c r="E1175" s="3">
        <v>14232148.02</v>
      </c>
      <c r="F1175" s="1" t="s">
        <v>3065</v>
      </c>
      <c r="G1175"/>
      <c r="H1175"/>
      <c r="I1175" s="19">
        <f>-IFERROR(VLOOKUP(C1175,SIRCUPA!$A$21:$H$221,8,0),0)</f>
        <v>0</v>
      </c>
      <c r="J1175" s="86">
        <f>-IFERROR(VLOOKUP(C1175,SIRTAC!$A$16:$H$1458,8,0),0)</f>
        <v>-1234</v>
      </c>
      <c r="K1175" s="86">
        <f>-IFERROR(VLOOKUP(C1175,Gastos!$A$9:$J$1451,10,0),0)</f>
        <v>-1196.98</v>
      </c>
      <c r="L1175" s="86">
        <f>-IFERROR(VLOOKUP(C1175,IDC!$A$20:$H$1763,8,0),0)</f>
        <v>-740.4</v>
      </c>
      <c r="M1175" s="95">
        <f t="shared" si="34"/>
        <v>123399.99999999999</v>
      </c>
      <c r="O1175" s="1"/>
    </row>
    <row r="1176" spans="1:15" hidden="1">
      <c r="A1176" s="1" t="s">
        <v>1286</v>
      </c>
      <c r="B1176" s="1" t="s">
        <v>15</v>
      </c>
      <c r="C1176" s="71">
        <v>130509564908</v>
      </c>
      <c r="D1176" s="3">
        <v>13036.86</v>
      </c>
      <c r="E1176" s="3">
        <v>14245184.880000001</v>
      </c>
      <c r="F1176" s="1" t="s">
        <v>3065</v>
      </c>
      <c r="G1176"/>
      <c r="H1176"/>
      <c r="I1176" s="19">
        <f>-IFERROR(VLOOKUP(C1176,SIRCUPA!$A$21:$H$221,8,0),0)</f>
        <v>0</v>
      </c>
      <c r="J1176" s="86">
        <f>-IFERROR(VLOOKUP(C1176,SIRTAC!$A$16:$H$1458,8,0),0)</f>
        <v>-138</v>
      </c>
      <c r="K1176" s="86">
        <f>-IFERROR(VLOOKUP(C1176,Gastos!$A$9:$J$1451,10,0),0)</f>
        <v>-542.34</v>
      </c>
      <c r="L1176" s="86">
        <f>-IFERROR(VLOOKUP(C1176,IDC!$A$20:$H$1763,8,0),0)</f>
        <v>-82.8</v>
      </c>
      <c r="M1176" s="95">
        <f t="shared" si="34"/>
        <v>13800</v>
      </c>
      <c r="O1176" s="1"/>
    </row>
    <row r="1177" spans="1:15" hidden="1">
      <c r="A1177" s="1" t="s">
        <v>1286</v>
      </c>
      <c r="B1177" s="1" t="s">
        <v>15</v>
      </c>
      <c r="C1177" s="71">
        <v>130509770750</v>
      </c>
      <c r="D1177" s="3">
        <v>4534.5600000000004</v>
      </c>
      <c r="E1177" s="3">
        <v>14249719.439999999</v>
      </c>
      <c r="F1177" s="1" t="s">
        <v>3065</v>
      </c>
      <c r="G1177"/>
      <c r="H1177"/>
      <c r="I1177" s="19">
        <f>-IFERROR(VLOOKUP(C1177,SIRCUPA!$A$21:$H$221,8,0),0)</f>
        <v>0</v>
      </c>
      <c r="J1177" s="86">
        <f>-IFERROR(VLOOKUP(C1177,SIRTAC!$A$16:$H$1458,8,0),0)</f>
        <v>-48</v>
      </c>
      <c r="K1177" s="86">
        <f>-IFERROR(VLOOKUP(C1177,Gastos!$A$9:$J$1451,10,0),0)</f>
        <v>-188.64</v>
      </c>
      <c r="L1177" s="86">
        <f>-IFERROR(VLOOKUP(C1177,IDC!$A$20:$H$1763,8,0),0)</f>
        <v>-28.8</v>
      </c>
      <c r="M1177" s="95">
        <f t="shared" si="34"/>
        <v>4800.0000000000009</v>
      </c>
      <c r="O1177" s="1"/>
    </row>
    <row r="1178" spans="1:15" hidden="1">
      <c r="A1178" s="1" t="s">
        <v>1286</v>
      </c>
      <c r="B1178" s="1" t="s">
        <v>15</v>
      </c>
      <c r="C1178" s="71">
        <v>130509852208</v>
      </c>
      <c r="D1178" s="3">
        <v>39946.300000000003</v>
      </c>
      <c r="E1178" s="3">
        <v>14289665.74</v>
      </c>
      <c r="F1178" s="1" t="s">
        <v>3065</v>
      </c>
      <c r="G1178"/>
      <c r="H1178"/>
      <c r="I1178" s="19">
        <f>-IFERROR(VLOOKUP(C1178,SIRCUPA!$A$21:$H$221,8,0),0)</f>
        <v>0</v>
      </c>
      <c r="J1178" s="86">
        <f>-IFERROR(VLOOKUP(C1178,SIRTAC!$A$16:$H$1458,8,0),0)</f>
        <v>-410</v>
      </c>
      <c r="K1178" s="86">
        <f>-IFERROR(VLOOKUP(C1178,Gastos!$A$9:$J$1451,10,0),0)</f>
        <v>-397.7</v>
      </c>
      <c r="L1178" s="86">
        <f>-IFERROR(VLOOKUP(C1178,IDC!$A$20:$H$1763,8,0),0)</f>
        <v>-246</v>
      </c>
      <c r="M1178" s="95">
        <f t="shared" si="34"/>
        <v>41000</v>
      </c>
      <c r="O1178" s="1"/>
    </row>
    <row r="1179" spans="1:15" hidden="1">
      <c r="A1179" s="1" t="s">
        <v>1286</v>
      </c>
      <c r="B1179" s="1" t="s">
        <v>15</v>
      </c>
      <c r="C1179" s="71">
        <v>130509962534</v>
      </c>
      <c r="D1179" s="3">
        <v>20460.3</v>
      </c>
      <c r="E1179" s="3">
        <v>14310126.039999999</v>
      </c>
      <c r="F1179" s="1" t="s">
        <v>3065</v>
      </c>
      <c r="G1179"/>
      <c r="H1179"/>
      <c r="I1179" s="19">
        <f>-IFERROR(VLOOKUP(C1179,SIRCUPA!$A$21:$H$221,8,0),0)</f>
        <v>0</v>
      </c>
      <c r="J1179" s="86">
        <f>-IFERROR(VLOOKUP(C1179,SIRTAC!$A$16:$H$1458,8,0),0)</f>
        <v>-210</v>
      </c>
      <c r="K1179" s="86">
        <f>-IFERROR(VLOOKUP(C1179,Gastos!$A$9:$J$1451,10,0),0)</f>
        <v>-203.7</v>
      </c>
      <c r="L1179" s="86">
        <f>-IFERROR(VLOOKUP(C1179,IDC!$A$20:$H$1763,8,0),0)</f>
        <v>-126</v>
      </c>
      <c r="M1179" s="95">
        <f t="shared" si="34"/>
        <v>21000</v>
      </c>
      <c r="O1179" s="1"/>
    </row>
    <row r="1180" spans="1:15" hidden="1">
      <c r="A1180" s="1" t="s">
        <v>1286</v>
      </c>
      <c r="B1180" s="1" t="s">
        <v>1328</v>
      </c>
      <c r="C1180" s="71">
        <v>130509841798</v>
      </c>
      <c r="D1180" s="3">
        <v>1027.95</v>
      </c>
      <c r="E1180" s="3">
        <v>14311153.99</v>
      </c>
      <c r="F1180" s="1" t="s">
        <v>3065</v>
      </c>
      <c r="G1180"/>
      <c r="H1180"/>
      <c r="I1180" s="19">
        <f>-IFERROR(VLOOKUP(C1180,SIRCUPA!$A$21:$H$221,8,0),0)</f>
        <v>-15.75</v>
      </c>
      <c r="J1180" s="86">
        <f>-IFERROR(VLOOKUP(C1180,SIRTAC!$A$16:$H$1458,8,0),0)</f>
        <v>0</v>
      </c>
      <c r="K1180" s="86">
        <f>-IFERROR(VLOOKUP(C1180,Gastos!$A$9:$J$1451,10,0),0)</f>
        <v>0</v>
      </c>
      <c r="L1180" s="86">
        <f>-IFERROR(VLOOKUP(C1180,IDC!$A$20:$H$1763,8,0),0)</f>
        <v>-6.3</v>
      </c>
      <c r="M1180" s="95">
        <f t="shared" si="34"/>
        <v>1050</v>
      </c>
      <c r="O1180" s="1"/>
    </row>
    <row r="1181" spans="1:15" hidden="1">
      <c r="A1181" s="1" t="s">
        <v>1286</v>
      </c>
      <c r="B1181" s="1" t="s">
        <v>15</v>
      </c>
      <c r="C1181" s="71">
        <v>129931670223</v>
      </c>
      <c r="D1181" s="3">
        <v>3702.34</v>
      </c>
      <c r="E1181" s="3">
        <v>14314856.33</v>
      </c>
      <c r="F1181" s="1" t="s">
        <v>3065</v>
      </c>
      <c r="G1181"/>
      <c r="H1181"/>
      <c r="I1181" s="19">
        <f>-IFERROR(VLOOKUP(C1181,SIRCUPA!$A$21:$H$221,8,0),0)</f>
        <v>0</v>
      </c>
      <c r="J1181" s="86">
        <f>-IFERROR(VLOOKUP(C1181,SIRTAC!$A$16:$H$1458,8,0),0)</f>
        <v>-38</v>
      </c>
      <c r="K1181" s="86">
        <f>-IFERROR(VLOOKUP(C1181,Gastos!$A$9:$J$1451,10,0),0)</f>
        <v>-36.86</v>
      </c>
      <c r="L1181" s="86">
        <f>-IFERROR(VLOOKUP(C1181,IDC!$A$20:$H$1763,8,0),0)</f>
        <v>-22.8</v>
      </c>
      <c r="M1181" s="95">
        <f t="shared" si="34"/>
        <v>3800.0000000000005</v>
      </c>
      <c r="O1181" s="1"/>
    </row>
    <row r="1182" spans="1:15" hidden="1">
      <c r="A1182" s="1" t="s">
        <v>1286</v>
      </c>
      <c r="B1182" s="1" t="s">
        <v>15</v>
      </c>
      <c r="C1182" s="71">
        <v>129932222123</v>
      </c>
      <c r="D1182" s="3">
        <v>58555.43</v>
      </c>
      <c r="E1182" s="3">
        <v>14373411.76</v>
      </c>
      <c r="F1182" s="1" t="s">
        <v>3065</v>
      </c>
      <c r="G1182"/>
      <c r="H1182"/>
      <c r="I1182" s="19">
        <f>-IFERROR(VLOOKUP(C1182,SIRCUPA!$A$21:$H$221,8,0),0)</f>
        <v>0</v>
      </c>
      <c r="J1182" s="86">
        <f>-IFERROR(VLOOKUP(C1182,SIRTAC!$A$16:$H$1458,8,0),0)</f>
        <v>-601</v>
      </c>
      <c r="K1182" s="86">
        <f>-IFERROR(VLOOKUP(C1182,Gastos!$A$9:$J$1451,10,0),0)</f>
        <v>-582.97</v>
      </c>
      <c r="L1182" s="86">
        <f>-IFERROR(VLOOKUP(C1182,IDC!$A$20:$H$1763,8,0),0)</f>
        <v>-360.6</v>
      </c>
      <c r="M1182" s="95">
        <f t="shared" si="34"/>
        <v>60100</v>
      </c>
      <c r="O1182" s="1"/>
    </row>
    <row r="1183" spans="1:15" hidden="1">
      <c r="A1183" s="1" t="s">
        <v>1286</v>
      </c>
      <c r="B1183" s="1" t="s">
        <v>15</v>
      </c>
      <c r="C1183" s="71">
        <v>130510447150</v>
      </c>
      <c r="D1183" s="3">
        <v>9353.2800000000007</v>
      </c>
      <c r="E1183" s="3">
        <v>14382765.039999999</v>
      </c>
      <c r="F1183" s="1" t="s">
        <v>3065</v>
      </c>
      <c r="G1183"/>
      <c r="H1183"/>
      <c r="I1183" s="19">
        <f>-IFERROR(VLOOKUP(C1183,SIRCUPA!$A$21:$H$221,8,0),0)</f>
        <v>0</v>
      </c>
      <c r="J1183" s="86">
        <f>-IFERROR(VLOOKUP(C1183,SIRTAC!$A$16:$H$1458,8,0),0)</f>
        <v>-96</v>
      </c>
      <c r="K1183" s="86">
        <f>-IFERROR(VLOOKUP(C1183,Gastos!$A$9:$J$1451,10,0),0)</f>
        <v>-93.12</v>
      </c>
      <c r="L1183" s="86">
        <f>-IFERROR(VLOOKUP(C1183,IDC!$A$20:$H$1763,8,0),0)</f>
        <v>-57.6</v>
      </c>
      <c r="M1183" s="95">
        <f t="shared" si="34"/>
        <v>9600.0000000000018</v>
      </c>
      <c r="O1183" s="1"/>
    </row>
    <row r="1184" spans="1:15" hidden="1">
      <c r="A1184" s="1" t="s">
        <v>1286</v>
      </c>
      <c r="B1184" s="1" t="s">
        <v>15</v>
      </c>
      <c r="C1184" s="71">
        <v>129932270371</v>
      </c>
      <c r="D1184" s="3">
        <v>59334.87</v>
      </c>
      <c r="E1184" s="3">
        <v>14442099.91</v>
      </c>
      <c r="F1184" s="1" t="s">
        <v>3065</v>
      </c>
      <c r="G1184"/>
      <c r="H1184"/>
      <c r="I1184" s="19">
        <f>-IFERROR(VLOOKUP(C1184,SIRCUPA!$A$21:$H$221,8,0),0)</f>
        <v>0</v>
      </c>
      <c r="J1184" s="86">
        <f>-IFERROR(VLOOKUP(C1184,SIRTAC!$A$16:$H$1458,8,0),0)</f>
        <v>-609</v>
      </c>
      <c r="K1184" s="86">
        <f>-IFERROR(VLOOKUP(C1184,Gastos!$A$9:$J$1451,10,0),0)</f>
        <v>-590.73</v>
      </c>
      <c r="L1184" s="86">
        <f>-IFERROR(VLOOKUP(C1184,IDC!$A$20:$H$1763,8,0),0)</f>
        <v>-365.4</v>
      </c>
      <c r="M1184" s="95">
        <f t="shared" si="34"/>
        <v>60900.000000000007</v>
      </c>
      <c r="O1184" s="1"/>
    </row>
    <row r="1185" spans="1:15" hidden="1">
      <c r="A1185" s="1" t="s">
        <v>1286</v>
      </c>
      <c r="B1185" s="1" t="s">
        <v>15</v>
      </c>
      <c r="C1185" s="71">
        <v>129932193821</v>
      </c>
      <c r="D1185" s="3">
        <v>24260.07</v>
      </c>
      <c r="E1185" s="3">
        <v>14466359.98</v>
      </c>
      <c r="F1185" s="1" t="s">
        <v>3065</v>
      </c>
      <c r="G1185"/>
      <c r="H1185"/>
      <c r="I1185" s="19">
        <f>-IFERROR(VLOOKUP(C1185,SIRCUPA!$A$21:$H$221,8,0),0)</f>
        <v>0</v>
      </c>
      <c r="J1185" s="86">
        <f>-IFERROR(VLOOKUP(C1185,SIRTAC!$A$16:$H$1458,8,0),0)</f>
        <v>-249</v>
      </c>
      <c r="K1185" s="86">
        <f>-IFERROR(VLOOKUP(C1185,Gastos!$A$9:$J$1451,10,0),0)</f>
        <v>-241.53</v>
      </c>
      <c r="L1185" s="86">
        <f>-IFERROR(VLOOKUP(C1185,IDC!$A$20:$H$1763,8,0),0)</f>
        <v>-149.4</v>
      </c>
      <c r="M1185" s="95">
        <f t="shared" si="34"/>
        <v>24900</v>
      </c>
      <c r="O1185" s="1"/>
    </row>
    <row r="1186" spans="1:15" hidden="1">
      <c r="A1186" s="1" t="s">
        <v>1286</v>
      </c>
      <c r="B1186" s="1" t="s">
        <v>15</v>
      </c>
      <c r="C1186" s="71">
        <v>129932363147</v>
      </c>
      <c r="D1186" s="3">
        <v>3778.8</v>
      </c>
      <c r="E1186" s="3">
        <v>14470138.779999999</v>
      </c>
      <c r="F1186" s="1" t="s">
        <v>3065</v>
      </c>
      <c r="G1186"/>
      <c r="H1186"/>
      <c r="I1186" s="19">
        <f>-IFERROR(VLOOKUP(C1186,SIRCUPA!$A$21:$H$221,8,0),0)</f>
        <v>0</v>
      </c>
      <c r="J1186" s="86">
        <f>-IFERROR(VLOOKUP(C1186,SIRTAC!$A$16:$H$1458,8,0),0)</f>
        <v>-40</v>
      </c>
      <c r="K1186" s="86">
        <f>-IFERROR(VLOOKUP(C1186,Gastos!$A$9:$J$1451,10,0),0)</f>
        <v>-157.19999999999999</v>
      </c>
      <c r="L1186" s="86">
        <f>-IFERROR(VLOOKUP(C1186,IDC!$A$20:$H$1763,8,0),0)</f>
        <v>-24</v>
      </c>
      <c r="M1186" s="95">
        <f t="shared" si="34"/>
        <v>4000</v>
      </c>
      <c r="O1186" s="1"/>
    </row>
    <row r="1187" spans="1:15" hidden="1">
      <c r="A1187" s="1" t="s">
        <v>1286</v>
      </c>
      <c r="B1187" s="1" t="s">
        <v>15</v>
      </c>
      <c r="C1187" s="71">
        <v>129932452525</v>
      </c>
      <c r="D1187" s="3">
        <v>30982.74</v>
      </c>
      <c r="E1187" s="3">
        <v>14501121.52</v>
      </c>
      <c r="F1187" s="1" t="s">
        <v>3065</v>
      </c>
      <c r="G1187"/>
      <c r="H1187"/>
      <c r="I1187" s="19">
        <f>-IFERROR(VLOOKUP(C1187,SIRCUPA!$A$21:$H$221,8,0),0)</f>
        <v>0</v>
      </c>
      <c r="J1187" s="86">
        <f>-IFERROR(VLOOKUP(C1187,SIRTAC!$A$16:$H$1458,8,0),0)</f>
        <v>-318</v>
      </c>
      <c r="K1187" s="86">
        <f>-IFERROR(VLOOKUP(C1187,Gastos!$A$9:$J$1451,10,0),0)</f>
        <v>-308.45999999999998</v>
      </c>
      <c r="L1187" s="86">
        <f>-IFERROR(VLOOKUP(C1187,IDC!$A$20:$H$1763,8,0),0)</f>
        <v>-190.8</v>
      </c>
      <c r="M1187" s="95">
        <f t="shared" si="34"/>
        <v>31800</v>
      </c>
      <c r="O1187" s="1"/>
    </row>
    <row r="1188" spans="1:15" hidden="1">
      <c r="A1188" s="1" t="s">
        <v>1286</v>
      </c>
      <c r="B1188" s="1" t="s">
        <v>15</v>
      </c>
      <c r="C1188" s="71">
        <v>129932460795</v>
      </c>
      <c r="D1188" s="3">
        <v>51443.040000000001</v>
      </c>
      <c r="E1188" s="3">
        <v>14552564.560000001</v>
      </c>
      <c r="F1188" s="1" t="s">
        <v>3065</v>
      </c>
      <c r="G1188"/>
      <c r="H1188"/>
      <c r="I1188" s="19">
        <f>-IFERROR(VLOOKUP(C1188,SIRCUPA!$A$21:$H$221,8,0),0)</f>
        <v>0</v>
      </c>
      <c r="J1188" s="86">
        <f>-IFERROR(VLOOKUP(C1188,SIRTAC!$A$16:$H$1458,8,0),0)</f>
        <v>-528</v>
      </c>
      <c r="K1188" s="86">
        <f>-IFERROR(VLOOKUP(C1188,Gastos!$A$9:$J$1451,10,0),0)</f>
        <v>-512.16</v>
      </c>
      <c r="L1188" s="86">
        <f>-IFERROR(VLOOKUP(C1188,IDC!$A$20:$H$1763,8,0),0)</f>
        <v>-316.8</v>
      </c>
      <c r="M1188" s="95">
        <f t="shared" si="34"/>
        <v>52800.000000000007</v>
      </c>
      <c r="O1188" s="1"/>
    </row>
    <row r="1189" spans="1:15" hidden="1">
      <c r="A1189" s="1" t="s">
        <v>1286</v>
      </c>
      <c r="B1189" s="1" t="s">
        <v>15</v>
      </c>
      <c r="C1189" s="71">
        <v>129932493309</v>
      </c>
      <c r="D1189" s="3">
        <v>61499.97</v>
      </c>
      <c r="E1189" s="3">
        <v>14614064.529999999</v>
      </c>
      <c r="F1189" s="1" t="s">
        <v>3065</v>
      </c>
      <c r="G1189"/>
      <c r="H1189"/>
      <c r="I1189" s="19">
        <f>-IFERROR(VLOOKUP(C1189,SIRCUPA!$A$21:$H$221,8,0),0)</f>
        <v>0</v>
      </c>
      <c r="J1189" s="86">
        <f>-IFERROR(VLOOKUP(C1189,SIRTAC!$A$16:$H$1458,8,0),0)</f>
        <v>-651</v>
      </c>
      <c r="K1189" s="86">
        <f>-IFERROR(VLOOKUP(C1189,Gastos!$A$9:$J$1451,10,0),0)</f>
        <v>-2558.4299999999998</v>
      </c>
      <c r="L1189" s="86">
        <f>-IFERROR(VLOOKUP(C1189,IDC!$A$20:$H$1763,8,0),0)</f>
        <v>-390.6</v>
      </c>
      <c r="M1189" s="95">
        <f t="shared" si="34"/>
        <v>65100</v>
      </c>
      <c r="O1189" s="1"/>
    </row>
    <row r="1190" spans="1:15" hidden="1">
      <c r="A1190" s="1" t="s">
        <v>1286</v>
      </c>
      <c r="B1190" s="1" t="s">
        <v>15</v>
      </c>
      <c r="C1190" s="71">
        <v>130510871960</v>
      </c>
      <c r="D1190" s="3">
        <v>19973.150000000001</v>
      </c>
      <c r="E1190" s="3">
        <v>14634037.68</v>
      </c>
      <c r="F1190" s="1" t="s">
        <v>3065</v>
      </c>
      <c r="G1190"/>
      <c r="H1190"/>
      <c r="I1190" s="19">
        <f>-IFERROR(VLOOKUP(C1190,SIRCUPA!$A$21:$H$221,8,0),0)</f>
        <v>0</v>
      </c>
      <c r="J1190" s="86">
        <f>-IFERROR(VLOOKUP(C1190,SIRTAC!$A$16:$H$1458,8,0),0)</f>
        <v>-205</v>
      </c>
      <c r="K1190" s="86">
        <f>-IFERROR(VLOOKUP(C1190,Gastos!$A$9:$J$1451,10,0),0)</f>
        <v>-198.85</v>
      </c>
      <c r="L1190" s="86">
        <f>-IFERROR(VLOOKUP(C1190,IDC!$A$20:$H$1763,8,0),0)</f>
        <v>-123</v>
      </c>
      <c r="M1190" s="95">
        <f t="shared" si="34"/>
        <v>20500</v>
      </c>
      <c r="O1190" s="1"/>
    </row>
    <row r="1191" spans="1:15" hidden="1">
      <c r="A1191" s="1" t="s">
        <v>1286</v>
      </c>
      <c r="B1191" s="1" t="s">
        <v>1340</v>
      </c>
      <c r="C1191" s="71">
        <v>129932531979</v>
      </c>
      <c r="D1191" s="3">
        <v>1003.47</v>
      </c>
      <c r="E1191" s="3">
        <v>14635041.15</v>
      </c>
      <c r="F1191" s="1" t="s">
        <v>3065</v>
      </c>
      <c r="G1191"/>
      <c r="H1191"/>
      <c r="I1191" s="19">
        <f>-IFERROR(VLOOKUP(C1191,SIRCUPA!$A$21:$H$221,8,0),0)</f>
        <v>-15.38</v>
      </c>
      <c r="J1191" s="86">
        <f>-IFERROR(VLOOKUP(C1191,SIRTAC!$A$16:$H$1458,8,0),0)</f>
        <v>0</v>
      </c>
      <c r="K1191" s="86">
        <f>-IFERROR(VLOOKUP(C1191,Gastos!$A$9:$J$1451,10,0),0)</f>
        <v>0</v>
      </c>
      <c r="L1191" s="86">
        <f>-IFERROR(VLOOKUP(C1191,IDC!$A$20:$H$1763,8,0),0)</f>
        <v>-6.15</v>
      </c>
      <c r="M1191" s="95">
        <f t="shared" si="34"/>
        <v>1025</v>
      </c>
      <c r="O1191" s="1"/>
    </row>
    <row r="1192" spans="1:15" hidden="1">
      <c r="A1192" s="1" t="s">
        <v>1286</v>
      </c>
      <c r="B1192" s="1" t="s">
        <v>15</v>
      </c>
      <c r="C1192" s="71">
        <v>129932563723</v>
      </c>
      <c r="D1192" s="3">
        <v>25624.09</v>
      </c>
      <c r="E1192" s="3">
        <v>14660665.24</v>
      </c>
      <c r="F1192" s="1" t="s">
        <v>3065</v>
      </c>
      <c r="G1192"/>
      <c r="H1192"/>
      <c r="I1192" s="19">
        <f>-IFERROR(VLOOKUP(C1192,SIRCUPA!$A$21:$H$221,8,0),0)</f>
        <v>0</v>
      </c>
      <c r="J1192" s="86">
        <f>-IFERROR(VLOOKUP(C1192,SIRTAC!$A$16:$H$1458,8,0),0)</f>
        <v>-263</v>
      </c>
      <c r="K1192" s="86">
        <f>-IFERROR(VLOOKUP(C1192,Gastos!$A$9:$J$1451,10,0),0)</f>
        <v>-255.11</v>
      </c>
      <c r="L1192" s="86">
        <f>-IFERROR(VLOOKUP(C1192,IDC!$A$20:$H$1763,8,0),0)</f>
        <v>-157.80000000000001</v>
      </c>
      <c r="M1192" s="95">
        <f t="shared" si="34"/>
        <v>26300</v>
      </c>
      <c r="O1192" s="1"/>
    </row>
    <row r="1193" spans="1:15" hidden="1">
      <c r="A1193" s="1" t="s">
        <v>1286</v>
      </c>
      <c r="B1193" s="1" t="s">
        <v>15</v>
      </c>
      <c r="C1193" s="71">
        <v>130510890048</v>
      </c>
      <c r="D1193" s="3">
        <v>30398.16</v>
      </c>
      <c r="E1193" s="3">
        <v>14691063.4</v>
      </c>
      <c r="F1193" s="1" t="s">
        <v>3065</v>
      </c>
      <c r="G1193"/>
      <c r="H1193"/>
      <c r="I1193" s="19">
        <f>-IFERROR(VLOOKUP(C1193,SIRCUPA!$A$21:$H$221,8,0),0)</f>
        <v>0</v>
      </c>
      <c r="J1193" s="86">
        <f>-IFERROR(VLOOKUP(C1193,SIRTAC!$A$16:$H$1458,8,0),0)</f>
        <v>-312</v>
      </c>
      <c r="K1193" s="86">
        <f>-IFERROR(VLOOKUP(C1193,Gastos!$A$9:$J$1451,10,0),0)</f>
        <v>-302.64</v>
      </c>
      <c r="L1193" s="86">
        <f>-IFERROR(VLOOKUP(C1193,IDC!$A$20:$H$1763,8,0),0)</f>
        <v>-187.2</v>
      </c>
      <c r="M1193" s="95">
        <f t="shared" si="34"/>
        <v>31200</v>
      </c>
      <c r="O1193" s="1"/>
    </row>
    <row r="1194" spans="1:15" hidden="1">
      <c r="A1194" s="1" t="s">
        <v>1286</v>
      </c>
      <c r="B1194" s="1" t="s">
        <v>15</v>
      </c>
      <c r="C1194" s="71">
        <v>130511004854</v>
      </c>
      <c r="D1194" s="3">
        <v>8165.82</v>
      </c>
      <c r="E1194" s="3">
        <v>14699229.220000001</v>
      </c>
      <c r="F1194" s="1" t="s">
        <v>3065</v>
      </c>
      <c r="G1194"/>
      <c r="H1194"/>
      <c r="I1194" s="19">
        <f>-IFERROR(VLOOKUP(C1194,SIRCUPA!$A$21:$H$221,8,0),0)</f>
        <v>0</v>
      </c>
      <c r="J1194" s="86">
        <f>-IFERROR(VLOOKUP(C1194,SIRTAC!$A$16:$H$1458,8,0),0)</f>
        <v>-87</v>
      </c>
      <c r="K1194" s="86">
        <f>-IFERROR(VLOOKUP(C1194,Gastos!$A$9:$J$1451,10,0),0)</f>
        <v>-394.98</v>
      </c>
      <c r="L1194" s="86">
        <f>-IFERROR(VLOOKUP(C1194,IDC!$A$20:$H$1763,8,0),0)</f>
        <v>-52.2</v>
      </c>
      <c r="M1194" s="95">
        <f t="shared" si="34"/>
        <v>8700</v>
      </c>
      <c r="O1194" s="1"/>
    </row>
    <row r="1195" spans="1:15" hidden="1">
      <c r="A1195" s="1" t="s">
        <v>1286</v>
      </c>
      <c r="B1195" s="1" t="s">
        <v>15</v>
      </c>
      <c r="C1195" s="71">
        <v>130510983586</v>
      </c>
      <c r="D1195" s="3">
        <v>24747.22</v>
      </c>
      <c r="E1195" s="3">
        <v>14723976.439999999</v>
      </c>
      <c r="F1195" s="1" t="s">
        <v>3065</v>
      </c>
      <c r="G1195"/>
      <c r="H1195"/>
      <c r="I1195" s="19">
        <f>-IFERROR(VLOOKUP(C1195,SIRCUPA!$A$21:$H$221,8,0),0)</f>
        <v>0</v>
      </c>
      <c r="J1195" s="86">
        <f>-IFERROR(VLOOKUP(C1195,SIRTAC!$A$16:$H$1458,8,0),0)</f>
        <v>-254</v>
      </c>
      <c r="K1195" s="86">
        <f>-IFERROR(VLOOKUP(C1195,Gastos!$A$9:$J$1451,10,0),0)</f>
        <v>-246.38</v>
      </c>
      <c r="L1195" s="86">
        <f>-IFERROR(VLOOKUP(C1195,IDC!$A$20:$H$1763,8,0),0)</f>
        <v>-152.4</v>
      </c>
      <c r="M1195" s="95">
        <f t="shared" ref="M1195:M1230" si="35">+D1195-I1195-J1195-K1195-L1195</f>
        <v>25400.000000000004</v>
      </c>
      <c r="O1195" s="1"/>
    </row>
    <row r="1196" spans="1:15" hidden="1">
      <c r="A1196" s="1" t="s">
        <v>1286</v>
      </c>
      <c r="B1196" s="1" t="s">
        <v>15</v>
      </c>
      <c r="C1196" s="71">
        <v>129932719263</v>
      </c>
      <c r="D1196" s="3">
        <v>10619.87</v>
      </c>
      <c r="E1196" s="3">
        <v>14734596.310000001</v>
      </c>
      <c r="F1196" s="1" t="s">
        <v>3065</v>
      </c>
      <c r="G1196"/>
      <c r="H1196"/>
      <c r="I1196" s="19">
        <f>-IFERROR(VLOOKUP(C1196,SIRCUPA!$A$21:$H$221,8,0),0)</f>
        <v>0</v>
      </c>
      <c r="J1196" s="86">
        <f>-IFERROR(VLOOKUP(C1196,SIRTAC!$A$16:$H$1458,8,0),0)</f>
        <v>-109</v>
      </c>
      <c r="K1196" s="86">
        <f>-IFERROR(VLOOKUP(C1196,Gastos!$A$9:$J$1451,10,0),0)</f>
        <v>-105.73</v>
      </c>
      <c r="L1196" s="86">
        <f>-IFERROR(VLOOKUP(C1196,IDC!$A$20:$H$1763,8,0),0)</f>
        <v>-65.400000000000006</v>
      </c>
      <c r="M1196" s="95">
        <f t="shared" si="35"/>
        <v>10900</v>
      </c>
      <c r="O1196" s="1"/>
    </row>
    <row r="1197" spans="1:15" hidden="1">
      <c r="A1197" s="1" t="s">
        <v>1286</v>
      </c>
      <c r="B1197" s="1" t="s">
        <v>1347</v>
      </c>
      <c r="C1197" s="71">
        <v>130511170496</v>
      </c>
      <c r="D1197" s="2">
        <v>533.54999999999995</v>
      </c>
      <c r="E1197" s="3">
        <v>14735129.859999999</v>
      </c>
      <c r="F1197" s="1" t="s">
        <v>3065</v>
      </c>
      <c r="G1197"/>
      <c r="H1197"/>
      <c r="I1197" s="19">
        <f>-IFERROR(VLOOKUP(C1197,SIRCUPA!$A$21:$H$221,8,0),0)</f>
        <v>-8.18</v>
      </c>
      <c r="J1197" s="86">
        <f>-IFERROR(VLOOKUP(C1197,SIRTAC!$A$16:$H$1458,8,0),0)</f>
        <v>0</v>
      </c>
      <c r="K1197" s="86">
        <f>-IFERROR(VLOOKUP(C1197,Gastos!$A$9:$J$1451,10,0),0)</f>
        <v>0</v>
      </c>
      <c r="L1197" s="86">
        <f>-IFERROR(VLOOKUP(C1197,IDC!$A$20:$H$1763,8,0),0)</f>
        <v>-3.27</v>
      </c>
      <c r="M1197" s="95">
        <f t="shared" si="35"/>
        <v>544.99999999999989</v>
      </c>
      <c r="O1197" s="1"/>
    </row>
    <row r="1198" spans="1:15" hidden="1">
      <c r="A1198" s="1" t="s">
        <v>1286</v>
      </c>
      <c r="B1198" s="1" t="s">
        <v>15</v>
      </c>
      <c r="C1198" s="71">
        <v>129995987851</v>
      </c>
      <c r="D1198" s="3">
        <v>4448.71</v>
      </c>
      <c r="E1198" s="3">
        <v>14739578.57</v>
      </c>
      <c r="F1198" s="1" t="s">
        <v>3065</v>
      </c>
      <c r="G1198"/>
      <c r="H1198"/>
      <c r="I1198" s="19">
        <f>-IFERROR(VLOOKUP(C1198,SIRCUPA!$A$21:$H$221,8,0),0)</f>
        <v>0</v>
      </c>
      <c r="J1198" s="86">
        <f>-IFERROR(VLOOKUP(C1198,SIRTAC!$A$16:$H$1458,8,0),0)</f>
        <v>-49</v>
      </c>
      <c r="K1198" s="86">
        <f>-IFERROR(VLOOKUP(C1198,Gastos!$A$9:$J$1451,10,0),0)</f>
        <v>-372.89</v>
      </c>
      <c r="L1198" s="86">
        <f>-IFERROR(VLOOKUP(C1198,IDC!$A$20:$H$1763,8,0),0)</f>
        <v>-29.4</v>
      </c>
      <c r="M1198" s="95">
        <f t="shared" si="35"/>
        <v>4900</v>
      </c>
      <c r="O1198" s="1"/>
    </row>
    <row r="1199" spans="1:15" hidden="1">
      <c r="A1199" s="1" t="s">
        <v>1286</v>
      </c>
      <c r="B1199" s="1" t="s">
        <v>15</v>
      </c>
      <c r="C1199" s="71">
        <v>129998477397</v>
      </c>
      <c r="D1199" s="3">
        <v>2338.3200000000002</v>
      </c>
      <c r="E1199" s="3">
        <v>14741916.890000001</v>
      </c>
      <c r="F1199" s="1" t="s">
        <v>3065</v>
      </c>
      <c r="G1199"/>
      <c r="H1199"/>
      <c r="I1199" s="19">
        <f>-IFERROR(VLOOKUP(C1199,SIRCUPA!$A$21:$H$221,8,0),0)</f>
        <v>0</v>
      </c>
      <c r="J1199" s="86">
        <f>-IFERROR(VLOOKUP(C1199,SIRTAC!$A$16:$H$1458,8,0),0)</f>
        <v>-24</v>
      </c>
      <c r="K1199" s="86">
        <f>-IFERROR(VLOOKUP(C1199,Gastos!$A$9:$J$1451,10,0),0)</f>
        <v>-23.28</v>
      </c>
      <c r="L1199" s="86">
        <f>-IFERROR(VLOOKUP(C1199,IDC!$A$20:$H$1763,8,0),0)</f>
        <v>-14.4</v>
      </c>
      <c r="M1199" s="95">
        <f t="shared" si="35"/>
        <v>2400.0000000000005</v>
      </c>
      <c r="O1199" s="1"/>
    </row>
    <row r="1200" spans="1:15" hidden="1">
      <c r="A1200" s="1" t="s">
        <v>1286</v>
      </c>
      <c r="B1200" s="1" t="s">
        <v>15</v>
      </c>
      <c r="C1200" s="71">
        <v>130001228701</v>
      </c>
      <c r="D1200" s="3">
        <v>4676.6400000000003</v>
      </c>
      <c r="E1200" s="3">
        <v>14746593.529999999</v>
      </c>
      <c r="F1200" s="1" t="s">
        <v>3065</v>
      </c>
      <c r="G1200"/>
      <c r="H1200"/>
      <c r="I1200" s="19">
        <f>-IFERROR(VLOOKUP(C1200,SIRCUPA!$A$21:$H$221,8,0),0)</f>
        <v>0</v>
      </c>
      <c r="J1200" s="86">
        <f>-IFERROR(VLOOKUP(C1200,SIRTAC!$A$16:$H$1458,8,0),0)</f>
        <v>-48</v>
      </c>
      <c r="K1200" s="86">
        <f>-IFERROR(VLOOKUP(C1200,Gastos!$A$9:$J$1451,10,0),0)</f>
        <v>-46.56</v>
      </c>
      <c r="L1200" s="86">
        <f>-IFERROR(VLOOKUP(C1200,IDC!$A$20:$H$1763,8,0),0)</f>
        <v>-28.8</v>
      </c>
      <c r="M1200" s="95">
        <f t="shared" si="35"/>
        <v>4800.0000000000009</v>
      </c>
      <c r="O1200" s="1"/>
    </row>
    <row r="1201" spans="1:15" hidden="1">
      <c r="A1201" s="1" t="s">
        <v>1286</v>
      </c>
      <c r="B1201" s="1" t="s">
        <v>1352</v>
      </c>
      <c r="C1201" s="71">
        <v>130001228715</v>
      </c>
      <c r="D1201" s="2">
        <v>234.96</v>
      </c>
      <c r="E1201" s="3">
        <v>14746828.49</v>
      </c>
      <c r="F1201" s="1" t="s">
        <v>3065</v>
      </c>
      <c r="G1201"/>
      <c r="H1201"/>
      <c r="I1201" s="19">
        <f>-IFERROR(VLOOKUP(C1201,SIRCUPA!$A$21:$H$221,8,0),0)</f>
        <v>-3.6</v>
      </c>
      <c r="J1201" s="86">
        <f>-IFERROR(VLOOKUP(C1201,SIRTAC!$A$16:$H$1458,8,0),0)</f>
        <v>0</v>
      </c>
      <c r="K1201" s="86">
        <f>-IFERROR(VLOOKUP(C1201,Gastos!$A$9:$J$1451,10,0),0)</f>
        <v>0</v>
      </c>
      <c r="L1201" s="86">
        <f>-IFERROR(VLOOKUP(C1201,IDC!$A$20:$H$1763,8,0),0)</f>
        <v>-1.44</v>
      </c>
      <c r="M1201" s="95">
        <f t="shared" si="35"/>
        <v>240</v>
      </c>
      <c r="O1201" s="1"/>
    </row>
    <row r="1202" spans="1:15" hidden="1">
      <c r="A1202" s="1" t="s">
        <v>1286</v>
      </c>
      <c r="B1202" s="1" t="s">
        <v>15</v>
      </c>
      <c r="C1202" s="71">
        <v>130001899155</v>
      </c>
      <c r="D1202" s="3">
        <v>9353.2800000000007</v>
      </c>
      <c r="E1202" s="3">
        <v>14756181.77</v>
      </c>
      <c r="F1202" s="1" t="s">
        <v>3065</v>
      </c>
      <c r="G1202"/>
      <c r="H1202"/>
      <c r="I1202" s="19">
        <f>-IFERROR(VLOOKUP(C1202,SIRCUPA!$A$21:$H$221,8,0),0)</f>
        <v>0</v>
      </c>
      <c r="J1202" s="86">
        <f>-IFERROR(VLOOKUP(C1202,SIRTAC!$A$16:$H$1458,8,0),0)</f>
        <v>-96</v>
      </c>
      <c r="K1202" s="86">
        <f>-IFERROR(VLOOKUP(C1202,Gastos!$A$9:$J$1451,10,0),0)</f>
        <v>-93.12</v>
      </c>
      <c r="L1202" s="86">
        <f>-IFERROR(VLOOKUP(C1202,IDC!$A$20:$H$1763,8,0),0)</f>
        <v>-57.6</v>
      </c>
      <c r="M1202" s="95">
        <f t="shared" si="35"/>
        <v>9600.0000000000018</v>
      </c>
      <c r="O1202" s="1"/>
    </row>
    <row r="1203" spans="1:15" hidden="1">
      <c r="A1203" s="1" t="s">
        <v>1286</v>
      </c>
      <c r="B1203" s="1" t="s">
        <v>15</v>
      </c>
      <c r="C1203" s="71">
        <v>130002820299</v>
      </c>
      <c r="D1203" s="3">
        <v>2338.3200000000002</v>
      </c>
      <c r="E1203" s="3">
        <v>14758520.09</v>
      </c>
      <c r="F1203" s="1" t="s">
        <v>3065</v>
      </c>
      <c r="G1203"/>
      <c r="H1203"/>
      <c r="I1203" s="19">
        <f>-IFERROR(VLOOKUP(C1203,SIRCUPA!$A$21:$H$221,8,0),0)</f>
        <v>0</v>
      </c>
      <c r="J1203" s="86">
        <f>-IFERROR(VLOOKUP(C1203,SIRTAC!$A$16:$H$1458,8,0),0)</f>
        <v>-24</v>
      </c>
      <c r="K1203" s="86">
        <f>-IFERROR(VLOOKUP(C1203,Gastos!$A$9:$J$1451,10,0),0)</f>
        <v>-23.28</v>
      </c>
      <c r="L1203" s="86">
        <f>-IFERROR(VLOOKUP(C1203,IDC!$A$20:$H$1763,8,0),0)</f>
        <v>-14.4</v>
      </c>
      <c r="M1203" s="95">
        <f t="shared" si="35"/>
        <v>2400.0000000000005</v>
      </c>
      <c r="O1203" s="1"/>
    </row>
    <row r="1204" spans="1:15" hidden="1">
      <c r="A1204" s="1" t="s">
        <v>1286</v>
      </c>
      <c r="B1204" s="1" t="s">
        <v>15</v>
      </c>
      <c r="C1204" s="71">
        <v>130582654102</v>
      </c>
      <c r="D1204" s="3">
        <v>4676.6400000000003</v>
      </c>
      <c r="E1204" s="3">
        <v>14763196.73</v>
      </c>
      <c r="F1204" s="1" t="s">
        <v>3065</v>
      </c>
      <c r="G1204"/>
      <c r="H1204"/>
      <c r="I1204" s="19">
        <f>-IFERROR(VLOOKUP(C1204,SIRCUPA!$A$21:$H$221,8,0),0)</f>
        <v>0</v>
      </c>
      <c r="J1204" s="86">
        <f>-IFERROR(VLOOKUP(C1204,SIRTAC!$A$16:$H$1458,8,0),0)</f>
        <v>-48</v>
      </c>
      <c r="K1204" s="86">
        <f>-IFERROR(VLOOKUP(C1204,Gastos!$A$9:$J$1451,10,0),0)</f>
        <v>-46.56</v>
      </c>
      <c r="L1204" s="86">
        <f>-IFERROR(VLOOKUP(C1204,IDC!$A$20:$H$1763,8,0),0)</f>
        <v>-28.8</v>
      </c>
      <c r="M1204" s="95">
        <f t="shared" si="35"/>
        <v>4800.0000000000009</v>
      </c>
      <c r="O1204" s="1"/>
    </row>
    <row r="1205" spans="1:15" hidden="1">
      <c r="A1205" s="1" t="s">
        <v>1286</v>
      </c>
      <c r="B1205" s="1" t="s">
        <v>15</v>
      </c>
      <c r="C1205" s="71">
        <v>130583209284</v>
      </c>
      <c r="D1205" s="3">
        <v>8715.84</v>
      </c>
      <c r="E1205" s="3">
        <v>14771912.57</v>
      </c>
      <c r="F1205" s="1" t="s">
        <v>3065</v>
      </c>
      <c r="G1205"/>
      <c r="H1205"/>
      <c r="I1205" s="19">
        <f>-IFERROR(VLOOKUP(C1205,SIRCUPA!$A$21:$H$221,8,0),0)</f>
        <v>0</v>
      </c>
      <c r="J1205" s="86">
        <f>-IFERROR(VLOOKUP(C1205,SIRTAC!$A$16:$H$1458,8,0),0)</f>
        <v>-96</v>
      </c>
      <c r="K1205" s="86">
        <f>-IFERROR(VLOOKUP(C1205,Gastos!$A$9:$J$1451,10,0),0)</f>
        <v>-730.56</v>
      </c>
      <c r="L1205" s="86">
        <f>-IFERROR(VLOOKUP(C1205,IDC!$A$20:$H$1763,8,0),0)</f>
        <v>-57.6</v>
      </c>
      <c r="M1205" s="95">
        <f t="shared" si="35"/>
        <v>9600</v>
      </c>
      <c r="O1205" s="1"/>
    </row>
    <row r="1206" spans="1:15" hidden="1">
      <c r="A1206" s="1" t="s">
        <v>1286</v>
      </c>
      <c r="B1206" s="1" t="s">
        <v>15</v>
      </c>
      <c r="C1206" s="71">
        <v>130004895803</v>
      </c>
      <c r="D1206" s="3">
        <v>18138.240000000002</v>
      </c>
      <c r="E1206" s="3">
        <v>14790050.810000001</v>
      </c>
      <c r="F1206" s="1" t="s">
        <v>3065</v>
      </c>
      <c r="G1206"/>
      <c r="H1206"/>
      <c r="I1206" s="19">
        <f>-IFERROR(VLOOKUP(C1206,SIRCUPA!$A$21:$H$221,8,0),0)</f>
        <v>0</v>
      </c>
      <c r="J1206" s="86">
        <f>-IFERROR(VLOOKUP(C1206,SIRTAC!$A$16:$H$1458,8,0),0)</f>
        <v>-192</v>
      </c>
      <c r="K1206" s="86">
        <f>-IFERROR(VLOOKUP(C1206,Gastos!$A$9:$J$1451,10,0),0)</f>
        <v>-754.56</v>
      </c>
      <c r="L1206" s="86">
        <f>-IFERROR(VLOOKUP(C1206,IDC!$A$20:$H$1763,8,0),0)</f>
        <v>-115.2</v>
      </c>
      <c r="M1206" s="95">
        <f t="shared" si="35"/>
        <v>19200.000000000004</v>
      </c>
      <c r="O1206" s="1"/>
    </row>
    <row r="1207" spans="1:15" hidden="1">
      <c r="A1207" s="1" t="s">
        <v>1286</v>
      </c>
      <c r="B1207" s="1" t="s">
        <v>15</v>
      </c>
      <c r="C1207" s="71">
        <v>130583515842</v>
      </c>
      <c r="D1207" s="3">
        <v>55926.239999999998</v>
      </c>
      <c r="E1207" s="3">
        <v>14845977.050000001</v>
      </c>
      <c r="F1207" s="1" t="s">
        <v>3065</v>
      </c>
      <c r="G1207"/>
      <c r="H1207"/>
      <c r="I1207" s="19">
        <f>-IFERROR(VLOOKUP(C1207,SIRCUPA!$A$21:$H$221,8,0),0)</f>
        <v>0</v>
      </c>
      <c r="J1207" s="86">
        <f>-IFERROR(VLOOKUP(C1207,SIRTAC!$A$16:$H$1458,8,0),0)</f>
        <v>-592</v>
      </c>
      <c r="K1207" s="86">
        <f>-IFERROR(VLOOKUP(C1207,Gastos!$A$9:$J$1451,10,0),0)</f>
        <v>-2326.56</v>
      </c>
      <c r="L1207" s="86">
        <f>-IFERROR(VLOOKUP(C1207,IDC!$A$20:$H$1763,8,0),0)</f>
        <v>-355.2</v>
      </c>
      <c r="M1207" s="95">
        <f t="shared" si="35"/>
        <v>59199.999999999993</v>
      </c>
      <c r="O1207" s="1"/>
    </row>
    <row r="1208" spans="1:15" hidden="1">
      <c r="A1208" s="1" t="s">
        <v>1286</v>
      </c>
      <c r="B1208" s="1" t="s">
        <v>15</v>
      </c>
      <c r="C1208" s="71">
        <v>130005830393</v>
      </c>
      <c r="D1208" s="3">
        <v>4286.92</v>
      </c>
      <c r="E1208" s="3">
        <v>14850263.970000001</v>
      </c>
      <c r="F1208" s="1" t="s">
        <v>3065</v>
      </c>
      <c r="G1208"/>
      <c r="H1208"/>
      <c r="I1208" s="19">
        <f>-IFERROR(VLOOKUP(C1208,SIRCUPA!$A$21:$H$221,8,0),0)</f>
        <v>0</v>
      </c>
      <c r="J1208" s="86">
        <f>-IFERROR(VLOOKUP(C1208,SIRTAC!$A$16:$H$1458,8,0),0)</f>
        <v>-44</v>
      </c>
      <c r="K1208" s="86">
        <f>-IFERROR(VLOOKUP(C1208,Gastos!$A$9:$J$1451,10,0),0)</f>
        <v>-42.68</v>
      </c>
      <c r="L1208" s="86">
        <f>-IFERROR(VLOOKUP(C1208,IDC!$A$20:$H$1763,8,0),0)</f>
        <v>-26.4</v>
      </c>
      <c r="M1208" s="95">
        <f t="shared" si="35"/>
        <v>4400</v>
      </c>
      <c r="O1208" s="1"/>
    </row>
    <row r="1209" spans="1:15" hidden="1">
      <c r="A1209" s="1" t="s">
        <v>1286</v>
      </c>
      <c r="B1209" s="1" t="s">
        <v>15</v>
      </c>
      <c r="C1209" s="71">
        <v>130584728334</v>
      </c>
      <c r="D1209" s="3">
        <v>39556.58</v>
      </c>
      <c r="E1209" s="3">
        <v>14889820.550000001</v>
      </c>
      <c r="F1209" s="1" t="s">
        <v>3065</v>
      </c>
      <c r="G1209"/>
      <c r="H1209"/>
      <c r="I1209" s="19">
        <f>-IFERROR(VLOOKUP(C1209,SIRCUPA!$A$21:$H$221,8,0),0)</f>
        <v>0</v>
      </c>
      <c r="J1209" s="86">
        <f>-IFERROR(VLOOKUP(C1209,SIRTAC!$A$16:$H$1458,8,0),0)</f>
        <v>-406</v>
      </c>
      <c r="K1209" s="86">
        <f>-IFERROR(VLOOKUP(C1209,Gastos!$A$9:$J$1451,10,0),0)</f>
        <v>-393.82</v>
      </c>
      <c r="L1209" s="86">
        <f>-IFERROR(VLOOKUP(C1209,IDC!$A$20:$H$1763,8,0),0)</f>
        <v>-243.6</v>
      </c>
      <c r="M1209" s="95">
        <f t="shared" si="35"/>
        <v>40600</v>
      </c>
      <c r="O1209" s="1"/>
    </row>
    <row r="1210" spans="1:15" hidden="1">
      <c r="A1210" s="1" t="s">
        <v>1286</v>
      </c>
      <c r="B1210" s="1" t="s">
        <v>1362</v>
      </c>
      <c r="C1210" s="71">
        <v>130006028927</v>
      </c>
      <c r="D1210" s="3">
        <v>3974.74</v>
      </c>
      <c r="E1210" s="3">
        <v>14893795.289999999</v>
      </c>
      <c r="F1210" s="1" t="s">
        <v>3065</v>
      </c>
      <c r="G1210"/>
      <c r="H1210"/>
      <c r="I1210" s="19">
        <f>-IFERROR(VLOOKUP(C1210,SIRCUPA!$A$21:$H$221,8,0),0)</f>
        <v>-60.9</v>
      </c>
      <c r="J1210" s="86">
        <f>-IFERROR(VLOOKUP(C1210,SIRTAC!$A$16:$H$1458,8,0),0)</f>
        <v>0</v>
      </c>
      <c r="K1210" s="86">
        <f>-IFERROR(VLOOKUP(C1210,Gastos!$A$9:$J$1451,10,0),0)</f>
        <v>0</v>
      </c>
      <c r="L1210" s="86">
        <f>-IFERROR(VLOOKUP(C1210,IDC!$A$20:$H$1763,8,0),0)</f>
        <v>-24.36</v>
      </c>
      <c r="M1210" s="95">
        <f t="shared" si="35"/>
        <v>4060</v>
      </c>
      <c r="O1210" s="1"/>
    </row>
    <row r="1211" spans="1:15" hidden="1">
      <c r="A1211" s="1" t="s">
        <v>1286</v>
      </c>
      <c r="B1211" s="1" t="s">
        <v>15</v>
      </c>
      <c r="C1211" s="71">
        <v>130585080512</v>
      </c>
      <c r="D1211" s="3">
        <v>9352.5300000000007</v>
      </c>
      <c r="E1211" s="3">
        <v>14903147.82</v>
      </c>
      <c r="F1211" s="1" t="s">
        <v>3065</v>
      </c>
      <c r="G1211"/>
      <c r="H1211"/>
      <c r="I1211" s="19">
        <f>-IFERROR(VLOOKUP(C1211,SIRCUPA!$A$21:$H$221,8,0),0)</f>
        <v>0</v>
      </c>
      <c r="J1211" s="86">
        <f>-IFERROR(VLOOKUP(C1211,SIRTAC!$A$16:$H$1458,8,0),0)</f>
        <v>-99</v>
      </c>
      <c r="K1211" s="86">
        <f>-IFERROR(VLOOKUP(C1211,Gastos!$A$9:$J$1451,10,0),0)</f>
        <v>-389.07</v>
      </c>
      <c r="L1211" s="86">
        <f>-IFERROR(VLOOKUP(C1211,IDC!$A$20:$H$1763,8,0),0)</f>
        <v>-59.4</v>
      </c>
      <c r="M1211" s="95">
        <f t="shared" si="35"/>
        <v>9900</v>
      </c>
      <c r="O1211" s="1"/>
    </row>
    <row r="1212" spans="1:15" hidden="1">
      <c r="A1212" s="1" t="s">
        <v>1286</v>
      </c>
      <c r="B1212" s="1" t="s">
        <v>15</v>
      </c>
      <c r="C1212" s="71">
        <v>130586021122</v>
      </c>
      <c r="D1212" s="3">
        <v>13421.98</v>
      </c>
      <c r="E1212" s="3">
        <v>14916569.800000001</v>
      </c>
      <c r="F1212" s="1" t="s">
        <v>3065</v>
      </c>
      <c r="G1212"/>
      <c r="H1212"/>
      <c r="I1212" s="19">
        <f>-IFERROR(VLOOKUP(C1212,SIRCUPA!$A$21:$H$221,8,0),0)</f>
        <v>0</v>
      </c>
      <c r="J1212" s="86">
        <f>-IFERROR(VLOOKUP(C1212,SIRTAC!$A$16:$H$1458,8,0),0)</f>
        <v>-143</v>
      </c>
      <c r="K1212" s="86">
        <f>-IFERROR(VLOOKUP(C1212,Gastos!$A$9:$J$1451,10,0),0)</f>
        <v>-649.22</v>
      </c>
      <c r="L1212" s="86">
        <f>-IFERROR(VLOOKUP(C1212,IDC!$A$20:$H$1763,8,0),0)</f>
        <v>-85.8</v>
      </c>
      <c r="M1212" s="95">
        <f t="shared" si="35"/>
        <v>14299.999999999998</v>
      </c>
      <c r="O1212" s="1"/>
    </row>
    <row r="1213" spans="1:15" hidden="1">
      <c r="A1213" s="1" t="s">
        <v>1286</v>
      </c>
      <c r="B1213" s="1" t="s">
        <v>15</v>
      </c>
      <c r="C1213" s="71">
        <v>130007731191</v>
      </c>
      <c r="D1213" s="3">
        <v>14798.77</v>
      </c>
      <c r="E1213" s="3">
        <v>14931368.57</v>
      </c>
      <c r="F1213" s="1" t="s">
        <v>3065</v>
      </c>
      <c r="G1213"/>
      <c r="H1213"/>
      <c r="I1213" s="19">
        <f>-IFERROR(VLOOKUP(C1213,SIRCUPA!$A$21:$H$221,8,0),0)</f>
        <v>0</v>
      </c>
      <c r="J1213" s="86">
        <f>-IFERROR(VLOOKUP(C1213,SIRTAC!$A$16:$H$1458,8,0),0)</f>
        <v>-163</v>
      </c>
      <c r="K1213" s="86">
        <f>-IFERROR(VLOOKUP(C1213,Gastos!$A$9:$J$1451,10,0),0)</f>
        <v>-1240.43</v>
      </c>
      <c r="L1213" s="86">
        <f>-IFERROR(VLOOKUP(C1213,IDC!$A$20:$H$1763,8,0),0)</f>
        <v>-97.8</v>
      </c>
      <c r="M1213" s="95">
        <f t="shared" si="35"/>
        <v>16300</v>
      </c>
      <c r="O1213" s="1"/>
    </row>
    <row r="1214" spans="1:15" hidden="1">
      <c r="A1214" s="1" t="s">
        <v>1286</v>
      </c>
      <c r="B1214" s="1" t="s">
        <v>15</v>
      </c>
      <c r="C1214" s="71">
        <v>130586314610</v>
      </c>
      <c r="D1214" s="3">
        <v>9069.1200000000008</v>
      </c>
      <c r="E1214" s="3">
        <v>14940437.689999999</v>
      </c>
      <c r="F1214" s="1" t="s">
        <v>3065</v>
      </c>
      <c r="G1214"/>
      <c r="H1214"/>
      <c r="I1214" s="19">
        <f>-IFERROR(VLOOKUP(C1214,SIRCUPA!$A$21:$H$221,8,0),0)</f>
        <v>0</v>
      </c>
      <c r="J1214" s="86">
        <f>-IFERROR(VLOOKUP(C1214,SIRTAC!$A$16:$H$1458,8,0),0)</f>
        <v>-96</v>
      </c>
      <c r="K1214" s="86">
        <f>-IFERROR(VLOOKUP(C1214,Gastos!$A$9:$J$1451,10,0),0)</f>
        <v>-377.28</v>
      </c>
      <c r="L1214" s="86">
        <f>-IFERROR(VLOOKUP(C1214,IDC!$A$20:$H$1763,8,0),0)</f>
        <v>-57.6</v>
      </c>
      <c r="M1214" s="95">
        <f t="shared" si="35"/>
        <v>9600.0000000000018</v>
      </c>
      <c r="O1214" s="1"/>
    </row>
    <row r="1215" spans="1:15" hidden="1">
      <c r="A1215" s="1" t="s">
        <v>1286</v>
      </c>
      <c r="B1215" s="1" t="s">
        <v>15</v>
      </c>
      <c r="C1215" s="71">
        <v>130009827557</v>
      </c>
      <c r="D1215" s="3">
        <v>17431.68</v>
      </c>
      <c r="E1215" s="3">
        <v>14957869.369999999</v>
      </c>
      <c r="F1215" s="1" t="s">
        <v>3065</v>
      </c>
      <c r="G1215"/>
      <c r="H1215"/>
      <c r="I1215" s="19">
        <f>-IFERROR(VLOOKUP(C1215,SIRCUPA!$A$21:$H$221,8,0),0)</f>
        <v>0</v>
      </c>
      <c r="J1215" s="86">
        <f>-IFERROR(VLOOKUP(C1215,SIRTAC!$A$16:$H$1458,8,0),0)</f>
        <v>-192</v>
      </c>
      <c r="K1215" s="86">
        <f>-IFERROR(VLOOKUP(C1215,Gastos!$A$9:$J$1451,10,0),0)</f>
        <v>-1461.12</v>
      </c>
      <c r="L1215" s="86">
        <f>-IFERROR(VLOOKUP(C1215,IDC!$A$20:$H$1763,8,0),0)</f>
        <v>-115.2</v>
      </c>
      <c r="M1215" s="95">
        <f t="shared" si="35"/>
        <v>19200</v>
      </c>
      <c r="O1215" s="1"/>
    </row>
    <row r="1216" spans="1:15" hidden="1">
      <c r="A1216" s="1" t="s">
        <v>1286</v>
      </c>
      <c r="B1216" s="1" t="s">
        <v>15</v>
      </c>
      <c r="C1216" s="71">
        <v>130589344658</v>
      </c>
      <c r="D1216" s="3">
        <v>28059.84</v>
      </c>
      <c r="E1216" s="3">
        <v>14985929.210000001</v>
      </c>
      <c r="F1216" s="1" t="s">
        <v>3065</v>
      </c>
      <c r="G1216"/>
      <c r="H1216"/>
      <c r="I1216" s="19">
        <f>-IFERROR(VLOOKUP(C1216,SIRCUPA!$A$21:$H$221,8,0),0)</f>
        <v>0</v>
      </c>
      <c r="J1216" s="86">
        <f>-IFERROR(VLOOKUP(C1216,SIRTAC!$A$16:$H$1458,8,0),0)</f>
        <v>-288</v>
      </c>
      <c r="K1216" s="86">
        <f>-IFERROR(VLOOKUP(C1216,Gastos!$A$9:$J$1451,10,0),0)</f>
        <v>-279.36</v>
      </c>
      <c r="L1216" s="86">
        <f>-IFERROR(VLOOKUP(C1216,IDC!$A$20:$H$1763,8,0),0)</f>
        <v>-172.8</v>
      </c>
      <c r="M1216" s="95">
        <f t="shared" si="35"/>
        <v>28800</v>
      </c>
      <c r="O1216" s="1"/>
    </row>
    <row r="1217" spans="1:17" hidden="1">
      <c r="A1217" s="1" t="s">
        <v>1286</v>
      </c>
      <c r="B1217" s="1" t="s">
        <v>15</v>
      </c>
      <c r="C1217" s="71">
        <v>130589453826</v>
      </c>
      <c r="D1217" s="3">
        <v>11691.6</v>
      </c>
      <c r="E1217" s="3">
        <v>14997620.810000001</v>
      </c>
      <c r="F1217" s="1" t="s">
        <v>3065</v>
      </c>
      <c r="G1217"/>
      <c r="H1217"/>
      <c r="I1217" s="19">
        <f>-IFERROR(VLOOKUP(C1217,SIRCUPA!$A$21:$H$221,8,0),0)</f>
        <v>0</v>
      </c>
      <c r="J1217" s="86">
        <f>-IFERROR(VLOOKUP(C1217,SIRTAC!$A$16:$H$1458,8,0),0)</f>
        <v>-120</v>
      </c>
      <c r="K1217" s="86">
        <f>-IFERROR(VLOOKUP(C1217,Gastos!$A$9:$J$1451,10,0),0)</f>
        <v>-116.4</v>
      </c>
      <c r="L1217" s="86">
        <f>-IFERROR(VLOOKUP(C1217,IDC!$A$20:$H$1763,8,0),0)</f>
        <v>-72</v>
      </c>
      <c r="M1217" s="95">
        <f t="shared" si="35"/>
        <v>12000</v>
      </c>
      <c r="O1217" s="1"/>
    </row>
    <row r="1218" spans="1:17" hidden="1">
      <c r="A1218" s="1" t="s">
        <v>1286</v>
      </c>
      <c r="B1218" s="1" t="s">
        <v>15</v>
      </c>
      <c r="C1218" s="71">
        <v>130589989308</v>
      </c>
      <c r="D1218" s="3">
        <v>32321.24</v>
      </c>
      <c r="E1218" s="3">
        <v>15029942.050000001</v>
      </c>
      <c r="F1218" s="1" t="s">
        <v>3065</v>
      </c>
      <c r="G1218"/>
      <c r="H1218"/>
      <c r="I1218" s="19">
        <f>-IFERROR(VLOOKUP(C1218,SIRCUPA!$A$21:$H$221,8,0),0)</f>
        <v>0</v>
      </c>
      <c r="J1218" s="86">
        <f>-IFERROR(VLOOKUP(C1218,SIRTAC!$A$16:$H$1458,8,0),0)</f>
        <v>-356</v>
      </c>
      <c r="K1218" s="86">
        <f>-IFERROR(VLOOKUP(C1218,Gastos!$A$9:$J$1451,10,0),0)</f>
        <v>-2709.16</v>
      </c>
      <c r="L1218" s="86">
        <f>-IFERROR(VLOOKUP(C1218,IDC!$A$20:$H$1763,8,0),0)</f>
        <v>-213.6</v>
      </c>
      <c r="M1218" s="95">
        <f t="shared" si="35"/>
        <v>35600</v>
      </c>
      <c r="O1218" s="1"/>
    </row>
    <row r="1219" spans="1:17" hidden="1">
      <c r="A1219" s="1" t="s">
        <v>1286</v>
      </c>
      <c r="B1219" s="1" t="s">
        <v>15</v>
      </c>
      <c r="C1219" s="71">
        <v>130013338171</v>
      </c>
      <c r="D1219" s="3">
        <v>11515.63</v>
      </c>
      <c r="E1219" s="3">
        <v>15041457.68</v>
      </c>
      <c r="F1219" s="1" t="s">
        <v>3065</v>
      </c>
      <c r="G1219"/>
      <c r="H1219"/>
      <c r="I1219" s="19">
        <f>-IFERROR(VLOOKUP(C1219,SIRCUPA!$A$21:$H$221,8,0),0)</f>
        <v>0</v>
      </c>
      <c r="J1219" s="86">
        <f>-IFERROR(VLOOKUP(C1219,SIRTAC!$A$16:$H$1458,8,0),0)</f>
        <v>-119</v>
      </c>
      <c r="K1219" s="86">
        <f>-IFERROR(VLOOKUP(C1219,Gastos!$A$9:$J$1451,10,0),0)</f>
        <v>-193.97</v>
      </c>
      <c r="L1219" s="86">
        <f>-IFERROR(VLOOKUP(C1219,IDC!$A$20:$H$1763,8,0),0)</f>
        <v>-71.400000000000006</v>
      </c>
      <c r="M1219" s="95">
        <f t="shared" si="35"/>
        <v>11899.999999999998</v>
      </c>
      <c r="O1219" s="1"/>
    </row>
    <row r="1220" spans="1:17" hidden="1">
      <c r="A1220" s="1" t="s">
        <v>1286</v>
      </c>
      <c r="B1220" s="1" t="s">
        <v>15</v>
      </c>
      <c r="C1220" s="71">
        <v>130592036332</v>
      </c>
      <c r="D1220" s="3">
        <v>29569.11</v>
      </c>
      <c r="E1220" s="3">
        <v>15071026.789999999</v>
      </c>
      <c r="F1220" s="1" t="s">
        <v>3065</v>
      </c>
      <c r="G1220"/>
      <c r="H1220"/>
      <c r="I1220" s="19">
        <f>-IFERROR(VLOOKUP(C1220,SIRCUPA!$A$21:$H$221,8,0),0)</f>
        <v>0</v>
      </c>
      <c r="J1220" s="86">
        <f>-IFERROR(VLOOKUP(C1220,SIRTAC!$A$16:$H$1458,8,0),0)</f>
        <v>-313</v>
      </c>
      <c r="K1220" s="86">
        <f>-IFERROR(VLOOKUP(C1220,Gastos!$A$9:$J$1451,10,0),0)</f>
        <v>-1230.0899999999999</v>
      </c>
      <c r="L1220" s="86">
        <f>-IFERROR(VLOOKUP(C1220,IDC!$A$20:$H$1763,8,0),0)</f>
        <v>-187.8</v>
      </c>
      <c r="M1220" s="95">
        <f t="shared" si="35"/>
        <v>31300</v>
      </c>
      <c r="O1220" s="1"/>
    </row>
    <row r="1221" spans="1:17" hidden="1">
      <c r="A1221" s="1" t="s">
        <v>1286</v>
      </c>
      <c r="B1221" s="1" t="s">
        <v>15</v>
      </c>
      <c r="C1221" s="71">
        <v>130013489481</v>
      </c>
      <c r="D1221" s="3">
        <v>18490.419999999998</v>
      </c>
      <c r="E1221" s="3">
        <v>15089517.210000001</v>
      </c>
      <c r="F1221" s="1" t="s">
        <v>3065</v>
      </c>
      <c r="G1221"/>
      <c r="H1221"/>
      <c r="I1221" s="19">
        <f>-IFERROR(VLOOKUP(C1221,SIRCUPA!$A$21:$H$221,8,0),0)</f>
        <v>0</v>
      </c>
      <c r="J1221" s="86">
        <f>-IFERROR(VLOOKUP(C1221,SIRTAC!$A$16:$H$1458,8,0),0)</f>
        <v>-197</v>
      </c>
      <c r="K1221" s="86">
        <f>-IFERROR(VLOOKUP(C1221,Gastos!$A$9:$J$1451,10,0),0)</f>
        <v>-894.38</v>
      </c>
      <c r="L1221" s="86">
        <f>-IFERROR(VLOOKUP(C1221,IDC!$A$20:$H$1763,8,0),0)</f>
        <v>-118.2</v>
      </c>
      <c r="M1221" s="95">
        <f t="shared" si="35"/>
        <v>19700</v>
      </c>
      <c r="O1221" s="1"/>
    </row>
    <row r="1222" spans="1:17" hidden="1">
      <c r="A1222" s="1" t="s">
        <v>1286</v>
      </c>
      <c r="B1222" s="1" t="s">
        <v>15</v>
      </c>
      <c r="C1222" s="71">
        <v>130592091772</v>
      </c>
      <c r="D1222" s="3">
        <v>17794.84</v>
      </c>
      <c r="E1222" s="3">
        <v>15107312.050000001</v>
      </c>
      <c r="F1222" s="1" t="s">
        <v>3065</v>
      </c>
      <c r="G1222"/>
      <c r="H1222"/>
      <c r="I1222" s="19">
        <f>-IFERROR(VLOOKUP(C1222,SIRCUPA!$A$21:$H$221,8,0),0)</f>
        <v>0</v>
      </c>
      <c r="J1222" s="86">
        <f>-IFERROR(VLOOKUP(C1222,SIRTAC!$A$16:$H$1458,8,0),0)</f>
        <v>-196</v>
      </c>
      <c r="K1222" s="86">
        <f>-IFERROR(VLOOKUP(C1222,Gastos!$A$9:$J$1451,10,0),0)</f>
        <v>-1491.56</v>
      </c>
      <c r="L1222" s="86">
        <f>-IFERROR(VLOOKUP(C1222,IDC!$A$20:$H$1763,8,0),0)</f>
        <v>-117.6</v>
      </c>
      <c r="M1222" s="95">
        <f t="shared" si="35"/>
        <v>19600</v>
      </c>
      <c r="O1222" s="1"/>
    </row>
    <row r="1223" spans="1:17" hidden="1">
      <c r="A1223" s="1" t="s">
        <v>1286</v>
      </c>
      <c r="B1223" s="1" t="s">
        <v>15</v>
      </c>
      <c r="C1223" s="71">
        <v>130592612508</v>
      </c>
      <c r="D1223" s="3">
        <v>114772.54</v>
      </c>
      <c r="E1223" s="3">
        <v>15222084.59</v>
      </c>
      <c r="F1223" s="1" t="s">
        <v>3065</v>
      </c>
      <c r="G1223"/>
      <c r="H1223"/>
      <c r="I1223" s="19">
        <f>-IFERROR(VLOOKUP(C1223,SIRCUPA!$A$21:$H$221,8,0),0)</f>
        <v>0</v>
      </c>
      <c r="J1223" s="86">
        <f>-IFERROR(VLOOKUP(C1223,SIRTAC!$A$16:$H$1458,8,0),0)</f>
        <v>-1178</v>
      </c>
      <c r="K1223" s="86">
        <f>-IFERROR(VLOOKUP(C1223,Gastos!$A$9:$J$1451,10,0),0)</f>
        <v>-1142.6600000000001</v>
      </c>
      <c r="L1223" s="86">
        <f>-IFERROR(VLOOKUP(C1223,IDC!$A$20:$H$1763,8,0),0)</f>
        <v>-706.8</v>
      </c>
      <c r="M1223" s="95">
        <f t="shared" si="35"/>
        <v>117800</v>
      </c>
      <c r="O1223" s="1"/>
    </row>
    <row r="1224" spans="1:17" hidden="1">
      <c r="A1224" s="1" t="s">
        <v>1377</v>
      </c>
      <c r="B1224" s="1" t="s">
        <v>15</v>
      </c>
      <c r="C1224" s="71">
        <v>130594025244</v>
      </c>
      <c r="D1224" s="3">
        <v>57191.41</v>
      </c>
      <c r="E1224" s="3">
        <v>15279276</v>
      </c>
      <c r="F1224" s="1" t="s">
        <v>3065</v>
      </c>
      <c r="G1224"/>
      <c r="H1224"/>
      <c r="I1224" s="19">
        <f>-IFERROR(VLOOKUP(C1224,SIRCUPA!$A$21:$H$221,8,0),0)</f>
        <v>0</v>
      </c>
      <c r="J1224" s="86">
        <f>-IFERROR(VLOOKUP(C1224,SIRTAC!$A$16:$H$1458,8,0),0)</f>
        <v>-587</v>
      </c>
      <c r="K1224" s="86">
        <f>-IFERROR(VLOOKUP(C1224,Gastos!$A$9:$J$1451,10,0),0)</f>
        <v>-569.39</v>
      </c>
      <c r="L1224" s="86">
        <f>-IFERROR(VLOOKUP(C1224,IDC!$A$20:$H$1763,8,0),0)</f>
        <v>-352.2</v>
      </c>
      <c r="M1224" s="95">
        <f t="shared" si="35"/>
        <v>58700</v>
      </c>
      <c r="O1224" s="1"/>
    </row>
    <row r="1225" spans="1:17" hidden="1">
      <c r="A1225" s="1" t="s">
        <v>1377</v>
      </c>
      <c r="B1225" s="1" t="s">
        <v>15</v>
      </c>
      <c r="C1225" s="71">
        <v>130594391886</v>
      </c>
      <c r="D1225" s="3">
        <v>86225.55</v>
      </c>
      <c r="E1225" s="3">
        <v>15365501.550000001</v>
      </c>
      <c r="F1225" s="1" t="s">
        <v>3065</v>
      </c>
      <c r="G1225"/>
      <c r="H1225"/>
      <c r="I1225" s="19">
        <f>-IFERROR(VLOOKUP(C1225,SIRCUPA!$A$21:$H$221,8,0),0)</f>
        <v>0</v>
      </c>
      <c r="J1225" s="86">
        <f>-IFERROR(VLOOKUP(C1225,SIRTAC!$A$16:$H$1458,8,0),0)</f>
        <v>-885</v>
      </c>
      <c r="K1225" s="86">
        <f>-IFERROR(VLOOKUP(C1225,Gastos!$A$9:$J$1451,10,0),0)</f>
        <v>-858.45</v>
      </c>
      <c r="L1225" s="86">
        <f>-IFERROR(VLOOKUP(C1225,IDC!$A$20:$H$1763,8,0),0)</f>
        <v>-531</v>
      </c>
      <c r="M1225" s="95">
        <f t="shared" si="35"/>
        <v>88500</v>
      </c>
      <c r="O1225" s="1"/>
    </row>
    <row r="1226" spans="1:17" hidden="1">
      <c r="A1226" s="1" t="s">
        <v>1377</v>
      </c>
      <c r="B1226" s="1" t="s">
        <v>15</v>
      </c>
      <c r="C1226" s="71">
        <v>130595730634</v>
      </c>
      <c r="D1226" s="3">
        <v>9450.7099999999991</v>
      </c>
      <c r="E1226" s="3">
        <v>15374952.26</v>
      </c>
      <c r="F1226" s="1" t="s">
        <v>3065</v>
      </c>
      <c r="G1226"/>
      <c r="H1226"/>
      <c r="I1226" s="19">
        <f>-IFERROR(VLOOKUP(C1226,SIRCUPA!$A$21:$H$221,8,0),0)</f>
        <v>0</v>
      </c>
      <c r="J1226" s="86">
        <f>-IFERROR(VLOOKUP(C1226,SIRTAC!$A$16:$H$1458,8,0),0)</f>
        <v>-97</v>
      </c>
      <c r="K1226" s="86">
        <f>-IFERROR(VLOOKUP(C1226,Gastos!$A$9:$J$1451,10,0),0)</f>
        <v>-94.09</v>
      </c>
      <c r="L1226" s="86">
        <f>-IFERROR(VLOOKUP(C1226,IDC!$A$20:$H$1763,8,0),0)</f>
        <v>-58.2</v>
      </c>
      <c r="M1226" s="95">
        <f t="shared" si="35"/>
        <v>9700</v>
      </c>
      <c r="O1226" s="1"/>
    </row>
    <row r="1227" spans="1:17" hidden="1">
      <c r="A1227" s="1" t="s">
        <v>1377</v>
      </c>
      <c r="B1227" s="1" t="s">
        <v>15</v>
      </c>
      <c r="C1227" s="71">
        <v>130596512394</v>
      </c>
      <c r="D1227" s="3">
        <v>17927.12</v>
      </c>
      <c r="E1227" s="3">
        <v>15392879.380000001</v>
      </c>
      <c r="F1227" s="1" t="s">
        <v>3065</v>
      </c>
      <c r="G1227"/>
      <c r="H1227"/>
      <c r="I1227" s="19">
        <f>-IFERROR(VLOOKUP(C1227,SIRCUPA!$A$21:$H$221,8,0),0)</f>
        <v>0</v>
      </c>
      <c r="J1227" s="86">
        <f>-IFERROR(VLOOKUP(C1227,SIRTAC!$A$16:$H$1458,8,0),0)</f>
        <v>-184</v>
      </c>
      <c r="K1227" s="86">
        <f>-IFERROR(VLOOKUP(C1227,Gastos!$A$9:$J$1451,10,0),0)</f>
        <v>-178.48</v>
      </c>
      <c r="L1227" s="86">
        <f>-IFERROR(VLOOKUP(C1227,IDC!$A$20:$H$1763,8,0),0)</f>
        <v>-110.4</v>
      </c>
      <c r="M1227" s="95">
        <f t="shared" si="35"/>
        <v>18400</v>
      </c>
      <c r="O1227" s="1"/>
    </row>
    <row r="1228" spans="1:17" hidden="1">
      <c r="A1228" s="1" t="s">
        <v>1377</v>
      </c>
      <c r="B1228" s="1" t="s">
        <v>1382</v>
      </c>
      <c r="C1228" s="71">
        <v>130017719079</v>
      </c>
      <c r="D1228" s="3">
        <v>1801.36</v>
      </c>
      <c r="E1228" s="3">
        <v>15394680.74</v>
      </c>
      <c r="F1228" s="1" t="s">
        <v>3065</v>
      </c>
      <c r="G1228"/>
      <c r="H1228"/>
      <c r="I1228" s="19">
        <f>-IFERROR(VLOOKUP(C1228,SIRCUPA!$A$21:$H$221,8,0),0)</f>
        <v>-27.6</v>
      </c>
      <c r="J1228" s="86">
        <f>-IFERROR(VLOOKUP(C1228,SIRTAC!$A$16:$H$1458,8,0),0)</f>
        <v>0</v>
      </c>
      <c r="K1228" s="86">
        <f>-IFERROR(VLOOKUP(C1228,Gastos!$A$9:$J$1451,10,0),0)</f>
        <v>0</v>
      </c>
      <c r="L1228" s="86">
        <f>-IFERROR(VLOOKUP(C1228,IDC!$A$20:$H$1763,8,0),0)</f>
        <v>-11.04</v>
      </c>
      <c r="M1228" s="95">
        <f t="shared" si="35"/>
        <v>1839.9999999999998</v>
      </c>
      <c r="O1228" s="1"/>
    </row>
    <row r="1229" spans="1:17" hidden="1">
      <c r="A1229" s="1" t="s">
        <v>1039</v>
      </c>
      <c r="B1229" s="1" t="s">
        <v>557</v>
      </c>
      <c r="C1229" s="71">
        <v>130184307466</v>
      </c>
      <c r="D1229" s="3">
        <v>-348035.76</v>
      </c>
      <c r="E1229" s="3">
        <v>10253834.1</v>
      </c>
      <c r="F1229" s="1" t="s">
        <v>3066</v>
      </c>
      <c r="G1229" s="19">
        <f>+D1229/1.006</f>
        <v>-345960</v>
      </c>
      <c r="H1229" s="19">
        <f>+D1229-G1229</f>
        <v>-2075.7600000000093</v>
      </c>
      <c r="I1229" s="19">
        <f>-IFERROR(VLOOKUP(C1229,SIRCUPA!$A$21:$H$221,8,0),0)</f>
        <v>0</v>
      </c>
      <c r="J1229" s="86">
        <f>-IFERROR(VLOOKUP(C1229,SIRTAC!$A$16:$H$1458,8,0),0)</f>
        <v>0</v>
      </c>
      <c r="K1229" s="86">
        <f>-IFERROR(VLOOKUP(C1229,Gastos!$A$9:$J$1451,10,0),0)</f>
        <v>0</v>
      </c>
      <c r="L1229" s="86">
        <f>+D1229-G1229</f>
        <v>-2075.7600000000093</v>
      </c>
      <c r="M1229" s="94">
        <f t="shared" si="35"/>
        <v>-345960</v>
      </c>
      <c r="O1229" s="1"/>
    </row>
    <row r="1230" spans="1:17" hidden="1">
      <c r="A1230" s="1" t="s">
        <v>1039</v>
      </c>
      <c r="B1230" s="1" t="s">
        <v>557</v>
      </c>
      <c r="C1230" s="71">
        <v>130186041276</v>
      </c>
      <c r="D1230" s="3">
        <v>-153621.23000000001</v>
      </c>
      <c r="E1230" s="3">
        <v>10100212.869999999</v>
      </c>
      <c r="F1230" t="s">
        <v>3066</v>
      </c>
      <c r="G1230" s="19">
        <f>+D1230/1.006</f>
        <v>-152705</v>
      </c>
      <c r="H1230" s="19">
        <f>+D1230-G1230</f>
        <v>-916.23000000001048</v>
      </c>
      <c r="I1230" s="19">
        <f>-IFERROR(VLOOKUP(C1230,SIRCUPA!$A$21:$H$221,8,0),0)</f>
        <v>0</v>
      </c>
      <c r="J1230" s="86">
        <f>-IFERROR(VLOOKUP(C1230,SIRTAC!$A$16:$H$1458,8,0),0)</f>
        <v>0</v>
      </c>
      <c r="K1230" s="86">
        <f>-IFERROR(VLOOKUP(C1230,Gastos!$A$9:$J$1451,10,0),0)</f>
        <v>0</v>
      </c>
      <c r="L1230" s="86">
        <f>+D1230-G1230</f>
        <v>-916.23000000001048</v>
      </c>
      <c r="M1230" s="94">
        <f t="shared" si="35"/>
        <v>-152705</v>
      </c>
      <c r="O1230" s="1"/>
    </row>
    <row r="1231" spans="1:17" s="67" customFormat="1" hidden="1">
      <c r="A1231" s="67" t="s">
        <v>1395</v>
      </c>
      <c r="B1231" s="67" t="s">
        <v>51</v>
      </c>
      <c r="C1231" s="75">
        <v>130189219979</v>
      </c>
      <c r="D1231" s="68">
        <v>-3450</v>
      </c>
      <c r="E1231" s="3">
        <v>13234240.91</v>
      </c>
      <c r="F1231" s="67" t="s">
        <v>3062</v>
      </c>
      <c r="G1231" s="69">
        <f>+D1231/0.006</f>
        <v>-575000</v>
      </c>
      <c r="H1231" s="69"/>
      <c r="I1231" s="69">
        <f>-IFERROR(VLOOKUP(C1231,SIRCUPA!$A$21:$H$221,8,0),0)</f>
        <v>0</v>
      </c>
      <c r="J1231" s="69">
        <f>-IFERROR(VLOOKUP(C1231,SIRTAC!$A$16:$H$1458,8,0),0)</f>
        <v>0</v>
      </c>
      <c r="K1231" s="69">
        <f>-IFERROR(VLOOKUP(C1231,Gastos!$A$9:$J$1451,10,0),0)</f>
        <v>0</v>
      </c>
      <c r="L1231" s="69"/>
      <c r="M1231" s="96">
        <f>+D1231</f>
        <v>-3450</v>
      </c>
      <c r="P1231" s="19"/>
      <c r="Q1231" s="19"/>
    </row>
    <row r="1232" spans="1:17" s="67" customFormat="1" hidden="1">
      <c r="A1232" s="67" t="s">
        <v>1395</v>
      </c>
      <c r="B1232" s="67" t="s">
        <v>1397</v>
      </c>
      <c r="C1232" s="75">
        <v>130189219979</v>
      </c>
      <c r="D1232" s="68">
        <v>-575000</v>
      </c>
      <c r="E1232" s="3">
        <v>13237690.91</v>
      </c>
      <c r="F1232" s="67" t="s">
        <v>3066</v>
      </c>
      <c r="G1232" s="69">
        <f>+D1232/1.006</f>
        <v>-571570.57654075546</v>
      </c>
      <c r="H1232" s="69">
        <f>+D1232-G1232</f>
        <v>-3429.4234592445428</v>
      </c>
      <c r="I1232" s="69">
        <f>-IFERROR(VLOOKUP(C1232,SIRCUPA!$A$21:$H$221,8,0),0)</f>
        <v>0</v>
      </c>
      <c r="J1232" s="69">
        <f>-IFERROR(VLOOKUP(C1232,SIRTAC!$A$16:$H$1458,8,0),0)</f>
        <v>0</v>
      </c>
      <c r="K1232" s="69">
        <f>-IFERROR(VLOOKUP(C1232,Gastos!$A$9:$J$1451,10,0),0)</f>
        <v>0</v>
      </c>
      <c r="L1232" s="69">
        <f>-IFERROR(VLOOKUP(C1232,IDC!$A$20:$H$1763,8,0),0)</f>
        <v>-3450</v>
      </c>
      <c r="M1232" s="96">
        <f>+D1232</f>
        <v>-575000</v>
      </c>
      <c r="P1232" s="19"/>
      <c r="Q1232" s="19"/>
    </row>
    <row r="1233" spans="1:17">
      <c r="A1233" s="1" t="s">
        <v>1395</v>
      </c>
      <c r="B1233" s="1" t="s">
        <v>478</v>
      </c>
      <c r="C1233" s="71">
        <v>130209375191</v>
      </c>
      <c r="D1233" s="3">
        <v>-467928.67</v>
      </c>
      <c r="E1233" s="3">
        <v>12766312.24</v>
      </c>
      <c r="F1233" s="1" t="s">
        <v>3068</v>
      </c>
      <c r="G1233" s="19">
        <f>+D1233/1.006</f>
        <v>-465137.84294234589</v>
      </c>
      <c r="H1233" s="19">
        <f>+D1233-G1233</f>
        <v>-2790.8270576540963</v>
      </c>
      <c r="I1233" s="19">
        <f>-IFERROR(VLOOKUP(C1233,SIRCUPA!$A$21:$H$221,8,0),0)</f>
        <v>0</v>
      </c>
      <c r="J1233" s="86">
        <f>-IFERROR(VLOOKUP(C1233,SIRTAC!$A$16:$H$1458,8,0),0)</f>
        <v>0</v>
      </c>
      <c r="K1233" s="86">
        <f>-IFERROR(VLOOKUP(C1233,Gastos!$A$9:$J$1451,10,0),0)</f>
        <v>0</v>
      </c>
      <c r="L1233" s="86">
        <f>+D1233-G1233</f>
        <v>-2790.8270576540963</v>
      </c>
      <c r="M1233" s="94">
        <f>+D1233-I1233-J1233-K1233-L1233</f>
        <v>-465137.84294234589</v>
      </c>
      <c r="O1233" s="1"/>
    </row>
    <row r="1234" spans="1:17" s="67" customFormat="1" hidden="1">
      <c r="A1234" s="67" t="s">
        <v>1400</v>
      </c>
      <c r="B1234" s="67" t="s">
        <v>51</v>
      </c>
      <c r="C1234" s="75">
        <v>130291816163</v>
      </c>
      <c r="D1234" s="68">
        <v>-1048</v>
      </c>
      <c r="E1234" s="3">
        <v>12590597.699999999</v>
      </c>
      <c r="F1234" s="67" t="s">
        <v>3062</v>
      </c>
      <c r="G1234" s="69">
        <f>+D1234/0.006</f>
        <v>-174666.66666666666</v>
      </c>
      <c r="H1234" s="69"/>
      <c r="I1234" s="69">
        <f>-IFERROR(VLOOKUP(C1234,SIRCUPA!$A$21:$H$221,8,0),0)</f>
        <v>0</v>
      </c>
      <c r="J1234" s="69">
        <f>-IFERROR(VLOOKUP(C1234,SIRTAC!$A$16:$H$1458,8,0),0)</f>
        <v>0</v>
      </c>
      <c r="K1234" s="69">
        <f>-IFERROR(VLOOKUP(C1234,Gastos!$A$9:$J$1451,10,0),0)</f>
        <v>0</v>
      </c>
      <c r="L1234" s="69"/>
      <c r="M1234" s="96">
        <f t="shared" ref="M1234:M1251" si="36">+D1234</f>
        <v>-1048</v>
      </c>
      <c r="P1234" s="19"/>
      <c r="Q1234" s="19"/>
    </row>
    <row r="1235" spans="1:17" s="67" customFormat="1" hidden="1">
      <c r="A1235" s="67" t="s">
        <v>1400</v>
      </c>
      <c r="B1235" s="67" t="s">
        <v>484</v>
      </c>
      <c r="C1235" s="75">
        <v>130291816163</v>
      </c>
      <c r="D1235" s="68">
        <v>-174666.54</v>
      </c>
      <c r="E1235" s="3">
        <v>12591645.699999999</v>
      </c>
      <c r="F1235" s="67" t="s">
        <v>3066</v>
      </c>
      <c r="G1235" s="69">
        <f>+D1235/1.006</f>
        <v>-173624.7912524851</v>
      </c>
      <c r="H1235" s="69">
        <f>+D1235-G1235</f>
        <v>-1041.7487475149101</v>
      </c>
      <c r="I1235" s="69">
        <f>-IFERROR(VLOOKUP(C1235,SIRCUPA!$A$21:$H$221,8,0),0)</f>
        <v>0</v>
      </c>
      <c r="J1235" s="69">
        <f>-IFERROR(VLOOKUP(C1235,SIRTAC!$A$16:$H$1458,8,0),0)</f>
        <v>0</v>
      </c>
      <c r="K1235" s="69">
        <f>-IFERROR(VLOOKUP(C1235,Gastos!$A$9:$J$1451,10,0),0)</f>
        <v>0</v>
      </c>
      <c r="L1235" s="69">
        <f>-IFERROR(VLOOKUP(C1235,IDC!$A$20:$H$1763,8,0),0)</f>
        <v>-1048</v>
      </c>
      <c r="M1235" s="96">
        <f t="shared" si="36"/>
        <v>-174666.54</v>
      </c>
      <c r="P1235" s="19"/>
      <c r="Q1235" s="19"/>
    </row>
    <row r="1236" spans="1:17" s="67" customFormat="1" hidden="1">
      <c r="A1236" s="67" t="s">
        <v>1400</v>
      </c>
      <c r="B1236" s="67" t="s">
        <v>51</v>
      </c>
      <c r="C1236" s="75">
        <v>130292370337</v>
      </c>
      <c r="D1236" s="68">
        <v>-1335.22</v>
      </c>
      <c r="E1236" s="3">
        <v>12366726.109999999</v>
      </c>
      <c r="F1236" s="67" t="s">
        <v>3062</v>
      </c>
      <c r="G1236" s="69">
        <f>+D1236/0.006</f>
        <v>-222536.66666666666</v>
      </c>
      <c r="H1236" s="69"/>
      <c r="I1236" s="69">
        <f>-IFERROR(VLOOKUP(C1236,SIRCUPA!$A$21:$H$221,8,0),0)</f>
        <v>0</v>
      </c>
      <c r="J1236" s="69">
        <f>-IFERROR(VLOOKUP(C1236,SIRTAC!$A$16:$H$1458,8,0),0)</f>
        <v>0</v>
      </c>
      <c r="K1236" s="69">
        <f>-IFERROR(VLOOKUP(C1236,Gastos!$A$9:$J$1451,10,0),0)</f>
        <v>0</v>
      </c>
      <c r="L1236" s="69"/>
      <c r="M1236" s="96">
        <f t="shared" si="36"/>
        <v>-1335.22</v>
      </c>
      <c r="P1236" s="19"/>
      <c r="Q1236" s="19"/>
    </row>
    <row r="1237" spans="1:17" s="67" customFormat="1" hidden="1">
      <c r="A1237" s="67" t="s">
        <v>1400</v>
      </c>
      <c r="B1237" s="67" t="s">
        <v>484</v>
      </c>
      <c r="C1237" s="75">
        <v>130292370337</v>
      </c>
      <c r="D1237" s="68">
        <v>-222536.37</v>
      </c>
      <c r="E1237" s="3">
        <v>12368061.33</v>
      </c>
      <c r="F1237" s="67" t="s">
        <v>3066</v>
      </c>
      <c r="G1237" s="69">
        <f>+D1237/1.006</f>
        <v>-221209.11530815109</v>
      </c>
      <c r="H1237" s="69">
        <f>+D1237-G1237</f>
        <v>-1327.2546918489097</v>
      </c>
      <c r="I1237" s="69">
        <f>-IFERROR(VLOOKUP(C1237,SIRCUPA!$A$21:$H$221,8,0),0)</f>
        <v>0</v>
      </c>
      <c r="J1237" s="69">
        <f>-IFERROR(VLOOKUP(C1237,SIRTAC!$A$16:$H$1458,8,0),0)</f>
        <v>0</v>
      </c>
      <c r="K1237" s="69">
        <f>-IFERROR(VLOOKUP(C1237,Gastos!$A$9:$J$1451,10,0),0)</f>
        <v>0</v>
      </c>
      <c r="L1237" s="69">
        <f>-IFERROR(VLOOKUP(C1237,IDC!$A$20:$H$1763,8,0),0)</f>
        <v>-1335.22</v>
      </c>
      <c r="M1237" s="96">
        <f t="shared" si="36"/>
        <v>-222536.37</v>
      </c>
      <c r="P1237" s="19"/>
      <c r="Q1237" s="19"/>
    </row>
    <row r="1238" spans="1:17" s="67" customFormat="1" hidden="1">
      <c r="A1238" s="67" t="s">
        <v>1400</v>
      </c>
      <c r="B1238" s="67" t="s">
        <v>51</v>
      </c>
      <c r="C1238" s="75">
        <v>130305376427</v>
      </c>
      <c r="D1238" s="68">
        <v>-1969.54</v>
      </c>
      <c r="E1238" s="3">
        <v>10955828.310000001</v>
      </c>
      <c r="F1238" s="67" t="s">
        <v>3062</v>
      </c>
      <c r="G1238" s="69">
        <f>+D1238/0.006</f>
        <v>-328256.66666666663</v>
      </c>
      <c r="H1238" s="69"/>
      <c r="I1238" s="69">
        <f>-IFERROR(VLOOKUP(C1238,SIRCUPA!$A$21:$H$221,8,0),0)</f>
        <v>0</v>
      </c>
      <c r="J1238" s="69">
        <f>-IFERROR(VLOOKUP(C1238,SIRTAC!$A$16:$H$1458,8,0),0)</f>
        <v>0</v>
      </c>
      <c r="K1238" s="69">
        <f>-IFERROR(VLOOKUP(C1238,Gastos!$A$9:$J$1451,10,0),0)</f>
        <v>0</v>
      </c>
      <c r="L1238" s="69"/>
      <c r="M1238" s="96">
        <f t="shared" si="36"/>
        <v>-1969.54</v>
      </c>
      <c r="P1238" s="19"/>
      <c r="Q1238" s="19"/>
    </row>
    <row r="1239" spans="1:17" s="67" customFormat="1" hidden="1">
      <c r="A1239" s="67" t="s">
        <v>1400</v>
      </c>
      <c r="B1239" s="67" t="s">
        <v>1404</v>
      </c>
      <c r="C1239" s="75">
        <v>130305376427</v>
      </c>
      <c r="D1239" s="68">
        <v>-328257</v>
      </c>
      <c r="E1239" s="3">
        <v>10957797.85</v>
      </c>
      <c r="F1239" s="67" t="s">
        <v>3066</v>
      </c>
      <c r="G1239" s="69">
        <f>+D1239/1.006</f>
        <v>-326299.20477137179</v>
      </c>
      <c r="H1239" s="69">
        <f>+D1239-G1239</f>
        <v>-1957.7952286282089</v>
      </c>
      <c r="I1239" s="69">
        <f>-IFERROR(VLOOKUP(C1239,SIRCUPA!$A$21:$H$221,8,0),0)</f>
        <v>0</v>
      </c>
      <c r="J1239" s="69">
        <f>-IFERROR(VLOOKUP(C1239,SIRTAC!$A$16:$H$1458,8,0),0)</f>
        <v>0</v>
      </c>
      <c r="K1239" s="69">
        <f>-IFERROR(VLOOKUP(C1239,Gastos!$A$9:$J$1451,10,0),0)</f>
        <v>0</v>
      </c>
      <c r="L1239" s="69">
        <f>-IFERROR(VLOOKUP(C1239,IDC!$A$20:$H$1763,8,0),0)</f>
        <v>-1969.54</v>
      </c>
      <c r="M1239" s="96">
        <f t="shared" si="36"/>
        <v>-328257</v>
      </c>
      <c r="P1239" s="19"/>
      <c r="Q1239" s="19"/>
    </row>
    <row r="1240" spans="1:17" s="67" customFormat="1" hidden="1">
      <c r="A1240" s="67" t="s">
        <v>1523</v>
      </c>
      <c r="B1240" s="67" t="s">
        <v>51</v>
      </c>
      <c r="C1240" s="75">
        <v>130556988889</v>
      </c>
      <c r="D1240" s="68">
        <v>-1161.02</v>
      </c>
      <c r="E1240" s="3">
        <v>13016856.880000001</v>
      </c>
      <c r="F1240" s="67" t="s">
        <v>3062</v>
      </c>
      <c r="G1240" s="69">
        <f>+D1240/0.006</f>
        <v>-193503.33333333331</v>
      </c>
      <c r="H1240" s="69"/>
      <c r="I1240" s="69">
        <f>-IFERROR(VLOOKUP(C1240,SIRCUPA!$A$21:$H$221,8,0),0)</f>
        <v>0</v>
      </c>
      <c r="J1240" s="69">
        <f>-IFERROR(VLOOKUP(C1240,SIRTAC!$A$16:$H$1458,8,0),0)</f>
        <v>0</v>
      </c>
      <c r="K1240" s="69">
        <f>-IFERROR(VLOOKUP(C1240,Gastos!$A$9:$J$1451,10,0),0)</f>
        <v>0</v>
      </c>
      <c r="L1240" s="69"/>
      <c r="M1240" s="96">
        <f t="shared" si="36"/>
        <v>-1161.02</v>
      </c>
      <c r="P1240" s="19"/>
      <c r="Q1240" s="19"/>
    </row>
    <row r="1241" spans="1:17" s="67" customFormat="1" hidden="1">
      <c r="A1241" s="67" t="s">
        <v>1523</v>
      </c>
      <c r="B1241" s="67" t="s">
        <v>480</v>
      </c>
      <c r="C1241" s="75">
        <v>130556988889</v>
      </c>
      <c r="D1241" s="68">
        <v>-193502.69</v>
      </c>
      <c r="E1241" s="3">
        <v>13018017.9</v>
      </c>
      <c r="F1241" s="67" t="s">
        <v>3066</v>
      </c>
      <c r="G1241" s="69">
        <f>+D1241/1.006</f>
        <v>-192348.59840954276</v>
      </c>
      <c r="H1241" s="69">
        <f>+D1241-G1241</f>
        <v>-1154.0915904572466</v>
      </c>
      <c r="I1241" s="69">
        <f>-IFERROR(VLOOKUP(C1241,SIRCUPA!$A$21:$H$221,8,0),0)</f>
        <v>0</v>
      </c>
      <c r="J1241" s="69">
        <f>-IFERROR(VLOOKUP(C1241,SIRTAC!$A$16:$H$1458,8,0),0)</f>
        <v>0</v>
      </c>
      <c r="K1241" s="69">
        <f>-IFERROR(VLOOKUP(C1241,Gastos!$A$9:$J$1451,10,0),0)</f>
        <v>0</v>
      </c>
      <c r="L1241" s="69">
        <f>-IFERROR(VLOOKUP(C1241,IDC!$A$20:$H$1763,8,0),0)</f>
        <v>-1161.02</v>
      </c>
      <c r="M1241" s="96">
        <f t="shared" si="36"/>
        <v>-193502.69</v>
      </c>
      <c r="P1241" s="19"/>
      <c r="Q1241" s="19"/>
    </row>
    <row r="1242" spans="1:17" s="67" customFormat="1" hidden="1">
      <c r="A1242" s="67" t="s">
        <v>1523</v>
      </c>
      <c r="B1242" s="67" t="s">
        <v>51</v>
      </c>
      <c r="C1242" s="75">
        <v>130562398759</v>
      </c>
      <c r="D1242" s="70">
        <v>-819.93</v>
      </c>
      <c r="E1242" s="3">
        <v>12879382.15</v>
      </c>
      <c r="F1242" s="67" t="s">
        <v>3062</v>
      </c>
      <c r="G1242" s="69">
        <f>+D1242/0.006</f>
        <v>-136655</v>
      </c>
      <c r="H1242" s="69"/>
      <c r="I1242" s="69">
        <f>-IFERROR(VLOOKUP(C1242,SIRCUPA!$A$21:$H$221,8,0),0)</f>
        <v>0</v>
      </c>
      <c r="J1242" s="69">
        <f>-IFERROR(VLOOKUP(C1242,SIRTAC!$A$16:$H$1458,8,0),0)</f>
        <v>0</v>
      </c>
      <c r="K1242" s="69">
        <f>-IFERROR(VLOOKUP(C1242,Gastos!$A$9:$J$1451,10,0),0)</f>
        <v>0</v>
      </c>
      <c r="L1242" s="69"/>
      <c r="M1242" s="96">
        <f t="shared" si="36"/>
        <v>-819.93</v>
      </c>
      <c r="P1242" s="19"/>
      <c r="Q1242" s="19"/>
    </row>
    <row r="1243" spans="1:17" s="67" customFormat="1" hidden="1">
      <c r="A1243" s="67" t="s">
        <v>1523</v>
      </c>
      <c r="B1243" s="67" t="s">
        <v>1609</v>
      </c>
      <c r="C1243" s="75">
        <v>130562398759</v>
      </c>
      <c r="D1243" s="68">
        <v>-136654.79999999999</v>
      </c>
      <c r="E1243" s="3">
        <v>12880202.08</v>
      </c>
      <c r="F1243" s="67" t="s">
        <v>3066</v>
      </c>
      <c r="G1243" s="69">
        <f>+D1243/1.006</f>
        <v>-135839.76143141152</v>
      </c>
      <c r="H1243" s="69">
        <f>+D1243-G1243</f>
        <v>-815.03856858846848</v>
      </c>
      <c r="I1243" s="69">
        <f>-IFERROR(VLOOKUP(C1243,SIRCUPA!$A$21:$H$221,8,0),0)</f>
        <v>0</v>
      </c>
      <c r="J1243" s="69">
        <f>-IFERROR(VLOOKUP(C1243,SIRTAC!$A$16:$H$1458,8,0),0)</f>
        <v>0</v>
      </c>
      <c r="K1243" s="69">
        <f>-IFERROR(VLOOKUP(C1243,Gastos!$A$9:$J$1451,10,0),0)</f>
        <v>0</v>
      </c>
      <c r="L1243" s="69">
        <f>-IFERROR(VLOOKUP(C1243,IDC!$A$20:$H$1763,8,0),0)</f>
        <v>-819.93</v>
      </c>
      <c r="M1243" s="96">
        <f t="shared" si="36"/>
        <v>-136654.79999999999</v>
      </c>
      <c r="P1243" s="19"/>
      <c r="Q1243" s="19"/>
    </row>
    <row r="1244" spans="1:17" s="67" customFormat="1" hidden="1">
      <c r="A1244" s="67" t="s">
        <v>1377</v>
      </c>
      <c r="B1244" s="91" t="s">
        <v>1385</v>
      </c>
      <c r="C1244" s="92">
        <v>130619610184</v>
      </c>
      <c r="D1244" s="93">
        <v>349480.54</v>
      </c>
      <c r="E1244" s="31">
        <v>15392583.859999999</v>
      </c>
      <c r="F1244" s="67" t="s">
        <v>3067</v>
      </c>
      <c r="G1244" s="69">
        <f>+D1244/1.006</f>
        <v>347396.16302186879</v>
      </c>
      <c r="H1244" s="69">
        <f>+D1244-G1244</f>
        <v>2084.3769781311858</v>
      </c>
      <c r="I1244" s="69">
        <f>-IFERROR(VLOOKUP(C1244,SIRCUPA!$A$21:$H$221,8,0),0)</f>
        <v>0</v>
      </c>
      <c r="J1244" s="69">
        <f>-IFERROR(VLOOKUP(C1244,SIRTAC!$A$16:$H$1458,8,0),0)</f>
        <v>0</v>
      </c>
      <c r="K1244" s="69">
        <f>-IFERROR(VLOOKUP(C1244,Gastos!$A$9:$J$1451,10,0),0)</f>
        <v>0</v>
      </c>
      <c r="L1244" s="69">
        <f>+D1244-G1244</f>
        <v>2084.3769781311858</v>
      </c>
      <c r="M1244" s="96">
        <f t="shared" si="36"/>
        <v>349480.54</v>
      </c>
      <c r="O1244" s="91" t="s">
        <v>2019</v>
      </c>
      <c r="P1244" s="19"/>
      <c r="Q1244" s="19"/>
    </row>
    <row r="1245" spans="1:17" s="67" customFormat="1" hidden="1">
      <c r="A1245" s="67" t="s">
        <v>1377</v>
      </c>
      <c r="B1245" s="67" t="s">
        <v>51</v>
      </c>
      <c r="C1245" s="75">
        <v>130619610184</v>
      </c>
      <c r="D1245" s="68">
        <v>-2096.88</v>
      </c>
      <c r="E1245" s="3">
        <v>15043103.32</v>
      </c>
      <c r="F1245" s="67" t="s">
        <v>3062</v>
      </c>
      <c r="G1245" s="69">
        <f>+D1245/0.006</f>
        <v>-349480</v>
      </c>
      <c r="H1245" s="69"/>
      <c r="I1245" s="69">
        <f>-IFERROR(VLOOKUP(C1245,SIRCUPA!$A$21:$H$221,8,0),0)</f>
        <v>0</v>
      </c>
      <c r="J1245" s="69">
        <f>-IFERROR(VLOOKUP(C1245,SIRTAC!$A$16:$H$1458,8,0),0)</f>
        <v>0</v>
      </c>
      <c r="K1245" s="69">
        <f>-IFERROR(VLOOKUP(C1245,Gastos!$A$9:$J$1451,10,0),0)</f>
        <v>0</v>
      </c>
      <c r="L1245" s="69"/>
      <c r="M1245" s="96">
        <f t="shared" si="36"/>
        <v>-2096.88</v>
      </c>
      <c r="P1245" s="19"/>
      <c r="Q1245" s="19"/>
    </row>
    <row r="1246" spans="1:17" s="67" customFormat="1" hidden="1">
      <c r="A1246" s="67" t="s">
        <v>1377</v>
      </c>
      <c r="B1246" s="67" t="s">
        <v>51</v>
      </c>
      <c r="C1246" s="75">
        <v>130619610184</v>
      </c>
      <c r="D1246" s="68">
        <v>2096.88</v>
      </c>
      <c r="E1246" s="3">
        <v>15394680.74</v>
      </c>
      <c r="F1246" s="67" t="s">
        <v>3062</v>
      </c>
      <c r="G1246" s="69">
        <f>+D1246/0.006</f>
        <v>349480</v>
      </c>
      <c r="H1246" s="69"/>
      <c r="I1246" s="69">
        <f>-IFERROR(VLOOKUP(C1246,SIRCUPA!$A$21:$H$221,8,0),0)</f>
        <v>0</v>
      </c>
      <c r="J1246" s="69">
        <f>-IFERROR(VLOOKUP(C1246,SIRTAC!$A$16:$H$1458,8,0),0)</f>
        <v>0</v>
      </c>
      <c r="K1246" s="69">
        <f>-IFERROR(VLOOKUP(C1246,Gastos!$A$9:$J$1451,10,0),0)</f>
        <v>0</v>
      </c>
      <c r="L1246" s="69"/>
      <c r="M1246" s="96">
        <f t="shared" si="36"/>
        <v>2096.88</v>
      </c>
      <c r="P1246" s="19"/>
      <c r="Q1246" s="19"/>
    </row>
    <row r="1247" spans="1:17" s="67" customFormat="1" hidden="1">
      <c r="A1247" s="67" t="s">
        <v>1377</v>
      </c>
      <c r="B1247" s="91" t="s">
        <v>469</v>
      </c>
      <c r="C1247" s="92">
        <v>130619610184</v>
      </c>
      <c r="D1247" s="93">
        <v>-349480.54</v>
      </c>
      <c r="E1247" s="31">
        <v>15045200.199999999</v>
      </c>
      <c r="F1247" s="67" t="s">
        <v>3066</v>
      </c>
      <c r="G1247" s="69">
        <f>+D1247/1.006</f>
        <v>-347396.16302186879</v>
      </c>
      <c r="H1247" s="69">
        <f>+D1247-G1247</f>
        <v>-2084.3769781311858</v>
      </c>
      <c r="I1247" s="69">
        <f>-IFERROR(VLOOKUP(C1247,SIRCUPA!$A$21:$H$221,8,0),0)</f>
        <v>0</v>
      </c>
      <c r="J1247" s="69">
        <f>-IFERROR(VLOOKUP(C1247,SIRTAC!$A$16:$H$1458,8,0),0)</f>
        <v>0</v>
      </c>
      <c r="K1247" s="69">
        <f>-IFERROR(VLOOKUP(C1247,Gastos!$A$9:$J$1451,10,0),0)</f>
        <v>0</v>
      </c>
      <c r="L1247" s="69">
        <f>+D1247-G1247</f>
        <v>-2084.3769781311858</v>
      </c>
      <c r="M1247" s="96">
        <f t="shared" si="36"/>
        <v>-349480.54</v>
      </c>
      <c r="O1247" s="91" t="s">
        <v>2024</v>
      </c>
      <c r="P1247" s="19"/>
      <c r="Q1247" s="19"/>
    </row>
    <row r="1248" spans="1:17" s="67" customFormat="1" hidden="1">
      <c r="A1248" s="67" t="s">
        <v>1377</v>
      </c>
      <c r="B1248" s="91" t="s">
        <v>1385</v>
      </c>
      <c r="C1248" s="92">
        <v>130619613726</v>
      </c>
      <c r="D1248" s="93">
        <v>349480.54</v>
      </c>
      <c r="E1248" s="31">
        <v>14047038.74</v>
      </c>
      <c r="F1248" s="67" t="s">
        <v>3067</v>
      </c>
      <c r="G1248" s="69">
        <f>+D1248/1.006</f>
        <v>347396.16302186879</v>
      </c>
      <c r="H1248" s="69">
        <f>+D1248-G1248</f>
        <v>2084.3769781311858</v>
      </c>
      <c r="I1248" s="69">
        <f>-IFERROR(VLOOKUP(C1248,SIRCUPA!$A$21:$H$221,8,0),0)</f>
        <v>0</v>
      </c>
      <c r="J1248" s="69">
        <f>-IFERROR(VLOOKUP(C1248,SIRTAC!$A$16:$H$1458,8,0),0)</f>
        <v>0</v>
      </c>
      <c r="K1248" s="69">
        <f>-IFERROR(VLOOKUP(C1248,Gastos!$A$9:$J$1451,10,0),0)</f>
        <v>0</v>
      </c>
      <c r="L1248" s="69">
        <f>+D1248-G1248</f>
        <v>2084.3769781311858</v>
      </c>
      <c r="M1248" s="96">
        <f t="shared" si="36"/>
        <v>349480.54</v>
      </c>
      <c r="O1248" s="91" t="s">
        <v>2019</v>
      </c>
      <c r="P1248" s="19"/>
      <c r="Q1248" s="19"/>
    </row>
    <row r="1249" spans="1:17" s="67" customFormat="1" hidden="1">
      <c r="A1249" s="67" t="s">
        <v>1377</v>
      </c>
      <c r="B1249" s="67" t="s">
        <v>51</v>
      </c>
      <c r="C1249" s="75">
        <v>130619613726</v>
      </c>
      <c r="D1249" s="68">
        <v>-2096.88</v>
      </c>
      <c r="E1249" s="3">
        <v>13697558.199999999</v>
      </c>
      <c r="F1249" s="67" t="s">
        <v>3062</v>
      </c>
      <c r="G1249" s="69">
        <f>+D1249/0.006</f>
        <v>-349480</v>
      </c>
      <c r="H1249" s="69"/>
      <c r="I1249" s="69">
        <f>-IFERROR(VLOOKUP(C1249,SIRCUPA!$A$21:$H$221,8,0),0)</f>
        <v>0</v>
      </c>
      <c r="J1249" s="69">
        <f>-IFERROR(VLOOKUP(C1249,SIRTAC!$A$16:$H$1458,8,0),0)</f>
        <v>0</v>
      </c>
      <c r="K1249" s="69">
        <f>-IFERROR(VLOOKUP(C1249,Gastos!$A$9:$J$1451,10,0),0)</f>
        <v>0</v>
      </c>
      <c r="L1249" s="69"/>
      <c r="M1249" s="96">
        <f t="shared" si="36"/>
        <v>-2096.88</v>
      </c>
      <c r="P1249" s="19"/>
      <c r="Q1249" s="19"/>
    </row>
    <row r="1250" spans="1:17" s="67" customFormat="1" hidden="1">
      <c r="A1250" s="67" t="s">
        <v>1377</v>
      </c>
      <c r="B1250" s="67" t="s">
        <v>51</v>
      </c>
      <c r="C1250" s="75">
        <v>130619613726</v>
      </c>
      <c r="D1250" s="68">
        <v>2096.88</v>
      </c>
      <c r="E1250" s="3">
        <v>14049135.619999999</v>
      </c>
      <c r="F1250" s="67" t="s">
        <v>3062</v>
      </c>
      <c r="G1250" s="69">
        <f>+D1250/0.006</f>
        <v>349480</v>
      </c>
      <c r="H1250" s="69"/>
      <c r="I1250" s="69">
        <f>-IFERROR(VLOOKUP(C1250,SIRCUPA!$A$21:$H$221,8,0),0)</f>
        <v>0</v>
      </c>
      <c r="J1250" s="69">
        <f>-IFERROR(VLOOKUP(C1250,SIRTAC!$A$16:$H$1458,8,0),0)</f>
        <v>0</v>
      </c>
      <c r="K1250" s="69">
        <f>-IFERROR(VLOOKUP(C1250,Gastos!$A$9:$J$1451,10,0),0)</f>
        <v>0</v>
      </c>
      <c r="L1250" s="69"/>
      <c r="M1250" s="96">
        <f t="shared" si="36"/>
        <v>2096.88</v>
      </c>
      <c r="P1250" s="19"/>
      <c r="Q1250" s="19"/>
    </row>
    <row r="1251" spans="1:17" s="67" customFormat="1" hidden="1">
      <c r="A1251" s="67" t="s">
        <v>1377</v>
      </c>
      <c r="B1251" s="91" t="s">
        <v>469</v>
      </c>
      <c r="C1251" s="92">
        <v>130619613726</v>
      </c>
      <c r="D1251" s="93">
        <v>-349480.54</v>
      </c>
      <c r="E1251" s="31">
        <v>13699655.08</v>
      </c>
      <c r="F1251" s="67" t="s">
        <v>3066</v>
      </c>
      <c r="G1251" s="69">
        <f t="shared" ref="G1251:G1256" si="37">+D1251/1.006</f>
        <v>-347396.16302186879</v>
      </c>
      <c r="H1251" s="69">
        <f t="shared" ref="H1251:H1256" si="38">+D1251-G1251</f>
        <v>-2084.3769781311858</v>
      </c>
      <c r="I1251" s="69">
        <f>-IFERROR(VLOOKUP(C1251,SIRCUPA!$A$21:$H$221,8,0),0)</f>
        <v>0</v>
      </c>
      <c r="J1251" s="69">
        <f>-IFERROR(VLOOKUP(C1251,SIRTAC!$A$16:$H$1458,8,0),0)</f>
        <v>0</v>
      </c>
      <c r="K1251" s="69">
        <f>-IFERROR(VLOOKUP(C1251,Gastos!$A$9:$J$1451,10,0),0)</f>
        <v>0</v>
      </c>
      <c r="L1251" s="69">
        <f t="shared" ref="L1251:L1256" si="39">+D1251-G1251</f>
        <v>-2084.3769781311858</v>
      </c>
      <c r="M1251" s="96">
        <f t="shared" si="36"/>
        <v>-349480.54</v>
      </c>
      <c r="O1251" s="91" t="s">
        <v>2024</v>
      </c>
      <c r="P1251" s="19"/>
      <c r="Q1251" s="19"/>
    </row>
    <row r="1252" spans="1:17" hidden="1">
      <c r="A1252" s="1" t="s">
        <v>1377</v>
      </c>
      <c r="B1252" s="1" t="s">
        <v>465</v>
      </c>
      <c r="C1252" s="71">
        <v>130620588576</v>
      </c>
      <c r="D1252" s="3">
        <v>-1345545.12</v>
      </c>
      <c r="E1252" s="3">
        <v>14049135.619999999</v>
      </c>
      <c r="F1252" s="1" t="s">
        <v>3066</v>
      </c>
      <c r="G1252" s="19">
        <f t="shared" si="37"/>
        <v>-1337520</v>
      </c>
      <c r="H1252" s="19">
        <f t="shared" si="38"/>
        <v>-8025.1200000001118</v>
      </c>
      <c r="I1252" s="19">
        <f>-IFERROR(VLOOKUP(C1252,SIRCUPA!$A$21:$H$221,8,0),0)</f>
        <v>0</v>
      </c>
      <c r="J1252" s="86">
        <f>-IFERROR(VLOOKUP(C1252,SIRTAC!$A$16:$H$1458,8,0),0)</f>
        <v>0</v>
      </c>
      <c r="K1252" s="86">
        <f>-IFERROR(VLOOKUP(C1252,Gastos!$A$9:$J$1451,10,0),0)</f>
        <v>0</v>
      </c>
      <c r="L1252" s="86">
        <f t="shared" si="39"/>
        <v>-8025.1200000001118</v>
      </c>
      <c r="M1252" s="94">
        <f t="shared" ref="M1252:M1256" si="40">+D1252-I1252-J1252-K1252-L1252</f>
        <v>-1337520</v>
      </c>
      <c r="O1252" s="1"/>
    </row>
    <row r="1253" spans="1:17" hidden="1">
      <c r="A1253" s="1" t="s">
        <v>1377</v>
      </c>
      <c r="B1253" s="1" t="s">
        <v>1388</v>
      </c>
      <c r="C1253" s="71">
        <v>130657203582</v>
      </c>
      <c r="D1253" s="3">
        <v>-53836.09</v>
      </c>
      <c r="E1253" s="3">
        <v>13995299.529999999</v>
      </c>
      <c r="F1253" s="1" t="s">
        <v>3066</v>
      </c>
      <c r="G1253" s="19">
        <f t="shared" si="37"/>
        <v>-53514.999999999993</v>
      </c>
      <c r="H1253" s="19">
        <f t="shared" si="38"/>
        <v>-321.09000000000378</v>
      </c>
      <c r="I1253" s="19">
        <f>-IFERROR(VLOOKUP(C1253,SIRCUPA!$A$21:$H$221,8,0),0)</f>
        <v>0</v>
      </c>
      <c r="J1253" s="86">
        <f>-IFERROR(VLOOKUP(C1253,SIRTAC!$A$16:$H$1458,8,0),0)</f>
        <v>0</v>
      </c>
      <c r="K1253" s="86">
        <f>-IFERROR(VLOOKUP(C1253,Gastos!$A$9:$J$1451,10,0),0)</f>
        <v>0</v>
      </c>
      <c r="L1253" s="86">
        <f t="shared" si="39"/>
        <v>-321.09000000000378</v>
      </c>
      <c r="M1253" s="94">
        <f t="shared" si="40"/>
        <v>-53514.999999999993</v>
      </c>
      <c r="O1253" s="1"/>
    </row>
    <row r="1254" spans="1:17" hidden="1">
      <c r="A1254" s="1" t="s">
        <v>1377</v>
      </c>
      <c r="B1254" s="1" t="s">
        <v>1388</v>
      </c>
      <c r="C1254" s="71">
        <v>130657431704</v>
      </c>
      <c r="D1254" s="3">
        <v>-52539.360000000001</v>
      </c>
      <c r="E1254" s="3">
        <v>13942760.17</v>
      </c>
      <c r="F1254" s="1" t="s">
        <v>3066</v>
      </c>
      <c r="G1254" s="19">
        <f t="shared" si="37"/>
        <v>-52226.00397614314</v>
      </c>
      <c r="H1254" s="19">
        <f t="shared" si="38"/>
        <v>-313.3560238568607</v>
      </c>
      <c r="I1254" s="19">
        <f>-IFERROR(VLOOKUP(C1254,SIRCUPA!$A$21:$H$221,8,0),0)</f>
        <v>0</v>
      </c>
      <c r="J1254" s="86">
        <f>-IFERROR(VLOOKUP(C1254,SIRTAC!$A$16:$H$1458,8,0),0)</f>
        <v>0</v>
      </c>
      <c r="K1254" s="86">
        <f>-IFERROR(VLOOKUP(C1254,Gastos!$A$9:$J$1451,10,0),0)</f>
        <v>0</v>
      </c>
      <c r="L1254" s="86">
        <f t="shared" si="39"/>
        <v>-313.3560238568607</v>
      </c>
      <c r="M1254" s="94">
        <f t="shared" si="40"/>
        <v>-52226.00397614314</v>
      </c>
      <c r="O1254" s="1"/>
    </row>
    <row r="1255" spans="1:17" hidden="1">
      <c r="A1255" s="1" t="s">
        <v>1377</v>
      </c>
      <c r="B1255" s="1" t="s">
        <v>1388</v>
      </c>
      <c r="C1255" s="71">
        <v>130657597610</v>
      </c>
      <c r="D1255" s="3">
        <v>-24797.9</v>
      </c>
      <c r="E1255" s="3">
        <v>13917962.27</v>
      </c>
      <c r="F1255" s="1" t="s">
        <v>3066</v>
      </c>
      <c r="G1255" s="19">
        <f t="shared" si="37"/>
        <v>-24650</v>
      </c>
      <c r="H1255" s="19">
        <f t="shared" si="38"/>
        <v>-147.90000000000146</v>
      </c>
      <c r="I1255" s="19">
        <f>-IFERROR(VLOOKUP(C1255,SIRCUPA!$A$21:$H$221,8,0),0)</f>
        <v>0</v>
      </c>
      <c r="J1255" s="86">
        <f>-IFERROR(VLOOKUP(C1255,SIRTAC!$A$16:$H$1458,8,0),0)</f>
        <v>0</v>
      </c>
      <c r="K1255" s="86">
        <f>-IFERROR(VLOOKUP(C1255,Gastos!$A$9:$J$1451,10,0),0)</f>
        <v>0</v>
      </c>
      <c r="L1255" s="86">
        <f t="shared" si="39"/>
        <v>-147.90000000000146</v>
      </c>
      <c r="M1255" s="94">
        <f t="shared" si="40"/>
        <v>-24650</v>
      </c>
      <c r="O1255" s="1"/>
    </row>
    <row r="1256" spans="1:17" hidden="1">
      <c r="A1256" s="1" t="s">
        <v>1377</v>
      </c>
      <c r="B1256" s="1" t="s">
        <v>1388</v>
      </c>
      <c r="C1256" s="71">
        <v>130657817644</v>
      </c>
      <c r="D1256" s="3">
        <v>-8048</v>
      </c>
      <c r="E1256" s="3">
        <v>13909914.27</v>
      </c>
      <c r="F1256" s="1" t="s">
        <v>3066</v>
      </c>
      <c r="G1256" s="19">
        <f t="shared" si="37"/>
        <v>-8000</v>
      </c>
      <c r="H1256" s="19">
        <f t="shared" si="38"/>
        <v>-48</v>
      </c>
      <c r="I1256" s="19">
        <f>-IFERROR(VLOOKUP(C1256,SIRCUPA!$A$21:$H$221,8,0),0)</f>
        <v>0</v>
      </c>
      <c r="J1256" s="86">
        <f>-IFERROR(VLOOKUP(C1256,SIRTAC!$A$16:$H$1458,8,0),0)</f>
        <v>0</v>
      </c>
      <c r="K1256" s="86">
        <f>-IFERROR(VLOOKUP(C1256,Gastos!$A$9:$J$1451,10,0),0)</f>
        <v>0</v>
      </c>
      <c r="L1256" s="86">
        <f t="shared" si="39"/>
        <v>-48</v>
      </c>
      <c r="M1256" s="94">
        <f t="shared" si="40"/>
        <v>-8000</v>
      </c>
      <c r="O1256" s="1"/>
    </row>
    <row r="1257" spans="1:17" hidden="1">
      <c r="A1257" s="1" t="s">
        <v>1400</v>
      </c>
      <c r="B1257" s="1" t="s">
        <v>15</v>
      </c>
      <c r="C1257" s="71">
        <v>130362900393</v>
      </c>
      <c r="D1257" s="3">
        <v>17760.36</v>
      </c>
      <c r="E1257" s="3">
        <v>10936756.609999999</v>
      </c>
      <c r="F1257" s="1" t="s">
        <v>3065</v>
      </c>
      <c r="G1257"/>
      <c r="H1257"/>
      <c r="I1257" s="19">
        <f>-IFERROR(VLOOKUP(C1257,SIRCUPA!$A$21:$H$221,8,0),0)</f>
        <v>0</v>
      </c>
      <c r="J1257" s="86">
        <f>-IFERROR(VLOOKUP(C1257,SIRTAC!$A$16:$H$1458,8,0),0)</f>
        <v>-188</v>
      </c>
      <c r="K1257" s="86">
        <f>-IFERROR(VLOOKUP(C1257,Gastos!$A$9:$J$1451,10,0),0)</f>
        <v>-738.84</v>
      </c>
      <c r="L1257" s="86">
        <f>-IFERROR(VLOOKUP(C1257,IDC!$A$20:$H$1763,8,0),0)</f>
        <v>-112.8</v>
      </c>
      <c r="M1257" s="95">
        <f t="shared" ref="M1257:M1297" si="41">+D1257-I1257-J1257-K1257-L1257</f>
        <v>18800</v>
      </c>
      <c r="O1257" s="1"/>
    </row>
    <row r="1258" spans="1:17" hidden="1">
      <c r="A1258" s="1" t="s">
        <v>1400</v>
      </c>
      <c r="B1258" s="1" t="s">
        <v>15</v>
      </c>
      <c r="C1258" s="71">
        <v>130362869487</v>
      </c>
      <c r="D1258" s="3">
        <v>14798.77</v>
      </c>
      <c r="E1258" s="3">
        <v>10951555.380000001</v>
      </c>
      <c r="F1258" s="1" t="s">
        <v>3065</v>
      </c>
      <c r="G1258"/>
      <c r="H1258"/>
      <c r="I1258" s="19">
        <f>-IFERROR(VLOOKUP(C1258,SIRCUPA!$A$21:$H$221,8,0),0)</f>
        <v>0</v>
      </c>
      <c r="J1258" s="86">
        <f>-IFERROR(VLOOKUP(C1258,SIRTAC!$A$16:$H$1458,8,0),0)</f>
        <v>-163</v>
      </c>
      <c r="K1258" s="86">
        <f>-IFERROR(VLOOKUP(C1258,Gastos!$A$9:$J$1451,10,0),0)</f>
        <v>-1240.43</v>
      </c>
      <c r="L1258" s="86">
        <f>-IFERROR(VLOOKUP(C1258,IDC!$A$20:$H$1763,8,0),0)</f>
        <v>-97.8</v>
      </c>
      <c r="M1258" s="95">
        <f t="shared" si="41"/>
        <v>16300</v>
      </c>
      <c r="O1258" s="1"/>
    </row>
    <row r="1259" spans="1:17" hidden="1">
      <c r="A1259" s="1" t="s">
        <v>1400</v>
      </c>
      <c r="B1259" s="1" t="s">
        <v>15</v>
      </c>
      <c r="C1259" s="71">
        <v>130363959471</v>
      </c>
      <c r="D1259" s="3">
        <v>4092.06</v>
      </c>
      <c r="E1259" s="3">
        <v>10955647.439999999</v>
      </c>
      <c r="F1259" s="1" t="s">
        <v>3065</v>
      </c>
      <c r="G1259"/>
      <c r="H1259"/>
      <c r="I1259" s="19">
        <f>-IFERROR(VLOOKUP(C1259,SIRCUPA!$A$21:$H$221,8,0),0)</f>
        <v>0</v>
      </c>
      <c r="J1259" s="86">
        <f>-IFERROR(VLOOKUP(C1259,SIRTAC!$A$16:$H$1458,8,0),0)</f>
        <v>-42</v>
      </c>
      <c r="K1259" s="86">
        <f>-IFERROR(VLOOKUP(C1259,Gastos!$A$9:$J$1451,10,0),0)</f>
        <v>-40.74</v>
      </c>
      <c r="L1259" s="86">
        <f>-IFERROR(VLOOKUP(C1259,IDC!$A$20:$H$1763,8,0),0)</f>
        <v>-25.2</v>
      </c>
      <c r="M1259" s="95">
        <f t="shared" si="41"/>
        <v>4199.9999999999991</v>
      </c>
      <c r="O1259" s="1"/>
    </row>
    <row r="1260" spans="1:17" hidden="1">
      <c r="A1260" s="1" t="s">
        <v>1400</v>
      </c>
      <c r="B1260" s="1" t="s">
        <v>15</v>
      </c>
      <c r="C1260" s="71">
        <v>130950649594</v>
      </c>
      <c r="D1260" s="3">
        <v>9258.06</v>
      </c>
      <c r="E1260" s="3">
        <v>10964905.5</v>
      </c>
      <c r="F1260" s="1" t="s">
        <v>3065</v>
      </c>
      <c r="G1260"/>
      <c r="H1260"/>
      <c r="I1260" s="19">
        <f>-IFERROR(VLOOKUP(C1260,SIRCUPA!$A$21:$H$221,8,0),0)</f>
        <v>0</v>
      </c>
      <c r="J1260" s="86">
        <f>-IFERROR(VLOOKUP(C1260,SIRTAC!$A$16:$H$1458,8,0),0)</f>
        <v>-98</v>
      </c>
      <c r="K1260" s="86">
        <f>-IFERROR(VLOOKUP(C1260,Gastos!$A$9:$J$1451,10,0),0)</f>
        <v>-385.14</v>
      </c>
      <c r="L1260" s="86">
        <f>-IFERROR(VLOOKUP(C1260,IDC!$A$20:$H$1763,8,0),0)</f>
        <v>-58.8</v>
      </c>
      <c r="M1260" s="95">
        <f t="shared" si="41"/>
        <v>9799.9999999999982</v>
      </c>
      <c r="O1260" s="1"/>
    </row>
    <row r="1261" spans="1:17" hidden="1">
      <c r="A1261" s="1" t="s">
        <v>1400</v>
      </c>
      <c r="B1261" s="1" t="s">
        <v>15</v>
      </c>
      <c r="C1261" s="71">
        <v>130951377050</v>
      </c>
      <c r="D1261" s="3">
        <v>4676.6400000000003</v>
      </c>
      <c r="E1261" s="3">
        <v>10969582.140000001</v>
      </c>
      <c r="F1261" s="1" t="s">
        <v>3065</v>
      </c>
      <c r="G1261"/>
      <c r="H1261"/>
      <c r="I1261" s="19">
        <f>-IFERROR(VLOOKUP(C1261,SIRCUPA!$A$21:$H$221,8,0),0)</f>
        <v>0</v>
      </c>
      <c r="J1261" s="86">
        <f>-IFERROR(VLOOKUP(C1261,SIRTAC!$A$16:$H$1458,8,0),0)</f>
        <v>-48</v>
      </c>
      <c r="K1261" s="86">
        <f>-IFERROR(VLOOKUP(C1261,Gastos!$A$9:$J$1451,10,0),0)</f>
        <v>-46.56</v>
      </c>
      <c r="L1261" s="86">
        <f>-IFERROR(VLOOKUP(C1261,IDC!$A$20:$H$1763,8,0),0)</f>
        <v>-28.8</v>
      </c>
      <c r="M1261" s="95">
        <f t="shared" si="41"/>
        <v>4800.0000000000009</v>
      </c>
      <c r="O1261" s="1"/>
    </row>
    <row r="1262" spans="1:17" hidden="1">
      <c r="A1262" s="1" t="s">
        <v>1400</v>
      </c>
      <c r="B1262" s="1" t="s">
        <v>1412</v>
      </c>
      <c r="C1262" s="71">
        <v>130367507575</v>
      </c>
      <c r="D1262" s="2">
        <v>469.92</v>
      </c>
      <c r="E1262" s="3">
        <v>10970052.060000001</v>
      </c>
      <c r="F1262" s="1" t="s">
        <v>3065</v>
      </c>
      <c r="G1262"/>
      <c r="H1262"/>
      <c r="I1262" s="19">
        <f>-IFERROR(VLOOKUP(C1262,SIRCUPA!$A$21:$H$221,8,0),0)</f>
        <v>-7.2</v>
      </c>
      <c r="J1262" s="86">
        <f>-IFERROR(VLOOKUP(C1262,SIRTAC!$A$16:$H$1458,8,0),0)</f>
        <v>0</v>
      </c>
      <c r="K1262" s="86">
        <f>-IFERROR(VLOOKUP(C1262,Gastos!$A$9:$J$1451,10,0),0)</f>
        <v>0</v>
      </c>
      <c r="L1262" s="86">
        <f>-IFERROR(VLOOKUP(C1262,IDC!$A$20:$H$1763,8,0),0)</f>
        <v>-2.88</v>
      </c>
      <c r="M1262" s="95">
        <f t="shared" si="41"/>
        <v>480</v>
      </c>
      <c r="O1262" s="1"/>
    </row>
    <row r="1263" spans="1:17" hidden="1">
      <c r="A1263" s="1" t="s">
        <v>1400</v>
      </c>
      <c r="B1263" s="1" t="s">
        <v>15</v>
      </c>
      <c r="C1263" s="71">
        <v>130953076190</v>
      </c>
      <c r="D1263" s="3">
        <v>23381.25</v>
      </c>
      <c r="E1263" s="3">
        <v>10993433.310000001</v>
      </c>
      <c r="F1263" s="1" t="s">
        <v>3065</v>
      </c>
      <c r="G1263"/>
      <c r="H1263"/>
      <c r="I1263" s="19">
        <f>-IFERROR(VLOOKUP(C1263,SIRCUPA!$A$21:$H$221,8,0),0)</f>
        <v>0</v>
      </c>
      <c r="J1263" s="86">
        <f>-IFERROR(VLOOKUP(C1263,SIRTAC!$A$16:$H$1458,8,0),0)</f>
        <v>-239.98</v>
      </c>
      <c r="K1263" s="86">
        <f>-IFERROR(VLOOKUP(C1263,Gastos!$A$9:$J$1451,10,0),0)</f>
        <v>-232.78</v>
      </c>
      <c r="L1263" s="86">
        <f>-IFERROR(VLOOKUP(C1263,IDC!$A$20:$H$1763,8,0),0)</f>
        <v>-143.99</v>
      </c>
      <c r="M1263" s="95">
        <f t="shared" si="41"/>
        <v>23998</v>
      </c>
      <c r="O1263" s="1"/>
    </row>
    <row r="1264" spans="1:17" hidden="1">
      <c r="A1264" s="1" t="s">
        <v>1400</v>
      </c>
      <c r="B1264" s="1" t="s">
        <v>15</v>
      </c>
      <c r="C1264" s="71">
        <v>130953551734</v>
      </c>
      <c r="D1264" s="3">
        <v>4676.6400000000003</v>
      </c>
      <c r="E1264" s="3">
        <v>10998109.949999999</v>
      </c>
      <c r="F1264" s="1" t="s">
        <v>3065</v>
      </c>
      <c r="G1264"/>
      <c r="H1264"/>
      <c r="I1264" s="19">
        <f>-IFERROR(VLOOKUP(C1264,SIRCUPA!$A$21:$H$221,8,0),0)</f>
        <v>0</v>
      </c>
      <c r="J1264" s="86">
        <f>-IFERROR(VLOOKUP(C1264,SIRTAC!$A$16:$H$1458,8,0),0)</f>
        <v>-48</v>
      </c>
      <c r="K1264" s="86">
        <f>-IFERROR(VLOOKUP(C1264,Gastos!$A$9:$J$1451,10,0),0)</f>
        <v>-46.56</v>
      </c>
      <c r="L1264" s="86">
        <f>-IFERROR(VLOOKUP(C1264,IDC!$A$20:$H$1763,8,0),0)</f>
        <v>-28.8</v>
      </c>
      <c r="M1264" s="95">
        <f t="shared" si="41"/>
        <v>4800.0000000000009</v>
      </c>
      <c r="O1264" s="1"/>
    </row>
    <row r="1265" spans="1:15" hidden="1">
      <c r="A1265" s="1" t="s">
        <v>1400</v>
      </c>
      <c r="B1265" s="1" t="s">
        <v>15</v>
      </c>
      <c r="C1265" s="71">
        <v>130372082339</v>
      </c>
      <c r="D1265" s="3">
        <v>56018.82</v>
      </c>
      <c r="E1265" s="3">
        <v>11054128.77</v>
      </c>
      <c r="F1265" s="1" t="s">
        <v>3065</v>
      </c>
      <c r="G1265"/>
      <c r="H1265"/>
      <c r="I1265" s="19">
        <f>-IFERROR(VLOOKUP(C1265,SIRCUPA!$A$21:$H$221,8,0),0)</f>
        <v>0</v>
      </c>
      <c r="J1265" s="86">
        <f>-IFERROR(VLOOKUP(C1265,SIRTAC!$A$16:$H$1458,8,0),0)</f>
        <v>-592.98</v>
      </c>
      <c r="K1265" s="86">
        <f>-IFERROR(VLOOKUP(C1265,Gastos!$A$9:$J$1451,10,0),0)</f>
        <v>-2330.41</v>
      </c>
      <c r="L1265" s="86">
        <f>-IFERROR(VLOOKUP(C1265,IDC!$A$20:$H$1763,8,0),0)</f>
        <v>-355.79</v>
      </c>
      <c r="M1265" s="95">
        <f t="shared" si="41"/>
        <v>59298.000000000007</v>
      </c>
      <c r="O1265" s="1"/>
    </row>
    <row r="1266" spans="1:15" hidden="1">
      <c r="A1266" s="1" t="s">
        <v>1400</v>
      </c>
      <c r="B1266" s="1" t="s">
        <v>15</v>
      </c>
      <c r="C1266" s="71">
        <v>130372023691</v>
      </c>
      <c r="D1266" s="3">
        <v>17245.11</v>
      </c>
      <c r="E1266" s="3">
        <v>11071373.880000001</v>
      </c>
      <c r="F1266" s="1" t="s">
        <v>3065</v>
      </c>
      <c r="G1266"/>
      <c r="H1266"/>
      <c r="I1266" s="19">
        <f>-IFERROR(VLOOKUP(C1266,SIRCUPA!$A$21:$H$221,8,0),0)</f>
        <v>0</v>
      </c>
      <c r="J1266" s="86">
        <f>-IFERROR(VLOOKUP(C1266,SIRTAC!$A$16:$H$1458,8,0),0)</f>
        <v>-177</v>
      </c>
      <c r="K1266" s="86">
        <f>-IFERROR(VLOOKUP(C1266,Gastos!$A$9:$J$1451,10,0),0)</f>
        <v>-171.69</v>
      </c>
      <c r="L1266" s="86">
        <f>-IFERROR(VLOOKUP(C1266,IDC!$A$20:$H$1763,8,0),0)</f>
        <v>-106.2</v>
      </c>
      <c r="M1266" s="95">
        <f t="shared" si="41"/>
        <v>17700</v>
      </c>
      <c r="O1266" s="1"/>
    </row>
    <row r="1267" spans="1:15" hidden="1">
      <c r="A1267" s="1" t="s">
        <v>1400</v>
      </c>
      <c r="B1267" s="1" t="s">
        <v>15</v>
      </c>
      <c r="C1267" s="71">
        <v>130958785182</v>
      </c>
      <c r="D1267" s="3">
        <v>9104.42</v>
      </c>
      <c r="E1267" s="3">
        <v>11080478.300000001</v>
      </c>
      <c r="F1267" s="1" t="s">
        <v>3065</v>
      </c>
      <c r="G1267"/>
      <c r="H1267"/>
      <c r="I1267" s="19">
        <f>-IFERROR(VLOOKUP(C1267,SIRCUPA!$A$21:$H$221,8,0),0)</f>
        <v>0</v>
      </c>
      <c r="J1267" s="86">
        <f>-IFERROR(VLOOKUP(C1267,SIRTAC!$A$16:$H$1458,8,0),0)</f>
        <v>-97</v>
      </c>
      <c r="K1267" s="86">
        <f>-IFERROR(VLOOKUP(C1267,Gastos!$A$9:$J$1451,10,0),0)</f>
        <v>-440.38</v>
      </c>
      <c r="L1267" s="86">
        <f>-IFERROR(VLOOKUP(C1267,IDC!$A$20:$H$1763,8,0),0)</f>
        <v>-58.2</v>
      </c>
      <c r="M1267" s="95">
        <f t="shared" si="41"/>
        <v>9700</v>
      </c>
      <c r="O1267" s="1"/>
    </row>
    <row r="1268" spans="1:15" hidden="1">
      <c r="A1268" s="1" t="s">
        <v>1400</v>
      </c>
      <c r="B1268" s="1" t="s">
        <v>15</v>
      </c>
      <c r="C1268" s="71">
        <v>130959127036</v>
      </c>
      <c r="D1268" s="3">
        <v>5066.3599999999997</v>
      </c>
      <c r="E1268" s="3">
        <v>11085544.66</v>
      </c>
      <c r="F1268" s="1" t="s">
        <v>3065</v>
      </c>
      <c r="G1268"/>
      <c r="H1268"/>
      <c r="I1268" s="19">
        <f>-IFERROR(VLOOKUP(C1268,SIRCUPA!$A$21:$H$221,8,0),0)</f>
        <v>0</v>
      </c>
      <c r="J1268" s="86">
        <f>-IFERROR(VLOOKUP(C1268,SIRTAC!$A$16:$H$1458,8,0),0)</f>
        <v>-52</v>
      </c>
      <c r="K1268" s="86">
        <f>-IFERROR(VLOOKUP(C1268,Gastos!$A$9:$J$1451,10,0),0)</f>
        <v>-50.44</v>
      </c>
      <c r="L1268" s="86">
        <f>-IFERROR(VLOOKUP(C1268,IDC!$A$20:$H$1763,8,0),0)</f>
        <v>-31.2</v>
      </c>
      <c r="M1268" s="95">
        <f t="shared" si="41"/>
        <v>5199.9999999999991</v>
      </c>
      <c r="O1268" s="1"/>
    </row>
    <row r="1269" spans="1:15" hidden="1">
      <c r="A1269" s="1" t="s">
        <v>1400</v>
      </c>
      <c r="B1269" s="1" t="s">
        <v>15</v>
      </c>
      <c r="C1269" s="71">
        <v>130961561984</v>
      </c>
      <c r="D1269" s="3">
        <v>55931.12</v>
      </c>
      <c r="E1269" s="3">
        <v>11141475.779999999</v>
      </c>
      <c r="F1269" s="1" t="s">
        <v>3065</v>
      </c>
      <c r="G1269"/>
      <c r="H1269"/>
      <c r="I1269" s="19">
        <f>-IFERROR(VLOOKUP(C1269,SIRCUPA!$A$21:$H$221,8,0),0)</f>
        <v>0</v>
      </c>
      <c r="J1269" s="86">
        <f>-IFERROR(VLOOKUP(C1269,SIRTAC!$A$16:$H$1458,8,0),0)</f>
        <v>-577.98</v>
      </c>
      <c r="K1269" s="86">
        <f>-IFERROR(VLOOKUP(C1269,Gastos!$A$9:$J$1451,10,0),0)</f>
        <v>-942.11</v>
      </c>
      <c r="L1269" s="86">
        <f>-IFERROR(VLOOKUP(C1269,IDC!$A$20:$H$1763,8,0),0)</f>
        <v>-346.79</v>
      </c>
      <c r="M1269" s="95">
        <f t="shared" si="41"/>
        <v>57798.000000000007</v>
      </c>
      <c r="O1269" s="1"/>
    </row>
    <row r="1270" spans="1:15" hidden="1">
      <c r="A1270" s="1" t="s">
        <v>1400</v>
      </c>
      <c r="B1270" s="1" t="s">
        <v>15</v>
      </c>
      <c r="C1270" s="71">
        <v>130378510101</v>
      </c>
      <c r="D1270" s="3">
        <v>9158.42</v>
      </c>
      <c r="E1270" s="3">
        <v>11150634.199999999</v>
      </c>
      <c r="F1270" s="1" t="s">
        <v>3065</v>
      </c>
      <c r="G1270"/>
      <c r="H1270"/>
      <c r="I1270" s="19">
        <f>-IFERROR(VLOOKUP(C1270,SIRCUPA!$A$21:$H$221,8,0),0)</f>
        <v>0</v>
      </c>
      <c r="J1270" s="86">
        <f>-IFERROR(VLOOKUP(C1270,SIRTAC!$A$16:$H$1458,8,0),0)</f>
        <v>-94</v>
      </c>
      <c r="K1270" s="86">
        <f>-IFERROR(VLOOKUP(C1270,Gastos!$A$9:$J$1451,10,0),0)</f>
        <v>-91.18</v>
      </c>
      <c r="L1270" s="86">
        <f>-IFERROR(VLOOKUP(C1270,IDC!$A$20:$H$1763,8,0),0)</f>
        <v>-56.4</v>
      </c>
      <c r="M1270" s="95">
        <f t="shared" si="41"/>
        <v>9400</v>
      </c>
      <c r="O1270" s="1"/>
    </row>
    <row r="1271" spans="1:15" hidden="1">
      <c r="A1271" s="1" t="s">
        <v>1400</v>
      </c>
      <c r="B1271" s="1" t="s">
        <v>1422</v>
      </c>
      <c r="C1271" s="71">
        <v>130378434449</v>
      </c>
      <c r="D1271" s="2">
        <v>460.13</v>
      </c>
      <c r="E1271" s="3">
        <v>11151094.33</v>
      </c>
      <c r="F1271" s="1" t="s">
        <v>3065</v>
      </c>
      <c r="G1271"/>
      <c r="H1271"/>
      <c r="I1271" s="19">
        <f>-IFERROR(VLOOKUP(C1271,SIRCUPA!$A$21:$H$221,8,0),0)</f>
        <v>-7.05</v>
      </c>
      <c r="J1271" s="86">
        <f>-IFERROR(VLOOKUP(C1271,SIRTAC!$A$16:$H$1458,8,0),0)</f>
        <v>0</v>
      </c>
      <c r="K1271" s="86">
        <f>-IFERROR(VLOOKUP(C1271,Gastos!$A$9:$J$1451,10,0),0)</f>
        <v>0</v>
      </c>
      <c r="L1271" s="86">
        <f>-IFERROR(VLOOKUP(C1271,IDC!$A$20:$H$1763,8,0),0)</f>
        <v>-2.82</v>
      </c>
      <c r="M1271" s="95">
        <f t="shared" si="41"/>
        <v>470</v>
      </c>
      <c r="O1271" s="1"/>
    </row>
    <row r="1272" spans="1:15" hidden="1">
      <c r="A1272" s="1" t="s">
        <v>1400</v>
      </c>
      <c r="B1272" s="1" t="s">
        <v>15</v>
      </c>
      <c r="C1272" s="71">
        <v>130378665767</v>
      </c>
      <c r="D1272" s="3">
        <v>44328.7</v>
      </c>
      <c r="E1272" s="3">
        <v>11195423.029999999</v>
      </c>
      <c r="F1272" s="1" t="s">
        <v>3065</v>
      </c>
      <c r="G1272"/>
      <c r="H1272"/>
      <c r="I1272" s="19">
        <f>-IFERROR(VLOOKUP(C1272,SIRCUPA!$A$21:$H$221,8,0),0)</f>
        <v>0</v>
      </c>
      <c r="J1272" s="86">
        <f>-IFERROR(VLOOKUP(C1272,SIRTAC!$A$16:$H$1458,8,0),0)</f>
        <v>-454.98</v>
      </c>
      <c r="K1272" s="86">
        <f>-IFERROR(VLOOKUP(C1272,Gastos!$A$9:$J$1451,10,0),0)</f>
        <v>-441.33</v>
      </c>
      <c r="L1272" s="86">
        <f>-IFERROR(VLOOKUP(C1272,IDC!$A$20:$H$1763,8,0),0)</f>
        <v>-272.99</v>
      </c>
      <c r="M1272" s="95">
        <f t="shared" si="41"/>
        <v>45498</v>
      </c>
      <c r="O1272" s="1"/>
    </row>
    <row r="1273" spans="1:15" hidden="1">
      <c r="A1273" s="1" t="s">
        <v>1400</v>
      </c>
      <c r="B1273" s="1" t="s">
        <v>15</v>
      </c>
      <c r="C1273" s="71">
        <v>130379169891</v>
      </c>
      <c r="D1273" s="3">
        <v>28985.42</v>
      </c>
      <c r="E1273" s="3">
        <v>11224408.449999999</v>
      </c>
      <c r="F1273" s="1" t="s">
        <v>3065</v>
      </c>
      <c r="G1273"/>
      <c r="H1273"/>
      <c r="I1273" s="19">
        <f>-IFERROR(VLOOKUP(C1273,SIRCUPA!$A$21:$H$221,8,0),0)</f>
        <v>0</v>
      </c>
      <c r="J1273" s="86">
        <f>-IFERROR(VLOOKUP(C1273,SIRTAC!$A$16:$H$1458,8,0),0)</f>
        <v>-297.5</v>
      </c>
      <c r="K1273" s="86">
        <f>-IFERROR(VLOOKUP(C1273,Gastos!$A$9:$J$1451,10,0),0)</f>
        <v>-288.58</v>
      </c>
      <c r="L1273" s="86">
        <f>-IFERROR(VLOOKUP(C1273,IDC!$A$20:$H$1763,8,0),0)</f>
        <v>-178.5</v>
      </c>
      <c r="M1273" s="95">
        <f t="shared" si="41"/>
        <v>29750</v>
      </c>
      <c r="O1273" s="1"/>
    </row>
    <row r="1274" spans="1:15" hidden="1">
      <c r="A1274" s="1" t="s">
        <v>1400</v>
      </c>
      <c r="B1274" s="1" t="s">
        <v>15</v>
      </c>
      <c r="C1274" s="71">
        <v>130380339005</v>
      </c>
      <c r="D1274" s="3">
        <v>42852.88</v>
      </c>
      <c r="E1274" s="3">
        <v>11267261.33</v>
      </c>
      <c r="F1274" s="1" t="s">
        <v>3065</v>
      </c>
      <c r="G1274"/>
      <c r="H1274"/>
      <c r="I1274" s="19">
        <f>-IFERROR(VLOOKUP(C1274,SIRCUPA!$A$21:$H$221,8,0),0)</f>
        <v>0</v>
      </c>
      <c r="J1274" s="86">
        <f>-IFERROR(VLOOKUP(C1274,SIRTAC!$A$16:$H$1458,8,0),0)</f>
        <v>-472</v>
      </c>
      <c r="K1274" s="86">
        <f>-IFERROR(VLOOKUP(C1274,Gastos!$A$9:$J$1451,10,0),0)</f>
        <v>-3591.92</v>
      </c>
      <c r="L1274" s="86">
        <f>-IFERROR(VLOOKUP(C1274,IDC!$A$20:$H$1763,8,0),0)</f>
        <v>-283.2</v>
      </c>
      <c r="M1274" s="95">
        <f t="shared" si="41"/>
        <v>47199.999999999993</v>
      </c>
      <c r="O1274" s="1"/>
    </row>
    <row r="1275" spans="1:15" hidden="1">
      <c r="A1275" s="1" t="s">
        <v>1400</v>
      </c>
      <c r="B1275" s="1" t="s">
        <v>15</v>
      </c>
      <c r="C1275" s="71">
        <v>130964053848</v>
      </c>
      <c r="D1275" s="3">
        <v>42126.559999999998</v>
      </c>
      <c r="E1275" s="3">
        <v>11309387.890000001</v>
      </c>
      <c r="F1275" s="1" t="s">
        <v>3065</v>
      </c>
      <c r="G1275"/>
      <c r="H1275"/>
      <c r="I1275" s="19">
        <f>-IFERROR(VLOOKUP(C1275,SIRCUPA!$A$21:$H$221,8,0),0)</f>
        <v>0</v>
      </c>
      <c r="J1275" s="86">
        <f>-IFERROR(VLOOKUP(C1275,SIRTAC!$A$16:$H$1458,8,0),0)</f>
        <v>-464</v>
      </c>
      <c r="K1275" s="86">
        <f>-IFERROR(VLOOKUP(C1275,Gastos!$A$9:$J$1451,10,0),0)</f>
        <v>-3531.04</v>
      </c>
      <c r="L1275" s="86">
        <f>-IFERROR(VLOOKUP(C1275,IDC!$A$20:$H$1763,8,0),0)</f>
        <v>-278.39999999999998</v>
      </c>
      <c r="M1275" s="95">
        <f t="shared" si="41"/>
        <v>46400</v>
      </c>
      <c r="O1275" s="1"/>
    </row>
    <row r="1276" spans="1:15" hidden="1">
      <c r="A1276" s="1" t="s">
        <v>1428</v>
      </c>
      <c r="B1276" s="1" t="s">
        <v>15</v>
      </c>
      <c r="C1276" s="71">
        <v>130965083356</v>
      </c>
      <c r="D1276" s="3">
        <v>20655.16</v>
      </c>
      <c r="E1276" s="3">
        <v>11330043.050000001</v>
      </c>
      <c r="F1276" s="1" t="s">
        <v>3065</v>
      </c>
      <c r="G1276"/>
      <c r="H1276"/>
      <c r="I1276" s="19">
        <f>-IFERROR(VLOOKUP(C1276,SIRCUPA!$A$21:$H$221,8,0),0)</f>
        <v>0</v>
      </c>
      <c r="J1276" s="86">
        <f>-IFERROR(VLOOKUP(C1276,SIRTAC!$A$16:$H$1458,8,0),0)</f>
        <v>-212</v>
      </c>
      <c r="K1276" s="86">
        <f>-IFERROR(VLOOKUP(C1276,Gastos!$A$9:$J$1451,10,0),0)</f>
        <v>-205.64</v>
      </c>
      <c r="L1276" s="86">
        <f>-IFERROR(VLOOKUP(C1276,IDC!$A$20:$H$1763,8,0),0)</f>
        <v>-127.2</v>
      </c>
      <c r="M1276" s="95">
        <f t="shared" si="41"/>
        <v>21200</v>
      </c>
      <c r="O1276" s="1"/>
    </row>
    <row r="1277" spans="1:15" hidden="1">
      <c r="A1277" s="1" t="s">
        <v>1428</v>
      </c>
      <c r="B1277" s="1" t="s">
        <v>15</v>
      </c>
      <c r="C1277" s="71">
        <v>130381087993</v>
      </c>
      <c r="D1277" s="3">
        <v>49782.86</v>
      </c>
      <c r="E1277" s="3">
        <v>11379825.91</v>
      </c>
      <c r="F1277" s="1" t="s">
        <v>3065</v>
      </c>
      <c r="G1277"/>
      <c r="H1277"/>
      <c r="I1277" s="19">
        <f>-IFERROR(VLOOKUP(C1277,SIRCUPA!$A$21:$H$221,8,0),0)</f>
        <v>0</v>
      </c>
      <c r="J1277" s="86">
        <f>-IFERROR(VLOOKUP(C1277,SIRTAC!$A$16:$H$1458,8,0),0)</f>
        <v>-526.97</v>
      </c>
      <c r="K1277" s="86">
        <f>-IFERROR(VLOOKUP(C1277,Gastos!$A$9:$J$1451,10,0),0)</f>
        <v>-2070.9899999999998</v>
      </c>
      <c r="L1277" s="86">
        <f>-IFERROR(VLOOKUP(C1277,IDC!$A$20:$H$1763,8,0),0)</f>
        <v>-316.18</v>
      </c>
      <c r="M1277" s="95">
        <f t="shared" si="41"/>
        <v>52697</v>
      </c>
      <c r="O1277" s="1"/>
    </row>
    <row r="1278" spans="1:15" hidden="1">
      <c r="A1278" s="1" t="s">
        <v>1428</v>
      </c>
      <c r="B1278" s="1" t="s">
        <v>15</v>
      </c>
      <c r="C1278" s="71">
        <v>130381219961</v>
      </c>
      <c r="D1278" s="3">
        <v>23381.25</v>
      </c>
      <c r="E1278" s="3">
        <v>11403207.16</v>
      </c>
      <c r="F1278" s="1" t="s">
        <v>3065</v>
      </c>
      <c r="G1278"/>
      <c r="H1278"/>
      <c r="I1278" s="19">
        <f>-IFERROR(VLOOKUP(C1278,SIRCUPA!$A$21:$H$221,8,0),0)</f>
        <v>0</v>
      </c>
      <c r="J1278" s="86">
        <f>-IFERROR(VLOOKUP(C1278,SIRTAC!$A$16:$H$1458,8,0),0)</f>
        <v>-239.98</v>
      </c>
      <c r="K1278" s="86">
        <f>-IFERROR(VLOOKUP(C1278,Gastos!$A$9:$J$1451,10,0),0)</f>
        <v>-232.78</v>
      </c>
      <c r="L1278" s="86">
        <f>-IFERROR(VLOOKUP(C1278,IDC!$A$20:$H$1763,8,0),0)</f>
        <v>-143.99</v>
      </c>
      <c r="M1278" s="95">
        <f t="shared" si="41"/>
        <v>23998</v>
      </c>
      <c r="O1278" s="1"/>
    </row>
    <row r="1279" spans="1:15" hidden="1">
      <c r="A1279" s="1" t="s">
        <v>1428</v>
      </c>
      <c r="B1279" s="1" t="s">
        <v>1432</v>
      </c>
      <c r="C1279" s="71">
        <v>130965241174</v>
      </c>
      <c r="D1279" s="3">
        <v>1173.82</v>
      </c>
      <c r="E1279" s="3">
        <v>11404380.98</v>
      </c>
      <c r="F1279" s="1" t="s">
        <v>3065</v>
      </c>
      <c r="G1279"/>
      <c r="H1279"/>
      <c r="I1279" s="19">
        <f>-IFERROR(VLOOKUP(C1279,SIRCUPA!$A$21:$H$221,8,0),0)</f>
        <v>-17.989999999999998</v>
      </c>
      <c r="J1279" s="86">
        <f>-IFERROR(VLOOKUP(C1279,SIRTAC!$A$16:$H$1458,8,0),0)</f>
        <v>0</v>
      </c>
      <c r="K1279" s="86">
        <f>-IFERROR(VLOOKUP(C1279,Gastos!$A$9:$J$1451,10,0),0)</f>
        <v>0</v>
      </c>
      <c r="L1279" s="86">
        <f>-IFERROR(VLOOKUP(C1279,IDC!$A$20:$H$1763,8,0),0)</f>
        <v>-7.19</v>
      </c>
      <c r="M1279" s="95">
        <f t="shared" si="41"/>
        <v>1199</v>
      </c>
      <c r="O1279" s="1"/>
    </row>
    <row r="1280" spans="1:15" hidden="1">
      <c r="A1280" s="1" t="s">
        <v>1428</v>
      </c>
      <c r="B1280" s="1" t="s">
        <v>15</v>
      </c>
      <c r="C1280" s="71">
        <v>130966019066</v>
      </c>
      <c r="D1280" s="3">
        <v>66544.69</v>
      </c>
      <c r="E1280" s="3">
        <v>11470925.67</v>
      </c>
      <c r="F1280" s="1" t="s">
        <v>3065</v>
      </c>
      <c r="G1280"/>
      <c r="H1280"/>
      <c r="I1280" s="19">
        <f>-IFERROR(VLOOKUP(C1280,SIRCUPA!$A$21:$H$221,8,0),0)</f>
        <v>0</v>
      </c>
      <c r="J1280" s="86">
        <f>-IFERROR(VLOOKUP(C1280,SIRTAC!$A$16:$H$1458,8,0),0)</f>
        <v>-683</v>
      </c>
      <c r="K1280" s="86">
        <f>-IFERROR(VLOOKUP(C1280,Gastos!$A$9:$J$1451,10,0),0)</f>
        <v>-662.51</v>
      </c>
      <c r="L1280" s="86">
        <f>-IFERROR(VLOOKUP(C1280,IDC!$A$20:$H$1763,8,0),0)</f>
        <v>-409.8</v>
      </c>
      <c r="M1280" s="95">
        <f t="shared" si="41"/>
        <v>68300</v>
      </c>
      <c r="O1280" s="1"/>
    </row>
    <row r="1281" spans="1:15" hidden="1">
      <c r="A1281" s="1" t="s">
        <v>1428</v>
      </c>
      <c r="B1281" s="1" t="s">
        <v>15</v>
      </c>
      <c r="C1281" s="71">
        <v>130382217225</v>
      </c>
      <c r="D1281" s="3">
        <v>17927.12</v>
      </c>
      <c r="E1281" s="3">
        <v>11488852.789999999</v>
      </c>
      <c r="F1281" s="1" t="s">
        <v>3065</v>
      </c>
      <c r="G1281"/>
      <c r="H1281"/>
      <c r="I1281" s="19">
        <f>-IFERROR(VLOOKUP(C1281,SIRCUPA!$A$21:$H$221,8,0),0)</f>
        <v>0</v>
      </c>
      <c r="J1281" s="86">
        <f>-IFERROR(VLOOKUP(C1281,SIRTAC!$A$16:$H$1458,8,0),0)</f>
        <v>-184</v>
      </c>
      <c r="K1281" s="86">
        <f>-IFERROR(VLOOKUP(C1281,Gastos!$A$9:$J$1451,10,0),0)</f>
        <v>-178.48</v>
      </c>
      <c r="L1281" s="86">
        <f>-IFERROR(VLOOKUP(C1281,IDC!$A$20:$H$1763,8,0),0)</f>
        <v>-110.4</v>
      </c>
      <c r="M1281" s="95">
        <f t="shared" si="41"/>
        <v>18400</v>
      </c>
      <c r="O1281" s="1"/>
    </row>
    <row r="1282" spans="1:15" hidden="1">
      <c r="A1282" s="1" t="s">
        <v>1428</v>
      </c>
      <c r="B1282" s="1" t="s">
        <v>15</v>
      </c>
      <c r="C1282" s="71">
        <v>130968142248</v>
      </c>
      <c r="D1282" s="3">
        <v>7172.41</v>
      </c>
      <c r="E1282" s="3">
        <v>11496025.199999999</v>
      </c>
      <c r="F1282" s="1" t="s">
        <v>3065</v>
      </c>
      <c r="G1282"/>
      <c r="H1282"/>
      <c r="I1282" s="19">
        <f>-IFERROR(VLOOKUP(C1282,SIRCUPA!$A$21:$H$221,8,0),0)</f>
        <v>0</v>
      </c>
      <c r="J1282" s="86">
        <f>-IFERROR(VLOOKUP(C1282,SIRTAC!$A$16:$H$1458,8,0),0)</f>
        <v>-79</v>
      </c>
      <c r="K1282" s="86">
        <f>-IFERROR(VLOOKUP(C1282,Gastos!$A$9:$J$1451,10,0),0)</f>
        <v>-601.19000000000005</v>
      </c>
      <c r="L1282" s="86">
        <f>-IFERROR(VLOOKUP(C1282,IDC!$A$20:$H$1763,8,0),0)</f>
        <v>-47.4</v>
      </c>
      <c r="M1282" s="95">
        <f t="shared" si="41"/>
        <v>7900</v>
      </c>
      <c r="O1282" s="1"/>
    </row>
    <row r="1283" spans="1:15" hidden="1">
      <c r="A1283" s="1" t="s">
        <v>1428</v>
      </c>
      <c r="B1283" s="1" t="s">
        <v>1437</v>
      </c>
      <c r="C1283" s="71">
        <v>130384192759</v>
      </c>
      <c r="D1283" s="2">
        <v>386.7</v>
      </c>
      <c r="E1283" s="3">
        <v>11496411.9</v>
      </c>
      <c r="F1283" s="1" t="s">
        <v>3065</v>
      </c>
      <c r="G1283"/>
      <c r="H1283"/>
      <c r="I1283" s="19">
        <f>-IFERROR(VLOOKUP(C1283,SIRCUPA!$A$21:$H$221,8,0),0)</f>
        <v>-5.93</v>
      </c>
      <c r="J1283" s="86">
        <f>-IFERROR(VLOOKUP(C1283,SIRTAC!$A$16:$H$1458,8,0),0)</f>
        <v>0</v>
      </c>
      <c r="K1283" s="86">
        <f>-IFERROR(VLOOKUP(C1283,Gastos!$A$9:$J$1451,10,0),0)</f>
        <v>0</v>
      </c>
      <c r="L1283" s="86">
        <f>-IFERROR(VLOOKUP(C1283,IDC!$A$20:$H$1763,8,0),0)</f>
        <v>-2.37</v>
      </c>
      <c r="M1283" s="95">
        <f t="shared" si="41"/>
        <v>395</v>
      </c>
      <c r="O1283" s="1"/>
    </row>
    <row r="1284" spans="1:15" hidden="1">
      <c r="A1284" s="1" t="s">
        <v>1428</v>
      </c>
      <c r="B1284" s="1" t="s">
        <v>15</v>
      </c>
      <c r="C1284" s="71">
        <v>130968200228</v>
      </c>
      <c r="D1284" s="3">
        <v>3897.2</v>
      </c>
      <c r="E1284" s="3">
        <v>11500309.1</v>
      </c>
      <c r="F1284" s="1" t="s">
        <v>3065</v>
      </c>
      <c r="G1284"/>
      <c r="H1284"/>
      <c r="I1284" s="19">
        <f>-IFERROR(VLOOKUP(C1284,SIRCUPA!$A$21:$H$221,8,0),0)</f>
        <v>0</v>
      </c>
      <c r="J1284" s="86">
        <f>-IFERROR(VLOOKUP(C1284,SIRTAC!$A$16:$H$1458,8,0),0)</f>
        <v>-40</v>
      </c>
      <c r="K1284" s="86">
        <f>-IFERROR(VLOOKUP(C1284,Gastos!$A$9:$J$1451,10,0),0)</f>
        <v>-38.799999999999997</v>
      </c>
      <c r="L1284" s="86">
        <f>-IFERROR(VLOOKUP(C1284,IDC!$A$20:$H$1763,8,0),0)</f>
        <v>-24</v>
      </c>
      <c r="M1284" s="95">
        <f t="shared" si="41"/>
        <v>4000</v>
      </c>
      <c r="O1284" s="1"/>
    </row>
    <row r="1285" spans="1:15" hidden="1">
      <c r="A1285" s="1" t="s">
        <v>1428</v>
      </c>
      <c r="B1285" s="1" t="s">
        <v>1440</v>
      </c>
      <c r="C1285" s="71">
        <v>130968218136</v>
      </c>
      <c r="D1285" s="2">
        <v>195.8</v>
      </c>
      <c r="E1285" s="3">
        <v>11500504.9</v>
      </c>
      <c r="F1285" s="1" t="s">
        <v>3065</v>
      </c>
      <c r="G1285"/>
      <c r="H1285"/>
      <c r="I1285" s="19">
        <f>-IFERROR(VLOOKUP(C1285,SIRCUPA!$A$21:$H$221,8,0),0)</f>
        <v>-3</v>
      </c>
      <c r="J1285" s="86">
        <f>-IFERROR(VLOOKUP(C1285,SIRTAC!$A$16:$H$1458,8,0),0)</f>
        <v>0</v>
      </c>
      <c r="K1285" s="86">
        <f>-IFERROR(VLOOKUP(C1285,Gastos!$A$9:$J$1451,10,0),0)</f>
        <v>0</v>
      </c>
      <c r="L1285" s="86">
        <f>-IFERROR(VLOOKUP(C1285,IDC!$A$20:$H$1763,8,0),0)</f>
        <v>-1.2</v>
      </c>
      <c r="M1285" s="95">
        <f t="shared" si="41"/>
        <v>200</v>
      </c>
      <c r="O1285" s="1"/>
    </row>
    <row r="1286" spans="1:15" hidden="1">
      <c r="A1286" s="1" t="s">
        <v>1428</v>
      </c>
      <c r="B1286" s="1" t="s">
        <v>15</v>
      </c>
      <c r="C1286" s="71">
        <v>130968159374</v>
      </c>
      <c r="D1286" s="3">
        <v>26500.959999999999</v>
      </c>
      <c r="E1286" s="3">
        <v>11527005.859999999</v>
      </c>
      <c r="F1286" s="1" t="s">
        <v>3065</v>
      </c>
      <c r="G1286"/>
      <c r="H1286"/>
      <c r="I1286" s="19">
        <f>-IFERROR(VLOOKUP(C1286,SIRCUPA!$A$21:$H$221,8,0),0)</f>
        <v>0</v>
      </c>
      <c r="J1286" s="86">
        <f>-IFERROR(VLOOKUP(C1286,SIRTAC!$A$16:$H$1458,8,0),0)</f>
        <v>-272</v>
      </c>
      <c r="K1286" s="86">
        <f>-IFERROR(VLOOKUP(C1286,Gastos!$A$9:$J$1451,10,0),0)</f>
        <v>-263.83999999999997</v>
      </c>
      <c r="L1286" s="86">
        <f>-IFERROR(VLOOKUP(C1286,IDC!$A$20:$H$1763,8,0),0)</f>
        <v>-163.19999999999999</v>
      </c>
      <c r="M1286" s="95">
        <f t="shared" si="41"/>
        <v>27200</v>
      </c>
      <c r="O1286" s="1"/>
    </row>
    <row r="1287" spans="1:15" hidden="1">
      <c r="A1287" s="1" t="s">
        <v>1428</v>
      </c>
      <c r="B1287" s="1" t="s">
        <v>15</v>
      </c>
      <c r="C1287" s="71">
        <v>130968346258</v>
      </c>
      <c r="D1287" s="3">
        <v>9255.85</v>
      </c>
      <c r="E1287" s="3">
        <v>11536261.710000001</v>
      </c>
      <c r="F1287" s="1" t="s">
        <v>3065</v>
      </c>
      <c r="G1287"/>
      <c r="H1287"/>
      <c r="I1287" s="19">
        <f>-IFERROR(VLOOKUP(C1287,SIRCUPA!$A$21:$H$221,8,0),0)</f>
        <v>0</v>
      </c>
      <c r="J1287" s="86">
        <f>-IFERROR(VLOOKUP(C1287,SIRTAC!$A$16:$H$1458,8,0),0)</f>
        <v>-95</v>
      </c>
      <c r="K1287" s="86">
        <f>-IFERROR(VLOOKUP(C1287,Gastos!$A$9:$J$1451,10,0),0)</f>
        <v>-92.15</v>
      </c>
      <c r="L1287" s="86">
        <f>-IFERROR(VLOOKUP(C1287,IDC!$A$20:$H$1763,8,0),0)</f>
        <v>-57</v>
      </c>
      <c r="M1287" s="95">
        <f t="shared" si="41"/>
        <v>9500</v>
      </c>
      <c r="O1287" s="1"/>
    </row>
    <row r="1288" spans="1:15" hidden="1">
      <c r="A1288" s="1" t="s">
        <v>1428</v>
      </c>
      <c r="B1288" s="1" t="s">
        <v>15</v>
      </c>
      <c r="C1288" s="71">
        <v>130384388375</v>
      </c>
      <c r="D1288" s="3">
        <v>4676.6400000000003</v>
      </c>
      <c r="E1288" s="3">
        <v>11540938.35</v>
      </c>
      <c r="F1288" s="1" t="s">
        <v>3065</v>
      </c>
      <c r="G1288"/>
      <c r="H1288"/>
      <c r="I1288" s="19">
        <f>-IFERROR(VLOOKUP(C1288,SIRCUPA!$A$21:$H$221,8,0),0)</f>
        <v>0</v>
      </c>
      <c r="J1288" s="86">
        <f>-IFERROR(VLOOKUP(C1288,SIRTAC!$A$16:$H$1458,8,0),0)</f>
        <v>-48</v>
      </c>
      <c r="K1288" s="86">
        <f>-IFERROR(VLOOKUP(C1288,Gastos!$A$9:$J$1451,10,0),0)</f>
        <v>-46.56</v>
      </c>
      <c r="L1288" s="86">
        <f>-IFERROR(VLOOKUP(C1288,IDC!$A$20:$H$1763,8,0),0)</f>
        <v>-28.8</v>
      </c>
      <c r="M1288" s="95">
        <f t="shared" si="41"/>
        <v>4800.0000000000009</v>
      </c>
      <c r="O1288" s="1"/>
    </row>
    <row r="1289" spans="1:15" hidden="1">
      <c r="A1289" s="1" t="s">
        <v>1428</v>
      </c>
      <c r="B1289" s="1" t="s">
        <v>1445</v>
      </c>
      <c r="C1289" s="71">
        <v>130384388377</v>
      </c>
      <c r="D1289" s="2">
        <v>234.96</v>
      </c>
      <c r="E1289" s="3">
        <v>11541173.310000001</v>
      </c>
      <c r="F1289" s="1" t="s">
        <v>3065</v>
      </c>
      <c r="G1289"/>
      <c r="H1289"/>
      <c r="I1289" s="19">
        <f>-IFERROR(VLOOKUP(C1289,SIRCUPA!$A$21:$H$221,8,0),0)</f>
        <v>-3.6</v>
      </c>
      <c r="J1289" s="86">
        <f>-IFERROR(VLOOKUP(C1289,SIRTAC!$A$16:$H$1458,8,0),0)</f>
        <v>0</v>
      </c>
      <c r="K1289" s="86">
        <f>-IFERROR(VLOOKUP(C1289,Gastos!$A$9:$J$1451,10,0),0)</f>
        <v>0</v>
      </c>
      <c r="L1289" s="86">
        <f>-IFERROR(VLOOKUP(C1289,IDC!$A$20:$H$1763,8,0),0)</f>
        <v>-1.44</v>
      </c>
      <c r="M1289" s="95">
        <f t="shared" si="41"/>
        <v>240</v>
      </c>
      <c r="O1289" s="1"/>
    </row>
    <row r="1290" spans="1:15" hidden="1">
      <c r="A1290" s="1" t="s">
        <v>1428</v>
      </c>
      <c r="B1290" s="1" t="s">
        <v>15</v>
      </c>
      <c r="C1290" s="71">
        <v>130384380875</v>
      </c>
      <c r="D1290" s="3">
        <v>4357.92</v>
      </c>
      <c r="E1290" s="3">
        <v>11545531.23</v>
      </c>
      <c r="F1290" s="1" t="s">
        <v>3065</v>
      </c>
      <c r="G1290"/>
      <c r="H1290"/>
      <c r="I1290" s="19">
        <f>-IFERROR(VLOOKUP(C1290,SIRCUPA!$A$21:$H$221,8,0),0)</f>
        <v>0</v>
      </c>
      <c r="J1290" s="86">
        <f>-IFERROR(VLOOKUP(C1290,SIRTAC!$A$16:$H$1458,8,0),0)</f>
        <v>-48</v>
      </c>
      <c r="K1290" s="86">
        <f>-IFERROR(VLOOKUP(C1290,Gastos!$A$9:$J$1451,10,0),0)</f>
        <v>-365.28</v>
      </c>
      <c r="L1290" s="86">
        <f>-IFERROR(VLOOKUP(C1290,IDC!$A$20:$H$1763,8,0),0)</f>
        <v>-28.8</v>
      </c>
      <c r="M1290" s="95">
        <f t="shared" si="41"/>
        <v>4800</v>
      </c>
      <c r="O1290" s="1"/>
    </row>
    <row r="1291" spans="1:15" hidden="1">
      <c r="A1291" s="1" t="s">
        <v>1428</v>
      </c>
      <c r="B1291" s="1" t="s">
        <v>15</v>
      </c>
      <c r="C1291" s="71">
        <v>130384308007</v>
      </c>
      <c r="D1291" s="3">
        <v>3897.2</v>
      </c>
      <c r="E1291" s="3">
        <v>11549428.43</v>
      </c>
      <c r="F1291" s="1" t="s">
        <v>3065</v>
      </c>
      <c r="G1291"/>
      <c r="H1291"/>
      <c r="I1291" s="19">
        <f>-IFERROR(VLOOKUP(C1291,SIRCUPA!$A$21:$H$221,8,0),0)</f>
        <v>0</v>
      </c>
      <c r="J1291" s="86">
        <f>-IFERROR(VLOOKUP(C1291,SIRTAC!$A$16:$H$1458,8,0),0)</f>
        <v>-40</v>
      </c>
      <c r="K1291" s="86">
        <f>-IFERROR(VLOOKUP(C1291,Gastos!$A$9:$J$1451,10,0),0)</f>
        <v>-38.799999999999997</v>
      </c>
      <c r="L1291" s="86">
        <f>-IFERROR(VLOOKUP(C1291,IDC!$A$20:$H$1763,8,0),0)</f>
        <v>-24</v>
      </c>
      <c r="M1291" s="95">
        <f t="shared" si="41"/>
        <v>4000</v>
      </c>
      <c r="O1291" s="1"/>
    </row>
    <row r="1292" spans="1:15" hidden="1">
      <c r="A1292" s="1" t="s">
        <v>1428</v>
      </c>
      <c r="B1292" s="1" t="s">
        <v>15</v>
      </c>
      <c r="C1292" s="71">
        <v>130385473309</v>
      </c>
      <c r="D1292" s="3">
        <v>5358.65</v>
      </c>
      <c r="E1292" s="3">
        <v>11554787.08</v>
      </c>
      <c r="F1292" s="1" t="s">
        <v>3065</v>
      </c>
      <c r="G1292"/>
      <c r="H1292"/>
      <c r="I1292" s="19">
        <f>-IFERROR(VLOOKUP(C1292,SIRCUPA!$A$21:$H$221,8,0),0)</f>
        <v>0</v>
      </c>
      <c r="J1292" s="86">
        <f>-IFERROR(VLOOKUP(C1292,SIRTAC!$A$16:$H$1458,8,0),0)</f>
        <v>-55</v>
      </c>
      <c r="K1292" s="86">
        <f>-IFERROR(VLOOKUP(C1292,Gastos!$A$9:$J$1451,10,0),0)</f>
        <v>-53.35</v>
      </c>
      <c r="L1292" s="86">
        <f>-IFERROR(VLOOKUP(C1292,IDC!$A$20:$H$1763,8,0),0)</f>
        <v>-33</v>
      </c>
      <c r="M1292" s="95">
        <f t="shared" si="41"/>
        <v>5500</v>
      </c>
      <c r="O1292" s="1"/>
    </row>
    <row r="1293" spans="1:15" hidden="1">
      <c r="A1293" s="1" t="s">
        <v>1428</v>
      </c>
      <c r="B1293" s="1" t="s">
        <v>15</v>
      </c>
      <c r="C1293" s="71">
        <v>130385616989</v>
      </c>
      <c r="D1293" s="3">
        <v>25916.38</v>
      </c>
      <c r="E1293" s="3">
        <v>11580703.460000001</v>
      </c>
      <c r="F1293" s="1" t="s">
        <v>3065</v>
      </c>
      <c r="G1293"/>
      <c r="H1293"/>
      <c r="I1293" s="19">
        <f>-IFERROR(VLOOKUP(C1293,SIRCUPA!$A$21:$H$221,8,0),0)</f>
        <v>0</v>
      </c>
      <c r="J1293" s="86">
        <f>-IFERROR(VLOOKUP(C1293,SIRTAC!$A$16:$H$1458,8,0),0)</f>
        <v>-266</v>
      </c>
      <c r="K1293" s="86">
        <f>-IFERROR(VLOOKUP(C1293,Gastos!$A$9:$J$1451,10,0),0)</f>
        <v>-258.02</v>
      </c>
      <c r="L1293" s="86">
        <f>-IFERROR(VLOOKUP(C1293,IDC!$A$20:$H$1763,8,0),0)</f>
        <v>-159.6</v>
      </c>
      <c r="M1293" s="95">
        <f t="shared" si="41"/>
        <v>26600</v>
      </c>
      <c r="O1293" s="1"/>
    </row>
    <row r="1294" spans="1:15" hidden="1">
      <c r="A1294" s="1" t="s">
        <v>1428</v>
      </c>
      <c r="B1294" s="1" t="s">
        <v>15</v>
      </c>
      <c r="C1294" s="71">
        <v>130385762611</v>
      </c>
      <c r="D1294" s="3">
        <v>5358.65</v>
      </c>
      <c r="E1294" s="3">
        <v>11586062.109999999</v>
      </c>
      <c r="F1294" s="1" t="s">
        <v>3065</v>
      </c>
      <c r="G1294"/>
      <c r="H1294"/>
      <c r="I1294" s="19">
        <f>-IFERROR(VLOOKUP(C1294,SIRCUPA!$A$21:$H$221,8,0),0)</f>
        <v>0</v>
      </c>
      <c r="J1294" s="86">
        <f>-IFERROR(VLOOKUP(C1294,SIRTAC!$A$16:$H$1458,8,0),0)</f>
        <v>-55</v>
      </c>
      <c r="K1294" s="86">
        <f>-IFERROR(VLOOKUP(C1294,Gastos!$A$9:$J$1451,10,0),0)</f>
        <v>-53.35</v>
      </c>
      <c r="L1294" s="86">
        <f>-IFERROR(VLOOKUP(C1294,IDC!$A$20:$H$1763,8,0),0)</f>
        <v>-33</v>
      </c>
      <c r="M1294" s="95">
        <f t="shared" si="41"/>
        <v>5500</v>
      </c>
      <c r="O1294" s="1"/>
    </row>
    <row r="1295" spans="1:15" hidden="1">
      <c r="A1295" s="1" t="s">
        <v>1428</v>
      </c>
      <c r="B1295" s="1" t="s">
        <v>15</v>
      </c>
      <c r="C1295" s="71">
        <v>130385928447</v>
      </c>
      <c r="D1295" s="3">
        <v>32639.05</v>
      </c>
      <c r="E1295" s="3">
        <v>11618701.16</v>
      </c>
      <c r="F1295" s="1" t="s">
        <v>3065</v>
      </c>
      <c r="G1295"/>
      <c r="H1295"/>
      <c r="I1295" s="19">
        <f>-IFERROR(VLOOKUP(C1295,SIRCUPA!$A$21:$H$221,8,0),0)</f>
        <v>0</v>
      </c>
      <c r="J1295" s="86">
        <f>-IFERROR(VLOOKUP(C1295,SIRTAC!$A$16:$H$1458,8,0),0)</f>
        <v>-335</v>
      </c>
      <c r="K1295" s="86">
        <f>-IFERROR(VLOOKUP(C1295,Gastos!$A$9:$J$1451,10,0),0)</f>
        <v>-324.95</v>
      </c>
      <c r="L1295" s="86">
        <f>-IFERROR(VLOOKUP(C1295,IDC!$A$20:$H$1763,8,0),0)</f>
        <v>-201</v>
      </c>
      <c r="M1295" s="95">
        <f t="shared" si="41"/>
        <v>33500</v>
      </c>
      <c r="O1295" s="1"/>
    </row>
    <row r="1296" spans="1:15" hidden="1">
      <c r="A1296" s="1" t="s">
        <v>1377</v>
      </c>
      <c r="B1296" s="1" t="s">
        <v>1388</v>
      </c>
      <c r="C1296" s="71">
        <v>130658026006</v>
      </c>
      <c r="D1296" s="3">
        <v>-23339.200000000001</v>
      </c>
      <c r="E1296" s="3">
        <v>13880505.369999999</v>
      </c>
      <c r="F1296" s="1" t="s">
        <v>3066</v>
      </c>
      <c r="G1296" s="19">
        <f>+D1296/1.006</f>
        <v>-23200</v>
      </c>
      <c r="H1296" s="19">
        <f>+D1296-G1296</f>
        <v>-139.20000000000073</v>
      </c>
      <c r="I1296" s="19">
        <f>-IFERROR(VLOOKUP(C1296,SIRCUPA!$A$21:$H$221,8,0),0)</f>
        <v>0</v>
      </c>
      <c r="J1296" s="86">
        <f>-IFERROR(VLOOKUP(C1296,SIRTAC!$A$16:$H$1458,8,0),0)</f>
        <v>0</v>
      </c>
      <c r="K1296" s="86">
        <f>-IFERROR(VLOOKUP(C1296,Gastos!$A$9:$J$1451,10,0),0)</f>
        <v>0</v>
      </c>
      <c r="L1296" s="86">
        <f>+D1296-G1296</f>
        <v>-139.20000000000073</v>
      </c>
      <c r="M1296" s="94">
        <f t="shared" si="41"/>
        <v>-23200</v>
      </c>
      <c r="O1296" s="1"/>
    </row>
    <row r="1297" spans="1:17" hidden="1">
      <c r="A1297" s="1" t="s">
        <v>1630</v>
      </c>
      <c r="B1297" s="1" t="s">
        <v>557</v>
      </c>
      <c r="C1297" s="71">
        <v>130711943539</v>
      </c>
      <c r="D1297" s="3">
        <v>-74435.95</v>
      </c>
      <c r="E1297" s="3">
        <v>13347628.43</v>
      </c>
      <c r="F1297" s="1" t="s">
        <v>3066</v>
      </c>
      <c r="G1297" s="19">
        <f>+D1297/1.006</f>
        <v>-73991.99801192843</v>
      </c>
      <c r="H1297" s="19">
        <f>+D1297-G1297</f>
        <v>-443.95198807156703</v>
      </c>
      <c r="I1297" s="19">
        <f>-IFERROR(VLOOKUP(C1297,SIRCUPA!$A$21:$H$221,8,0),0)</f>
        <v>0</v>
      </c>
      <c r="J1297" s="86">
        <f>-IFERROR(VLOOKUP(C1297,SIRTAC!$A$16:$H$1458,8,0),0)</f>
        <v>0</v>
      </c>
      <c r="K1297" s="86">
        <f>-IFERROR(VLOOKUP(C1297,Gastos!$A$9:$J$1451,10,0),0)</f>
        <v>0</v>
      </c>
      <c r="L1297" s="86">
        <f>+D1297-G1297</f>
        <v>-443.95198807156703</v>
      </c>
      <c r="M1297" s="94">
        <f t="shared" si="41"/>
        <v>-73991.99801192843</v>
      </c>
      <c r="O1297" s="1"/>
    </row>
    <row r="1298" spans="1:17" s="67" customFormat="1" hidden="1">
      <c r="A1298" s="67" t="s">
        <v>1742</v>
      </c>
      <c r="B1298" s="67" t="s">
        <v>51</v>
      </c>
      <c r="C1298" s="75">
        <v>130865941389</v>
      </c>
      <c r="D1298" s="70">
        <v>-633.87</v>
      </c>
      <c r="E1298" s="3">
        <v>15902933.119999999</v>
      </c>
      <c r="F1298" s="67" t="s">
        <v>3062</v>
      </c>
      <c r="G1298" s="69">
        <f>+D1298/0.006</f>
        <v>-105645</v>
      </c>
      <c r="H1298" s="69"/>
      <c r="I1298" s="69">
        <f>-IFERROR(VLOOKUP(C1298,SIRCUPA!$A$21:$H$221,8,0),0)</f>
        <v>0</v>
      </c>
      <c r="J1298" s="69">
        <f>-IFERROR(VLOOKUP(C1298,SIRTAC!$A$16:$H$1458,8,0),0)</f>
        <v>0</v>
      </c>
      <c r="K1298" s="69">
        <f>-IFERROR(VLOOKUP(C1298,Gastos!$A$9:$J$1451,10,0),0)</f>
        <v>0</v>
      </c>
      <c r="L1298" s="69"/>
      <c r="M1298" s="96">
        <f>+D1298</f>
        <v>-633.87</v>
      </c>
      <c r="P1298" s="19"/>
      <c r="Q1298" s="19"/>
    </row>
    <row r="1299" spans="1:17" s="67" customFormat="1" hidden="1">
      <c r="A1299" s="67" t="s">
        <v>1742</v>
      </c>
      <c r="B1299" s="67" t="s">
        <v>55</v>
      </c>
      <c r="C1299" s="75">
        <v>130865941389</v>
      </c>
      <c r="D1299" s="68">
        <v>-105644.22</v>
      </c>
      <c r="E1299" s="3">
        <v>15903566.99</v>
      </c>
      <c r="F1299" s="67" t="s">
        <v>3066</v>
      </c>
      <c r="G1299" s="69">
        <f>+D1299/1.006</f>
        <v>-105014.1351888668</v>
      </c>
      <c r="H1299" s="69">
        <f>+D1299-G1299</f>
        <v>-630.08481113320158</v>
      </c>
      <c r="I1299" s="69">
        <f>-IFERROR(VLOOKUP(C1299,SIRCUPA!$A$21:$H$221,8,0),0)</f>
        <v>0</v>
      </c>
      <c r="J1299" s="69">
        <f>-IFERROR(VLOOKUP(C1299,SIRTAC!$A$16:$H$1458,8,0),0)</f>
        <v>0</v>
      </c>
      <c r="K1299" s="69">
        <f>-IFERROR(VLOOKUP(C1299,Gastos!$A$9:$J$1451,10,0),0)</f>
        <v>0</v>
      </c>
      <c r="L1299" s="69">
        <f>-IFERROR(VLOOKUP(C1299,IDC!$A$20:$H$1763,8,0),0)</f>
        <v>-633.87</v>
      </c>
      <c r="M1299" s="96">
        <f>+D1299</f>
        <v>-105644.22</v>
      </c>
      <c r="P1299" s="19"/>
      <c r="Q1299" s="19"/>
    </row>
    <row r="1300" spans="1:17" s="67" customFormat="1" hidden="1">
      <c r="A1300" s="67" t="s">
        <v>1742</v>
      </c>
      <c r="B1300" s="67" t="s">
        <v>51</v>
      </c>
      <c r="C1300" s="75">
        <v>130866282799</v>
      </c>
      <c r="D1300" s="70">
        <v>-461.48</v>
      </c>
      <c r="E1300" s="3">
        <v>16009211.210000001</v>
      </c>
      <c r="F1300" s="67" t="s">
        <v>3062</v>
      </c>
      <c r="G1300" s="69">
        <f>+D1300/0.006</f>
        <v>-76913.333333333328</v>
      </c>
      <c r="H1300" s="69"/>
      <c r="I1300" s="69">
        <f>-IFERROR(VLOOKUP(C1300,SIRCUPA!$A$21:$H$221,8,0),0)</f>
        <v>0</v>
      </c>
      <c r="J1300" s="69">
        <f>-IFERROR(VLOOKUP(C1300,SIRTAC!$A$16:$H$1458,8,0),0)</f>
        <v>0</v>
      </c>
      <c r="K1300" s="69">
        <f>-IFERROR(VLOOKUP(C1300,Gastos!$A$9:$J$1451,10,0),0)</f>
        <v>0</v>
      </c>
      <c r="L1300" s="69"/>
      <c r="M1300" s="96">
        <f>+D1300</f>
        <v>-461.48</v>
      </c>
      <c r="P1300" s="19"/>
      <c r="Q1300" s="19"/>
    </row>
    <row r="1301" spans="1:17" s="67" customFormat="1" hidden="1">
      <c r="A1301" s="67" t="s">
        <v>1742</v>
      </c>
      <c r="B1301" s="67" t="s">
        <v>55</v>
      </c>
      <c r="C1301" s="75">
        <v>130866282799</v>
      </c>
      <c r="D1301" s="68">
        <v>-76912.600000000006</v>
      </c>
      <c r="E1301" s="3">
        <v>16009672.689999999</v>
      </c>
      <c r="F1301" s="67" t="s">
        <v>3066</v>
      </c>
      <c r="G1301" s="69">
        <f>+D1301/1.006</f>
        <v>-76453.876739562635</v>
      </c>
      <c r="H1301" s="69">
        <f>+D1301-G1301</f>
        <v>-458.72326043737121</v>
      </c>
      <c r="I1301" s="69">
        <f>-IFERROR(VLOOKUP(C1301,SIRCUPA!$A$21:$H$221,8,0),0)</f>
        <v>0</v>
      </c>
      <c r="J1301" s="69">
        <f>-IFERROR(VLOOKUP(C1301,SIRTAC!$A$16:$H$1458,8,0),0)</f>
        <v>0</v>
      </c>
      <c r="K1301" s="69">
        <f>-IFERROR(VLOOKUP(C1301,Gastos!$A$9:$J$1451,10,0),0)</f>
        <v>0</v>
      </c>
      <c r="L1301" s="69">
        <f>-IFERROR(VLOOKUP(C1301,IDC!$A$20:$H$1763,8,0),0)</f>
        <v>-461.48</v>
      </c>
      <c r="M1301" s="96">
        <f>+D1301</f>
        <v>-76912.600000000006</v>
      </c>
      <c r="P1301" s="19"/>
      <c r="Q1301" s="19"/>
    </row>
    <row r="1302" spans="1:17" hidden="1">
      <c r="A1302" s="1" t="s">
        <v>1428</v>
      </c>
      <c r="B1302" s="1" t="s">
        <v>15</v>
      </c>
      <c r="C1302" s="71">
        <v>131071540454</v>
      </c>
      <c r="D1302" s="3">
        <v>7794.4</v>
      </c>
      <c r="E1302" s="3">
        <v>10472399.949999999</v>
      </c>
      <c r="F1302" s="1" t="s">
        <v>3065</v>
      </c>
      <c r="G1302"/>
      <c r="H1302"/>
      <c r="I1302" s="19">
        <f>-IFERROR(VLOOKUP(C1302,SIRCUPA!$A$21:$H$221,8,0),0)</f>
        <v>0</v>
      </c>
      <c r="J1302" s="86">
        <f>-IFERROR(VLOOKUP(C1302,SIRTAC!$A$16:$H$1458,8,0),0)</f>
        <v>-80</v>
      </c>
      <c r="K1302" s="86">
        <f>-IFERROR(VLOOKUP(C1302,Gastos!$A$9:$J$1451,10,0),0)</f>
        <v>-77.599999999999994</v>
      </c>
      <c r="L1302" s="86">
        <f>-IFERROR(VLOOKUP(C1302,IDC!$A$20:$H$1763,8,0),0)</f>
        <v>-48</v>
      </c>
      <c r="M1302" s="95">
        <f t="shared" ref="M1302:M1333" si="42">+D1302-I1302-J1302-K1302-L1302</f>
        <v>8000</v>
      </c>
      <c r="O1302" s="1"/>
    </row>
    <row r="1303" spans="1:17" hidden="1">
      <c r="A1303" s="1" t="s">
        <v>1428</v>
      </c>
      <c r="B1303" s="1" t="s">
        <v>15</v>
      </c>
      <c r="C1303" s="71">
        <v>130485510525</v>
      </c>
      <c r="D1303" s="3">
        <v>4774.07</v>
      </c>
      <c r="E1303" s="3">
        <v>10477174.02</v>
      </c>
      <c r="F1303" s="1" t="s">
        <v>3065</v>
      </c>
      <c r="G1303"/>
      <c r="H1303"/>
      <c r="I1303" s="19">
        <f>-IFERROR(VLOOKUP(C1303,SIRCUPA!$A$21:$H$221,8,0),0)</f>
        <v>0</v>
      </c>
      <c r="J1303" s="86">
        <f>-IFERROR(VLOOKUP(C1303,SIRTAC!$A$16:$H$1458,8,0),0)</f>
        <v>-49</v>
      </c>
      <c r="K1303" s="86">
        <f>-IFERROR(VLOOKUP(C1303,Gastos!$A$9:$J$1451,10,0),0)</f>
        <v>-47.53</v>
      </c>
      <c r="L1303" s="86">
        <f>-IFERROR(VLOOKUP(C1303,IDC!$A$20:$H$1763,8,0),0)</f>
        <v>-29.4</v>
      </c>
      <c r="M1303" s="95">
        <f t="shared" si="42"/>
        <v>4899.9999999999991</v>
      </c>
      <c r="O1303" s="1"/>
    </row>
    <row r="1304" spans="1:17" hidden="1">
      <c r="A1304" s="1" t="s">
        <v>1428</v>
      </c>
      <c r="B1304" s="1" t="s">
        <v>15</v>
      </c>
      <c r="C1304" s="71">
        <v>130487069719</v>
      </c>
      <c r="D1304" s="3">
        <v>23423.82</v>
      </c>
      <c r="E1304" s="3">
        <v>10500597.84</v>
      </c>
      <c r="F1304" s="1" t="s">
        <v>3065</v>
      </c>
      <c r="G1304"/>
      <c r="H1304"/>
      <c r="I1304" s="19">
        <f>-IFERROR(VLOOKUP(C1304,SIRCUPA!$A$21:$H$221,8,0),0)</f>
        <v>0</v>
      </c>
      <c r="J1304" s="86">
        <f>-IFERROR(VLOOKUP(C1304,SIRTAC!$A$16:$H$1458,8,0),0)</f>
        <v>-258</v>
      </c>
      <c r="K1304" s="86">
        <f>-IFERROR(VLOOKUP(C1304,Gastos!$A$9:$J$1451,10,0),0)</f>
        <v>-1963.38</v>
      </c>
      <c r="L1304" s="86">
        <f>-IFERROR(VLOOKUP(C1304,IDC!$A$20:$H$1763,8,0),0)</f>
        <v>-154.80000000000001</v>
      </c>
      <c r="M1304" s="95">
        <f t="shared" si="42"/>
        <v>25800</v>
      </c>
      <c r="O1304" s="1"/>
    </row>
    <row r="1305" spans="1:17" hidden="1">
      <c r="A1305" s="1" t="s">
        <v>1428</v>
      </c>
      <c r="B1305" s="1" t="s">
        <v>192</v>
      </c>
      <c r="C1305" s="71">
        <v>130487394525</v>
      </c>
      <c r="D1305" s="3">
        <v>2525.8200000000002</v>
      </c>
      <c r="E1305" s="3">
        <v>10503123.66</v>
      </c>
      <c r="F1305" s="1" t="s">
        <v>3065</v>
      </c>
      <c r="G1305"/>
      <c r="H1305"/>
      <c r="I1305" s="19">
        <f>-IFERROR(VLOOKUP(C1305,SIRCUPA!$A$21:$H$221,8,0),0)</f>
        <v>-38.700000000000003</v>
      </c>
      <c r="J1305" s="86">
        <f>-IFERROR(VLOOKUP(C1305,SIRTAC!$A$16:$H$1458,8,0),0)</f>
        <v>0</v>
      </c>
      <c r="K1305" s="86">
        <f>-IFERROR(VLOOKUP(C1305,Gastos!$A$9:$J$1451,10,0),0)</f>
        <v>0</v>
      </c>
      <c r="L1305" s="86">
        <f>-IFERROR(VLOOKUP(C1305,IDC!$A$20:$H$1763,8,0),0)</f>
        <v>-15.48</v>
      </c>
      <c r="M1305" s="95">
        <f t="shared" si="42"/>
        <v>2580</v>
      </c>
      <c r="O1305" s="1"/>
    </row>
    <row r="1306" spans="1:17" hidden="1">
      <c r="A1306" s="1" t="s">
        <v>1428</v>
      </c>
      <c r="B1306" s="1" t="s">
        <v>15</v>
      </c>
      <c r="C1306" s="71">
        <v>131074278650</v>
      </c>
      <c r="D1306" s="3">
        <v>18706.560000000001</v>
      </c>
      <c r="E1306" s="3">
        <v>10521830.220000001</v>
      </c>
      <c r="F1306" s="1" t="s">
        <v>3065</v>
      </c>
      <c r="G1306"/>
      <c r="H1306"/>
      <c r="I1306" s="19">
        <f>-IFERROR(VLOOKUP(C1306,SIRCUPA!$A$21:$H$221,8,0),0)</f>
        <v>0</v>
      </c>
      <c r="J1306" s="86">
        <f>-IFERROR(VLOOKUP(C1306,SIRTAC!$A$16:$H$1458,8,0),0)</f>
        <v>-192</v>
      </c>
      <c r="K1306" s="86">
        <f>-IFERROR(VLOOKUP(C1306,Gastos!$A$9:$J$1451,10,0),0)</f>
        <v>-186.24</v>
      </c>
      <c r="L1306" s="86">
        <f>-IFERROR(VLOOKUP(C1306,IDC!$A$20:$H$1763,8,0),0)</f>
        <v>-115.2</v>
      </c>
      <c r="M1306" s="95">
        <f t="shared" si="42"/>
        <v>19200.000000000004</v>
      </c>
      <c r="O1306" s="1"/>
    </row>
    <row r="1307" spans="1:17" hidden="1">
      <c r="A1307" s="1" t="s">
        <v>1428</v>
      </c>
      <c r="B1307" s="1" t="s">
        <v>15</v>
      </c>
      <c r="C1307" s="71">
        <v>131076012574</v>
      </c>
      <c r="D1307" s="3">
        <v>1889.4</v>
      </c>
      <c r="E1307" s="3">
        <v>10523719.619999999</v>
      </c>
      <c r="F1307" s="1" t="s">
        <v>3065</v>
      </c>
      <c r="G1307"/>
      <c r="H1307"/>
      <c r="I1307" s="19">
        <f>-IFERROR(VLOOKUP(C1307,SIRCUPA!$A$21:$H$221,8,0),0)</f>
        <v>0</v>
      </c>
      <c r="J1307" s="86">
        <f>-IFERROR(VLOOKUP(C1307,SIRTAC!$A$16:$H$1458,8,0),0)</f>
        <v>-20</v>
      </c>
      <c r="K1307" s="86">
        <f>-IFERROR(VLOOKUP(C1307,Gastos!$A$9:$J$1451,10,0),0)</f>
        <v>-78.599999999999994</v>
      </c>
      <c r="L1307" s="86">
        <f>-IFERROR(VLOOKUP(C1307,IDC!$A$20:$H$1763,8,0),0)</f>
        <v>-12</v>
      </c>
      <c r="M1307" s="95">
        <f t="shared" si="42"/>
        <v>2000</v>
      </c>
      <c r="O1307" s="1"/>
    </row>
    <row r="1308" spans="1:17" hidden="1">
      <c r="A1308" s="1" t="s">
        <v>1428</v>
      </c>
      <c r="B1308" s="1" t="s">
        <v>15</v>
      </c>
      <c r="C1308" s="71">
        <v>130491825175</v>
      </c>
      <c r="D1308" s="3">
        <v>21653.41</v>
      </c>
      <c r="E1308" s="3">
        <v>10545373.029999999</v>
      </c>
      <c r="F1308" s="1" t="s">
        <v>3065</v>
      </c>
      <c r="G1308"/>
      <c r="H1308"/>
      <c r="I1308" s="19">
        <f>-IFERROR(VLOOKUP(C1308,SIRCUPA!$A$21:$H$221,8,0),0)</f>
        <v>0</v>
      </c>
      <c r="J1308" s="86">
        <f>-IFERROR(VLOOKUP(C1308,SIRTAC!$A$16:$H$1458,8,0),0)</f>
        <v>-238.5</v>
      </c>
      <c r="K1308" s="86">
        <f>-IFERROR(VLOOKUP(C1308,Gastos!$A$9:$J$1451,10,0),0)</f>
        <v>-1814.99</v>
      </c>
      <c r="L1308" s="86">
        <f>-IFERROR(VLOOKUP(C1308,IDC!$A$20:$H$1763,8,0),0)</f>
        <v>-143.1</v>
      </c>
      <c r="M1308" s="95">
        <f t="shared" si="42"/>
        <v>23850</v>
      </c>
      <c r="O1308" s="1"/>
    </row>
    <row r="1309" spans="1:17" hidden="1">
      <c r="A1309" s="1" t="s">
        <v>1428</v>
      </c>
      <c r="B1309" s="1" t="s">
        <v>27</v>
      </c>
      <c r="C1309" s="71">
        <v>130491895093</v>
      </c>
      <c r="D1309" s="3">
        <v>2334.91</v>
      </c>
      <c r="E1309" s="3">
        <v>10547707.939999999</v>
      </c>
      <c r="F1309" s="1" t="s">
        <v>3065</v>
      </c>
      <c r="G1309"/>
      <c r="H1309"/>
      <c r="I1309" s="19">
        <f>-IFERROR(VLOOKUP(C1309,SIRCUPA!$A$21:$H$221,8,0),0)</f>
        <v>-35.78</v>
      </c>
      <c r="J1309" s="86">
        <f>-IFERROR(VLOOKUP(C1309,SIRTAC!$A$16:$H$1458,8,0),0)</f>
        <v>0</v>
      </c>
      <c r="K1309" s="86">
        <f>-IFERROR(VLOOKUP(C1309,Gastos!$A$9:$J$1451,10,0),0)</f>
        <v>0</v>
      </c>
      <c r="L1309" s="86">
        <f>-IFERROR(VLOOKUP(C1309,IDC!$A$20:$H$1763,8,0),0)</f>
        <v>-14.31</v>
      </c>
      <c r="M1309" s="95">
        <f t="shared" si="42"/>
        <v>2385</v>
      </c>
      <c r="O1309" s="1"/>
    </row>
    <row r="1310" spans="1:17" hidden="1">
      <c r="A1310" s="1" t="s">
        <v>1428</v>
      </c>
      <c r="B1310" s="1" t="s">
        <v>15</v>
      </c>
      <c r="C1310" s="71">
        <v>131078679332</v>
      </c>
      <c r="D1310" s="3">
        <v>16563.099999999999</v>
      </c>
      <c r="E1310" s="3">
        <v>10564271.039999999</v>
      </c>
      <c r="F1310" s="1" t="s">
        <v>3065</v>
      </c>
      <c r="G1310"/>
      <c r="H1310"/>
      <c r="I1310" s="19">
        <f>-IFERROR(VLOOKUP(C1310,SIRCUPA!$A$21:$H$221,8,0),0)</f>
        <v>0</v>
      </c>
      <c r="J1310" s="86">
        <f>-IFERROR(VLOOKUP(C1310,SIRTAC!$A$16:$H$1458,8,0),0)</f>
        <v>-170</v>
      </c>
      <c r="K1310" s="86">
        <f>-IFERROR(VLOOKUP(C1310,Gastos!$A$9:$J$1451,10,0),0)</f>
        <v>-164.9</v>
      </c>
      <c r="L1310" s="86">
        <f>-IFERROR(VLOOKUP(C1310,IDC!$A$20:$H$1763,8,0),0)</f>
        <v>-102</v>
      </c>
      <c r="M1310" s="95">
        <f t="shared" si="42"/>
        <v>17000</v>
      </c>
      <c r="O1310" s="1"/>
    </row>
    <row r="1311" spans="1:17" hidden="1">
      <c r="A1311" s="1" t="s">
        <v>1428</v>
      </c>
      <c r="B1311" s="1" t="s">
        <v>1467</v>
      </c>
      <c r="C1311" s="71">
        <v>131078727208</v>
      </c>
      <c r="D1311" s="3">
        <v>2496.4499999999998</v>
      </c>
      <c r="E1311" s="3">
        <v>10566767.49</v>
      </c>
      <c r="F1311" s="1" t="s">
        <v>3065</v>
      </c>
      <c r="G1311"/>
      <c r="H1311"/>
      <c r="I1311" s="19">
        <f>-IFERROR(VLOOKUP(C1311,SIRCUPA!$A$21:$H$221,8,0),0)</f>
        <v>-38.25</v>
      </c>
      <c r="J1311" s="86">
        <f>-IFERROR(VLOOKUP(C1311,SIRTAC!$A$16:$H$1458,8,0),0)</f>
        <v>0</v>
      </c>
      <c r="K1311" s="86">
        <f>-IFERROR(VLOOKUP(C1311,Gastos!$A$9:$J$1451,10,0),0)</f>
        <v>0</v>
      </c>
      <c r="L1311" s="86">
        <f>-IFERROR(VLOOKUP(C1311,IDC!$A$20:$H$1763,8,0),0)</f>
        <v>-15.3</v>
      </c>
      <c r="M1311" s="95">
        <f t="shared" si="42"/>
        <v>2550</v>
      </c>
      <c r="O1311" s="1"/>
    </row>
    <row r="1312" spans="1:17" hidden="1">
      <c r="A1312" s="1" t="s">
        <v>1428</v>
      </c>
      <c r="B1312" s="1" t="s">
        <v>15</v>
      </c>
      <c r="C1312" s="71">
        <v>130492403155</v>
      </c>
      <c r="D1312" s="3">
        <v>9069.1200000000008</v>
      </c>
      <c r="E1312" s="3">
        <v>10575836.609999999</v>
      </c>
      <c r="F1312" s="1" t="s">
        <v>3065</v>
      </c>
      <c r="G1312"/>
      <c r="H1312"/>
      <c r="I1312" s="19">
        <f>-IFERROR(VLOOKUP(C1312,SIRCUPA!$A$21:$H$221,8,0),0)</f>
        <v>0</v>
      </c>
      <c r="J1312" s="86">
        <f>-IFERROR(VLOOKUP(C1312,SIRTAC!$A$16:$H$1458,8,0),0)</f>
        <v>-96</v>
      </c>
      <c r="K1312" s="86">
        <f>-IFERROR(VLOOKUP(C1312,Gastos!$A$9:$J$1451,10,0),0)</f>
        <v>-377.28</v>
      </c>
      <c r="L1312" s="86">
        <f>-IFERROR(VLOOKUP(C1312,IDC!$A$20:$H$1763,8,0),0)</f>
        <v>-57.6</v>
      </c>
      <c r="M1312" s="95">
        <f t="shared" si="42"/>
        <v>9600.0000000000018</v>
      </c>
      <c r="O1312" s="1"/>
    </row>
    <row r="1313" spans="1:15" hidden="1">
      <c r="A1313" s="1" t="s">
        <v>1428</v>
      </c>
      <c r="B1313" s="1" t="s">
        <v>15</v>
      </c>
      <c r="C1313" s="71">
        <v>131079257414</v>
      </c>
      <c r="D1313" s="3">
        <v>13603.68</v>
      </c>
      <c r="E1313" s="3">
        <v>10589440.289999999</v>
      </c>
      <c r="F1313" s="1" t="s">
        <v>3065</v>
      </c>
      <c r="G1313"/>
      <c r="H1313"/>
      <c r="I1313" s="19">
        <f>-IFERROR(VLOOKUP(C1313,SIRCUPA!$A$21:$H$221,8,0),0)</f>
        <v>0</v>
      </c>
      <c r="J1313" s="86">
        <f>-IFERROR(VLOOKUP(C1313,SIRTAC!$A$16:$H$1458,8,0),0)</f>
        <v>-144</v>
      </c>
      <c r="K1313" s="86">
        <f>-IFERROR(VLOOKUP(C1313,Gastos!$A$9:$J$1451,10,0),0)</f>
        <v>-565.91999999999996</v>
      </c>
      <c r="L1313" s="86">
        <f>-IFERROR(VLOOKUP(C1313,IDC!$A$20:$H$1763,8,0),0)</f>
        <v>-86.4</v>
      </c>
      <c r="M1313" s="95">
        <f t="shared" si="42"/>
        <v>14400</v>
      </c>
      <c r="O1313" s="1"/>
    </row>
    <row r="1314" spans="1:15" hidden="1">
      <c r="A1314" s="1" t="s">
        <v>1428</v>
      </c>
      <c r="B1314" s="1" t="s">
        <v>15</v>
      </c>
      <c r="C1314" s="71">
        <v>131080816358</v>
      </c>
      <c r="D1314" s="3">
        <v>14029.92</v>
      </c>
      <c r="E1314" s="3">
        <v>10603470.210000001</v>
      </c>
      <c r="F1314" s="1" t="s">
        <v>3065</v>
      </c>
      <c r="G1314"/>
      <c r="H1314"/>
      <c r="I1314" s="19">
        <f>-IFERROR(VLOOKUP(C1314,SIRCUPA!$A$21:$H$221,8,0),0)</f>
        <v>0</v>
      </c>
      <c r="J1314" s="86">
        <f>-IFERROR(VLOOKUP(C1314,SIRTAC!$A$16:$H$1458,8,0),0)</f>
        <v>-144</v>
      </c>
      <c r="K1314" s="86">
        <f>-IFERROR(VLOOKUP(C1314,Gastos!$A$9:$J$1451,10,0),0)</f>
        <v>-139.68</v>
      </c>
      <c r="L1314" s="86">
        <f>-IFERROR(VLOOKUP(C1314,IDC!$A$20:$H$1763,8,0),0)</f>
        <v>-86.4</v>
      </c>
      <c r="M1314" s="95">
        <f t="shared" si="42"/>
        <v>14400</v>
      </c>
      <c r="O1314" s="1"/>
    </row>
    <row r="1315" spans="1:15" hidden="1">
      <c r="A1315" s="1" t="s">
        <v>1428</v>
      </c>
      <c r="B1315" s="1" t="s">
        <v>1472</v>
      </c>
      <c r="C1315" s="71">
        <v>131080543782</v>
      </c>
      <c r="D1315" s="3">
        <v>1409.76</v>
      </c>
      <c r="E1315" s="3">
        <v>10604879.970000001</v>
      </c>
      <c r="F1315" s="1" t="s">
        <v>3065</v>
      </c>
      <c r="G1315"/>
      <c r="H1315"/>
      <c r="I1315" s="19">
        <f>-IFERROR(VLOOKUP(C1315,SIRCUPA!$A$21:$H$221,8,0),0)</f>
        <v>-21.6</v>
      </c>
      <c r="J1315" s="86">
        <f>-IFERROR(VLOOKUP(C1315,SIRTAC!$A$16:$H$1458,8,0),0)</f>
        <v>0</v>
      </c>
      <c r="K1315" s="86">
        <f>-IFERROR(VLOOKUP(C1315,Gastos!$A$9:$J$1451,10,0),0)</f>
        <v>0</v>
      </c>
      <c r="L1315" s="86">
        <f>-IFERROR(VLOOKUP(C1315,IDC!$A$20:$H$1763,8,0),0)</f>
        <v>-8.64</v>
      </c>
      <c r="M1315" s="95">
        <f t="shared" si="42"/>
        <v>1440</v>
      </c>
      <c r="O1315" s="1"/>
    </row>
    <row r="1316" spans="1:15" hidden="1">
      <c r="A1316" s="1" t="s">
        <v>1428</v>
      </c>
      <c r="B1316" s="1" t="s">
        <v>15</v>
      </c>
      <c r="C1316" s="71">
        <v>130494768229</v>
      </c>
      <c r="D1316" s="3">
        <v>14264.97</v>
      </c>
      <c r="E1316" s="3">
        <v>10619144.939999999</v>
      </c>
      <c r="F1316" s="1" t="s">
        <v>3065</v>
      </c>
      <c r="G1316"/>
      <c r="H1316"/>
      <c r="I1316" s="19">
        <f>-IFERROR(VLOOKUP(C1316,SIRCUPA!$A$21:$H$221,8,0),0)</f>
        <v>0</v>
      </c>
      <c r="J1316" s="86">
        <f>-IFERROR(VLOOKUP(C1316,SIRTAC!$A$16:$H$1458,8,0),0)</f>
        <v>-151</v>
      </c>
      <c r="K1316" s="86">
        <f>-IFERROR(VLOOKUP(C1316,Gastos!$A$9:$J$1451,10,0),0)</f>
        <v>-593.42999999999995</v>
      </c>
      <c r="L1316" s="86">
        <f>-IFERROR(VLOOKUP(C1316,IDC!$A$20:$H$1763,8,0),0)</f>
        <v>-90.6</v>
      </c>
      <c r="M1316" s="95">
        <f t="shared" si="42"/>
        <v>15100</v>
      </c>
      <c r="O1316" s="1"/>
    </row>
    <row r="1317" spans="1:15" hidden="1">
      <c r="A1317" s="1" t="s">
        <v>1428</v>
      </c>
      <c r="B1317" s="1" t="s">
        <v>15</v>
      </c>
      <c r="C1317" s="71">
        <v>130494783229</v>
      </c>
      <c r="D1317" s="3">
        <v>9198.2800000000007</v>
      </c>
      <c r="E1317" s="3">
        <v>10628343.220000001</v>
      </c>
      <c r="F1317" s="1" t="s">
        <v>3065</v>
      </c>
      <c r="G1317"/>
      <c r="H1317"/>
      <c r="I1317" s="19">
        <f>-IFERROR(VLOOKUP(C1317,SIRCUPA!$A$21:$H$221,8,0),0)</f>
        <v>0</v>
      </c>
      <c r="J1317" s="86">
        <f>-IFERROR(VLOOKUP(C1317,SIRTAC!$A$16:$H$1458,8,0),0)</f>
        <v>-98</v>
      </c>
      <c r="K1317" s="86">
        <f>-IFERROR(VLOOKUP(C1317,Gastos!$A$9:$J$1451,10,0),0)</f>
        <v>-444.92</v>
      </c>
      <c r="L1317" s="86">
        <f>-IFERROR(VLOOKUP(C1317,IDC!$A$20:$H$1763,8,0),0)</f>
        <v>-58.8</v>
      </c>
      <c r="M1317" s="95">
        <f t="shared" si="42"/>
        <v>9800</v>
      </c>
      <c r="O1317" s="1"/>
    </row>
    <row r="1318" spans="1:15" hidden="1">
      <c r="A1318" s="1" t="s">
        <v>1428</v>
      </c>
      <c r="B1318" s="1" t="s">
        <v>15</v>
      </c>
      <c r="C1318" s="71">
        <v>131082125710</v>
      </c>
      <c r="D1318" s="3">
        <v>4481.78</v>
      </c>
      <c r="E1318" s="3">
        <v>10632825</v>
      </c>
      <c r="F1318" s="1" t="s">
        <v>3065</v>
      </c>
      <c r="G1318"/>
      <c r="H1318"/>
      <c r="I1318" s="19">
        <f>-IFERROR(VLOOKUP(C1318,SIRCUPA!$A$21:$H$221,8,0),0)</f>
        <v>0</v>
      </c>
      <c r="J1318" s="86">
        <f>-IFERROR(VLOOKUP(C1318,SIRTAC!$A$16:$H$1458,8,0),0)</f>
        <v>-46</v>
      </c>
      <c r="K1318" s="86">
        <f>-IFERROR(VLOOKUP(C1318,Gastos!$A$9:$J$1451,10,0),0)</f>
        <v>-44.62</v>
      </c>
      <c r="L1318" s="86">
        <f>-IFERROR(VLOOKUP(C1318,IDC!$A$20:$H$1763,8,0),0)</f>
        <v>-27.6</v>
      </c>
      <c r="M1318" s="95">
        <f t="shared" si="42"/>
        <v>4600</v>
      </c>
      <c r="O1318" s="1"/>
    </row>
    <row r="1319" spans="1:15" hidden="1">
      <c r="A1319" s="1" t="s">
        <v>1428</v>
      </c>
      <c r="B1319" s="1" t="s">
        <v>15</v>
      </c>
      <c r="C1319" s="71">
        <v>130495738913</v>
      </c>
      <c r="D1319" s="3">
        <v>4676.6400000000003</v>
      </c>
      <c r="E1319" s="3">
        <v>10637501.640000001</v>
      </c>
      <c r="F1319" s="1" t="s">
        <v>3065</v>
      </c>
      <c r="G1319"/>
      <c r="H1319"/>
      <c r="I1319" s="19">
        <f>-IFERROR(VLOOKUP(C1319,SIRCUPA!$A$21:$H$221,8,0),0)</f>
        <v>0</v>
      </c>
      <c r="J1319" s="86">
        <f>-IFERROR(VLOOKUP(C1319,SIRTAC!$A$16:$H$1458,8,0),0)</f>
        <v>-48</v>
      </c>
      <c r="K1319" s="86">
        <f>-IFERROR(VLOOKUP(C1319,Gastos!$A$9:$J$1451,10,0),0)</f>
        <v>-46.56</v>
      </c>
      <c r="L1319" s="86">
        <f>-IFERROR(VLOOKUP(C1319,IDC!$A$20:$H$1763,8,0),0)</f>
        <v>-28.8</v>
      </c>
      <c r="M1319" s="95">
        <f t="shared" si="42"/>
        <v>4800.0000000000009</v>
      </c>
      <c r="O1319" s="1"/>
    </row>
    <row r="1320" spans="1:15" hidden="1">
      <c r="A1320" s="1" t="s">
        <v>1428</v>
      </c>
      <c r="B1320" s="1" t="s">
        <v>15</v>
      </c>
      <c r="C1320" s="71">
        <v>130496329581</v>
      </c>
      <c r="D1320" s="3">
        <v>2922.9</v>
      </c>
      <c r="E1320" s="3">
        <v>10640424.539999999</v>
      </c>
      <c r="F1320" s="1" t="s">
        <v>3065</v>
      </c>
      <c r="G1320"/>
      <c r="H1320"/>
      <c r="I1320" s="19">
        <f>-IFERROR(VLOOKUP(C1320,SIRCUPA!$A$21:$H$221,8,0),0)</f>
        <v>0</v>
      </c>
      <c r="J1320" s="86">
        <f>-IFERROR(VLOOKUP(C1320,SIRTAC!$A$16:$H$1458,8,0),0)</f>
        <v>-30</v>
      </c>
      <c r="K1320" s="86">
        <f>-IFERROR(VLOOKUP(C1320,Gastos!$A$9:$J$1451,10,0),0)</f>
        <v>-29.1</v>
      </c>
      <c r="L1320" s="86">
        <f>-IFERROR(VLOOKUP(C1320,IDC!$A$20:$H$1763,8,0),0)</f>
        <v>-18</v>
      </c>
      <c r="M1320" s="95">
        <f t="shared" si="42"/>
        <v>3000</v>
      </c>
      <c r="O1320" s="1"/>
    </row>
    <row r="1321" spans="1:15" hidden="1">
      <c r="A1321" s="1" t="s">
        <v>1428</v>
      </c>
      <c r="B1321" s="1" t="s">
        <v>15</v>
      </c>
      <c r="C1321" s="71">
        <v>130496869105</v>
      </c>
      <c r="D1321" s="3">
        <v>4676.6400000000003</v>
      </c>
      <c r="E1321" s="3">
        <v>10645101.18</v>
      </c>
      <c r="F1321" s="1" t="s">
        <v>3065</v>
      </c>
      <c r="G1321"/>
      <c r="H1321"/>
      <c r="I1321" s="19">
        <f>-IFERROR(VLOOKUP(C1321,SIRCUPA!$A$21:$H$221,8,0),0)</f>
        <v>0</v>
      </c>
      <c r="J1321" s="86">
        <f>-IFERROR(VLOOKUP(C1321,SIRTAC!$A$16:$H$1458,8,0),0)</f>
        <v>-48</v>
      </c>
      <c r="K1321" s="86">
        <f>-IFERROR(VLOOKUP(C1321,Gastos!$A$9:$J$1451,10,0),0)</f>
        <v>-46.56</v>
      </c>
      <c r="L1321" s="86">
        <f>-IFERROR(VLOOKUP(C1321,IDC!$A$20:$H$1763,8,0),0)</f>
        <v>-28.8</v>
      </c>
      <c r="M1321" s="95">
        <f t="shared" si="42"/>
        <v>4800.0000000000009</v>
      </c>
      <c r="O1321" s="1"/>
    </row>
    <row r="1322" spans="1:15" hidden="1">
      <c r="A1322" s="1" t="s">
        <v>1428</v>
      </c>
      <c r="B1322" s="1" t="s">
        <v>15</v>
      </c>
      <c r="C1322" s="71">
        <v>130497206277</v>
      </c>
      <c r="D1322" s="3">
        <v>14029.92</v>
      </c>
      <c r="E1322" s="3">
        <v>10659131.1</v>
      </c>
      <c r="F1322" s="1" t="s">
        <v>3065</v>
      </c>
      <c r="G1322"/>
      <c r="H1322"/>
      <c r="I1322" s="19">
        <f>-IFERROR(VLOOKUP(C1322,SIRCUPA!$A$21:$H$221,8,0),0)</f>
        <v>0</v>
      </c>
      <c r="J1322" s="86">
        <f>-IFERROR(VLOOKUP(C1322,SIRTAC!$A$16:$H$1458,8,0),0)</f>
        <v>-144</v>
      </c>
      <c r="K1322" s="86">
        <f>-IFERROR(VLOOKUP(C1322,Gastos!$A$9:$J$1451,10,0),0)</f>
        <v>-139.68</v>
      </c>
      <c r="L1322" s="86">
        <f>-IFERROR(VLOOKUP(C1322,IDC!$A$20:$H$1763,8,0),0)</f>
        <v>-86.4</v>
      </c>
      <c r="M1322" s="95">
        <f t="shared" si="42"/>
        <v>14400</v>
      </c>
      <c r="O1322" s="1"/>
    </row>
    <row r="1323" spans="1:15" hidden="1">
      <c r="A1323" s="1" t="s">
        <v>1428</v>
      </c>
      <c r="B1323" s="1" t="s">
        <v>15</v>
      </c>
      <c r="C1323" s="71">
        <v>130497161841</v>
      </c>
      <c r="D1323" s="3">
        <v>8378.98</v>
      </c>
      <c r="E1323" s="3">
        <v>10667510.08</v>
      </c>
      <c r="F1323" s="1" t="s">
        <v>3065</v>
      </c>
      <c r="G1323"/>
      <c r="H1323"/>
      <c r="I1323" s="19">
        <f>-IFERROR(VLOOKUP(C1323,SIRCUPA!$A$21:$H$221,8,0),0)</f>
        <v>0</v>
      </c>
      <c r="J1323" s="86">
        <f>-IFERROR(VLOOKUP(C1323,SIRTAC!$A$16:$H$1458,8,0),0)</f>
        <v>-86</v>
      </c>
      <c r="K1323" s="86">
        <f>-IFERROR(VLOOKUP(C1323,Gastos!$A$9:$J$1451,10,0),0)</f>
        <v>-83.42</v>
      </c>
      <c r="L1323" s="86">
        <f>-IFERROR(VLOOKUP(C1323,IDC!$A$20:$H$1763,8,0),0)</f>
        <v>-51.6</v>
      </c>
      <c r="M1323" s="95">
        <f t="shared" si="42"/>
        <v>8600</v>
      </c>
      <c r="O1323" s="1"/>
    </row>
    <row r="1324" spans="1:15" hidden="1">
      <c r="A1324" s="1" t="s">
        <v>1428</v>
      </c>
      <c r="B1324" s="1" t="s">
        <v>15</v>
      </c>
      <c r="C1324" s="71">
        <v>131084083926</v>
      </c>
      <c r="D1324" s="3">
        <v>4534.5600000000004</v>
      </c>
      <c r="E1324" s="3">
        <v>10672044.640000001</v>
      </c>
      <c r="F1324" s="1" t="s">
        <v>3065</v>
      </c>
      <c r="G1324"/>
      <c r="H1324"/>
      <c r="I1324" s="19">
        <f>-IFERROR(VLOOKUP(C1324,SIRCUPA!$A$21:$H$221,8,0),0)</f>
        <v>0</v>
      </c>
      <c r="J1324" s="86">
        <f>-IFERROR(VLOOKUP(C1324,SIRTAC!$A$16:$H$1458,8,0),0)</f>
        <v>-48</v>
      </c>
      <c r="K1324" s="86">
        <f>-IFERROR(VLOOKUP(C1324,Gastos!$A$9:$J$1451,10,0),0)</f>
        <v>-188.64</v>
      </c>
      <c r="L1324" s="86">
        <f>-IFERROR(VLOOKUP(C1324,IDC!$A$20:$H$1763,8,0),0)</f>
        <v>-28.8</v>
      </c>
      <c r="M1324" s="95">
        <f t="shared" si="42"/>
        <v>4800.0000000000009</v>
      </c>
      <c r="O1324" s="1"/>
    </row>
    <row r="1325" spans="1:15" hidden="1">
      <c r="A1325" s="1" t="s">
        <v>1428</v>
      </c>
      <c r="B1325" s="1" t="s">
        <v>15</v>
      </c>
      <c r="C1325" s="71">
        <v>131084512264</v>
      </c>
      <c r="D1325" s="3">
        <v>7557.6</v>
      </c>
      <c r="E1325" s="3">
        <v>10679602.24</v>
      </c>
      <c r="F1325" s="1" t="s">
        <v>3065</v>
      </c>
      <c r="G1325"/>
      <c r="H1325"/>
      <c r="I1325" s="19">
        <f>-IFERROR(VLOOKUP(C1325,SIRCUPA!$A$21:$H$221,8,0),0)</f>
        <v>0</v>
      </c>
      <c r="J1325" s="86">
        <f>-IFERROR(VLOOKUP(C1325,SIRTAC!$A$16:$H$1458,8,0),0)</f>
        <v>-80</v>
      </c>
      <c r="K1325" s="86">
        <f>-IFERROR(VLOOKUP(C1325,Gastos!$A$9:$J$1451,10,0),0)</f>
        <v>-314.39999999999998</v>
      </c>
      <c r="L1325" s="86">
        <f>-IFERROR(VLOOKUP(C1325,IDC!$A$20:$H$1763,8,0),0)</f>
        <v>-48</v>
      </c>
      <c r="M1325" s="95">
        <f t="shared" si="42"/>
        <v>8000</v>
      </c>
      <c r="O1325" s="1"/>
    </row>
    <row r="1326" spans="1:15" hidden="1">
      <c r="A1326" s="1" t="s">
        <v>1428</v>
      </c>
      <c r="B1326" s="1" t="s">
        <v>15</v>
      </c>
      <c r="C1326" s="71">
        <v>131084590632</v>
      </c>
      <c r="D1326" s="3">
        <v>78126.69</v>
      </c>
      <c r="E1326" s="3">
        <v>10757728.93</v>
      </c>
      <c r="F1326" s="1" t="s">
        <v>3065</v>
      </c>
      <c r="G1326"/>
      <c r="H1326"/>
      <c r="I1326" s="19">
        <f>-IFERROR(VLOOKUP(C1326,SIRCUPA!$A$21:$H$221,8,0),0)</f>
        <v>0</v>
      </c>
      <c r="J1326" s="86">
        <f>-IFERROR(VLOOKUP(C1326,SIRTAC!$A$16:$H$1458,8,0),0)</f>
        <v>-827</v>
      </c>
      <c r="K1326" s="86">
        <f>-IFERROR(VLOOKUP(C1326,Gastos!$A$9:$J$1451,10,0),0)</f>
        <v>-3250.11</v>
      </c>
      <c r="L1326" s="86">
        <f>-IFERROR(VLOOKUP(C1326,IDC!$A$20:$H$1763,8,0),0)</f>
        <v>-496.2</v>
      </c>
      <c r="M1326" s="95">
        <f t="shared" si="42"/>
        <v>82700</v>
      </c>
      <c r="O1326" s="1"/>
    </row>
    <row r="1327" spans="1:15" hidden="1">
      <c r="A1327" s="1" t="s">
        <v>1428</v>
      </c>
      <c r="B1327" s="1" t="s">
        <v>15</v>
      </c>
      <c r="C1327" s="71">
        <v>131084662508</v>
      </c>
      <c r="D1327" s="3">
        <v>7794.4</v>
      </c>
      <c r="E1327" s="3">
        <v>10765523.33</v>
      </c>
      <c r="F1327" s="1" t="s">
        <v>3065</v>
      </c>
      <c r="G1327"/>
      <c r="H1327"/>
      <c r="I1327" s="19">
        <f>-IFERROR(VLOOKUP(C1327,SIRCUPA!$A$21:$H$221,8,0),0)</f>
        <v>0</v>
      </c>
      <c r="J1327" s="86">
        <f>-IFERROR(VLOOKUP(C1327,SIRTAC!$A$16:$H$1458,8,0),0)</f>
        <v>-80</v>
      </c>
      <c r="K1327" s="86">
        <f>-IFERROR(VLOOKUP(C1327,Gastos!$A$9:$J$1451,10,0),0)</f>
        <v>-77.599999999999994</v>
      </c>
      <c r="L1327" s="86">
        <f>-IFERROR(VLOOKUP(C1327,IDC!$A$20:$H$1763,8,0),0)</f>
        <v>-48</v>
      </c>
      <c r="M1327" s="95">
        <f t="shared" si="42"/>
        <v>8000</v>
      </c>
      <c r="O1327" s="1"/>
    </row>
    <row r="1328" spans="1:15" hidden="1">
      <c r="A1328" s="1" t="s">
        <v>1428</v>
      </c>
      <c r="B1328" s="1" t="s">
        <v>1486</v>
      </c>
      <c r="C1328" s="71">
        <v>130498159109</v>
      </c>
      <c r="D1328" s="2">
        <v>391.6</v>
      </c>
      <c r="E1328" s="3">
        <v>10765914.93</v>
      </c>
      <c r="F1328" s="1" t="s">
        <v>3065</v>
      </c>
      <c r="G1328"/>
      <c r="H1328"/>
      <c r="I1328" s="19">
        <f>-IFERROR(VLOOKUP(C1328,SIRCUPA!$A$21:$H$221,8,0),0)</f>
        <v>-6</v>
      </c>
      <c r="J1328" s="86">
        <f>-IFERROR(VLOOKUP(C1328,SIRTAC!$A$16:$H$1458,8,0),0)</f>
        <v>0</v>
      </c>
      <c r="K1328" s="86">
        <f>-IFERROR(VLOOKUP(C1328,Gastos!$A$9:$J$1451,10,0),0)</f>
        <v>0</v>
      </c>
      <c r="L1328" s="86">
        <f>-IFERROR(VLOOKUP(C1328,IDC!$A$20:$H$1763,8,0),0)</f>
        <v>-2.4</v>
      </c>
      <c r="M1328" s="95">
        <f t="shared" si="42"/>
        <v>400</v>
      </c>
      <c r="O1328" s="1"/>
    </row>
    <row r="1329" spans="1:15" hidden="1">
      <c r="A1329" s="1" t="s">
        <v>1428</v>
      </c>
      <c r="B1329" s="1" t="s">
        <v>15</v>
      </c>
      <c r="C1329" s="71">
        <v>131084747440</v>
      </c>
      <c r="D1329" s="3">
        <v>4286.92</v>
      </c>
      <c r="E1329" s="3">
        <v>10770201.85</v>
      </c>
      <c r="F1329" s="1" t="s">
        <v>3065</v>
      </c>
      <c r="G1329"/>
      <c r="H1329"/>
      <c r="I1329" s="19">
        <f>-IFERROR(VLOOKUP(C1329,SIRCUPA!$A$21:$H$221,8,0),0)</f>
        <v>0</v>
      </c>
      <c r="J1329" s="86">
        <f>-IFERROR(VLOOKUP(C1329,SIRTAC!$A$16:$H$1458,8,0),0)</f>
        <v>-44</v>
      </c>
      <c r="K1329" s="86">
        <f>-IFERROR(VLOOKUP(C1329,Gastos!$A$9:$J$1451,10,0),0)</f>
        <v>-42.68</v>
      </c>
      <c r="L1329" s="86">
        <f>-IFERROR(VLOOKUP(C1329,IDC!$A$20:$H$1763,8,0),0)</f>
        <v>-26.4</v>
      </c>
      <c r="M1329" s="95">
        <f t="shared" si="42"/>
        <v>4400</v>
      </c>
      <c r="O1329" s="1"/>
    </row>
    <row r="1330" spans="1:15" hidden="1">
      <c r="A1330" s="1" t="s">
        <v>1428</v>
      </c>
      <c r="B1330" s="1" t="s">
        <v>15</v>
      </c>
      <c r="C1330" s="71">
        <v>130498345131</v>
      </c>
      <c r="D1330" s="3">
        <v>4092.06</v>
      </c>
      <c r="E1330" s="3">
        <v>10774293.91</v>
      </c>
      <c r="F1330" s="1" t="s">
        <v>3065</v>
      </c>
      <c r="G1330"/>
      <c r="H1330"/>
      <c r="I1330" s="19">
        <f>-IFERROR(VLOOKUP(C1330,SIRCUPA!$A$21:$H$221,8,0),0)</f>
        <v>0</v>
      </c>
      <c r="J1330" s="86">
        <f>-IFERROR(VLOOKUP(C1330,SIRTAC!$A$16:$H$1458,8,0),0)</f>
        <v>-42</v>
      </c>
      <c r="K1330" s="86">
        <f>-IFERROR(VLOOKUP(C1330,Gastos!$A$9:$J$1451,10,0),0)</f>
        <v>-40.74</v>
      </c>
      <c r="L1330" s="86">
        <f>-IFERROR(VLOOKUP(C1330,IDC!$A$20:$H$1763,8,0),0)</f>
        <v>-25.2</v>
      </c>
      <c r="M1330" s="95">
        <f t="shared" si="42"/>
        <v>4199.9999999999991</v>
      </c>
      <c r="O1330" s="1"/>
    </row>
    <row r="1331" spans="1:15" hidden="1">
      <c r="A1331" s="1" t="s">
        <v>1428</v>
      </c>
      <c r="B1331" s="1" t="s">
        <v>15</v>
      </c>
      <c r="C1331" s="71">
        <v>130498487107</v>
      </c>
      <c r="D1331" s="3">
        <v>8573.84</v>
      </c>
      <c r="E1331" s="3">
        <v>10782867.75</v>
      </c>
      <c r="F1331" s="1" t="s">
        <v>3065</v>
      </c>
      <c r="G1331"/>
      <c r="H1331"/>
      <c r="I1331" s="19">
        <f>-IFERROR(VLOOKUP(C1331,SIRCUPA!$A$21:$H$221,8,0),0)</f>
        <v>0</v>
      </c>
      <c r="J1331" s="86">
        <f>-IFERROR(VLOOKUP(C1331,SIRTAC!$A$16:$H$1458,8,0),0)</f>
        <v>-88</v>
      </c>
      <c r="K1331" s="86">
        <f>-IFERROR(VLOOKUP(C1331,Gastos!$A$9:$J$1451,10,0),0)</f>
        <v>-85.36</v>
      </c>
      <c r="L1331" s="86">
        <f>-IFERROR(VLOOKUP(C1331,IDC!$A$20:$H$1763,8,0),0)</f>
        <v>-52.8</v>
      </c>
      <c r="M1331" s="95">
        <f t="shared" si="42"/>
        <v>8800</v>
      </c>
      <c r="O1331" s="1"/>
    </row>
    <row r="1332" spans="1:15" hidden="1">
      <c r="A1332" s="1" t="s">
        <v>1428</v>
      </c>
      <c r="B1332" s="1" t="s">
        <v>15</v>
      </c>
      <c r="C1332" s="71">
        <v>131086009404</v>
      </c>
      <c r="D1332" s="3">
        <v>4676.6400000000003</v>
      </c>
      <c r="E1332" s="3">
        <v>10787544.390000001</v>
      </c>
      <c r="F1332" s="1" t="s">
        <v>3065</v>
      </c>
      <c r="G1332"/>
      <c r="H1332"/>
      <c r="I1332" s="19">
        <f>-IFERROR(VLOOKUP(C1332,SIRCUPA!$A$21:$H$221,8,0),0)</f>
        <v>0</v>
      </c>
      <c r="J1332" s="86">
        <f>-IFERROR(VLOOKUP(C1332,SIRTAC!$A$16:$H$1458,8,0),0)</f>
        <v>-48</v>
      </c>
      <c r="K1332" s="86">
        <f>-IFERROR(VLOOKUP(C1332,Gastos!$A$9:$J$1451,10,0),0)</f>
        <v>-46.56</v>
      </c>
      <c r="L1332" s="86">
        <f>-IFERROR(VLOOKUP(C1332,IDC!$A$20:$H$1763,8,0),0)</f>
        <v>-28.8</v>
      </c>
      <c r="M1332" s="95">
        <f t="shared" si="42"/>
        <v>4800.0000000000009</v>
      </c>
      <c r="O1332" s="1"/>
    </row>
    <row r="1333" spans="1:15" hidden="1">
      <c r="A1333" s="1" t="s">
        <v>1428</v>
      </c>
      <c r="B1333" s="1" t="s">
        <v>15</v>
      </c>
      <c r="C1333" s="71">
        <v>130499575511</v>
      </c>
      <c r="D1333" s="3">
        <v>11691.6</v>
      </c>
      <c r="E1333" s="3">
        <v>10799235.99</v>
      </c>
      <c r="F1333" s="1" t="s">
        <v>3065</v>
      </c>
      <c r="G1333"/>
      <c r="H1333"/>
      <c r="I1333" s="19">
        <f>-IFERROR(VLOOKUP(C1333,SIRCUPA!$A$21:$H$221,8,0),0)</f>
        <v>0</v>
      </c>
      <c r="J1333" s="86">
        <f>-IFERROR(VLOOKUP(C1333,SIRTAC!$A$16:$H$1458,8,0),0)</f>
        <v>-120</v>
      </c>
      <c r="K1333" s="86">
        <f>-IFERROR(VLOOKUP(C1333,Gastos!$A$9:$J$1451,10,0),0)</f>
        <v>-116.4</v>
      </c>
      <c r="L1333" s="86">
        <f>-IFERROR(VLOOKUP(C1333,IDC!$A$20:$H$1763,8,0),0)</f>
        <v>-72</v>
      </c>
      <c r="M1333" s="95">
        <f t="shared" si="42"/>
        <v>12000</v>
      </c>
      <c r="O1333" s="1"/>
    </row>
    <row r="1334" spans="1:15" hidden="1">
      <c r="A1334" s="1" t="s">
        <v>1428</v>
      </c>
      <c r="B1334" s="1" t="s">
        <v>1493</v>
      </c>
      <c r="C1334" s="71">
        <v>130499718765</v>
      </c>
      <c r="D1334" s="2">
        <v>587.4</v>
      </c>
      <c r="E1334" s="3">
        <v>10799823.390000001</v>
      </c>
      <c r="F1334" s="1" t="s">
        <v>3065</v>
      </c>
      <c r="G1334"/>
      <c r="H1334"/>
      <c r="I1334" s="19">
        <f>-IFERROR(VLOOKUP(C1334,SIRCUPA!$A$21:$H$221,8,0),0)</f>
        <v>-9</v>
      </c>
      <c r="J1334" s="86">
        <f>-IFERROR(VLOOKUP(C1334,SIRTAC!$A$16:$H$1458,8,0),0)</f>
        <v>0</v>
      </c>
      <c r="K1334" s="86">
        <f>-IFERROR(VLOOKUP(C1334,Gastos!$A$9:$J$1451,10,0),0)</f>
        <v>0</v>
      </c>
      <c r="L1334" s="86">
        <f>-IFERROR(VLOOKUP(C1334,IDC!$A$20:$H$1763,8,0),0)</f>
        <v>-3.6</v>
      </c>
      <c r="M1334" s="95">
        <f t="shared" ref="M1334:M1365" si="43">+D1334-I1334-J1334-K1334-L1334</f>
        <v>600</v>
      </c>
      <c r="O1334" s="1"/>
    </row>
    <row r="1335" spans="1:15" hidden="1">
      <c r="A1335" s="1" t="s">
        <v>1428</v>
      </c>
      <c r="B1335" s="1" t="s">
        <v>15</v>
      </c>
      <c r="C1335" s="71">
        <v>131086304876</v>
      </c>
      <c r="D1335" s="3">
        <v>20460.3</v>
      </c>
      <c r="E1335" s="3">
        <v>10820283.689999999</v>
      </c>
      <c r="F1335" s="1" t="s">
        <v>3065</v>
      </c>
      <c r="G1335"/>
      <c r="H1335"/>
      <c r="I1335" s="19">
        <f>-IFERROR(VLOOKUP(C1335,SIRCUPA!$A$21:$H$221,8,0),0)</f>
        <v>0</v>
      </c>
      <c r="J1335" s="86">
        <f>-IFERROR(VLOOKUP(C1335,SIRTAC!$A$16:$H$1458,8,0),0)</f>
        <v>-210</v>
      </c>
      <c r="K1335" s="86">
        <f>-IFERROR(VLOOKUP(C1335,Gastos!$A$9:$J$1451,10,0),0)</f>
        <v>-203.7</v>
      </c>
      <c r="L1335" s="86">
        <f>-IFERROR(VLOOKUP(C1335,IDC!$A$20:$H$1763,8,0),0)</f>
        <v>-126</v>
      </c>
      <c r="M1335" s="95">
        <f t="shared" si="43"/>
        <v>21000</v>
      </c>
      <c r="O1335" s="1"/>
    </row>
    <row r="1336" spans="1:15" hidden="1">
      <c r="A1336" s="1" t="s">
        <v>1428</v>
      </c>
      <c r="B1336" s="1" t="s">
        <v>15</v>
      </c>
      <c r="C1336" s="71">
        <v>131086444340</v>
      </c>
      <c r="D1336" s="3">
        <v>36406.79</v>
      </c>
      <c r="E1336" s="3">
        <v>10856690.48</v>
      </c>
      <c r="F1336" s="1" t="s">
        <v>3065</v>
      </c>
      <c r="G1336"/>
      <c r="H1336"/>
      <c r="I1336" s="19">
        <f>-IFERROR(VLOOKUP(C1336,SIRCUPA!$A$21:$H$221,8,0),0)</f>
        <v>0</v>
      </c>
      <c r="J1336" s="86">
        <f>-IFERROR(VLOOKUP(C1336,SIRTAC!$A$16:$H$1458,8,0),0)</f>
        <v>-401</v>
      </c>
      <c r="K1336" s="86">
        <f>-IFERROR(VLOOKUP(C1336,Gastos!$A$9:$J$1451,10,0),0)</f>
        <v>-3051.61</v>
      </c>
      <c r="L1336" s="86">
        <f>-IFERROR(VLOOKUP(C1336,IDC!$A$20:$H$1763,8,0),0)</f>
        <v>-240.6</v>
      </c>
      <c r="M1336" s="95">
        <f t="shared" si="43"/>
        <v>40100</v>
      </c>
      <c r="O1336" s="1"/>
    </row>
    <row r="1337" spans="1:15" hidden="1">
      <c r="A1337" s="1" t="s">
        <v>1428</v>
      </c>
      <c r="B1337" s="1" t="s">
        <v>15</v>
      </c>
      <c r="C1337" s="71">
        <v>131086501014</v>
      </c>
      <c r="D1337" s="3">
        <v>17999.22</v>
      </c>
      <c r="E1337" s="3">
        <v>10874689.699999999</v>
      </c>
      <c r="F1337" s="1" t="s">
        <v>3065</v>
      </c>
      <c r="G1337"/>
      <c r="H1337"/>
      <c r="I1337" s="19">
        <f>-IFERROR(VLOOKUP(C1337,SIRCUPA!$A$21:$H$221,8,0),0)</f>
        <v>0</v>
      </c>
      <c r="J1337" s="86">
        <f>-IFERROR(VLOOKUP(C1337,SIRTAC!$A$16:$H$1458,8,0),0)</f>
        <v>-186</v>
      </c>
      <c r="K1337" s="86">
        <f>-IFERROR(VLOOKUP(C1337,Gastos!$A$9:$J$1451,10,0),0)</f>
        <v>-303.18</v>
      </c>
      <c r="L1337" s="86">
        <f>-IFERROR(VLOOKUP(C1337,IDC!$A$20:$H$1763,8,0),0)</f>
        <v>-111.6</v>
      </c>
      <c r="M1337" s="95">
        <f t="shared" si="43"/>
        <v>18600</v>
      </c>
      <c r="O1337" s="1"/>
    </row>
    <row r="1338" spans="1:15" hidden="1">
      <c r="A1338" s="1" t="s">
        <v>1428</v>
      </c>
      <c r="B1338" s="1" t="s">
        <v>15</v>
      </c>
      <c r="C1338" s="71">
        <v>131086678184</v>
      </c>
      <c r="D1338" s="3">
        <v>7891.83</v>
      </c>
      <c r="E1338" s="3">
        <v>10882581.529999999</v>
      </c>
      <c r="F1338" s="1" t="s">
        <v>3065</v>
      </c>
      <c r="G1338"/>
      <c r="H1338"/>
      <c r="I1338" s="19">
        <f>-IFERROR(VLOOKUP(C1338,SIRCUPA!$A$21:$H$221,8,0),0)</f>
        <v>0</v>
      </c>
      <c r="J1338" s="86">
        <f>-IFERROR(VLOOKUP(C1338,SIRTAC!$A$16:$H$1458,8,0),0)</f>
        <v>-81</v>
      </c>
      <c r="K1338" s="86">
        <f>-IFERROR(VLOOKUP(C1338,Gastos!$A$9:$J$1451,10,0),0)</f>
        <v>-78.569999999999993</v>
      </c>
      <c r="L1338" s="86">
        <f>-IFERROR(VLOOKUP(C1338,IDC!$A$20:$H$1763,8,0),0)</f>
        <v>-48.6</v>
      </c>
      <c r="M1338" s="95">
        <f t="shared" si="43"/>
        <v>8100</v>
      </c>
      <c r="O1338" s="1"/>
    </row>
    <row r="1339" spans="1:15" hidden="1">
      <c r="A1339" s="1" t="s">
        <v>1428</v>
      </c>
      <c r="B1339" s="1" t="s">
        <v>15</v>
      </c>
      <c r="C1339" s="71">
        <v>131087257486</v>
      </c>
      <c r="D1339" s="3">
        <v>4676.6400000000003</v>
      </c>
      <c r="E1339" s="3">
        <v>10887258.17</v>
      </c>
      <c r="F1339" s="1" t="s">
        <v>3065</v>
      </c>
      <c r="G1339"/>
      <c r="H1339"/>
      <c r="I1339" s="19">
        <f>-IFERROR(VLOOKUP(C1339,SIRCUPA!$A$21:$H$221,8,0),0)</f>
        <v>0</v>
      </c>
      <c r="J1339" s="86">
        <f>-IFERROR(VLOOKUP(C1339,SIRTAC!$A$16:$H$1458,8,0),0)</f>
        <v>-48</v>
      </c>
      <c r="K1339" s="86">
        <f>-IFERROR(VLOOKUP(C1339,Gastos!$A$9:$J$1451,10,0),0)</f>
        <v>-46.56</v>
      </c>
      <c r="L1339" s="86">
        <f>-IFERROR(VLOOKUP(C1339,IDC!$A$20:$H$1763,8,0),0)</f>
        <v>-28.8</v>
      </c>
      <c r="M1339" s="95">
        <f t="shared" si="43"/>
        <v>4800.0000000000009</v>
      </c>
      <c r="O1339" s="1"/>
    </row>
    <row r="1340" spans="1:15" hidden="1">
      <c r="A1340" s="1" t="s">
        <v>1428</v>
      </c>
      <c r="B1340" s="1" t="s">
        <v>15</v>
      </c>
      <c r="C1340" s="71">
        <v>131088135338</v>
      </c>
      <c r="D1340" s="3">
        <v>7696.97</v>
      </c>
      <c r="E1340" s="3">
        <v>10894955.140000001</v>
      </c>
      <c r="F1340" s="1" t="s">
        <v>3065</v>
      </c>
      <c r="G1340"/>
      <c r="H1340"/>
      <c r="I1340" s="19">
        <f>-IFERROR(VLOOKUP(C1340,SIRCUPA!$A$21:$H$221,8,0),0)</f>
        <v>0</v>
      </c>
      <c r="J1340" s="86">
        <f>-IFERROR(VLOOKUP(C1340,SIRTAC!$A$16:$H$1458,8,0),0)</f>
        <v>-79</v>
      </c>
      <c r="K1340" s="86">
        <f>-IFERROR(VLOOKUP(C1340,Gastos!$A$9:$J$1451,10,0),0)</f>
        <v>-76.63</v>
      </c>
      <c r="L1340" s="86">
        <f>-IFERROR(VLOOKUP(C1340,IDC!$A$20:$H$1763,8,0),0)</f>
        <v>-47.4</v>
      </c>
      <c r="M1340" s="95">
        <f t="shared" si="43"/>
        <v>7900</v>
      </c>
      <c r="O1340" s="1"/>
    </row>
    <row r="1341" spans="1:15" hidden="1">
      <c r="A1341" s="1" t="s">
        <v>1428</v>
      </c>
      <c r="B1341" s="1" t="s">
        <v>15</v>
      </c>
      <c r="C1341" s="71">
        <v>131088197646</v>
      </c>
      <c r="D1341" s="3">
        <v>65180.67</v>
      </c>
      <c r="E1341" s="3">
        <v>10960135.810000001</v>
      </c>
      <c r="F1341" s="1" t="s">
        <v>3065</v>
      </c>
      <c r="G1341"/>
      <c r="H1341"/>
      <c r="I1341" s="19">
        <f>-IFERROR(VLOOKUP(C1341,SIRCUPA!$A$21:$H$221,8,0),0)</f>
        <v>0</v>
      </c>
      <c r="J1341" s="86">
        <f>-IFERROR(VLOOKUP(C1341,SIRTAC!$A$16:$H$1458,8,0),0)</f>
        <v>-669</v>
      </c>
      <c r="K1341" s="86">
        <f>-IFERROR(VLOOKUP(C1341,Gastos!$A$9:$J$1451,10,0),0)</f>
        <v>-648.92999999999995</v>
      </c>
      <c r="L1341" s="86">
        <f>-IFERROR(VLOOKUP(C1341,IDC!$A$20:$H$1763,8,0),0)</f>
        <v>-401.4</v>
      </c>
      <c r="M1341" s="95">
        <f t="shared" si="43"/>
        <v>66899.999999999985</v>
      </c>
      <c r="O1341" s="1"/>
    </row>
    <row r="1342" spans="1:15" hidden="1">
      <c r="A1342" s="1" t="s">
        <v>1428</v>
      </c>
      <c r="B1342" s="1" t="s">
        <v>15</v>
      </c>
      <c r="C1342" s="71">
        <v>131088652378</v>
      </c>
      <c r="D1342" s="3">
        <v>3897.2</v>
      </c>
      <c r="E1342" s="3">
        <v>10964033.01</v>
      </c>
      <c r="F1342" s="1" t="s">
        <v>3065</v>
      </c>
      <c r="G1342"/>
      <c r="H1342"/>
      <c r="I1342" s="19">
        <f>-IFERROR(VLOOKUP(C1342,SIRCUPA!$A$21:$H$221,8,0),0)</f>
        <v>0</v>
      </c>
      <c r="J1342" s="86">
        <f>-IFERROR(VLOOKUP(C1342,SIRTAC!$A$16:$H$1458,8,0),0)</f>
        <v>-40</v>
      </c>
      <c r="K1342" s="86">
        <f>-IFERROR(VLOOKUP(C1342,Gastos!$A$9:$J$1451,10,0),0)</f>
        <v>-38.799999999999997</v>
      </c>
      <c r="L1342" s="86">
        <f>-IFERROR(VLOOKUP(C1342,IDC!$A$20:$H$1763,8,0),0)</f>
        <v>-24</v>
      </c>
      <c r="M1342" s="95">
        <f t="shared" si="43"/>
        <v>4000</v>
      </c>
      <c r="O1342" s="1"/>
    </row>
    <row r="1343" spans="1:15" hidden="1">
      <c r="A1343" s="1" t="s">
        <v>1428</v>
      </c>
      <c r="B1343" s="1" t="s">
        <v>15</v>
      </c>
      <c r="C1343" s="71">
        <v>130502296115</v>
      </c>
      <c r="D1343" s="3">
        <v>5358.65</v>
      </c>
      <c r="E1343" s="3">
        <v>10969391.66</v>
      </c>
      <c r="F1343" s="1" t="s">
        <v>3065</v>
      </c>
      <c r="G1343"/>
      <c r="H1343"/>
      <c r="I1343" s="19">
        <f>-IFERROR(VLOOKUP(C1343,SIRCUPA!$A$21:$H$221,8,0),0)</f>
        <v>0</v>
      </c>
      <c r="J1343" s="86">
        <f>-IFERROR(VLOOKUP(C1343,SIRTAC!$A$16:$H$1458,8,0),0)</f>
        <v>-55</v>
      </c>
      <c r="K1343" s="86">
        <f>-IFERROR(VLOOKUP(C1343,Gastos!$A$9:$J$1451,10,0),0)</f>
        <v>-53.35</v>
      </c>
      <c r="L1343" s="86">
        <f>-IFERROR(VLOOKUP(C1343,IDC!$A$20:$H$1763,8,0),0)</f>
        <v>-33</v>
      </c>
      <c r="M1343" s="95">
        <f t="shared" si="43"/>
        <v>5500</v>
      </c>
      <c r="O1343" s="1"/>
    </row>
    <row r="1344" spans="1:15" hidden="1">
      <c r="A1344" s="1" t="s">
        <v>1428</v>
      </c>
      <c r="B1344" s="1" t="s">
        <v>15</v>
      </c>
      <c r="C1344" s="71">
        <v>131089296298</v>
      </c>
      <c r="D1344" s="3">
        <v>17829.689999999999</v>
      </c>
      <c r="E1344" s="3">
        <v>10987221.35</v>
      </c>
      <c r="F1344" s="1" t="s">
        <v>3065</v>
      </c>
      <c r="G1344"/>
      <c r="H1344"/>
      <c r="I1344" s="19">
        <f>-IFERROR(VLOOKUP(C1344,SIRCUPA!$A$21:$H$221,8,0),0)</f>
        <v>0</v>
      </c>
      <c r="J1344" s="86">
        <f>-IFERROR(VLOOKUP(C1344,SIRTAC!$A$16:$H$1458,8,0),0)</f>
        <v>-183</v>
      </c>
      <c r="K1344" s="86">
        <f>-IFERROR(VLOOKUP(C1344,Gastos!$A$9:$J$1451,10,0),0)</f>
        <v>-177.51</v>
      </c>
      <c r="L1344" s="86">
        <f>-IFERROR(VLOOKUP(C1344,IDC!$A$20:$H$1763,8,0),0)</f>
        <v>-109.8</v>
      </c>
      <c r="M1344" s="95">
        <f t="shared" si="43"/>
        <v>18299.999999999996</v>
      </c>
      <c r="O1344" s="1"/>
    </row>
    <row r="1345" spans="1:15" hidden="1">
      <c r="A1345" s="1" t="s">
        <v>1428</v>
      </c>
      <c r="B1345" s="1" t="s">
        <v>15</v>
      </c>
      <c r="C1345" s="71">
        <v>131089712824</v>
      </c>
      <c r="D1345" s="3">
        <v>29472.04</v>
      </c>
      <c r="E1345" s="3">
        <v>11016693.390000001</v>
      </c>
      <c r="F1345" s="1" t="s">
        <v>3065</v>
      </c>
      <c r="G1345"/>
      <c r="H1345"/>
      <c r="I1345" s="19">
        <f>-IFERROR(VLOOKUP(C1345,SIRCUPA!$A$21:$H$221,8,0),0)</f>
        <v>0</v>
      </c>
      <c r="J1345" s="86">
        <f>-IFERROR(VLOOKUP(C1345,SIRTAC!$A$16:$H$1458,8,0),0)</f>
        <v>-314</v>
      </c>
      <c r="K1345" s="86">
        <f>-IFERROR(VLOOKUP(C1345,Gastos!$A$9:$J$1451,10,0),0)</f>
        <v>-1425.56</v>
      </c>
      <c r="L1345" s="86">
        <f>-IFERROR(VLOOKUP(C1345,IDC!$A$20:$H$1763,8,0),0)</f>
        <v>-188.4</v>
      </c>
      <c r="M1345" s="95">
        <f t="shared" si="43"/>
        <v>31400.000000000004</v>
      </c>
      <c r="O1345" s="1"/>
    </row>
    <row r="1346" spans="1:15" hidden="1">
      <c r="A1346" s="1" t="s">
        <v>1428</v>
      </c>
      <c r="B1346" s="1" t="s">
        <v>15</v>
      </c>
      <c r="C1346" s="71">
        <v>131089749914</v>
      </c>
      <c r="D1346" s="3">
        <v>14614.5</v>
      </c>
      <c r="E1346" s="3">
        <v>11031307.890000001</v>
      </c>
      <c r="F1346" s="1" t="s">
        <v>3065</v>
      </c>
      <c r="G1346"/>
      <c r="H1346"/>
      <c r="I1346" s="19">
        <f>-IFERROR(VLOOKUP(C1346,SIRCUPA!$A$21:$H$221,8,0),0)</f>
        <v>0</v>
      </c>
      <c r="J1346" s="86">
        <f>-IFERROR(VLOOKUP(C1346,SIRTAC!$A$16:$H$1458,8,0),0)</f>
        <v>-150</v>
      </c>
      <c r="K1346" s="86">
        <f>-IFERROR(VLOOKUP(C1346,Gastos!$A$9:$J$1451,10,0),0)</f>
        <v>-145.5</v>
      </c>
      <c r="L1346" s="86">
        <f>-IFERROR(VLOOKUP(C1346,IDC!$A$20:$H$1763,8,0),0)</f>
        <v>-90</v>
      </c>
      <c r="M1346" s="95">
        <f t="shared" si="43"/>
        <v>15000</v>
      </c>
      <c r="O1346" s="1"/>
    </row>
    <row r="1347" spans="1:15" hidden="1">
      <c r="A1347" s="1" t="s">
        <v>1428</v>
      </c>
      <c r="B1347" s="1" t="s">
        <v>15</v>
      </c>
      <c r="C1347" s="71">
        <v>130503293867</v>
      </c>
      <c r="D1347" s="3">
        <v>18894</v>
      </c>
      <c r="E1347" s="3">
        <v>11050201.890000001</v>
      </c>
      <c r="F1347" s="1" t="s">
        <v>3065</v>
      </c>
      <c r="G1347"/>
      <c r="H1347"/>
      <c r="I1347" s="19">
        <f>-IFERROR(VLOOKUP(C1347,SIRCUPA!$A$21:$H$221,8,0),0)</f>
        <v>0</v>
      </c>
      <c r="J1347" s="86">
        <f>-IFERROR(VLOOKUP(C1347,SIRTAC!$A$16:$H$1458,8,0),0)</f>
        <v>-200</v>
      </c>
      <c r="K1347" s="86">
        <f>-IFERROR(VLOOKUP(C1347,Gastos!$A$9:$J$1451,10,0),0)</f>
        <v>-786</v>
      </c>
      <c r="L1347" s="86">
        <f>-IFERROR(VLOOKUP(C1347,IDC!$A$20:$H$1763,8,0),0)</f>
        <v>-120</v>
      </c>
      <c r="M1347" s="95">
        <f t="shared" si="43"/>
        <v>20000</v>
      </c>
      <c r="O1347" s="1"/>
    </row>
    <row r="1348" spans="1:15" hidden="1">
      <c r="A1348" s="1" t="s">
        <v>1428</v>
      </c>
      <c r="B1348" s="1" t="s">
        <v>15</v>
      </c>
      <c r="C1348" s="71">
        <v>130503430043</v>
      </c>
      <c r="D1348" s="3">
        <v>7557.6</v>
      </c>
      <c r="E1348" s="3">
        <v>11057759.49</v>
      </c>
      <c r="F1348" s="1" t="s">
        <v>3065</v>
      </c>
      <c r="G1348"/>
      <c r="H1348"/>
      <c r="I1348" s="19">
        <f>-IFERROR(VLOOKUP(C1348,SIRCUPA!$A$21:$H$221,8,0),0)</f>
        <v>0</v>
      </c>
      <c r="J1348" s="86">
        <f>-IFERROR(VLOOKUP(C1348,SIRTAC!$A$16:$H$1458,8,0),0)</f>
        <v>-80</v>
      </c>
      <c r="K1348" s="86">
        <f>-IFERROR(VLOOKUP(C1348,Gastos!$A$9:$J$1451,10,0),0)</f>
        <v>-314.39999999999998</v>
      </c>
      <c r="L1348" s="86">
        <f>-IFERROR(VLOOKUP(C1348,IDC!$A$20:$H$1763,8,0),0)</f>
        <v>-48</v>
      </c>
      <c r="M1348" s="95">
        <f t="shared" si="43"/>
        <v>8000</v>
      </c>
      <c r="O1348" s="1"/>
    </row>
    <row r="1349" spans="1:15" hidden="1">
      <c r="A1349" s="1" t="s">
        <v>1428</v>
      </c>
      <c r="B1349" s="1" t="s">
        <v>15</v>
      </c>
      <c r="C1349" s="71">
        <v>130503902335</v>
      </c>
      <c r="D1349" s="3">
        <v>23480.63</v>
      </c>
      <c r="E1349" s="3">
        <v>11081240.119999999</v>
      </c>
      <c r="F1349" s="1" t="s">
        <v>3065</v>
      </c>
      <c r="G1349"/>
      <c r="H1349"/>
      <c r="I1349" s="19">
        <f>-IFERROR(VLOOKUP(C1349,SIRCUPA!$A$21:$H$221,8,0),0)</f>
        <v>0</v>
      </c>
      <c r="J1349" s="86">
        <f>-IFERROR(VLOOKUP(C1349,SIRTAC!$A$16:$H$1458,8,0),0)</f>
        <v>-241</v>
      </c>
      <c r="K1349" s="86">
        <f>-IFERROR(VLOOKUP(C1349,Gastos!$A$9:$J$1451,10,0),0)</f>
        <v>-233.77</v>
      </c>
      <c r="L1349" s="86">
        <f>-IFERROR(VLOOKUP(C1349,IDC!$A$20:$H$1763,8,0),0)</f>
        <v>-144.6</v>
      </c>
      <c r="M1349" s="95">
        <f t="shared" si="43"/>
        <v>24100</v>
      </c>
      <c r="O1349" s="1"/>
    </row>
    <row r="1350" spans="1:15" hidden="1">
      <c r="A1350" s="1" t="s">
        <v>1428</v>
      </c>
      <c r="B1350" s="1" t="s">
        <v>15</v>
      </c>
      <c r="C1350" s="71">
        <v>131090503118</v>
      </c>
      <c r="D1350" s="3">
        <v>11691.6</v>
      </c>
      <c r="E1350" s="3">
        <v>11092931.720000001</v>
      </c>
      <c r="F1350" s="1" t="s">
        <v>3065</v>
      </c>
      <c r="G1350"/>
      <c r="H1350"/>
      <c r="I1350" s="19">
        <f>-IFERROR(VLOOKUP(C1350,SIRCUPA!$A$21:$H$221,8,0),0)</f>
        <v>0</v>
      </c>
      <c r="J1350" s="86">
        <f>-IFERROR(VLOOKUP(C1350,SIRTAC!$A$16:$H$1458,8,0),0)</f>
        <v>-120</v>
      </c>
      <c r="K1350" s="86">
        <f>-IFERROR(VLOOKUP(C1350,Gastos!$A$9:$J$1451,10,0),0)</f>
        <v>-116.4</v>
      </c>
      <c r="L1350" s="86">
        <f>-IFERROR(VLOOKUP(C1350,IDC!$A$20:$H$1763,8,0),0)</f>
        <v>-72</v>
      </c>
      <c r="M1350" s="95">
        <f t="shared" si="43"/>
        <v>12000</v>
      </c>
      <c r="O1350" s="1"/>
    </row>
    <row r="1351" spans="1:15" hidden="1">
      <c r="A1351" s="1" t="s">
        <v>1428</v>
      </c>
      <c r="B1351" s="1" t="s">
        <v>15</v>
      </c>
      <c r="C1351" s="71">
        <v>130504284429</v>
      </c>
      <c r="D1351" s="3">
        <v>4579.21</v>
      </c>
      <c r="E1351" s="3">
        <v>11097510.93</v>
      </c>
      <c r="F1351" s="1" t="s">
        <v>3065</v>
      </c>
      <c r="G1351"/>
      <c r="H1351"/>
      <c r="I1351" s="19">
        <f>-IFERROR(VLOOKUP(C1351,SIRCUPA!$A$21:$H$221,8,0),0)</f>
        <v>0</v>
      </c>
      <c r="J1351" s="86">
        <f>-IFERROR(VLOOKUP(C1351,SIRTAC!$A$16:$H$1458,8,0),0)</f>
        <v>-47</v>
      </c>
      <c r="K1351" s="86">
        <f>-IFERROR(VLOOKUP(C1351,Gastos!$A$9:$J$1451,10,0),0)</f>
        <v>-45.59</v>
      </c>
      <c r="L1351" s="86">
        <f>-IFERROR(VLOOKUP(C1351,IDC!$A$20:$H$1763,8,0),0)</f>
        <v>-28.2</v>
      </c>
      <c r="M1351" s="95">
        <f t="shared" si="43"/>
        <v>4700</v>
      </c>
      <c r="O1351" s="1"/>
    </row>
    <row r="1352" spans="1:15" hidden="1">
      <c r="A1352" s="1" t="s">
        <v>1428</v>
      </c>
      <c r="B1352" s="1" t="s">
        <v>15</v>
      </c>
      <c r="C1352" s="71">
        <v>130504289461</v>
      </c>
      <c r="D1352" s="3">
        <v>18706.560000000001</v>
      </c>
      <c r="E1352" s="3">
        <v>11116217.49</v>
      </c>
      <c r="F1352" s="1" t="s">
        <v>3065</v>
      </c>
      <c r="G1352"/>
      <c r="H1352"/>
      <c r="I1352" s="19">
        <f>-IFERROR(VLOOKUP(C1352,SIRCUPA!$A$21:$H$221,8,0),0)</f>
        <v>0</v>
      </c>
      <c r="J1352" s="86">
        <f>-IFERROR(VLOOKUP(C1352,SIRTAC!$A$16:$H$1458,8,0),0)</f>
        <v>-192</v>
      </c>
      <c r="K1352" s="86">
        <f>-IFERROR(VLOOKUP(C1352,Gastos!$A$9:$J$1451,10,0),0)</f>
        <v>-186.24</v>
      </c>
      <c r="L1352" s="86">
        <f>-IFERROR(VLOOKUP(C1352,IDC!$A$20:$H$1763,8,0),0)</f>
        <v>-115.2</v>
      </c>
      <c r="M1352" s="95">
        <f t="shared" si="43"/>
        <v>19200.000000000004</v>
      </c>
      <c r="O1352" s="1"/>
    </row>
    <row r="1353" spans="1:15" hidden="1">
      <c r="A1353" s="1" t="s">
        <v>1428</v>
      </c>
      <c r="B1353" s="1" t="s">
        <v>1513</v>
      </c>
      <c r="C1353" s="71">
        <v>131090844954</v>
      </c>
      <c r="D1353" s="3">
        <v>1879.68</v>
      </c>
      <c r="E1353" s="3">
        <v>11118097.17</v>
      </c>
      <c r="F1353" s="1" t="s">
        <v>3065</v>
      </c>
      <c r="G1353"/>
      <c r="H1353"/>
      <c r="I1353" s="19">
        <f>-IFERROR(VLOOKUP(C1353,SIRCUPA!$A$21:$H$221,8,0),0)</f>
        <v>-28.8</v>
      </c>
      <c r="J1353" s="86">
        <f>-IFERROR(VLOOKUP(C1353,SIRTAC!$A$16:$H$1458,8,0),0)</f>
        <v>0</v>
      </c>
      <c r="K1353" s="86">
        <f>-IFERROR(VLOOKUP(C1353,Gastos!$A$9:$J$1451,10,0),0)</f>
        <v>0</v>
      </c>
      <c r="L1353" s="86">
        <f>-IFERROR(VLOOKUP(C1353,IDC!$A$20:$H$1763,8,0),0)</f>
        <v>-11.52</v>
      </c>
      <c r="M1353" s="95">
        <f t="shared" si="43"/>
        <v>1920</v>
      </c>
      <c r="O1353" s="1"/>
    </row>
    <row r="1354" spans="1:15" hidden="1">
      <c r="A1354" s="1" t="s">
        <v>1428</v>
      </c>
      <c r="B1354" s="1" t="s">
        <v>15</v>
      </c>
      <c r="C1354" s="71">
        <v>131091206920</v>
      </c>
      <c r="D1354" s="3">
        <v>65570.39</v>
      </c>
      <c r="E1354" s="3">
        <v>11183667.560000001</v>
      </c>
      <c r="F1354" s="1" t="s">
        <v>3065</v>
      </c>
      <c r="G1354"/>
      <c r="H1354"/>
      <c r="I1354" s="19">
        <f>-IFERROR(VLOOKUP(C1354,SIRCUPA!$A$21:$H$221,8,0),0)</f>
        <v>0</v>
      </c>
      <c r="J1354" s="86">
        <f>-IFERROR(VLOOKUP(C1354,SIRTAC!$A$16:$H$1458,8,0),0)</f>
        <v>-673</v>
      </c>
      <c r="K1354" s="86">
        <f>-IFERROR(VLOOKUP(C1354,Gastos!$A$9:$J$1451,10,0),0)</f>
        <v>-652.80999999999995</v>
      </c>
      <c r="L1354" s="86">
        <f>-IFERROR(VLOOKUP(C1354,IDC!$A$20:$H$1763,8,0),0)</f>
        <v>-403.8</v>
      </c>
      <c r="M1354" s="95">
        <f t="shared" si="43"/>
        <v>67300</v>
      </c>
      <c r="O1354" s="1"/>
    </row>
    <row r="1355" spans="1:15" hidden="1">
      <c r="A1355" s="1" t="s">
        <v>1428</v>
      </c>
      <c r="B1355" s="1" t="s">
        <v>15</v>
      </c>
      <c r="C1355" s="71">
        <v>130505110651</v>
      </c>
      <c r="D1355" s="3">
        <v>48463.11</v>
      </c>
      <c r="E1355" s="3">
        <v>11232130.67</v>
      </c>
      <c r="F1355" s="1" t="s">
        <v>3065</v>
      </c>
      <c r="G1355"/>
      <c r="H1355"/>
      <c r="I1355" s="19">
        <f>-IFERROR(VLOOKUP(C1355,SIRCUPA!$A$21:$H$221,8,0),0)</f>
        <v>0</v>
      </c>
      <c r="J1355" s="86">
        <f>-IFERROR(VLOOKUP(C1355,SIRTAC!$A$16:$H$1458,8,0),0)</f>
        <v>-513</v>
      </c>
      <c r="K1355" s="86">
        <f>-IFERROR(VLOOKUP(C1355,Gastos!$A$9:$J$1451,10,0),0)</f>
        <v>-2016.09</v>
      </c>
      <c r="L1355" s="86">
        <f>-IFERROR(VLOOKUP(C1355,IDC!$A$20:$H$1763,8,0),0)</f>
        <v>-307.8</v>
      </c>
      <c r="M1355" s="95">
        <f t="shared" si="43"/>
        <v>51300</v>
      </c>
      <c r="O1355" s="1"/>
    </row>
    <row r="1356" spans="1:15" hidden="1">
      <c r="A1356" s="1" t="s">
        <v>1428</v>
      </c>
      <c r="B1356" s="1" t="s">
        <v>15</v>
      </c>
      <c r="C1356" s="71">
        <v>131091722710</v>
      </c>
      <c r="D1356" s="3">
        <v>28057.59</v>
      </c>
      <c r="E1356" s="3">
        <v>11260188.26</v>
      </c>
      <c r="F1356" s="1" t="s">
        <v>3065</v>
      </c>
      <c r="G1356"/>
      <c r="H1356"/>
      <c r="I1356" s="19">
        <f>-IFERROR(VLOOKUP(C1356,SIRCUPA!$A$21:$H$221,8,0),0)</f>
        <v>0</v>
      </c>
      <c r="J1356" s="86">
        <f>-IFERROR(VLOOKUP(C1356,SIRTAC!$A$16:$H$1458,8,0),0)</f>
        <v>-297</v>
      </c>
      <c r="K1356" s="86">
        <f>-IFERROR(VLOOKUP(C1356,Gastos!$A$9:$J$1451,10,0),0)</f>
        <v>-1167.21</v>
      </c>
      <c r="L1356" s="86">
        <f>-IFERROR(VLOOKUP(C1356,IDC!$A$20:$H$1763,8,0),0)</f>
        <v>-178.2</v>
      </c>
      <c r="M1356" s="95">
        <f t="shared" si="43"/>
        <v>29700</v>
      </c>
      <c r="O1356" s="1"/>
    </row>
    <row r="1357" spans="1:15" hidden="1">
      <c r="A1357" s="1" t="s">
        <v>1428</v>
      </c>
      <c r="B1357" s="1" t="s">
        <v>15</v>
      </c>
      <c r="C1357" s="71">
        <v>130505317979</v>
      </c>
      <c r="D1357" s="3">
        <v>13934.88</v>
      </c>
      <c r="E1357" s="3">
        <v>11274123.140000001</v>
      </c>
      <c r="F1357" s="1" t="s">
        <v>3065</v>
      </c>
      <c r="G1357"/>
      <c r="H1357"/>
      <c r="I1357" s="19">
        <f>-IFERROR(VLOOKUP(C1357,SIRCUPA!$A$21:$H$221,8,0),0)</f>
        <v>0</v>
      </c>
      <c r="J1357" s="86">
        <f>-IFERROR(VLOOKUP(C1357,SIRTAC!$A$16:$H$1458,8,0),0)</f>
        <v>-144</v>
      </c>
      <c r="K1357" s="86">
        <f>-IFERROR(VLOOKUP(C1357,Gastos!$A$9:$J$1451,10,0),0)</f>
        <v>-234.72</v>
      </c>
      <c r="L1357" s="86">
        <f>-IFERROR(VLOOKUP(C1357,IDC!$A$20:$H$1763,8,0),0)</f>
        <v>-86.4</v>
      </c>
      <c r="M1357" s="95">
        <f t="shared" si="43"/>
        <v>14399.999999999998</v>
      </c>
      <c r="O1357" s="1"/>
    </row>
    <row r="1358" spans="1:15" hidden="1">
      <c r="A1358" s="1" t="s">
        <v>1428</v>
      </c>
      <c r="B1358" s="1" t="s">
        <v>15</v>
      </c>
      <c r="C1358" s="71">
        <v>131092165922</v>
      </c>
      <c r="D1358" s="3">
        <v>13445.34</v>
      </c>
      <c r="E1358" s="3">
        <v>11287568.48</v>
      </c>
      <c r="F1358" s="1" t="s">
        <v>3065</v>
      </c>
      <c r="G1358"/>
      <c r="H1358"/>
      <c r="I1358" s="19">
        <f>-IFERROR(VLOOKUP(C1358,SIRCUPA!$A$21:$H$221,8,0),0)</f>
        <v>0</v>
      </c>
      <c r="J1358" s="86">
        <f>-IFERROR(VLOOKUP(C1358,SIRTAC!$A$16:$H$1458,8,0),0)</f>
        <v>-138</v>
      </c>
      <c r="K1358" s="86">
        <f>-IFERROR(VLOOKUP(C1358,Gastos!$A$9:$J$1451,10,0),0)</f>
        <v>-133.86000000000001</v>
      </c>
      <c r="L1358" s="86">
        <f>-IFERROR(VLOOKUP(C1358,IDC!$A$20:$H$1763,8,0),0)</f>
        <v>-82.8</v>
      </c>
      <c r="M1358" s="95">
        <f t="shared" si="43"/>
        <v>13800</v>
      </c>
      <c r="O1358" s="1"/>
    </row>
    <row r="1359" spans="1:15" hidden="1">
      <c r="A1359" s="1" t="s">
        <v>1428</v>
      </c>
      <c r="B1359" s="1" t="s">
        <v>15</v>
      </c>
      <c r="C1359" s="71">
        <v>130505544007</v>
      </c>
      <c r="D1359" s="3">
        <v>4676.6400000000003</v>
      </c>
      <c r="E1359" s="3">
        <v>11292245.119999999</v>
      </c>
      <c r="F1359" s="1" t="s">
        <v>3065</v>
      </c>
      <c r="G1359"/>
      <c r="H1359"/>
      <c r="I1359" s="19">
        <f>-IFERROR(VLOOKUP(C1359,SIRCUPA!$A$21:$H$221,8,0),0)</f>
        <v>0</v>
      </c>
      <c r="J1359" s="86">
        <f>-IFERROR(VLOOKUP(C1359,SIRTAC!$A$16:$H$1458,8,0),0)</f>
        <v>-48</v>
      </c>
      <c r="K1359" s="86">
        <f>-IFERROR(VLOOKUP(C1359,Gastos!$A$9:$J$1451,10,0),0)</f>
        <v>-46.56</v>
      </c>
      <c r="L1359" s="86">
        <f>-IFERROR(VLOOKUP(C1359,IDC!$A$20:$H$1763,8,0),0)</f>
        <v>-28.8</v>
      </c>
      <c r="M1359" s="95">
        <f t="shared" si="43"/>
        <v>4800.0000000000009</v>
      </c>
      <c r="O1359" s="1"/>
    </row>
    <row r="1360" spans="1:15" hidden="1">
      <c r="A1360" s="1" t="s">
        <v>1428</v>
      </c>
      <c r="B1360" s="1" t="s">
        <v>15</v>
      </c>
      <c r="C1360" s="71">
        <v>131092388010</v>
      </c>
      <c r="D1360" s="3">
        <v>15588.8</v>
      </c>
      <c r="E1360" s="3">
        <v>11307833.92</v>
      </c>
      <c r="F1360" s="1" t="s">
        <v>3065</v>
      </c>
      <c r="G1360"/>
      <c r="H1360"/>
      <c r="I1360" s="19">
        <f>-IFERROR(VLOOKUP(C1360,SIRCUPA!$A$21:$H$221,8,0),0)</f>
        <v>0</v>
      </c>
      <c r="J1360" s="86">
        <f>-IFERROR(VLOOKUP(C1360,SIRTAC!$A$16:$H$1458,8,0),0)</f>
        <v>-160</v>
      </c>
      <c r="K1360" s="86">
        <f>-IFERROR(VLOOKUP(C1360,Gastos!$A$9:$J$1451,10,0),0)</f>
        <v>-155.19999999999999</v>
      </c>
      <c r="L1360" s="86">
        <f>-IFERROR(VLOOKUP(C1360,IDC!$A$20:$H$1763,8,0),0)</f>
        <v>-96</v>
      </c>
      <c r="M1360" s="95">
        <f t="shared" si="43"/>
        <v>16000</v>
      </c>
      <c r="O1360" s="1"/>
    </row>
    <row r="1361" spans="1:15" hidden="1">
      <c r="A1361" s="1" t="s">
        <v>1428</v>
      </c>
      <c r="B1361" s="1" t="s">
        <v>15</v>
      </c>
      <c r="C1361" s="71">
        <v>131092700948</v>
      </c>
      <c r="D1361" s="3">
        <v>19486</v>
      </c>
      <c r="E1361" s="3">
        <v>11327319.92</v>
      </c>
      <c r="F1361" s="1" t="s">
        <v>3065</v>
      </c>
      <c r="G1361"/>
      <c r="H1361"/>
      <c r="I1361" s="19">
        <f>-IFERROR(VLOOKUP(C1361,SIRCUPA!$A$21:$H$221,8,0),0)</f>
        <v>0</v>
      </c>
      <c r="J1361" s="86">
        <f>-IFERROR(VLOOKUP(C1361,SIRTAC!$A$16:$H$1458,8,0),0)</f>
        <v>-200</v>
      </c>
      <c r="K1361" s="86">
        <f>-IFERROR(VLOOKUP(C1361,Gastos!$A$9:$J$1451,10,0),0)</f>
        <v>-194</v>
      </c>
      <c r="L1361" s="86">
        <f>-IFERROR(VLOOKUP(C1361,IDC!$A$20:$H$1763,8,0),0)</f>
        <v>-120</v>
      </c>
      <c r="M1361" s="95">
        <f t="shared" si="43"/>
        <v>20000</v>
      </c>
      <c r="O1361" s="1"/>
    </row>
    <row r="1362" spans="1:15" hidden="1">
      <c r="A1362" s="1" t="s">
        <v>1523</v>
      </c>
      <c r="B1362" s="1" t="s">
        <v>15</v>
      </c>
      <c r="C1362" s="71">
        <v>130506540145</v>
      </c>
      <c r="D1362" s="3">
        <v>7014.96</v>
      </c>
      <c r="E1362" s="3">
        <v>11334334.880000001</v>
      </c>
      <c r="F1362" s="1" t="s">
        <v>3065</v>
      </c>
      <c r="G1362"/>
      <c r="H1362"/>
      <c r="I1362" s="19">
        <f>-IFERROR(VLOOKUP(C1362,SIRCUPA!$A$21:$H$221,8,0),0)</f>
        <v>0</v>
      </c>
      <c r="J1362" s="86">
        <f>-IFERROR(VLOOKUP(C1362,SIRTAC!$A$16:$H$1458,8,0),0)</f>
        <v>-72</v>
      </c>
      <c r="K1362" s="86">
        <f>-IFERROR(VLOOKUP(C1362,Gastos!$A$9:$J$1451,10,0),0)</f>
        <v>-69.84</v>
      </c>
      <c r="L1362" s="86">
        <f>-IFERROR(VLOOKUP(C1362,IDC!$A$20:$H$1763,8,0),0)</f>
        <v>-43.2</v>
      </c>
      <c r="M1362" s="95">
        <f t="shared" si="43"/>
        <v>7200</v>
      </c>
      <c r="O1362" s="1"/>
    </row>
    <row r="1363" spans="1:15" hidden="1">
      <c r="A1363" s="1" t="s">
        <v>1523</v>
      </c>
      <c r="B1363" s="1" t="s">
        <v>15</v>
      </c>
      <c r="C1363" s="71">
        <v>131093035938</v>
      </c>
      <c r="D1363" s="3">
        <v>9255.85</v>
      </c>
      <c r="E1363" s="3">
        <v>11343590.73</v>
      </c>
      <c r="F1363" s="1" t="s">
        <v>3065</v>
      </c>
      <c r="G1363"/>
      <c r="H1363"/>
      <c r="I1363" s="19">
        <f>-IFERROR(VLOOKUP(C1363,SIRCUPA!$A$21:$H$221,8,0),0)</f>
        <v>0</v>
      </c>
      <c r="J1363" s="86">
        <f>-IFERROR(VLOOKUP(C1363,SIRTAC!$A$16:$H$1458,8,0),0)</f>
        <v>-95</v>
      </c>
      <c r="K1363" s="86">
        <f>-IFERROR(VLOOKUP(C1363,Gastos!$A$9:$J$1451,10,0),0)</f>
        <v>-92.15</v>
      </c>
      <c r="L1363" s="86">
        <f>-IFERROR(VLOOKUP(C1363,IDC!$A$20:$H$1763,8,0),0)</f>
        <v>-57</v>
      </c>
      <c r="M1363" s="95">
        <f t="shared" si="43"/>
        <v>9500</v>
      </c>
      <c r="O1363" s="1"/>
    </row>
    <row r="1364" spans="1:15" hidden="1">
      <c r="A1364" s="1" t="s">
        <v>1523</v>
      </c>
      <c r="B1364" s="1" t="s">
        <v>15</v>
      </c>
      <c r="C1364" s="71">
        <v>130506520857</v>
      </c>
      <c r="D1364" s="3">
        <v>10717.3</v>
      </c>
      <c r="E1364" s="3">
        <v>11354308.029999999</v>
      </c>
      <c r="F1364" s="1" t="s">
        <v>3065</v>
      </c>
      <c r="G1364"/>
      <c r="H1364"/>
      <c r="I1364" s="19">
        <f>-IFERROR(VLOOKUP(C1364,SIRCUPA!$A$21:$H$221,8,0),0)</f>
        <v>0</v>
      </c>
      <c r="J1364" s="86">
        <f>-IFERROR(VLOOKUP(C1364,SIRTAC!$A$16:$H$1458,8,0),0)</f>
        <v>-110</v>
      </c>
      <c r="K1364" s="86">
        <f>-IFERROR(VLOOKUP(C1364,Gastos!$A$9:$J$1451,10,0),0)</f>
        <v>-106.7</v>
      </c>
      <c r="L1364" s="86">
        <f>-IFERROR(VLOOKUP(C1364,IDC!$A$20:$H$1763,8,0),0)</f>
        <v>-66</v>
      </c>
      <c r="M1364" s="95">
        <f t="shared" si="43"/>
        <v>11000</v>
      </c>
      <c r="O1364" s="1"/>
    </row>
    <row r="1365" spans="1:15" hidden="1">
      <c r="A1365" s="1" t="s">
        <v>1523</v>
      </c>
      <c r="B1365" s="1" t="s">
        <v>15</v>
      </c>
      <c r="C1365" s="71">
        <v>130506636747</v>
      </c>
      <c r="D1365" s="3">
        <v>7014.96</v>
      </c>
      <c r="E1365" s="3">
        <v>11361322.99</v>
      </c>
      <c r="F1365" s="1" t="s">
        <v>3065</v>
      </c>
      <c r="G1365"/>
      <c r="H1365"/>
      <c r="I1365" s="19">
        <f>-IFERROR(VLOOKUP(C1365,SIRCUPA!$A$21:$H$221,8,0),0)</f>
        <v>0</v>
      </c>
      <c r="J1365" s="86">
        <f>-IFERROR(VLOOKUP(C1365,SIRTAC!$A$16:$H$1458,8,0),0)</f>
        <v>-72</v>
      </c>
      <c r="K1365" s="86">
        <f>-IFERROR(VLOOKUP(C1365,Gastos!$A$9:$J$1451,10,0),0)</f>
        <v>-69.84</v>
      </c>
      <c r="L1365" s="86">
        <f>-IFERROR(VLOOKUP(C1365,IDC!$A$20:$H$1763,8,0),0)</f>
        <v>-43.2</v>
      </c>
      <c r="M1365" s="95">
        <f t="shared" si="43"/>
        <v>7200</v>
      </c>
      <c r="O1365" s="1"/>
    </row>
    <row r="1366" spans="1:15" hidden="1">
      <c r="A1366" s="1" t="s">
        <v>1523</v>
      </c>
      <c r="B1366" s="1" t="s">
        <v>15</v>
      </c>
      <c r="C1366" s="71">
        <v>130506543981</v>
      </c>
      <c r="D1366" s="3">
        <v>34198.14</v>
      </c>
      <c r="E1366" s="3">
        <v>11395521.130000001</v>
      </c>
      <c r="F1366" s="1" t="s">
        <v>3065</v>
      </c>
      <c r="G1366"/>
      <c r="H1366"/>
      <c r="I1366" s="19">
        <f>-IFERROR(VLOOKUP(C1366,SIRCUPA!$A$21:$H$221,8,0),0)</f>
        <v>0</v>
      </c>
      <c r="J1366" s="86">
        <f>-IFERROR(VLOOKUP(C1366,SIRTAC!$A$16:$H$1458,8,0),0)</f>
        <v>-362</v>
      </c>
      <c r="K1366" s="86">
        <f>-IFERROR(VLOOKUP(C1366,Gastos!$A$9:$J$1451,10,0),0)</f>
        <v>-1422.66</v>
      </c>
      <c r="L1366" s="86">
        <f>-IFERROR(VLOOKUP(C1366,IDC!$A$20:$H$1763,8,0),0)</f>
        <v>-217.2</v>
      </c>
      <c r="M1366" s="95">
        <f t="shared" ref="M1366:M1397" si="44">+D1366-I1366-J1366-K1366-L1366</f>
        <v>36200</v>
      </c>
      <c r="O1366" s="1"/>
    </row>
    <row r="1367" spans="1:15" hidden="1">
      <c r="A1367" s="1" t="s">
        <v>1523</v>
      </c>
      <c r="B1367" s="1" t="s">
        <v>15</v>
      </c>
      <c r="C1367" s="71">
        <v>131093307644</v>
      </c>
      <c r="D1367" s="3">
        <v>4676.6400000000003</v>
      </c>
      <c r="E1367" s="3">
        <v>11400197.77</v>
      </c>
      <c r="F1367" s="1" t="s">
        <v>3065</v>
      </c>
      <c r="G1367"/>
      <c r="H1367"/>
      <c r="I1367" s="19">
        <f>-IFERROR(VLOOKUP(C1367,SIRCUPA!$A$21:$H$221,8,0),0)</f>
        <v>0</v>
      </c>
      <c r="J1367" s="86">
        <f>-IFERROR(VLOOKUP(C1367,SIRTAC!$A$16:$H$1458,8,0),0)</f>
        <v>-48</v>
      </c>
      <c r="K1367" s="86">
        <f>-IFERROR(VLOOKUP(C1367,Gastos!$A$9:$J$1451,10,0),0)</f>
        <v>-46.56</v>
      </c>
      <c r="L1367" s="86">
        <f>-IFERROR(VLOOKUP(C1367,IDC!$A$20:$H$1763,8,0),0)</f>
        <v>-28.8</v>
      </c>
      <c r="M1367" s="95">
        <f t="shared" si="44"/>
        <v>4800.0000000000009</v>
      </c>
      <c r="O1367" s="1"/>
    </row>
    <row r="1368" spans="1:15" hidden="1">
      <c r="A1368" s="1" t="s">
        <v>1523</v>
      </c>
      <c r="B1368" s="1" t="s">
        <v>15</v>
      </c>
      <c r="C1368" s="71">
        <v>130506875805</v>
      </c>
      <c r="D1368" s="3">
        <v>24357.5</v>
      </c>
      <c r="E1368" s="3">
        <v>11424555.27</v>
      </c>
      <c r="F1368" s="1" t="s">
        <v>3065</v>
      </c>
      <c r="G1368"/>
      <c r="H1368"/>
      <c r="I1368" s="19">
        <f>-IFERROR(VLOOKUP(C1368,SIRCUPA!$A$21:$H$221,8,0),0)</f>
        <v>0</v>
      </c>
      <c r="J1368" s="86">
        <f>-IFERROR(VLOOKUP(C1368,SIRTAC!$A$16:$H$1458,8,0),0)</f>
        <v>-250</v>
      </c>
      <c r="K1368" s="86">
        <f>-IFERROR(VLOOKUP(C1368,Gastos!$A$9:$J$1451,10,0),0)</f>
        <v>-242.5</v>
      </c>
      <c r="L1368" s="86">
        <f>-IFERROR(VLOOKUP(C1368,IDC!$A$20:$H$1763,8,0),0)</f>
        <v>-150</v>
      </c>
      <c r="M1368" s="95">
        <f t="shared" si="44"/>
        <v>25000</v>
      </c>
      <c r="O1368" s="1"/>
    </row>
    <row r="1369" spans="1:15" hidden="1">
      <c r="A1369" s="1" t="s">
        <v>1523</v>
      </c>
      <c r="B1369" s="1" t="s">
        <v>15</v>
      </c>
      <c r="C1369" s="71">
        <v>131093488060</v>
      </c>
      <c r="D1369" s="3">
        <v>41661.269999999997</v>
      </c>
      <c r="E1369" s="3">
        <v>11466216.539999999</v>
      </c>
      <c r="F1369" s="1" t="s">
        <v>3065</v>
      </c>
      <c r="G1369"/>
      <c r="H1369"/>
      <c r="I1369" s="19">
        <f>-IFERROR(VLOOKUP(C1369,SIRCUPA!$A$21:$H$221,8,0),0)</f>
        <v>0</v>
      </c>
      <c r="J1369" s="86">
        <f>-IFERROR(VLOOKUP(C1369,SIRTAC!$A$16:$H$1458,8,0),0)</f>
        <v>-441</v>
      </c>
      <c r="K1369" s="86">
        <f>-IFERROR(VLOOKUP(C1369,Gastos!$A$9:$J$1451,10,0),0)</f>
        <v>-1733.13</v>
      </c>
      <c r="L1369" s="86">
        <f>-IFERROR(VLOOKUP(C1369,IDC!$A$20:$H$1763,8,0),0)</f>
        <v>-264.60000000000002</v>
      </c>
      <c r="M1369" s="95">
        <f t="shared" si="44"/>
        <v>44099.999999999993</v>
      </c>
      <c r="O1369" s="1"/>
    </row>
    <row r="1370" spans="1:15" hidden="1">
      <c r="A1370" s="1" t="s">
        <v>1523</v>
      </c>
      <c r="B1370" s="1" t="s">
        <v>15</v>
      </c>
      <c r="C1370" s="71">
        <v>131093724984</v>
      </c>
      <c r="D1370" s="3">
        <v>37023.4</v>
      </c>
      <c r="E1370" s="3">
        <v>11503239.939999999</v>
      </c>
      <c r="F1370" s="1" t="s">
        <v>3065</v>
      </c>
      <c r="G1370"/>
      <c r="H1370"/>
      <c r="I1370" s="19">
        <f>-IFERROR(VLOOKUP(C1370,SIRCUPA!$A$21:$H$221,8,0),0)</f>
        <v>0</v>
      </c>
      <c r="J1370" s="86">
        <f>-IFERROR(VLOOKUP(C1370,SIRTAC!$A$16:$H$1458,8,0),0)</f>
        <v>-380</v>
      </c>
      <c r="K1370" s="86">
        <f>-IFERROR(VLOOKUP(C1370,Gastos!$A$9:$J$1451,10,0),0)</f>
        <v>-368.6</v>
      </c>
      <c r="L1370" s="86">
        <f>-IFERROR(VLOOKUP(C1370,IDC!$A$20:$H$1763,8,0),0)</f>
        <v>-228</v>
      </c>
      <c r="M1370" s="95">
        <f t="shared" si="44"/>
        <v>38000</v>
      </c>
      <c r="O1370" s="1"/>
    </row>
    <row r="1371" spans="1:15" hidden="1">
      <c r="A1371" s="1" t="s">
        <v>1523</v>
      </c>
      <c r="B1371" s="1" t="s">
        <v>15</v>
      </c>
      <c r="C1371" s="71">
        <v>130507452383</v>
      </c>
      <c r="D1371" s="3">
        <v>139362.65</v>
      </c>
      <c r="E1371" s="3">
        <v>11642602.59</v>
      </c>
      <c r="F1371" s="1" t="s">
        <v>3065</v>
      </c>
      <c r="G1371"/>
      <c r="H1371"/>
      <c r="I1371" s="19">
        <f>-IFERROR(VLOOKUP(C1371,SIRCUPA!$A$21:$H$221,8,0),0)</f>
        <v>0</v>
      </c>
      <c r="J1371" s="86">
        <f>-IFERROR(VLOOKUP(C1371,SIRTAC!$A$16:$H$1458,8,0),0)</f>
        <v>-1535</v>
      </c>
      <c r="K1371" s="86">
        <f>-IFERROR(VLOOKUP(C1371,Gastos!$A$9:$J$1451,10,0),0)</f>
        <v>-11681.35</v>
      </c>
      <c r="L1371" s="86">
        <f>-IFERROR(VLOOKUP(C1371,IDC!$A$20:$H$1763,8,0),0)</f>
        <v>-921</v>
      </c>
      <c r="M1371" s="95">
        <f t="shared" si="44"/>
        <v>153500</v>
      </c>
      <c r="O1371" s="1"/>
    </row>
    <row r="1372" spans="1:15" hidden="1">
      <c r="A1372" s="1" t="s">
        <v>1523</v>
      </c>
      <c r="B1372" s="1" t="s">
        <v>15</v>
      </c>
      <c r="C1372" s="71">
        <v>131093866884</v>
      </c>
      <c r="D1372" s="3">
        <v>81451.48</v>
      </c>
      <c r="E1372" s="3">
        <v>11724054.07</v>
      </c>
      <c r="F1372" s="1" t="s">
        <v>3065</v>
      </c>
      <c r="G1372"/>
      <c r="H1372"/>
      <c r="I1372" s="19">
        <f>-IFERROR(VLOOKUP(C1372,SIRCUPA!$A$21:$H$221,8,0),0)</f>
        <v>0</v>
      </c>
      <c r="J1372" s="86">
        <f>-IFERROR(VLOOKUP(C1372,SIRTAC!$A$16:$H$1458,8,0),0)</f>
        <v>-836</v>
      </c>
      <c r="K1372" s="86">
        <f>-IFERROR(VLOOKUP(C1372,Gastos!$A$9:$J$1451,10,0),0)</f>
        <v>-810.92</v>
      </c>
      <c r="L1372" s="86">
        <f>-IFERROR(VLOOKUP(C1372,IDC!$A$20:$H$1763,8,0),0)</f>
        <v>-501.6</v>
      </c>
      <c r="M1372" s="95">
        <f t="shared" si="44"/>
        <v>83600</v>
      </c>
      <c r="O1372" s="1"/>
    </row>
    <row r="1373" spans="1:15" hidden="1">
      <c r="A1373" s="1" t="s">
        <v>1523</v>
      </c>
      <c r="B1373" s="1" t="s">
        <v>15</v>
      </c>
      <c r="C1373" s="71">
        <v>131094045138</v>
      </c>
      <c r="D1373" s="3">
        <v>27085.54</v>
      </c>
      <c r="E1373" s="3">
        <v>11751139.609999999</v>
      </c>
      <c r="F1373" s="1" t="s">
        <v>3065</v>
      </c>
      <c r="G1373"/>
      <c r="H1373"/>
      <c r="I1373" s="19">
        <f>-IFERROR(VLOOKUP(C1373,SIRCUPA!$A$21:$H$221,8,0),0)</f>
        <v>0</v>
      </c>
      <c r="J1373" s="86">
        <f>-IFERROR(VLOOKUP(C1373,SIRTAC!$A$16:$H$1458,8,0),0)</f>
        <v>-278</v>
      </c>
      <c r="K1373" s="86">
        <f>-IFERROR(VLOOKUP(C1373,Gastos!$A$9:$J$1451,10,0),0)</f>
        <v>-269.66000000000003</v>
      </c>
      <c r="L1373" s="86">
        <f>-IFERROR(VLOOKUP(C1373,IDC!$A$20:$H$1763,8,0),0)</f>
        <v>-166.8</v>
      </c>
      <c r="M1373" s="95">
        <f t="shared" si="44"/>
        <v>27800</v>
      </c>
      <c r="O1373" s="1"/>
    </row>
    <row r="1374" spans="1:15" hidden="1">
      <c r="A1374" s="1" t="s">
        <v>1523</v>
      </c>
      <c r="B1374" s="1" t="s">
        <v>15</v>
      </c>
      <c r="C1374" s="71">
        <v>130507633683</v>
      </c>
      <c r="D1374" s="3">
        <v>52807.06</v>
      </c>
      <c r="E1374" s="3">
        <v>11803946.67</v>
      </c>
      <c r="F1374" s="1" t="s">
        <v>3065</v>
      </c>
      <c r="G1374"/>
      <c r="H1374"/>
      <c r="I1374" s="19">
        <f>-IFERROR(VLOOKUP(C1374,SIRCUPA!$A$21:$H$221,8,0),0)</f>
        <v>0</v>
      </c>
      <c r="J1374" s="86">
        <f>-IFERROR(VLOOKUP(C1374,SIRTAC!$A$16:$H$1458,8,0),0)</f>
        <v>-542</v>
      </c>
      <c r="K1374" s="86">
        <f>-IFERROR(VLOOKUP(C1374,Gastos!$A$9:$J$1451,10,0),0)</f>
        <v>-525.74</v>
      </c>
      <c r="L1374" s="86">
        <f>-IFERROR(VLOOKUP(C1374,IDC!$A$20:$H$1763,8,0),0)</f>
        <v>-325.2</v>
      </c>
      <c r="M1374" s="95">
        <f t="shared" si="44"/>
        <v>54199.999999999993</v>
      </c>
      <c r="O1374" s="1"/>
    </row>
    <row r="1375" spans="1:15" hidden="1">
      <c r="A1375" s="1" t="s">
        <v>1523</v>
      </c>
      <c r="B1375" s="1" t="s">
        <v>15</v>
      </c>
      <c r="C1375" s="71">
        <v>131094372322</v>
      </c>
      <c r="D1375" s="3">
        <v>26403.53</v>
      </c>
      <c r="E1375" s="3">
        <v>11830350.199999999</v>
      </c>
      <c r="F1375" s="1" t="s">
        <v>3065</v>
      </c>
      <c r="G1375"/>
      <c r="H1375"/>
      <c r="I1375" s="19">
        <f>-IFERROR(VLOOKUP(C1375,SIRCUPA!$A$21:$H$221,8,0),0)</f>
        <v>0</v>
      </c>
      <c r="J1375" s="86">
        <f>-IFERROR(VLOOKUP(C1375,SIRTAC!$A$16:$H$1458,8,0),0)</f>
        <v>-271</v>
      </c>
      <c r="K1375" s="86">
        <f>-IFERROR(VLOOKUP(C1375,Gastos!$A$9:$J$1451,10,0),0)</f>
        <v>-262.87</v>
      </c>
      <c r="L1375" s="86">
        <f>-IFERROR(VLOOKUP(C1375,IDC!$A$20:$H$1763,8,0),0)</f>
        <v>-162.6</v>
      </c>
      <c r="M1375" s="95">
        <f t="shared" si="44"/>
        <v>27099.999999999996</v>
      </c>
      <c r="O1375" s="1"/>
    </row>
    <row r="1376" spans="1:15" hidden="1">
      <c r="A1376" s="1" t="s">
        <v>1523</v>
      </c>
      <c r="B1376" s="1" t="s">
        <v>15</v>
      </c>
      <c r="C1376" s="71">
        <v>131094378520</v>
      </c>
      <c r="D1376" s="3">
        <v>18657.84</v>
      </c>
      <c r="E1376" s="3">
        <v>11849008.039999999</v>
      </c>
      <c r="F1376" s="1" t="s">
        <v>3065</v>
      </c>
      <c r="G1376"/>
      <c r="H1376"/>
      <c r="I1376" s="19">
        <f>-IFERROR(VLOOKUP(C1376,SIRCUPA!$A$21:$H$221,8,0),0)</f>
        <v>0</v>
      </c>
      <c r="J1376" s="86">
        <f>-IFERROR(VLOOKUP(C1376,SIRTAC!$A$16:$H$1458,8,0),0)</f>
        <v>-191.5</v>
      </c>
      <c r="K1376" s="86">
        <f>-IFERROR(VLOOKUP(C1376,Gastos!$A$9:$J$1451,10,0),0)</f>
        <v>-185.76</v>
      </c>
      <c r="L1376" s="86">
        <f>-IFERROR(VLOOKUP(C1376,IDC!$A$20:$H$1763,8,0),0)</f>
        <v>-114.9</v>
      </c>
      <c r="M1376" s="95">
        <f t="shared" si="44"/>
        <v>19150</v>
      </c>
      <c r="O1376" s="1"/>
    </row>
    <row r="1377" spans="1:15" hidden="1">
      <c r="A1377" s="1" t="s">
        <v>1523</v>
      </c>
      <c r="B1377" s="1" t="s">
        <v>15</v>
      </c>
      <c r="C1377" s="71">
        <v>130508048215</v>
      </c>
      <c r="D1377" s="3">
        <v>15398.61</v>
      </c>
      <c r="E1377" s="3">
        <v>11864406.65</v>
      </c>
      <c r="F1377" s="1" t="s">
        <v>3065</v>
      </c>
      <c r="G1377"/>
      <c r="H1377"/>
      <c r="I1377" s="19">
        <f>-IFERROR(VLOOKUP(C1377,SIRCUPA!$A$21:$H$221,8,0),0)</f>
        <v>0</v>
      </c>
      <c r="J1377" s="86">
        <f>-IFERROR(VLOOKUP(C1377,SIRTAC!$A$16:$H$1458,8,0),0)</f>
        <v>-163</v>
      </c>
      <c r="K1377" s="86">
        <f>-IFERROR(VLOOKUP(C1377,Gastos!$A$9:$J$1451,10,0),0)</f>
        <v>-640.59</v>
      </c>
      <c r="L1377" s="86">
        <f>-IFERROR(VLOOKUP(C1377,IDC!$A$20:$H$1763,8,0),0)</f>
        <v>-97.8</v>
      </c>
      <c r="M1377" s="95">
        <f t="shared" si="44"/>
        <v>16300</v>
      </c>
      <c r="O1377" s="1"/>
    </row>
    <row r="1378" spans="1:15" hidden="1">
      <c r="A1378" s="1" t="s">
        <v>1523</v>
      </c>
      <c r="B1378" s="1" t="s">
        <v>15</v>
      </c>
      <c r="C1378" s="71">
        <v>130507917861</v>
      </c>
      <c r="D1378" s="3">
        <v>8768.7000000000007</v>
      </c>
      <c r="E1378" s="3">
        <v>11873175.35</v>
      </c>
      <c r="F1378" s="1" t="s">
        <v>3065</v>
      </c>
      <c r="G1378"/>
      <c r="H1378"/>
      <c r="I1378" s="19">
        <f>-IFERROR(VLOOKUP(C1378,SIRCUPA!$A$21:$H$221,8,0),0)</f>
        <v>0</v>
      </c>
      <c r="J1378" s="86">
        <f>-IFERROR(VLOOKUP(C1378,SIRTAC!$A$16:$H$1458,8,0),0)</f>
        <v>-90</v>
      </c>
      <c r="K1378" s="86">
        <f>-IFERROR(VLOOKUP(C1378,Gastos!$A$9:$J$1451,10,0),0)</f>
        <v>-87.3</v>
      </c>
      <c r="L1378" s="86">
        <f>-IFERROR(VLOOKUP(C1378,IDC!$A$20:$H$1763,8,0),0)</f>
        <v>-54</v>
      </c>
      <c r="M1378" s="95">
        <f t="shared" si="44"/>
        <v>9000</v>
      </c>
      <c r="O1378" s="1"/>
    </row>
    <row r="1379" spans="1:15" hidden="1">
      <c r="A1379" s="1" t="s">
        <v>1523</v>
      </c>
      <c r="B1379" s="1" t="s">
        <v>15</v>
      </c>
      <c r="C1379" s="71">
        <v>131094616418</v>
      </c>
      <c r="D1379" s="3">
        <v>8768.7000000000007</v>
      </c>
      <c r="E1379" s="3">
        <v>11881944.050000001</v>
      </c>
      <c r="F1379" s="1" t="s">
        <v>3065</v>
      </c>
      <c r="G1379"/>
      <c r="H1379"/>
      <c r="I1379" s="19">
        <f>-IFERROR(VLOOKUP(C1379,SIRCUPA!$A$21:$H$221,8,0),0)</f>
        <v>0</v>
      </c>
      <c r="J1379" s="86">
        <f>-IFERROR(VLOOKUP(C1379,SIRTAC!$A$16:$H$1458,8,0),0)</f>
        <v>-90</v>
      </c>
      <c r="K1379" s="86">
        <f>-IFERROR(VLOOKUP(C1379,Gastos!$A$9:$J$1451,10,0),0)</f>
        <v>-87.3</v>
      </c>
      <c r="L1379" s="86">
        <f>-IFERROR(VLOOKUP(C1379,IDC!$A$20:$H$1763,8,0),0)</f>
        <v>-54</v>
      </c>
      <c r="M1379" s="95">
        <f t="shared" si="44"/>
        <v>9000</v>
      </c>
      <c r="O1379" s="1"/>
    </row>
    <row r="1380" spans="1:15" hidden="1">
      <c r="A1380" s="1" t="s">
        <v>1523</v>
      </c>
      <c r="B1380" s="1" t="s">
        <v>1542</v>
      </c>
      <c r="C1380" s="71">
        <v>130508136391</v>
      </c>
      <c r="D1380" s="2">
        <v>440.55</v>
      </c>
      <c r="E1380" s="3">
        <v>11882384.6</v>
      </c>
      <c r="F1380" s="1" t="s">
        <v>3065</v>
      </c>
      <c r="G1380"/>
      <c r="H1380"/>
      <c r="I1380" s="19">
        <f>-IFERROR(VLOOKUP(C1380,SIRCUPA!$A$21:$H$221,8,0),0)</f>
        <v>-6.75</v>
      </c>
      <c r="J1380" s="86">
        <f>-IFERROR(VLOOKUP(C1380,SIRTAC!$A$16:$H$1458,8,0),0)</f>
        <v>0</v>
      </c>
      <c r="K1380" s="86">
        <f>-IFERROR(VLOOKUP(C1380,Gastos!$A$9:$J$1451,10,0),0)</f>
        <v>0</v>
      </c>
      <c r="L1380" s="86">
        <f>-IFERROR(VLOOKUP(C1380,IDC!$A$20:$H$1763,8,0),0)</f>
        <v>-2.7</v>
      </c>
      <c r="M1380" s="95">
        <f t="shared" si="44"/>
        <v>450</v>
      </c>
      <c r="O1380" s="1"/>
    </row>
    <row r="1381" spans="1:15" hidden="1">
      <c r="A1381" s="1" t="s">
        <v>1523</v>
      </c>
      <c r="B1381" s="1" t="s">
        <v>15</v>
      </c>
      <c r="C1381" s="71">
        <v>130508269613</v>
      </c>
      <c r="D1381" s="3">
        <v>16173.38</v>
      </c>
      <c r="E1381" s="3">
        <v>11898557.98</v>
      </c>
      <c r="F1381" s="1" t="s">
        <v>3065</v>
      </c>
      <c r="G1381"/>
      <c r="H1381"/>
      <c r="I1381" s="19">
        <f>-IFERROR(VLOOKUP(C1381,SIRCUPA!$A$21:$H$221,8,0),0)</f>
        <v>0</v>
      </c>
      <c r="J1381" s="86">
        <f>-IFERROR(VLOOKUP(C1381,SIRTAC!$A$16:$H$1458,8,0),0)</f>
        <v>-166</v>
      </c>
      <c r="K1381" s="86">
        <f>-IFERROR(VLOOKUP(C1381,Gastos!$A$9:$J$1451,10,0),0)</f>
        <v>-161.02000000000001</v>
      </c>
      <c r="L1381" s="86">
        <f>-IFERROR(VLOOKUP(C1381,IDC!$A$20:$H$1763,8,0),0)</f>
        <v>-99.6</v>
      </c>
      <c r="M1381" s="95">
        <f t="shared" si="44"/>
        <v>16599.999999999996</v>
      </c>
      <c r="O1381" s="1"/>
    </row>
    <row r="1382" spans="1:15" hidden="1">
      <c r="A1382" s="1" t="s">
        <v>1523</v>
      </c>
      <c r="B1382" s="1" t="s">
        <v>15</v>
      </c>
      <c r="C1382" s="71">
        <v>130508474545</v>
      </c>
      <c r="D1382" s="3">
        <v>164461.84</v>
      </c>
      <c r="E1382" s="3">
        <v>12063019.82</v>
      </c>
      <c r="F1382" s="1" t="s">
        <v>3065</v>
      </c>
      <c r="G1382"/>
      <c r="H1382"/>
      <c r="I1382" s="19">
        <f>-IFERROR(VLOOKUP(C1382,SIRCUPA!$A$21:$H$221,8,0),0)</f>
        <v>0</v>
      </c>
      <c r="J1382" s="86">
        <f>-IFERROR(VLOOKUP(C1382,SIRTAC!$A$16:$H$1458,8,0),0)</f>
        <v>-1688</v>
      </c>
      <c r="K1382" s="86">
        <f>-IFERROR(VLOOKUP(C1382,Gastos!$A$9:$J$1451,10,0),0)</f>
        <v>-1637.36</v>
      </c>
      <c r="L1382" s="86">
        <f>-IFERROR(VLOOKUP(C1382,IDC!$A$20:$H$1763,8,0),0)</f>
        <v>-1012.8</v>
      </c>
      <c r="M1382" s="95">
        <f t="shared" si="44"/>
        <v>168799.99999999997</v>
      </c>
      <c r="O1382" s="1"/>
    </row>
    <row r="1383" spans="1:15" hidden="1">
      <c r="A1383" s="1" t="s">
        <v>1523</v>
      </c>
      <c r="B1383" s="1" t="s">
        <v>15</v>
      </c>
      <c r="C1383" s="71">
        <v>130508519393</v>
      </c>
      <c r="D1383" s="3">
        <v>14359.44</v>
      </c>
      <c r="E1383" s="3">
        <v>12077379.26</v>
      </c>
      <c r="F1383" s="1" t="s">
        <v>3065</v>
      </c>
      <c r="G1383"/>
      <c r="H1383"/>
      <c r="I1383" s="19">
        <f>-IFERROR(VLOOKUP(C1383,SIRCUPA!$A$21:$H$221,8,0),0)</f>
        <v>0</v>
      </c>
      <c r="J1383" s="86">
        <f>-IFERROR(VLOOKUP(C1383,SIRTAC!$A$16:$H$1458,8,0),0)</f>
        <v>-152</v>
      </c>
      <c r="K1383" s="86">
        <f>-IFERROR(VLOOKUP(C1383,Gastos!$A$9:$J$1451,10,0),0)</f>
        <v>-597.36</v>
      </c>
      <c r="L1383" s="86">
        <f>-IFERROR(VLOOKUP(C1383,IDC!$A$20:$H$1763,8,0),0)</f>
        <v>-91.2</v>
      </c>
      <c r="M1383" s="95">
        <f t="shared" si="44"/>
        <v>15200.000000000002</v>
      </c>
      <c r="O1383" s="1"/>
    </row>
    <row r="1384" spans="1:15" hidden="1">
      <c r="A1384" s="1" t="s">
        <v>1523</v>
      </c>
      <c r="B1384" s="1" t="s">
        <v>15</v>
      </c>
      <c r="C1384" s="71">
        <v>130508644291</v>
      </c>
      <c r="D1384" s="3">
        <v>31469.89</v>
      </c>
      <c r="E1384" s="3">
        <v>12108849.15</v>
      </c>
      <c r="F1384" s="1" t="s">
        <v>3065</v>
      </c>
      <c r="G1384"/>
      <c r="H1384"/>
      <c r="I1384" s="19">
        <f>-IFERROR(VLOOKUP(C1384,SIRCUPA!$A$21:$H$221,8,0),0)</f>
        <v>0</v>
      </c>
      <c r="J1384" s="86">
        <f>-IFERROR(VLOOKUP(C1384,SIRTAC!$A$16:$H$1458,8,0),0)</f>
        <v>-323</v>
      </c>
      <c r="K1384" s="86">
        <f>-IFERROR(VLOOKUP(C1384,Gastos!$A$9:$J$1451,10,0),0)</f>
        <v>-313.31</v>
      </c>
      <c r="L1384" s="86">
        <f>-IFERROR(VLOOKUP(C1384,IDC!$A$20:$H$1763,8,0),0)</f>
        <v>-193.8</v>
      </c>
      <c r="M1384" s="95">
        <f t="shared" si="44"/>
        <v>32300</v>
      </c>
      <c r="O1384" s="1"/>
    </row>
    <row r="1385" spans="1:15" hidden="1">
      <c r="A1385" s="1" t="s">
        <v>1523</v>
      </c>
      <c r="B1385" s="1" t="s">
        <v>1548</v>
      </c>
      <c r="C1385" s="71">
        <v>130508600809</v>
      </c>
      <c r="D1385" s="3">
        <v>3162.17</v>
      </c>
      <c r="E1385" s="3">
        <v>12112011.32</v>
      </c>
      <c r="F1385" s="1" t="s">
        <v>3065</v>
      </c>
      <c r="G1385"/>
      <c r="H1385"/>
      <c r="I1385" s="19">
        <f>-IFERROR(VLOOKUP(C1385,SIRCUPA!$A$21:$H$221,8,0),0)</f>
        <v>-48.45</v>
      </c>
      <c r="J1385" s="86">
        <f>-IFERROR(VLOOKUP(C1385,SIRTAC!$A$16:$H$1458,8,0),0)</f>
        <v>0</v>
      </c>
      <c r="K1385" s="86">
        <f>-IFERROR(VLOOKUP(C1385,Gastos!$A$9:$J$1451,10,0),0)</f>
        <v>0</v>
      </c>
      <c r="L1385" s="86">
        <f>-IFERROR(VLOOKUP(C1385,IDC!$A$20:$H$1763,8,0),0)</f>
        <v>-19.38</v>
      </c>
      <c r="M1385" s="95">
        <f t="shared" si="44"/>
        <v>3230</v>
      </c>
      <c r="O1385" s="1"/>
    </row>
    <row r="1386" spans="1:15" hidden="1">
      <c r="A1386" s="1" t="s">
        <v>1523</v>
      </c>
      <c r="B1386" s="1" t="s">
        <v>15</v>
      </c>
      <c r="C1386" s="71">
        <v>130508658823</v>
      </c>
      <c r="D1386" s="3">
        <v>18706.560000000001</v>
      </c>
      <c r="E1386" s="3">
        <v>12130717.880000001</v>
      </c>
      <c r="F1386" s="1" t="s">
        <v>3065</v>
      </c>
      <c r="G1386"/>
      <c r="H1386"/>
      <c r="I1386" s="19">
        <f>-IFERROR(VLOOKUP(C1386,SIRCUPA!$A$21:$H$221,8,0),0)</f>
        <v>0</v>
      </c>
      <c r="J1386" s="86">
        <f>-IFERROR(VLOOKUP(C1386,SIRTAC!$A$16:$H$1458,8,0),0)</f>
        <v>-192</v>
      </c>
      <c r="K1386" s="86">
        <f>-IFERROR(VLOOKUP(C1386,Gastos!$A$9:$J$1451,10,0),0)</f>
        <v>-186.24</v>
      </c>
      <c r="L1386" s="86">
        <f>-IFERROR(VLOOKUP(C1386,IDC!$A$20:$H$1763,8,0),0)</f>
        <v>-115.2</v>
      </c>
      <c r="M1386" s="95">
        <f t="shared" si="44"/>
        <v>19200.000000000004</v>
      </c>
      <c r="O1386" s="1"/>
    </row>
    <row r="1387" spans="1:15" hidden="1">
      <c r="A1387" s="1" t="s">
        <v>1523</v>
      </c>
      <c r="B1387" s="1" t="s">
        <v>15</v>
      </c>
      <c r="C1387" s="71">
        <v>130508778187</v>
      </c>
      <c r="D1387" s="3">
        <v>182096.67</v>
      </c>
      <c r="E1387" s="3">
        <v>12312814.550000001</v>
      </c>
      <c r="F1387" s="1" t="s">
        <v>3065</v>
      </c>
      <c r="G1387"/>
      <c r="H1387"/>
      <c r="I1387" s="19">
        <f>-IFERROR(VLOOKUP(C1387,SIRCUPA!$A$21:$H$221,8,0),0)</f>
        <v>0</v>
      </c>
      <c r="J1387" s="86">
        <f>-IFERROR(VLOOKUP(C1387,SIRTAC!$A$16:$H$1458,8,0),0)</f>
        <v>-1869</v>
      </c>
      <c r="K1387" s="86">
        <f>-IFERROR(VLOOKUP(C1387,Gastos!$A$9:$J$1451,10,0),0)</f>
        <v>-1812.93</v>
      </c>
      <c r="L1387" s="86">
        <f>-IFERROR(VLOOKUP(C1387,IDC!$A$20:$H$1763,8,0),0)</f>
        <v>-1121.4000000000001</v>
      </c>
      <c r="M1387" s="95">
        <f t="shared" si="44"/>
        <v>186900</v>
      </c>
      <c r="O1387" s="1"/>
    </row>
    <row r="1388" spans="1:15" hidden="1">
      <c r="A1388" s="1" t="s">
        <v>1523</v>
      </c>
      <c r="B1388" s="1" t="s">
        <v>15</v>
      </c>
      <c r="C1388" s="71">
        <v>131095221900</v>
      </c>
      <c r="D1388" s="3">
        <v>14711.93</v>
      </c>
      <c r="E1388" s="3">
        <v>12327526.48</v>
      </c>
      <c r="F1388" s="1" t="s">
        <v>3065</v>
      </c>
      <c r="G1388"/>
      <c r="H1388"/>
      <c r="I1388" s="19">
        <f>-IFERROR(VLOOKUP(C1388,SIRCUPA!$A$21:$H$221,8,0),0)</f>
        <v>0</v>
      </c>
      <c r="J1388" s="86">
        <f>-IFERROR(VLOOKUP(C1388,SIRTAC!$A$16:$H$1458,8,0),0)</f>
        <v>-151</v>
      </c>
      <c r="K1388" s="86">
        <f>-IFERROR(VLOOKUP(C1388,Gastos!$A$9:$J$1451,10,0),0)</f>
        <v>-146.47</v>
      </c>
      <c r="L1388" s="86">
        <f>-IFERROR(VLOOKUP(C1388,IDC!$A$20:$H$1763,8,0),0)</f>
        <v>-90.6</v>
      </c>
      <c r="M1388" s="95">
        <f t="shared" si="44"/>
        <v>15100</v>
      </c>
      <c r="O1388" s="1"/>
    </row>
    <row r="1389" spans="1:15" hidden="1">
      <c r="A1389" s="1" t="s">
        <v>1523</v>
      </c>
      <c r="B1389" s="1" t="s">
        <v>15</v>
      </c>
      <c r="C1389" s="71">
        <v>131095368770</v>
      </c>
      <c r="D1389" s="3">
        <v>11241.93</v>
      </c>
      <c r="E1389" s="3">
        <v>12338768.41</v>
      </c>
      <c r="F1389" s="1" t="s">
        <v>3065</v>
      </c>
      <c r="G1389"/>
      <c r="H1389"/>
      <c r="I1389" s="19">
        <f>-IFERROR(VLOOKUP(C1389,SIRCUPA!$A$21:$H$221,8,0),0)</f>
        <v>0</v>
      </c>
      <c r="J1389" s="86">
        <f>-IFERROR(VLOOKUP(C1389,SIRTAC!$A$16:$H$1458,8,0),0)</f>
        <v>-119</v>
      </c>
      <c r="K1389" s="86">
        <f>-IFERROR(VLOOKUP(C1389,Gastos!$A$9:$J$1451,10,0),0)</f>
        <v>-467.67</v>
      </c>
      <c r="L1389" s="86">
        <f>-IFERROR(VLOOKUP(C1389,IDC!$A$20:$H$1763,8,0),0)</f>
        <v>-71.400000000000006</v>
      </c>
      <c r="M1389" s="95">
        <f t="shared" si="44"/>
        <v>11900</v>
      </c>
      <c r="O1389" s="1"/>
    </row>
    <row r="1390" spans="1:15" hidden="1">
      <c r="A1390" s="1" t="s">
        <v>1523</v>
      </c>
      <c r="B1390" s="1" t="s">
        <v>15</v>
      </c>
      <c r="C1390" s="71">
        <v>130508847989</v>
      </c>
      <c r="D1390" s="3">
        <v>18755.27</v>
      </c>
      <c r="E1390" s="3">
        <v>12357523.68</v>
      </c>
      <c r="F1390" s="1" t="s">
        <v>3065</v>
      </c>
      <c r="G1390"/>
      <c r="H1390"/>
      <c r="I1390" s="19">
        <f>-IFERROR(VLOOKUP(C1390,SIRCUPA!$A$21:$H$221,8,0),0)</f>
        <v>0</v>
      </c>
      <c r="J1390" s="86">
        <f>-IFERROR(VLOOKUP(C1390,SIRTAC!$A$16:$H$1458,8,0),0)</f>
        <v>-192.5</v>
      </c>
      <c r="K1390" s="86">
        <f>-IFERROR(VLOOKUP(C1390,Gastos!$A$9:$J$1451,10,0),0)</f>
        <v>-186.73</v>
      </c>
      <c r="L1390" s="86">
        <f>-IFERROR(VLOOKUP(C1390,IDC!$A$20:$H$1763,8,0),0)</f>
        <v>-115.5</v>
      </c>
      <c r="M1390" s="95">
        <f t="shared" si="44"/>
        <v>19250</v>
      </c>
      <c r="O1390" s="1"/>
    </row>
    <row r="1391" spans="1:15" hidden="1">
      <c r="A1391" s="1" t="s">
        <v>1523</v>
      </c>
      <c r="B1391" s="1" t="s">
        <v>1555</v>
      </c>
      <c r="C1391" s="71">
        <v>131095516238</v>
      </c>
      <c r="D1391" s="3">
        <v>1884.57</v>
      </c>
      <c r="E1391" s="3">
        <v>12359408.25</v>
      </c>
      <c r="F1391" s="1" t="s">
        <v>3065</v>
      </c>
      <c r="G1391"/>
      <c r="H1391"/>
      <c r="I1391" s="19">
        <f>-IFERROR(VLOOKUP(C1391,SIRCUPA!$A$21:$H$221,8,0),0)</f>
        <v>-28.88</v>
      </c>
      <c r="J1391" s="86">
        <f>-IFERROR(VLOOKUP(C1391,SIRTAC!$A$16:$H$1458,8,0),0)</f>
        <v>0</v>
      </c>
      <c r="K1391" s="86">
        <f>-IFERROR(VLOOKUP(C1391,Gastos!$A$9:$J$1451,10,0),0)</f>
        <v>0</v>
      </c>
      <c r="L1391" s="86">
        <f>-IFERROR(VLOOKUP(C1391,IDC!$A$20:$H$1763,8,0),0)</f>
        <v>-11.55</v>
      </c>
      <c r="M1391" s="95">
        <f t="shared" si="44"/>
        <v>1925</v>
      </c>
      <c r="O1391" s="1"/>
    </row>
    <row r="1392" spans="1:15" hidden="1">
      <c r="A1392" s="1" t="s">
        <v>1523</v>
      </c>
      <c r="B1392" s="1" t="s">
        <v>15</v>
      </c>
      <c r="C1392" s="71">
        <v>131095375852</v>
      </c>
      <c r="D1392" s="3">
        <v>23383.200000000001</v>
      </c>
      <c r="E1392" s="3">
        <v>12382791.449999999</v>
      </c>
      <c r="F1392" s="1" t="s">
        <v>3065</v>
      </c>
      <c r="G1392"/>
      <c r="H1392"/>
      <c r="I1392" s="19">
        <f>-IFERROR(VLOOKUP(C1392,SIRCUPA!$A$21:$H$221,8,0),0)</f>
        <v>0</v>
      </c>
      <c r="J1392" s="86">
        <f>-IFERROR(VLOOKUP(C1392,SIRTAC!$A$16:$H$1458,8,0),0)</f>
        <v>-240</v>
      </c>
      <c r="K1392" s="86">
        <f>-IFERROR(VLOOKUP(C1392,Gastos!$A$9:$J$1451,10,0),0)</f>
        <v>-232.8</v>
      </c>
      <c r="L1392" s="86">
        <f>-IFERROR(VLOOKUP(C1392,IDC!$A$20:$H$1763,8,0),0)</f>
        <v>-144</v>
      </c>
      <c r="M1392" s="95">
        <f t="shared" si="44"/>
        <v>24000</v>
      </c>
      <c r="O1392" s="1"/>
    </row>
    <row r="1393" spans="1:15" hidden="1">
      <c r="A1393" s="1" t="s">
        <v>1523</v>
      </c>
      <c r="B1393" s="1" t="s">
        <v>15</v>
      </c>
      <c r="C1393" s="71">
        <v>130509236797</v>
      </c>
      <c r="D1393" s="3">
        <v>7989.26</v>
      </c>
      <c r="E1393" s="3">
        <v>12390780.710000001</v>
      </c>
      <c r="F1393" s="1" t="s">
        <v>3065</v>
      </c>
      <c r="G1393"/>
      <c r="H1393"/>
      <c r="I1393" s="19">
        <f>-IFERROR(VLOOKUP(C1393,SIRCUPA!$A$21:$H$221,8,0),0)</f>
        <v>0</v>
      </c>
      <c r="J1393" s="86">
        <f>-IFERROR(VLOOKUP(C1393,SIRTAC!$A$16:$H$1458,8,0),0)</f>
        <v>-82</v>
      </c>
      <c r="K1393" s="86">
        <f>-IFERROR(VLOOKUP(C1393,Gastos!$A$9:$J$1451,10,0),0)</f>
        <v>-79.540000000000006</v>
      </c>
      <c r="L1393" s="86">
        <f>-IFERROR(VLOOKUP(C1393,IDC!$A$20:$H$1763,8,0),0)</f>
        <v>-49.2</v>
      </c>
      <c r="M1393" s="95">
        <f t="shared" si="44"/>
        <v>8200</v>
      </c>
      <c r="O1393" s="1"/>
    </row>
    <row r="1394" spans="1:15" hidden="1">
      <c r="A1394" s="1" t="s">
        <v>1523</v>
      </c>
      <c r="B1394" s="1" t="s">
        <v>15</v>
      </c>
      <c r="C1394" s="71">
        <v>131095647968</v>
      </c>
      <c r="D1394" s="3">
        <v>16075.95</v>
      </c>
      <c r="E1394" s="3">
        <v>12406856.66</v>
      </c>
      <c r="F1394" s="1" t="s">
        <v>3065</v>
      </c>
      <c r="G1394"/>
      <c r="H1394"/>
      <c r="I1394" s="19">
        <f>-IFERROR(VLOOKUP(C1394,SIRCUPA!$A$21:$H$221,8,0),0)</f>
        <v>0</v>
      </c>
      <c r="J1394" s="86">
        <f>-IFERROR(VLOOKUP(C1394,SIRTAC!$A$16:$H$1458,8,0),0)</f>
        <v>-165</v>
      </c>
      <c r="K1394" s="86">
        <f>-IFERROR(VLOOKUP(C1394,Gastos!$A$9:$J$1451,10,0),0)</f>
        <v>-160.05000000000001</v>
      </c>
      <c r="L1394" s="86">
        <f>-IFERROR(VLOOKUP(C1394,IDC!$A$20:$H$1763,8,0),0)</f>
        <v>-99</v>
      </c>
      <c r="M1394" s="95">
        <f t="shared" si="44"/>
        <v>16500</v>
      </c>
      <c r="O1394" s="1"/>
    </row>
    <row r="1395" spans="1:15" hidden="1">
      <c r="A1395" s="1" t="s">
        <v>1523</v>
      </c>
      <c r="B1395" s="1" t="s">
        <v>15</v>
      </c>
      <c r="C1395" s="71">
        <v>131095954450</v>
      </c>
      <c r="D1395" s="3">
        <v>23239.62</v>
      </c>
      <c r="E1395" s="3">
        <v>12430096.279999999</v>
      </c>
      <c r="F1395" s="1" t="s">
        <v>3065</v>
      </c>
      <c r="G1395"/>
      <c r="H1395"/>
      <c r="I1395" s="19">
        <f>-IFERROR(VLOOKUP(C1395,SIRCUPA!$A$21:$H$221,8,0),0)</f>
        <v>0</v>
      </c>
      <c r="J1395" s="86">
        <f>-IFERROR(VLOOKUP(C1395,SIRTAC!$A$16:$H$1458,8,0),0)</f>
        <v>-246</v>
      </c>
      <c r="K1395" s="86">
        <f>-IFERROR(VLOOKUP(C1395,Gastos!$A$9:$J$1451,10,0),0)</f>
        <v>-966.78</v>
      </c>
      <c r="L1395" s="86">
        <f>-IFERROR(VLOOKUP(C1395,IDC!$A$20:$H$1763,8,0),0)</f>
        <v>-147.6</v>
      </c>
      <c r="M1395" s="95">
        <f t="shared" si="44"/>
        <v>24599.999999999996</v>
      </c>
      <c r="O1395" s="1"/>
    </row>
    <row r="1396" spans="1:15" hidden="1">
      <c r="A1396" s="1" t="s">
        <v>1523</v>
      </c>
      <c r="B1396" s="1" t="s">
        <v>15</v>
      </c>
      <c r="C1396" s="71">
        <v>130509464861</v>
      </c>
      <c r="D1396" s="3">
        <v>8573.84</v>
      </c>
      <c r="E1396" s="3">
        <v>12438670.119999999</v>
      </c>
      <c r="F1396" s="1" t="s">
        <v>3065</v>
      </c>
      <c r="G1396"/>
      <c r="H1396"/>
      <c r="I1396" s="19">
        <f>-IFERROR(VLOOKUP(C1396,SIRCUPA!$A$21:$H$221,8,0),0)</f>
        <v>0</v>
      </c>
      <c r="J1396" s="86">
        <f>-IFERROR(VLOOKUP(C1396,SIRTAC!$A$16:$H$1458,8,0),0)</f>
        <v>-88</v>
      </c>
      <c r="K1396" s="86">
        <f>-IFERROR(VLOOKUP(C1396,Gastos!$A$9:$J$1451,10,0),0)</f>
        <v>-85.36</v>
      </c>
      <c r="L1396" s="86">
        <f>-IFERROR(VLOOKUP(C1396,IDC!$A$20:$H$1763,8,0),0)</f>
        <v>-52.8</v>
      </c>
      <c r="M1396" s="95">
        <f t="shared" si="44"/>
        <v>8800</v>
      </c>
      <c r="O1396" s="1"/>
    </row>
    <row r="1397" spans="1:15" hidden="1">
      <c r="A1397" s="1" t="s">
        <v>1523</v>
      </c>
      <c r="B1397" s="1" t="s">
        <v>15</v>
      </c>
      <c r="C1397" s="71">
        <v>130509481677</v>
      </c>
      <c r="D1397" s="3">
        <v>14029.92</v>
      </c>
      <c r="E1397" s="3">
        <v>12452700.039999999</v>
      </c>
      <c r="F1397" s="1" t="s">
        <v>3065</v>
      </c>
      <c r="G1397"/>
      <c r="H1397"/>
      <c r="I1397" s="19">
        <f>-IFERROR(VLOOKUP(C1397,SIRCUPA!$A$21:$H$221,8,0),0)</f>
        <v>0</v>
      </c>
      <c r="J1397" s="86">
        <f>-IFERROR(VLOOKUP(C1397,SIRTAC!$A$16:$H$1458,8,0),0)</f>
        <v>-144</v>
      </c>
      <c r="K1397" s="86">
        <f>-IFERROR(VLOOKUP(C1397,Gastos!$A$9:$J$1451,10,0),0)</f>
        <v>-139.68</v>
      </c>
      <c r="L1397" s="86">
        <f>-IFERROR(VLOOKUP(C1397,IDC!$A$20:$H$1763,8,0),0)</f>
        <v>-86.4</v>
      </c>
      <c r="M1397" s="95">
        <f t="shared" si="44"/>
        <v>14400</v>
      </c>
      <c r="O1397" s="1"/>
    </row>
    <row r="1398" spans="1:15" hidden="1">
      <c r="A1398" s="1" t="s">
        <v>1523</v>
      </c>
      <c r="B1398" s="1" t="s">
        <v>15</v>
      </c>
      <c r="C1398" s="71">
        <v>131096089826</v>
      </c>
      <c r="D1398" s="3">
        <v>9353.2800000000007</v>
      </c>
      <c r="E1398" s="3">
        <v>12462053.32</v>
      </c>
      <c r="F1398" s="1" t="s">
        <v>3065</v>
      </c>
      <c r="G1398"/>
      <c r="H1398"/>
      <c r="I1398" s="19">
        <f>-IFERROR(VLOOKUP(C1398,SIRCUPA!$A$21:$H$221,8,0),0)</f>
        <v>0</v>
      </c>
      <c r="J1398" s="86">
        <f>-IFERROR(VLOOKUP(C1398,SIRTAC!$A$16:$H$1458,8,0),0)</f>
        <v>-96</v>
      </c>
      <c r="K1398" s="86">
        <f>-IFERROR(VLOOKUP(C1398,Gastos!$A$9:$J$1451,10,0),0)</f>
        <v>-93.12</v>
      </c>
      <c r="L1398" s="86">
        <f>-IFERROR(VLOOKUP(C1398,IDC!$A$20:$H$1763,8,0),0)</f>
        <v>-57.6</v>
      </c>
      <c r="M1398" s="95">
        <f t="shared" ref="M1398:M1429" si="45">+D1398-I1398-J1398-K1398-L1398</f>
        <v>9600.0000000000018</v>
      </c>
      <c r="O1398" s="1"/>
    </row>
    <row r="1399" spans="1:15" hidden="1">
      <c r="A1399" s="1" t="s">
        <v>1523</v>
      </c>
      <c r="B1399" s="1" t="s">
        <v>15</v>
      </c>
      <c r="C1399" s="71">
        <v>131096174768</v>
      </c>
      <c r="D1399" s="3">
        <v>16855.39</v>
      </c>
      <c r="E1399" s="3">
        <v>12478908.710000001</v>
      </c>
      <c r="F1399" s="1" t="s">
        <v>3065</v>
      </c>
      <c r="G1399"/>
      <c r="H1399"/>
      <c r="I1399" s="19">
        <f>-IFERROR(VLOOKUP(C1399,SIRCUPA!$A$21:$H$221,8,0),0)</f>
        <v>0</v>
      </c>
      <c r="J1399" s="86">
        <f>-IFERROR(VLOOKUP(C1399,SIRTAC!$A$16:$H$1458,8,0),0)</f>
        <v>-173</v>
      </c>
      <c r="K1399" s="86">
        <f>-IFERROR(VLOOKUP(C1399,Gastos!$A$9:$J$1451,10,0),0)</f>
        <v>-167.81</v>
      </c>
      <c r="L1399" s="86">
        <f>-IFERROR(VLOOKUP(C1399,IDC!$A$20:$H$1763,8,0),0)</f>
        <v>-103.8</v>
      </c>
      <c r="M1399" s="95">
        <f t="shared" si="45"/>
        <v>17300</v>
      </c>
      <c r="O1399" s="1"/>
    </row>
    <row r="1400" spans="1:15" hidden="1">
      <c r="A1400" s="1" t="s">
        <v>1523</v>
      </c>
      <c r="B1400" s="1" t="s">
        <v>15</v>
      </c>
      <c r="C1400" s="71">
        <v>131096234866</v>
      </c>
      <c r="D1400" s="3">
        <v>7794.4</v>
      </c>
      <c r="E1400" s="3">
        <v>12486703.109999999</v>
      </c>
      <c r="F1400" s="1" t="s">
        <v>3065</v>
      </c>
      <c r="G1400"/>
      <c r="H1400"/>
      <c r="I1400" s="19">
        <f>-IFERROR(VLOOKUP(C1400,SIRCUPA!$A$21:$H$221,8,0),0)</f>
        <v>0</v>
      </c>
      <c r="J1400" s="86">
        <f>-IFERROR(VLOOKUP(C1400,SIRTAC!$A$16:$H$1458,8,0),0)</f>
        <v>-80</v>
      </c>
      <c r="K1400" s="86">
        <f>-IFERROR(VLOOKUP(C1400,Gastos!$A$9:$J$1451,10,0),0)</f>
        <v>-77.599999999999994</v>
      </c>
      <c r="L1400" s="86">
        <f>-IFERROR(VLOOKUP(C1400,IDC!$A$20:$H$1763,8,0),0)</f>
        <v>-48</v>
      </c>
      <c r="M1400" s="95">
        <f t="shared" si="45"/>
        <v>8000</v>
      </c>
      <c r="O1400" s="1"/>
    </row>
    <row r="1401" spans="1:15" hidden="1">
      <c r="A1401" s="1" t="s">
        <v>1523</v>
      </c>
      <c r="B1401" s="1" t="s">
        <v>15</v>
      </c>
      <c r="C1401" s="71">
        <v>130509962431</v>
      </c>
      <c r="D1401" s="3">
        <v>4676.6400000000003</v>
      </c>
      <c r="E1401" s="3">
        <v>12491379.75</v>
      </c>
      <c r="F1401" s="1" t="s">
        <v>3065</v>
      </c>
      <c r="G1401"/>
      <c r="H1401"/>
      <c r="I1401" s="19">
        <f>-IFERROR(VLOOKUP(C1401,SIRCUPA!$A$21:$H$221,8,0),0)</f>
        <v>0</v>
      </c>
      <c r="J1401" s="86">
        <f>-IFERROR(VLOOKUP(C1401,SIRTAC!$A$16:$H$1458,8,0),0)</f>
        <v>-48</v>
      </c>
      <c r="K1401" s="86">
        <f>-IFERROR(VLOOKUP(C1401,Gastos!$A$9:$J$1451,10,0),0)</f>
        <v>-46.56</v>
      </c>
      <c r="L1401" s="86">
        <f>-IFERROR(VLOOKUP(C1401,IDC!$A$20:$H$1763,8,0),0)</f>
        <v>-28.8</v>
      </c>
      <c r="M1401" s="95">
        <f t="shared" si="45"/>
        <v>4800.0000000000009</v>
      </c>
      <c r="O1401" s="1"/>
    </row>
    <row r="1402" spans="1:15" hidden="1">
      <c r="A1402" s="1" t="s">
        <v>1523</v>
      </c>
      <c r="B1402" s="1" t="s">
        <v>15</v>
      </c>
      <c r="C1402" s="71">
        <v>131096447346</v>
      </c>
      <c r="D1402" s="3">
        <v>15686.23</v>
      </c>
      <c r="E1402" s="3">
        <v>12507065.98</v>
      </c>
      <c r="F1402" s="1" t="s">
        <v>3065</v>
      </c>
      <c r="G1402"/>
      <c r="H1402"/>
      <c r="I1402" s="19">
        <f>-IFERROR(VLOOKUP(C1402,SIRCUPA!$A$21:$H$221,8,0),0)</f>
        <v>0</v>
      </c>
      <c r="J1402" s="86">
        <f>-IFERROR(VLOOKUP(C1402,SIRTAC!$A$16:$H$1458,8,0),0)</f>
        <v>-161</v>
      </c>
      <c r="K1402" s="86">
        <f>-IFERROR(VLOOKUP(C1402,Gastos!$A$9:$J$1451,10,0),0)</f>
        <v>-156.16999999999999</v>
      </c>
      <c r="L1402" s="86">
        <f>-IFERROR(VLOOKUP(C1402,IDC!$A$20:$H$1763,8,0),0)</f>
        <v>-96.6</v>
      </c>
      <c r="M1402" s="95">
        <f t="shared" si="45"/>
        <v>16100</v>
      </c>
      <c r="O1402" s="1"/>
    </row>
    <row r="1403" spans="1:15" hidden="1">
      <c r="A1403" s="1" t="s">
        <v>1523</v>
      </c>
      <c r="B1403" s="1" t="s">
        <v>15</v>
      </c>
      <c r="C1403" s="71">
        <v>130510019279</v>
      </c>
      <c r="D1403" s="3">
        <v>4505.28</v>
      </c>
      <c r="E1403" s="3">
        <v>12511571.26</v>
      </c>
      <c r="F1403" s="1" t="s">
        <v>3065</v>
      </c>
      <c r="G1403"/>
      <c r="H1403"/>
      <c r="I1403" s="19">
        <f>-IFERROR(VLOOKUP(C1403,SIRCUPA!$A$21:$H$221,8,0),0)</f>
        <v>0</v>
      </c>
      <c r="J1403" s="86">
        <f>-IFERROR(VLOOKUP(C1403,SIRTAC!$A$16:$H$1458,8,0),0)</f>
        <v>-48</v>
      </c>
      <c r="K1403" s="86">
        <f>-IFERROR(VLOOKUP(C1403,Gastos!$A$9:$J$1451,10,0),0)</f>
        <v>-217.92</v>
      </c>
      <c r="L1403" s="86">
        <f>-IFERROR(VLOOKUP(C1403,IDC!$A$20:$H$1763,8,0),0)</f>
        <v>-28.8</v>
      </c>
      <c r="M1403" s="95">
        <f t="shared" si="45"/>
        <v>4800</v>
      </c>
      <c r="O1403" s="1"/>
    </row>
    <row r="1404" spans="1:15" hidden="1">
      <c r="A1404" s="1" t="s">
        <v>1523</v>
      </c>
      <c r="B1404" s="1" t="s">
        <v>15</v>
      </c>
      <c r="C1404" s="71">
        <v>131096730214</v>
      </c>
      <c r="D1404" s="3">
        <v>4676.6400000000003</v>
      </c>
      <c r="E1404" s="3">
        <v>12516247.9</v>
      </c>
      <c r="F1404" s="1" t="s">
        <v>3065</v>
      </c>
      <c r="G1404"/>
      <c r="H1404"/>
      <c r="I1404" s="19">
        <f>-IFERROR(VLOOKUP(C1404,SIRCUPA!$A$21:$H$221,8,0),0)</f>
        <v>0</v>
      </c>
      <c r="J1404" s="86">
        <f>-IFERROR(VLOOKUP(C1404,SIRTAC!$A$16:$H$1458,8,0),0)</f>
        <v>-48</v>
      </c>
      <c r="K1404" s="86">
        <f>-IFERROR(VLOOKUP(C1404,Gastos!$A$9:$J$1451,10,0),0)</f>
        <v>-46.56</v>
      </c>
      <c r="L1404" s="86">
        <f>-IFERROR(VLOOKUP(C1404,IDC!$A$20:$H$1763,8,0),0)</f>
        <v>-28.8</v>
      </c>
      <c r="M1404" s="95">
        <f t="shared" si="45"/>
        <v>4800.0000000000009</v>
      </c>
      <c r="O1404" s="1"/>
    </row>
    <row r="1405" spans="1:15" hidden="1">
      <c r="A1405" s="1" t="s">
        <v>1523</v>
      </c>
      <c r="B1405" s="1" t="s">
        <v>15</v>
      </c>
      <c r="C1405" s="71">
        <v>131096867212</v>
      </c>
      <c r="D1405" s="3">
        <v>4676.6400000000003</v>
      </c>
      <c r="E1405" s="3">
        <v>12520924.539999999</v>
      </c>
      <c r="F1405" s="1" t="s">
        <v>3065</v>
      </c>
      <c r="G1405"/>
      <c r="H1405"/>
      <c r="I1405" s="19">
        <f>-IFERROR(VLOOKUP(C1405,SIRCUPA!$A$21:$H$221,8,0),0)</f>
        <v>0</v>
      </c>
      <c r="J1405" s="86">
        <f>-IFERROR(VLOOKUP(C1405,SIRTAC!$A$16:$H$1458,8,0),0)</f>
        <v>-48</v>
      </c>
      <c r="K1405" s="86">
        <f>-IFERROR(VLOOKUP(C1405,Gastos!$A$9:$J$1451,10,0),0)</f>
        <v>-46.56</v>
      </c>
      <c r="L1405" s="86">
        <f>-IFERROR(VLOOKUP(C1405,IDC!$A$20:$H$1763,8,0),0)</f>
        <v>-28.8</v>
      </c>
      <c r="M1405" s="95">
        <f t="shared" si="45"/>
        <v>4800.0000000000009</v>
      </c>
      <c r="O1405" s="1"/>
    </row>
    <row r="1406" spans="1:15" hidden="1">
      <c r="A1406" s="1" t="s">
        <v>1523</v>
      </c>
      <c r="B1406" s="1" t="s">
        <v>15</v>
      </c>
      <c r="C1406" s="71">
        <v>131097041416</v>
      </c>
      <c r="D1406" s="3">
        <v>89343.31</v>
      </c>
      <c r="E1406" s="3">
        <v>12610267.85</v>
      </c>
      <c r="F1406" s="1" t="s">
        <v>3065</v>
      </c>
      <c r="G1406"/>
      <c r="H1406"/>
      <c r="I1406" s="19">
        <f>-IFERROR(VLOOKUP(C1406,SIRCUPA!$A$21:$H$221,8,0),0)</f>
        <v>0</v>
      </c>
      <c r="J1406" s="86">
        <f>-IFERROR(VLOOKUP(C1406,SIRTAC!$A$16:$H$1458,8,0),0)</f>
        <v>-917</v>
      </c>
      <c r="K1406" s="86">
        <f>-IFERROR(VLOOKUP(C1406,Gastos!$A$9:$J$1451,10,0),0)</f>
        <v>-889.49</v>
      </c>
      <c r="L1406" s="86">
        <f>-IFERROR(VLOOKUP(C1406,IDC!$A$20:$H$1763,8,0),0)</f>
        <v>-550.20000000000005</v>
      </c>
      <c r="M1406" s="95">
        <f t="shared" si="45"/>
        <v>91700</v>
      </c>
      <c r="O1406" s="1"/>
    </row>
    <row r="1407" spans="1:15" hidden="1">
      <c r="A1407" s="1" t="s">
        <v>1523</v>
      </c>
      <c r="B1407" s="1" t="s">
        <v>15</v>
      </c>
      <c r="C1407" s="71">
        <v>131097201364</v>
      </c>
      <c r="D1407" s="3">
        <v>4676.6400000000003</v>
      </c>
      <c r="E1407" s="3">
        <v>12614944.49</v>
      </c>
      <c r="F1407" s="1" t="s">
        <v>3065</v>
      </c>
      <c r="G1407"/>
      <c r="H1407"/>
      <c r="I1407" s="19">
        <f>-IFERROR(VLOOKUP(C1407,SIRCUPA!$A$21:$H$221,8,0),0)</f>
        <v>0</v>
      </c>
      <c r="J1407" s="86">
        <f>-IFERROR(VLOOKUP(C1407,SIRTAC!$A$16:$H$1458,8,0),0)</f>
        <v>-48</v>
      </c>
      <c r="K1407" s="86">
        <f>-IFERROR(VLOOKUP(C1407,Gastos!$A$9:$J$1451,10,0),0)</f>
        <v>-46.56</v>
      </c>
      <c r="L1407" s="86">
        <f>-IFERROR(VLOOKUP(C1407,IDC!$A$20:$H$1763,8,0),0)</f>
        <v>-28.8</v>
      </c>
      <c r="M1407" s="95">
        <f t="shared" si="45"/>
        <v>4800.0000000000009</v>
      </c>
      <c r="O1407" s="1"/>
    </row>
    <row r="1408" spans="1:15" hidden="1">
      <c r="A1408" s="1" t="s">
        <v>1523</v>
      </c>
      <c r="B1408" s="1" t="s">
        <v>15</v>
      </c>
      <c r="C1408" s="71">
        <v>130510711625</v>
      </c>
      <c r="D1408" s="3">
        <v>8378.98</v>
      </c>
      <c r="E1408" s="3">
        <v>12623323.470000001</v>
      </c>
      <c r="F1408" s="1" t="s">
        <v>3065</v>
      </c>
      <c r="G1408"/>
      <c r="H1408"/>
      <c r="I1408" s="19">
        <f>-IFERROR(VLOOKUP(C1408,SIRCUPA!$A$21:$H$221,8,0),0)</f>
        <v>0</v>
      </c>
      <c r="J1408" s="86">
        <f>-IFERROR(VLOOKUP(C1408,SIRTAC!$A$16:$H$1458,8,0),0)</f>
        <v>-86</v>
      </c>
      <c r="K1408" s="86">
        <f>-IFERROR(VLOOKUP(C1408,Gastos!$A$9:$J$1451,10,0),0)</f>
        <v>-83.42</v>
      </c>
      <c r="L1408" s="86">
        <f>-IFERROR(VLOOKUP(C1408,IDC!$A$20:$H$1763,8,0),0)</f>
        <v>-51.6</v>
      </c>
      <c r="M1408" s="95">
        <f t="shared" si="45"/>
        <v>8600</v>
      </c>
      <c r="O1408" s="1"/>
    </row>
    <row r="1409" spans="1:15" hidden="1">
      <c r="A1409" s="1" t="s">
        <v>1523</v>
      </c>
      <c r="B1409" s="1" t="s">
        <v>158</v>
      </c>
      <c r="C1409" s="71">
        <v>130510892843</v>
      </c>
      <c r="D1409" s="2">
        <v>841.94</v>
      </c>
      <c r="E1409" s="3">
        <v>12624165.41</v>
      </c>
      <c r="F1409" s="1" t="s">
        <v>3065</v>
      </c>
      <c r="G1409"/>
      <c r="H1409"/>
      <c r="I1409" s="19">
        <f>-IFERROR(VLOOKUP(C1409,SIRCUPA!$A$21:$H$221,8,0),0)</f>
        <v>-12.9</v>
      </c>
      <c r="J1409" s="86">
        <f>-IFERROR(VLOOKUP(C1409,SIRTAC!$A$16:$H$1458,8,0),0)</f>
        <v>0</v>
      </c>
      <c r="K1409" s="86">
        <f>-IFERROR(VLOOKUP(C1409,Gastos!$A$9:$J$1451,10,0),0)</f>
        <v>0</v>
      </c>
      <c r="L1409" s="86">
        <f>-IFERROR(VLOOKUP(C1409,IDC!$A$20:$H$1763,8,0),0)</f>
        <v>-5.16</v>
      </c>
      <c r="M1409" s="95">
        <f t="shared" si="45"/>
        <v>860</v>
      </c>
      <c r="O1409" s="1"/>
    </row>
    <row r="1410" spans="1:15" hidden="1">
      <c r="A1410" s="1" t="s">
        <v>1523</v>
      </c>
      <c r="B1410" s="1" t="s">
        <v>15</v>
      </c>
      <c r="C1410" s="71">
        <v>130510713801</v>
      </c>
      <c r="D1410" s="3">
        <v>4676.6400000000003</v>
      </c>
      <c r="E1410" s="3">
        <v>12628842.050000001</v>
      </c>
      <c r="F1410" s="1" t="s">
        <v>3065</v>
      </c>
      <c r="G1410"/>
      <c r="H1410"/>
      <c r="I1410" s="19">
        <f>-IFERROR(VLOOKUP(C1410,SIRCUPA!$A$21:$H$221,8,0),0)</f>
        <v>0</v>
      </c>
      <c r="J1410" s="86">
        <f>-IFERROR(VLOOKUP(C1410,SIRTAC!$A$16:$H$1458,8,0),0)</f>
        <v>-48</v>
      </c>
      <c r="K1410" s="86">
        <f>-IFERROR(VLOOKUP(C1410,Gastos!$A$9:$J$1451,10,0),0)</f>
        <v>-46.56</v>
      </c>
      <c r="L1410" s="86">
        <f>-IFERROR(VLOOKUP(C1410,IDC!$A$20:$H$1763,8,0),0)</f>
        <v>-28.8</v>
      </c>
      <c r="M1410" s="95">
        <f t="shared" si="45"/>
        <v>4800.0000000000009</v>
      </c>
      <c r="O1410" s="1"/>
    </row>
    <row r="1411" spans="1:15" hidden="1">
      <c r="A1411" s="1" t="s">
        <v>1523</v>
      </c>
      <c r="B1411" s="1" t="s">
        <v>988</v>
      </c>
      <c r="C1411" s="71">
        <v>130510701953</v>
      </c>
      <c r="D1411" s="2">
        <v>704.88</v>
      </c>
      <c r="E1411" s="3">
        <v>12629546.93</v>
      </c>
      <c r="F1411" s="1" t="s">
        <v>3065</v>
      </c>
      <c r="G1411"/>
      <c r="H1411"/>
      <c r="I1411" s="19">
        <f>-IFERROR(VLOOKUP(C1411,SIRCUPA!$A$21:$H$221,8,0),0)</f>
        <v>-10.8</v>
      </c>
      <c r="J1411" s="86">
        <f>-IFERROR(VLOOKUP(C1411,SIRTAC!$A$16:$H$1458,8,0),0)</f>
        <v>0</v>
      </c>
      <c r="K1411" s="86">
        <f>-IFERROR(VLOOKUP(C1411,Gastos!$A$9:$J$1451,10,0),0)</f>
        <v>0</v>
      </c>
      <c r="L1411" s="86">
        <f>-IFERROR(VLOOKUP(C1411,IDC!$A$20:$H$1763,8,0),0)</f>
        <v>-4.32</v>
      </c>
      <c r="M1411" s="95">
        <f t="shared" si="45"/>
        <v>720</v>
      </c>
      <c r="O1411" s="1"/>
    </row>
    <row r="1412" spans="1:15" hidden="1">
      <c r="A1412" s="1" t="s">
        <v>1523</v>
      </c>
      <c r="B1412" s="1" t="s">
        <v>15</v>
      </c>
      <c r="C1412" s="71">
        <v>130511034159</v>
      </c>
      <c r="D1412" s="3">
        <v>26984.75</v>
      </c>
      <c r="E1412" s="3">
        <v>12656531.68</v>
      </c>
      <c r="F1412" s="1" t="s">
        <v>3065</v>
      </c>
      <c r="G1412"/>
      <c r="H1412"/>
      <c r="I1412" s="19">
        <f>-IFERROR(VLOOKUP(C1412,SIRCUPA!$A$21:$H$221,8,0),0)</f>
        <v>0</v>
      </c>
      <c r="J1412" s="86">
        <f>-IFERROR(VLOOKUP(C1412,SIRTAC!$A$16:$H$1458,8,0),0)</f>
        <v>-287.5</v>
      </c>
      <c r="K1412" s="86">
        <f>-IFERROR(VLOOKUP(C1412,Gastos!$A$9:$J$1451,10,0),0)</f>
        <v>-1305.25</v>
      </c>
      <c r="L1412" s="86">
        <f>-IFERROR(VLOOKUP(C1412,IDC!$A$20:$H$1763,8,0),0)</f>
        <v>-172.5</v>
      </c>
      <c r="M1412" s="95">
        <f t="shared" si="45"/>
        <v>28750</v>
      </c>
      <c r="O1412" s="1"/>
    </row>
    <row r="1413" spans="1:15" hidden="1">
      <c r="A1413" s="1" t="s">
        <v>1523</v>
      </c>
      <c r="B1413" s="1" t="s">
        <v>15</v>
      </c>
      <c r="C1413" s="71">
        <v>130511024259</v>
      </c>
      <c r="D1413" s="3">
        <v>21921.75</v>
      </c>
      <c r="E1413" s="3">
        <v>12678453.43</v>
      </c>
      <c r="F1413" s="1" t="s">
        <v>3065</v>
      </c>
      <c r="G1413"/>
      <c r="H1413"/>
      <c r="I1413" s="19">
        <f>-IFERROR(VLOOKUP(C1413,SIRCUPA!$A$21:$H$221,8,0),0)</f>
        <v>0</v>
      </c>
      <c r="J1413" s="86">
        <f>-IFERROR(VLOOKUP(C1413,SIRTAC!$A$16:$H$1458,8,0),0)</f>
        <v>-225</v>
      </c>
      <c r="K1413" s="86">
        <f>-IFERROR(VLOOKUP(C1413,Gastos!$A$9:$J$1451,10,0),0)</f>
        <v>-218.25</v>
      </c>
      <c r="L1413" s="86">
        <f>-IFERROR(VLOOKUP(C1413,IDC!$A$20:$H$1763,8,0),0)</f>
        <v>-135</v>
      </c>
      <c r="M1413" s="95">
        <f t="shared" si="45"/>
        <v>22500</v>
      </c>
      <c r="O1413" s="1"/>
    </row>
    <row r="1414" spans="1:15" hidden="1">
      <c r="A1414" s="1" t="s">
        <v>1523</v>
      </c>
      <c r="B1414" s="1" t="s">
        <v>15</v>
      </c>
      <c r="C1414" s="71">
        <v>131097471030</v>
      </c>
      <c r="D1414" s="3">
        <v>8018.72</v>
      </c>
      <c r="E1414" s="3">
        <v>12686472.15</v>
      </c>
      <c r="F1414" s="1" t="s">
        <v>3065</v>
      </c>
      <c r="G1414"/>
      <c r="H1414"/>
      <c r="I1414" s="19">
        <f>-IFERROR(VLOOKUP(C1414,SIRCUPA!$A$21:$H$221,8,0),0)</f>
        <v>0</v>
      </c>
      <c r="J1414" s="86">
        <f>-IFERROR(VLOOKUP(C1414,SIRTAC!$A$16:$H$1458,8,0),0)</f>
        <v>-92</v>
      </c>
      <c r="K1414" s="86">
        <f>-IFERROR(VLOOKUP(C1414,Gastos!$A$9:$J$1451,10,0),0)</f>
        <v>-1034.08</v>
      </c>
      <c r="L1414" s="86">
        <f>-IFERROR(VLOOKUP(C1414,IDC!$A$20:$H$1763,8,0),0)</f>
        <v>-55.2</v>
      </c>
      <c r="M1414" s="95">
        <f t="shared" si="45"/>
        <v>9200</v>
      </c>
      <c r="O1414" s="1"/>
    </row>
    <row r="1415" spans="1:15" hidden="1">
      <c r="A1415" s="1" t="s">
        <v>1523</v>
      </c>
      <c r="B1415" s="1" t="s">
        <v>15</v>
      </c>
      <c r="C1415" s="71">
        <v>130510939873</v>
      </c>
      <c r="D1415" s="3">
        <v>9667.58</v>
      </c>
      <c r="E1415" s="3">
        <v>12696139.73</v>
      </c>
      <c r="F1415" s="1" t="s">
        <v>3065</v>
      </c>
      <c r="G1415"/>
      <c r="H1415"/>
      <c r="I1415" s="19">
        <f>-IFERROR(VLOOKUP(C1415,SIRCUPA!$A$21:$H$221,8,0),0)</f>
        <v>0</v>
      </c>
      <c r="J1415" s="86">
        <f>-IFERROR(VLOOKUP(C1415,SIRTAC!$A$16:$H$1458,8,0),0)</f>
        <v>-103</v>
      </c>
      <c r="K1415" s="86">
        <f>-IFERROR(VLOOKUP(C1415,Gastos!$A$9:$J$1451,10,0),0)</f>
        <v>-467.62</v>
      </c>
      <c r="L1415" s="86">
        <f>-IFERROR(VLOOKUP(C1415,IDC!$A$20:$H$1763,8,0),0)</f>
        <v>-61.8</v>
      </c>
      <c r="M1415" s="95">
        <f t="shared" si="45"/>
        <v>10300</v>
      </c>
      <c r="O1415" s="1"/>
    </row>
    <row r="1416" spans="1:15" hidden="1">
      <c r="A1416" s="1" t="s">
        <v>1523</v>
      </c>
      <c r="B1416" s="1" t="s">
        <v>15</v>
      </c>
      <c r="C1416" s="71">
        <v>130510987923</v>
      </c>
      <c r="D1416" s="3">
        <v>15393.04</v>
      </c>
      <c r="E1416" s="3">
        <v>12711532.77</v>
      </c>
      <c r="F1416" s="1" t="s">
        <v>3065</v>
      </c>
      <c r="G1416"/>
      <c r="H1416"/>
      <c r="I1416" s="19">
        <f>-IFERROR(VLOOKUP(C1416,SIRCUPA!$A$21:$H$221,8,0),0)</f>
        <v>0</v>
      </c>
      <c r="J1416" s="86">
        <f>-IFERROR(VLOOKUP(C1416,SIRTAC!$A$16:$H$1458,8,0),0)</f>
        <v>-164</v>
      </c>
      <c r="K1416" s="86">
        <f>-IFERROR(VLOOKUP(C1416,Gastos!$A$9:$J$1451,10,0),0)</f>
        <v>-744.56</v>
      </c>
      <c r="L1416" s="86">
        <f>-IFERROR(VLOOKUP(C1416,IDC!$A$20:$H$1763,8,0),0)</f>
        <v>-98.4</v>
      </c>
      <c r="M1416" s="95">
        <f t="shared" si="45"/>
        <v>16400</v>
      </c>
      <c r="O1416" s="1"/>
    </row>
    <row r="1417" spans="1:15" hidden="1">
      <c r="A1417" s="1" t="s">
        <v>1523</v>
      </c>
      <c r="B1417" s="1" t="s">
        <v>15</v>
      </c>
      <c r="C1417" s="71">
        <v>130511115179</v>
      </c>
      <c r="D1417" s="3">
        <v>14079</v>
      </c>
      <c r="E1417" s="3">
        <v>12725611.77</v>
      </c>
      <c r="F1417" s="1" t="s">
        <v>3065</v>
      </c>
      <c r="G1417"/>
      <c r="H1417"/>
      <c r="I1417" s="19">
        <f>-IFERROR(VLOOKUP(C1417,SIRCUPA!$A$21:$H$221,8,0),0)</f>
        <v>0</v>
      </c>
      <c r="J1417" s="86">
        <f>-IFERROR(VLOOKUP(C1417,SIRTAC!$A$16:$H$1458,8,0),0)</f>
        <v>-150</v>
      </c>
      <c r="K1417" s="86">
        <f>-IFERROR(VLOOKUP(C1417,Gastos!$A$9:$J$1451,10,0),0)</f>
        <v>-681</v>
      </c>
      <c r="L1417" s="86">
        <f>-IFERROR(VLOOKUP(C1417,IDC!$A$20:$H$1763,8,0),0)</f>
        <v>-90</v>
      </c>
      <c r="M1417" s="95">
        <f t="shared" si="45"/>
        <v>15000</v>
      </c>
      <c r="O1417" s="1"/>
    </row>
    <row r="1418" spans="1:15" hidden="1">
      <c r="A1418" s="1" t="s">
        <v>1523</v>
      </c>
      <c r="B1418" s="1" t="s">
        <v>15</v>
      </c>
      <c r="C1418" s="71">
        <v>130511316897</v>
      </c>
      <c r="D1418" s="3">
        <v>23772.92</v>
      </c>
      <c r="E1418" s="3">
        <v>12749384.689999999</v>
      </c>
      <c r="F1418" s="1" t="s">
        <v>3065</v>
      </c>
      <c r="G1418"/>
      <c r="H1418"/>
      <c r="I1418" s="19">
        <f>-IFERROR(VLOOKUP(C1418,SIRCUPA!$A$21:$H$221,8,0),0)</f>
        <v>0</v>
      </c>
      <c r="J1418" s="86">
        <f>-IFERROR(VLOOKUP(C1418,SIRTAC!$A$16:$H$1458,8,0),0)</f>
        <v>-244</v>
      </c>
      <c r="K1418" s="86">
        <f>-IFERROR(VLOOKUP(C1418,Gastos!$A$9:$J$1451,10,0),0)</f>
        <v>-236.68</v>
      </c>
      <c r="L1418" s="86">
        <f>-IFERROR(VLOOKUP(C1418,IDC!$A$20:$H$1763,8,0),0)</f>
        <v>-146.4</v>
      </c>
      <c r="M1418" s="95">
        <f t="shared" si="45"/>
        <v>24400</v>
      </c>
      <c r="O1418" s="1"/>
    </row>
    <row r="1419" spans="1:15" hidden="1">
      <c r="A1419" s="1" t="s">
        <v>1523</v>
      </c>
      <c r="B1419" s="1" t="s">
        <v>15</v>
      </c>
      <c r="C1419" s="71">
        <v>131097846962</v>
      </c>
      <c r="D1419" s="3">
        <v>10717.3</v>
      </c>
      <c r="E1419" s="3">
        <v>12760101.99</v>
      </c>
      <c r="F1419" s="1" t="s">
        <v>3065</v>
      </c>
      <c r="G1419"/>
      <c r="H1419"/>
      <c r="I1419" s="19">
        <f>-IFERROR(VLOOKUP(C1419,SIRCUPA!$A$21:$H$221,8,0),0)</f>
        <v>0</v>
      </c>
      <c r="J1419" s="86">
        <f>-IFERROR(VLOOKUP(C1419,SIRTAC!$A$16:$H$1458,8,0),0)</f>
        <v>-110</v>
      </c>
      <c r="K1419" s="86">
        <f>-IFERROR(VLOOKUP(C1419,Gastos!$A$9:$J$1451,10,0),0)</f>
        <v>-106.7</v>
      </c>
      <c r="L1419" s="86">
        <f>-IFERROR(VLOOKUP(C1419,IDC!$A$20:$H$1763,8,0),0)</f>
        <v>-66</v>
      </c>
      <c r="M1419" s="95">
        <f t="shared" si="45"/>
        <v>11000</v>
      </c>
      <c r="O1419" s="1"/>
    </row>
    <row r="1420" spans="1:15" hidden="1">
      <c r="A1420" s="1" t="s">
        <v>1523</v>
      </c>
      <c r="B1420" s="1" t="s">
        <v>15</v>
      </c>
      <c r="C1420" s="71">
        <v>130511698427</v>
      </c>
      <c r="D1420" s="3">
        <v>17439.97</v>
      </c>
      <c r="E1420" s="3">
        <v>12777541.960000001</v>
      </c>
      <c r="F1420" s="1" t="s">
        <v>3065</v>
      </c>
      <c r="G1420"/>
      <c r="H1420"/>
      <c r="I1420" s="19">
        <f>-IFERROR(VLOOKUP(C1420,SIRCUPA!$A$21:$H$221,8,0),0)</f>
        <v>0</v>
      </c>
      <c r="J1420" s="86">
        <f>-IFERROR(VLOOKUP(C1420,SIRTAC!$A$16:$H$1458,8,0),0)</f>
        <v>-179</v>
      </c>
      <c r="K1420" s="86">
        <f>-IFERROR(VLOOKUP(C1420,Gastos!$A$9:$J$1451,10,0),0)</f>
        <v>-173.63</v>
      </c>
      <c r="L1420" s="86">
        <f>-IFERROR(VLOOKUP(C1420,IDC!$A$20:$H$1763,8,0),0)</f>
        <v>-107.4</v>
      </c>
      <c r="M1420" s="95">
        <f t="shared" si="45"/>
        <v>17900.000000000004</v>
      </c>
      <c r="O1420" s="1"/>
    </row>
    <row r="1421" spans="1:15" hidden="1">
      <c r="A1421" s="1" t="s">
        <v>1523</v>
      </c>
      <c r="B1421" s="1" t="s">
        <v>15</v>
      </c>
      <c r="C1421" s="71">
        <v>131098306232</v>
      </c>
      <c r="D1421" s="3">
        <v>71513.62</v>
      </c>
      <c r="E1421" s="3">
        <v>12849055.58</v>
      </c>
      <c r="F1421" s="1" t="s">
        <v>3065</v>
      </c>
      <c r="G1421"/>
      <c r="H1421"/>
      <c r="I1421" s="19">
        <f>-IFERROR(VLOOKUP(C1421,SIRCUPA!$A$21:$H$221,8,0),0)</f>
        <v>0</v>
      </c>
      <c r="J1421" s="86">
        <f>-IFERROR(VLOOKUP(C1421,SIRTAC!$A$16:$H$1458,8,0),0)</f>
        <v>-734</v>
      </c>
      <c r="K1421" s="86">
        <f>-IFERROR(VLOOKUP(C1421,Gastos!$A$9:$J$1451,10,0),0)</f>
        <v>-711.98</v>
      </c>
      <c r="L1421" s="86">
        <f>-IFERROR(VLOOKUP(C1421,IDC!$A$20:$H$1763,8,0),0)</f>
        <v>-440.4</v>
      </c>
      <c r="M1421" s="95">
        <f t="shared" si="45"/>
        <v>73399.999999999985</v>
      </c>
      <c r="O1421" s="1"/>
    </row>
    <row r="1422" spans="1:15" hidden="1">
      <c r="A1422" s="1" t="s">
        <v>1523</v>
      </c>
      <c r="B1422" s="1" t="s">
        <v>15</v>
      </c>
      <c r="C1422" s="71">
        <v>131098312446</v>
      </c>
      <c r="D1422" s="3">
        <v>4384.3500000000004</v>
      </c>
      <c r="E1422" s="3">
        <v>12853439.93</v>
      </c>
      <c r="F1422" s="1" t="s">
        <v>3065</v>
      </c>
      <c r="G1422"/>
      <c r="H1422"/>
      <c r="I1422" s="19">
        <f>-IFERROR(VLOOKUP(C1422,SIRCUPA!$A$21:$H$221,8,0),0)</f>
        <v>0</v>
      </c>
      <c r="J1422" s="86">
        <f>-IFERROR(VLOOKUP(C1422,SIRTAC!$A$16:$H$1458,8,0),0)</f>
        <v>-45</v>
      </c>
      <c r="K1422" s="86">
        <f>-IFERROR(VLOOKUP(C1422,Gastos!$A$9:$J$1451,10,0),0)</f>
        <v>-43.65</v>
      </c>
      <c r="L1422" s="86">
        <f>-IFERROR(VLOOKUP(C1422,IDC!$A$20:$H$1763,8,0),0)</f>
        <v>-27</v>
      </c>
      <c r="M1422" s="95">
        <f t="shared" si="45"/>
        <v>4500</v>
      </c>
      <c r="O1422" s="1"/>
    </row>
    <row r="1423" spans="1:15" hidden="1">
      <c r="A1423" s="1" t="s">
        <v>1523</v>
      </c>
      <c r="B1423" s="1" t="s">
        <v>15</v>
      </c>
      <c r="C1423" s="71">
        <v>130511872803</v>
      </c>
      <c r="D1423" s="3">
        <v>18803.990000000002</v>
      </c>
      <c r="E1423" s="3">
        <v>12872243.92</v>
      </c>
      <c r="F1423" s="1" t="s">
        <v>3065</v>
      </c>
      <c r="G1423"/>
      <c r="H1423"/>
      <c r="I1423" s="19">
        <f>-IFERROR(VLOOKUP(C1423,SIRCUPA!$A$21:$H$221,8,0),0)</f>
        <v>0</v>
      </c>
      <c r="J1423" s="86">
        <f>-IFERROR(VLOOKUP(C1423,SIRTAC!$A$16:$H$1458,8,0),0)</f>
        <v>-193</v>
      </c>
      <c r="K1423" s="86">
        <f>-IFERROR(VLOOKUP(C1423,Gastos!$A$9:$J$1451,10,0),0)</f>
        <v>-187.21</v>
      </c>
      <c r="L1423" s="86">
        <f>-IFERROR(VLOOKUP(C1423,IDC!$A$20:$H$1763,8,0),0)</f>
        <v>-115.8</v>
      </c>
      <c r="M1423" s="95">
        <f t="shared" si="45"/>
        <v>19300</v>
      </c>
      <c r="O1423" s="1"/>
    </row>
    <row r="1424" spans="1:15" hidden="1">
      <c r="A1424" s="1" t="s">
        <v>1523</v>
      </c>
      <c r="B1424" s="1" t="s">
        <v>15</v>
      </c>
      <c r="C1424" s="71">
        <v>131098450400</v>
      </c>
      <c r="D1424" s="3">
        <v>4183.68</v>
      </c>
      <c r="E1424" s="3">
        <v>12876427.6</v>
      </c>
      <c r="F1424" s="1" t="s">
        <v>3065</v>
      </c>
      <c r="G1424"/>
      <c r="H1424"/>
      <c r="I1424" s="19">
        <f>-IFERROR(VLOOKUP(C1424,SIRCUPA!$A$21:$H$221,8,0),0)</f>
        <v>0</v>
      </c>
      <c r="J1424" s="86">
        <f>-IFERROR(VLOOKUP(C1424,SIRTAC!$A$16:$H$1458,8,0),0)</f>
        <v>-48</v>
      </c>
      <c r="K1424" s="86">
        <f>-IFERROR(VLOOKUP(C1424,Gastos!$A$9:$J$1451,10,0),0)</f>
        <v>-539.52</v>
      </c>
      <c r="L1424" s="86">
        <f>-IFERROR(VLOOKUP(C1424,IDC!$A$20:$H$1763,8,0),0)</f>
        <v>-28.8</v>
      </c>
      <c r="M1424" s="95">
        <f t="shared" si="45"/>
        <v>4800.0000000000009</v>
      </c>
      <c r="O1424" s="1"/>
    </row>
    <row r="1425" spans="1:15" hidden="1">
      <c r="A1425" s="1" t="s">
        <v>1523</v>
      </c>
      <c r="B1425" s="1" t="s">
        <v>15</v>
      </c>
      <c r="C1425" s="71">
        <v>131098620974</v>
      </c>
      <c r="D1425" s="3">
        <v>4286.92</v>
      </c>
      <c r="E1425" s="3">
        <v>12880714.52</v>
      </c>
      <c r="F1425" s="1" t="s">
        <v>3065</v>
      </c>
      <c r="G1425"/>
      <c r="H1425"/>
      <c r="I1425" s="19">
        <f>-IFERROR(VLOOKUP(C1425,SIRCUPA!$A$21:$H$221,8,0),0)</f>
        <v>0</v>
      </c>
      <c r="J1425" s="86">
        <f>-IFERROR(VLOOKUP(C1425,SIRTAC!$A$16:$H$1458,8,0),0)</f>
        <v>-44</v>
      </c>
      <c r="K1425" s="86">
        <f>-IFERROR(VLOOKUP(C1425,Gastos!$A$9:$J$1451,10,0),0)</f>
        <v>-42.68</v>
      </c>
      <c r="L1425" s="86">
        <f>-IFERROR(VLOOKUP(C1425,IDC!$A$20:$H$1763,8,0),0)</f>
        <v>-26.4</v>
      </c>
      <c r="M1425" s="95">
        <f t="shared" si="45"/>
        <v>4400</v>
      </c>
      <c r="O1425" s="1"/>
    </row>
    <row r="1426" spans="1:15" hidden="1">
      <c r="A1426" s="1" t="s">
        <v>1523</v>
      </c>
      <c r="B1426" s="1" t="s">
        <v>15</v>
      </c>
      <c r="C1426" s="71">
        <v>131098699670</v>
      </c>
      <c r="D1426" s="3">
        <v>3778.8</v>
      </c>
      <c r="E1426" s="3">
        <v>12884493.32</v>
      </c>
      <c r="F1426" s="1" t="s">
        <v>3065</v>
      </c>
      <c r="G1426"/>
      <c r="H1426"/>
      <c r="I1426" s="19">
        <f>-IFERROR(VLOOKUP(C1426,SIRCUPA!$A$21:$H$221,8,0),0)</f>
        <v>0</v>
      </c>
      <c r="J1426" s="86">
        <f>-IFERROR(VLOOKUP(C1426,SIRTAC!$A$16:$H$1458,8,0),0)</f>
        <v>-40</v>
      </c>
      <c r="K1426" s="86">
        <f>-IFERROR(VLOOKUP(C1426,Gastos!$A$9:$J$1451,10,0),0)</f>
        <v>-157.19999999999999</v>
      </c>
      <c r="L1426" s="86">
        <f>-IFERROR(VLOOKUP(C1426,IDC!$A$20:$H$1763,8,0),0)</f>
        <v>-24</v>
      </c>
      <c r="M1426" s="95">
        <f t="shared" si="45"/>
        <v>4000</v>
      </c>
      <c r="O1426" s="1"/>
    </row>
    <row r="1427" spans="1:15" hidden="1">
      <c r="A1427" s="1" t="s">
        <v>1523</v>
      </c>
      <c r="B1427" s="1" t="s">
        <v>15</v>
      </c>
      <c r="C1427" s="71">
        <v>130512338739</v>
      </c>
      <c r="D1427" s="3">
        <v>90880.14</v>
      </c>
      <c r="E1427" s="3">
        <v>12975373.460000001</v>
      </c>
      <c r="F1427" s="1" t="s">
        <v>3065</v>
      </c>
      <c r="G1427"/>
      <c r="H1427"/>
      <c r="I1427" s="19">
        <f>-IFERROR(VLOOKUP(C1427,SIRCUPA!$A$21:$H$221,8,0),0)</f>
        <v>0</v>
      </c>
      <c r="J1427" s="86">
        <f>-IFERROR(VLOOKUP(C1427,SIRTAC!$A$16:$H$1458,8,0),0)</f>
        <v>-962</v>
      </c>
      <c r="K1427" s="86">
        <f>-IFERROR(VLOOKUP(C1427,Gastos!$A$9:$J$1451,10,0),0)</f>
        <v>-3780.66</v>
      </c>
      <c r="L1427" s="86">
        <f>-IFERROR(VLOOKUP(C1427,IDC!$A$20:$H$1763,8,0),0)</f>
        <v>-577.20000000000005</v>
      </c>
      <c r="M1427" s="95">
        <f t="shared" si="45"/>
        <v>96200</v>
      </c>
      <c r="O1427" s="1"/>
    </row>
    <row r="1428" spans="1:15" hidden="1">
      <c r="A1428" s="1" t="s">
        <v>1523</v>
      </c>
      <c r="B1428" s="1" t="s">
        <v>15</v>
      </c>
      <c r="C1428" s="71">
        <v>130512335019</v>
      </c>
      <c r="D1428" s="3">
        <v>8866.1299999999992</v>
      </c>
      <c r="E1428" s="3">
        <v>12984239.59</v>
      </c>
      <c r="F1428" s="1" t="s">
        <v>3065</v>
      </c>
      <c r="G1428"/>
      <c r="H1428"/>
      <c r="I1428" s="19">
        <f>-IFERROR(VLOOKUP(C1428,SIRCUPA!$A$21:$H$221,8,0),0)</f>
        <v>0</v>
      </c>
      <c r="J1428" s="86">
        <f>-IFERROR(VLOOKUP(C1428,SIRTAC!$A$16:$H$1458,8,0),0)</f>
        <v>-91</v>
      </c>
      <c r="K1428" s="86">
        <f>-IFERROR(VLOOKUP(C1428,Gastos!$A$9:$J$1451,10,0),0)</f>
        <v>-88.27</v>
      </c>
      <c r="L1428" s="86">
        <f>-IFERROR(VLOOKUP(C1428,IDC!$A$20:$H$1763,8,0),0)</f>
        <v>-54.6</v>
      </c>
      <c r="M1428" s="95">
        <f t="shared" si="45"/>
        <v>9100</v>
      </c>
      <c r="O1428" s="1"/>
    </row>
    <row r="1429" spans="1:15" hidden="1">
      <c r="A1429" s="1" t="s">
        <v>1523</v>
      </c>
      <c r="B1429" s="1" t="s">
        <v>15</v>
      </c>
      <c r="C1429" s="71">
        <v>131099034366</v>
      </c>
      <c r="D1429" s="3">
        <v>18706.560000000001</v>
      </c>
      <c r="E1429" s="3">
        <v>13002946.15</v>
      </c>
      <c r="F1429" s="1" t="s">
        <v>3065</v>
      </c>
      <c r="G1429"/>
      <c r="H1429"/>
      <c r="I1429" s="19">
        <f>-IFERROR(VLOOKUP(C1429,SIRCUPA!$A$21:$H$221,8,0),0)</f>
        <v>0</v>
      </c>
      <c r="J1429" s="86">
        <f>-IFERROR(VLOOKUP(C1429,SIRTAC!$A$16:$H$1458,8,0),0)</f>
        <v>-192</v>
      </c>
      <c r="K1429" s="86">
        <f>-IFERROR(VLOOKUP(C1429,Gastos!$A$9:$J$1451,10,0),0)</f>
        <v>-186.24</v>
      </c>
      <c r="L1429" s="86">
        <f>-IFERROR(VLOOKUP(C1429,IDC!$A$20:$H$1763,8,0),0)</f>
        <v>-115.2</v>
      </c>
      <c r="M1429" s="95">
        <f t="shared" si="45"/>
        <v>19200.000000000004</v>
      </c>
      <c r="O1429" s="1"/>
    </row>
    <row r="1430" spans="1:15" hidden="1">
      <c r="A1430" s="1" t="s">
        <v>1523</v>
      </c>
      <c r="B1430" s="1" t="s">
        <v>15</v>
      </c>
      <c r="C1430" s="71">
        <v>131098837484</v>
      </c>
      <c r="D1430" s="3">
        <v>14809.36</v>
      </c>
      <c r="E1430" s="3">
        <v>13017755.51</v>
      </c>
      <c r="F1430" s="1" t="s">
        <v>3065</v>
      </c>
      <c r="G1430"/>
      <c r="H1430"/>
      <c r="I1430" s="19">
        <f>-IFERROR(VLOOKUP(C1430,SIRCUPA!$A$21:$H$221,8,0),0)</f>
        <v>0</v>
      </c>
      <c r="J1430" s="86">
        <f>-IFERROR(VLOOKUP(C1430,SIRTAC!$A$16:$H$1458,8,0),0)</f>
        <v>-152</v>
      </c>
      <c r="K1430" s="86">
        <f>-IFERROR(VLOOKUP(C1430,Gastos!$A$9:$J$1451,10,0),0)</f>
        <v>-147.44</v>
      </c>
      <c r="L1430" s="86">
        <f>-IFERROR(VLOOKUP(C1430,IDC!$A$20:$H$1763,8,0),0)</f>
        <v>-91.2</v>
      </c>
      <c r="M1430" s="95">
        <f t="shared" ref="M1430:M1441" si="46">+D1430-I1430-J1430-K1430-L1430</f>
        <v>15200.000000000002</v>
      </c>
      <c r="O1430" s="1"/>
    </row>
    <row r="1431" spans="1:15" hidden="1">
      <c r="A1431" s="1" t="s">
        <v>1523</v>
      </c>
      <c r="B1431" s="1" t="s">
        <v>15</v>
      </c>
      <c r="C1431" s="71">
        <v>130512369709</v>
      </c>
      <c r="D1431" s="3">
        <v>4676.6400000000003</v>
      </c>
      <c r="E1431" s="3">
        <v>13022432.15</v>
      </c>
      <c r="F1431" s="1" t="s">
        <v>3065</v>
      </c>
      <c r="G1431"/>
      <c r="H1431"/>
      <c r="I1431" s="19">
        <f>-IFERROR(VLOOKUP(C1431,SIRCUPA!$A$21:$H$221,8,0),0)</f>
        <v>0</v>
      </c>
      <c r="J1431" s="86">
        <f>-IFERROR(VLOOKUP(C1431,SIRTAC!$A$16:$H$1458,8,0),0)</f>
        <v>-48</v>
      </c>
      <c r="K1431" s="86">
        <f>-IFERROR(VLOOKUP(C1431,Gastos!$A$9:$J$1451,10,0),0)</f>
        <v>-46.56</v>
      </c>
      <c r="L1431" s="86">
        <f>-IFERROR(VLOOKUP(C1431,IDC!$A$20:$H$1763,8,0),0)</f>
        <v>-28.8</v>
      </c>
      <c r="M1431" s="95">
        <f t="shared" si="46"/>
        <v>4800.0000000000009</v>
      </c>
      <c r="O1431" s="1"/>
    </row>
    <row r="1432" spans="1:15" hidden="1">
      <c r="A1432" s="1" t="s">
        <v>1523</v>
      </c>
      <c r="B1432" s="1" t="s">
        <v>1597</v>
      </c>
      <c r="C1432" s="71">
        <v>130512480681</v>
      </c>
      <c r="D1432" s="2">
        <v>469.92</v>
      </c>
      <c r="E1432" s="3">
        <v>13022902.07</v>
      </c>
      <c r="F1432" s="1" t="s">
        <v>3065</v>
      </c>
      <c r="G1432"/>
      <c r="H1432"/>
      <c r="I1432" s="19">
        <f>-IFERROR(VLOOKUP(C1432,SIRCUPA!$A$21:$H$221,8,0),0)</f>
        <v>-7.2</v>
      </c>
      <c r="J1432" s="86">
        <f>-IFERROR(VLOOKUP(C1432,SIRTAC!$A$16:$H$1458,8,0),0)</f>
        <v>0</v>
      </c>
      <c r="K1432" s="86">
        <f>-IFERROR(VLOOKUP(C1432,Gastos!$A$9:$J$1451,10,0),0)</f>
        <v>0</v>
      </c>
      <c r="L1432" s="86">
        <f>-IFERROR(VLOOKUP(C1432,IDC!$A$20:$H$1763,8,0),0)</f>
        <v>-2.88</v>
      </c>
      <c r="M1432" s="95">
        <f t="shared" si="46"/>
        <v>480</v>
      </c>
      <c r="O1432" s="1"/>
    </row>
    <row r="1433" spans="1:15" hidden="1">
      <c r="A1433" s="1" t="s">
        <v>1523</v>
      </c>
      <c r="B1433" s="1" t="s">
        <v>15</v>
      </c>
      <c r="C1433" s="71">
        <v>130512724637</v>
      </c>
      <c r="D1433" s="3">
        <v>8573.84</v>
      </c>
      <c r="E1433" s="3">
        <v>13031475.91</v>
      </c>
      <c r="F1433" s="1" t="s">
        <v>3065</v>
      </c>
      <c r="G1433"/>
      <c r="H1433"/>
      <c r="I1433" s="19">
        <f>-IFERROR(VLOOKUP(C1433,SIRCUPA!$A$21:$H$221,8,0),0)</f>
        <v>0</v>
      </c>
      <c r="J1433" s="86">
        <f>-IFERROR(VLOOKUP(C1433,SIRTAC!$A$16:$H$1458,8,0),0)</f>
        <v>-88</v>
      </c>
      <c r="K1433" s="86">
        <f>-IFERROR(VLOOKUP(C1433,Gastos!$A$9:$J$1451,10,0),0)</f>
        <v>-85.36</v>
      </c>
      <c r="L1433" s="86">
        <f>-IFERROR(VLOOKUP(C1433,IDC!$A$20:$H$1763,8,0),0)</f>
        <v>-52.8</v>
      </c>
      <c r="M1433" s="95">
        <f t="shared" si="46"/>
        <v>8800</v>
      </c>
      <c r="O1433" s="1"/>
    </row>
    <row r="1434" spans="1:15" hidden="1">
      <c r="A1434" s="1" t="s">
        <v>1523</v>
      </c>
      <c r="B1434" s="1" t="s">
        <v>15</v>
      </c>
      <c r="C1434" s="71">
        <v>131099256710</v>
      </c>
      <c r="D1434" s="3">
        <v>2338.3200000000002</v>
      </c>
      <c r="E1434" s="3">
        <v>13033814.23</v>
      </c>
      <c r="F1434" s="1" t="s">
        <v>3065</v>
      </c>
      <c r="G1434"/>
      <c r="H1434"/>
      <c r="I1434" s="19">
        <f>-IFERROR(VLOOKUP(C1434,SIRCUPA!$A$21:$H$221,8,0),0)</f>
        <v>0</v>
      </c>
      <c r="J1434" s="86">
        <f>-IFERROR(VLOOKUP(C1434,SIRTAC!$A$16:$H$1458,8,0),0)</f>
        <v>-24</v>
      </c>
      <c r="K1434" s="86">
        <f>-IFERROR(VLOOKUP(C1434,Gastos!$A$9:$J$1451,10,0),0)</f>
        <v>-23.28</v>
      </c>
      <c r="L1434" s="86">
        <f>-IFERROR(VLOOKUP(C1434,IDC!$A$20:$H$1763,8,0),0)</f>
        <v>-14.4</v>
      </c>
      <c r="M1434" s="95">
        <f t="shared" si="46"/>
        <v>2400.0000000000005</v>
      </c>
      <c r="O1434" s="1"/>
    </row>
    <row r="1435" spans="1:15" hidden="1">
      <c r="A1435" s="1" t="s">
        <v>1523</v>
      </c>
      <c r="B1435" s="1" t="s">
        <v>15</v>
      </c>
      <c r="C1435" s="71">
        <v>130512786585</v>
      </c>
      <c r="D1435" s="3">
        <v>26500.959999999999</v>
      </c>
      <c r="E1435" s="3">
        <v>13060315.189999999</v>
      </c>
      <c r="F1435" s="1" t="s">
        <v>3065</v>
      </c>
      <c r="G1435"/>
      <c r="H1435"/>
      <c r="I1435" s="19">
        <f>-IFERROR(VLOOKUP(C1435,SIRCUPA!$A$21:$H$221,8,0),0)</f>
        <v>0</v>
      </c>
      <c r="J1435" s="86">
        <f>-IFERROR(VLOOKUP(C1435,SIRTAC!$A$16:$H$1458,8,0),0)</f>
        <v>-272</v>
      </c>
      <c r="K1435" s="86">
        <f>-IFERROR(VLOOKUP(C1435,Gastos!$A$9:$J$1451,10,0),0)</f>
        <v>-263.83999999999997</v>
      </c>
      <c r="L1435" s="86">
        <f>-IFERROR(VLOOKUP(C1435,IDC!$A$20:$H$1763,8,0),0)</f>
        <v>-163.19999999999999</v>
      </c>
      <c r="M1435" s="95">
        <f t="shared" si="46"/>
        <v>27200</v>
      </c>
      <c r="O1435" s="1"/>
    </row>
    <row r="1436" spans="1:15" hidden="1">
      <c r="A1436" s="1" t="s">
        <v>1523</v>
      </c>
      <c r="B1436" s="1" t="s">
        <v>15</v>
      </c>
      <c r="C1436" s="71">
        <v>131099366712</v>
      </c>
      <c r="D1436" s="3">
        <v>3897.2</v>
      </c>
      <c r="E1436" s="3">
        <v>13064212.390000001</v>
      </c>
      <c r="F1436" s="1" t="s">
        <v>3065</v>
      </c>
      <c r="G1436"/>
      <c r="H1436"/>
      <c r="I1436" s="19">
        <f>-IFERROR(VLOOKUP(C1436,SIRCUPA!$A$21:$H$221,8,0),0)</f>
        <v>0</v>
      </c>
      <c r="J1436" s="86">
        <f>-IFERROR(VLOOKUP(C1436,SIRTAC!$A$16:$H$1458,8,0),0)</f>
        <v>-40</v>
      </c>
      <c r="K1436" s="86">
        <f>-IFERROR(VLOOKUP(C1436,Gastos!$A$9:$J$1451,10,0),0)</f>
        <v>-38.799999999999997</v>
      </c>
      <c r="L1436" s="86">
        <f>-IFERROR(VLOOKUP(C1436,IDC!$A$20:$H$1763,8,0),0)</f>
        <v>-24</v>
      </c>
      <c r="M1436" s="95">
        <f t="shared" si="46"/>
        <v>4000</v>
      </c>
      <c r="O1436" s="1"/>
    </row>
    <row r="1437" spans="1:15" hidden="1">
      <c r="A1437" s="1" t="s">
        <v>1523</v>
      </c>
      <c r="B1437" s="1" t="s">
        <v>15</v>
      </c>
      <c r="C1437" s="71">
        <v>131099538364</v>
      </c>
      <c r="D1437" s="3">
        <v>5358.65</v>
      </c>
      <c r="E1437" s="3">
        <v>13069571.039999999</v>
      </c>
      <c r="F1437" s="1" t="s">
        <v>3065</v>
      </c>
      <c r="G1437"/>
      <c r="H1437"/>
      <c r="I1437" s="19">
        <f>-IFERROR(VLOOKUP(C1437,SIRCUPA!$A$21:$H$221,8,0),0)</f>
        <v>0</v>
      </c>
      <c r="J1437" s="86">
        <f>-IFERROR(VLOOKUP(C1437,SIRTAC!$A$16:$H$1458,8,0),0)</f>
        <v>-55</v>
      </c>
      <c r="K1437" s="86">
        <f>-IFERROR(VLOOKUP(C1437,Gastos!$A$9:$J$1451,10,0),0)</f>
        <v>-53.35</v>
      </c>
      <c r="L1437" s="86">
        <f>-IFERROR(VLOOKUP(C1437,IDC!$A$20:$H$1763,8,0),0)</f>
        <v>-33</v>
      </c>
      <c r="M1437" s="95">
        <f t="shared" si="46"/>
        <v>5500</v>
      </c>
      <c r="O1437" s="1"/>
    </row>
    <row r="1438" spans="1:15" hidden="1">
      <c r="A1438" s="1" t="s">
        <v>1523</v>
      </c>
      <c r="B1438" s="1" t="s">
        <v>15</v>
      </c>
      <c r="C1438" s="71">
        <v>131099810152</v>
      </c>
      <c r="D1438" s="3">
        <v>20649.2</v>
      </c>
      <c r="E1438" s="3">
        <v>13090220.24</v>
      </c>
      <c r="F1438" s="1" t="s">
        <v>3065</v>
      </c>
      <c r="G1438"/>
      <c r="H1438"/>
      <c r="I1438" s="19">
        <f>-IFERROR(VLOOKUP(C1438,SIRCUPA!$A$21:$H$221,8,0),0)</f>
        <v>0</v>
      </c>
      <c r="J1438" s="86">
        <f>-IFERROR(VLOOKUP(C1438,SIRTAC!$A$16:$H$1458,8,0),0)</f>
        <v>-220</v>
      </c>
      <c r="K1438" s="86">
        <f>-IFERROR(VLOOKUP(C1438,Gastos!$A$9:$J$1451,10,0),0)</f>
        <v>-998.8</v>
      </c>
      <c r="L1438" s="86">
        <f>-IFERROR(VLOOKUP(C1438,IDC!$A$20:$H$1763,8,0),0)</f>
        <v>-132</v>
      </c>
      <c r="M1438" s="95">
        <f t="shared" si="46"/>
        <v>22000</v>
      </c>
      <c r="O1438" s="1"/>
    </row>
    <row r="1439" spans="1:15" hidden="1">
      <c r="A1439" s="1" t="s">
        <v>1523</v>
      </c>
      <c r="B1439" s="1" t="s">
        <v>15</v>
      </c>
      <c r="C1439" s="71">
        <v>131099852998</v>
      </c>
      <c r="D1439" s="3">
        <v>12373.61</v>
      </c>
      <c r="E1439" s="3">
        <v>13102593.85</v>
      </c>
      <c r="F1439" s="1" t="s">
        <v>3065</v>
      </c>
      <c r="G1439"/>
      <c r="H1439"/>
      <c r="I1439" s="19">
        <f>-IFERROR(VLOOKUP(C1439,SIRCUPA!$A$21:$H$221,8,0),0)</f>
        <v>0</v>
      </c>
      <c r="J1439" s="86">
        <f>-IFERROR(VLOOKUP(C1439,SIRTAC!$A$16:$H$1458,8,0),0)</f>
        <v>-127</v>
      </c>
      <c r="K1439" s="86">
        <f>-IFERROR(VLOOKUP(C1439,Gastos!$A$9:$J$1451,10,0),0)</f>
        <v>-123.19</v>
      </c>
      <c r="L1439" s="86">
        <f>-IFERROR(VLOOKUP(C1439,IDC!$A$20:$H$1763,8,0),0)</f>
        <v>-76.2</v>
      </c>
      <c r="M1439" s="95">
        <f t="shared" si="46"/>
        <v>12700.000000000002</v>
      </c>
      <c r="O1439" s="1"/>
    </row>
    <row r="1440" spans="1:15" hidden="1">
      <c r="A1440" s="1" t="s">
        <v>1523</v>
      </c>
      <c r="B1440" s="1" t="s">
        <v>15</v>
      </c>
      <c r="C1440" s="71">
        <v>131099953892</v>
      </c>
      <c r="D1440" s="3">
        <v>51443.040000000001</v>
      </c>
      <c r="E1440" s="3">
        <v>13154036.890000001</v>
      </c>
      <c r="F1440" s="1" t="s">
        <v>3065</v>
      </c>
      <c r="G1440"/>
      <c r="H1440"/>
      <c r="I1440" s="19">
        <f>-IFERROR(VLOOKUP(C1440,SIRCUPA!$A$21:$H$221,8,0),0)</f>
        <v>0</v>
      </c>
      <c r="J1440" s="86">
        <f>-IFERROR(VLOOKUP(C1440,SIRTAC!$A$16:$H$1458,8,0),0)</f>
        <v>-528</v>
      </c>
      <c r="K1440" s="86">
        <f>-IFERROR(VLOOKUP(C1440,Gastos!$A$9:$J$1451,10,0),0)</f>
        <v>-512.16</v>
      </c>
      <c r="L1440" s="86">
        <f>-IFERROR(VLOOKUP(C1440,IDC!$A$20:$H$1763,8,0),0)</f>
        <v>-316.8</v>
      </c>
      <c r="M1440" s="95">
        <f t="shared" si="46"/>
        <v>52800.000000000007</v>
      </c>
      <c r="O1440" s="1"/>
    </row>
    <row r="1441" spans="1:17" hidden="1">
      <c r="A1441" s="1" t="s">
        <v>1523</v>
      </c>
      <c r="B1441" s="1" t="s">
        <v>15</v>
      </c>
      <c r="C1441" s="71">
        <v>130513557473</v>
      </c>
      <c r="D1441" s="3">
        <v>57483.7</v>
      </c>
      <c r="E1441" s="3">
        <v>13211520.59</v>
      </c>
      <c r="F1441" s="1" t="s">
        <v>3065</v>
      </c>
      <c r="G1441"/>
      <c r="H1441"/>
      <c r="I1441" s="19">
        <f>-IFERROR(VLOOKUP(C1441,SIRCUPA!$A$21:$H$221,8,0),0)</f>
        <v>0</v>
      </c>
      <c r="J1441" s="86">
        <f>-IFERROR(VLOOKUP(C1441,SIRTAC!$A$16:$H$1458,8,0),0)</f>
        <v>-590</v>
      </c>
      <c r="K1441" s="86">
        <f>-IFERROR(VLOOKUP(C1441,Gastos!$A$9:$J$1451,10,0),0)</f>
        <v>-572.29999999999995</v>
      </c>
      <c r="L1441" s="86">
        <f>-IFERROR(VLOOKUP(C1441,IDC!$A$20:$H$1763,8,0),0)</f>
        <v>-354</v>
      </c>
      <c r="M1441" s="95">
        <f t="shared" si="46"/>
        <v>59000</v>
      </c>
      <c r="O1441" s="1"/>
    </row>
    <row r="1442" spans="1:17" s="67" customFormat="1" hidden="1">
      <c r="A1442" s="67" t="s">
        <v>1742</v>
      </c>
      <c r="B1442" s="67" t="s">
        <v>51</v>
      </c>
      <c r="C1442" s="75">
        <v>130866917027</v>
      </c>
      <c r="D1442" s="68">
        <v>-1525.96</v>
      </c>
      <c r="E1442" s="3">
        <v>15647080.16</v>
      </c>
      <c r="F1442" s="67" t="s">
        <v>3062</v>
      </c>
      <c r="G1442" s="69">
        <f>+D1442/0.006</f>
        <v>-254326.66666666666</v>
      </c>
      <c r="H1442" s="69"/>
      <c r="I1442" s="69">
        <f>-IFERROR(VLOOKUP(C1442,SIRCUPA!$A$21:$H$221,8,0),0)</f>
        <v>0</v>
      </c>
      <c r="J1442" s="69">
        <f>-IFERROR(VLOOKUP(C1442,SIRTAC!$A$16:$H$1458,8,0),0)</f>
        <v>0</v>
      </c>
      <c r="K1442" s="69">
        <f>-IFERROR(VLOOKUP(C1442,Gastos!$A$9:$J$1451,10,0),0)</f>
        <v>0</v>
      </c>
      <c r="L1442" s="69"/>
      <c r="M1442" s="96">
        <f>+D1442</f>
        <v>-1525.96</v>
      </c>
      <c r="P1442" s="19"/>
      <c r="Q1442" s="19"/>
    </row>
    <row r="1443" spans="1:17" s="67" customFormat="1" hidden="1">
      <c r="A1443" s="67" t="s">
        <v>1742</v>
      </c>
      <c r="B1443" s="67" t="s">
        <v>55</v>
      </c>
      <c r="C1443" s="75">
        <v>130866917027</v>
      </c>
      <c r="D1443" s="68">
        <v>-254327</v>
      </c>
      <c r="E1443" s="3">
        <v>15648606.119999999</v>
      </c>
      <c r="F1443" s="67" t="s">
        <v>3066</v>
      </c>
      <c r="G1443" s="69">
        <f>+D1443/1.006</f>
        <v>-252810.13916500992</v>
      </c>
      <c r="H1443" s="69">
        <f>+D1443-G1443</f>
        <v>-1516.8608349900751</v>
      </c>
      <c r="I1443" s="69">
        <f>-IFERROR(VLOOKUP(C1443,SIRCUPA!$A$21:$H$221,8,0),0)</f>
        <v>0</v>
      </c>
      <c r="J1443" s="69">
        <f>-IFERROR(VLOOKUP(C1443,SIRTAC!$A$16:$H$1458,8,0),0)</f>
        <v>0</v>
      </c>
      <c r="K1443" s="69">
        <f>-IFERROR(VLOOKUP(C1443,Gastos!$A$9:$J$1451,10,0),0)</f>
        <v>0</v>
      </c>
      <c r="L1443" s="69">
        <f>-IFERROR(VLOOKUP(C1443,IDC!$A$20:$H$1763,8,0),0)</f>
        <v>-1525.96</v>
      </c>
      <c r="M1443" s="96">
        <f>+D1443</f>
        <v>-254327</v>
      </c>
      <c r="P1443" s="19"/>
      <c r="Q1443" s="19"/>
    </row>
    <row r="1444" spans="1:17" s="67" customFormat="1" hidden="1">
      <c r="A1444" s="67" t="s">
        <v>1742</v>
      </c>
      <c r="B1444" s="67" t="s">
        <v>51</v>
      </c>
      <c r="C1444" s="75">
        <v>130874468153</v>
      </c>
      <c r="D1444" s="70">
        <v>-154.01</v>
      </c>
      <c r="E1444" s="3">
        <v>15621258.15</v>
      </c>
      <c r="F1444" s="67" t="s">
        <v>3062</v>
      </c>
      <c r="G1444" s="69">
        <f>+D1444/0.006</f>
        <v>-25668.333333333332</v>
      </c>
      <c r="H1444" s="69"/>
      <c r="I1444" s="69">
        <f>-IFERROR(VLOOKUP(C1444,SIRCUPA!$A$21:$H$221,8,0),0)</f>
        <v>0</v>
      </c>
      <c r="J1444" s="69">
        <f>-IFERROR(VLOOKUP(C1444,SIRTAC!$A$16:$H$1458,8,0),0)</f>
        <v>0</v>
      </c>
      <c r="K1444" s="69">
        <f>-IFERROR(VLOOKUP(C1444,Gastos!$A$9:$J$1451,10,0),0)</f>
        <v>0</v>
      </c>
      <c r="L1444" s="69"/>
      <c r="M1444" s="96">
        <f>+D1444</f>
        <v>-154.01</v>
      </c>
      <c r="P1444" s="19"/>
      <c r="Q1444" s="19"/>
    </row>
    <row r="1445" spans="1:17" s="67" customFormat="1" hidden="1">
      <c r="A1445" s="67" t="s">
        <v>1742</v>
      </c>
      <c r="B1445" s="67" t="s">
        <v>1761</v>
      </c>
      <c r="C1445" s="75">
        <v>130874468153</v>
      </c>
      <c r="D1445" s="68">
        <v>-25668</v>
      </c>
      <c r="E1445" s="3">
        <v>15621412.16</v>
      </c>
      <c r="F1445" s="67" t="s">
        <v>3066</v>
      </c>
      <c r="G1445" s="69">
        <f>+D1445/1.006</f>
        <v>-25514.910536779324</v>
      </c>
      <c r="H1445" s="69">
        <f>+D1445-G1445</f>
        <v>-153.08946322067641</v>
      </c>
      <c r="I1445" s="69">
        <f>-IFERROR(VLOOKUP(C1445,SIRCUPA!$A$21:$H$221,8,0),0)</f>
        <v>0</v>
      </c>
      <c r="J1445" s="69">
        <f>-IFERROR(VLOOKUP(C1445,SIRTAC!$A$16:$H$1458,8,0),0)</f>
        <v>0</v>
      </c>
      <c r="K1445" s="69">
        <f>-IFERROR(VLOOKUP(C1445,Gastos!$A$9:$J$1451,10,0),0)</f>
        <v>0</v>
      </c>
      <c r="L1445" s="69">
        <f>-IFERROR(VLOOKUP(C1445,IDC!$A$20:$H$1763,8,0),0)</f>
        <v>-154.01</v>
      </c>
      <c r="M1445" s="96">
        <f>+D1445</f>
        <v>-25668</v>
      </c>
      <c r="P1445" s="19"/>
      <c r="Q1445" s="19"/>
    </row>
    <row r="1446" spans="1:17" hidden="1">
      <c r="A1446" s="1" t="s">
        <v>1523</v>
      </c>
      <c r="B1446" s="1" t="s">
        <v>15</v>
      </c>
      <c r="C1446" s="71">
        <v>131188487220</v>
      </c>
      <c r="D1446" s="3">
        <v>12764.96</v>
      </c>
      <c r="E1446" s="3">
        <v>12892147.109999999</v>
      </c>
      <c r="F1446" s="1" t="s">
        <v>3065</v>
      </c>
      <c r="G1446"/>
      <c r="H1446"/>
      <c r="I1446" s="19">
        <f>-IFERROR(VLOOKUP(C1446,SIRCUPA!$A$21:$H$221,8,0),0)</f>
        <v>0</v>
      </c>
      <c r="J1446" s="86">
        <f>-IFERROR(VLOOKUP(C1446,SIRTAC!$A$16:$H$1458,8,0),0)</f>
        <v>-136</v>
      </c>
      <c r="K1446" s="86">
        <f>-IFERROR(VLOOKUP(C1446,Gastos!$A$9:$J$1451,10,0),0)</f>
        <v>-617.44000000000005</v>
      </c>
      <c r="L1446" s="86">
        <f>-IFERROR(VLOOKUP(C1446,IDC!$A$20:$H$1763,8,0),0)</f>
        <v>-81.599999999999994</v>
      </c>
      <c r="M1446" s="95">
        <f t="shared" ref="M1446:M1477" si="47">+D1446-I1446-J1446-K1446-L1446</f>
        <v>13600</v>
      </c>
      <c r="O1446" s="1"/>
    </row>
    <row r="1447" spans="1:17" hidden="1">
      <c r="A1447" s="1" t="s">
        <v>1523</v>
      </c>
      <c r="B1447" s="1" t="s">
        <v>15</v>
      </c>
      <c r="C1447" s="71">
        <v>131204235834</v>
      </c>
      <c r="D1447" s="3">
        <v>9353.2800000000007</v>
      </c>
      <c r="E1447" s="3">
        <v>12901500.390000001</v>
      </c>
      <c r="F1447" s="1" t="s">
        <v>3065</v>
      </c>
      <c r="G1447"/>
      <c r="H1447"/>
      <c r="I1447" s="19">
        <f>-IFERROR(VLOOKUP(C1447,SIRCUPA!$A$21:$H$221,8,0),0)</f>
        <v>0</v>
      </c>
      <c r="J1447" s="86">
        <f>-IFERROR(VLOOKUP(C1447,SIRTAC!$A$16:$H$1458,8,0),0)</f>
        <v>-96</v>
      </c>
      <c r="K1447" s="86">
        <f>-IFERROR(VLOOKUP(C1447,Gastos!$A$9:$J$1451,10,0),0)</f>
        <v>-93.12</v>
      </c>
      <c r="L1447" s="86">
        <f>-IFERROR(VLOOKUP(C1447,IDC!$A$20:$H$1763,8,0),0)</f>
        <v>-57.6</v>
      </c>
      <c r="M1447" s="95">
        <f t="shared" si="47"/>
        <v>9600.0000000000018</v>
      </c>
      <c r="O1447" s="1"/>
    </row>
    <row r="1448" spans="1:17" hidden="1">
      <c r="A1448" s="1" t="s">
        <v>1523</v>
      </c>
      <c r="B1448" s="1" t="s">
        <v>1613</v>
      </c>
      <c r="C1448" s="71">
        <v>130617378717</v>
      </c>
      <c r="D1448" s="3">
        <v>1409.76</v>
      </c>
      <c r="E1448" s="3">
        <v>12902910.15</v>
      </c>
      <c r="F1448" s="1" t="s">
        <v>3065</v>
      </c>
      <c r="G1448"/>
      <c r="H1448"/>
      <c r="I1448" s="19">
        <f>-IFERROR(VLOOKUP(C1448,SIRCUPA!$A$21:$H$221,8,0),0)</f>
        <v>-21.6</v>
      </c>
      <c r="J1448" s="86">
        <f>-IFERROR(VLOOKUP(C1448,SIRTAC!$A$16:$H$1458,8,0),0)</f>
        <v>0</v>
      </c>
      <c r="K1448" s="86">
        <f>-IFERROR(VLOOKUP(C1448,Gastos!$A$9:$J$1451,10,0),0)</f>
        <v>0</v>
      </c>
      <c r="L1448" s="86">
        <f>-IFERROR(VLOOKUP(C1448,IDC!$A$20:$H$1763,8,0),0)</f>
        <v>-8.64</v>
      </c>
      <c r="M1448" s="95">
        <f t="shared" si="47"/>
        <v>1440</v>
      </c>
      <c r="O1448" s="1"/>
    </row>
    <row r="1449" spans="1:17" hidden="1">
      <c r="A1449" s="1" t="s">
        <v>1523</v>
      </c>
      <c r="B1449" s="1" t="s">
        <v>15</v>
      </c>
      <c r="C1449" s="71">
        <v>131207745972</v>
      </c>
      <c r="D1449" s="3">
        <v>4676.6400000000003</v>
      </c>
      <c r="E1449" s="3">
        <v>12907586.789999999</v>
      </c>
      <c r="F1449" s="1" t="s">
        <v>3065</v>
      </c>
      <c r="G1449"/>
      <c r="H1449"/>
      <c r="I1449" s="19">
        <f>-IFERROR(VLOOKUP(C1449,SIRCUPA!$A$21:$H$221,8,0),0)</f>
        <v>0</v>
      </c>
      <c r="J1449" s="86">
        <f>-IFERROR(VLOOKUP(C1449,SIRTAC!$A$16:$H$1458,8,0),0)</f>
        <v>-48</v>
      </c>
      <c r="K1449" s="86">
        <f>-IFERROR(VLOOKUP(C1449,Gastos!$A$9:$J$1451,10,0),0)</f>
        <v>-46.56</v>
      </c>
      <c r="L1449" s="86">
        <f>-IFERROR(VLOOKUP(C1449,IDC!$A$20:$H$1763,8,0),0)</f>
        <v>-28.8</v>
      </c>
      <c r="M1449" s="95">
        <f t="shared" si="47"/>
        <v>4800.0000000000009</v>
      </c>
      <c r="O1449" s="1"/>
    </row>
    <row r="1450" spans="1:17" hidden="1">
      <c r="A1450" s="1" t="s">
        <v>1523</v>
      </c>
      <c r="B1450" s="1" t="s">
        <v>15</v>
      </c>
      <c r="C1450" s="71">
        <v>131207941346</v>
      </c>
      <c r="D1450" s="3">
        <v>11399.31</v>
      </c>
      <c r="E1450" s="3">
        <v>12918986.1</v>
      </c>
      <c r="F1450" s="1" t="s">
        <v>3065</v>
      </c>
      <c r="G1450"/>
      <c r="H1450"/>
      <c r="I1450" s="19">
        <f>-IFERROR(VLOOKUP(C1450,SIRCUPA!$A$21:$H$221,8,0),0)</f>
        <v>0</v>
      </c>
      <c r="J1450" s="86">
        <f>-IFERROR(VLOOKUP(C1450,SIRTAC!$A$16:$H$1458,8,0),0)</f>
        <v>-117</v>
      </c>
      <c r="K1450" s="86">
        <f>-IFERROR(VLOOKUP(C1450,Gastos!$A$9:$J$1451,10,0),0)</f>
        <v>-113.49</v>
      </c>
      <c r="L1450" s="86">
        <f>-IFERROR(VLOOKUP(C1450,IDC!$A$20:$H$1763,8,0),0)</f>
        <v>-70.2</v>
      </c>
      <c r="M1450" s="95">
        <f t="shared" si="47"/>
        <v>11700</v>
      </c>
      <c r="O1450" s="1"/>
    </row>
    <row r="1451" spans="1:17" hidden="1">
      <c r="A1451" s="1" t="s">
        <v>1523</v>
      </c>
      <c r="B1451" s="1" t="s">
        <v>499</v>
      </c>
      <c r="C1451" s="71">
        <v>131207877872</v>
      </c>
      <c r="D1451" s="2">
        <v>572.71</v>
      </c>
      <c r="E1451" s="3">
        <v>12919558.810000001</v>
      </c>
      <c r="F1451" s="1" t="s">
        <v>3065</v>
      </c>
      <c r="G1451"/>
      <c r="H1451"/>
      <c r="I1451" s="19">
        <f>-IFERROR(VLOOKUP(C1451,SIRCUPA!$A$21:$H$221,8,0),0)</f>
        <v>-8.7799999999999994</v>
      </c>
      <c r="J1451" s="86">
        <f>-IFERROR(VLOOKUP(C1451,SIRTAC!$A$16:$H$1458,8,0),0)</f>
        <v>0</v>
      </c>
      <c r="K1451" s="86">
        <f>-IFERROR(VLOOKUP(C1451,Gastos!$A$9:$J$1451,10,0),0)</f>
        <v>0</v>
      </c>
      <c r="L1451" s="86">
        <f>-IFERROR(VLOOKUP(C1451,IDC!$A$20:$H$1763,8,0),0)</f>
        <v>-3.51</v>
      </c>
      <c r="M1451" s="95">
        <f t="shared" si="47"/>
        <v>585</v>
      </c>
      <c r="O1451" s="1"/>
    </row>
    <row r="1452" spans="1:17" hidden="1">
      <c r="A1452" s="1" t="s">
        <v>1523</v>
      </c>
      <c r="B1452" s="1" t="s">
        <v>15</v>
      </c>
      <c r="C1452" s="71">
        <v>130623777749</v>
      </c>
      <c r="D1452" s="3">
        <v>9353.2800000000007</v>
      </c>
      <c r="E1452" s="3">
        <v>12928912.09</v>
      </c>
      <c r="F1452" s="1" t="s">
        <v>3065</v>
      </c>
      <c r="G1452"/>
      <c r="H1452"/>
      <c r="I1452" s="19">
        <f>-IFERROR(VLOOKUP(C1452,SIRCUPA!$A$21:$H$221,8,0),0)</f>
        <v>0</v>
      </c>
      <c r="J1452" s="86">
        <f>-IFERROR(VLOOKUP(C1452,SIRTAC!$A$16:$H$1458,8,0),0)</f>
        <v>-96</v>
      </c>
      <c r="K1452" s="86">
        <f>-IFERROR(VLOOKUP(C1452,Gastos!$A$9:$J$1451,10,0),0)</f>
        <v>-93.12</v>
      </c>
      <c r="L1452" s="86">
        <f>-IFERROR(VLOOKUP(C1452,IDC!$A$20:$H$1763,8,0),0)</f>
        <v>-57.6</v>
      </c>
      <c r="M1452" s="95">
        <f t="shared" si="47"/>
        <v>9600.0000000000018</v>
      </c>
      <c r="O1452" s="1"/>
    </row>
    <row r="1453" spans="1:17" hidden="1">
      <c r="A1453" s="1" t="s">
        <v>1523</v>
      </c>
      <c r="B1453" s="1" t="s">
        <v>15</v>
      </c>
      <c r="C1453" s="71">
        <v>130624176389</v>
      </c>
      <c r="D1453" s="3">
        <v>9353.2800000000007</v>
      </c>
      <c r="E1453" s="3">
        <v>12938265.369999999</v>
      </c>
      <c r="F1453" s="1" t="s">
        <v>3065</v>
      </c>
      <c r="G1453"/>
      <c r="H1453"/>
      <c r="I1453" s="19">
        <f>-IFERROR(VLOOKUP(C1453,SIRCUPA!$A$21:$H$221,8,0),0)</f>
        <v>0</v>
      </c>
      <c r="J1453" s="86">
        <f>-IFERROR(VLOOKUP(C1453,SIRTAC!$A$16:$H$1458,8,0),0)</f>
        <v>-96</v>
      </c>
      <c r="K1453" s="86">
        <f>-IFERROR(VLOOKUP(C1453,Gastos!$A$9:$J$1451,10,0),0)</f>
        <v>-93.12</v>
      </c>
      <c r="L1453" s="86">
        <f>-IFERROR(VLOOKUP(C1453,IDC!$A$20:$H$1763,8,0),0)</f>
        <v>-57.6</v>
      </c>
      <c r="M1453" s="95">
        <f t="shared" si="47"/>
        <v>9600.0000000000018</v>
      </c>
      <c r="O1453" s="1"/>
    </row>
    <row r="1454" spans="1:17" hidden="1">
      <c r="A1454" s="1" t="s">
        <v>1523</v>
      </c>
      <c r="B1454" s="1" t="s">
        <v>15</v>
      </c>
      <c r="C1454" s="71">
        <v>130624345861</v>
      </c>
      <c r="D1454" s="3">
        <v>20216.580000000002</v>
      </c>
      <c r="E1454" s="3">
        <v>12958481.949999999</v>
      </c>
      <c r="F1454" s="1" t="s">
        <v>3065</v>
      </c>
      <c r="G1454"/>
      <c r="H1454"/>
      <c r="I1454" s="19">
        <f>-IFERROR(VLOOKUP(C1454,SIRCUPA!$A$21:$H$221,8,0),0)</f>
        <v>0</v>
      </c>
      <c r="J1454" s="86">
        <f>-IFERROR(VLOOKUP(C1454,SIRTAC!$A$16:$H$1458,8,0),0)</f>
        <v>-214</v>
      </c>
      <c r="K1454" s="86">
        <f>-IFERROR(VLOOKUP(C1454,Gastos!$A$9:$J$1451,10,0),0)</f>
        <v>-841.02</v>
      </c>
      <c r="L1454" s="86">
        <f>-IFERROR(VLOOKUP(C1454,IDC!$A$20:$H$1763,8,0),0)</f>
        <v>-128.4</v>
      </c>
      <c r="M1454" s="95">
        <f t="shared" si="47"/>
        <v>21400.000000000004</v>
      </c>
      <c r="O1454" s="1"/>
    </row>
    <row r="1455" spans="1:17" hidden="1">
      <c r="A1455" s="1" t="s">
        <v>1523</v>
      </c>
      <c r="B1455" s="1" t="s">
        <v>15</v>
      </c>
      <c r="C1455" s="71">
        <v>131212377844</v>
      </c>
      <c r="D1455" s="3">
        <v>41797.47</v>
      </c>
      <c r="E1455" s="3">
        <v>13000279.42</v>
      </c>
      <c r="F1455" s="1" t="s">
        <v>3065</v>
      </c>
      <c r="G1455"/>
      <c r="H1455"/>
      <c r="I1455" s="19">
        <f>-IFERROR(VLOOKUP(C1455,SIRCUPA!$A$21:$H$221,8,0),0)</f>
        <v>0</v>
      </c>
      <c r="J1455" s="86">
        <f>-IFERROR(VLOOKUP(C1455,SIRTAC!$A$16:$H$1458,8,0),0)</f>
        <v>-429</v>
      </c>
      <c r="K1455" s="86">
        <f>-IFERROR(VLOOKUP(C1455,Gastos!$A$9:$J$1451,10,0),0)</f>
        <v>-416.13</v>
      </c>
      <c r="L1455" s="86">
        <f>-IFERROR(VLOOKUP(C1455,IDC!$A$20:$H$1763,8,0),0)</f>
        <v>-257.39999999999998</v>
      </c>
      <c r="M1455" s="95">
        <f t="shared" si="47"/>
        <v>42900</v>
      </c>
      <c r="O1455" s="1"/>
    </row>
    <row r="1456" spans="1:17" hidden="1">
      <c r="A1456" s="1" t="s">
        <v>1523</v>
      </c>
      <c r="B1456" s="1" t="s">
        <v>15</v>
      </c>
      <c r="C1456" s="71">
        <v>131213004572</v>
      </c>
      <c r="D1456" s="3">
        <v>4676.6400000000003</v>
      </c>
      <c r="E1456" s="3">
        <v>13004956.060000001</v>
      </c>
      <c r="F1456" s="1" t="s">
        <v>3065</v>
      </c>
      <c r="G1456"/>
      <c r="H1456"/>
      <c r="I1456" s="19">
        <f>-IFERROR(VLOOKUP(C1456,SIRCUPA!$A$21:$H$221,8,0),0)</f>
        <v>0</v>
      </c>
      <c r="J1456" s="86">
        <f>-IFERROR(VLOOKUP(C1456,SIRTAC!$A$16:$H$1458,8,0),0)</f>
        <v>-48</v>
      </c>
      <c r="K1456" s="86">
        <f>-IFERROR(VLOOKUP(C1456,Gastos!$A$9:$J$1451,10,0),0)</f>
        <v>-46.56</v>
      </c>
      <c r="L1456" s="86">
        <f>-IFERROR(VLOOKUP(C1456,IDC!$A$20:$H$1763,8,0),0)</f>
        <v>-28.8</v>
      </c>
      <c r="M1456" s="95">
        <f t="shared" si="47"/>
        <v>4800.0000000000009</v>
      </c>
      <c r="O1456" s="1"/>
    </row>
    <row r="1457" spans="1:18" hidden="1">
      <c r="A1457" s="6" t="s">
        <v>1523</v>
      </c>
      <c r="B1457" s="6" t="s">
        <v>15</v>
      </c>
      <c r="C1457" s="74">
        <v>130626395735</v>
      </c>
      <c r="D1457" s="31">
        <v>89337.68</v>
      </c>
      <c r="E1457" s="3">
        <v>13094293.74</v>
      </c>
      <c r="F1457" s="6" t="s">
        <v>3065</v>
      </c>
      <c r="G1457" s="6"/>
      <c r="H1457" s="6"/>
      <c r="I1457" s="22">
        <f>-IFERROR(VLOOKUP(C1457,SIRCUPA!$A$21:$H$221,8,0),0)</f>
        <v>0</v>
      </c>
      <c r="J1457" s="87">
        <f>-IFERROR(VLOOKUP(C1457,SIRTAC!$A$16:$H$1458,8,0),0)</f>
        <v>-948.2</v>
      </c>
      <c r="K1457" s="87">
        <f>-IFERROR(VLOOKUP(C1457,Gastos!$A$9:$J$1451,10,0),0)</f>
        <v>-3913.48</v>
      </c>
      <c r="L1457" s="87">
        <f>-IFERROR(VLOOKUP(C1457,IDC!$A$20:$H$1763,8,0),0)</f>
        <v>-620.64</v>
      </c>
      <c r="M1457" s="95">
        <f t="shared" si="47"/>
        <v>94819.999999999985</v>
      </c>
      <c r="N1457" s="6"/>
      <c r="O1457" s="6"/>
      <c r="R1457" s="6"/>
    </row>
    <row r="1458" spans="1:18" hidden="1">
      <c r="A1458" s="1" t="s">
        <v>1523</v>
      </c>
      <c r="B1458" s="1" t="s">
        <v>15</v>
      </c>
      <c r="C1458" s="71">
        <v>130626570147</v>
      </c>
      <c r="D1458" s="3">
        <v>4534.5600000000004</v>
      </c>
      <c r="E1458" s="3">
        <v>13098828.300000001</v>
      </c>
      <c r="F1458" s="1" t="s">
        <v>3065</v>
      </c>
      <c r="G1458"/>
      <c r="H1458"/>
      <c r="I1458" s="19">
        <f>-IFERROR(VLOOKUP(C1458,SIRCUPA!$A$21:$H$221,8,0),0)</f>
        <v>0</v>
      </c>
      <c r="J1458" s="86">
        <f>-IFERROR(VLOOKUP(C1458,SIRTAC!$A$16:$H$1458,8,0),0)</f>
        <v>-48</v>
      </c>
      <c r="K1458" s="86">
        <f>-IFERROR(VLOOKUP(C1458,Gastos!$A$9:$J$1451,10,0),0)</f>
        <v>-188.64</v>
      </c>
      <c r="L1458" s="86">
        <f>-IFERROR(VLOOKUP(C1458,IDC!$A$20:$H$1763,8,0),0)</f>
        <v>-28.8</v>
      </c>
      <c r="M1458" s="95">
        <f t="shared" si="47"/>
        <v>4800.0000000000009</v>
      </c>
      <c r="O1458" s="1"/>
    </row>
    <row r="1459" spans="1:18" hidden="1">
      <c r="A1459" s="1" t="s">
        <v>1523</v>
      </c>
      <c r="B1459" s="1" t="s">
        <v>15</v>
      </c>
      <c r="C1459" s="71">
        <v>131215483074</v>
      </c>
      <c r="D1459" s="3">
        <v>9548.14</v>
      </c>
      <c r="E1459" s="3">
        <v>13108376.439999999</v>
      </c>
      <c r="F1459" s="1" t="s">
        <v>3065</v>
      </c>
      <c r="G1459"/>
      <c r="H1459"/>
      <c r="I1459" s="19">
        <f>-IFERROR(VLOOKUP(C1459,SIRCUPA!$A$21:$H$221,8,0),0)</f>
        <v>0</v>
      </c>
      <c r="J1459" s="86">
        <f>-IFERROR(VLOOKUP(C1459,SIRTAC!$A$16:$H$1458,8,0),0)</f>
        <v>-98</v>
      </c>
      <c r="K1459" s="86">
        <f>-IFERROR(VLOOKUP(C1459,Gastos!$A$9:$J$1451,10,0),0)</f>
        <v>-95.06</v>
      </c>
      <c r="L1459" s="86">
        <f>-IFERROR(VLOOKUP(C1459,IDC!$A$20:$H$1763,8,0),0)</f>
        <v>-58.8</v>
      </c>
      <c r="M1459" s="95">
        <f t="shared" si="47"/>
        <v>9799.9999999999982</v>
      </c>
      <c r="O1459" s="1"/>
    </row>
    <row r="1460" spans="1:18" hidden="1">
      <c r="A1460" s="1" t="s">
        <v>1523</v>
      </c>
      <c r="B1460" s="1" t="s">
        <v>15</v>
      </c>
      <c r="C1460" s="71">
        <v>131220424334</v>
      </c>
      <c r="D1460" s="3">
        <v>8768.7000000000007</v>
      </c>
      <c r="E1460" s="3">
        <v>13117145.140000001</v>
      </c>
      <c r="F1460" s="1" t="s">
        <v>3065</v>
      </c>
      <c r="G1460"/>
      <c r="H1460"/>
      <c r="I1460" s="19">
        <f>-IFERROR(VLOOKUP(C1460,SIRCUPA!$A$21:$H$221,8,0),0)</f>
        <v>0</v>
      </c>
      <c r="J1460" s="86">
        <f>-IFERROR(VLOOKUP(C1460,SIRTAC!$A$16:$H$1458,8,0),0)</f>
        <v>-90</v>
      </c>
      <c r="K1460" s="86">
        <f>-IFERROR(VLOOKUP(C1460,Gastos!$A$9:$J$1451,10,0),0)</f>
        <v>-87.3</v>
      </c>
      <c r="L1460" s="86">
        <f>-IFERROR(VLOOKUP(C1460,IDC!$A$20:$H$1763,8,0),0)</f>
        <v>-54</v>
      </c>
      <c r="M1460" s="95">
        <f t="shared" si="47"/>
        <v>9000</v>
      </c>
      <c r="O1460" s="1"/>
    </row>
    <row r="1461" spans="1:18" hidden="1">
      <c r="A1461" s="1" t="s">
        <v>1523</v>
      </c>
      <c r="B1461" s="1" t="s">
        <v>15</v>
      </c>
      <c r="C1461" s="71">
        <v>131222097832</v>
      </c>
      <c r="D1461" s="3">
        <v>16910.13</v>
      </c>
      <c r="E1461" s="3">
        <v>13134055.27</v>
      </c>
      <c r="F1461" s="1" t="s">
        <v>3065</v>
      </c>
      <c r="G1461"/>
      <c r="H1461"/>
      <c r="I1461" s="19">
        <f>-IFERROR(VLOOKUP(C1461,SIRCUPA!$A$21:$H$221,8,0),0)</f>
        <v>0</v>
      </c>
      <c r="J1461" s="86">
        <f>-IFERROR(VLOOKUP(C1461,SIRTAC!$A$16:$H$1458,8,0),0)</f>
        <v>-179</v>
      </c>
      <c r="K1461" s="86">
        <f>-IFERROR(VLOOKUP(C1461,Gastos!$A$9:$J$1451,10,0),0)</f>
        <v>-703.47</v>
      </c>
      <c r="L1461" s="86">
        <f>-IFERROR(VLOOKUP(C1461,IDC!$A$20:$H$1763,8,0),0)</f>
        <v>-107.4</v>
      </c>
      <c r="M1461" s="95">
        <f t="shared" si="47"/>
        <v>17900.000000000004</v>
      </c>
      <c r="O1461" s="1"/>
    </row>
    <row r="1462" spans="1:18" hidden="1">
      <c r="A1462" s="1" t="s">
        <v>1523</v>
      </c>
      <c r="B1462" s="1" t="s">
        <v>15</v>
      </c>
      <c r="C1462" s="71">
        <v>130635351707</v>
      </c>
      <c r="D1462" s="3">
        <v>34764.959999999999</v>
      </c>
      <c r="E1462" s="3">
        <v>13168820.23</v>
      </c>
      <c r="F1462" s="1" t="s">
        <v>3065</v>
      </c>
      <c r="G1462"/>
      <c r="H1462"/>
      <c r="I1462" s="19">
        <f>-IFERROR(VLOOKUP(C1462,SIRCUPA!$A$21:$H$221,8,0),0)</f>
        <v>0</v>
      </c>
      <c r="J1462" s="86">
        <f>-IFERROR(VLOOKUP(C1462,SIRTAC!$A$16:$H$1458,8,0),0)</f>
        <v>-368</v>
      </c>
      <c r="K1462" s="86">
        <f>-IFERROR(VLOOKUP(C1462,Gastos!$A$9:$J$1451,10,0),0)</f>
        <v>-1446.24</v>
      </c>
      <c r="L1462" s="86">
        <f>-IFERROR(VLOOKUP(C1462,IDC!$A$20:$H$1763,8,0),0)</f>
        <v>-220.8</v>
      </c>
      <c r="M1462" s="95">
        <f t="shared" si="47"/>
        <v>36800</v>
      </c>
      <c r="O1462" s="1"/>
    </row>
    <row r="1463" spans="1:18" hidden="1">
      <c r="A1463" s="1" t="s">
        <v>1523</v>
      </c>
      <c r="B1463" s="1" t="s">
        <v>15</v>
      </c>
      <c r="C1463" s="71">
        <v>130635780689</v>
      </c>
      <c r="D1463" s="3">
        <v>4129.84</v>
      </c>
      <c r="E1463" s="3">
        <v>13172950.07</v>
      </c>
      <c r="F1463" s="1" t="s">
        <v>3065</v>
      </c>
      <c r="G1463"/>
      <c r="H1463"/>
      <c r="I1463" s="19">
        <f>-IFERROR(VLOOKUP(C1463,SIRCUPA!$A$21:$H$221,8,0),0)</f>
        <v>0</v>
      </c>
      <c r="J1463" s="86">
        <f>-IFERROR(VLOOKUP(C1463,SIRTAC!$A$16:$H$1458,8,0),0)</f>
        <v>-44</v>
      </c>
      <c r="K1463" s="86">
        <f>-IFERROR(VLOOKUP(C1463,Gastos!$A$9:$J$1451,10,0),0)</f>
        <v>-199.76</v>
      </c>
      <c r="L1463" s="86">
        <f>-IFERROR(VLOOKUP(C1463,IDC!$A$20:$H$1763,8,0),0)</f>
        <v>-26.4</v>
      </c>
      <c r="M1463" s="95">
        <f t="shared" si="47"/>
        <v>4400</v>
      </c>
      <c r="O1463" s="1"/>
    </row>
    <row r="1464" spans="1:18" hidden="1">
      <c r="A1464" s="1" t="s">
        <v>1630</v>
      </c>
      <c r="B1464" s="1" t="s">
        <v>15</v>
      </c>
      <c r="C1464" s="71">
        <v>131223611256</v>
      </c>
      <c r="D1464" s="3">
        <v>58360.57</v>
      </c>
      <c r="E1464" s="3">
        <v>13231310.640000001</v>
      </c>
      <c r="F1464" s="1" t="s">
        <v>3065</v>
      </c>
      <c r="G1464"/>
      <c r="H1464"/>
      <c r="I1464" s="19">
        <f>-IFERROR(VLOOKUP(C1464,SIRCUPA!$A$21:$H$221,8,0),0)</f>
        <v>0</v>
      </c>
      <c r="J1464" s="86">
        <f>-IFERROR(VLOOKUP(C1464,SIRTAC!$A$16:$H$1458,8,0),0)</f>
        <v>-599</v>
      </c>
      <c r="K1464" s="86">
        <f>-IFERROR(VLOOKUP(C1464,Gastos!$A$9:$J$1451,10,0),0)</f>
        <v>-581.03</v>
      </c>
      <c r="L1464" s="86">
        <f>-IFERROR(VLOOKUP(C1464,IDC!$A$20:$H$1763,8,0),0)</f>
        <v>-359.4</v>
      </c>
      <c r="M1464" s="95">
        <f t="shared" si="47"/>
        <v>59900</v>
      </c>
      <c r="O1464" s="1"/>
    </row>
    <row r="1465" spans="1:18" hidden="1">
      <c r="A1465" s="1" t="s">
        <v>1630</v>
      </c>
      <c r="B1465" s="1" t="s">
        <v>15</v>
      </c>
      <c r="C1465" s="71">
        <v>131224705868</v>
      </c>
      <c r="D1465" s="3">
        <v>4912.4399999999996</v>
      </c>
      <c r="E1465" s="3">
        <v>13236223.08</v>
      </c>
      <c r="F1465" s="1" t="s">
        <v>3065</v>
      </c>
      <c r="G1465"/>
      <c r="H1465"/>
      <c r="I1465" s="19">
        <f>-IFERROR(VLOOKUP(C1465,SIRCUPA!$A$21:$H$221,8,0),0)</f>
        <v>0</v>
      </c>
      <c r="J1465" s="86">
        <f>-IFERROR(VLOOKUP(C1465,SIRTAC!$A$16:$H$1458,8,0),0)</f>
        <v>-52</v>
      </c>
      <c r="K1465" s="86">
        <f>-IFERROR(VLOOKUP(C1465,Gastos!$A$9:$J$1451,10,0),0)</f>
        <v>-204.36</v>
      </c>
      <c r="L1465" s="86">
        <f>-IFERROR(VLOOKUP(C1465,IDC!$A$20:$H$1763,8,0),0)</f>
        <v>-31.2</v>
      </c>
      <c r="M1465" s="95">
        <f t="shared" si="47"/>
        <v>5199.9999999999991</v>
      </c>
      <c r="O1465" s="1"/>
    </row>
    <row r="1466" spans="1:18" hidden="1">
      <c r="A1466" s="1" t="s">
        <v>1630</v>
      </c>
      <c r="B1466" s="1" t="s">
        <v>15</v>
      </c>
      <c r="C1466" s="71">
        <v>131224829468</v>
      </c>
      <c r="D1466" s="3">
        <v>98501.73</v>
      </c>
      <c r="E1466" s="3">
        <v>13334724.810000001</v>
      </c>
      <c r="F1466" s="1" t="s">
        <v>3065</v>
      </c>
      <c r="G1466"/>
      <c r="H1466"/>
      <c r="I1466" s="19">
        <f>-IFERROR(VLOOKUP(C1466,SIRCUPA!$A$21:$H$221,8,0),0)</f>
        <v>0</v>
      </c>
      <c r="J1466" s="86">
        <f>-IFERROR(VLOOKUP(C1466,SIRTAC!$A$16:$H$1458,8,0),0)</f>
        <v>-1011</v>
      </c>
      <c r="K1466" s="86">
        <f>-IFERROR(VLOOKUP(C1466,Gastos!$A$9:$J$1451,10,0),0)</f>
        <v>-980.67</v>
      </c>
      <c r="L1466" s="86">
        <f>-IFERROR(VLOOKUP(C1466,IDC!$A$20:$H$1763,8,0),0)</f>
        <v>-606.6</v>
      </c>
      <c r="M1466" s="95">
        <f t="shared" si="47"/>
        <v>101100</v>
      </c>
      <c r="O1466" s="1"/>
    </row>
    <row r="1467" spans="1:18" hidden="1">
      <c r="A1467" s="1" t="s">
        <v>1630</v>
      </c>
      <c r="B1467" s="1" t="s">
        <v>15</v>
      </c>
      <c r="C1467" s="71">
        <v>130637902867</v>
      </c>
      <c r="D1467" s="3">
        <v>9450.7099999999991</v>
      </c>
      <c r="E1467" s="3">
        <v>13344175.52</v>
      </c>
      <c r="F1467" s="1" t="s">
        <v>3065</v>
      </c>
      <c r="G1467"/>
      <c r="H1467"/>
      <c r="I1467" s="19">
        <f>-IFERROR(VLOOKUP(C1467,SIRCUPA!$A$21:$H$221,8,0),0)</f>
        <v>0</v>
      </c>
      <c r="J1467" s="86">
        <f>-IFERROR(VLOOKUP(C1467,SIRTAC!$A$16:$H$1458,8,0),0)</f>
        <v>-97</v>
      </c>
      <c r="K1467" s="86">
        <f>-IFERROR(VLOOKUP(C1467,Gastos!$A$9:$J$1451,10,0),0)</f>
        <v>-94.09</v>
      </c>
      <c r="L1467" s="86">
        <f>-IFERROR(VLOOKUP(C1467,IDC!$A$20:$H$1763,8,0),0)</f>
        <v>-58.2</v>
      </c>
      <c r="M1467" s="95">
        <f t="shared" si="47"/>
        <v>9700</v>
      </c>
      <c r="O1467" s="1"/>
    </row>
    <row r="1468" spans="1:18" hidden="1">
      <c r="A1468" s="1" t="s">
        <v>1630</v>
      </c>
      <c r="B1468" s="1" t="s">
        <v>15</v>
      </c>
      <c r="C1468" s="71">
        <v>130639275959</v>
      </c>
      <c r="D1468" s="3">
        <v>45031.839999999997</v>
      </c>
      <c r="E1468" s="3">
        <v>13389207.359999999</v>
      </c>
      <c r="F1468" s="1" t="s">
        <v>3065</v>
      </c>
      <c r="G1468"/>
      <c r="H1468"/>
      <c r="I1468" s="19">
        <f>-IFERROR(VLOOKUP(C1468,SIRCUPA!$A$21:$H$221,8,0),0)</f>
        <v>0</v>
      </c>
      <c r="J1468" s="86">
        <f>-IFERROR(VLOOKUP(C1468,SIRTAC!$A$16:$H$1458,8,0),0)</f>
        <v>-496</v>
      </c>
      <c r="K1468" s="86">
        <f>-IFERROR(VLOOKUP(C1468,Gastos!$A$9:$J$1451,10,0),0)</f>
        <v>-3774.56</v>
      </c>
      <c r="L1468" s="86">
        <f>-IFERROR(VLOOKUP(C1468,IDC!$A$20:$H$1763,8,0),0)</f>
        <v>-297.60000000000002</v>
      </c>
      <c r="M1468" s="95">
        <f t="shared" si="47"/>
        <v>49599.999999999993</v>
      </c>
      <c r="O1468" s="1"/>
    </row>
    <row r="1469" spans="1:18" hidden="1">
      <c r="A1469" s="1" t="s">
        <v>1630</v>
      </c>
      <c r="B1469" s="1" t="s">
        <v>15</v>
      </c>
      <c r="C1469" s="71">
        <v>130640359985</v>
      </c>
      <c r="D1469" s="3">
        <v>42382.05</v>
      </c>
      <c r="E1469" s="3">
        <v>13431589.41</v>
      </c>
      <c r="F1469" s="1" t="s">
        <v>3065</v>
      </c>
      <c r="G1469"/>
      <c r="H1469"/>
      <c r="I1469" s="19">
        <f>-IFERROR(VLOOKUP(C1469,SIRCUPA!$A$21:$H$221,8,0),0)</f>
        <v>0</v>
      </c>
      <c r="J1469" s="86">
        <f>-IFERROR(VLOOKUP(C1469,SIRTAC!$A$16:$H$1458,8,0),0)</f>
        <v>-435</v>
      </c>
      <c r="K1469" s="86">
        <f>-IFERROR(VLOOKUP(C1469,Gastos!$A$9:$J$1451,10,0),0)</f>
        <v>-421.95</v>
      </c>
      <c r="L1469" s="86">
        <f>-IFERROR(VLOOKUP(C1469,IDC!$A$20:$H$1763,8,0),0)</f>
        <v>-261</v>
      </c>
      <c r="M1469" s="95">
        <f t="shared" si="47"/>
        <v>43500</v>
      </c>
      <c r="O1469" s="1"/>
    </row>
    <row r="1470" spans="1:18" hidden="1">
      <c r="A1470" s="1" t="s">
        <v>1630</v>
      </c>
      <c r="B1470" s="1" t="s">
        <v>15</v>
      </c>
      <c r="C1470" s="71">
        <v>130640958813</v>
      </c>
      <c r="D1470" s="3">
        <v>47740.7</v>
      </c>
      <c r="E1470" s="3">
        <v>13479330.109999999</v>
      </c>
      <c r="F1470" s="1" t="s">
        <v>3065</v>
      </c>
      <c r="G1470"/>
      <c r="H1470"/>
      <c r="I1470" s="19">
        <f>-IFERROR(VLOOKUP(C1470,SIRCUPA!$A$21:$H$221,8,0),0)</f>
        <v>0</v>
      </c>
      <c r="J1470" s="86">
        <f>-IFERROR(VLOOKUP(C1470,SIRTAC!$A$16:$H$1458,8,0),0)</f>
        <v>-490</v>
      </c>
      <c r="K1470" s="86">
        <f>-IFERROR(VLOOKUP(C1470,Gastos!$A$9:$J$1451,10,0),0)</f>
        <v>-475.3</v>
      </c>
      <c r="L1470" s="86">
        <f>-IFERROR(VLOOKUP(C1470,IDC!$A$20:$H$1763,8,0),0)</f>
        <v>-294</v>
      </c>
      <c r="M1470" s="95">
        <f t="shared" si="47"/>
        <v>49000</v>
      </c>
      <c r="O1470" s="1"/>
    </row>
    <row r="1471" spans="1:18" hidden="1">
      <c r="A1471" s="1" t="s">
        <v>1630</v>
      </c>
      <c r="B1471" s="1" t="s">
        <v>988</v>
      </c>
      <c r="C1471" s="71">
        <v>130640843819</v>
      </c>
      <c r="D1471" s="3">
        <v>4797.1000000000004</v>
      </c>
      <c r="E1471" s="3">
        <v>13484127.210000001</v>
      </c>
      <c r="F1471" s="1" t="s">
        <v>3065</v>
      </c>
      <c r="G1471"/>
      <c r="H1471"/>
      <c r="I1471" s="19">
        <f>-IFERROR(VLOOKUP(C1471,SIRCUPA!$A$21:$H$221,8,0),0)</f>
        <v>-73.5</v>
      </c>
      <c r="J1471" s="86">
        <f>-IFERROR(VLOOKUP(C1471,SIRTAC!$A$16:$H$1458,8,0),0)</f>
        <v>0</v>
      </c>
      <c r="K1471" s="86">
        <f>-IFERROR(VLOOKUP(C1471,Gastos!$A$9:$J$1451,10,0),0)</f>
        <v>0</v>
      </c>
      <c r="L1471" s="86">
        <f>-IFERROR(VLOOKUP(C1471,IDC!$A$20:$H$1763,8,0),0)</f>
        <v>-29.4</v>
      </c>
      <c r="M1471" s="95">
        <f t="shared" si="47"/>
        <v>4900</v>
      </c>
      <c r="O1471" s="1"/>
    </row>
    <row r="1472" spans="1:18" hidden="1">
      <c r="A1472" s="1" t="s">
        <v>1630</v>
      </c>
      <c r="B1472" s="1" t="s">
        <v>15</v>
      </c>
      <c r="C1472" s="71">
        <v>130641673553</v>
      </c>
      <c r="D1472" s="3">
        <v>17732.259999999998</v>
      </c>
      <c r="E1472" s="3">
        <v>13501859.470000001</v>
      </c>
      <c r="F1472" s="1" t="s">
        <v>3065</v>
      </c>
      <c r="G1472"/>
      <c r="H1472"/>
      <c r="I1472" s="19">
        <f>-IFERROR(VLOOKUP(C1472,SIRCUPA!$A$21:$H$221,8,0),0)</f>
        <v>0</v>
      </c>
      <c r="J1472" s="86">
        <f>-IFERROR(VLOOKUP(C1472,SIRTAC!$A$16:$H$1458,8,0),0)</f>
        <v>-182</v>
      </c>
      <c r="K1472" s="86">
        <f>-IFERROR(VLOOKUP(C1472,Gastos!$A$9:$J$1451,10,0),0)</f>
        <v>-176.54</v>
      </c>
      <c r="L1472" s="86">
        <f>-IFERROR(VLOOKUP(C1472,IDC!$A$20:$H$1763,8,0),0)</f>
        <v>-109.2</v>
      </c>
      <c r="M1472" s="95">
        <f t="shared" si="47"/>
        <v>18200</v>
      </c>
      <c r="O1472" s="1"/>
    </row>
    <row r="1473" spans="1:17" hidden="1">
      <c r="A1473" s="1" t="s">
        <v>1630</v>
      </c>
      <c r="B1473" s="1" t="s">
        <v>15</v>
      </c>
      <c r="C1473" s="71">
        <v>131229100860</v>
      </c>
      <c r="D1473" s="3">
        <v>8124.42</v>
      </c>
      <c r="E1473" s="3">
        <v>13509983.890000001</v>
      </c>
      <c r="F1473" s="1" t="s">
        <v>3065</v>
      </c>
      <c r="G1473"/>
      <c r="H1473"/>
      <c r="I1473" s="19">
        <f>-IFERROR(VLOOKUP(C1473,SIRCUPA!$A$21:$H$221,8,0),0)</f>
        <v>0</v>
      </c>
      <c r="J1473" s="86">
        <f>-IFERROR(VLOOKUP(C1473,SIRTAC!$A$16:$H$1458,8,0),0)</f>
        <v>-86</v>
      </c>
      <c r="K1473" s="86">
        <f>-IFERROR(VLOOKUP(C1473,Gastos!$A$9:$J$1451,10,0),0)</f>
        <v>-337.98</v>
      </c>
      <c r="L1473" s="86">
        <f>-IFERROR(VLOOKUP(C1473,IDC!$A$20:$H$1763,8,0),0)</f>
        <v>-51.6</v>
      </c>
      <c r="M1473" s="95">
        <f t="shared" si="47"/>
        <v>8600</v>
      </c>
      <c r="O1473" s="1"/>
    </row>
    <row r="1474" spans="1:17" hidden="1">
      <c r="A1474" s="1" t="s">
        <v>1630</v>
      </c>
      <c r="B1474" s="1" t="s">
        <v>15</v>
      </c>
      <c r="C1474" s="71">
        <v>131229851002</v>
      </c>
      <c r="D1474" s="3">
        <v>45986.96</v>
      </c>
      <c r="E1474" s="3">
        <v>13555970.85</v>
      </c>
      <c r="F1474" s="1" t="s">
        <v>3065</v>
      </c>
      <c r="G1474"/>
      <c r="H1474"/>
      <c r="I1474" s="19">
        <f>-IFERROR(VLOOKUP(C1474,SIRCUPA!$A$21:$H$221,8,0),0)</f>
        <v>0</v>
      </c>
      <c r="J1474" s="86">
        <f>-IFERROR(VLOOKUP(C1474,SIRTAC!$A$16:$H$1458,8,0),0)</f>
        <v>-472</v>
      </c>
      <c r="K1474" s="86">
        <f>-IFERROR(VLOOKUP(C1474,Gastos!$A$9:$J$1451,10,0),0)</f>
        <v>-457.84</v>
      </c>
      <c r="L1474" s="86">
        <f>-IFERROR(VLOOKUP(C1474,IDC!$A$20:$H$1763,8,0),0)</f>
        <v>-283.2</v>
      </c>
      <c r="M1474" s="95">
        <f t="shared" si="47"/>
        <v>47199.999999999993</v>
      </c>
      <c r="O1474" s="1"/>
    </row>
    <row r="1475" spans="1:17" hidden="1">
      <c r="A1475" s="1" t="s">
        <v>1630</v>
      </c>
      <c r="B1475" s="1" t="s">
        <v>15</v>
      </c>
      <c r="C1475" s="71">
        <v>130642704973</v>
      </c>
      <c r="D1475" s="3">
        <v>18706.560000000001</v>
      </c>
      <c r="E1475" s="3">
        <v>13574677.41</v>
      </c>
      <c r="F1475" s="1" t="s">
        <v>3065</v>
      </c>
      <c r="G1475"/>
      <c r="H1475"/>
      <c r="I1475" s="19">
        <f>-IFERROR(VLOOKUP(C1475,SIRCUPA!$A$21:$H$221,8,0),0)</f>
        <v>0</v>
      </c>
      <c r="J1475" s="86">
        <f>-IFERROR(VLOOKUP(C1475,SIRTAC!$A$16:$H$1458,8,0),0)</f>
        <v>-192</v>
      </c>
      <c r="K1475" s="86">
        <f>-IFERROR(VLOOKUP(C1475,Gastos!$A$9:$J$1451,10,0),0)</f>
        <v>-186.24</v>
      </c>
      <c r="L1475" s="86">
        <f>-IFERROR(VLOOKUP(C1475,IDC!$A$20:$H$1763,8,0),0)</f>
        <v>-115.2</v>
      </c>
      <c r="M1475" s="95">
        <f t="shared" si="47"/>
        <v>19200.000000000004</v>
      </c>
      <c r="O1475" s="1"/>
    </row>
    <row r="1476" spans="1:17" hidden="1">
      <c r="A1476" s="1" t="s">
        <v>1630</v>
      </c>
      <c r="B1476" s="1" t="s">
        <v>15</v>
      </c>
      <c r="C1476" s="71">
        <v>130642807553</v>
      </c>
      <c r="D1476" s="3">
        <v>28352.13</v>
      </c>
      <c r="E1476" s="3">
        <v>13603029.539999999</v>
      </c>
      <c r="F1476" s="1" t="s">
        <v>3065</v>
      </c>
      <c r="G1476"/>
      <c r="H1476"/>
      <c r="I1476" s="19">
        <f>-IFERROR(VLOOKUP(C1476,SIRCUPA!$A$21:$H$221,8,0),0)</f>
        <v>0</v>
      </c>
      <c r="J1476" s="86">
        <f>-IFERROR(VLOOKUP(C1476,SIRTAC!$A$16:$H$1458,8,0),0)</f>
        <v>-291</v>
      </c>
      <c r="K1476" s="86">
        <f>-IFERROR(VLOOKUP(C1476,Gastos!$A$9:$J$1451,10,0),0)</f>
        <v>-282.27</v>
      </c>
      <c r="L1476" s="86">
        <f>-IFERROR(VLOOKUP(C1476,IDC!$A$20:$H$1763,8,0),0)</f>
        <v>-174.6</v>
      </c>
      <c r="M1476" s="95">
        <f t="shared" si="47"/>
        <v>29100</v>
      </c>
      <c r="O1476" s="1"/>
    </row>
    <row r="1477" spans="1:17" hidden="1">
      <c r="A1477" s="1" t="s">
        <v>1630</v>
      </c>
      <c r="B1477" s="1" t="s">
        <v>1644</v>
      </c>
      <c r="C1477" s="71">
        <v>130642851035</v>
      </c>
      <c r="D1477" s="3">
        <v>2848.89</v>
      </c>
      <c r="E1477" s="3">
        <v>13605878.43</v>
      </c>
      <c r="F1477" s="1" t="s">
        <v>3065</v>
      </c>
      <c r="G1477"/>
      <c r="H1477"/>
      <c r="I1477" s="19">
        <f>-IFERROR(VLOOKUP(C1477,SIRCUPA!$A$21:$H$221,8,0),0)</f>
        <v>-43.65</v>
      </c>
      <c r="J1477" s="86">
        <f>-IFERROR(VLOOKUP(C1477,SIRTAC!$A$16:$H$1458,8,0),0)</f>
        <v>0</v>
      </c>
      <c r="K1477" s="86">
        <f>-IFERROR(VLOOKUP(C1477,Gastos!$A$9:$J$1451,10,0),0)</f>
        <v>0</v>
      </c>
      <c r="L1477" s="86">
        <f>-IFERROR(VLOOKUP(C1477,IDC!$A$20:$H$1763,8,0),0)</f>
        <v>-17.46</v>
      </c>
      <c r="M1477" s="95">
        <f t="shared" si="47"/>
        <v>2910</v>
      </c>
      <c r="O1477" s="1"/>
    </row>
    <row r="1478" spans="1:17" s="67" customFormat="1" hidden="1">
      <c r="A1478" s="67" t="s">
        <v>1400</v>
      </c>
      <c r="B1478" s="67" t="s">
        <v>51</v>
      </c>
      <c r="C1478" s="75">
        <v>130885539658</v>
      </c>
      <c r="D1478" s="68">
        <v>-6445.36</v>
      </c>
      <c r="E1478" s="3">
        <v>11286054.85</v>
      </c>
      <c r="F1478" s="67" t="s">
        <v>3062</v>
      </c>
      <c r="G1478" s="69">
        <f>+D1478/0.006</f>
        <v>-1074226.6666666665</v>
      </c>
      <c r="H1478" s="69"/>
      <c r="I1478" s="69">
        <f>-IFERROR(VLOOKUP(C1478,SIRCUPA!$A$21:$H$221,8,0),0)</f>
        <v>0</v>
      </c>
      <c r="J1478" s="69">
        <f>-IFERROR(VLOOKUP(C1478,SIRTAC!$A$16:$H$1458,8,0),0)</f>
        <v>0</v>
      </c>
      <c r="K1478" s="69">
        <f>-IFERROR(VLOOKUP(C1478,Gastos!$A$9:$J$1451,10,0),0)</f>
        <v>0</v>
      </c>
      <c r="L1478" s="69"/>
      <c r="M1478" s="96">
        <f>+D1478</f>
        <v>-6445.36</v>
      </c>
      <c r="P1478" s="19"/>
      <c r="Q1478" s="19"/>
    </row>
    <row r="1479" spans="1:17" s="67" customFormat="1" hidden="1">
      <c r="A1479" s="67" t="s">
        <v>1400</v>
      </c>
      <c r="B1479" s="67" t="s">
        <v>471</v>
      </c>
      <c r="C1479" s="75">
        <v>130885539658</v>
      </c>
      <c r="D1479" s="68">
        <v>-1074225.8999999999</v>
      </c>
      <c r="E1479" s="3">
        <v>11292500.210000001</v>
      </c>
      <c r="F1479" s="67" t="s">
        <v>3066</v>
      </c>
      <c r="G1479" s="69">
        <f>+D1479/1.006</f>
        <v>-1067818.9860834989</v>
      </c>
      <c r="H1479" s="69">
        <f>+D1479-G1479</f>
        <v>-6406.9139165009838</v>
      </c>
      <c r="I1479" s="69">
        <f>-IFERROR(VLOOKUP(C1479,SIRCUPA!$A$21:$H$221,8,0),0)</f>
        <v>0</v>
      </c>
      <c r="J1479" s="69">
        <f>-IFERROR(VLOOKUP(C1479,SIRTAC!$A$16:$H$1458,8,0),0)</f>
        <v>0</v>
      </c>
      <c r="K1479" s="69">
        <f>-IFERROR(VLOOKUP(C1479,Gastos!$A$9:$J$1451,10,0),0)</f>
        <v>0</v>
      </c>
      <c r="L1479" s="69">
        <f>-IFERROR(VLOOKUP(C1479,IDC!$A$20:$H$1763,8,0),0)</f>
        <v>-6445.36</v>
      </c>
      <c r="M1479" s="96">
        <f>+D1479</f>
        <v>-1074225.8999999999</v>
      </c>
      <c r="P1479" s="19"/>
      <c r="Q1479" s="19"/>
    </row>
    <row r="1480" spans="1:17" hidden="1">
      <c r="A1480" s="1" t="s">
        <v>1400</v>
      </c>
      <c r="B1480" s="1" t="s">
        <v>53</v>
      </c>
      <c r="C1480" s="71">
        <v>130909261908</v>
      </c>
      <c r="D1480" s="3">
        <v>-36832.06</v>
      </c>
      <c r="E1480" s="3">
        <v>10918996.25</v>
      </c>
      <c r="F1480" s="1" t="s">
        <v>3066</v>
      </c>
      <c r="G1480" s="19">
        <f>+D1480/1.006</f>
        <v>-36612.385685884692</v>
      </c>
      <c r="H1480" s="19">
        <f>+D1480-G1480</f>
        <v>-219.67431411530561</v>
      </c>
      <c r="I1480" s="19">
        <f>-IFERROR(VLOOKUP(C1480,SIRCUPA!$A$21:$H$221,8,0),0)</f>
        <v>0</v>
      </c>
      <c r="J1480" s="86">
        <f>-IFERROR(VLOOKUP(C1480,SIRTAC!$A$16:$H$1458,8,0),0)</f>
        <v>0</v>
      </c>
      <c r="K1480" s="86">
        <f>-IFERROR(VLOOKUP(C1480,Gastos!$A$9:$J$1451,10,0),0)</f>
        <v>0</v>
      </c>
      <c r="L1480" s="86">
        <f>-IFERROR(VLOOKUP(C1480,IDC!$A$20:$H$1763,8,0),0)</f>
        <v>-219.67</v>
      </c>
      <c r="M1480" s="94">
        <f>+D1480-I1480-J1480-K1480-L1480</f>
        <v>-36612.39</v>
      </c>
      <c r="O1480" s="30" t="s">
        <v>2020</v>
      </c>
    </row>
    <row r="1481" spans="1:17" hidden="1">
      <c r="A1481" s="1" t="s">
        <v>1764</v>
      </c>
      <c r="B1481" s="1" t="s">
        <v>566</v>
      </c>
      <c r="C1481" s="71">
        <v>130992012699</v>
      </c>
      <c r="D1481" s="3">
        <v>-891316</v>
      </c>
      <c r="E1481" s="3">
        <v>14590914.550000001</v>
      </c>
      <c r="F1481" s="1" t="s">
        <v>3069</v>
      </c>
      <c r="G1481" s="19">
        <f>+D1481/1.006</f>
        <v>-886000</v>
      </c>
      <c r="H1481" s="19">
        <f>+D1481-G1481</f>
        <v>-5316</v>
      </c>
      <c r="I1481" s="19">
        <f>-IFERROR(VLOOKUP(C1481,SIRCUPA!$A$21:$H$221,8,0),0)</f>
        <v>0</v>
      </c>
      <c r="J1481" s="86">
        <f>-IFERROR(VLOOKUP(C1481,SIRTAC!$A$16:$H$1458,8,0),0)</f>
        <v>0</v>
      </c>
      <c r="K1481" s="86">
        <f>-IFERROR(VLOOKUP(C1481,Gastos!$A$9:$J$1451,10,0),0)</f>
        <v>0</v>
      </c>
      <c r="L1481" s="86">
        <f>+D1481-G1481</f>
        <v>-5316</v>
      </c>
      <c r="M1481" s="94">
        <f>+D1481-I1481-J1481-K1481-L1481</f>
        <v>-886000</v>
      </c>
      <c r="O1481" s="1"/>
    </row>
    <row r="1482" spans="1:17" s="67" customFormat="1" hidden="1">
      <c r="A1482" s="67" t="s">
        <v>1428</v>
      </c>
      <c r="B1482" s="67" t="s">
        <v>51</v>
      </c>
      <c r="C1482" s="75">
        <v>131007519350</v>
      </c>
      <c r="D1482" s="68">
        <v>-2695.27</v>
      </c>
      <c r="E1482" s="3">
        <v>10861371.960000001</v>
      </c>
      <c r="F1482" s="67" t="s">
        <v>3062</v>
      </c>
      <c r="G1482" s="69">
        <f>+D1482/0.006</f>
        <v>-449211.66666666663</v>
      </c>
      <c r="H1482" s="69"/>
      <c r="I1482" s="69">
        <f>-IFERROR(VLOOKUP(C1482,SIRCUPA!$A$21:$H$221,8,0),0)</f>
        <v>0</v>
      </c>
      <c r="J1482" s="69">
        <f>-IFERROR(VLOOKUP(C1482,SIRTAC!$A$16:$H$1458,8,0),0)</f>
        <v>0</v>
      </c>
      <c r="K1482" s="69">
        <f>-IFERROR(VLOOKUP(C1482,Gastos!$A$9:$J$1451,10,0),0)</f>
        <v>0</v>
      </c>
      <c r="L1482" s="69"/>
      <c r="M1482" s="96">
        <f>+D1482</f>
        <v>-2695.27</v>
      </c>
      <c r="P1482" s="19"/>
      <c r="Q1482" s="19"/>
    </row>
    <row r="1483" spans="1:17" s="67" customFormat="1" hidden="1">
      <c r="A1483" s="67" t="s">
        <v>1428</v>
      </c>
      <c r="B1483" s="67" t="s">
        <v>1453</v>
      </c>
      <c r="C1483" s="75">
        <v>131007519350</v>
      </c>
      <c r="D1483" s="68">
        <v>-449212.33</v>
      </c>
      <c r="E1483" s="3">
        <v>10864067.23</v>
      </c>
      <c r="F1483" s="67" t="s">
        <v>3066</v>
      </c>
      <c r="G1483" s="69">
        <f>+D1483/1.006</f>
        <v>-446533.13121272367</v>
      </c>
      <c r="H1483" s="69">
        <f>+D1483-G1483</f>
        <v>-2679.198787276342</v>
      </c>
      <c r="I1483" s="69">
        <f>-IFERROR(VLOOKUP(C1483,SIRCUPA!$A$21:$H$221,8,0),0)</f>
        <v>0</v>
      </c>
      <c r="J1483" s="69">
        <f>-IFERROR(VLOOKUP(C1483,SIRTAC!$A$16:$H$1458,8,0),0)</f>
        <v>0</v>
      </c>
      <c r="K1483" s="69">
        <f>-IFERROR(VLOOKUP(C1483,Gastos!$A$9:$J$1451,10,0),0)</f>
        <v>0</v>
      </c>
      <c r="L1483" s="69">
        <f>-IFERROR(VLOOKUP(C1483,IDC!$A$20:$H$1763,8,0),0)</f>
        <v>-2695.27</v>
      </c>
      <c r="M1483" s="96">
        <f>+D1483</f>
        <v>-449212.33</v>
      </c>
      <c r="P1483" s="19"/>
      <c r="Q1483" s="19"/>
    </row>
    <row r="1484" spans="1:17" hidden="1">
      <c r="A1484" s="1" t="s">
        <v>1630</v>
      </c>
      <c r="B1484" s="1" t="s">
        <v>15</v>
      </c>
      <c r="C1484" s="71">
        <v>130719097737</v>
      </c>
      <c r="D1484" s="3">
        <v>4335.63</v>
      </c>
      <c r="E1484" s="3">
        <v>13201156.609999999</v>
      </c>
      <c r="F1484" s="1" t="s">
        <v>3065</v>
      </c>
      <c r="G1484"/>
      <c r="H1484"/>
      <c r="I1484" s="19">
        <f>-IFERROR(VLOOKUP(C1484,SIRCUPA!$A$21:$H$221,8,0),0)</f>
        <v>0</v>
      </c>
      <c r="J1484" s="86">
        <f>-IFERROR(VLOOKUP(C1484,SIRTAC!$A$16:$H$1458,8,0),0)</f>
        <v>-44.5</v>
      </c>
      <c r="K1484" s="86">
        <f>-IFERROR(VLOOKUP(C1484,Gastos!$A$9:$J$1451,10,0),0)</f>
        <v>-43.17</v>
      </c>
      <c r="L1484" s="86">
        <f>-IFERROR(VLOOKUP(C1484,IDC!$A$20:$H$1763,8,0),0)</f>
        <v>-26.7</v>
      </c>
      <c r="M1484" s="95">
        <f t="shared" ref="M1484:M1515" si="48">+D1484-I1484-J1484-K1484-L1484</f>
        <v>4450</v>
      </c>
      <c r="O1484" s="1"/>
    </row>
    <row r="1485" spans="1:17" hidden="1">
      <c r="A1485" s="1" t="s">
        <v>1630</v>
      </c>
      <c r="B1485" s="1" t="s">
        <v>1651</v>
      </c>
      <c r="C1485" s="71">
        <v>130719190771</v>
      </c>
      <c r="D1485" s="2">
        <v>217.34</v>
      </c>
      <c r="E1485" s="3">
        <v>13201373.949999999</v>
      </c>
      <c r="F1485" s="1" t="s">
        <v>3065</v>
      </c>
      <c r="G1485"/>
      <c r="H1485"/>
      <c r="I1485" s="19">
        <f>-IFERROR(VLOOKUP(C1485,SIRCUPA!$A$21:$H$221,8,0),0)</f>
        <v>-3.33</v>
      </c>
      <c r="J1485" s="86">
        <f>-IFERROR(VLOOKUP(C1485,SIRTAC!$A$16:$H$1458,8,0),0)</f>
        <v>0</v>
      </c>
      <c r="K1485" s="86">
        <f>-IFERROR(VLOOKUP(C1485,Gastos!$A$9:$J$1451,10,0),0)</f>
        <v>0</v>
      </c>
      <c r="L1485" s="86">
        <f>-IFERROR(VLOOKUP(C1485,IDC!$A$20:$H$1763,8,0),0)</f>
        <v>-1.33</v>
      </c>
      <c r="M1485" s="95">
        <f t="shared" si="48"/>
        <v>222.00000000000003</v>
      </c>
      <c r="O1485" s="1"/>
    </row>
    <row r="1486" spans="1:17" hidden="1">
      <c r="A1486" s="1" t="s">
        <v>1630</v>
      </c>
      <c r="B1486" s="1" t="s">
        <v>15</v>
      </c>
      <c r="C1486" s="71">
        <v>130724478645</v>
      </c>
      <c r="D1486" s="3">
        <v>23578.06</v>
      </c>
      <c r="E1486" s="3">
        <v>13224952.01</v>
      </c>
      <c r="F1486" s="1" t="s">
        <v>3065</v>
      </c>
      <c r="G1486"/>
      <c r="H1486"/>
      <c r="I1486" s="19">
        <f>-IFERROR(VLOOKUP(C1486,SIRCUPA!$A$21:$H$221,8,0),0)</f>
        <v>0</v>
      </c>
      <c r="J1486" s="86">
        <f>-IFERROR(VLOOKUP(C1486,SIRTAC!$A$16:$H$1458,8,0),0)</f>
        <v>-242</v>
      </c>
      <c r="K1486" s="86">
        <f>-IFERROR(VLOOKUP(C1486,Gastos!$A$9:$J$1451,10,0),0)</f>
        <v>-234.74</v>
      </c>
      <c r="L1486" s="86">
        <f>-IFERROR(VLOOKUP(C1486,IDC!$A$20:$H$1763,8,0),0)</f>
        <v>-145.19999999999999</v>
      </c>
      <c r="M1486" s="95">
        <f t="shared" si="48"/>
        <v>24200.000000000004</v>
      </c>
      <c r="O1486" s="1"/>
    </row>
    <row r="1487" spans="1:17" hidden="1">
      <c r="A1487" s="1" t="s">
        <v>1630</v>
      </c>
      <c r="B1487" s="1" t="s">
        <v>15</v>
      </c>
      <c r="C1487" s="71">
        <v>130725052849</v>
      </c>
      <c r="D1487" s="3">
        <v>11301.88</v>
      </c>
      <c r="E1487" s="3">
        <v>13236253.890000001</v>
      </c>
      <c r="F1487" s="1" t="s">
        <v>3065</v>
      </c>
      <c r="G1487"/>
      <c r="H1487"/>
      <c r="I1487" s="19">
        <f>-IFERROR(VLOOKUP(C1487,SIRCUPA!$A$21:$H$221,8,0),0)</f>
        <v>0</v>
      </c>
      <c r="J1487" s="86">
        <f>-IFERROR(VLOOKUP(C1487,SIRTAC!$A$16:$H$1458,8,0),0)</f>
        <v>-116</v>
      </c>
      <c r="K1487" s="86">
        <f>-IFERROR(VLOOKUP(C1487,Gastos!$A$9:$J$1451,10,0),0)</f>
        <v>-112.52</v>
      </c>
      <c r="L1487" s="86">
        <f>-IFERROR(VLOOKUP(C1487,IDC!$A$20:$H$1763,8,0),0)</f>
        <v>-69.599999999999994</v>
      </c>
      <c r="M1487" s="95">
        <f t="shared" si="48"/>
        <v>11600</v>
      </c>
      <c r="O1487" s="1"/>
    </row>
    <row r="1488" spans="1:17" hidden="1">
      <c r="A1488" s="1" t="s">
        <v>1630</v>
      </c>
      <c r="B1488" s="1" t="s">
        <v>15</v>
      </c>
      <c r="C1488" s="71">
        <v>130725248729</v>
      </c>
      <c r="D1488" s="3">
        <v>14029.92</v>
      </c>
      <c r="E1488" s="3">
        <v>13250283.810000001</v>
      </c>
      <c r="F1488" s="1" t="s">
        <v>3065</v>
      </c>
      <c r="G1488"/>
      <c r="H1488"/>
      <c r="I1488" s="19">
        <f>-IFERROR(VLOOKUP(C1488,SIRCUPA!$A$21:$H$221,8,0),0)</f>
        <v>0</v>
      </c>
      <c r="J1488" s="86">
        <f>-IFERROR(VLOOKUP(C1488,SIRTAC!$A$16:$H$1458,8,0),0)</f>
        <v>-144</v>
      </c>
      <c r="K1488" s="86">
        <f>-IFERROR(VLOOKUP(C1488,Gastos!$A$9:$J$1451,10,0),0)</f>
        <v>-139.68</v>
      </c>
      <c r="L1488" s="86">
        <f>-IFERROR(VLOOKUP(C1488,IDC!$A$20:$H$1763,8,0),0)</f>
        <v>-86.4</v>
      </c>
      <c r="M1488" s="95">
        <f t="shared" si="48"/>
        <v>14400</v>
      </c>
      <c r="O1488" s="1"/>
    </row>
    <row r="1489" spans="1:15" hidden="1">
      <c r="A1489" s="1" t="s">
        <v>1630</v>
      </c>
      <c r="B1489" s="1" t="s">
        <v>499</v>
      </c>
      <c r="C1489" s="71">
        <v>130725169621</v>
      </c>
      <c r="D1489" s="2">
        <v>704.88</v>
      </c>
      <c r="E1489" s="3">
        <v>13250988.689999999</v>
      </c>
      <c r="F1489" s="1" t="s">
        <v>3065</v>
      </c>
      <c r="G1489"/>
      <c r="H1489"/>
      <c r="I1489" s="19">
        <f>-IFERROR(VLOOKUP(C1489,SIRCUPA!$A$21:$H$221,8,0),0)</f>
        <v>-10.8</v>
      </c>
      <c r="J1489" s="86">
        <f>-IFERROR(VLOOKUP(C1489,SIRTAC!$A$16:$H$1458,8,0),0)</f>
        <v>0</v>
      </c>
      <c r="K1489" s="86">
        <f>-IFERROR(VLOOKUP(C1489,Gastos!$A$9:$J$1451,10,0),0)</f>
        <v>0</v>
      </c>
      <c r="L1489" s="86">
        <f>-IFERROR(VLOOKUP(C1489,IDC!$A$20:$H$1763,8,0),0)</f>
        <v>-4.32</v>
      </c>
      <c r="M1489" s="95">
        <f t="shared" si="48"/>
        <v>720</v>
      </c>
      <c r="O1489" s="1"/>
    </row>
    <row r="1490" spans="1:15" hidden="1">
      <c r="A1490" s="1" t="s">
        <v>1630</v>
      </c>
      <c r="B1490" s="1" t="s">
        <v>15</v>
      </c>
      <c r="C1490" s="71">
        <v>130725213917</v>
      </c>
      <c r="D1490" s="3">
        <v>4774.07</v>
      </c>
      <c r="E1490" s="3">
        <v>13255762.76</v>
      </c>
      <c r="F1490" s="1" t="s">
        <v>3065</v>
      </c>
      <c r="G1490"/>
      <c r="H1490"/>
      <c r="I1490" s="19">
        <f>-IFERROR(VLOOKUP(C1490,SIRCUPA!$A$21:$H$221,8,0),0)</f>
        <v>0</v>
      </c>
      <c r="J1490" s="86">
        <f>-IFERROR(VLOOKUP(C1490,SIRTAC!$A$16:$H$1458,8,0),0)</f>
        <v>-49</v>
      </c>
      <c r="K1490" s="86">
        <f>-IFERROR(VLOOKUP(C1490,Gastos!$A$9:$J$1451,10,0),0)</f>
        <v>-47.53</v>
      </c>
      <c r="L1490" s="86">
        <f>-IFERROR(VLOOKUP(C1490,IDC!$A$20:$H$1763,8,0),0)</f>
        <v>-29.4</v>
      </c>
      <c r="M1490" s="95">
        <f t="shared" si="48"/>
        <v>4899.9999999999991</v>
      </c>
      <c r="O1490" s="1"/>
    </row>
    <row r="1491" spans="1:15" hidden="1">
      <c r="A1491" s="1" t="s">
        <v>1630</v>
      </c>
      <c r="B1491" s="1" t="s">
        <v>15</v>
      </c>
      <c r="C1491" s="71">
        <v>131314622960</v>
      </c>
      <c r="D1491" s="3">
        <v>18138.240000000002</v>
      </c>
      <c r="E1491" s="3">
        <v>13273901</v>
      </c>
      <c r="F1491" s="1" t="s">
        <v>3065</v>
      </c>
      <c r="G1491"/>
      <c r="H1491"/>
      <c r="I1491" s="19">
        <f>-IFERROR(VLOOKUP(C1491,SIRCUPA!$A$21:$H$221,8,0),0)</f>
        <v>0</v>
      </c>
      <c r="J1491" s="86">
        <f>-IFERROR(VLOOKUP(C1491,SIRTAC!$A$16:$H$1458,8,0),0)</f>
        <v>-192</v>
      </c>
      <c r="K1491" s="86">
        <f>-IFERROR(VLOOKUP(C1491,Gastos!$A$9:$J$1451,10,0),0)</f>
        <v>-754.56</v>
      </c>
      <c r="L1491" s="86">
        <f>-IFERROR(VLOOKUP(C1491,IDC!$A$20:$H$1763,8,0),0)</f>
        <v>-115.2</v>
      </c>
      <c r="M1491" s="95">
        <f t="shared" si="48"/>
        <v>19200.000000000004</v>
      </c>
      <c r="O1491" s="1"/>
    </row>
    <row r="1492" spans="1:15" hidden="1">
      <c r="A1492" s="1" t="s">
        <v>1630</v>
      </c>
      <c r="B1492" s="1" t="s">
        <v>15</v>
      </c>
      <c r="C1492" s="71">
        <v>130727892081</v>
      </c>
      <c r="D1492" s="3">
        <v>15004.22</v>
      </c>
      <c r="E1492" s="3">
        <v>13288905.220000001</v>
      </c>
      <c r="F1492" s="1" t="s">
        <v>3065</v>
      </c>
      <c r="G1492"/>
      <c r="H1492"/>
      <c r="I1492" s="19">
        <f>-IFERROR(VLOOKUP(C1492,SIRCUPA!$A$21:$H$221,8,0),0)</f>
        <v>0</v>
      </c>
      <c r="J1492" s="86">
        <f>-IFERROR(VLOOKUP(C1492,SIRTAC!$A$16:$H$1458,8,0),0)</f>
        <v>-154</v>
      </c>
      <c r="K1492" s="86">
        <f>-IFERROR(VLOOKUP(C1492,Gastos!$A$9:$J$1451,10,0),0)</f>
        <v>-149.38</v>
      </c>
      <c r="L1492" s="86">
        <f>-IFERROR(VLOOKUP(C1492,IDC!$A$20:$H$1763,8,0),0)</f>
        <v>-92.4</v>
      </c>
      <c r="M1492" s="95">
        <f t="shared" si="48"/>
        <v>15399.999999999998</v>
      </c>
      <c r="O1492" s="1"/>
    </row>
    <row r="1493" spans="1:15" hidden="1">
      <c r="A1493" s="1" t="s">
        <v>1630</v>
      </c>
      <c r="B1493" s="1" t="s">
        <v>15</v>
      </c>
      <c r="C1493" s="71">
        <v>131315931076</v>
      </c>
      <c r="D1493" s="3">
        <v>18138.240000000002</v>
      </c>
      <c r="E1493" s="3">
        <v>13307043.460000001</v>
      </c>
      <c r="F1493" s="1" t="s">
        <v>3065</v>
      </c>
      <c r="G1493"/>
      <c r="H1493"/>
      <c r="I1493" s="19">
        <f>-IFERROR(VLOOKUP(C1493,SIRCUPA!$A$21:$H$221,8,0),0)</f>
        <v>0</v>
      </c>
      <c r="J1493" s="86">
        <f>-IFERROR(VLOOKUP(C1493,SIRTAC!$A$16:$H$1458,8,0),0)</f>
        <v>-192</v>
      </c>
      <c r="K1493" s="86">
        <f>-IFERROR(VLOOKUP(C1493,Gastos!$A$9:$J$1451,10,0),0)</f>
        <v>-754.56</v>
      </c>
      <c r="L1493" s="86">
        <f>-IFERROR(VLOOKUP(C1493,IDC!$A$20:$H$1763,8,0),0)</f>
        <v>-115.2</v>
      </c>
      <c r="M1493" s="95">
        <f t="shared" si="48"/>
        <v>19200.000000000004</v>
      </c>
      <c r="O1493" s="1"/>
    </row>
    <row r="1494" spans="1:15" hidden="1">
      <c r="A1494" s="1" t="s">
        <v>1630</v>
      </c>
      <c r="B1494" s="1" t="s">
        <v>15</v>
      </c>
      <c r="C1494" s="71">
        <v>131316106848</v>
      </c>
      <c r="D1494" s="3">
        <v>4676.6400000000003</v>
      </c>
      <c r="E1494" s="3">
        <v>13311720.1</v>
      </c>
      <c r="F1494" s="1" t="s">
        <v>3065</v>
      </c>
      <c r="G1494"/>
      <c r="H1494"/>
      <c r="I1494" s="19">
        <f>-IFERROR(VLOOKUP(C1494,SIRCUPA!$A$21:$H$221,8,0),0)</f>
        <v>0</v>
      </c>
      <c r="J1494" s="86">
        <f>-IFERROR(VLOOKUP(C1494,SIRTAC!$A$16:$H$1458,8,0),0)</f>
        <v>-48</v>
      </c>
      <c r="K1494" s="86">
        <f>-IFERROR(VLOOKUP(C1494,Gastos!$A$9:$J$1451,10,0),0)</f>
        <v>-46.56</v>
      </c>
      <c r="L1494" s="86">
        <f>-IFERROR(VLOOKUP(C1494,IDC!$A$20:$H$1763,8,0),0)</f>
        <v>-28.8</v>
      </c>
      <c r="M1494" s="95">
        <f t="shared" si="48"/>
        <v>4800.0000000000009</v>
      </c>
      <c r="O1494" s="1"/>
    </row>
    <row r="1495" spans="1:15" hidden="1">
      <c r="A1495" s="1" t="s">
        <v>1630</v>
      </c>
      <c r="B1495" s="1" t="s">
        <v>15</v>
      </c>
      <c r="C1495" s="71">
        <v>130728828519</v>
      </c>
      <c r="D1495" s="3">
        <v>8184.12</v>
      </c>
      <c r="E1495" s="3">
        <v>13319904.220000001</v>
      </c>
      <c r="F1495" s="1" t="s">
        <v>3065</v>
      </c>
      <c r="G1495"/>
      <c r="H1495"/>
      <c r="I1495" s="19">
        <f>-IFERROR(VLOOKUP(C1495,SIRCUPA!$A$21:$H$221,8,0),0)</f>
        <v>0</v>
      </c>
      <c r="J1495" s="86">
        <f>-IFERROR(VLOOKUP(C1495,SIRTAC!$A$16:$H$1458,8,0),0)</f>
        <v>-84</v>
      </c>
      <c r="K1495" s="86">
        <f>-IFERROR(VLOOKUP(C1495,Gastos!$A$9:$J$1451,10,0),0)</f>
        <v>-81.48</v>
      </c>
      <c r="L1495" s="86">
        <f>-IFERROR(VLOOKUP(C1495,IDC!$A$20:$H$1763,8,0),0)</f>
        <v>-50.4</v>
      </c>
      <c r="M1495" s="95">
        <f t="shared" si="48"/>
        <v>8399.9999999999982</v>
      </c>
      <c r="O1495" s="1"/>
    </row>
    <row r="1496" spans="1:15" hidden="1">
      <c r="A1496" s="1" t="s">
        <v>1630</v>
      </c>
      <c r="B1496" s="1" t="s">
        <v>15</v>
      </c>
      <c r="C1496" s="71">
        <v>131317335230</v>
      </c>
      <c r="D1496" s="3">
        <v>7935.48</v>
      </c>
      <c r="E1496" s="3">
        <v>13327839.699999999</v>
      </c>
      <c r="F1496" s="1" t="s">
        <v>3065</v>
      </c>
      <c r="G1496"/>
      <c r="H1496"/>
      <c r="I1496" s="19">
        <f>-IFERROR(VLOOKUP(C1496,SIRCUPA!$A$21:$H$221,8,0),0)</f>
        <v>0</v>
      </c>
      <c r="J1496" s="86">
        <f>-IFERROR(VLOOKUP(C1496,SIRTAC!$A$16:$H$1458,8,0),0)</f>
        <v>-84</v>
      </c>
      <c r="K1496" s="86">
        <f>-IFERROR(VLOOKUP(C1496,Gastos!$A$9:$J$1451,10,0),0)</f>
        <v>-330.12</v>
      </c>
      <c r="L1496" s="86">
        <f>-IFERROR(VLOOKUP(C1496,IDC!$A$20:$H$1763,8,0),0)</f>
        <v>-50.4</v>
      </c>
      <c r="M1496" s="95">
        <f t="shared" si="48"/>
        <v>8400</v>
      </c>
      <c r="O1496" s="1"/>
    </row>
    <row r="1497" spans="1:15" hidden="1">
      <c r="A1497" s="1" t="s">
        <v>1630</v>
      </c>
      <c r="B1497" s="1" t="s">
        <v>15</v>
      </c>
      <c r="C1497" s="71">
        <v>130729893207</v>
      </c>
      <c r="D1497" s="3">
        <v>33229.14</v>
      </c>
      <c r="E1497" s="3">
        <v>13361068.84</v>
      </c>
      <c r="F1497" s="1" t="s">
        <v>3065</v>
      </c>
      <c r="G1497"/>
      <c r="H1497"/>
      <c r="I1497" s="19">
        <f>-IFERROR(VLOOKUP(C1497,SIRCUPA!$A$21:$H$221,8,0),0)</f>
        <v>0</v>
      </c>
      <c r="J1497" s="86">
        <f>-IFERROR(VLOOKUP(C1497,SIRTAC!$A$16:$H$1458,8,0),0)</f>
        <v>-366</v>
      </c>
      <c r="K1497" s="86">
        <f>-IFERROR(VLOOKUP(C1497,Gastos!$A$9:$J$1451,10,0),0)</f>
        <v>-2785.26</v>
      </c>
      <c r="L1497" s="86">
        <f>-IFERROR(VLOOKUP(C1497,IDC!$A$20:$H$1763,8,0),0)</f>
        <v>-219.6</v>
      </c>
      <c r="M1497" s="95">
        <f t="shared" si="48"/>
        <v>36600</v>
      </c>
      <c r="O1497" s="1"/>
    </row>
    <row r="1498" spans="1:15" hidden="1">
      <c r="A1498" s="1" t="s">
        <v>1630</v>
      </c>
      <c r="B1498" s="1" t="s">
        <v>15</v>
      </c>
      <c r="C1498" s="71">
        <v>131319128256</v>
      </c>
      <c r="D1498" s="3">
        <v>4774.07</v>
      </c>
      <c r="E1498" s="3">
        <v>13365842.91</v>
      </c>
      <c r="F1498" s="1" t="s">
        <v>3065</v>
      </c>
      <c r="G1498"/>
      <c r="H1498"/>
      <c r="I1498" s="19">
        <f>-IFERROR(VLOOKUP(C1498,SIRCUPA!$A$21:$H$221,8,0),0)</f>
        <v>0</v>
      </c>
      <c r="J1498" s="86">
        <f>-IFERROR(VLOOKUP(C1498,SIRTAC!$A$16:$H$1458,8,0),0)</f>
        <v>-49</v>
      </c>
      <c r="K1498" s="86">
        <f>-IFERROR(VLOOKUP(C1498,Gastos!$A$9:$J$1451,10,0),0)</f>
        <v>-47.53</v>
      </c>
      <c r="L1498" s="86">
        <f>-IFERROR(VLOOKUP(C1498,IDC!$A$20:$H$1763,8,0),0)</f>
        <v>-29.4</v>
      </c>
      <c r="M1498" s="95">
        <f t="shared" si="48"/>
        <v>4899.9999999999991</v>
      </c>
      <c r="O1498" s="1"/>
    </row>
    <row r="1499" spans="1:15" hidden="1">
      <c r="A1499" s="1" t="s">
        <v>1630</v>
      </c>
      <c r="B1499" s="1" t="s">
        <v>15</v>
      </c>
      <c r="C1499" s="71">
        <v>130732522431</v>
      </c>
      <c r="D1499" s="3">
        <v>25034.55</v>
      </c>
      <c r="E1499" s="3">
        <v>13390877.460000001</v>
      </c>
      <c r="F1499" s="1" t="s">
        <v>3065</v>
      </c>
      <c r="G1499"/>
      <c r="H1499"/>
      <c r="I1499" s="19">
        <f>-IFERROR(VLOOKUP(C1499,SIRCUPA!$A$21:$H$221,8,0),0)</f>
        <v>0</v>
      </c>
      <c r="J1499" s="86">
        <f>-IFERROR(VLOOKUP(C1499,SIRTAC!$A$16:$H$1458,8,0),0)</f>
        <v>-265</v>
      </c>
      <c r="K1499" s="86">
        <f>-IFERROR(VLOOKUP(C1499,Gastos!$A$9:$J$1451,10,0),0)</f>
        <v>-1041.45</v>
      </c>
      <c r="L1499" s="86">
        <f>-IFERROR(VLOOKUP(C1499,IDC!$A$20:$H$1763,8,0),0)</f>
        <v>-159</v>
      </c>
      <c r="M1499" s="95">
        <f t="shared" si="48"/>
        <v>26500</v>
      </c>
      <c r="O1499" s="1"/>
    </row>
    <row r="1500" spans="1:15" hidden="1">
      <c r="A1500" s="1" t="s">
        <v>1630</v>
      </c>
      <c r="B1500" s="1" t="s">
        <v>15</v>
      </c>
      <c r="C1500" s="71">
        <v>130733187221</v>
      </c>
      <c r="D1500" s="3">
        <v>8573.84</v>
      </c>
      <c r="E1500" s="3">
        <v>13399451.300000001</v>
      </c>
      <c r="F1500" s="1" t="s">
        <v>3065</v>
      </c>
      <c r="G1500"/>
      <c r="H1500"/>
      <c r="I1500" s="19">
        <f>-IFERROR(VLOOKUP(C1500,SIRCUPA!$A$21:$H$221,8,0),0)</f>
        <v>0</v>
      </c>
      <c r="J1500" s="86">
        <f>-IFERROR(VLOOKUP(C1500,SIRTAC!$A$16:$H$1458,8,0),0)</f>
        <v>-88</v>
      </c>
      <c r="K1500" s="86">
        <f>-IFERROR(VLOOKUP(C1500,Gastos!$A$9:$J$1451,10,0),0)</f>
        <v>-85.36</v>
      </c>
      <c r="L1500" s="86">
        <f>-IFERROR(VLOOKUP(C1500,IDC!$A$20:$H$1763,8,0),0)</f>
        <v>-52.8</v>
      </c>
      <c r="M1500" s="95">
        <f t="shared" si="48"/>
        <v>8800</v>
      </c>
      <c r="O1500" s="1"/>
    </row>
    <row r="1501" spans="1:15" hidden="1">
      <c r="A1501" s="1" t="s">
        <v>1630</v>
      </c>
      <c r="B1501" s="1" t="s">
        <v>15</v>
      </c>
      <c r="C1501" s="71">
        <v>131322059578</v>
      </c>
      <c r="D1501" s="3">
        <v>4357.92</v>
      </c>
      <c r="E1501" s="3">
        <v>13403809.220000001</v>
      </c>
      <c r="F1501" s="1" t="s">
        <v>3065</v>
      </c>
      <c r="G1501"/>
      <c r="H1501"/>
      <c r="I1501" s="19">
        <f>-IFERROR(VLOOKUP(C1501,SIRCUPA!$A$21:$H$221,8,0),0)</f>
        <v>0</v>
      </c>
      <c r="J1501" s="86">
        <f>-IFERROR(VLOOKUP(C1501,SIRTAC!$A$16:$H$1458,8,0),0)</f>
        <v>-48</v>
      </c>
      <c r="K1501" s="86">
        <f>-IFERROR(VLOOKUP(C1501,Gastos!$A$9:$J$1451,10,0),0)</f>
        <v>-365.28</v>
      </c>
      <c r="L1501" s="86">
        <f>-IFERROR(VLOOKUP(C1501,IDC!$A$20:$H$1763,8,0),0)</f>
        <v>-28.8</v>
      </c>
      <c r="M1501" s="95">
        <f t="shared" si="48"/>
        <v>4800</v>
      </c>
      <c r="O1501" s="1"/>
    </row>
    <row r="1502" spans="1:15" hidden="1">
      <c r="A1502" s="1" t="s">
        <v>1630</v>
      </c>
      <c r="B1502" s="1" t="s">
        <v>15</v>
      </c>
      <c r="C1502" s="71">
        <v>131323046338</v>
      </c>
      <c r="D1502" s="3">
        <v>35048.370000000003</v>
      </c>
      <c r="E1502" s="3">
        <v>13438857.59</v>
      </c>
      <c r="F1502" s="1" t="s">
        <v>3065</v>
      </c>
      <c r="G1502"/>
      <c r="H1502"/>
      <c r="I1502" s="19">
        <f>-IFERROR(VLOOKUP(C1502,SIRCUPA!$A$21:$H$221,8,0),0)</f>
        <v>0</v>
      </c>
      <c r="J1502" s="86">
        <f>-IFERROR(VLOOKUP(C1502,SIRTAC!$A$16:$H$1458,8,0),0)</f>
        <v>-371</v>
      </c>
      <c r="K1502" s="86">
        <f>-IFERROR(VLOOKUP(C1502,Gastos!$A$9:$J$1451,10,0),0)</f>
        <v>-1458.03</v>
      </c>
      <c r="L1502" s="86">
        <f>-IFERROR(VLOOKUP(C1502,IDC!$A$20:$H$1763,8,0),0)</f>
        <v>-222.6</v>
      </c>
      <c r="M1502" s="95">
        <f t="shared" si="48"/>
        <v>37100</v>
      </c>
      <c r="O1502" s="1"/>
    </row>
    <row r="1503" spans="1:15" hidden="1">
      <c r="A1503" s="1" t="s">
        <v>1630</v>
      </c>
      <c r="B1503" s="1" t="s">
        <v>15</v>
      </c>
      <c r="C1503" s="71">
        <v>130735353251</v>
      </c>
      <c r="D1503" s="3">
        <v>4345.62</v>
      </c>
      <c r="E1503" s="3">
        <v>13443203.210000001</v>
      </c>
      <c r="F1503" s="1" t="s">
        <v>3065</v>
      </c>
      <c r="G1503"/>
      <c r="H1503"/>
      <c r="I1503" s="19">
        <f>-IFERROR(VLOOKUP(C1503,SIRCUPA!$A$21:$H$221,8,0),0)</f>
        <v>0</v>
      </c>
      <c r="J1503" s="86">
        <f>-IFERROR(VLOOKUP(C1503,SIRTAC!$A$16:$H$1458,8,0),0)</f>
        <v>-46</v>
      </c>
      <c r="K1503" s="86">
        <f>-IFERROR(VLOOKUP(C1503,Gastos!$A$9:$J$1451,10,0),0)</f>
        <v>-180.78</v>
      </c>
      <c r="L1503" s="86">
        <f>-IFERROR(VLOOKUP(C1503,IDC!$A$20:$H$1763,8,0),0)</f>
        <v>-27.6</v>
      </c>
      <c r="M1503" s="95">
        <f t="shared" si="48"/>
        <v>4600</v>
      </c>
      <c r="O1503" s="1"/>
    </row>
    <row r="1504" spans="1:15" hidden="1">
      <c r="A1504" s="1" t="s">
        <v>1630</v>
      </c>
      <c r="B1504" s="1" t="s">
        <v>15</v>
      </c>
      <c r="C1504" s="71">
        <v>130735485837</v>
      </c>
      <c r="D1504" s="3">
        <v>11301.88</v>
      </c>
      <c r="E1504" s="3">
        <v>13454505.09</v>
      </c>
      <c r="F1504" s="1" t="s">
        <v>3065</v>
      </c>
      <c r="G1504"/>
      <c r="H1504"/>
      <c r="I1504" s="19">
        <f>-IFERROR(VLOOKUP(C1504,SIRCUPA!$A$21:$H$221,8,0),0)</f>
        <v>0</v>
      </c>
      <c r="J1504" s="86">
        <f>-IFERROR(VLOOKUP(C1504,SIRTAC!$A$16:$H$1458,8,0),0)</f>
        <v>-116</v>
      </c>
      <c r="K1504" s="86">
        <f>-IFERROR(VLOOKUP(C1504,Gastos!$A$9:$J$1451,10,0),0)</f>
        <v>-112.52</v>
      </c>
      <c r="L1504" s="86">
        <f>-IFERROR(VLOOKUP(C1504,IDC!$A$20:$H$1763,8,0),0)</f>
        <v>-69.599999999999994</v>
      </c>
      <c r="M1504" s="95">
        <f t="shared" si="48"/>
        <v>11600</v>
      </c>
      <c r="O1504" s="1"/>
    </row>
    <row r="1505" spans="1:18" hidden="1">
      <c r="A1505" s="1" t="s">
        <v>1630</v>
      </c>
      <c r="B1505" s="1" t="s">
        <v>15</v>
      </c>
      <c r="C1505" s="71">
        <v>131324787042</v>
      </c>
      <c r="D1505" s="3">
        <v>87249.19</v>
      </c>
      <c r="E1505" s="3">
        <v>13541754.279999999</v>
      </c>
      <c r="F1505" s="1" t="s">
        <v>3065</v>
      </c>
      <c r="G1505"/>
      <c r="H1505"/>
      <c r="I1505" s="19">
        <f>-IFERROR(VLOOKUP(C1505,SIRCUPA!$A$21:$H$221,8,0),0)</f>
        <v>0</v>
      </c>
      <c r="J1505" s="86">
        <f>-IFERROR(VLOOKUP(C1505,SIRTAC!$A$16:$H$1458,8,0),0)</f>
        <v>-961</v>
      </c>
      <c r="K1505" s="86">
        <f>-IFERROR(VLOOKUP(C1505,Gastos!$A$9:$J$1451,10,0),0)</f>
        <v>-7313.21</v>
      </c>
      <c r="L1505" s="86">
        <f>-IFERROR(VLOOKUP(C1505,IDC!$A$20:$H$1763,8,0),0)</f>
        <v>-576.6</v>
      </c>
      <c r="M1505" s="95">
        <f t="shared" si="48"/>
        <v>96100.000000000015</v>
      </c>
      <c r="O1505" s="1"/>
    </row>
    <row r="1506" spans="1:18" hidden="1">
      <c r="A1506" s="1" t="s">
        <v>1630</v>
      </c>
      <c r="B1506" s="1" t="s">
        <v>15</v>
      </c>
      <c r="C1506" s="71">
        <v>131325048714</v>
      </c>
      <c r="D1506" s="3">
        <v>18773.38</v>
      </c>
      <c r="E1506" s="3">
        <v>13560527.66</v>
      </c>
      <c r="F1506" s="1" t="s">
        <v>3065</v>
      </c>
      <c r="G1506"/>
      <c r="H1506"/>
      <c r="I1506" s="19">
        <f>-IFERROR(VLOOKUP(C1506,SIRCUPA!$A$21:$H$221,8,0),0)</f>
        <v>0</v>
      </c>
      <c r="J1506" s="86">
        <f>-IFERROR(VLOOKUP(C1506,SIRTAC!$A$16:$H$1458,8,0),0)</f>
        <v>-194</v>
      </c>
      <c r="K1506" s="86">
        <f>-IFERROR(VLOOKUP(C1506,Gastos!$A$9:$J$1451,10,0),0)</f>
        <v>-316.22000000000003</v>
      </c>
      <c r="L1506" s="86">
        <f>-IFERROR(VLOOKUP(C1506,IDC!$A$20:$H$1763,8,0),0)</f>
        <v>-116.4</v>
      </c>
      <c r="M1506" s="95">
        <f t="shared" si="48"/>
        <v>19400.000000000004</v>
      </c>
      <c r="O1506" s="1"/>
    </row>
    <row r="1507" spans="1:18" hidden="1">
      <c r="A1507" s="1" t="s">
        <v>1630</v>
      </c>
      <c r="B1507" s="1" t="s">
        <v>15</v>
      </c>
      <c r="C1507" s="71">
        <v>131325856646</v>
      </c>
      <c r="D1507" s="3">
        <v>37120.83</v>
      </c>
      <c r="E1507" s="3">
        <v>13597648.49</v>
      </c>
      <c r="F1507" s="1" t="s">
        <v>3065</v>
      </c>
      <c r="G1507"/>
      <c r="H1507"/>
      <c r="I1507" s="19">
        <f>-IFERROR(VLOOKUP(C1507,SIRCUPA!$A$21:$H$221,8,0),0)</f>
        <v>0</v>
      </c>
      <c r="J1507" s="86">
        <f>-IFERROR(VLOOKUP(C1507,SIRTAC!$A$16:$H$1458,8,0),0)</f>
        <v>-381</v>
      </c>
      <c r="K1507" s="86">
        <f>-IFERROR(VLOOKUP(C1507,Gastos!$A$9:$J$1451,10,0),0)</f>
        <v>-369.57</v>
      </c>
      <c r="L1507" s="86">
        <f>-IFERROR(VLOOKUP(C1507,IDC!$A$20:$H$1763,8,0),0)</f>
        <v>-228.6</v>
      </c>
      <c r="M1507" s="95">
        <f t="shared" si="48"/>
        <v>38100</v>
      </c>
      <c r="O1507" s="1"/>
    </row>
    <row r="1508" spans="1:18" hidden="1">
      <c r="A1508" s="1" t="s">
        <v>1630</v>
      </c>
      <c r="B1508" s="1" t="s">
        <v>15</v>
      </c>
      <c r="C1508" s="71">
        <v>131328664518</v>
      </c>
      <c r="D1508" s="3">
        <v>9353.2800000000007</v>
      </c>
      <c r="E1508" s="3">
        <v>13607001.77</v>
      </c>
      <c r="F1508" s="1" t="s">
        <v>3065</v>
      </c>
      <c r="G1508"/>
      <c r="H1508"/>
      <c r="I1508" s="19">
        <f>-IFERROR(VLOOKUP(C1508,SIRCUPA!$A$21:$H$221,8,0),0)</f>
        <v>0</v>
      </c>
      <c r="J1508" s="86">
        <f>-IFERROR(VLOOKUP(C1508,SIRTAC!$A$16:$H$1458,8,0),0)</f>
        <v>-96</v>
      </c>
      <c r="K1508" s="86">
        <f>-IFERROR(VLOOKUP(C1508,Gastos!$A$9:$J$1451,10,0),0)</f>
        <v>-93.12</v>
      </c>
      <c r="L1508" s="86">
        <f>-IFERROR(VLOOKUP(C1508,IDC!$A$20:$H$1763,8,0),0)</f>
        <v>-57.6</v>
      </c>
      <c r="M1508" s="95">
        <f t="shared" si="48"/>
        <v>9600.0000000000018</v>
      </c>
      <c r="O1508" s="1"/>
    </row>
    <row r="1509" spans="1:18" hidden="1">
      <c r="A1509" s="1" t="s">
        <v>1630</v>
      </c>
      <c r="B1509" s="1" t="s">
        <v>15</v>
      </c>
      <c r="C1509" s="71">
        <v>130741580317</v>
      </c>
      <c r="D1509" s="3">
        <v>80964.33</v>
      </c>
      <c r="E1509" s="3">
        <v>13687966.1</v>
      </c>
      <c r="F1509" s="1" t="s">
        <v>3065</v>
      </c>
      <c r="G1509"/>
      <c r="H1509"/>
      <c r="I1509" s="19">
        <f>-IFERROR(VLOOKUP(C1509,SIRCUPA!$A$21:$H$221,8,0),0)</f>
        <v>0</v>
      </c>
      <c r="J1509" s="86">
        <f>-IFERROR(VLOOKUP(C1509,SIRTAC!$A$16:$H$1458,8,0),0)</f>
        <v>-831</v>
      </c>
      <c r="K1509" s="86">
        <f>-IFERROR(VLOOKUP(C1509,Gastos!$A$9:$J$1451,10,0),0)</f>
        <v>-806.07</v>
      </c>
      <c r="L1509" s="86">
        <f>-IFERROR(VLOOKUP(C1509,IDC!$A$20:$H$1763,8,0),0)</f>
        <v>-498.6</v>
      </c>
      <c r="M1509" s="95">
        <f t="shared" si="48"/>
        <v>83100.000000000015</v>
      </c>
      <c r="O1509" s="1"/>
    </row>
    <row r="1510" spans="1:18" hidden="1">
      <c r="A1510" s="1" t="s">
        <v>1630</v>
      </c>
      <c r="B1510" s="1" t="s">
        <v>1677</v>
      </c>
      <c r="C1510" s="71">
        <v>130741586205</v>
      </c>
      <c r="D1510" s="3">
        <v>4067.74</v>
      </c>
      <c r="E1510" s="3">
        <v>13692033.84</v>
      </c>
      <c r="F1510" s="1" t="s">
        <v>3065</v>
      </c>
      <c r="G1510"/>
      <c r="H1510"/>
      <c r="I1510" s="19">
        <f>-IFERROR(VLOOKUP(C1510,SIRCUPA!$A$21:$H$221,8,0),0)</f>
        <v>-62.33</v>
      </c>
      <c r="J1510" s="86">
        <f>-IFERROR(VLOOKUP(C1510,SIRTAC!$A$16:$H$1458,8,0),0)</f>
        <v>0</v>
      </c>
      <c r="K1510" s="86">
        <f>-IFERROR(VLOOKUP(C1510,Gastos!$A$9:$J$1451,10,0),0)</f>
        <v>0</v>
      </c>
      <c r="L1510" s="86">
        <f>-IFERROR(VLOOKUP(C1510,IDC!$A$20:$H$1763,8,0),0)</f>
        <v>-24.93</v>
      </c>
      <c r="M1510" s="95">
        <f t="shared" si="48"/>
        <v>4155</v>
      </c>
      <c r="O1510" s="1"/>
    </row>
    <row r="1511" spans="1:18" hidden="1">
      <c r="A1511" s="1" t="s">
        <v>1630</v>
      </c>
      <c r="B1511" s="1" t="s">
        <v>15</v>
      </c>
      <c r="C1511" s="71">
        <v>130743027301</v>
      </c>
      <c r="D1511" s="3">
        <v>40141.160000000003</v>
      </c>
      <c r="E1511" s="3">
        <v>13732175</v>
      </c>
      <c r="F1511" s="1" t="s">
        <v>3065</v>
      </c>
      <c r="G1511"/>
      <c r="H1511"/>
      <c r="I1511" s="19">
        <f>-IFERROR(VLOOKUP(C1511,SIRCUPA!$A$21:$H$221,8,0),0)</f>
        <v>0</v>
      </c>
      <c r="J1511" s="86">
        <f>-IFERROR(VLOOKUP(C1511,SIRTAC!$A$16:$H$1458,8,0),0)</f>
        <v>-412</v>
      </c>
      <c r="K1511" s="86">
        <f>-IFERROR(VLOOKUP(C1511,Gastos!$A$9:$J$1451,10,0),0)</f>
        <v>-399.64</v>
      </c>
      <c r="L1511" s="86">
        <f>-IFERROR(VLOOKUP(C1511,IDC!$A$20:$H$1763,8,0),0)</f>
        <v>-247.2</v>
      </c>
      <c r="M1511" s="95">
        <f t="shared" si="48"/>
        <v>41200</v>
      </c>
      <c r="O1511" s="1"/>
    </row>
    <row r="1512" spans="1:18" hidden="1">
      <c r="A1512" s="1" t="s">
        <v>1630</v>
      </c>
      <c r="B1512" s="1" t="s">
        <v>1680</v>
      </c>
      <c r="C1512" s="71">
        <v>130743033185</v>
      </c>
      <c r="D1512" s="3">
        <v>2016.74</v>
      </c>
      <c r="E1512" s="3">
        <v>13734191.74</v>
      </c>
      <c r="F1512" s="1" t="s">
        <v>3065</v>
      </c>
      <c r="G1512"/>
      <c r="H1512"/>
      <c r="I1512" s="19">
        <f>-IFERROR(VLOOKUP(C1512,SIRCUPA!$A$21:$H$221,8,0),0)</f>
        <v>-30.9</v>
      </c>
      <c r="J1512" s="86">
        <f>-IFERROR(VLOOKUP(C1512,SIRTAC!$A$16:$H$1458,8,0),0)</f>
        <v>0</v>
      </c>
      <c r="K1512" s="86">
        <f>-IFERROR(VLOOKUP(C1512,Gastos!$A$9:$J$1451,10,0),0)</f>
        <v>0</v>
      </c>
      <c r="L1512" s="86">
        <f>-IFERROR(VLOOKUP(C1512,IDC!$A$20:$H$1763,8,0),0)</f>
        <v>-12.36</v>
      </c>
      <c r="M1512" s="95">
        <f t="shared" si="48"/>
        <v>2060</v>
      </c>
      <c r="O1512" s="1"/>
    </row>
    <row r="1513" spans="1:18" hidden="1">
      <c r="A1513" s="1" t="s">
        <v>1630</v>
      </c>
      <c r="B1513" s="1" t="s">
        <v>15</v>
      </c>
      <c r="C1513" s="71">
        <v>131330704286</v>
      </c>
      <c r="D1513" s="3">
        <v>37315.69</v>
      </c>
      <c r="E1513" s="3">
        <v>13771507.43</v>
      </c>
      <c r="F1513" s="1" t="s">
        <v>3065</v>
      </c>
      <c r="G1513"/>
      <c r="H1513"/>
      <c r="I1513" s="19">
        <f>-IFERROR(VLOOKUP(C1513,SIRCUPA!$A$21:$H$221,8,0),0)</f>
        <v>0</v>
      </c>
      <c r="J1513" s="86">
        <f>-IFERROR(VLOOKUP(C1513,SIRTAC!$A$16:$H$1458,8,0),0)</f>
        <v>-383</v>
      </c>
      <c r="K1513" s="86">
        <f>-IFERROR(VLOOKUP(C1513,Gastos!$A$9:$J$1451,10,0),0)</f>
        <v>-371.51</v>
      </c>
      <c r="L1513" s="86">
        <f>-IFERROR(VLOOKUP(C1513,IDC!$A$20:$H$1763,8,0),0)</f>
        <v>-229.8</v>
      </c>
      <c r="M1513" s="95">
        <f t="shared" si="48"/>
        <v>38300.000000000007</v>
      </c>
      <c r="O1513" s="1"/>
    </row>
    <row r="1514" spans="1:18" hidden="1">
      <c r="A1514" s="1" t="s">
        <v>1630</v>
      </c>
      <c r="B1514" s="1" t="s">
        <v>15</v>
      </c>
      <c r="C1514" s="71">
        <v>131331474758</v>
      </c>
      <c r="D1514" s="3">
        <v>26695.82</v>
      </c>
      <c r="E1514" s="3">
        <v>13798203.25</v>
      </c>
      <c r="F1514" s="1" t="s">
        <v>3065</v>
      </c>
      <c r="G1514"/>
      <c r="H1514"/>
      <c r="I1514" s="19">
        <f>-IFERROR(VLOOKUP(C1514,SIRCUPA!$A$21:$H$221,8,0),0)</f>
        <v>0</v>
      </c>
      <c r="J1514" s="86">
        <f>-IFERROR(VLOOKUP(C1514,SIRTAC!$A$16:$H$1458,8,0),0)</f>
        <v>-274</v>
      </c>
      <c r="K1514" s="86">
        <f>-IFERROR(VLOOKUP(C1514,Gastos!$A$9:$J$1451,10,0),0)</f>
        <v>-265.77999999999997</v>
      </c>
      <c r="L1514" s="86">
        <f>-IFERROR(VLOOKUP(C1514,IDC!$A$20:$H$1763,8,0),0)</f>
        <v>-164.4</v>
      </c>
      <c r="M1514" s="95">
        <f t="shared" si="48"/>
        <v>27400</v>
      </c>
      <c r="O1514" s="1"/>
    </row>
    <row r="1515" spans="1:18" hidden="1">
      <c r="A1515" s="6" t="s">
        <v>1630</v>
      </c>
      <c r="B1515" s="6" t="s">
        <v>15</v>
      </c>
      <c r="C1515" s="74">
        <v>131332537164</v>
      </c>
      <c r="D1515" s="31">
        <v>30472.71</v>
      </c>
      <c r="E1515" s="3">
        <v>13828675.960000001</v>
      </c>
      <c r="F1515" s="6" t="s">
        <v>3065</v>
      </c>
      <c r="G1515" s="6"/>
      <c r="H1515" s="6"/>
      <c r="I1515" s="22">
        <f>-IFERROR(VLOOKUP(C1515,SIRCUPA!$A$21:$H$221,8,0),0)</f>
        <v>0</v>
      </c>
      <c r="J1515" s="87">
        <f>-IFERROR(VLOOKUP(C1515,SIRTAC!$A$16:$H$1458,8,0),0)</f>
        <v>-333.3</v>
      </c>
      <c r="K1515" s="87">
        <f>-IFERROR(VLOOKUP(C1515,Gastos!$A$9:$J$1451,10,0),0)</f>
        <v>-2305.83</v>
      </c>
      <c r="L1515" s="87">
        <f>-IFERROR(VLOOKUP(C1515,IDC!$A$20:$H$1763,8,0),0)</f>
        <v>-218.16</v>
      </c>
      <c r="M1515" s="95">
        <f t="shared" si="48"/>
        <v>33330</v>
      </c>
      <c r="N1515" s="6"/>
      <c r="O1515" s="6"/>
      <c r="R1515" s="6"/>
    </row>
    <row r="1516" spans="1:18" hidden="1">
      <c r="A1516" s="1" t="s">
        <v>1630</v>
      </c>
      <c r="B1516" s="1" t="s">
        <v>15</v>
      </c>
      <c r="C1516" s="71">
        <v>131332603236</v>
      </c>
      <c r="D1516" s="3">
        <v>17147.68</v>
      </c>
      <c r="E1516" s="3">
        <v>13845823.640000001</v>
      </c>
      <c r="F1516" s="1" t="s">
        <v>3065</v>
      </c>
      <c r="G1516"/>
      <c r="H1516"/>
      <c r="I1516" s="19">
        <f>-IFERROR(VLOOKUP(C1516,SIRCUPA!$A$21:$H$221,8,0),0)</f>
        <v>0</v>
      </c>
      <c r="J1516" s="86">
        <f>-IFERROR(VLOOKUP(C1516,SIRTAC!$A$16:$H$1458,8,0),0)</f>
        <v>-176</v>
      </c>
      <c r="K1516" s="86">
        <f>-IFERROR(VLOOKUP(C1516,Gastos!$A$9:$J$1451,10,0),0)</f>
        <v>-170.72</v>
      </c>
      <c r="L1516" s="86">
        <f>-IFERROR(VLOOKUP(C1516,IDC!$A$20:$H$1763,8,0),0)</f>
        <v>-105.6</v>
      </c>
      <c r="M1516" s="95">
        <f t="shared" ref="M1516:M1547" si="49">+D1516-I1516-J1516-K1516-L1516</f>
        <v>17600</v>
      </c>
      <c r="O1516" s="1"/>
    </row>
    <row r="1517" spans="1:18" hidden="1">
      <c r="A1517" s="1" t="s">
        <v>1630</v>
      </c>
      <c r="B1517" s="1" t="s">
        <v>15</v>
      </c>
      <c r="C1517" s="71">
        <v>130745117635</v>
      </c>
      <c r="D1517" s="3">
        <v>37510.550000000003</v>
      </c>
      <c r="E1517" s="3">
        <v>13883334.189999999</v>
      </c>
      <c r="F1517" s="1" t="s">
        <v>3065</v>
      </c>
      <c r="G1517"/>
      <c r="H1517"/>
      <c r="I1517" s="19">
        <f>-IFERROR(VLOOKUP(C1517,SIRCUPA!$A$21:$H$221,8,0),0)</f>
        <v>0</v>
      </c>
      <c r="J1517" s="86">
        <f>-IFERROR(VLOOKUP(C1517,SIRTAC!$A$16:$H$1458,8,0),0)</f>
        <v>-385</v>
      </c>
      <c r="K1517" s="86">
        <f>-IFERROR(VLOOKUP(C1517,Gastos!$A$9:$J$1451,10,0),0)</f>
        <v>-373.45</v>
      </c>
      <c r="L1517" s="86">
        <f>-IFERROR(VLOOKUP(C1517,IDC!$A$20:$H$1763,8,0),0)</f>
        <v>-231</v>
      </c>
      <c r="M1517" s="95">
        <f t="shared" si="49"/>
        <v>38500</v>
      </c>
      <c r="O1517" s="1"/>
    </row>
    <row r="1518" spans="1:18" hidden="1">
      <c r="A1518" s="1" t="s">
        <v>1630</v>
      </c>
      <c r="B1518" s="1" t="s">
        <v>15</v>
      </c>
      <c r="C1518" s="71">
        <v>130745183261</v>
      </c>
      <c r="D1518" s="3">
        <v>10035.290000000001</v>
      </c>
      <c r="E1518" s="3">
        <v>13893369.48</v>
      </c>
      <c r="F1518" s="1" t="s">
        <v>3065</v>
      </c>
      <c r="G1518"/>
      <c r="H1518"/>
      <c r="I1518" s="19">
        <f>-IFERROR(VLOOKUP(C1518,SIRCUPA!$A$21:$H$221,8,0),0)</f>
        <v>0</v>
      </c>
      <c r="J1518" s="86">
        <f>-IFERROR(VLOOKUP(C1518,SIRTAC!$A$16:$H$1458,8,0),0)</f>
        <v>-103</v>
      </c>
      <c r="K1518" s="86">
        <f>-IFERROR(VLOOKUP(C1518,Gastos!$A$9:$J$1451,10,0),0)</f>
        <v>-99.91</v>
      </c>
      <c r="L1518" s="86">
        <f>-IFERROR(VLOOKUP(C1518,IDC!$A$20:$H$1763,8,0),0)</f>
        <v>-61.8</v>
      </c>
      <c r="M1518" s="95">
        <f t="shared" si="49"/>
        <v>10300</v>
      </c>
      <c r="O1518" s="1"/>
    </row>
    <row r="1519" spans="1:18" hidden="1">
      <c r="A1519" s="1" t="s">
        <v>1630</v>
      </c>
      <c r="B1519" s="1" t="s">
        <v>15</v>
      </c>
      <c r="C1519" s="71">
        <v>130745282565</v>
      </c>
      <c r="D1519" s="3">
        <v>17665.89</v>
      </c>
      <c r="E1519" s="3">
        <v>13911035.369999999</v>
      </c>
      <c r="F1519" s="1" t="s">
        <v>3065</v>
      </c>
      <c r="G1519"/>
      <c r="H1519"/>
      <c r="I1519" s="19">
        <f>-IFERROR(VLOOKUP(C1519,SIRCUPA!$A$21:$H$221,8,0),0)</f>
        <v>0</v>
      </c>
      <c r="J1519" s="86">
        <f>-IFERROR(VLOOKUP(C1519,SIRTAC!$A$16:$H$1458,8,0),0)</f>
        <v>-187</v>
      </c>
      <c r="K1519" s="86">
        <f>-IFERROR(VLOOKUP(C1519,Gastos!$A$9:$J$1451,10,0),0)</f>
        <v>-734.91</v>
      </c>
      <c r="L1519" s="86">
        <f>-IFERROR(VLOOKUP(C1519,IDC!$A$20:$H$1763,8,0),0)</f>
        <v>-112.2</v>
      </c>
      <c r="M1519" s="95">
        <f t="shared" si="49"/>
        <v>18700</v>
      </c>
      <c r="O1519" s="1"/>
    </row>
    <row r="1520" spans="1:18" hidden="1">
      <c r="A1520" s="1" t="s">
        <v>1630</v>
      </c>
      <c r="B1520" s="1" t="s">
        <v>15</v>
      </c>
      <c r="C1520" s="71">
        <v>131333075890</v>
      </c>
      <c r="D1520" s="3">
        <v>42966.63</v>
      </c>
      <c r="E1520" s="3">
        <v>13954002</v>
      </c>
      <c r="F1520" s="1" t="s">
        <v>3065</v>
      </c>
      <c r="G1520"/>
      <c r="H1520"/>
      <c r="I1520" s="19">
        <f>-IFERROR(VLOOKUP(C1520,SIRCUPA!$A$21:$H$221,8,0),0)</f>
        <v>0</v>
      </c>
      <c r="J1520" s="86">
        <f>-IFERROR(VLOOKUP(C1520,SIRTAC!$A$16:$H$1458,8,0),0)</f>
        <v>-441</v>
      </c>
      <c r="K1520" s="86">
        <f>-IFERROR(VLOOKUP(C1520,Gastos!$A$9:$J$1451,10,0),0)</f>
        <v>-427.77</v>
      </c>
      <c r="L1520" s="86">
        <f>-IFERROR(VLOOKUP(C1520,IDC!$A$20:$H$1763,8,0),0)</f>
        <v>-264.60000000000002</v>
      </c>
      <c r="M1520" s="95">
        <f t="shared" si="49"/>
        <v>44099.999999999993</v>
      </c>
      <c r="O1520" s="1"/>
    </row>
    <row r="1521" spans="1:15" hidden="1">
      <c r="A1521" s="1" t="s">
        <v>1630</v>
      </c>
      <c r="B1521" s="1" t="s">
        <v>15</v>
      </c>
      <c r="C1521" s="71">
        <v>131334393716</v>
      </c>
      <c r="D1521" s="3">
        <v>46573.71</v>
      </c>
      <c r="E1521" s="3">
        <v>14000575.710000001</v>
      </c>
      <c r="F1521" s="1" t="s">
        <v>3065</v>
      </c>
      <c r="G1521"/>
      <c r="H1521"/>
      <c r="I1521" s="19">
        <f>-IFERROR(VLOOKUP(C1521,SIRCUPA!$A$21:$H$221,8,0),0)</f>
        <v>0</v>
      </c>
      <c r="J1521" s="86">
        <f>-IFERROR(VLOOKUP(C1521,SIRTAC!$A$16:$H$1458,8,0),0)</f>
        <v>-493</v>
      </c>
      <c r="K1521" s="86">
        <f>-IFERROR(VLOOKUP(C1521,Gastos!$A$9:$J$1451,10,0),0)</f>
        <v>-1937.49</v>
      </c>
      <c r="L1521" s="86">
        <f>-IFERROR(VLOOKUP(C1521,IDC!$A$20:$H$1763,8,0),0)</f>
        <v>-295.8</v>
      </c>
      <c r="M1521" s="95">
        <f t="shared" si="49"/>
        <v>49300</v>
      </c>
      <c r="O1521" s="1"/>
    </row>
    <row r="1522" spans="1:15" hidden="1">
      <c r="A1522" s="1" t="s">
        <v>1630</v>
      </c>
      <c r="B1522" s="1" t="s">
        <v>15</v>
      </c>
      <c r="C1522" s="71">
        <v>130746971109</v>
      </c>
      <c r="D1522" s="3">
        <v>44778.78</v>
      </c>
      <c r="E1522" s="3">
        <v>14045354.49</v>
      </c>
      <c r="F1522" s="1" t="s">
        <v>3065</v>
      </c>
      <c r="G1522"/>
      <c r="H1522"/>
      <c r="I1522" s="19">
        <f>-IFERROR(VLOOKUP(C1522,SIRCUPA!$A$21:$H$221,8,0),0)</f>
        <v>0</v>
      </c>
      <c r="J1522" s="86">
        <f>-IFERROR(VLOOKUP(C1522,SIRTAC!$A$16:$H$1458,8,0),0)</f>
        <v>-474</v>
      </c>
      <c r="K1522" s="86">
        <f>-IFERROR(VLOOKUP(C1522,Gastos!$A$9:$J$1451,10,0),0)</f>
        <v>-1862.82</v>
      </c>
      <c r="L1522" s="86">
        <f>-IFERROR(VLOOKUP(C1522,IDC!$A$20:$H$1763,8,0),0)</f>
        <v>-284.39999999999998</v>
      </c>
      <c r="M1522" s="95">
        <f t="shared" si="49"/>
        <v>47400</v>
      </c>
      <c r="O1522" s="1"/>
    </row>
    <row r="1523" spans="1:15" hidden="1">
      <c r="A1523" s="1" t="s">
        <v>1630</v>
      </c>
      <c r="B1523" s="1" t="s">
        <v>15</v>
      </c>
      <c r="C1523" s="71">
        <v>131334683124</v>
      </c>
      <c r="D1523" s="3">
        <v>38484.85</v>
      </c>
      <c r="E1523" s="3">
        <v>14083839.34</v>
      </c>
      <c r="F1523" s="1" t="s">
        <v>3065</v>
      </c>
      <c r="G1523"/>
      <c r="H1523"/>
      <c r="I1523" s="19">
        <f>-IFERROR(VLOOKUP(C1523,SIRCUPA!$A$21:$H$221,8,0),0)</f>
        <v>0</v>
      </c>
      <c r="J1523" s="86">
        <f>-IFERROR(VLOOKUP(C1523,SIRTAC!$A$16:$H$1458,8,0),0)</f>
        <v>-395</v>
      </c>
      <c r="K1523" s="86">
        <f>-IFERROR(VLOOKUP(C1523,Gastos!$A$9:$J$1451,10,0),0)</f>
        <v>-383.15</v>
      </c>
      <c r="L1523" s="86">
        <f>-IFERROR(VLOOKUP(C1523,IDC!$A$20:$H$1763,8,0),0)</f>
        <v>-237</v>
      </c>
      <c r="M1523" s="95">
        <f t="shared" si="49"/>
        <v>39500</v>
      </c>
      <c r="O1523" s="1"/>
    </row>
    <row r="1524" spans="1:15" hidden="1">
      <c r="A1524" s="1" t="s">
        <v>1693</v>
      </c>
      <c r="B1524" s="1" t="s">
        <v>15</v>
      </c>
      <c r="C1524" s="71">
        <v>131334827174</v>
      </c>
      <c r="D1524" s="3">
        <v>14029.92</v>
      </c>
      <c r="E1524" s="3">
        <v>14097869.26</v>
      </c>
      <c r="F1524" s="1" t="s">
        <v>3065</v>
      </c>
      <c r="G1524"/>
      <c r="H1524"/>
      <c r="I1524" s="19">
        <f>-IFERROR(VLOOKUP(C1524,SIRCUPA!$A$21:$H$221,8,0),0)</f>
        <v>0</v>
      </c>
      <c r="J1524" s="86">
        <f>-IFERROR(VLOOKUP(C1524,SIRTAC!$A$16:$H$1458,8,0),0)</f>
        <v>-144</v>
      </c>
      <c r="K1524" s="86">
        <f>-IFERROR(VLOOKUP(C1524,Gastos!$A$9:$J$1451,10,0),0)</f>
        <v>-139.68</v>
      </c>
      <c r="L1524" s="86">
        <f>-IFERROR(VLOOKUP(C1524,IDC!$A$20:$H$1763,8,0),0)</f>
        <v>-86.4</v>
      </c>
      <c r="M1524" s="95">
        <f t="shared" si="49"/>
        <v>14400</v>
      </c>
      <c r="O1524" s="1"/>
    </row>
    <row r="1525" spans="1:15" hidden="1">
      <c r="A1525" s="1" t="s">
        <v>1693</v>
      </c>
      <c r="B1525" s="1" t="s">
        <v>15</v>
      </c>
      <c r="C1525" s="71">
        <v>131334970938</v>
      </c>
      <c r="D1525" s="3">
        <v>4092.06</v>
      </c>
      <c r="E1525" s="3">
        <v>14101961.32</v>
      </c>
      <c r="F1525" s="1" t="s">
        <v>3065</v>
      </c>
      <c r="G1525"/>
      <c r="H1525"/>
      <c r="I1525" s="19">
        <f>-IFERROR(VLOOKUP(C1525,SIRCUPA!$A$21:$H$221,8,0),0)</f>
        <v>0</v>
      </c>
      <c r="J1525" s="86">
        <f>-IFERROR(VLOOKUP(C1525,SIRTAC!$A$16:$H$1458,8,0),0)</f>
        <v>-42</v>
      </c>
      <c r="K1525" s="86">
        <f>-IFERROR(VLOOKUP(C1525,Gastos!$A$9:$J$1451,10,0),0)</f>
        <v>-40.74</v>
      </c>
      <c r="L1525" s="86">
        <f>-IFERROR(VLOOKUP(C1525,IDC!$A$20:$H$1763,8,0),0)</f>
        <v>-25.2</v>
      </c>
      <c r="M1525" s="95">
        <f t="shared" si="49"/>
        <v>4199.9999999999991</v>
      </c>
      <c r="O1525" s="1"/>
    </row>
    <row r="1526" spans="1:15" hidden="1">
      <c r="A1526" s="1" t="s">
        <v>1693</v>
      </c>
      <c r="B1526" s="1" t="s">
        <v>15</v>
      </c>
      <c r="C1526" s="71">
        <v>130747270087</v>
      </c>
      <c r="D1526" s="3">
        <v>48032.99</v>
      </c>
      <c r="E1526" s="3">
        <v>14149994.310000001</v>
      </c>
      <c r="F1526" s="1" t="s">
        <v>3065</v>
      </c>
      <c r="G1526"/>
      <c r="H1526"/>
      <c r="I1526" s="19">
        <f>-IFERROR(VLOOKUP(C1526,SIRCUPA!$A$21:$H$221,8,0),0)</f>
        <v>0</v>
      </c>
      <c r="J1526" s="86">
        <f>-IFERROR(VLOOKUP(C1526,SIRTAC!$A$16:$H$1458,8,0),0)</f>
        <v>-493</v>
      </c>
      <c r="K1526" s="86">
        <f>-IFERROR(VLOOKUP(C1526,Gastos!$A$9:$J$1451,10,0),0)</f>
        <v>-478.21</v>
      </c>
      <c r="L1526" s="86">
        <f>-IFERROR(VLOOKUP(C1526,IDC!$A$20:$H$1763,8,0),0)</f>
        <v>-295.8</v>
      </c>
      <c r="M1526" s="95">
        <f t="shared" si="49"/>
        <v>49300</v>
      </c>
      <c r="O1526" s="1"/>
    </row>
    <row r="1527" spans="1:15" hidden="1">
      <c r="A1527" s="1" t="s">
        <v>1693</v>
      </c>
      <c r="B1527" s="1" t="s">
        <v>1697</v>
      </c>
      <c r="C1527" s="71">
        <v>130747324947</v>
      </c>
      <c r="D1527" s="3">
        <v>4826.47</v>
      </c>
      <c r="E1527" s="3">
        <v>14154820.779999999</v>
      </c>
      <c r="F1527" s="1" t="s">
        <v>3065</v>
      </c>
      <c r="G1527"/>
      <c r="H1527"/>
      <c r="I1527" s="19">
        <f>-IFERROR(VLOOKUP(C1527,SIRCUPA!$A$21:$H$221,8,0),0)</f>
        <v>-73.95</v>
      </c>
      <c r="J1527" s="86">
        <f>-IFERROR(VLOOKUP(C1527,SIRTAC!$A$16:$H$1458,8,0),0)</f>
        <v>0</v>
      </c>
      <c r="K1527" s="86">
        <f>-IFERROR(VLOOKUP(C1527,Gastos!$A$9:$J$1451,10,0),0)</f>
        <v>0</v>
      </c>
      <c r="L1527" s="86">
        <f>-IFERROR(VLOOKUP(C1527,IDC!$A$20:$H$1763,8,0),0)</f>
        <v>-29.58</v>
      </c>
      <c r="M1527" s="95">
        <f t="shared" si="49"/>
        <v>4930</v>
      </c>
      <c r="O1527" s="1"/>
    </row>
    <row r="1528" spans="1:15" hidden="1">
      <c r="A1528" s="1" t="s">
        <v>1693</v>
      </c>
      <c r="B1528" s="1" t="s">
        <v>15</v>
      </c>
      <c r="C1528" s="71">
        <v>131335191102</v>
      </c>
      <c r="D1528" s="3">
        <v>44330.65</v>
      </c>
      <c r="E1528" s="3">
        <v>14199151.43</v>
      </c>
      <c r="F1528" s="1" t="s">
        <v>3065</v>
      </c>
      <c r="G1528"/>
      <c r="H1528"/>
      <c r="I1528" s="19">
        <f>-IFERROR(VLOOKUP(C1528,SIRCUPA!$A$21:$H$221,8,0),0)</f>
        <v>0</v>
      </c>
      <c r="J1528" s="86">
        <f>-IFERROR(VLOOKUP(C1528,SIRTAC!$A$16:$H$1458,8,0),0)</f>
        <v>-455</v>
      </c>
      <c r="K1528" s="86">
        <f>-IFERROR(VLOOKUP(C1528,Gastos!$A$9:$J$1451,10,0),0)</f>
        <v>-441.35</v>
      </c>
      <c r="L1528" s="86">
        <f>-IFERROR(VLOOKUP(C1528,IDC!$A$20:$H$1763,8,0),0)</f>
        <v>-273</v>
      </c>
      <c r="M1528" s="95">
        <f t="shared" si="49"/>
        <v>45500</v>
      </c>
      <c r="O1528" s="1"/>
    </row>
    <row r="1529" spans="1:15" hidden="1">
      <c r="A1529" s="1" t="s">
        <v>1693</v>
      </c>
      <c r="B1529" s="1" t="s">
        <v>15</v>
      </c>
      <c r="C1529" s="71">
        <v>131335286100</v>
      </c>
      <c r="D1529" s="3">
        <v>44622.94</v>
      </c>
      <c r="E1529" s="3">
        <v>14243774.369999999</v>
      </c>
      <c r="F1529" s="1" t="s">
        <v>3065</v>
      </c>
      <c r="G1529"/>
      <c r="H1529"/>
      <c r="I1529" s="19">
        <f>-IFERROR(VLOOKUP(C1529,SIRCUPA!$A$21:$H$221,8,0),0)</f>
        <v>0</v>
      </c>
      <c r="J1529" s="86">
        <f>-IFERROR(VLOOKUP(C1529,SIRTAC!$A$16:$H$1458,8,0),0)</f>
        <v>-458</v>
      </c>
      <c r="K1529" s="86">
        <f>-IFERROR(VLOOKUP(C1529,Gastos!$A$9:$J$1451,10,0),0)</f>
        <v>-444.26</v>
      </c>
      <c r="L1529" s="86">
        <f>-IFERROR(VLOOKUP(C1529,IDC!$A$20:$H$1763,8,0),0)</f>
        <v>-274.8</v>
      </c>
      <c r="M1529" s="95">
        <f t="shared" si="49"/>
        <v>45800.000000000007</v>
      </c>
      <c r="O1529" s="1"/>
    </row>
    <row r="1530" spans="1:15" hidden="1">
      <c r="A1530" s="1" t="s">
        <v>1693</v>
      </c>
      <c r="B1530" s="1" t="s">
        <v>15</v>
      </c>
      <c r="C1530" s="71">
        <v>131406329738</v>
      </c>
      <c r="D1530" s="3">
        <v>5845.8</v>
      </c>
      <c r="E1530" s="3">
        <v>14249620.17</v>
      </c>
      <c r="F1530" s="1" t="s">
        <v>3065</v>
      </c>
      <c r="G1530"/>
      <c r="H1530"/>
      <c r="I1530" s="19">
        <f>-IFERROR(VLOOKUP(C1530,SIRCUPA!$A$21:$H$221,8,0),0)</f>
        <v>0</v>
      </c>
      <c r="J1530" s="86">
        <f>-IFERROR(VLOOKUP(C1530,SIRTAC!$A$16:$H$1458,8,0),0)</f>
        <v>-60</v>
      </c>
      <c r="K1530" s="86">
        <f>-IFERROR(VLOOKUP(C1530,Gastos!$A$9:$J$1451,10,0),0)</f>
        <v>-58.2</v>
      </c>
      <c r="L1530" s="86">
        <f>-IFERROR(VLOOKUP(C1530,IDC!$A$20:$H$1763,8,0),0)</f>
        <v>-36</v>
      </c>
      <c r="M1530" s="95">
        <f t="shared" si="49"/>
        <v>6000</v>
      </c>
      <c r="O1530" s="1"/>
    </row>
    <row r="1531" spans="1:15" hidden="1">
      <c r="A1531" s="1" t="s">
        <v>1693</v>
      </c>
      <c r="B1531" s="1" t="s">
        <v>15</v>
      </c>
      <c r="C1531" s="71">
        <v>130819415363</v>
      </c>
      <c r="D1531" s="3">
        <v>11714.28</v>
      </c>
      <c r="E1531" s="3">
        <v>14261334.449999999</v>
      </c>
      <c r="F1531" s="1" t="s">
        <v>3065</v>
      </c>
      <c r="G1531"/>
      <c r="H1531"/>
      <c r="I1531" s="19">
        <f>-IFERROR(VLOOKUP(C1531,SIRCUPA!$A$21:$H$221,8,0),0)</f>
        <v>0</v>
      </c>
      <c r="J1531" s="86">
        <f>-IFERROR(VLOOKUP(C1531,SIRTAC!$A$16:$H$1458,8,0),0)</f>
        <v>-124</v>
      </c>
      <c r="K1531" s="86">
        <f>-IFERROR(VLOOKUP(C1531,Gastos!$A$9:$J$1451,10,0),0)</f>
        <v>-487.32</v>
      </c>
      <c r="L1531" s="86">
        <f>-IFERROR(VLOOKUP(C1531,IDC!$A$20:$H$1763,8,0),0)</f>
        <v>-74.400000000000006</v>
      </c>
      <c r="M1531" s="95">
        <f t="shared" si="49"/>
        <v>12400</v>
      </c>
      <c r="O1531" s="1"/>
    </row>
    <row r="1532" spans="1:15" hidden="1">
      <c r="A1532" s="1" t="s">
        <v>1693</v>
      </c>
      <c r="B1532" s="1" t="s">
        <v>15</v>
      </c>
      <c r="C1532" s="71">
        <v>130820163603</v>
      </c>
      <c r="D1532" s="3">
        <v>8573.84</v>
      </c>
      <c r="E1532" s="3">
        <v>14269908.289999999</v>
      </c>
      <c r="F1532" s="1" t="s">
        <v>3065</v>
      </c>
      <c r="G1532"/>
      <c r="H1532"/>
      <c r="I1532" s="19">
        <f>-IFERROR(VLOOKUP(C1532,SIRCUPA!$A$21:$H$221,8,0),0)</f>
        <v>0</v>
      </c>
      <c r="J1532" s="86">
        <f>-IFERROR(VLOOKUP(C1532,SIRTAC!$A$16:$H$1458,8,0),0)</f>
        <v>-88</v>
      </c>
      <c r="K1532" s="86">
        <f>-IFERROR(VLOOKUP(C1532,Gastos!$A$9:$J$1451,10,0),0)</f>
        <v>-85.36</v>
      </c>
      <c r="L1532" s="86">
        <f>-IFERROR(VLOOKUP(C1532,IDC!$A$20:$H$1763,8,0),0)</f>
        <v>-52.8</v>
      </c>
      <c r="M1532" s="95">
        <f t="shared" si="49"/>
        <v>8800</v>
      </c>
      <c r="O1532" s="1"/>
    </row>
    <row r="1533" spans="1:15" hidden="1">
      <c r="A1533" s="1" t="s">
        <v>1693</v>
      </c>
      <c r="B1533" s="1" t="s">
        <v>15</v>
      </c>
      <c r="C1533" s="71">
        <v>131408840112</v>
      </c>
      <c r="D1533" s="3">
        <v>8573.84</v>
      </c>
      <c r="E1533" s="3">
        <v>14278482.130000001</v>
      </c>
      <c r="F1533" s="1" t="s">
        <v>3065</v>
      </c>
      <c r="G1533"/>
      <c r="H1533"/>
      <c r="I1533" s="19">
        <f>-IFERROR(VLOOKUP(C1533,SIRCUPA!$A$21:$H$221,8,0),0)</f>
        <v>0</v>
      </c>
      <c r="J1533" s="86">
        <f>-IFERROR(VLOOKUP(C1533,SIRTAC!$A$16:$H$1458,8,0),0)</f>
        <v>-88</v>
      </c>
      <c r="K1533" s="86">
        <f>-IFERROR(VLOOKUP(C1533,Gastos!$A$9:$J$1451,10,0),0)</f>
        <v>-85.36</v>
      </c>
      <c r="L1533" s="86">
        <f>-IFERROR(VLOOKUP(C1533,IDC!$A$20:$H$1763,8,0),0)</f>
        <v>-52.8</v>
      </c>
      <c r="M1533" s="95">
        <f t="shared" si="49"/>
        <v>8800</v>
      </c>
      <c r="O1533" s="1"/>
    </row>
    <row r="1534" spans="1:15" hidden="1">
      <c r="A1534" s="1" t="s">
        <v>1693</v>
      </c>
      <c r="B1534" s="1" t="s">
        <v>15</v>
      </c>
      <c r="C1534" s="71">
        <v>131409048748</v>
      </c>
      <c r="D1534" s="3">
        <v>32931.339999999997</v>
      </c>
      <c r="E1534" s="3">
        <v>14311413.470000001</v>
      </c>
      <c r="F1534" s="1" t="s">
        <v>3065</v>
      </c>
      <c r="G1534"/>
      <c r="H1534"/>
      <c r="I1534" s="19">
        <f>-IFERROR(VLOOKUP(C1534,SIRCUPA!$A$21:$H$221,8,0),0)</f>
        <v>0</v>
      </c>
      <c r="J1534" s="86">
        <f>-IFERROR(VLOOKUP(C1534,SIRTAC!$A$16:$H$1458,8,0),0)</f>
        <v>-338</v>
      </c>
      <c r="K1534" s="86">
        <f>-IFERROR(VLOOKUP(C1534,Gastos!$A$9:$J$1451,10,0),0)</f>
        <v>-327.86</v>
      </c>
      <c r="L1534" s="86">
        <f>-IFERROR(VLOOKUP(C1534,IDC!$A$20:$H$1763,8,0),0)</f>
        <v>-202.8</v>
      </c>
      <c r="M1534" s="95">
        <f t="shared" si="49"/>
        <v>33800</v>
      </c>
      <c r="O1534" s="1"/>
    </row>
    <row r="1535" spans="1:15" hidden="1">
      <c r="A1535" s="1" t="s">
        <v>1693</v>
      </c>
      <c r="B1535" s="1" t="s">
        <v>15</v>
      </c>
      <c r="C1535" s="71">
        <v>130822112395</v>
      </c>
      <c r="D1535" s="3">
        <v>4357.92</v>
      </c>
      <c r="E1535" s="3">
        <v>14315771.390000001</v>
      </c>
      <c r="F1535" s="1" t="s">
        <v>3065</v>
      </c>
      <c r="G1535"/>
      <c r="H1535"/>
      <c r="I1535" s="19">
        <f>-IFERROR(VLOOKUP(C1535,SIRCUPA!$A$21:$H$221,8,0),0)</f>
        <v>0</v>
      </c>
      <c r="J1535" s="86">
        <f>-IFERROR(VLOOKUP(C1535,SIRTAC!$A$16:$H$1458,8,0),0)</f>
        <v>-48</v>
      </c>
      <c r="K1535" s="86">
        <f>-IFERROR(VLOOKUP(C1535,Gastos!$A$9:$J$1451,10,0),0)</f>
        <v>-365.28</v>
      </c>
      <c r="L1535" s="86">
        <f>-IFERROR(VLOOKUP(C1535,IDC!$A$20:$H$1763,8,0),0)</f>
        <v>-28.8</v>
      </c>
      <c r="M1535" s="95">
        <f t="shared" si="49"/>
        <v>4800</v>
      </c>
      <c r="O1535" s="1"/>
    </row>
    <row r="1536" spans="1:15" hidden="1">
      <c r="A1536" s="1" t="s">
        <v>1693</v>
      </c>
      <c r="B1536" s="1" t="s">
        <v>15</v>
      </c>
      <c r="C1536" s="71">
        <v>130822354383</v>
      </c>
      <c r="D1536" s="3">
        <v>4774.07</v>
      </c>
      <c r="E1536" s="3">
        <v>14320545.460000001</v>
      </c>
      <c r="F1536" s="1" t="s">
        <v>3065</v>
      </c>
      <c r="G1536"/>
      <c r="H1536"/>
      <c r="I1536" s="19">
        <f>-IFERROR(VLOOKUP(C1536,SIRCUPA!$A$21:$H$221,8,0),0)</f>
        <v>0</v>
      </c>
      <c r="J1536" s="86">
        <f>-IFERROR(VLOOKUP(C1536,SIRTAC!$A$16:$H$1458,8,0),0)</f>
        <v>-49</v>
      </c>
      <c r="K1536" s="86">
        <f>-IFERROR(VLOOKUP(C1536,Gastos!$A$9:$J$1451,10,0),0)</f>
        <v>-47.53</v>
      </c>
      <c r="L1536" s="86">
        <f>-IFERROR(VLOOKUP(C1536,IDC!$A$20:$H$1763,8,0),0)</f>
        <v>-29.4</v>
      </c>
      <c r="M1536" s="95">
        <f t="shared" si="49"/>
        <v>4899.9999999999991</v>
      </c>
      <c r="O1536" s="1"/>
    </row>
    <row r="1537" spans="1:15" hidden="1">
      <c r="A1537" s="1" t="s">
        <v>1693</v>
      </c>
      <c r="B1537" s="1" t="s">
        <v>15</v>
      </c>
      <c r="C1537" s="71">
        <v>131410397354</v>
      </c>
      <c r="D1537" s="3">
        <v>26354.81</v>
      </c>
      <c r="E1537" s="3">
        <v>14346900.27</v>
      </c>
      <c r="F1537" s="1" t="s">
        <v>3065</v>
      </c>
      <c r="G1537"/>
      <c r="H1537"/>
      <c r="I1537" s="19">
        <f>-IFERROR(VLOOKUP(C1537,SIRCUPA!$A$21:$H$221,8,0),0)</f>
        <v>0</v>
      </c>
      <c r="J1537" s="86">
        <f>-IFERROR(VLOOKUP(C1537,SIRTAC!$A$16:$H$1458,8,0),0)</f>
        <v>-270.5</v>
      </c>
      <c r="K1537" s="86">
        <f>-IFERROR(VLOOKUP(C1537,Gastos!$A$9:$J$1451,10,0),0)</f>
        <v>-262.39</v>
      </c>
      <c r="L1537" s="86">
        <f>-IFERROR(VLOOKUP(C1537,IDC!$A$20:$H$1763,8,0),0)</f>
        <v>-162.30000000000001</v>
      </c>
      <c r="M1537" s="95">
        <f t="shared" si="49"/>
        <v>27050</v>
      </c>
      <c r="O1537" s="1"/>
    </row>
    <row r="1538" spans="1:15" hidden="1">
      <c r="A1538" s="1" t="s">
        <v>1693</v>
      </c>
      <c r="B1538" s="1" t="s">
        <v>15</v>
      </c>
      <c r="C1538" s="71">
        <v>131411820276</v>
      </c>
      <c r="D1538" s="3">
        <v>25330.41</v>
      </c>
      <c r="E1538" s="3">
        <v>14372230.68</v>
      </c>
      <c r="F1538" s="1" t="s">
        <v>3065</v>
      </c>
      <c r="G1538"/>
      <c r="H1538"/>
      <c r="I1538" s="19">
        <f>-IFERROR(VLOOKUP(C1538,SIRCUPA!$A$21:$H$221,8,0),0)</f>
        <v>0</v>
      </c>
      <c r="J1538" s="86">
        <f>-IFERROR(VLOOKUP(C1538,SIRTAC!$A$16:$H$1458,8,0),0)</f>
        <v>-279</v>
      </c>
      <c r="K1538" s="86">
        <f>-IFERROR(VLOOKUP(C1538,Gastos!$A$9:$J$1451,10,0),0)</f>
        <v>-2123.19</v>
      </c>
      <c r="L1538" s="86">
        <f>-IFERROR(VLOOKUP(C1538,IDC!$A$20:$H$1763,8,0),0)</f>
        <v>-167.4</v>
      </c>
      <c r="M1538" s="95">
        <f t="shared" si="49"/>
        <v>27900</v>
      </c>
      <c r="O1538" s="1"/>
    </row>
    <row r="1539" spans="1:15" hidden="1">
      <c r="A1539" s="1" t="s">
        <v>1693</v>
      </c>
      <c r="B1539" s="1" t="s">
        <v>15</v>
      </c>
      <c r="C1539" s="71">
        <v>131412096670</v>
      </c>
      <c r="D1539" s="3">
        <v>14127.35</v>
      </c>
      <c r="E1539" s="3">
        <v>14386358.029999999</v>
      </c>
      <c r="F1539" s="1" t="s">
        <v>3065</v>
      </c>
      <c r="G1539"/>
      <c r="H1539"/>
      <c r="I1539" s="19">
        <f>-IFERROR(VLOOKUP(C1539,SIRCUPA!$A$21:$H$221,8,0),0)</f>
        <v>0</v>
      </c>
      <c r="J1539" s="86">
        <f>-IFERROR(VLOOKUP(C1539,SIRTAC!$A$16:$H$1458,8,0),0)</f>
        <v>-145</v>
      </c>
      <c r="K1539" s="86">
        <f>-IFERROR(VLOOKUP(C1539,Gastos!$A$9:$J$1451,10,0),0)</f>
        <v>-140.65</v>
      </c>
      <c r="L1539" s="86">
        <f>-IFERROR(VLOOKUP(C1539,IDC!$A$20:$H$1763,8,0),0)</f>
        <v>-87</v>
      </c>
      <c r="M1539" s="95">
        <f t="shared" si="49"/>
        <v>14500</v>
      </c>
      <c r="O1539" s="1"/>
    </row>
    <row r="1540" spans="1:15" hidden="1">
      <c r="A1540" s="1" t="s">
        <v>1693</v>
      </c>
      <c r="B1540" s="1" t="s">
        <v>15</v>
      </c>
      <c r="C1540" s="71">
        <v>130824133399</v>
      </c>
      <c r="D1540" s="3">
        <v>15493.08</v>
      </c>
      <c r="E1540" s="3">
        <v>14401851.109999999</v>
      </c>
      <c r="F1540" s="1" t="s">
        <v>3065</v>
      </c>
      <c r="G1540"/>
      <c r="H1540"/>
      <c r="I1540" s="19">
        <f>-IFERROR(VLOOKUP(C1540,SIRCUPA!$A$21:$H$221,8,0),0)</f>
        <v>0</v>
      </c>
      <c r="J1540" s="86">
        <f>-IFERROR(VLOOKUP(C1540,SIRTAC!$A$16:$H$1458,8,0),0)</f>
        <v>-164</v>
      </c>
      <c r="K1540" s="86">
        <f>-IFERROR(VLOOKUP(C1540,Gastos!$A$9:$J$1451,10,0),0)</f>
        <v>-644.52</v>
      </c>
      <c r="L1540" s="86">
        <f>-IFERROR(VLOOKUP(C1540,IDC!$A$20:$H$1763,8,0),0)</f>
        <v>-98.4</v>
      </c>
      <c r="M1540" s="95">
        <f t="shared" si="49"/>
        <v>16400</v>
      </c>
      <c r="O1540" s="1"/>
    </row>
    <row r="1541" spans="1:15" hidden="1">
      <c r="A1541" s="1" t="s">
        <v>1693</v>
      </c>
      <c r="B1541" s="1" t="s">
        <v>15</v>
      </c>
      <c r="C1541" s="71">
        <v>130824222455</v>
      </c>
      <c r="D1541" s="3">
        <v>57089.8</v>
      </c>
      <c r="E1541" s="3">
        <v>14458940.91</v>
      </c>
      <c r="F1541" s="1" t="s">
        <v>3065</v>
      </c>
      <c r="G1541"/>
      <c r="H1541"/>
      <c r="I1541" s="19">
        <f>-IFERROR(VLOOKUP(C1541,SIRCUPA!$A$21:$H$221,8,0),0)</f>
        <v>0</v>
      </c>
      <c r="J1541" s="86">
        <f>-IFERROR(VLOOKUP(C1541,SIRTAC!$A$16:$H$1458,8,0),0)</f>
        <v>-655</v>
      </c>
      <c r="K1541" s="86">
        <f>-IFERROR(VLOOKUP(C1541,Gastos!$A$9:$J$1451,10,0),0)</f>
        <v>-7362.2</v>
      </c>
      <c r="L1541" s="86">
        <f>-IFERROR(VLOOKUP(C1541,IDC!$A$20:$H$1763,8,0),0)</f>
        <v>-393</v>
      </c>
      <c r="M1541" s="95">
        <f t="shared" si="49"/>
        <v>65500</v>
      </c>
      <c r="O1541" s="1"/>
    </row>
    <row r="1542" spans="1:15" hidden="1">
      <c r="A1542" s="1" t="s">
        <v>1693</v>
      </c>
      <c r="B1542" s="1" t="s">
        <v>15</v>
      </c>
      <c r="C1542" s="71">
        <v>130824828049</v>
      </c>
      <c r="D1542" s="3">
        <v>59516.1</v>
      </c>
      <c r="E1542" s="3">
        <v>14518457.01</v>
      </c>
      <c r="F1542" s="1" t="s">
        <v>3065</v>
      </c>
      <c r="G1542"/>
      <c r="H1542"/>
      <c r="I1542" s="19">
        <f>-IFERROR(VLOOKUP(C1542,SIRCUPA!$A$21:$H$221,8,0),0)</f>
        <v>0</v>
      </c>
      <c r="J1542" s="86">
        <f>-IFERROR(VLOOKUP(C1542,SIRTAC!$A$16:$H$1458,8,0),0)</f>
        <v>-630</v>
      </c>
      <c r="K1542" s="86">
        <f>-IFERROR(VLOOKUP(C1542,Gastos!$A$9:$J$1451,10,0),0)</f>
        <v>-2475.9</v>
      </c>
      <c r="L1542" s="86">
        <f>-IFERROR(VLOOKUP(C1542,IDC!$A$20:$H$1763,8,0),0)</f>
        <v>-378</v>
      </c>
      <c r="M1542" s="95">
        <f t="shared" si="49"/>
        <v>63000</v>
      </c>
      <c r="O1542" s="1"/>
    </row>
    <row r="1543" spans="1:15" hidden="1">
      <c r="A1543" s="1" t="s">
        <v>1693</v>
      </c>
      <c r="B1543" s="1" t="s">
        <v>15</v>
      </c>
      <c r="C1543" s="71">
        <v>130826569483</v>
      </c>
      <c r="D1543" s="3">
        <v>80379.75</v>
      </c>
      <c r="E1543" s="3">
        <v>14598836.76</v>
      </c>
      <c r="F1543" s="1" t="s">
        <v>3065</v>
      </c>
      <c r="G1543"/>
      <c r="H1543"/>
      <c r="I1543" s="19">
        <f>-IFERROR(VLOOKUP(C1543,SIRCUPA!$A$21:$H$221,8,0),0)</f>
        <v>0</v>
      </c>
      <c r="J1543" s="86">
        <f>-IFERROR(VLOOKUP(C1543,SIRTAC!$A$16:$H$1458,8,0),0)</f>
        <v>-825</v>
      </c>
      <c r="K1543" s="86">
        <f>-IFERROR(VLOOKUP(C1543,Gastos!$A$9:$J$1451,10,0),0)</f>
        <v>-800.25</v>
      </c>
      <c r="L1543" s="86">
        <f>-IFERROR(VLOOKUP(C1543,IDC!$A$20:$H$1763,8,0),0)</f>
        <v>-495</v>
      </c>
      <c r="M1543" s="95">
        <f t="shared" si="49"/>
        <v>82500</v>
      </c>
      <c r="O1543" s="1"/>
    </row>
    <row r="1544" spans="1:15" hidden="1">
      <c r="A1544" s="1" t="s">
        <v>1693</v>
      </c>
      <c r="B1544" s="1" t="s">
        <v>15</v>
      </c>
      <c r="C1544" s="71">
        <v>131414928320</v>
      </c>
      <c r="D1544" s="3">
        <v>17760.36</v>
      </c>
      <c r="E1544" s="3">
        <v>14616597.119999999</v>
      </c>
      <c r="F1544" s="1" t="s">
        <v>3065</v>
      </c>
      <c r="G1544"/>
      <c r="H1544"/>
      <c r="I1544" s="19">
        <f>-IFERROR(VLOOKUP(C1544,SIRCUPA!$A$21:$H$221,8,0),0)</f>
        <v>0</v>
      </c>
      <c r="J1544" s="86">
        <f>-IFERROR(VLOOKUP(C1544,SIRTAC!$A$16:$H$1458,8,0),0)</f>
        <v>-188</v>
      </c>
      <c r="K1544" s="86">
        <f>-IFERROR(VLOOKUP(C1544,Gastos!$A$9:$J$1451,10,0),0)</f>
        <v>-738.84</v>
      </c>
      <c r="L1544" s="86">
        <f>-IFERROR(VLOOKUP(C1544,IDC!$A$20:$H$1763,8,0),0)</f>
        <v>-112.8</v>
      </c>
      <c r="M1544" s="95">
        <f t="shared" si="49"/>
        <v>18800</v>
      </c>
      <c r="O1544" s="1"/>
    </row>
    <row r="1545" spans="1:15" hidden="1">
      <c r="A1545" s="1" t="s">
        <v>1693</v>
      </c>
      <c r="B1545" s="1" t="s">
        <v>15</v>
      </c>
      <c r="C1545" s="71">
        <v>130826888049</v>
      </c>
      <c r="D1545" s="3">
        <v>32321.18</v>
      </c>
      <c r="E1545" s="3">
        <v>14648918.300000001</v>
      </c>
      <c r="F1545" s="1" t="s">
        <v>3065</v>
      </c>
      <c r="G1545"/>
      <c r="H1545"/>
      <c r="I1545" s="19">
        <f>-IFERROR(VLOOKUP(C1545,SIRCUPA!$A$21:$H$221,8,0),0)</f>
        <v>0</v>
      </c>
      <c r="J1545" s="86">
        <f>-IFERROR(VLOOKUP(C1545,SIRTAC!$A$16:$H$1458,8,0),0)</f>
        <v>-334</v>
      </c>
      <c r="K1545" s="86">
        <f>-IFERROR(VLOOKUP(C1545,Gastos!$A$9:$J$1451,10,0),0)</f>
        <v>-544.41999999999996</v>
      </c>
      <c r="L1545" s="86">
        <f>-IFERROR(VLOOKUP(C1545,IDC!$A$20:$H$1763,8,0),0)</f>
        <v>-200.4</v>
      </c>
      <c r="M1545" s="95">
        <f t="shared" si="49"/>
        <v>33400</v>
      </c>
      <c r="O1545" s="1"/>
    </row>
    <row r="1546" spans="1:15" hidden="1">
      <c r="A1546" s="1" t="s">
        <v>1693</v>
      </c>
      <c r="B1546" s="1" t="s">
        <v>15</v>
      </c>
      <c r="C1546" s="71">
        <v>131415465152</v>
      </c>
      <c r="D1546" s="3">
        <v>13055.62</v>
      </c>
      <c r="E1546" s="3">
        <v>14661973.92</v>
      </c>
      <c r="F1546" s="1" t="s">
        <v>3065</v>
      </c>
      <c r="G1546"/>
      <c r="H1546"/>
      <c r="I1546" s="19">
        <f>-IFERROR(VLOOKUP(C1546,SIRCUPA!$A$21:$H$221,8,0),0)</f>
        <v>0</v>
      </c>
      <c r="J1546" s="86">
        <f>-IFERROR(VLOOKUP(C1546,SIRTAC!$A$16:$H$1458,8,0),0)</f>
        <v>-134</v>
      </c>
      <c r="K1546" s="86">
        <f>-IFERROR(VLOOKUP(C1546,Gastos!$A$9:$J$1451,10,0),0)</f>
        <v>-129.97999999999999</v>
      </c>
      <c r="L1546" s="86">
        <f>-IFERROR(VLOOKUP(C1546,IDC!$A$20:$H$1763,8,0),0)</f>
        <v>-80.400000000000006</v>
      </c>
      <c r="M1546" s="95">
        <f t="shared" si="49"/>
        <v>13400</v>
      </c>
      <c r="O1546" s="1"/>
    </row>
    <row r="1547" spans="1:15" hidden="1">
      <c r="A1547" s="1" t="s">
        <v>1693</v>
      </c>
      <c r="B1547" s="1" t="s">
        <v>15</v>
      </c>
      <c r="C1547" s="71">
        <v>131415773332</v>
      </c>
      <c r="D1547" s="3">
        <v>35951.67</v>
      </c>
      <c r="E1547" s="3">
        <v>14697925.59</v>
      </c>
      <c r="F1547" s="1" t="s">
        <v>3065</v>
      </c>
      <c r="G1547"/>
      <c r="H1547"/>
      <c r="I1547" s="19">
        <f>-IFERROR(VLOOKUP(C1547,SIRCUPA!$A$21:$H$221,8,0),0)</f>
        <v>0</v>
      </c>
      <c r="J1547" s="86">
        <f>-IFERROR(VLOOKUP(C1547,SIRTAC!$A$16:$H$1458,8,0),0)</f>
        <v>-369</v>
      </c>
      <c r="K1547" s="86">
        <f>-IFERROR(VLOOKUP(C1547,Gastos!$A$9:$J$1451,10,0),0)</f>
        <v>-357.93</v>
      </c>
      <c r="L1547" s="86">
        <f>-IFERROR(VLOOKUP(C1547,IDC!$A$20:$H$1763,8,0),0)</f>
        <v>-221.4</v>
      </c>
      <c r="M1547" s="95">
        <f t="shared" si="49"/>
        <v>36900</v>
      </c>
      <c r="O1547" s="1"/>
    </row>
    <row r="1548" spans="1:15" hidden="1">
      <c r="A1548" s="1" t="s">
        <v>1693</v>
      </c>
      <c r="B1548" s="1" t="s">
        <v>1719</v>
      </c>
      <c r="C1548" s="71">
        <v>131415785166</v>
      </c>
      <c r="D1548" s="3">
        <v>1806.25</v>
      </c>
      <c r="E1548" s="3">
        <v>14699731.84</v>
      </c>
      <c r="F1548" s="1" t="s">
        <v>3065</v>
      </c>
      <c r="G1548"/>
      <c r="H1548"/>
      <c r="I1548" s="19">
        <f>-IFERROR(VLOOKUP(C1548,SIRCUPA!$A$21:$H$221,8,0),0)</f>
        <v>-27.68</v>
      </c>
      <c r="J1548" s="86">
        <f>-IFERROR(VLOOKUP(C1548,SIRTAC!$A$16:$H$1458,8,0),0)</f>
        <v>0</v>
      </c>
      <c r="K1548" s="86">
        <f>-IFERROR(VLOOKUP(C1548,Gastos!$A$9:$J$1451,10,0),0)</f>
        <v>0</v>
      </c>
      <c r="L1548" s="86">
        <f>-IFERROR(VLOOKUP(C1548,IDC!$A$20:$H$1763,8,0),0)</f>
        <v>-11.07</v>
      </c>
      <c r="M1548" s="95">
        <f t="shared" ref="M1548:M1579" si="50">+D1548-I1548-J1548-K1548-L1548</f>
        <v>1845</v>
      </c>
      <c r="O1548" s="1"/>
    </row>
    <row r="1549" spans="1:15" hidden="1">
      <c r="A1549" s="1" t="s">
        <v>1693</v>
      </c>
      <c r="B1549" s="1" t="s">
        <v>15</v>
      </c>
      <c r="C1549" s="71">
        <v>131416326220</v>
      </c>
      <c r="D1549" s="3">
        <v>64693.52</v>
      </c>
      <c r="E1549" s="3">
        <v>14764425.359999999</v>
      </c>
      <c r="F1549" s="1" t="s">
        <v>3065</v>
      </c>
      <c r="G1549"/>
      <c r="H1549"/>
      <c r="I1549" s="19">
        <f>-IFERROR(VLOOKUP(C1549,SIRCUPA!$A$21:$H$221,8,0),0)</f>
        <v>0</v>
      </c>
      <c r="J1549" s="86">
        <f>-IFERROR(VLOOKUP(C1549,SIRTAC!$A$16:$H$1458,8,0),0)</f>
        <v>-664</v>
      </c>
      <c r="K1549" s="86">
        <f>-IFERROR(VLOOKUP(C1549,Gastos!$A$9:$J$1451,10,0),0)</f>
        <v>-644.08000000000004</v>
      </c>
      <c r="L1549" s="86">
        <f>-IFERROR(VLOOKUP(C1549,IDC!$A$20:$H$1763,8,0),0)</f>
        <v>-398.4</v>
      </c>
      <c r="M1549" s="95">
        <f t="shared" si="50"/>
        <v>66399.999999999985</v>
      </c>
      <c r="O1549" s="1"/>
    </row>
    <row r="1550" spans="1:15" hidden="1">
      <c r="A1550" s="1" t="s">
        <v>1693</v>
      </c>
      <c r="B1550" s="1" t="s">
        <v>15</v>
      </c>
      <c r="C1550" s="71">
        <v>130829133981</v>
      </c>
      <c r="D1550" s="3">
        <v>96455.7</v>
      </c>
      <c r="E1550" s="3">
        <v>14860881.060000001</v>
      </c>
      <c r="F1550" s="1" t="s">
        <v>3065</v>
      </c>
      <c r="G1550"/>
      <c r="H1550"/>
      <c r="I1550" s="19">
        <f>-IFERROR(VLOOKUP(C1550,SIRCUPA!$A$21:$H$221,8,0),0)</f>
        <v>0</v>
      </c>
      <c r="J1550" s="86">
        <f>-IFERROR(VLOOKUP(C1550,SIRTAC!$A$16:$H$1458,8,0),0)</f>
        <v>-990</v>
      </c>
      <c r="K1550" s="86">
        <f>-IFERROR(VLOOKUP(C1550,Gastos!$A$9:$J$1451,10,0),0)</f>
        <v>-960.3</v>
      </c>
      <c r="L1550" s="86">
        <f>-IFERROR(VLOOKUP(C1550,IDC!$A$20:$H$1763,8,0),0)</f>
        <v>-594</v>
      </c>
      <c r="M1550" s="95">
        <f t="shared" si="50"/>
        <v>99000</v>
      </c>
      <c r="O1550" s="1"/>
    </row>
    <row r="1551" spans="1:15" hidden="1">
      <c r="A1551" s="1" t="s">
        <v>1693</v>
      </c>
      <c r="B1551" s="1" t="s">
        <v>15</v>
      </c>
      <c r="C1551" s="71">
        <v>131417185922</v>
      </c>
      <c r="D1551" s="3">
        <v>65472.959999999999</v>
      </c>
      <c r="E1551" s="3">
        <v>14926354.02</v>
      </c>
      <c r="F1551" s="1" t="s">
        <v>3065</v>
      </c>
      <c r="G1551"/>
      <c r="H1551"/>
      <c r="I1551" s="19">
        <f>-IFERROR(VLOOKUP(C1551,SIRCUPA!$A$21:$H$221,8,0),0)</f>
        <v>0</v>
      </c>
      <c r="J1551" s="86">
        <f>-IFERROR(VLOOKUP(C1551,SIRTAC!$A$16:$H$1458,8,0),0)</f>
        <v>-672</v>
      </c>
      <c r="K1551" s="86">
        <f>-IFERROR(VLOOKUP(C1551,Gastos!$A$9:$J$1451,10,0),0)</f>
        <v>-651.84</v>
      </c>
      <c r="L1551" s="86">
        <f>-IFERROR(VLOOKUP(C1551,IDC!$A$20:$H$1763,8,0),0)</f>
        <v>-403.2</v>
      </c>
      <c r="M1551" s="95">
        <f t="shared" si="50"/>
        <v>67199.999999999985</v>
      </c>
      <c r="O1551" s="1"/>
    </row>
    <row r="1552" spans="1:15" hidden="1">
      <c r="A1552" s="1" t="s">
        <v>1693</v>
      </c>
      <c r="B1552" s="1" t="s">
        <v>15</v>
      </c>
      <c r="C1552" s="71">
        <v>131417419112</v>
      </c>
      <c r="D1552" s="3">
        <v>75995.399999999994</v>
      </c>
      <c r="E1552" s="3">
        <v>15002349.42</v>
      </c>
      <c r="F1552" s="1" t="s">
        <v>3065</v>
      </c>
      <c r="G1552"/>
      <c r="H1552"/>
      <c r="I1552" s="19">
        <f>-IFERROR(VLOOKUP(C1552,SIRCUPA!$A$21:$H$221,8,0),0)</f>
        <v>0</v>
      </c>
      <c r="J1552" s="86">
        <f>-IFERROR(VLOOKUP(C1552,SIRTAC!$A$16:$H$1458,8,0),0)</f>
        <v>-780</v>
      </c>
      <c r="K1552" s="86">
        <f>-IFERROR(VLOOKUP(C1552,Gastos!$A$9:$J$1451,10,0),0)</f>
        <v>-756.6</v>
      </c>
      <c r="L1552" s="86">
        <f>-IFERROR(VLOOKUP(C1552,IDC!$A$20:$H$1763,8,0),0)</f>
        <v>-468</v>
      </c>
      <c r="M1552" s="95">
        <f t="shared" si="50"/>
        <v>78000</v>
      </c>
      <c r="O1552" s="1"/>
    </row>
    <row r="1553" spans="1:15" hidden="1">
      <c r="A1553" s="1" t="s">
        <v>1693</v>
      </c>
      <c r="B1553" s="1" t="s">
        <v>988</v>
      </c>
      <c r="C1553" s="71">
        <v>130829417965</v>
      </c>
      <c r="D1553" s="3">
        <v>3818.1</v>
      </c>
      <c r="E1553" s="3">
        <v>15006167.52</v>
      </c>
      <c r="F1553" s="1" t="s">
        <v>3065</v>
      </c>
      <c r="G1553"/>
      <c r="H1553"/>
      <c r="I1553" s="19">
        <f>-IFERROR(VLOOKUP(C1553,SIRCUPA!$A$21:$H$221,8,0),0)</f>
        <v>-58.5</v>
      </c>
      <c r="J1553" s="86">
        <f>-IFERROR(VLOOKUP(C1553,SIRTAC!$A$16:$H$1458,8,0),0)</f>
        <v>0</v>
      </c>
      <c r="K1553" s="86">
        <f>-IFERROR(VLOOKUP(C1553,Gastos!$A$9:$J$1451,10,0),0)</f>
        <v>0</v>
      </c>
      <c r="L1553" s="86">
        <f>-IFERROR(VLOOKUP(C1553,IDC!$A$20:$H$1763,8,0),0)</f>
        <v>-23.4</v>
      </c>
      <c r="M1553" s="95">
        <f t="shared" si="50"/>
        <v>3900</v>
      </c>
      <c r="O1553" s="1"/>
    </row>
    <row r="1554" spans="1:15" hidden="1">
      <c r="A1554" s="1" t="s">
        <v>1693</v>
      </c>
      <c r="B1554" s="1" t="s">
        <v>15</v>
      </c>
      <c r="C1554" s="71">
        <v>130829609829</v>
      </c>
      <c r="D1554" s="3">
        <v>24454.93</v>
      </c>
      <c r="E1554" s="3">
        <v>15030622.449999999</v>
      </c>
      <c r="F1554" s="1" t="s">
        <v>3065</v>
      </c>
      <c r="G1554"/>
      <c r="H1554"/>
      <c r="I1554" s="19">
        <f>-IFERROR(VLOOKUP(C1554,SIRCUPA!$A$21:$H$221,8,0),0)</f>
        <v>0</v>
      </c>
      <c r="J1554" s="86">
        <f>-IFERROR(VLOOKUP(C1554,SIRTAC!$A$16:$H$1458,8,0),0)</f>
        <v>-251</v>
      </c>
      <c r="K1554" s="86">
        <f>-IFERROR(VLOOKUP(C1554,Gastos!$A$9:$J$1451,10,0),0)</f>
        <v>-243.47</v>
      </c>
      <c r="L1554" s="86">
        <f>-IFERROR(VLOOKUP(C1554,IDC!$A$20:$H$1763,8,0),0)</f>
        <v>-150.6</v>
      </c>
      <c r="M1554" s="95">
        <f t="shared" si="50"/>
        <v>25100</v>
      </c>
      <c r="O1554" s="1"/>
    </row>
    <row r="1555" spans="1:15" hidden="1">
      <c r="A1555" s="1" t="s">
        <v>1693</v>
      </c>
      <c r="B1555" s="1" t="s">
        <v>15</v>
      </c>
      <c r="C1555" s="71">
        <v>130829896373</v>
      </c>
      <c r="D1555" s="3">
        <v>63734.58</v>
      </c>
      <c r="E1555" s="3">
        <v>15094357.029999999</v>
      </c>
      <c r="F1555" s="1" t="s">
        <v>3065</v>
      </c>
      <c r="G1555"/>
      <c r="H1555"/>
      <c r="I1555" s="19">
        <f>-IFERROR(VLOOKUP(C1555,SIRCUPA!$A$21:$H$221,8,0),0)</f>
        <v>0</v>
      </c>
      <c r="J1555" s="86">
        <f>-IFERROR(VLOOKUP(C1555,SIRTAC!$A$16:$H$1458,8,0),0)</f>
        <v>-702</v>
      </c>
      <c r="K1555" s="86">
        <f>-IFERROR(VLOOKUP(C1555,Gastos!$A$9:$J$1451,10,0),0)</f>
        <v>-5342.22</v>
      </c>
      <c r="L1555" s="86">
        <f>-IFERROR(VLOOKUP(C1555,IDC!$A$20:$H$1763,8,0),0)</f>
        <v>-421.2</v>
      </c>
      <c r="M1555" s="95">
        <f t="shared" si="50"/>
        <v>70200</v>
      </c>
      <c r="O1555" s="1"/>
    </row>
    <row r="1556" spans="1:15" hidden="1">
      <c r="A1556" s="1" t="s">
        <v>1693</v>
      </c>
      <c r="B1556" s="1" t="s">
        <v>15</v>
      </c>
      <c r="C1556" s="71">
        <v>131418186586</v>
      </c>
      <c r="D1556" s="3">
        <v>37997.699999999997</v>
      </c>
      <c r="E1556" s="3">
        <v>15132354.73</v>
      </c>
      <c r="F1556" s="1" t="s">
        <v>3065</v>
      </c>
      <c r="G1556"/>
      <c r="H1556"/>
      <c r="I1556" s="19">
        <f>-IFERROR(VLOOKUP(C1556,SIRCUPA!$A$21:$H$221,8,0),0)</f>
        <v>0</v>
      </c>
      <c r="J1556" s="86">
        <f>-IFERROR(VLOOKUP(C1556,SIRTAC!$A$16:$H$1458,8,0),0)</f>
        <v>-390</v>
      </c>
      <c r="K1556" s="86">
        <f>-IFERROR(VLOOKUP(C1556,Gastos!$A$9:$J$1451,10,0),0)</f>
        <v>-378.3</v>
      </c>
      <c r="L1556" s="86">
        <f>-IFERROR(VLOOKUP(C1556,IDC!$A$20:$H$1763,8,0),0)</f>
        <v>-234</v>
      </c>
      <c r="M1556" s="95">
        <f t="shared" si="50"/>
        <v>39000</v>
      </c>
      <c r="O1556" s="1"/>
    </row>
    <row r="1557" spans="1:15" hidden="1">
      <c r="A1557" s="1" t="s">
        <v>1693</v>
      </c>
      <c r="B1557" s="1" t="s">
        <v>15</v>
      </c>
      <c r="C1557" s="71">
        <v>130830174093</v>
      </c>
      <c r="D1557" s="3">
        <v>40492.339999999997</v>
      </c>
      <c r="E1557" s="3">
        <v>15172847.07</v>
      </c>
      <c r="F1557" s="1" t="s">
        <v>3065</v>
      </c>
      <c r="G1557"/>
      <c r="H1557"/>
      <c r="I1557" s="19">
        <f>-IFERROR(VLOOKUP(C1557,SIRCUPA!$A$21:$H$221,8,0),0)</f>
        <v>0</v>
      </c>
      <c r="J1557" s="86">
        <f>-IFERROR(VLOOKUP(C1557,SIRTAC!$A$16:$H$1458,8,0),0)</f>
        <v>-446</v>
      </c>
      <c r="K1557" s="86">
        <f>-IFERROR(VLOOKUP(C1557,Gastos!$A$9:$J$1451,10,0),0)</f>
        <v>-3394.06</v>
      </c>
      <c r="L1557" s="86">
        <f>-IFERROR(VLOOKUP(C1557,IDC!$A$20:$H$1763,8,0),0)</f>
        <v>-267.60000000000002</v>
      </c>
      <c r="M1557" s="95">
        <f t="shared" si="50"/>
        <v>44599.999999999993</v>
      </c>
      <c r="O1557" s="1"/>
    </row>
    <row r="1558" spans="1:15" hidden="1">
      <c r="A1558" s="1" t="s">
        <v>1693</v>
      </c>
      <c r="B1558" s="1" t="s">
        <v>15</v>
      </c>
      <c r="C1558" s="71">
        <v>131419481488</v>
      </c>
      <c r="D1558" s="3">
        <v>46290.3</v>
      </c>
      <c r="E1558" s="3">
        <v>15219137.369999999</v>
      </c>
      <c r="F1558" s="1" t="s">
        <v>3065</v>
      </c>
      <c r="G1558"/>
      <c r="H1558"/>
      <c r="I1558" s="19">
        <f>-IFERROR(VLOOKUP(C1558,SIRCUPA!$A$21:$H$221,8,0),0)</f>
        <v>0</v>
      </c>
      <c r="J1558" s="86">
        <f>-IFERROR(VLOOKUP(C1558,SIRTAC!$A$16:$H$1458,8,0),0)</f>
        <v>-490</v>
      </c>
      <c r="K1558" s="86">
        <f>-IFERROR(VLOOKUP(C1558,Gastos!$A$9:$J$1451,10,0),0)</f>
        <v>-1925.7</v>
      </c>
      <c r="L1558" s="86">
        <f>-IFERROR(VLOOKUP(C1558,IDC!$A$20:$H$1763,8,0),0)</f>
        <v>-294</v>
      </c>
      <c r="M1558" s="95">
        <f t="shared" si="50"/>
        <v>49000</v>
      </c>
      <c r="O1558" s="1"/>
    </row>
    <row r="1559" spans="1:15" hidden="1">
      <c r="A1559" s="1" t="s">
        <v>1693</v>
      </c>
      <c r="B1559" s="1" t="s">
        <v>15</v>
      </c>
      <c r="C1559" s="71">
        <v>131419980308</v>
      </c>
      <c r="D1559" s="3">
        <v>39069.43</v>
      </c>
      <c r="E1559" s="3">
        <v>15258206.800000001</v>
      </c>
      <c r="F1559" s="1" t="s">
        <v>3065</v>
      </c>
      <c r="G1559"/>
      <c r="H1559"/>
      <c r="I1559" s="19">
        <f>-IFERROR(VLOOKUP(C1559,SIRCUPA!$A$21:$H$221,8,0),0)</f>
        <v>0</v>
      </c>
      <c r="J1559" s="86">
        <f>-IFERROR(VLOOKUP(C1559,SIRTAC!$A$16:$H$1458,8,0),0)</f>
        <v>-401</v>
      </c>
      <c r="K1559" s="86">
        <f>-IFERROR(VLOOKUP(C1559,Gastos!$A$9:$J$1451,10,0),0)</f>
        <v>-388.97</v>
      </c>
      <c r="L1559" s="86">
        <f>-IFERROR(VLOOKUP(C1559,IDC!$A$20:$H$1763,8,0),0)</f>
        <v>-240.6</v>
      </c>
      <c r="M1559" s="95">
        <f t="shared" si="50"/>
        <v>40100</v>
      </c>
      <c r="O1559" s="1"/>
    </row>
    <row r="1560" spans="1:15" hidden="1">
      <c r="A1560" s="1" t="s">
        <v>1693</v>
      </c>
      <c r="B1560" s="1" t="s">
        <v>1732</v>
      </c>
      <c r="C1560" s="71">
        <v>130832024389</v>
      </c>
      <c r="D1560" s="3">
        <v>1962.89</v>
      </c>
      <c r="E1560" s="3">
        <v>15260169.689999999</v>
      </c>
      <c r="F1560" s="1" t="s">
        <v>3065</v>
      </c>
      <c r="G1560"/>
      <c r="H1560"/>
      <c r="I1560" s="19">
        <f>-IFERROR(VLOOKUP(C1560,SIRCUPA!$A$21:$H$221,8,0),0)</f>
        <v>-30.08</v>
      </c>
      <c r="J1560" s="86">
        <f>-IFERROR(VLOOKUP(C1560,SIRTAC!$A$16:$H$1458,8,0),0)</f>
        <v>0</v>
      </c>
      <c r="K1560" s="86">
        <f>-IFERROR(VLOOKUP(C1560,Gastos!$A$9:$J$1451,10,0),0)</f>
        <v>0</v>
      </c>
      <c r="L1560" s="86">
        <f>-IFERROR(VLOOKUP(C1560,IDC!$A$20:$H$1763,8,0),0)</f>
        <v>-12.03</v>
      </c>
      <c r="M1560" s="95">
        <f t="shared" si="50"/>
        <v>2005</v>
      </c>
      <c r="O1560" s="1"/>
    </row>
    <row r="1561" spans="1:15" hidden="1">
      <c r="A1561" s="1" t="s">
        <v>1693</v>
      </c>
      <c r="B1561" s="1" t="s">
        <v>15</v>
      </c>
      <c r="C1561" s="71">
        <v>131420014070</v>
      </c>
      <c r="D1561" s="3">
        <v>59822.02</v>
      </c>
      <c r="E1561" s="3">
        <v>15319991.710000001</v>
      </c>
      <c r="F1561" s="1" t="s">
        <v>3065</v>
      </c>
      <c r="G1561"/>
      <c r="H1561"/>
      <c r="I1561" s="19">
        <f>-IFERROR(VLOOKUP(C1561,SIRCUPA!$A$21:$H$221,8,0),0)</f>
        <v>0</v>
      </c>
      <c r="J1561" s="86">
        <f>-IFERROR(VLOOKUP(C1561,SIRTAC!$A$16:$H$1458,8,0),0)</f>
        <v>-614</v>
      </c>
      <c r="K1561" s="86">
        <f>-IFERROR(VLOOKUP(C1561,Gastos!$A$9:$J$1451,10,0),0)</f>
        <v>-595.58000000000004</v>
      </c>
      <c r="L1561" s="86">
        <f>-IFERROR(VLOOKUP(C1561,IDC!$A$20:$H$1763,8,0),0)</f>
        <v>-368.4</v>
      </c>
      <c r="M1561" s="95">
        <f t="shared" si="50"/>
        <v>61400</v>
      </c>
      <c r="O1561" s="1"/>
    </row>
    <row r="1562" spans="1:15" hidden="1">
      <c r="A1562" s="1" t="s">
        <v>1693</v>
      </c>
      <c r="B1562" s="1" t="s">
        <v>15</v>
      </c>
      <c r="C1562" s="71">
        <v>130832190117</v>
      </c>
      <c r="D1562" s="3">
        <v>28741.85</v>
      </c>
      <c r="E1562" s="3">
        <v>15348733.560000001</v>
      </c>
      <c r="F1562" s="1" t="s">
        <v>3065</v>
      </c>
      <c r="G1562"/>
      <c r="H1562"/>
      <c r="I1562" s="19">
        <f>-IFERROR(VLOOKUP(C1562,SIRCUPA!$A$21:$H$221,8,0),0)</f>
        <v>0</v>
      </c>
      <c r="J1562" s="86">
        <f>-IFERROR(VLOOKUP(C1562,SIRTAC!$A$16:$H$1458,8,0),0)</f>
        <v>-295</v>
      </c>
      <c r="K1562" s="86">
        <f>-IFERROR(VLOOKUP(C1562,Gastos!$A$9:$J$1451,10,0),0)</f>
        <v>-286.14999999999998</v>
      </c>
      <c r="L1562" s="86">
        <f>-IFERROR(VLOOKUP(C1562,IDC!$A$20:$H$1763,8,0),0)</f>
        <v>-177</v>
      </c>
      <c r="M1562" s="95">
        <f t="shared" si="50"/>
        <v>29500</v>
      </c>
      <c r="O1562" s="1"/>
    </row>
    <row r="1563" spans="1:15" hidden="1">
      <c r="A1563" s="1" t="s">
        <v>1693</v>
      </c>
      <c r="B1563" s="1" t="s">
        <v>15</v>
      </c>
      <c r="C1563" s="71">
        <v>131420396454</v>
      </c>
      <c r="D1563" s="3">
        <v>67547.759999999995</v>
      </c>
      <c r="E1563" s="3">
        <v>15416281.32</v>
      </c>
      <c r="F1563" s="1" t="s">
        <v>3065</v>
      </c>
      <c r="G1563"/>
      <c r="H1563"/>
      <c r="I1563" s="19">
        <f>-IFERROR(VLOOKUP(C1563,SIRCUPA!$A$21:$H$221,8,0),0)</f>
        <v>0</v>
      </c>
      <c r="J1563" s="86">
        <f>-IFERROR(VLOOKUP(C1563,SIRTAC!$A$16:$H$1458,8,0),0)</f>
        <v>-744</v>
      </c>
      <c r="K1563" s="86">
        <f>-IFERROR(VLOOKUP(C1563,Gastos!$A$9:$J$1451,10,0),0)</f>
        <v>-5661.84</v>
      </c>
      <c r="L1563" s="86">
        <f>-IFERROR(VLOOKUP(C1563,IDC!$A$20:$H$1763,8,0),0)</f>
        <v>-446.4</v>
      </c>
      <c r="M1563" s="95">
        <f t="shared" si="50"/>
        <v>74399.999999999985</v>
      </c>
      <c r="O1563" s="1"/>
    </row>
    <row r="1564" spans="1:15" hidden="1">
      <c r="A1564" s="1" t="s">
        <v>1693</v>
      </c>
      <c r="B1564" s="1" t="s">
        <v>15</v>
      </c>
      <c r="C1564" s="71">
        <v>130832438629</v>
      </c>
      <c r="D1564" s="3">
        <v>32998.57</v>
      </c>
      <c r="E1564" s="3">
        <v>15449279.890000001</v>
      </c>
      <c r="F1564" s="1" t="s">
        <v>3065</v>
      </c>
      <c r="G1564"/>
      <c r="H1564"/>
      <c r="I1564" s="19">
        <f>-IFERROR(VLOOKUP(C1564,SIRCUPA!$A$21:$H$221,8,0),0)</f>
        <v>0</v>
      </c>
      <c r="J1564" s="86">
        <f>-IFERROR(VLOOKUP(C1564,SIRTAC!$A$16:$H$1458,8,0),0)</f>
        <v>-341</v>
      </c>
      <c r="K1564" s="86">
        <f>-IFERROR(VLOOKUP(C1564,Gastos!$A$9:$J$1451,10,0),0)</f>
        <v>-555.83000000000004</v>
      </c>
      <c r="L1564" s="86">
        <f>-IFERROR(VLOOKUP(C1564,IDC!$A$20:$H$1763,8,0),0)</f>
        <v>-204.6</v>
      </c>
      <c r="M1564" s="95">
        <f t="shared" si="50"/>
        <v>34100</v>
      </c>
      <c r="O1564" s="1"/>
    </row>
    <row r="1565" spans="1:15" hidden="1">
      <c r="A1565" s="1" t="s">
        <v>1693</v>
      </c>
      <c r="B1565" s="1" t="s">
        <v>15</v>
      </c>
      <c r="C1565" s="71">
        <v>131420714572</v>
      </c>
      <c r="D1565" s="3">
        <v>29911.01</v>
      </c>
      <c r="E1565" s="3">
        <v>15479190.9</v>
      </c>
      <c r="F1565" s="1" t="s">
        <v>3065</v>
      </c>
      <c r="G1565"/>
      <c r="H1565"/>
      <c r="I1565" s="19">
        <f>-IFERROR(VLOOKUP(C1565,SIRCUPA!$A$21:$H$221,8,0),0)</f>
        <v>0</v>
      </c>
      <c r="J1565" s="86">
        <f>-IFERROR(VLOOKUP(C1565,SIRTAC!$A$16:$H$1458,8,0),0)</f>
        <v>-307</v>
      </c>
      <c r="K1565" s="86">
        <f>-IFERROR(VLOOKUP(C1565,Gastos!$A$9:$J$1451,10,0),0)</f>
        <v>-297.79000000000002</v>
      </c>
      <c r="L1565" s="86">
        <f>-IFERROR(VLOOKUP(C1565,IDC!$A$20:$H$1763,8,0),0)</f>
        <v>-184.2</v>
      </c>
      <c r="M1565" s="95">
        <f t="shared" si="50"/>
        <v>30700</v>
      </c>
      <c r="O1565" s="1"/>
    </row>
    <row r="1566" spans="1:15" hidden="1">
      <c r="A1566" s="1" t="s">
        <v>1693</v>
      </c>
      <c r="B1566" s="1" t="s">
        <v>15</v>
      </c>
      <c r="C1566" s="71">
        <v>131420822362</v>
      </c>
      <c r="D1566" s="3">
        <v>14264.97</v>
      </c>
      <c r="E1566" s="3">
        <v>15493455.869999999</v>
      </c>
      <c r="F1566" s="1" t="s">
        <v>3065</v>
      </c>
      <c r="G1566"/>
      <c r="H1566"/>
      <c r="I1566" s="19">
        <f>-IFERROR(VLOOKUP(C1566,SIRCUPA!$A$21:$H$221,8,0),0)</f>
        <v>0</v>
      </c>
      <c r="J1566" s="86">
        <f>-IFERROR(VLOOKUP(C1566,SIRTAC!$A$16:$H$1458,8,0),0)</f>
        <v>-151</v>
      </c>
      <c r="K1566" s="86">
        <f>-IFERROR(VLOOKUP(C1566,Gastos!$A$9:$J$1451,10,0),0)</f>
        <v>-593.42999999999995</v>
      </c>
      <c r="L1566" s="86">
        <f>-IFERROR(VLOOKUP(C1566,IDC!$A$20:$H$1763,8,0),0)</f>
        <v>-90.6</v>
      </c>
      <c r="M1566" s="95">
        <f t="shared" si="50"/>
        <v>15100</v>
      </c>
      <c r="O1566" s="1"/>
    </row>
    <row r="1567" spans="1:15" hidden="1">
      <c r="A1567" s="1" t="s">
        <v>1693</v>
      </c>
      <c r="B1567" s="1" t="s">
        <v>15</v>
      </c>
      <c r="C1567" s="71">
        <v>130832886979</v>
      </c>
      <c r="D1567" s="3">
        <v>29813.58</v>
      </c>
      <c r="E1567" s="3">
        <v>15523269.449999999</v>
      </c>
      <c r="F1567" s="1" t="s">
        <v>3065</v>
      </c>
      <c r="G1567"/>
      <c r="H1567"/>
      <c r="I1567" s="19">
        <f>-IFERROR(VLOOKUP(C1567,SIRCUPA!$A$21:$H$221,8,0),0)</f>
        <v>0</v>
      </c>
      <c r="J1567" s="86">
        <f>-IFERROR(VLOOKUP(C1567,SIRTAC!$A$16:$H$1458,8,0),0)</f>
        <v>-306</v>
      </c>
      <c r="K1567" s="86">
        <f>-IFERROR(VLOOKUP(C1567,Gastos!$A$9:$J$1451,10,0),0)</f>
        <v>-296.82</v>
      </c>
      <c r="L1567" s="86">
        <f>-IFERROR(VLOOKUP(C1567,IDC!$A$20:$H$1763,8,0),0)</f>
        <v>-183.6</v>
      </c>
      <c r="M1567" s="95">
        <f t="shared" si="50"/>
        <v>30600</v>
      </c>
      <c r="O1567" s="1"/>
    </row>
    <row r="1568" spans="1:15" hidden="1">
      <c r="A1568" s="1" t="s">
        <v>1693</v>
      </c>
      <c r="B1568" s="1" t="s">
        <v>15</v>
      </c>
      <c r="C1568" s="71">
        <v>130833236173</v>
      </c>
      <c r="D1568" s="3">
        <v>32684.400000000001</v>
      </c>
      <c r="E1568" s="3">
        <v>15555953.85</v>
      </c>
      <c r="F1568" s="1" t="s">
        <v>3065</v>
      </c>
      <c r="G1568"/>
      <c r="H1568"/>
      <c r="I1568" s="19">
        <f>-IFERROR(VLOOKUP(C1568,SIRCUPA!$A$21:$H$221,8,0),0)</f>
        <v>0</v>
      </c>
      <c r="J1568" s="86">
        <f>-IFERROR(VLOOKUP(C1568,SIRTAC!$A$16:$H$1458,8,0),0)</f>
        <v>-360</v>
      </c>
      <c r="K1568" s="86">
        <f>-IFERROR(VLOOKUP(C1568,Gastos!$A$9:$J$1451,10,0),0)</f>
        <v>-2739.6</v>
      </c>
      <c r="L1568" s="86">
        <f>-IFERROR(VLOOKUP(C1568,IDC!$A$20:$H$1763,8,0),0)</f>
        <v>-216</v>
      </c>
      <c r="M1568" s="95">
        <f t="shared" si="50"/>
        <v>36000</v>
      </c>
      <c r="O1568" s="1"/>
    </row>
    <row r="1569" spans="1:17" hidden="1">
      <c r="A1569" s="1" t="s">
        <v>1742</v>
      </c>
      <c r="B1569" s="1" t="s">
        <v>15</v>
      </c>
      <c r="C1569" s="71">
        <v>131421083902</v>
      </c>
      <c r="D1569" s="3">
        <v>188661.62</v>
      </c>
      <c r="E1569" s="3">
        <v>15744615.470000001</v>
      </c>
      <c r="F1569" s="1" t="s">
        <v>3065</v>
      </c>
      <c r="G1569"/>
      <c r="H1569"/>
      <c r="I1569" s="19">
        <f>-IFERROR(VLOOKUP(C1569,SIRCUPA!$A$21:$H$221,8,0),0)</f>
        <v>0</v>
      </c>
      <c r="J1569" s="86">
        <f>-IFERROR(VLOOKUP(C1569,SIRTAC!$A$16:$H$1458,8,0),0)</f>
        <v>-2078</v>
      </c>
      <c r="K1569" s="86">
        <f>-IFERROR(VLOOKUP(C1569,Gastos!$A$9:$J$1451,10,0),0)</f>
        <v>-15813.58</v>
      </c>
      <c r="L1569" s="86">
        <f>-IFERROR(VLOOKUP(C1569,IDC!$A$20:$H$1763,8,0),0)</f>
        <v>-1246.8</v>
      </c>
      <c r="M1569" s="95">
        <f t="shared" si="50"/>
        <v>207799.99999999997</v>
      </c>
      <c r="O1569" s="1"/>
    </row>
    <row r="1570" spans="1:17" hidden="1">
      <c r="A1570" s="1" t="s">
        <v>1742</v>
      </c>
      <c r="B1570" s="1" t="s">
        <v>15</v>
      </c>
      <c r="C1570" s="71">
        <v>130833658261</v>
      </c>
      <c r="D1570" s="3">
        <v>41377.86</v>
      </c>
      <c r="E1570" s="3">
        <v>15785993.33</v>
      </c>
      <c r="F1570" s="1" t="s">
        <v>3065</v>
      </c>
      <c r="G1570"/>
      <c r="H1570"/>
      <c r="I1570" s="19">
        <f>-IFERROR(VLOOKUP(C1570,SIRCUPA!$A$21:$H$221,8,0),0)</f>
        <v>0</v>
      </c>
      <c r="J1570" s="86">
        <f>-IFERROR(VLOOKUP(C1570,SIRTAC!$A$16:$H$1458,8,0),0)</f>
        <v>-438</v>
      </c>
      <c r="K1570" s="86">
        <f>-IFERROR(VLOOKUP(C1570,Gastos!$A$9:$J$1451,10,0),0)</f>
        <v>-1721.34</v>
      </c>
      <c r="L1570" s="86">
        <f>-IFERROR(VLOOKUP(C1570,IDC!$A$20:$H$1763,8,0),0)</f>
        <v>-262.8</v>
      </c>
      <c r="M1570" s="95">
        <f t="shared" si="50"/>
        <v>43800</v>
      </c>
      <c r="O1570" s="1"/>
    </row>
    <row r="1571" spans="1:17" hidden="1">
      <c r="A1571" s="1" t="s">
        <v>1742</v>
      </c>
      <c r="B1571" s="1" t="s">
        <v>15</v>
      </c>
      <c r="C1571" s="71">
        <v>131422078742</v>
      </c>
      <c r="D1571" s="3">
        <v>73267.360000000001</v>
      </c>
      <c r="E1571" s="3">
        <v>15859260.689999999</v>
      </c>
      <c r="F1571" s="1" t="s">
        <v>3065</v>
      </c>
      <c r="G1571"/>
      <c r="H1571"/>
      <c r="I1571" s="19">
        <f>-IFERROR(VLOOKUP(C1571,SIRCUPA!$A$21:$H$221,8,0),0)</f>
        <v>0</v>
      </c>
      <c r="J1571" s="86">
        <f>-IFERROR(VLOOKUP(C1571,SIRTAC!$A$16:$H$1458,8,0),0)</f>
        <v>-752</v>
      </c>
      <c r="K1571" s="86">
        <f>-IFERROR(VLOOKUP(C1571,Gastos!$A$9:$J$1451,10,0),0)</f>
        <v>-729.44</v>
      </c>
      <c r="L1571" s="86">
        <f>-IFERROR(VLOOKUP(C1571,IDC!$A$20:$H$1763,8,0),0)</f>
        <v>-451.2</v>
      </c>
      <c r="M1571" s="95">
        <f t="shared" si="50"/>
        <v>75200</v>
      </c>
      <c r="O1571" s="1"/>
    </row>
    <row r="1572" spans="1:17" hidden="1">
      <c r="A1572" s="1" t="s">
        <v>1742</v>
      </c>
      <c r="B1572" s="1" t="s">
        <v>1746</v>
      </c>
      <c r="C1572" s="71">
        <v>130833937323</v>
      </c>
      <c r="D1572" s="3">
        <v>3681.04</v>
      </c>
      <c r="E1572" s="3">
        <v>15862941.73</v>
      </c>
      <c r="F1572" s="1" t="s">
        <v>3065</v>
      </c>
      <c r="G1572"/>
      <c r="H1572"/>
      <c r="I1572" s="19">
        <f>-IFERROR(VLOOKUP(C1572,SIRCUPA!$A$21:$H$221,8,0),0)</f>
        <v>-56.4</v>
      </c>
      <c r="J1572" s="86">
        <f>-IFERROR(VLOOKUP(C1572,SIRTAC!$A$16:$H$1458,8,0),0)</f>
        <v>0</v>
      </c>
      <c r="K1572" s="86">
        <f>-IFERROR(VLOOKUP(C1572,Gastos!$A$9:$J$1451,10,0),0)</f>
        <v>0</v>
      </c>
      <c r="L1572" s="86">
        <f>-IFERROR(VLOOKUP(C1572,IDC!$A$20:$H$1763,8,0),0)</f>
        <v>-22.56</v>
      </c>
      <c r="M1572" s="95">
        <f t="shared" si="50"/>
        <v>3760</v>
      </c>
      <c r="O1572" s="1"/>
    </row>
    <row r="1573" spans="1:17" hidden="1">
      <c r="A1573" s="1" t="s">
        <v>1742</v>
      </c>
      <c r="B1573" s="1" t="s">
        <v>15</v>
      </c>
      <c r="C1573" s="71">
        <v>131422130626</v>
      </c>
      <c r="D1573" s="3">
        <v>45848.95</v>
      </c>
      <c r="E1573" s="3">
        <v>15908790.68</v>
      </c>
      <c r="F1573" s="1" t="s">
        <v>3065</v>
      </c>
      <c r="G1573"/>
      <c r="H1573"/>
      <c r="I1573" s="19">
        <f>-IFERROR(VLOOKUP(C1573,SIRCUPA!$A$21:$H$221,8,0),0)</f>
        <v>0</v>
      </c>
      <c r="J1573" s="86">
        <f>-IFERROR(VLOOKUP(C1573,SIRTAC!$A$16:$H$1458,8,0),0)</f>
        <v>-505</v>
      </c>
      <c r="K1573" s="86">
        <f>-IFERROR(VLOOKUP(C1573,Gastos!$A$9:$J$1451,10,0),0)</f>
        <v>-3843.05</v>
      </c>
      <c r="L1573" s="86">
        <f>-IFERROR(VLOOKUP(C1573,IDC!$A$20:$H$1763,8,0),0)</f>
        <v>-303</v>
      </c>
      <c r="M1573" s="95">
        <f t="shared" si="50"/>
        <v>50500</v>
      </c>
      <c r="O1573" s="1"/>
    </row>
    <row r="1574" spans="1:17" hidden="1">
      <c r="A1574" s="1" t="s">
        <v>1742</v>
      </c>
      <c r="B1574" s="1" t="s">
        <v>15</v>
      </c>
      <c r="C1574" s="71">
        <v>130835123143</v>
      </c>
      <c r="D1574" s="3">
        <v>4092.06</v>
      </c>
      <c r="E1574" s="3">
        <v>15912882.74</v>
      </c>
      <c r="F1574" s="1" t="s">
        <v>3065</v>
      </c>
      <c r="G1574"/>
      <c r="H1574"/>
      <c r="I1574" s="19">
        <f>-IFERROR(VLOOKUP(C1574,SIRCUPA!$A$21:$H$221,8,0),0)</f>
        <v>0</v>
      </c>
      <c r="J1574" s="86">
        <f>-IFERROR(VLOOKUP(C1574,SIRTAC!$A$16:$H$1458,8,0),0)</f>
        <v>-42</v>
      </c>
      <c r="K1574" s="86">
        <f>-IFERROR(VLOOKUP(C1574,Gastos!$A$9:$J$1451,10,0),0)</f>
        <v>-40.74</v>
      </c>
      <c r="L1574" s="86">
        <f>-IFERROR(VLOOKUP(C1574,IDC!$A$20:$H$1763,8,0),0)</f>
        <v>-25.2</v>
      </c>
      <c r="M1574" s="95">
        <f t="shared" si="50"/>
        <v>4199.9999999999991</v>
      </c>
      <c r="O1574" s="1"/>
    </row>
    <row r="1575" spans="1:17" hidden="1">
      <c r="A1575" s="1" t="s">
        <v>1742</v>
      </c>
      <c r="B1575" s="1" t="s">
        <v>1750</v>
      </c>
      <c r="C1575" s="71">
        <v>130835087415</v>
      </c>
      <c r="D1575" s="2">
        <v>411.18</v>
      </c>
      <c r="E1575" s="3">
        <v>15913293.92</v>
      </c>
      <c r="F1575" s="1" t="s">
        <v>3065</v>
      </c>
      <c r="G1575"/>
      <c r="H1575"/>
      <c r="I1575" s="19">
        <f>-IFERROR(VLOOKUP(C1575,SIRCUPA!$A$21:$H$221,8,0),0)</f>
        <v>-6.3</v>
      </c>
      <c r="J1575" s="86">
        <f>-IFERROR(VLOOKUP(C1575,SIRTAC!$A$16:$H$1458,8,0),0)</f>
        <v>0</v>
      </c>
      <c r="K1575" s="86">
        <f>-IFERROR(VLOOKUP(C1575,Gastos!$A$9:$J$1451,10,0),0)</f>
        <v>0</v>
      </c>
      <c r="L1575" s="86">
        <f>-IFERROR(VLOOKUP(C1575,IDC!$A$20:$H$1763,8,0),0)</f>
        <v>-2.52</v>
      </c>
      <c r="M1575" s="95">
        <f t="shared" si="50"/>
        <v>420</v>
      </c>
      <c r="O1575" s="1"/>
    </row>
    <row r="1576" spans="1:17" hidden="1">
      <c r="A1576" s="1" t="s">
        <v>1742</v>
      </c>
      <c r="B1576" s="1" t="s">
        <v>15</v>
      </c>
      <c r="C1576" s="71">
        <v>130835214777</v>
      </c>
      <c r="D1576" s="3">
        <v>9158.42</v>
      </c>
      <c r="E1576" s="3">
        <v>15922452.34</v>
      </c>
      <c r="F1576" s="1" t="s">
        <v>3065</v>
      </c>
      <c r="G1576"/>
      <c r="H1576"/>
      <c r="I1576" s="19">
        <f>-IFERROR(VLOOKUP(C1576,SIRCUPA!$A$21:$H$221,8,0),0)</f>
        <v>0</v>
      </c>
      <c r="J1576" s="86">
        <f>-IFERROR(VLOOKUP(C1576,SIRTAC!$A$16:$H$1458,8,0),0)</f>
        <v>-94</v>
      </c>
      <c r="K1576" s="86">
        <f>-IFERROR(VLOOKUP(C1576,Gastos!$A$9:$J$1451,10,0),0)</f>
        <v>-91.18</v>
      </c>
      <c r="L1576" s="86">
        <f>-IFERROR(VLOOKUP(C1576,IDC!$A$20:$H$1763,8,0),0)</f>
        <v>-56.4</v>
      </c>
      <c r="M1576" s="95">
        <f t="shared" si="50"/>
        <v>9400</v>
      </c>
      <c r="O1576" s="1"/>
    </row>
    <row r="1577" spans="1:17" hidden="1">
      <c r="A1577" s="1" t="s">
        <v>1742</v>
      </c>
      <c r="B1577" s="1" t="s">
        <v>15</v>
      </c>
      <c r="C1577" s="71">
        <v>131423917348</v>
      </c>
      <c r="D1577" s="3">
        <v>28059.84</v>
      </c>
      <c r="E1577" s="3">
        <v>15950512.18</v>
      </c>
      <c r="F1577" s="1" t="s">
        <v>3065</v>
      </c>
      <c r="G1577"/>
      <c r="H1577"/>
      <c r="I1577" s="19">
        <f>-IFERROR(VLOOKUP(C1577,SIRCUPA!$A$21:$H$221,8,0),0)</f>
        <v>0</v>
      </c>
      <c r="J1577" s="86">
        <f>-IFERROR(VLOOKUP(C1577,SIRTAC!$A$16:$H$1458,8,0),0)</f>
        <v>-288</v>
      </c>
      <c r="K1577" s="86">
        <f>-IFERROR(VLOOKUP(C1577,Gastos!$A$9:$J$1451,10,0),0)</f>
        <v>-279.36</v>
      </c>
      <c r="L1577" s="86">
        <f>-IFERROR(VLOOKUP(C1577,IDC!$A$20:$H$1763,8,0),0)</f>
        <v>-172.8</v>
      </c>
      <c r="M1577" s="95">
        <f t="shared" si="50"/>
        <v>28800</v>
      </c>
      <c r="O1577" s="1"/>
    </row>
    <row r="1578" spans="1:17" hidden="1">
      <c r="A1578" s="1" t="s">
        <v>1742</v>
      </c>
      <c r="B1578" s="1" t="s">
        <v>15</v>
      </c>
      <c r="C1578" s="71">
        <v>130836071205</v>
      </c>
      <c r="D1578" s="3">
        <v>9353.2800000000007</v>
      </c>
      <c r="E1578" s="3">
        <v>15959865.460000001</v>
      </c>
      <c r="F1578" s="1" t="s">
        <v>3065</v>
      </c>
      <c r="G1578"/>
      <c r="H1578"/>
      <c r="I1578" s="19">
        <f>-IFERROR(VLOOKUP(C1578,SIRCUPA!$A$21:$H$221,8,0),0)</f>
        <v>0</v>
      </c>
      <c r="J1578" s="86">
        <f>-IFERROR(VLOOKUP(C1578,SIRTAC!$A$16:$H$1458,8,0),0)</f>
        <v>-96</v>
      </c>
      <c r="K1578" s="86">
        <f>-IFERROR(VLOOKUP(C1578,Gastos!$A$9:$J$1451,10,0),0)</f>
        <v>-93.12</v>
      </c>
      <c r="L1578" s="86">
        <f>-IFERROR(VLOOKUP(C1578,IDC!$A$20:$H$1763,8,0),0)</f>
        <v>-57.6</v>
      </c>
      <c r="M1578" s="95">
        <f t="shared" si="50"/>
        <v>9600.0000000000018</v>
      </c>
      <c r="O1578" s="1"/>
    </row>
    <row r="1579" spans="1:17" hidden="1">
      <c r="A1579" s="1" t="s">
        <v>1742</v>
      </c>
      <c r="B1579" s="1" t="s">
        <v>15</v>
      </c>
      <c r="C1579" s="71">
        <v>131424102768</v>
      </c>
      <c r="D1579" s="3">
        <v>90902.19</v>
      </c>
      <c r="E1579" s="3">
        <v>16050767.65</v>
      </c>
      <c r="F1579" s="1" t="s">
        <v>3065</v>
      </c>
      <c r="G1579"/>
      <c r="H1579"/>
      <c r="I1579" s="19">
        <f>-IFERROR(VLOOKUP(C1579,SIRCUPA!$A$21:$H$221,8,0),0)</f>
        <v>0</v>
      </c>
      <c r="J1579" s="86">
        <f>-IFERROR(VLOOKUP(C1579,SIRTAC!$A$16:$H$1458,8,0),0)</f>
        <v>-933</v>
      </c>
      <c r="K1579" s="86">
        <f>-IFERROR(VLOOKUP(C1579,Gastos!$A$9:$J$1451,10,0),0)</f>
        <v>-905.01</v>
      </c>
      <c r="L1579" s="86">
        <f>-IFERROR(VLOOKUP(C1579,IDC!$A$20:$H$1763,8,0),0)</f>
        <v>-559.79999999999995</v>
      </c>
      <c r="M1579" s="95">
        <f t="shared" si="50"/>
        <v>93300</v>
      </c>
      <c r="O1579" s="1"/>
    </row>
    <row r="1580" spans="1:17" hidden="1">
      <c r="A1580" s="1" t="s">
        <v>1742</v>
      </c>
      <c r="B1580" s="1" t="s">
        <v>15</v>
      </c>
      <c r="C1580" s="71">
        <v>131425827694</v>
      </c>
      <c r="D1580" s="3">
        <v>19486</v>
      </c>
      <c r="E1580" s="3">
        <v>16070253.65</v>
      </c>
      <c r="F1580" s="1" t="s">
        <v>3065</v>
      </c>
      <c r="G1580"/>
      <c r="H1580"/>
      <c r="I1580" s="19">
        <f>-IFERROR(VLOOKUP(C1580,SIRCUPA!$A$21:$H$221,8,0),0)</f>
        <v>0</v>
      </c>
      <c r="J1580" s="86">
        <f>-IFERROR(VLOOKUP(C1580,SIRTAC!$A$16:$H$1458,8,0),0)</f>
        <v>-200</v>
      </c>
      <c r="K1580" s="86">
        <f>-IFERROR(VLOOKUP(C1580,Gastos!$A$9:$J$1451,10,0),0)</f>
        <v>-194</v>
      </c>
      <c r="L1580" s="86">
        <f>-IFERROR(VLOOKUP(C1580,IDC!$A$20:$H$1763,8,0),0)</f>
        <v>-120</v>
      </c>
      <c r="M1580" s="95">
        <f t="shared" ref="M1580:M1581" si="51">+D1580-I1580-J1580-K1580-L1580</f>
        <v>20000</v>
      </c>
      <c r="O1580" s="1"/>
    </row>
    <row r="1581" spans="1:17" hidden="1">
      <c r="A1581" s="1" t="s">
        <v>1742</v>
      </c>
      <c r="B1581" s="1" t="s">
        <v>15</v>
      </c>
      <c r="C1581" s="71">
        <v>130837987485</v>
      </c>
      <c r="D1581" s="3">
        <v>16331.64</v>
      </c>
      <c r="E1581" s="3">
        <v>16086585.289999999</v>
      </c>
      <c r="F1581" s="1" t="s">
        <v>3065</v>
      </c>
      <c r="G1581"/>
      <c r="H1581"/>
      <c r="I1581" s="19">
        <f>-IFERROR(VLOOKUP(C1581,SIRCUPA!$A$21:$H$221,8,0),0)</f>
        <v>0</v>
      </c>
      <c r="J1581" s="86">
        <f>-IFERROR(VLOOKUP(C1581,SIRTAC!$A$16:$H$1458,8,0),0)</f>
        <v>-174</v>
      </c>
      <c r="K1581" s="86">
        <f>-IFERROR(VLOOKUP(C1581,Gastos!$A$9:$J$1451,10,0),0)</f>
        <v>-789.96</v>
      </c>
      <c r="L1581" s="86">
        <f>-IFERROR(VLOOKUP(C1581,IDC!$A$20:$H$1763,8,0),0)</f>
        <v>-104.4</v>
      </c>
      <c r="M1581" s="95">
        <f t="shared" si="51"/>
        <v>17400</v>
      </c>
      <c r="O1581" s="1"/>
    </row>
    <row r="1582" spans="1:17" s="67" customFormat="1" hidden="1">
      <c r="A1582" s="67" t="s">
        <v>1428</v>
      </c>
      <c r="B1582" s="67" t="s">
        <v>51</v>
      </c>
      <c r="C1582" s="75">
        <v>131007744612</v>
      </c>
      <c r="D1582" s="68">
        <v>-1821.6</v>
      </c>
      <c r="E1582" s="3">
        <v>11313279.560000001</v>
      </c>
      <c r="F1582" s="67" t="s">
        <v>3062</v>
      </c>
      <c r="G1582" s="69">
        <f>+D1582/0.006</f>
        <v>-303600</v>
      </c>
      <c r="H1582" s="69"/>
      <c r="I1582" s="69">
        <f>-IFERROR(VLOOKUP(C1582,SIRCUPA!$A$21:$H$221,8,0),0)</f>
        <v>0</v>
      </c>
      <c r="J1582" s="69">
        <f>-IFERROR(VLOOKUP(C1582,SIRTAC!$A$16:$H$1458,8,0),0)</f>
        <v>0</v>
      </c>
      <c r="K1582" s="69">
        <f>-IFERROR(VLOOKUP(C1582,Gastos!$A$9:$J$1451,10,0),0)</f>
        <v>0</v>
      </c>
      <c r="L1582" s="69"/>
      <c r="M1582" s="96">
        <f>+D1582</f>
        <v>-1821.6</v>
      </c>
      <c r="P1582" s="19"/>
      <c r="Q1582" s="19"/>
    </row>
    <row r="1583" spans="1:17" s="67" customFormat="1" hidden="1">
      <c r="A1583" s="67" t="s">
        <v>1428</v>
      </c>
      <c r="B1583" s="67" t="s">
        <v>1453</v>
      </c>
      <c r="C1583" s="75">
        <v>131007744612</v>
      </c>
      <c r="D1583" s="68">
        <v>-303600</v>
      </c>
      <c r="E1583" s="3">
        <v>11315101.16</v>
      </c>
      <c r="F1583" s="67" t="s">
        <v>3066</v>
      </c>
      <c r="G1583" s="69">
        <f>+D1583/1.006</f>
        <v>-301789.26441351889</v>
      </c>
      <c r="H1583" s="69">
        <f>+D1583-G1583</f>
        <v>-1810.7355864811107</v>
      </c>
      <c r="I1583" s="69">
        <f>-IFERROR(VLOOKUP(C1583,SIRCUPA!$A$21:$H$221,8,0),0)</f>
        <v>0</v>
      </c>
      <c r="J1583" s="69">
        <f>-IFERROR(VLOOKUP(C1583,SIRTAC!$A$16:$H$1458,8,0),0)</f>
        <v>0</v>
      </c>
      <c r="K1583" s="69">
        <f>-IFERROR(VLOOKUP(C1583,Gastos!$A$9:$J$1451,10,0),0)</f>
        <v>0</v>
      </c>
      <c r="L1583" s="69">
        <f>-IFERROR(VLOOKUP(C1583,IDC!$A$20:$H$1763,8,0),0)</f>
        <v>-1821.6</v>
      </c>
      <c r="M1583" s="96">
        <f>+D1583</f>
        <v>-303600</v>
      </c>
      <c r="P1583" s="19"/>
      <c r="Q1583" s="19"/>
    </row>
    <row r="1584" spans="1:17" hidden="1">
      <c r="A1584" s="1" t="s">
        <v>1428</v>
      </c>
      <c r="B1584" s="1" t="s">
        <v>53</v>
      </c>
      <c r="C1584" s="71">
        <v>131021496516</v>
      </c>
      <c r="D1584" s="3">
        <v>-374232</v>
      </c>
      <c r="E1584" s="3">
        <v>10487139.960000001</v>
      </c>
      <c r="F1584" s="1" t="s">
        <v>3066</v>
      </c>
      <c r="G1584" s="19">
        <f>+D1584/1.006</f>
        <v>-372000</v>
      </c>
      <c r="H1584" s="19">
        <f>+D1584-G1584</f>
        <v>-2232</v>
      </c>
      <c r="I1584" s="19">
        <f>-IFERROR(VLOOKUP(C1584,SIRCUPA!$A$21:$H$221,8,0),0)</f>
        <v>0</v>
      </c>
      <c r="J1584" s="86">
        <f>-IFERROR(VLOOKUP(C1584,SIRTAC!$A$16:$H$1458,8,0),0)</f>
        <v>0</v>
      </c>
      <c r="K1584" s="86">
        <f>-IFERROR(VLOOKUP(C1584,Gastos!$A$9:$J$1451,10,0),0)</f>
        <v>0</v>
      </c>
      <c r="L1584" s="86">
        <f>-IFERROR(VLOOKUP(C1584,IDC!$A$20:$H$1763,8,0),0)</f>
        <v>-2232</v>
      </c>
      <c r="M1584" s="94">
        <f>+D1584-I1584-J1584-K1584-L1584</f>
        <v>-372000</v>
      </c>
      <c r="O1584" s="1" t="s">
        <v>2021</v>
      </c>
    </row>
    <row r="1585" spans="1:17" hidden="1">
      <c r="A1585" s="1" t="s">
        <v>1428</v>
      </c>
      <c r="B1585" s="1" t="s">
        <v>475</v>
      </c>
      <c r="C1585" s="71">
        <v>131024553804</v>
      </c>
      <c r="D1585" s="3">
        <v>-22534.41</v>
      </c>
      <c r="E1585" s="3">
        <v>10464605.550000001</v>
      </c>
      <c r="F1585" s="1" t="s">
        <v>3066</v>
      </c>
      <c r="G1585" s="19">
        <f>+D1585/1.006</f>
        <v>-22400.009940357853</v>
      </c>
      <c r="H1585" s="19">
        <f>+D1585-G1585</f>
        <v>-134.40005964214652</v>
      </c>
      <c r="I1585" s="19">
        <f>-IFERROR(VLOOKUP(C1585,SIRCUPA!$A$21:$H$221,8,0),0)</f>
        <v>0</v>
      </c>
      <c r="J1585" s="86">
        <f>-IFERROR(VLOOKUP(C1585,SIRTAC!$A$16:$H$1458,8,0),0)</f>
        <v>0</v>
      </c>
      <c r="K1585" s="86">
        <f>-IFERROR(VLOOKUP(C1585,Gastos!$A$9:$J$1451,10,0),0)</f>
        <v>0</v>
      </c>
      <c r="L1585" s="86">
        <f>+D1585-G1585</f>
        <v>-134.40005964214652</v>
      </c>
      <c r="M1585" s="94">
        <f>+D1585-I1585-J1585-K1585-L1585</f>
        <v>-22400.009940357853</v>
      </c>
      <c r="O1585" s="1" t="s">
        <v>2012</v>
      </c>
    </row>
    <row r="1586" spans="1:17" hidden="1">
      <c r="A1586" s="1" t="s">
        <v>1764</v>
      </c>
      <c r="B1586" s="1" t="s">
        <v>465</v>
      </c>
      <c r="C1586" s="71">
        <v>131044883445</v>
      </c>
      <c r="D1586" s="3">
        <v>-1502661.19</v>
      </c>
      <c r="E1586" s="3">
        <v>12359909.359999999</v>
      </c>
      <c r="F1586" s="1" t="s">
        <v>3066</v>
      </c>
      <c r="G1586" s="19">
        <f>+D1586/1.006</f>
        <v>-1493698.9960238568</v>
      </c>
      <c r="H1586" s="19">
        <f>+D1586-G1586</f>
        <v>-8962.1939761431422</v>
      </c>
      <c r="I1586" s="19">
        <f>-IFERROR(VLOOKUP(C1586,SIRCUPA!$A$21:$H$221,8,0),0)</f>
        <v>0</v>
      </c>
      <c r="J1586" s="86">
        <f>-IFERROR(VLOOKUP(C1586,SIRTAC!$A$16:$H$1458,8,0),0)</f>
        <v>0</v>
      </c>
      <c r="K1586" s="86">
        <f>-IFERROR(VLOOKUP(C1586,Gastos!$A$9:$J$1451,10,0),0)</f>
        <v>0</v>
      </c>
      <c r="L1586" s="86">
        <f>+D1586-G1586</f>
        <v>-8962.1939761431422</v>
      </c>
      <c r="M1586" s="94">
        <f>+D1586-I1586-J1586-K1586-L1586</f>
        <v>-1493698.9960238568</v>
      </c>
      <c r="O1586" s="1"/>
    </row>
    <row r="1587" spans="1:17" s="67" customFormat="1" hidden="1">
      <c r="A1587" s="67" t="s">
        <v>1768</v>
      </c>
      <c r="B1587" s="67" t="s">
        <v>51</v>
      </c>
      <c r="C1587" s="75">
        <v>131115803725</v>
      </c>
      <c r="D1587" s="68">
        <v>-1171.8</v>
      </c>
      <c r="E1587" s="3">
        <v>12163437.560000001</v>
      </c>
      <c r="F1587" s="67" t="s">
        <v>3062</v>
      </c>
      <c r="G1587" s="69">
        <f>+D1587/0.006</f>
        <v>-195300</v>
      </c>
      <c r="H1587" s="69"/>
      <c r="I1587" s="69">
        <f>-IFERROR(VLOOKUP(C1587,SIRCUPA!$A$21:$H$221,8,0),0)</f>
        <v>0</v>
      </c>
      <c r="J1587" s="69">
        <f>-IFERROR(VLOOKUP(C1587,SIRTAC!$A$16:$H$1458,8,0),0)</f>
        <v>0</v>
      </c>
      <c r="K1587" s="69">
        <f>-IFERROR(VLOOKUP(C1587,Gastos!$A$9:$J$1451,10,0),0)</f>
        <v>0</v>
      </c>
      <c r="L1587" s="69"/>
      <c r="M1587" s="96">
        <f>+D1587</f>
        <v>-1171.8</v>
      </c>
      <c r="P1587" s="19"/>
      <c r="Q1587" s="19"/>
    </row>
    <row r="1588" spans="1:17" s="67" customFormat="1" hidden="1">
      <c r="A1588" s="67" t="s">
        <v>1768</v>
      </c>
      <c r="B1588" s="67" t="s">
        <v>1769</v>
      </c>
      <c r="C1588" s="75">
        <v>131115803725</v>
      </c>
      <c r="D1588" s="68">
        <v>-195300</v>
      </c>
      <c r="E1588" s="3">
        <v>12164609.359999999</v>
      </c>
      <c r="F1588" s="67" t="s">
        <v>3066</v>
      </c>
      <c r="G1588" s="69">
        <f>+D1588/1.006</f>
        <v>-194135.1888667992</v>
      </c>
      <c r="H1588" s="69">
        <f>+D1588-G1588</f>
        <v>-1164.8111332007975</v>
      </c>
      <c r="I1588" s="69">
        <f>-IFERROR(VLOOKUP(C1588,SIRCUPA!$A$21:$H$221,8,0),0)</f>
        <v>0</v>
      </c>
      <c r="J1588" s="69">
        <f>-IFERROR(VLOOKUP(C1588,SIRTAC!$A$16:$H$1458,8,0),0)</f>
        <v>0</v>
      </c>
      <c r="K1588" s="69">
        <f>-IFERROR(VLOOKUP(C1588,Gastos!$A$9:$J$1451,10,0),0)</f>
        <v>0</v>
      </c>
      <c r="L1588" s="69">
        <f>-IFERROR(VLOOKUP(C1588,IDC!$A$20:$H$1763,8,0),0)</f>
        <v>-1171.8</v>
      </c>
      <c r="M1588" s="96">
        <f>+D1588</f>
        <v>-195300</v>
      </c>
      <c r="P1588" s="19"/>
      <c r="Q1588" s="19"/>
    </row>
    <row r="1589" spans="1:17" hidden="1">
      <c r="A1589" s="1" t="s">
        <v>1768</v>
      </c>
      <c r="B1589" s="1" t="s">
        <v>1388</v>
      </c>
      <c r="C1589" s="71">
        <v>131118655135</v>
      </c>
      <c r="D1589" s="3">
        <v>-148027.37</v>
      </c>
      <c r="E1589" s="3">
        <v>11764302.529999999</v>
      </c>
      <c r="F1589" s="1" t="s">
        <v>3066</v>
      </c>
      <c r="G1589" s="19">
        <f>+D1589/1.006</f>
        <v>-147144.50298210734</v>
      </c>
      <c r="H1589" s="19">
        <f>+D1589-G1589</f>
        <v>-882.86701789265499</v>
      </c>
      <c r="I1589" s="19">
        <f>-IFERROR(VLOOKUP(C1589,SIRCUPA!$A$21:$H$221,8,0),0)</f>
        <v>0</v>
      </c>
      <c r="J1589" s="86">
        <f>-IFERROR(VLOOKUP(C1589,SIRTAC!$A$16:$H$1458,8,0),0)</f>
        <v>0</v>
      </c>
      <c r="K1589" s="86">
        <f>-IFERROR(VLOOKUP(C1589,Gastos!$A$9:$J$1451,10,0),0)</f>
        <v>0</v>
      </c>
      <c r="L1589" s="86">
        <f>+D1589-G1589</f>
        <v>-882.86701789265499</v>
      </c>
      <c r="M1589" s="94">
        <f>+D1589-I1589-J1589-K1589-L1589</f>
        <v>-147144.50298210734</v>
      </c>
      <c r="O1589" s="1"/>
    </row>
    <row r="1590" spans="1:17" s="67" customFormat="1" hidden="1">
      <c r="A1590" s="67" t="s">
        <v>1768</v>
      </c>
      <c r="B1590" s="67" t="s">
        <v>51</v>
      </c>
      <c r="C1590" s="75">
        <v>131129710683</v>
      </c>
      <c r="D1590" s="68">
        <v>-1200</v>
      </c>
      <c r="E1590" s="3">
        <v>11563102.529999999</v>
      </c>
      <c r="F1590" s="67" t="s">
        <v>3062</v>
      </c>
      <c r="G1590" s="69">
        <f>+D1590/0.006</f>
        <v>-200000</v>
      </c>
      <c r="H1590" s="69"/>
      <c r="I1590" s="69">
        <f>-IFERROR(VLOOKUP(C1590,SIRCUPA!$A$21:$H$221,8,0),0)</f>
        <v>0</v>
      </c>
      <c r="J1590" s="69">
        <f>-IFERROR(VLOOKUP(C1590,SIRTAC!$A$16:$H$1458,8,0),0)</f>
        <v>0</v>
      </c>
      <c r="K1590" s="69">
        <f>-IFERROR(VLOOKUP(C1590,Gastos!$A$9:$J$1451,10,0),0)</f>
        <v>0</v>
      </c>
      <c r="L1590" s="69"/>
      <c r="M1590" s="96">
        <f t="shared" ref="M1590:M1595" si="52">+D1590</f>
        <v>-1200</v>
      </c>
      <c r="P1590" s="19"/>
      <c r="Q1590" s="19"/>
    </row>
    <row r="1591" spans="1:17" s="67" customFormat="1" hidden="1">
      <c r="A1591" s="67" t="s">
        <v>1768</v>
      </c>
      <c r="B1591" s="67" t="s">
        <v>1774</v>
      </c>
      <c r="C1591" s="75">
        <v>131129710683</v>
      </c>
      <c r="D1591" s="68">
        <v>-200000</v>
      </c>
      <c r="E1591" s="3">
        <v>11564302.529999999</v>
      </c>
      <c r="F1591" s="67" t="s">
        <v>3069</v>
      </c>
      <c r="G1591" s="69">
        <f>+D1591/1.006</f>
        <v>-198807.15705765408</v>
      </c>
      <c r="H1591" s="69">
        <f>+D1591-G1591</f>
        <v>-1192.8429423459165</v>
      </c>
      <c r="I1591" s="69">
        <f>-IFERROR(VLOOKUP(C1591,SIRCUPA!$A$21:$H$221,8,0),0)</f>
        <v>0</v>
      </c>
      <c r="J1591" s="69">
        <f>-IFERROR(VLOOKUP(C1591,SIRTAC!$A$16:$H$1458,8,0),0)</f>
        <v>0</v>
      </c>
      <c r="K1591" s="69">
        <f>-IFERROR(VLOOKUP(C1591,Gastos!$A$9:$J$1451,10,0),0)</f>
        <v>0</v>
      </c>
      <c r="L1591" s="69">
        <f>-IFERROR(VLOOKUP(C1591,IDC!$A$20:$H$1763,8,0),0)</f>
        <v>-1200</v>
      </c>
      <c r="M1591" s="96">
        <f t="shared" si="52"/>
        <v>-200000</v>
      </c>
      <c r="P1591" s="19"/>
      <c r="Q1591" s="19"/>
    </row>
    <row r="1592" spans="1:17" s="67" customFormat="1" hidden="1">
      <c r="A1592" s="67" t="s">
        <v>1630</v>
      </c>
      <c r="B1592" s="67" t="s">
        <v>51</v>
      </c>
      <c r="C1592" s="75">
        <v>131259089018</v>
      </c>
      <c r="D1592" s="70">
        <v>-394.19</v>
      </c>
      <c r="E1592" s="3">
        <v>13539785.67</v>
      </c>
      <c r="F1592" s="67" t="s">
        <v>3062</v>
      </c>
      <c r="G1592" s="69">
        <f>+D1592/0.006</f>
        <v>-65698.333333333328</v>
      </c>
      <c r="H1592" s="69"/>
      <c r="I1592" s="69">
        <f>-IFERROR(VLOOKUP(C1592,SIRCUPA!$A$21:$H$221,8,0),0)</f>
        <v>0</v>
      </c>
      <c r="J1592" s="69">
        <f>-IFERROR(VLOOKUP(C1592,SIRTAC!$A$16:$H$1458,8,0),0)</f>
        <v>0</v>
      </c>
      <c r="K1592" s="69">
        <f>-IFERROR(VLOOKUP(C1592,Gastos!$A$9:$J$1451,10,0),0)</f>
        <v>0</v>
      </c>
      <c r="L1592" s="69"/>
      <c r="M1592" s="96">
        <f t="shared" si="52"/>
        <v>-394.19</v>
      </c>
      <c r="P1592" s="19"/>
      <c r="Q1592" s="19"/>
    </row>
    <row r="1593" spans="1:17" s="67" customFormat="1" hidden="1">
      <c r="A1593" s="67" t="s">
        <v>1630</v>
      </c>
      <c r="B1593" s="67" t="s">
        <v>49</v>
      </c>
      <c r="C1593" s="75">
        <v>131259089018</v>
      </c>
      <c r="D1593" s="68">
        <v>-65698.570000000007</v>
      </c>
      <c r="E1593" s="3">
        <v>13540179.859999999</v>
      </c>
      <c r="F1593" s="67" t="s">
        <v>3066</v>
      </c>
      <c r="G1593" s="69">
        <f>+D1593/1.006</f>
        <v>-65306.729622266408</v>
      </c>
      <c r="H1593" s="69">
        <f>+D1593-G1593</f>
        <v>-391.84037773359887</v>
      </c>
      <c r="I1593" s="69">
        <f>-IFERROR(VLOOKUP(C1593,SIRCUPA!$A$21:$H$221,8,0),0)</f>
        <v>0</v>
      </c>
      <c r="J1593" s="69">
        <f>-IFERROR(VLOOKUP(C1593,SIRTAC!$A$16:$H$1458,8,0),0)</f>
        <v>0</v>
      </c>
      <c r="K1593" s="69">
        <f>-IFERROR(VLOOKUP(C1593,Gastos!$A$9:$J$1451,10,0),0)</f>
        <v>0</v>
      </c>
      <c r="L1593" s="69">
        <f>-IFERROR(VLOOKUP(C1593,IDC!$A$20:$H$1763,8,0),0)</f>
        <v>-394.19</v>
      </c>
      <c r="M1593" s="96">
        <f t="shared" si="52"/>
        <v>-65698.570000000007</v>
      </c>
      <c r="P1593" s="19"/>
      <c r="Q1593" s="19"/>
    </row>
    <row r="1594" spans="1:17" s="67" customFormat="1" hidden="1">
      <c r="A1594" s="67" t="s">
        <v>1630</v>
      </c>
      <c r="B1594" s="67" t="s">
        <v>51</v>
      </c>
      <c r="C1594" s="75">
        <v>131265070110</v>
      </c>
      <c r="D1594" s="70">
        <v>-702.12</v>
      </c>
      <c r="E1594" s="3">
        <v>13422064.380000001</v>
      </c>
      <c r="F1594" s="67" t="s">
        <v>3062</v>
      </c>
      <c r="G1594" s="69">
        <f>+D1594/0.006</f>
        <v>-117020</v>
      </c>
      <c r="H1594" s="69"/>
      <c r="I1594" s="69">
        <f>-IFERROR(VLOOKUP(C1594,SIRCUPA!$A$21:$H$221,8,0),0)</f>
        <v>0</v>
      </c>
      <c r="J1594" s="69">
        <f>-IFERROR(VLOOKUP(C1594,SIRTAC!$A$16:$H$1458,8,0),0)</f>
        <v>0</v>
      </c>
      <c r="K1594" s="69">
        <f>-IFERROR(VLOOKUP(C1594,Gastos!$A$9:$J$1451,10,0),0)</f>
        <v>0</v>
      </c>
      <c r="L1594" s="69"/>
      <c r="M1594" s="96">
        <f t="shared" si="52"/>
        <v>-702.12</v>
      </c>
      <c r="P1594" s="19"/>
      <c r="Q1594" s="19"/>
    </row>
    <row r="1595" spans="1:17" s="67" customFormat="1" hidden="1">
      <c r="A1595" s="67" t="s">
        <v>1630</v>
      </c>
      <c r="B1595" s="67" t="s">
        <v>482</v>
      </c>
      <c r="C1595" s="75">
        <v>131265070110</v>
      </c>
      <c r="D1595" s="68">
        <v>-117019.17</v>
      </c>
      <c r="E1595" s="3">
        <v>13422766.5</v>
      </c>
      <c r="F1595" s="67" t="s">
        <v>3066</v>
      </c>
      <c r="G1595" s="69">
        <f>+D1595/1.006</f>
        <v>-116321.24254473161</v>
      </c>
      <c r="H1595" s="69">
        <f>+D1595-G1595</f>
        <v>-697.92745526839281</v>
      </c>
      <c r="I1595" s="69">
        <f>-IFERROR(VLOOKUP(C1595,SIRCUPA!$A$21:$H$221,8,0),0)</f>
        <v>0</v>
      </c>
      <c r="J1595" s="69">
        <f>-IFERROR(VLOOKUP(C1595,SIRTAC!$A$16:$H$1458,8,0),0)</f>
        <v>0</v>
      </c>
      <c r="K1595" s="69">
        <f>-IFERROR(VLOOKUP(C1595,Gastos!$A$9:$J$1451,10,0),0)</f>
        <v>0</v>
      </c>
      <c r="L1595" s="69">
        <f>-IFERROR(VLOOKUP(C1595,IDC!$A$20:$H$1763,8,0),0)</f>
        <v>-702.12</v>
      </c>
      <c r="M1595" s="96">
        <f t="shared" si="52"/>
        <v>-117019.17</v>
      </c>
      <c r="P1595" s="19"/>
      <c r="Q1595" s="19"/>
    </row>
    <row r="1596" spans="1:17" hidden="1">
      <c r="A1596" s="1" t="s">
        <v>1630</v>
      </c>
      <c r="B1596" s="1" t="s">
        <v>557</v>
      </c>
      <c r="C1596" s="71">
        <v>131300098174</v>
      </c>
      <c r="D1596" s="3">
        <v>-150807.45000000001</v>
      </c>
      <c r="E1596" s="3">
        <v>13196820.98</v>
      </c>
      <c r="F1596" s="1" t="s">
        <v>3066</v>
      </c>
      <c r="G1596" s="19">
        <f>+D1596/1.006</f>
        <v>-149908.00198807157</v>
      </c>
      <c r="H1596" s="19">
        <f>+D1596-G1596</f>
        <v>-899.4480119284417</v>
      </c>
      <c r="I1596" s="19">
        <f>-IFERROR(VLOOKUP(C1596,SIRCUPA!$A$21:$H$221,8,0),0)</f>
        <v>0</v>
      </c>
      <c r="J1596" s="86">
        <f>-IFERROR(VLOOKUP(C1596,SIRTAC!$A$16:$H$1458,8,0),0)</f>
        <v>0</v>
      </c>
      <c r="K1596" s="86">
        <f>-IFERROR(VLOOKUP(C1596,Gastos!$A$9:$J$1451,10,0),0)</f>
        <v>0</v>
      </c>
      <c r="L1596" s="86">
        <f>+D1596-G1596</f>
        <v>-899.4480119284417</v>
      </c>
      <c r="M1596" s="94">
        <f>+D1596-I1596-J1596-K1596-L1596</f>
        <v>-149908.00198807157</v>
      </c>
      <c r="O1596" s="1"/>
    </row>
    <row r="1597" spans="1:17" s="67" customFormat="1" hidden="1">
      <c r="A1597" s="67" t="s">
        <v>1793</v>
      </c>
      <c r="B1597" s="67" t="s">
        <v>51</v>
      </c>
      <c r="C1597" s="75">
        <v>131300148317</v>
      </c>
      <c r="D1597" s="68">
        <v>-3309.17</v>
      </c>
      <c r="E1597" s="3">
        <v>9528415.1899999995</v>
      </c>
      <c r="F1597" s="67" t="s">
        <v>3062</v>
      </c>
      <c r="G1597" s="69">
        <f>+D1597/0.006</f>
        <v>-551528.33333333337</v>
      </c>
      <c r="H1597" s="69"/>
      <c r="I1597" s="69">
        <f>-IFERROR(VLOOKUP(C1597,SIRCUPA!$A$21:$H$221,8,0),0)</f>
        <v>0</v>
      </c>
      <c r="J1597" s="69">
        <f>-IFERROR(VLOOKUP(C1597,SIRTAC!$A$16:$H$1458,8,0),0)</f>
        <v>0</v>
      </c>
      <c r="K1597" s="69">
        <f>-IFERROR(VLOOKUP(C1597,Gastos!$A$9:$J$1451,10,0),0)</f>
        <v>0</v>
      </c>
      <c r="L1597" s="69"/>
      <c r="M1597" s="96">
        <f>+D1597</f>
        <v>-3309.17</v>
      </c>
      <c r="P1597" s="19"/>
      <c r="Q1597" s="19"/>
    </row>
    <row r="1598" spans="1:17" s="67" customFormat="1" hidden="1">
      <c r="A1598" s="67" t="s">
        <v>1793</v>
      </c>
      <c r="B1598" s="67" t="s">
        <v>1009</v>
      </c>
      <c r="C1598" s="75">
        <v>131300148317</v>
      </c>
      <c r="D1598" s="68">
        <v>-551528.92000000004</v>
      </c>
      <c r="E1598" s="3">
        <v>9531724.3599999994</v>
      </c>
      <c r="F1598" s="67" t="s">
        <v>3066</v>
      </c>
      <c r="G1598" s="69">
        <f>+D1598/1.006</f>
        <v>-548239.4831013917</v>
      </c>
      <c r="H1598" s="69">
        <f>+D1598-G1598</f>
        <v>-3289.4368986083427</v>
      </c>
      <c r="I1598" s="69">
        <f>-IFERROR(VLOOKUP(C1598,SIRCUPA!$A$21:$H$221,8,0),0)</f>
        <v>0</v>
      </c>
      <c r="J1598" s="69">
        <f>-IFERROR(VLOOKUP(C1598,SIRTAC!$A$16:$H$1458,8,0),0)</f>
        <v>0</v>
      </c>
      <c r="K1598" s="69">
        <f>-IFERROR(VLOOKUP(C1598,Gastos!$A$9:$J$1451,10,0),0)</f>
        <v>0</v>
      </c>
      <c r="L1598" s="69">
        <f>-IFERROR(VLOOKUP(C1598,IDC!$A$20:$H$1763,8,0),0)</f>
        <v>-3309.17</v>
      </c>
      <c r="M1598" s="96">
        <f>+D1598</f>
        <v>-551528.92000000004</v>
      </c>
      <c r="P1598" s="19"/>
      <c r="Q1598" s="19"/>
    </row>
    <row r="1599" spans="1:17" s="67" customFormat="1" hidden="1">
      <c r="A1599" s="67" t="s">
        <v>1871</v>
      </c>
      <c r="B1599" s="67" t="s">
        <v>51</v>
      </c>
      <c r="C1599" s="75">
        <v>131360969785</v>
      </c>
      <c r="D1599" s="70">
        <v>-748.35</v>
      </c>
      <c r="E1599" s="3">
        <v>11246848.01</v>
      </c>
      <c r="F1599" s="67" t="s">
        <v>3062</v>
      </c>
      <c r="G1599" s="69">
        <f>+D1599/0.006</f>
        <v>-124725</v>
      </c>
      <c r="H1599" s="69"/>
      <c r="I1599" s="69">
        <f>-IFERROR(VLOOKUP(C1599,SIRCUPA!$A$21:$H$221,8,0),0)</f>
        <v>0</v>
      </c>
      <c r="J1599" s="69">
        <f>-IFERROR(VLOOKUP(C1599,SIRTAC!$A$16:$H$1458,8,0),0)</f>
        <v>0</v>
      </c>
      <c r="K1599" s="69">
        <f>-IFERROR(VLOOKUP(C1599,Gastos!$A$9:$J$1451,10,0),0)</f>
        <v>0</v>
      </c>
      <c r="L1599" s="69"/>
      <c r="M1599" s="96">
        <f>+D1599</f>
        <v>-748.35</v>
      </c>
      <c r="P1599" s="19"/>
      <c r="Q1599" s="19"/>
    </row>
    <row r="1600" spans="1:17" s="67" customFormat="1" hidden="1">
      <c r="A1600" s="67" t="s">
        <v>1871</v>
      </c>
      <c r="B1600" s="67" t="s">
        <v>55</v>
      </c>
      <c r="C1600" s="75">
        <v>131360969785</v>
      </c>
      <c r="D1600" s="68">
        <v>-124724.4</v>
      </c>
      <c r="E1600" s="3">
        <v>11247596.359999999</v>
      </c>
      <c r="F1600" s="67" t="s">
        <v>3066</v>
      </c>
      <c r="G1600" s="69">
        <f>+D1600/1.006</f>
        <v>-123980.51689860834</v>
      </c>
      <c r="H1600" s="69">
        <f>+D1600-G1600</f>
        <v>-743.88310139164969</v>
      </c>
      <c r="I1600" s="69">
        <f>-IFERROR(VLOOKUP(C1600,SIRCUPA!$A$21:$H$221,8,0),0)</f>
        <v>0</v>
      </c>
      <c r="J1600" s="69">
        <f>-IFERROR(VLOOKUP(C1600,SIRTAC!$A$16:$H$1458,8,0),0)</f>
        <v>0</v>
      </c>
      <c r="K1600" s="69">
        <f>-IFERROR(VLOOKUP(C1600,Gastos!$A$9:$J$1451,10,0),0)</f>
        <v>0</v>
      </c>
      <c r="L1600" s="69">
        <f>-IFERROR(VLOOKUP(C1600,IDC!$A$20:$H$1763,8,0),0)</f>
        <v>-748.35</v>
      </c>
      <c r="M1600" s="96">
        <f>+D1600</f>
        <v>-124724.4</v>
      </c>
      <c r="P1600" s="19"/>
      <c r="Q1600" s="19"/>
    </row>
    <row r="1601" spans="1:17" s="67" customFormat="1" hidden="1">
      <c r="A1601" s="67" t="s">
        <v>1871</v>
      </c>
      <c r="B1601" s="67" t="s">
        <v>51</v>
      </c>
      <c r="C1601" s="75">
        <v>131361245633</v>
      </c>
      <c r="D1601" s="68">
        <v>-1212.44</v>
      </c>
      <c r="E1601" s="3">
        <v>11043562.01</v>
      </c>
      <c r="F1601" s="67" t="s">
        <v>3062</v>
      </c>
      <c r="G1601" s="69">
        <f>+D1601/0.006</f>
        <v>-202073.33333333334</v>
      </c>
      <c r="H1601" s="69"/>
      <c r="I1601" s="69">
        <f>-IFERROR(VLOOKUP(C1601,SIRCUPA!$A$21:$H$221,8,0),0)</f>
        <v>0</v>
      </c>
      <c r="J1601" s="69">
        <f>-IFERROR(VLOOKUP(C1601,SIRTAC!$A$16:$H$1458,8,0),0)</f>
        <v>0</v>
      </c>
      <c r="K1601" s="69">
        <f>-IFERROR(VLOOKUP(C1601,Gastos!$A$9:$J$1451,10,0),0)</f>
        <v>0</v>
      </c>
      <c r="L1601" s="69"/>
      <c r="M1601" s="96">
        <f>+D1601</f>
        <v>-1212.44</v>
      </c>
      <c r="P1601" s="19"/>
      <c r="Q1601" s="19"/>
    </row>
    <row r="1602" spans="1:17" hidden="1">
      <c r="A1602" s="1" t="s">
        <v>1768</v>
      </c>
      <c r="B1602" s="1" t="s">
        <v>15</v>
      </c>
      <c r="C1602" s="71">
        <v>131769417760</v>
      </c>
      <c r="D1602" s="3">
        <v>44622.94</v>
      </c>
      <c r="E1602" s="3">
        <v>11607725.470000001</v>
      </c>
      <c r="F1602" s="1" t="s">
        <v>3065</v>
      </c>
      <c r="G1602"/>
      <c r="H1602"/>
      <c r="I1602" s="19">
        <f>-IFERROR(VLOOKUP(C1602,SIRCUPA!$A$21:$H$221,8,0),0)</f>
        <v>0</v>
      </c>
      <c r="J1602" s="86">
        <f>-IFERROR(VLOOKUP(C1602,SIRTAC!$A$16:$H$1458,8,0),0)</f>
        <v>-458</v>
      </c>
      <c r="K1602" s="86">
        <f>-IFERROR(VLOOKUP(C1602,Gastos!$A$9:$J$1451,10,0),0)</f>
        <v>-444.26</v>
      </c>
      <c r="L1602" s="86">
        <f>-IFERROR(VLOOKUP(C1602,IDC!$A$20:$H$1763,8,0),0)</f>
        <v>-274.8</v>
      </c>
      <c r="M1602" s="95">
        <f t="shared" ref="M1602:M1620" si="53">+D1602-I1602-J1602-K1602-L1602</f>
        <v>45800.000000000007</v>
      </c>
      <c r="O1602" s="1"/>
    </row>
    <row r="1603" spans="1:17" hidden="1">
      <c r="A1603" s="1" t="s">
        <v>1768</v>
      </c>
      <c r="B1603" s="1" t="s">
        <v>1777</v>
      </c>
      <c r="C1603" s="71">
        <v>131769443928</v>
      </c>
      <c r="D1603" s="3">
        <v>4483.82</v>
      </c>
      <c r="E1603" s="3">
        <v>11612209.289999999</v>
      </c>
      <c r="F1603" s="1" t="s">
        <v>3065</v>
      </c>
      <c r="G1603"/>
      <c r="H1603"/>
      <c r="I1603" s="19">
        <f>-IFERROR(VLOOKUP(C1603,SIRCUPA!$A$21:$H$221,8,0),0)</f>
        <v>-68.7</v>
      </c>
      <c r="J1603" s="86">
        <f>-IFERROR(VLOOKUP(C1603,SIRTAC!$A$16:$H$1458,8,0),0)</f>
        <v>0</v>
      </c>
      <c r="K1603" s="86">
        <f>-IFERROR(VLOOKUP(C1603,Gastos!$A$9:$J$1451,10,0),0)</f>
        <v>0</v>
      </c>
      <c r="L1603" s="86">
        <f>-IFERROR(VLOOKUP(C1603,IDC!$A$20:$H$1763,8,0),0)</f>
        <v>-27.48</v>
      </c>
      <c r="M1603" s="95">
        <f t="shared" si="53"/>
        <v>4579.9999999999991</v>
      </c>
      <c r="O1603" s="1"/>
    </row>
    <row r="1604" spans="1:17" hidden="1">
      <c r="A1604" s="1" t="s">
        <v>1768</v>
      </c>
      <c r="B1604" s="1" t="s">
        <v>15</v>
      </c>
      <c r="C1604" s="71">
        <v>131772095336</v>
      </c>
      <c r="D1604" s="3">
        <v>11611.44</v>
      </c>
      <c r="E1604" s="3">
        <v>11623820.73</v>
      </c>
      <c r="F1604" s="1" t="s">
        <v>3065</v>
      </c>
      <c r="G1604"/>
      <c r="H1604"/>
      <c r="I1604" s="19">
        <f>-IFERROR(VLOOKUP(C1604,SIRCUPA!$A$21:$H$221,8,0),0)</f>
        <v>0</v>
      </c>
      <c r="J1604" s="86">
        <f>-IFERROR(VLOOKUP(C1604,SIRTAC!$A$16:$H$1458,8,0),0)</f>
        <v>-119.99</v>
      </c>
      <c r="K1604" s="86">
        <f>-IFERROR(VLOOKUP(C1604,Gastos!$A$9:$J$1451,10,0),0)</f>
        <v>-195.58</v>
      </c>
      <c r="L1604" s="86">
        <f>-IFERROR(VLOOKUP(C1604,IDC!$A$20:$H$1763,8,0),0)</f>
        <v>-71.989999999999995</v>
      </c>
      <c r="M1604" s="95">
        <f t="shared" si="53"/>
        <v>11999</v>
      </c>
      <c r="O1604" s="1"/>
    </row>
    <row r="1605" spans="1:17" hidden="1">
      <c r="A1605" s="1" t="s">
        <v>1768</v>
      </c>
      <c r="B1605" s="1" t="s">
        <v>15</v>
      </c>
      <c r="C1605" s="71">
        <v>131774856988</v>
      </c>
      <c r="D1605" s="3">
        <v>8184.12</v>
      </c>
      <c r="E1605" s="3">
        <v>11632004.85</v>
      </c>
      <c r="F1605" s="1" t="s">
        <v>3065</v>
      </c>
      <c r="G1605"/>
      <c r="H1605"/>
      <c r="I1605" s="19">
        <f>-IFERROR(VLOOKUP(C1605,SIRCUPA!$A$21:$H$221,8,0),0)</f>
        <v>0</v>
      </c>
      <c r="J1605" s="86">
        <f>-IFERROR(VLOOKUP(C1605,SIRTAC!$A$16:$H$1458,8,0),0)</f>
        <v>-84</v>
      </c>
      <c r="K1605" s="86">
        <f>-IFERROR(VLOOKUP(C1605,Gastos!$A$9:$J$1451,10,0),0)</f>
        <v>-81.48</v>
      </c>
      <c r="L1605" s="86">
        <f>-IFERROR(VLOOKUP(C1605,IDC!$A$20:$H$1763,8,0),0)</f>
        <v>-50.4</v>
      </c>
      <c r="M1605" s="95">
        <f t="shared" si="53"/>
        <v>8399.9999999999982</v>
      </c>
      <c r="O1605" s="1"/>
    </row>
    <row r="1606" spans="1:17" hidden="1">
      <c r="A1606" s="1" t="s">
        <v>1768</v>
      </c>
      <c r="B1606" s="1" t="s">
        <v>1781</v>
      </c>
      <c r="C1606" s="71">
        <v>131180187819</v>
      </c>
      <c r="D1606" s="2">
        <v>411.18</v>
      </c>
      <c r="E1606" s="3">
        <v>11632416.029999999</v>
      </c>
      <c r="F1606" s="1" t="s">
        <v>3065</v>
      </c>
      <c r="G1606"/>
      <c r="H1606"/>
      <c r="I1606" s="19">
        <f>-IFERROR(VLOOKUP(C1606,SIRCUPA!$A$21:$H$221,8,0),0)</f>
        <v>-6.3</v>
      </c>
      <c r="J1606" s="86">
        <f>-IFERROR(VLOOKUP(C1606,SIRTAC!$A$16:$H$1458,8,0),0)</f>
        <v>0</v>
      </c>
      <c r="K1606" s="86">
        <f>-IFERROR(VLOOKUP(C1606,Gastos!$A$9:$J$1451,10,0),0)</f>
        <v>0</v>
      </c>
      <c r="L1606" s="86">
        <f>-IFERROR(VLOOKUP(C1606,IDC!$A$20:$H$1763,8,0),0)</f>
        <v>-2.52</v>
      </c>
      <c r="M1606" s="95">
        <f t="shared" si="53"/>
        <v>420</v>
      </c>
      <c r="O1606" s="1"/>
    </row>
    <row r="1607" spans="1:17" hidden="1">
      <c r="A1607" s="1" t="s">
        <v>1768</v>
      </c>
      <c r="B1607" s="1" t="s">
        <v>15</v>
      </c>
      <c r="C1607" s="71">
        <v>131181171991</v>
      </c>
      <c r="D1607" s="3">
        <v>33319.03</v>
      </c>
      <c r="E1607" s="3">
        <v>11665735.060000001</v>
      </c>
      <c r="F1607" s="1" t="s">
        <v>3065</v>
      </c>
      <c r="G1607"/>
      <c r="H1607"/>
      <c r="I1607" s="19">
        <f>-IFERROR(VLOOKUP(C1607,SIRCUPA!$A$21:$H$221,8,0),0)</f>
        <v>0</v>
      </c>
      <c r="J1607" s="86">
        <f>-IFERROR(VLOOKUP(C1607,SIRTAC!$A$16:$H$1458,8,0),0)</f>
        <v>-366.99</v>
      </c>
      <c r="K1607" s="86">
        <f>-IFERROR(VLOOKUP(C1607,Gastos!$A$9:$J$1451,10,0),0)</f>
        <v>-2792.79</v>
      </c>
      <c r="L1607" s="86">
        <f>-IFERROR(VLOOKUP(C1607,IDC!$A$20:$H$1763,8,0),0)</f>
        <v>-220.19</v>
      </c>
      <c r="M1607" s="95">
        <f t="shared" si="53"/>
        <v>36699</v>
      </c>
      <c r="O1607" s="1"/>
    </row>
    <row r="1608" spans="1:17" hidden="1">
      <c r="A1608" s="1" t="s">
        <v>1768</v>
      </c>
      <c r="B1608" s="1" t="s">
        <v>15</v>
      </c>
      <c r="C1608" s="71">
        <v>131777732222</v>
      </c>
      <c r="D1608" s="3">
        <v>58099.05</v>
      </c>
      <c r="E1608" s="3">
        <v>11723834.109999999</v>
      </c>
      <c r="F1608" s="1" t="s">
        <v>3065</v>
      </c>
      <c r="G1608"/>
      <c r="H1608"/>
      <c r="I1608" s="19">
        <f>-IFERROR(VLOOKUP(C1608,SIRCUPA!$A$21:$H$221,8,0),0)</f>
        <v>0</v>
      </c>
      <c r="J1608" s="86">
        <f>-IFERROR(VLOOKUP(C1608,SIRTAC!$A$16:$H$1458,8,0),0)</f>
        <v>-615</v>
      </c>
      <c r="K1608" s="86">
        <f>-IFERROR(VLOOKUP(C1608,Gastos!$A$9:$J$1451,10,0),0)</f>
        <v>-2416.9499999999998</v>
      </c>
      <c r="L1608" s="86">
        <f>-IFERROR(VLOOKUP(C1608,IDC!$A$20:$H$1763,8,0),0)</f>
        <v>-369</v>
      </c>
      <c r="M1608" s="95">
        <f t="shared" si="53"/>
        <v>61500</v>
      </c>
      <c r="O1608" s="1"/>
    </row>
    <row r="1609" spans="1:17" hidden="1">
      <c r="A1609" s="1" t="s">
        <v>1768</v>
      </c>
      <c r="B1609" s="1" t="s">
        <v>15</v>
      </c>
      <c r="C1609" s="71">
        <v>131778003664</v>
      </c>
      <c r="D1609" s="3">
        <v>49007.29</v>
      </c>
      <c r="E1609" s="3">
        <v>11772841.4</v>
      </c>
      <c r="F1609" s="1" t="s">
        <v>3065</v>
      </c>
      <c r="G1609"/>
      <c r="H1609"/>
      <c r="I1609" s="19">
        <f>-IFERROR(VLOOKUP(C1609,SIRCUPA!$A$21:$H$221,8,0),0)</f>
        <v>0</v>
      </c>
      <c r="J1609" s="86">
        <f>-IFERROR(VLOOKUP(C1609,SIRTAC!$A$16:$H$1458,8,0),0)</f>
        <v>-503</v>
      </c>
      <c r="K1609" s="86">
        <f>-IFERROR(VLOOKUP(C1609,Gastos!$A$9:$J$1451,10,0),0)</f>
        <v>-487.91</v>
      </c>
      <c r="L1609" s="86">
        <f>-IFERROR(VLOOKUP(C1609,IDC!$A$20:$H$1763,8,0),0)</f>
        <v>-301.8</v>
      </c>
      <c r="M1609" s="95">
        <f t="shared" si="53"/>
        <v>50300.000000000007</v>
      </c>
      <c r="O1609" s="1"/>
    </row>
    <row r="1610" spans="1:17" hidden="1">
      <c r="A1610" s="1" t="s">
        <v>1768</v>
      </c>
      <c r="B1610" s="1" t="s">
        <v>15</v>
      </c>
      <c r="C1610" s="71">
        <v>131778463862</v>
      </c>
      <c r="D1610" s="3">
        <v>35071.879999999997</v>
      </c>
      <c r="E1610" s="3">
        <v>11807913.279999999</v>
      </c>
      <c r="F1610" s="1" t="s">
        <v>3065</v>
      </c>
      <c r="G1610"/>
      <c r="H1610"/>
      <c r="I1610" s="19">
        <f>-IFERROR(VLOOKUP(C1610,SIRCUPA!$A$21:$H$221,8,0),0)</f>
        <v>0</v>
      </c>
      <c r="J1610" s="86">
        <f>-IFERROR(VLOOKUP(C1610,SIRTAC!$A$16:$H$1458,8,0),0)</f>
        <v>-359.97</v>
      </c>
      <c r="K1610" s="86">
        <f>-IFERROR(VLOOKUP(C1610,Gastos!$A$9:$J$1451,10,0),0)</f>
        <v>-349.17</v>
      </c>
      <c r="L1610" s="86">
        <f>-IFERROR(VLOOKUP(C1610,IDC!$A$20:$H$1763,8,0),0)</f>
        <v>-215.98</v>
      </c>
      <c r="M1610" s="95">
        <f t="shared" si="53"/>
        <v>35997</v>
      </c>
      <c r="O1610" s="1"/>
    </row>
    <row r="1611" spans="1:17" hidden="1">
      <c r="A1611" s="1" t="s">
        <v>1768</v>
      </c>
      <c r="B1611" s="1" t="s">
        <v>15</v>
      </c>
      <c r="C1611" s="71">
        <v>131184379239</v>
      </c>
      <c r="D1611" s="3">
        <v>22524.52</v>
      </c>
      <c r="E1611" s="3">
        <v>11830437.800000001</v>
      </c>
      <c r="F1611" s="1" t="s">
        <v>3065</v>
      </c>
      <c r="G1611"/>
      <c r="H1611"/>
      <c r="I1611" s="19">
        <f>-IFERROR(VLOOKUP(C1611,SIRCUPA!$A$21:$H$221,8,0),0)</f>
        <v>0</v>
      </c>
      <c r="J1611" s="86">
        <f>-IFERROR(VLOOKUP(C1611,SIRTAC!$A$16:$H$1458,8,0),0)</f>
        <v>-239.98</v>
      </c>
      <c r="K1611" s="86">
        <f>-IFERROR(VLOOKUP(C1611,Gastos!$A$9:$J$1451,10,0),0)</f>
        <v>-1089.51</v>
      </c>
      <c r="L1611" s="86">
        <f>-IFERROR(VLOOKUP(C1611,IDC!$A$20:$H$1763,8,0),0)</f>
        <v>-143.99</v>
      </c>
      <c r="M1611" s="95">
        <f t="shared" si="53"/>
        <v>23998</v>
      </c>
      <c r="O1611" s="1"/>
    </row>
    <row r="1612" spans="1:17" hidden="1">
      <c r="A1612" s="1" t="s">
        <v>1768</v>
      </c>
      <c r="B1612" s="1" t="s">
        <v>15</v>
      </c>
      <c r="C1612" s="71">
        <v>131778914868</v>
      </c>
      <c r="D1612" s="3">
        <v>35071.879999999997</v>
      </c>
      <c r="E1612" s="3">
        <v>11865509.68</v>
      </c>
      <c r="F1612" s="1" t="s">
        <v>3065</v>
      </c>
      <c r="G1612"/>
      <c r="H1612"/>
      <c r="I1612" s="19">
        <f>-IFERROR(VLOOKUP(C1612,SIRCUPA!$A$21:$H$221,8,0),0)</f>
        <v>0</v>
      </c>
      <c r="J1612" s="86">
        <f>-IFERROR(VLOOKUP(C1612,SIRTAC!$A$16:$H$1458,8,0),0)</f>
        <v>-359.97</v>
      </c>
      <c r="K1612" s="86">
        <f>-IFERROR(VLOOKUP(C1612,Gastos!$A$9:$J$1451,10,0),0)</f>
        <v>-349.17</v>
      </c>
      <c r="L1612" s="86">
        <f>-IFERROR(VLOOKUP(C1612,IDC!$A$20:$H$1763,8,0),0)</f>
        <v>-215.98</v>
      </c>
      <c r="M1612" s="95">
        <f t="shared" si="53"/>
        <v>35997</v>
      </c>
      <c r="O1612" s="1"/>
    </row>
    <row r="1613" spans="1:17" hidden="1">
      <c r="A1613" s="1" t="s">
        <v>1768</v>
      </c>
      <c r="B1613" s="1" t="s">
        <v>15</v>
      </c>
      <c r="C1613" s="71">
        <v>131185425007</v>
      </c>
      <c r="D1613" s="3">
        <v>40920.6</v>
      </c>
      <c r="E1613" s="3">
        <v>11906430.279999999</v>
      </c>
      <c r="F1613" s="1" t="s">
        <v>3065</v>
      </c>
      <c r="G1613"/>
      <c r="H1613"/>
      <c r="I1613" s="19">
        <f>-IFERROR(VLOOKUP(C1613,SIRCUPA!$A$21:$H$221,8,0),0)</f>
        <v>0</v>
      </c>
      <c r="J1613" s="86">
        <f>-IFERROR(VLOOKUP(C1613,SIRTAC!$A$16:$H$1458,8,0),0)</f>
        <v>-420</v>
      </c>
      <c r="K1613" s="86">
        <f>-IFERROR(VLOOKUP(C1613,Gastos!$A$9:$J$1451,10,0),0)</f>
        <v>-407.4</v>
      </c>
      <c r="L1613" s="86">
        <f>-IFERROR(VLOOKUP(C1613,IDC!$A$20:$H$1763,8,0),0)</f>
        <v>-252</v>
      </c>
      <c r="M1613" s="95">
        <f t="shared" si="53"/>
        <v>42000</v>
      </c>
      <c r="O1613" s="1"/>
    </row>
    <row r="1614" spans="1:17" hidden="1">
      <c r="A1614" s="1" t="s">
        <v>1768</v>
      </c>
      <c r="B1614" s="1" t="s">
        <v>15</v>
      </c>
      <c r="C1614" s="71">
        <v>131781695512</v>
      </c>
      <c r="D1614" s="3">
        <v>47046.06</v>
      </c>
      <c r="E1614" s="3">
        <v>11953476.34</v>
      </c>
      <c r="F1614" s="1" t="s">
        <v>3065</v>
      </c>
      <c r="G1614"/>
      <c r="H1614"/>
      <c r="I1614" s="19">
        <f>-IFERROR(VLOOKUP(C1614,SIRCUPA!$A$21:$H$221,8,0),0)</f>
        <v>0</v>
      </c>
      <c r="J1614" s="86">
        <f>-IFERROR(VLOOKUP(C1614,SIRTAC!$A$16:$H$1458,8,0),0)</f>
        <v>-498</v>
      </c>
      <c r="K1614" s="86">
        <f>-IFERROR(VLOOKUP(C1614,Gastos!$A$9:$J$1451,10,0),0)</f>
        <v>-1957.14</v>
      </c>
      <c r="L1614" s="86">
        <f>-IFERROR(VLOOKUP(C1614,IDC!$A$20:$H$1763,8,0),0)</f>
        <v>-298.8</v>
      </c>
      <c r="M1614" s="95">
        <f t="shared" si="53"/>
        <v>49800</v>
      </c>
      <c r="O1614" s="1"/>
    </row>
    <row r="1615" spans="1:17" hidden="1">
      <c r="A1615" s="1" t="s">
        <v>1768</v>
      </c>
      <c r="B1615" s="1" t="s">
        <v>15</v>
      </c>
      <c r="C1615" s="71">
        <v>131782498642</v>
      </c>
      <c r="D1615" s="3">
        <v>105414.39</v>
      </c>
      <c r="E1615" s="3">
        <v>12058890.73</v>
      </c>
      <c r="F1615" s="1" t="s">
        <v>3065</v>
      </c>
      <c r="G1615"/>
      <c r="H1615"/>
      <c r="I1615" s="19">
        <f>-IFERROR(VLOOKUP(C1615,SIRCUPA!$A$21:$H$221,8,0),0)</f>
        <v>0</v>
      </c>
      <c r="J1615" s="86">
        <f>-IFERROR(VLOOKUP(C1615,SIRTAC!$A$16:$H$1458,8,0),0)</f>
        <v>-1081.95</v>
      </c>
      <c r="K1615" s="86">
        <f>-IFERROR(VLOOKUP(C1615,Gastos!$A$9:$J$1451,10,0),0)</f>
        <v>-1049.49</v>
      </c>
      <c r="L1615" s="86">
        <f>-IFERROR(VLOOKUP(C1615,IDC!$A$20:$H$1763,8,0),0)</f>
        <v>-649.16999999999996</v>
      </c>
      <c r="M1615" s="95">
        <f t="shared" si="53"/>
        <v>108195</v>
      </c>
      <c r="O1615" s="1"/>
    </row>
    <row r="1616" spans="1:17" hidden="1">
      <c r="A1616" s="1" t="s">
        <v>1768</v>
      </c>
      <c r="B1616" s="1" t="s">
        <v>15</v>
      </c>
      <c r="C1616" s="71">
        <v>131783903282</v>
      </c>
      <c r="D1616" s="3">
        <v>47253.55</v>
      </c>
      <c r="E1616" s="3">
        <v>12106144.279999999</v>
      </c>
      <c r="F1616" s="1" t="s">
        <v>3065</v>
      </c>
      <c r="G1616"/>
      <c r="H1616"/>
      <c r="I1616" s="19">
        <f>-IFERROR(VLOOKUP(C1616,SIRCUPA!$A$21:$H$221,8,0),0)</f>
        <v>0</v>
      </c>
      <c r="J1616" s="86">
        <f>-IFERROR(VLOOKUP(C1616,SIRTAC!$A$16:$H$1458,8,0),0)</f>
        <v>-485</v>
      </c>
      <c r="K1616" s="86">
        <f>-IFERROR(VLOOKUP(C1616,Gastos!$A$9:$J$1451,10,0),0)</f>
        <v>-470.45</v>
      </c>
      <c r="L1616" s="86">
        <f>-IFERROR(VLOOKUP(C1616,IDC!$A$20:$H$1763,8,0),0)</f>
        <v>-291</v>
      </c>
      <c r="M1616" s="95">
        <f t="shared" si="53"/>
        <v>48500</v>
      </c>
      <c r="O1616" s="1"/>
    </row>
    <row r="1617" spans="1:17" hidden="1">
      <c r="A1617" s="1" t="s">
        <v>1793</v>
      </c>
      <c r="B1617" s="1" t="s">
        <v>15</v>
      </c>
      <c r="C1617" s="71">
        <v>131190834783</v>
      </c>
      <c r="D1617" s="3">
        <v>21787.78</v>
      </c>
      <c r="E1617" s="3">
        <v>12127932.060000001</v>
      </c>
      <c r="F1617" s="1" t="s">
        <v>3065</v>
      </c>
      <c r="G1617"/>
      <c r="H1617"/>
      <c r="I1617" s="19">
        <f>-IFERROR(VLOOKUP(C1617,SIRCUPA!$A$21:$H$221,8,0),0)</f>
        <v>0</v>
      </c>
      <c r="J1617" s="86">
        <f>-IFERROR(VLOOKUP(C1617,SIRTAC!$A$16:$H$1458,8,0),0)</f>
        <v>-239.98</v>
      </c>
      <c r="K1617" s="86">
        <f>-IFERROR(VLOOKUP(C1617,Gastos!$A$9:$J$1451,10,0),0)</f>
        <v>-1826.25</v>
      </c>
      <c r="L1617" s="86">
        <f>-IFERROR(VLOOKUP(C1617,IDC!$A$20:$H$1763,8,0),0)</f>
        <v>-143.99</v>
      </c>
      <c r="M1617" s="95">
        <f t="shared" si="53"/>
        <v>23998</v>
      </c>
      <c r="O1617" s="1"/>
    </row>
    <row r="1618" spans="1:17" hidden="1">
      <c r="A1618" s="1" t="s">
        <v>1793</v>
      </c>
      <c r="B1618" s="1" t="s">
        <v>15</v>
      </c>
      <c r="C1618" s="71">
        <v>131786100454</v>
      </c>
      <c r="D1618" s="3">
        <v>21787.78</v>
      </c>
      <c r="E1618" s="3">
        <v>12149719.84</v>
      </c>
      <c r="F1618" s="1" t="s">
        <v>3065</v>
      </c>
      <c r="G1618"/>
      <c r="H1618"/>
      <c r="I1618" s="19">
        <f>-IFERROR(VLOOKUP(C1618,SIRCUPA!$A$21:$H$221,8,0),0)</f>
        <v>0</v>
      </c>
      <c r="J1618" s="86">
        <f>-IFERROR(VLOOKUP(C1618,SIRTAC!$A$16:$H$1458,8,0),0)</f>
        <v>-239.98</v>
      </c>
      <c r="K1618" s="86">
        <f>-IFERROR(VLOOKUP(C1618,Gastos!$A$9:$J$1451,10,0),0)</f>
        <v>-1826.25</v>
      </c>
      <c r="L1618" s="86">
        <f>-IFERROR(VLOOKUP(C1618,IDC!$A$20:$H$1763,8,0),0)</f>
        <v>-143.99</v>
      </c>
      <c r="M1618" s="95">
        <f t="shared" si="53"/>
        <v>23998</v>
      </c>
      <c r="O1618" s="1"/>
    </row>
    <row r="1619" spans="1:17" hidden="1">
      <c r="A1619" s="1" t="s">
        <v>1793</v>
      </c>
      <c r="B1619" s="1" t="s">
        <v>15</v>
      </c>
      <c r="C1619" s="71">
        <v>131786628190</v>
      </c>
      <c r="D1619" s="3">
        <v>21434.6</v>
      </c>
      <c r="E1619" s="3">
        <v>12171154.439999999</v>
      </c>
      <c r="F1619" s="1" t="s">
        <v>3065</v>
      </c>
      <c r="G1619"/>
      <c r="H1619"/>
      <c r="I1619" s="19">
        <f>-IFERROR(VLOOKUP(C1619,SIRCUPA!$A$21:$H$221,8,0),0)</f>
        <v>0</v>
      </c>
      <c r="J1619" s="86">
        <f>-IFERROR(VLOOKUP(C1619,SIRTAC!$A$16:$H$1458,8,0),0)</f>
        <v>-220</v>
      </c>
      <c r="K1619" s="86">
        <f>-IFERROR(VLOOKUP(C1619,Gastos!$A$9:$J$1451,10,0),0)</f>
        <v>-213.4</v>
      </c>
      <c r="L1619" s="86">
        <f>-IFERROR(VLOOKUP(C1619,IDC!$A$20:$H$1763,8,0),0)</f>
        <v>-132</v>
      </c>
      <c r="M1619" s="95">
        <f t="shared" si="53"/>
        <v>22000</v>
      </c>
      <c r="O1619" s="1"/>
    </row>
    <row r="1620" spans="1:17" hidden="1">
      <c r="A1620" s="1" t="s">
        <v>1793</v>
      </c>
      <c r="B1620" s="1" t="s">
        <v>15</v>
      </c>
      <c r="C1620" s="71">
        <v>131789264688</v>
      </c>
      <c r="D1620" s="3">
        <v>18702.740000000002</v>
      </c>
      <c r="E1620" s="3">
        <v>12189857.18</v>
      </c>
      <c r="F1620" s="1" t="s">
        <v>3065</v>
      </c>
      <c r="G1620"/>
      <c r="H1620"/>
      <c r="I1620" s="19">
        <f>-IFERROR(VLOOKUP(C1620,SIRCUPA!$A$21:$H$221,8,0),0)</f>
        <v>0</v>
      </c>
      <c r="J1620" s="86">
        <f>-IFERROR(VLOOKUP(C1620,SIRTAC!$A$16:$H$1458,8,0),0)</f>
        <v>-206</v>
      </c>
      <c r="K1620" s="86">
        <f>-IFERROR(VLOOKUP(C1620,Gastos!$A$9:$J$1451,10,0),0)</f>
        <v>-1567.66</v>
      </c>
      <c r="L1620" s="86">
        <f>-IFERROR(VLOOKUP(C1620,IDC!$A$20:$H$1763,8,0),0)</f>
        <v>-123.6</v>
      </c>
      <c r="M1620" s="95">
        <f t="shared" si="53"/>
        <v>20600</v>
      </c>
      <c r="O1620" s="1"/>
    </row>
    <row r="1621" spans="1:17" s="67" customFormat="1" hidden="1">
      <c r="A1621" s="67" t="s">
        <v>1871</v>
      </c>
      <c r="B1621" s="67" t="s">
        <v>55</v>
      </c>
      <c r="C1621" s="75">
        <v>131361245633</v>
      </c>
      <c r="D1621" s="68">
        <v>-202073.56</v>
      </c>
      <c r="E1621" s="3">
        <v>11044774.449999999</v>
      </c>
      <c r="F1621" s="67" t="s">
        <v>3066</v>
      </c>
      <c r="G1621" s="69">
        <f>+D1621/1.006</f>
        <v>-200868.34990059643</v>
      </c>
      <c r="H1621" s="69">
        <f>+D1621-G1621</f>
        <v>-1205.2100994035718</v>
      </c>
      <c r="I1621" s="69">
        <f>-IFERROR(VLOOKUP(C1621,SIRCUPA!$A$21:$H$221,8,0),0)</f>
        <v>0</v>
      </c>
      <c r="J1621" s="69">
        <f>-IFERROR(VLOOKUP(C1621,SIRTAC!$A$16:$H$1458,8,0),0)</f>
        <v>0</v>
      </c>
      <c r="K1621" s="69">
        <f>-IFERROR(VLOOKUP(C1621,Gastos!$A$9:$J$1451,10,0),0)</f>
        <v>0</v>
      </c>
      <c r="L1621" s="69">
        <f>-IFERROR(VLOOKUP(C1621,IDC!$A$20:$H$1763,8,0),0)</f>
        <v>-1212.44</v>
      </c>
      <c r="M1621" s="96">
        <f>+D1621</f>
        <v>-202073.56</v>
      </c>
      <c r="P1621" s="19"/>
      <c r="Q1621" s="19"/>
    </row>
    <row r="1622" spans="1:17" s="67" customFormat="1" hidden="1">
      <c r="A1622" s="67" t="s">
        <v>1871</v>
      </c>
      <c r="B1622" s="67" t="s">
        <v>51</v>
      </c>
      <c r="C1622" s="75">
        <v>131361361133</v>
      </c>
      <c r="D1622" s="70">
        <v>-425.89</v>
      </c>
      <c r="E1622" s="3">
        <v>11372320.76</v>
      </c>
      <c r="F1622" s="67" t="s">
        <v>3062</v>
      </c>
      <c r="G1622" s="69">
        <f>+D1622/0.006</f>
        <v>-70981.666666666657</v>
      </c>
      <c r="H1622" s="69"/>
      <c r="I1622" s="69">
        <f>-IFERROR(VLOOKUP(C1622,SIRCUPA!$A$21:$H$221,8,0),0)</f>
        <v>0</v>
      </c>
      <c r="J1622" s="69">
        <f>-IFERROR(VLOOKUP(C1622,SIRTAC!$A$16:$H$1458,8,0),0)</f>
        <v>0</v>
      </c>
      <c r="K1622" s="69">
        <f>-IFERROR(VLOOKUP(C1622,Gastos!$A$9:$J$1451,10,0),0)</f>
        <v>0</v>
      </c>
      <c r="L1622" s="69"/>
      <c r="M1622" s="96">
        <f>+D1622</f>
        <v>-425.89</v>
      </c>
      <c r="P1622" s="19"/>
      <c r="Q1622" s="19"/>
    </row>
    <row r="1623" spans="1:17" s="67" customFormat="1" hidden="1">
      <c r="A1623" s="67" t="s">
        <v>1871</v>
      </c>
      <c r="B1623" s="67" t="s">
        <v>55</v>
      </c>
      <c r="C1623" s="75">
        <v>131361361133</v>
      </c>
      <c r="D1623" s="68">
        <v>-70981.84</v>
      </c>
      <c r="E1623" s="3">
        <v>11372746.65</v>
      </c>
      <c r="F1623" s="67" t="s">
        <v>3066</v>
      </c>
      <c r="G1623" s="69">
        <f>+D1623/1.006</f>
        <v>-70558.489065606351</v>
      </c>
      <c r="H1623" s="69">
        <f>+D1623-G1623</f>
        <v>-423.35093439364573</v>
      </c>
      <c r="I1623" s="69">
        <f>-IFERROR(VLOOKUP(C1623,SIRCUPA!$A$21:$H$221,8,0),0)</f>
        <v>0</v>
      </c>
      <c r="J1623" s="69">
        <f>-IFERROR(VLOOKUP(C1623,SIRTAC!$A$16:$H$1458,8,0),0)</f>
        <v>0</v>
      </c>
      <c r="K1623" s="69">
        <f>-IFERROR(VLOOKUP(C1623,Gastos!$A$9:$J$1451,10,0),0)</f>
        <v>0</v>
      </c>
      <c r="L1623" s="69">
        <f>-IFERROR(VLOOKUP(C1623,IDC!$A$20:$H$1763,8,0),0)</f>
        <v>-425.89</v>
      </c>
      <c r="M1623" s="96">
        <f>+D1623</f>
        <v>-70981.84</v>
      </c>
      <c r="P1623" s="19"/>
      <c r="Q1623" s="19"/>
    </row>
    <row r="1624" spans="1:17" hidden="1">
      <c r="A1624" s="1" t="s">
        <v>1871</v>
      </c>
      <c r="B1624" s="1" t="s">
        <v>1949</v>
      </c>
      <c r="C1624" s="71">
        <v>131372254051</v>
      </c>
      <c r="D1624" s="3">
        <v>-39334.620000000003</v>
      </c>
      <c r="E1624" s="3">
        <v>11004227.390000001</v>
      </c>
      <c r="F1624" s="1" t="s">
        <v>3066</v>
      </c>
      <c r="G1624" s="19">
        <f>+D1624/1.006</f>
        <v>-39100.019880715707</v>
      </c>
      <c r="H1624" s="19">
        <f>+D1624-G1624</f>
        <v>-234.60011928429594</v>
      </c>
      <c r="I1624" s="19">
        <f>-IFERROR(VLOOKUP(C1624,SIRCUPA!$A$21:$H$221,8,0),0)</f>
        <v>0</v>
      </c>
      <c r="J1624" s="86">
        <f>-IFERROR(VLOOKUP(C1624,SIRTAC!$A$16:$H$1458,8,0),0)</f>
        <v>0</v>
      </c>
      <c r="K1624" s="86">
        <f>-IFERROR(VLOOKUP(C1624,Gastos!$A$9:$J$1451,10,0),0)</f>
        <v>0</v>
      </c>
      <c r="L1624" s="86">
        <f>+D1624-G1624</f>
        <v>-234.60011928429594</v>
      </c>
      <c r="M1624" s="94">
        <f t="shared" ref="M1624:M1633" si="54">+D1624-I1624-J1624-K1624-L1624</f>
        <v>-39100.019880715707</v>
      </c>
      <c r="O1624" s="1"/>
    </row>
    <row r="1625" spans="1:17" hidden="1">
      <c r="A1625" s="1" t="s">
        <v>1793</v>
      </c>
      <c r="B1625" s="1" t="s">
        <v>15</v>
      </c>
      <c r="C1625" s="71">
        <v>131286438671</v>
      </c>
      <c r="D1625" s="3">
        <v>4062.21</v>
      </c>
      <c r="E1625" s="3">
        <v>9943872.0199999996</v>
      </c>
      <c r="F1625" s="1" t="s">
        <v>3065</v>
      </c>
      <c r="G1625"/>
      <c r="H1625"/>
      <c r="I1625" s="19">
        <f>-IFERROR(VLOOKUP(C1625,SIRCUPA!$A$21:$H$221,8,0),0)</f>
        <v>0</v>
      </c>
      <c r="J1625" s="86">
        <f>-IFERROR(VLOOKUP(C1625,SIRTAC!$A$16:$H$1458,8,0),0)</f>
        <v>-43</v>
      </c>
      <c r="K1625" s="86">
        <f>-IFERROR(VLOOKUP(C1625,Gastos!$A$9:$J$1451,10,0),0)</f>
        <v>-168.99</v>
      </c>
      <c r="L1625" s="86">
        <f>-IFERROR(VLOOKUP(C1625,IDC!$A$20:$H$1763,8,0),0)</f>
        <v>-25.8</v>
      </c>
      <c r="M1625" s="95">
        <f t="shared" si="54"/>
        <v>4300</v>
      </c>
      <c r="O1625" s="1"/>
    </row>
    <row r="1626" spans="1:17" hidden="1">
      <c r="A1626" s="1" t="s">
        <v>1793</v>
      </c>
      <c r="B1626" s="1" t="s">
        <v>15</v>
      </c>
      <c r="C1626" s="71">
        <v>131885222868</v>
      </c>
      <c r="D1626" s="3">
        <v>16368.24</v>
      </c>
      <c r="E1626" s="3">
        <v>9960240.2599999998</v>
      </c>
      <c r="F1626" s="1" t="s">
        <v>3065</v>
      </c>
      <c r="G1626"/>
      <c r="H1626"/>
      <c r="I1626" s="19">
        <f>-IFERROR(VLOOKUP(C1626,SIRCUPA!$A$21:$H$221,8,0),0)</f>
        <v>0</v>
      </c>
      <c r="J1626" s="86">
        <f>-IFERROR(VLOOKUP(C1626,SIRTAC!$A$16:$H$1458,8,0),0)</f>
        <v>-168</v>
      </c>
      <c r="K1626" s="86">
        <f>-IFERROR(VLOOKUP(C1626,Gastos!$A$9:$J$1451,10,0),0)</f>
        <v>-162.96</v>
      </c>
      <c r="L1626" s="86">
        <f>-IFERROR(VLOOKUP(C1626,IDC!$A$20:$H$1763,8,0),0)</f>
        <v>-100.8</v>
      </c>
      <c r="M1626" s="95">
        <f t="shared" si="54"/>
        <v>16799.999999999996</v>
      </c>
      <c r="O1626" s="1"/>
    </row>
    <row r="1627" spans="1:17" hidden="1">
      <c r="A1627" s="1" t="s">
        <v>1793</v>
      </c>
      <c r="B1627" s="1" t="s">
        <v>15</v>
      </c>
      <c r="C1627" s="71">
        <v>131293843097</v>
      </c>
      <c r="D1627" s="3">
        <v>3897.2</v>
      </c>
      <c r="E1627" s="3">
        <v>9964137.4600000009</v>
      </c>
      <c r="F1627" s="1" t="s">
        <v>3065</v>
      </c>
      <c r="G1627"/>
      <c r="H1627"/>
      <c r="I1627" s="19">
        <f>-IFERROR(VLOOKUP(C1627,SIRCUPA!$A$21:$H$221,8,0),0)</f>
        <v>0</v>
      </c>
      <c r="J1627" s="86">
        <f>-IFERROR(VLOOKUP(C1627,SIRTAC!$A$16:$H$1458,8,0),0)</f>
        <v>-40</v>
      </c>
      <c r="K1627" s="86">
        <f>-IFERROR(VLOOKUP(C1627,Gastos!$A$9:$J$1451,10,0),0)</f>
        <v>-38.799999999999997</v>
      </c>
      <c r="L1627" s="86">
        <f>-IFERROR(VLOOKUP(C1627,IDC!$A$20:$H$1763,8,0),0)</f>
        <v>-24</v>
      </c>
      <c r="M1627" s="95">
        <f t="shared" si="54"/>
        <v>4000</v>
      </c>
      <c r="O1627" s="1"/>
    </row>
    <row r="1628" spans="1:17" hidden="1">
      <c r="A1628" s="1" t="s">
        <v>1793</v>
      </c>
      <c r="B1628" s="1" t="s">
        <v>1804</v>
      </c>
      <c r="C1628" s="71">
        <v>131293868791</v>
      </c>
      <c r="D1628" s="2">
        <v>195.8</v>
      </c>
      <c r="E1628" s="3">
        <v>9964333.2599999998</v>
      </c>
      <c r="F1628" s="1" t="s">
        <v>3065</v>
      </c>
      <c r="G1628"/>
      <c r="H1628"/>
      <c r="I1628" s="19">
        <f>-IFERROR(VLOOKUP(C1628,SIRCUPA!$A$21:$H$221,8,0),0)</f>
        <v>-3</v>
      </c>
      <c r="J1628" s="86">
        <f>-IFERROR(VLOOKUP(C1628,SIRTAC!$A$16:$H$1458,8,0),0)</f>
        <v>0</v>
      </c>
      <c r="K1628" s="86">
        <f>-IFERROR(VLOOKUP(C1628,Gastos!$A$9:$J$1451,10,0),0)</f>
        <v>0</v>
      </c>
      <c r="L1628" s="86">
        <f>-IFERROR(VLOOKUP(C1628,IDC!$A$20:$H$1763,8,0),0)</f>
        <v>-1.2</v>
      </c>
      <c r="M1628" s="95">
        <f t="shared" si="54"/>
        <v>200</v>
      </c>
      <c r="O1628" s="1"/>
    </row>
    <row r="1629" spans="1:17" hidden="1">
      <c r="A1629" s="1" t="s">
        <v>1793</v>
      </c>
      <c r="B1629" s="1" t="s">
        <v>15</v>
      </c>
      <c r="C1629" s="71">
        <v>131890487764</v>
      </c>
      <c r="D1629" s="3">
        <v>25239.62</v>
      </c>
      <c r="E1629" s="3">
        <v>9989572.8800000008</v>
      </c>
      <c r="F1629" s="1" t="s">
        <v>3065</v>
      </c>
      <c r="G1629"/>
      <c r="H1629"/>
      <c r="I1629" s="19">
        <f>-IFERROR(VLOOKUP(C1629,SIRCUPA!$A$21:$H$221,8,0),0)</f>
        <v>0</v>
      </c>
      <c r="J1629" s="86">
        <f>-IFERROR(VLOOKUP(C1629,SIRTAC!$A$16:$H$1458,8,0),0)</f>
        <v>-278</v>
      </c>
      <c r="K1629" s="86">
        <f>-IFERROR(VLOOKUP(C1629,Gastos!$A$9:$J$1451,10,0),0)</f>
        <v>-2115.58</v>
      </c>
      <c r="L1629" s="86">
        <f>-IFERROR(VLOOKUP(C1629,IDC!$A$20:$H$1763,8,0),0)</f>
        <v>-166.8</v>
      </c>
      <c r="M1629" s="95">
        <f t="shared" si="54"/>
        <v>27799.999999999996</v>
      </c>
      <c r="O1629" s="1"/>
    </row>
    <row r="1630" spans="1:17" hidden="1">
      <c r="A1630" s="1" t="s">
        <v>1793</v>
      </c>
      <c r="B1630" s="1" t="s">
        <v>192</v>
      </c>
      <c r="C1630" s="71">
        <v>131890471796</v>
      </c>
      <c r="D1630" s="3">
        <v>1360.81</v>
      </c>
      <c r="E1630" s="3">
        <v>9990933.6899999995</v>
      </c>
      <c r="F1630" s="1" t="s">
        <v>3065</v>
      </c>
      <c r="G1630"/>
      <c r="H1630"/>
      <c r="I1630" s="19">
        <f>-IFERROR(VLOOKUP(C1630,SIRCUPA!$A$21:$H$221,8,0),0)</f>
        <v>-20.85</v>
      </c>
      <c r="J1630" s="86">
        <f>-IFERROR(VLOOKUP(C1630,SIRTAC!$A$16:$H$1458,8,0),0)</f>
        <v>0</v>
      </c>
      <c r="K1630" s="86">
        <f>-IFERROR(VLOOKUP(C1630,Gastos!$A$9:$J$1451,10,0),0)</f>
        <v>0</v>
      </c>
      <c r="L1630" s="86">
        <f>-IFERROR(VLOOKUP(C1630,IDC!$A$20:$H$1763,8,0),0)</f>
        <v>-8.34</v>
      </c>
      <c r="M1630" s="95">
        <f t="shared" si="54"/>
        <v>1389.9999999999998</v>
      </c>
      <c r="O1630" s="1"/>
    </row>
    <row r="1631" spans="1:17" hidden="1">
      <c r="A1631" s="1" t="s">
        <v>1793</v>
      </c>
      <c r="B1631" s="1" t="s">
        <v>15</v>
      </c>
      <c r="C1631" s="71">
        <v>131890761018</v>
      </c>
      <c r="D1631" s="3">
        <v>45499.81</v>
      </c>
      <c r="E1631" s="3">
        <v>10036433.5</v>
      </c>
      <c r="F1631" s="1" t="s">
        <v>3065</v>
      </c>
      <c r="G1631"/>
      <c r="H1631"/>
      <c r="I1631" s="19">
        <f>-IFERROR(VLOOKUP(C1631,SIRCUPA!$A$21:$H$221,8,0),0)</f>
        <v>0</v>
      </c>
      <c r="J1631" s="86">
        <f>-IFERROR(VLOOKUP(C1631,SIRTAC!$A$16:$H$1458,8,0),0)</f>
        <v>-467</v>
      </c>
      <c r="K1631" s="86">
        <f>-IFERROR(VLOOKUP(C1631,Gastos!$A$9:$J$1451,10,0),0)</f>
        <v>-452.99</v>
      </c>
      <c r="L1631" s="86">
        <f>-IFERROR(VLOOKUP(C1631,IDC!$A$20:$H$1763,8,0),0)</f>
        <v>-280.2</v>
      </c>
      <c r="M1631" s="95">
        <f t="shared" si="54"/>
        <v>46699.999999999993</v>
      </c>
      <c r="O1631" s="1"/>
    </row>
    <row r="1632" spans="1:17" hidden="1">
      <c r="A1632" s="1" t="s">
        <v>1793</v>
      </c>
      <c r="B1632" s="1" t="s">
        <v>15</v>
      </c>
      <c r="C1632" s="71">
        <v>131298223245</v>
      </c>
      <c r="D1632" s="3">
        <v>7263.2</v>
      </c>
      <c r="E1632" s="3">
        <v>10043696.699999999</v>
      </c>
      <c r="F1632" s="1" t="s">
        <v>3065</v>
      </c>
      <c r="G1632"/>
      <c r="H1632"/>
      <c r="I1632" s="19">
        <f>-IFERROR(VLOOKUP(C1632,SIRCUPA!$A$21:$H$221,8,0),0)</f>
        <v>0</v>
      </c>
      <c r="J1632" s="86">
        <f>-IFERROR(VLOOKUP(C1632,SIRTAC!$A$16:$H$1458,8,0),0)</f>
        <v>-80</v>
      </c>
      <c r="K1632" s="86">
        <f>-IFERROR(VLOOKUP(C1632,Gastos!$A$9:$J$1451,10,0),0)</f>
        <v>-608.79999999999995</v>
      </c>
      <c r="L1632" s="86">
        <f>-IFERROR(VLOOKUP(C1632,IDC!$A$20:$H$1763,8,0),0)</f>
        <v>-48</v>
      </c>
      <c r="M1632" s="95">
        <f t="shared" si="54"/>
        <v>8000</v>
      </c>
      <c r="O1632" s="1"/>
    </row>
    <row r="1633" spans="1:17" hidden="1">
      <c r="A1633" s="1" t="s">
        <v>1793</v>
      </c>
      <c r="B1633" s="1" t="s">
        <v>15</v>
      </c>
      <c r="C1633" s="71">
        <v>131896819466</v>
      </c>
      <c r="D1633" s="3">
        <v>39556.58</v>
      </c>
      <c r="E1633" s="3">
        <v>10083253.279999999</v>
      </c>
      <c r="F1633" s="1" t="s">
        <v>3065</v>
      </c>
      <c r="G1633"/>
      <c r="H1633"/>
      <c r="I1633" s="19">
        <f>-IFERROR(VLOOKUP(C1633,SIRCUPA!$A$21:$H$221,8,0),0)</f>
        <v>0</v>
      </c>
      <c r="J1633" s="86">
        <f>-IFERROR(VLOOKUP(C1633,SIRTAC!$A$16:$H$1458,8,0),0)</f>
        <v>-406</v>
      </c>
      <c r="K1633" s="86">
        <f>-IFERROR(VLOOKUP(C1633,Gastos!$A$9:$J$1451,10,0),0)</f>
        <v>-393.82</v>
      </c>
      <c r="L1633" s="86">
        <f>-IFERROR(VLOOKUP(C1633,IDC!$A$20:$H$1763,8,0),0)</f>
        <v>-243.6</v>
      </c>
      <c r="M1633" s="95">
        <f t="shared" si="54"/>
        <v>40600</v>
      </c>
      <c r="O1633" s="1"/>
    </row>
    <row r="1634" spans="1:17" s="67" customFormat="1" hidden="1">
      <c r="A1634" s="67" t="s">
        <v>1871</v>
      </c>
      <c r="B1634" s="67" t="s">
        <v>51</v>
      </c>
      <c r="C1634" s="75">
        <v>131421618225</v>
      </c>
      <c r="D1634" s="68">
        <v>-7005.9</v>
      </c>
      <c r="E1634" s="3">
        <v>9712674.2899999991</v>
      </c>
      <c r="F1634" s="67" t="s">
        <v>3062</v>
      </c>
      <c r="G1634" s="69">
        <f>+D1634/0.006</f>
        <v>-1167650</v>
      </c>
      <c r="H1634" s="69"/>
      <c r="I1634" s="69">
        <f>-IFERROR(VLOOKUP(C1634,SIRCUPA!$A$21:$H$221,8,0),0)</f>
        <v>0</v>
      </c>
      <c r="J1634" s="69">
        <f>-IFERROR(VLOOKUP(C1634,SIRTAC!$A$16:$H$1458,8,0),0)</f>
        <v>0</v>
      </c>
      <c r="K1634" s="69">
        <f>-IFERROR(VLOOKUP(C1634,Gastos!$A$9:$J$1451,10,0),0)</f>
        <v>0</v>
      </c>
      <c r="L1634" s="69"/>
      <c r="M1634" s="96">
        <f>+D1634</f>
        <v>-7005.9</v>
      </c>
      <c r="P1634" s="19"/>
      <c r="Q1634" s="19"/>
    </row>
    <row r="1635" spans="1:17" s="67" customFormat="1" hidden="1">
      <c r="A1635" s="67" t="s">
        <v>1871</v>
      </c>
      <c r="B1635" s="67" t="s">
        <v>1952</v>
      </c>
      <c r="C1635" s="75">
        <v>131421618225</v>
      </c>
      <c r="D1635" s="68">
        <v>-1167650</v>
      </c>
      <c r="E1635" s="3">
        <v>9719680.1899999995</v>
      </c>
      <c r="F1635" s="67" t="s">
        <v>3066</v>
      </c>
      <c r="G1635" s="69">
        <f>+D1635/1.006</f>
        <v>-1160685.8846918489</v>
      </c>
      <c r="H1635" s="69">
        <f>+D1635-G1635</f>
        <v>-6964.1153081511147</v>
      </c>
      <c r="I1635" s="69">
        <f>-IFERROR(VLOOKUP(C1635,SIRCUPA!$A$21:$H$221,8,0),0)</f>
        <v>0</v>
      </c>
      <c r="J1635" s="69">
        <f>-IFERROR(VLOOKUP(C1635,SIRTAC!$A$16:$H$1458,8,0),0)</f>
        <v>0</v>
      </c>
      <c r="K1635" s="69">
        <f>-IFERROR(VLOOKUP(C1635,Gastos!$A$9:$J$1451,10,0),0)</f>
        <v>0</v>
      </c>
      <c r="L1635" s="69">
        <f>-IFERROR(VLOOKUP(C1635,IDC!$A$20:$H$1763,8,0),0)</f>
        <v>-7005.9</v>
      </c>
      <c r="M1635" s="96">
        <f>+D1635</f>
        <v>-1167650</v>
      </c>
      <c r="P1635" s="19"/>
      <c r="Q1635" s="19"/>
    </row>
    <row r="1636" spans="1:17" hidden="1">
      <c r="A1636" s="1" t="s">
        <v>1793</v>
      </c>
      <c r="B1636" s="1" t="s">
        <v>15</v>
      </c>
      <c r="C1636" s="71">
        <v>131901497916</v>
      </c>
      <c r="D1636" s="3">
        <v>8715.84</v>
      </c>
      <c r="E1636" s="3">
        <v>9537131.0299999993</v>
      </c>
      <c r="F1636" s="1" t="s">
        <v>3065</v>
      </c>
      <c r="G1636"/>
      <c r="H1636"/>
      <c r="I1636" s="19">
        <f>-IFERROR(VLOOKUP(C1636,SIRCUPA!$A$21:$H$221,8,0),0)</f>
        <v>0</v>
      </c>
      <c r="J1636" s="86">
        <f>-IFERROR(VLOOKUP(C1636,SIRTAC!$A$16:$H$1458,8,0),0)</f>
        <v>-96</v>
      </c>
      <c r="K1636" s="86">
        <f>-IFERROR(VLOOKUP(C1636,Gastos!$A$9:$J$1451,10,0),0)</f>
        <v>-730.56</v>
      </c>
      <c r="L1636" s="86">
        <f>-IFERROR(VLOOKUP(C1636,IDC!$A$20:$H$1763,8,0),0)</f>
        <v>-57.6</v>
      </c>
      <c r="M1636" s="95">
        <f t="shared" ref="M1636:M1667" si="55">+D1636-I1636-J1636-K1636-L1636</f>
        <v>9600</v>
      </c>
      <c r="O1636" s="1"/>
    </row>
    <row r="1637" spans="1:17" hidden="1">
      <c r="A1637" s="1" t="s">
        <v>1793</v>
      </c>
      <c r="B1637" s="1" t="s">
        <v>15</v>
      </c>
      <c r="C1637" s="71">
        <v>131901950294</v>
      </c>
      <c r="D1637" s="3">
        <v>5358.65</v>
      </c>
      <c r="E1637" s="3">
        <v>9542489.6799999997</v>
      </c>
      <c r="F1637" s="1" t="s">
        <v>3065</v>
      </c>
      <c r="G1637"/>
      <c r="H1637"/>
      <c r="I1637" s="19">
        <f>-IFERROR(VLOOKUP(C1637,SIRCUPA!$A$21:$H$221,8,0),0)</f>
        <v>0</v>
      </c>
      <c r="J1637" s="86">
        <f>-IFERROR(VLOOKUP(C1637,SIRTAC!$A$16:$H$1458,8,0),0)</f>
        <v>-55</v>
      </c>
      <c r="K1637" s="86">
        <f>-IFERROR(VLOOKUP(C1637,Gastos!$A$9:$J$1451,10,0),0)</f>
        <v>-53.35</v>
      </c>
      <c r="L1637" s="86">
        <f>-IFERROR(VLOOKUP(C1637,IDC!$A$20:$H$1763,8,0),0)</f>
        <v>-33</v>
      </c>
      <c r="M1637" s="95">
        <f t="shared" si="55"/>
        <v>5500</v>
      </c>
      <c r="O1637" s="1"/>
    </row>
    <row r="1638" spans="1:17" hidden="1">
      <c r="A1638" s="1" t="s">
        <v>1793</v>
      </c>
      <c r="B1638" s="1" t="s">
        <v>1814</v>
      </c>
      <c r="C1638" s="71">
        <v>131901914752</v>
      </c>
      <c r="D1638" s="2">
        <v>269.22000000000003</v>
      </c>
      <c r="E1638" s="3">
        <v>9542758.9000000004</v>
      </c>
      <c r="F1638" s="1" t="s">
        <v>3065</v>
      </c>
      <c r="G1638"/>
      <c r="H1638"/>
      <c r="I1638" s="19">
        <f>-IFERROR(VLOOKUP(C1638,SIRCUPA!$A$21:$H$221,8,0),0)</f>
        <v>-4.13</v>
      </c>
      <c r="J1638" s="86">
        <f>-IFERROR(VLOOKUP(C1638,SIRTAC!$A$16:$H$1458,8,0),0)</f>
        <v>0</v>
      </c>
      <c r="K1638" s="86">
        <f>-IFERROR(VLOOKUP(C1638,Gastos!$A$9:$J$1451,10,0),0)</f>
        <v>0</v>
      </c>
      <c r="L1638" s="86">
        <f>-IFERROR(VLOOKUP(C1638,IDC!$A$20:$H$1763,8,0),0)</f>
        <v>-1.65</v>
      </c>
      <c r="M1638" s="95">
        <f t="shared" si="55"/>
        <v>275</v>
      </c>
      <c r="O1638" s="1"/>
    </row>
    <row r="1639" spans="1:17" hidden="1">
      <c r="A1639" s="1" t="s">
        <v>1793</v>
      </c>
      <c r="B1639" s="1" t="s">
        <v>15</v>
      </c>
      <c r="C1639" s="71">
        <v>131305593613</v>
      </c>
      <c r="D1639" s="3">
        <v>19973.150000000001</v>
      </c>
      <c r="E1639" s="3">
        <v>9562732.0500000007</v>
      </c>
      <c r="F1639" s="1" t="s">
        <v>3065</v>
      </c>
      <c r="G1639"/>
      <c r="H1639"/>
      <c r="I1639" s="19">
        <f>-IFERROR(VLOOKUP(C1639,SIRCUPA!$A$21:$H$221,8,0),0)</f>
        <v>0</v>
      </c>
      <c r="J1639" s="86">
        <f>-IFERROR(VLOOKUP(C1639,SIRTAC!$A$16:$H$1458,8,0),0)</f>
        <v>-205</v>
      </c>
      <c r="K1639" s="86">
        <f>-IFERROR(VLOOKUP(C1639,Gastos!$A$9:$J$1451,10,0),0)</f>
        <v>-198.85</v>
      </c>
      <c r="L1639" s="86">
        <f>-IFERROR(VLOOKUP(C1639,IDC!$A$20:$H$1763,8,0),0)</f>
        <v>-123</v>
      </c>
      <c r="M1639" s="95">
        <f t="shared" si="55"/>
        <v>20500</v>
      </c>
      <c r="O1639" s="1"/>
    </row>
    <row r="1640" spans="1:17" hidden="1">
      <c r="A1640" s="1" t="s">
        <v>1793</v>
      </c>
      <c r="B1640" s="1" t="s">
        <v>15</v>
      </c>
      <c r="C1640" s="71">
        <v>131305925337</v>
      </c>
      <c r="D1640" s="3">
        <v>4676.6400000000003</v>
      </c>
      <c r="E1640" s="3">
        <v>9567408.6899999995</v>
      </c>
      <c r="F1640" s="1" t="s">
        <v>3065</v>
      </c>
      <c r="G1640"/>
      <c r="H1640"/>
      <c r="I1640" s="19">
        <f>-IFERROR(VLOOKUP(C1640,SIRCUPA!$A$21:$H$221,8,0),0)</f>
        <v>0</v>
      </c>
      <c r="J1640" s="86">
        <f>-IFERROR(VLOOKUP(C1640,SIRTAC!$A$16:$H$1458,8,0),0)</f>
        <v>-48</v>
      </c>
      <c r="K1640" s="86">
        <f>-IFERROR(VLOOKUP(C1640,Gastos!$A$9:$J$1451,10,0),0)</f>
        <v>-46.56</v>
      </c>
      <c r="L1640" s="86">
        <f>-IFERROR(VLOOKUP(C1640,IDC!$A$20:$H$1763,8,0),0)</f>
        <v>-28.8</v>
      </c>
      <c r="M1640" s="95">
        <f t="shared" si="55"/>
        <v>4800.0000000000009</v>
      </c>
      <c r="O1640" s="1"/>
    </row>
    <row r="1641" spans="1:17" hidden="1">
      <c r="A1641" s="1" t="s">
        <v>1793</v>
      </c>
      <c r="B1641" s="1" t="s">
        <v>15</v>
      </c>
      <c r="C1641" s="71">
        <v>131902908484</v>
      </c>
      <c r="D1641" s="3">
        <v>3897.2</v>
      </c>
      <c r="E1641" s="3">
        <v>9571305.8900000006</v>
      </c>
      <c r="F1641" s="1" t="s">
        <v>3065</v>
      </c>
      <c r="G1641"/>
      <c r="H1641"/>
      <c r="I1641" s="19">
        <f>-IFERROR(VLOOKUP(C1641,SIRCUPA!$A$21:$H$221,8,0),0)</f>
        <v>0</v>
      </c>
      <c r="J1641" s="86">
        <f>-IFERROR(VLOOKUP(C1641,SIRTAC!$A$16:$H$1458,8,0),0)</f>
        <v>-40</v>
      </c>
      <c r="K1641" s="86">
        <f>-IFERROR(VLOOKUP(C1641,Gastos!$A$9:$J$1451,10,0),0)</f>
        <v>-38.799999999999997</v>
      </c>
      <c r="L1641" s="86">
        <f>-IFERROR(VLOOKUP(C1641,IDC!$A$20:$H$1763,8,0),0)</f>
        <v>-24</v>
      </c>
      <c r="M1641" s="95">
        <f t="shared" si="55"/>
        <v>4000</v>
      </c>
      <c r="O1641" s="1"/>
    </row>
    <row r="1642" spans="1:17" hidden="1">
      <c r="A1642" s="1" t="s">
        <v>1793</v>
      </c>
      <c r="B1642" s="1" t="s">
        <v>15</v>
      </c>
      <c r="C1642" s="71">
        <v>131902863112</v>
      </c>
      <c r="D1642" s="3">
        <v>3778.8</v>
      </c>
      <c r="E1642" s="3">
        <v>9575084.6899999995</v>
      </c>
      <c r="F1642" s="1" t="s">
        <v>3065</v>
      </c>
      <c r="G1642"/>
      <c r="H1642"/>
      <c r="I1642" s="19">
        <f>-IFERROR(VLOOKUP(C1642,SIRCUPA!$A$21:$H$221,8,0),0)</f>
        <v>0</v>
      </c>
      <c r="J1642" s="86">
        <f>-IFERROR(VLOOKUP(C1642,SIRTAC!$A$16:$H$1458,8,0),0)</f>
        <v>-40</v>
      </c>
      <c r="K1642" s="86">
        <f>-IFERROR(VLOOKUP(C1642,Gastos!$A$9:$J$1451,10,0),0)</f>
        <v>-157.19999999999999</v>
      </c>
      <c r="L1642" s="86">
        <f>-IFERROR(VLOOKUP(C1642,IDC!$A$20:$H$1763,8,0),0)</f>
        <v>-24</v>
      </c>
      <c r="M1642" s="95">
        <f t="shared" si="55"/>
        <v>4000</v>
      </c>
      <c r="O1642" s="1"/>
    </row>
    <row r="1643" spans="1:17" hidden="1">
      <c r="A1643" s="1" t="s">
        <v>1793</v>
      </c>
      <c r="B1643" s="1" t="s">
        <v>15</v>
      </c>
      <c r="C1643" s="71">
        <v>131903448136</v>
      </c>
      <c r="D1643" s="3">
        <v>4676.6400000000003</v>
      </c>
      <c r="E1643" s="3">
        <v>9579761.3300000001</v>
      </c>
      <c r="F1643" s="1" t="s">
        <v>3065</v>
      </c>
      <c r="G1643"/>
      <c r="H1643"/>
      <c r="I1643" s="19">
        <f>-IFERROR(VLOOKUP(C1643,SIRCUPA!$A$21:$H$221,8,0),0)</f>
        <v>0</v>
      </c>
      <c r="J1643" s="86">
        <f>-IFERROR(VLOOKUP(C1643,SIRTAC!$A$16:$H$1458,8,0),0)</f>
        <v>-48</v>
      </c>
      <c r="K1643" s="86">
        <f>-IFERROR(VLOOKUP(C1643,Gastos!$A$9:$J$1451,10,0),0)</f>
        <v>-46.56</v>
      </c>
      <c r="L1643" s="86">
        <f>-IFERROR(VLOOKUP(C1643,IDC!$A$20:$H$1763,8,0),0)</f>
        <v>-28.8</v>
      </c>
      <c r="M1643" s="95">
        <f t="shared" si="55"/>
        <v>4800.0000000000009</v>
      </c>
      <c r="O1643" s="1"/>
    </row>
    <row r="1644" spans="1:17" hidden="1">
      <c r="A1644" s="1" t="s">
        <v>1793</v>
      </c>
      <c r="B1644" s="1" t="s">
        <v>448</v>
      </c>
      <c r="C1644" s="71">
        <v>131306274905</v>
      </c>
      <c r="D1644" s="2">
        <v>234.96</v>
      </c>
      <c r="E1644" s="3">
        <v>9579996.2899999991</v>
      </c>
      <c r="F1644" s="1" t="s">
        <v>3065</v>
      </c>
      <c r="G1644"/>
      <c r="H1644"/>
      <c r="I1644" s="19">
        <f>-IFERROR(VLOOKUP(C1644,SIRCUPA!$A$21:$H$221,8,0),0)</f>
        <v>-3.6</v>
      </c>
      <c r="J1644" s="86">
        <f>-IFERROR(VLOOKUP(C1644,SIRTAC!$A$16:$H$1458,8,0),0)</f>
        <v>0</v>
      </c>
      <c r="K1644" s="86">
        <f>-IFERROR(VLOOKUP(C1644,Gastos!$A$9:$J$1451,10,0),0)</f>
        <v>0</v>
      </c>
      <c r="L1644" s="86">
        <f>-IFERROR(VLOOKUP(C1644,IDC!$A$20:$H$1763,8,0),0)</f>
        <v>-1.44</v>
      </c>
      <c r="M1644" s="95">
        <f t="shared" si="55"/>
        <v>240</v>
      </c>
      <c r="O1644" s="1"/>
    </row>
    <row r="1645" spans="1:17" hidden="1">
      <c r="A1645" s="1" t="s">
        <v>1793</v>
      </c>
      <c r="B1645" s="1" t="s">
        <v>15</v>
      </c>
      <c r="C1645" s="71">
        <v>131306395943</v>
      </c>
      <c r="D1645" s="3">
        <v>2338.3200000000002</v>
      </c>
      <c r="E1645" s="3">
        <v>9582334.6099999994</v>
      </c>
      <c r="F1645" s="1" t="s">
        <v>3065</v>
      </c>
      <c r="G1645"/>
      <c r="H1645"/>
      <c r="I1645" s="19">
        <f>-IFERROR(VLOOKUP(C1645,SIRCUPA!$A$21:$H$221,8,0),0)</f>
        <v>0</v>
      </c>
      <c r="J1645" s="86">
        <f>-IFERROR(VLOOKUP(C1645,SIRTAC!$A$16:$H$1458,8,0),0)</f>
        <v>-24</v>
      </c>
      <c r="K1645" s="86">
        <f>-IFERROR(VLOOKUP(C1645,Gastos!$A$9:$J$1451,10,0),0)</f>
        <v>-23.28</v>
      </c>
      <c r="L1645" s="86">
        <f>-IFERROR(VLOOKUP(C1645,IDC!$A$20:$H$1763,8,0),0)</f>
        <v>-14.4</v>
      </c>
      <c r="M1645" s="95">
        <f t="shared" si="55"/>
        <v>2400.0000000000005</v>
      </c>
      <c r="O1645" s="1"/>
    </row>
    <row r="1646" spans="1:17" hidden="1">
      <c r="A1646" s="1" t="s">
        <v>1793</v>
      </c>
      <c r="B1646" s="1" t="s">
        <v>448</v>
      </c>
      <c r="C1646" s="71">
        <v>131306413635</v>
      </c>
      <c r="D1646" s="2">
        <v>117.48</v>
      </c>
      <c r="E1646" s="3">
        <v>9582452.0899999999</v>
      </c>
      <c r="F1646" s="1" t="s">
        <v>3065</v>
      </c>
      <c r="G1646"/>
      <c r="H1646"/>
      <c r="I1646" s="19">
        <f>-IFERROR(VLOOKUP(C1646,SIRCUPA!$A$21:$H$221,8,0),0)</f>
        <v>-1.8</v>
      </c>
      <c r="J1646" s="86">
        <f>-IFERROR(VLOOKUP(C1646,SIRTAC!$A$16:$H$1458,8,0),0)</f>
        <v>0</v>
      </c>
      <c r="K1646" s="86">
        <f>-IFERROR(VLOOKUP(C1646,Gastos!$A$9:$J$1451,10,0),0)</f>
        <v>0</v>
      </c>
      <c r="L1646" s="86">
        <f>-IFERROR(VLOOKUP(C1646,IDC!$A$20:$H$1763,8,0),0)</f>
        <v>-0.72</v>
      </c>
      <c r="M1646" s="95">
        <f t="shared" si="55"/>
        <v>120</v>
      </c>
      <c r="O1646" s="1"/>
    </row>
    <row r="1647" spans="1:17" hidden="1">
      <c r="A1647" s="1" t="s">
        <v>1793</v>
      </c>
      <c r="B1647" s="1" t="s">
        <v>15</v>
      </c>
      <c r="C1647" s="71">
        <v>131903795584</v>
      </c>
      <c r="D1647" s="3">
        <v>12847.92</v>
      </c>
      <c r="E1647" s="3">
        <v>9595300.0099999998</v>
      </c>
      <c r="F1647" s="1" t="s">
        <v>3065</v>
      </c>
      <c r="G1647"/>
      <c r="H1647"/>
      <c r="I1647" s="19">
        <f>-IFERROR(VLOOKUP(C1647,SIRCUPA!$A$21:$H$221,8,0),0)</f>
        <v>0</v>
      </c>
      <c r="J1647" s="86">
        <f>-IFERROR(VLOOKUP(C1647,SIRTAC!$A$16:$H$1458,8,0),0)</f>
        <v>-136</v>
      </c>
      <c r="K1647" s="86">
        <f>-IFERROR(VLOOKUP(C1647,Gastos!$A$9:$J$1451,10,0),0)</f>
        <v>-534.48</v>
      </c>
      <c r="L1647" s="86">
        <f>-IFERROR(VLOOKUP(C1647,IDC!$A$20:$H$1763,8,0),0)</f>
        <v>-81.599999999999994</v>
      </c>
      <c r="M1647" s="95">
        <f t="shared" si="55"/>
        <v>13600</v>
      </c>
      <c r="O1647" s="1"/>
    </row>
    <row r="1648" spans="1:17" hidden="1">
      <c r="A1648" s="1" t="s">
        <v>1793</v>
      </c>
      <c r="B1648" s="1" t="s">
        <v>15</v>
      </c>
      <c r="C1648" s="71">
        <v>131306924489</v>
      </c>
      <c r="D1648" s="3">
        <v>4092.06</v>
      </c>
      <c r="E1648" s="3">
        <v>9599392.0700000003</v>
      </c>
      <c r="F1648" s="1" t="s">
        <v>3065</v>
      </c>
      <c r="G1648"/>
      <c r="H1648"/>
      <c r="I1648" s="19">
        <f>-IFERROR(VLOOKUP(C1648,SIRCUPA!$A$21:$H$221,8,0),0)</f>
        <v>0</v>
      </c>
      <c r="J1648" s="86">
        <f>-IFERROR(VLOOKUP(C1648,SIRTAC!$A$16:$H$1458,8,0),0)</f>
        <v>-42</v>
      </c>
      <c r="K1648" s="86">
        <f>-IFERROR(VLOOKUP(C1648,Gastos!$A$9:$J$1451,10,0),0)</f>
        <v>-40.74</v>
      </c>
      <c r="L1648" s="86">
        <f>-IFERROR(VLOOKUP(C1648,IDC!$A$20:$H$1763,8,0),0)</f>
        <v>-25.2</v>
      </c>
      <c r="M1648" s="95">
        <f t="shared" si="55"/>
        <v>4199.9999999999991</v>
      </c>
      <c r="O1648" s="1"/>
    </row>
    <row r="1649" spans="1:15" hidden="1">
      <c r="A1649" s="1" t="s">
        <v>1793</v>
      </c>
      <c r="B1649" s="1" t="s">
        <v>15</v>
      </c>
      <c r="C1649" s="71">
        <v>131904338486</v>
      </c>
      <c r="D1649" s="3">
        <v>10391.700000000001</v>
      </c>
      <c r="E1649" s="3">
        <v>9609783.7699999996</v>
      </c>
      <c r="F1649" s="1" t="s">
        <v>3065</v>
      </c>
      <c r="G1649"/>
      <c r="H1649"/>
      <c r="I1649" s="19">
        <f>-IFERROR(VLOOKUP(C1649,SIRCUPA!$A$21:$H$221,8,0),0)</f>
        <v>0</v>
      </c>
      <c r="J1649" s="86">
        <f>-IFERROR(VLOOKUP(C1649,SIRTAC!$A$16:$H$1458,8,0),0)</f>
        <v>-110</v>
      </c>
      <c r="K1649" s="86">
        <f>-IFERROR(VLOOKUP(C1649,Gastos!$A$9:$J$1451,10,0),0)</f>
        <v>-432.3</v>
      </c>
      <c r="L1649" s="86">
        <f>-IFERROR(VLOOKUP(C1649,IDC!$A$20:$H$1763,8,0),0)</f>
        <v>-66</v>
      </c>
      <c r="M1649" s="95">
        <f t="shared" si="55"/>
        <v>11000</v>
      </c>
      <c r="O1649" s="1"/>
    </row>
    <row r="1650" spans="1:15" hidden="1">
      <c r="A1650" s="1" t="s">
        <v>1793</v>
      </c>
      <c r="B1650" s="1" t="s">
        <v>15</v>
      </c>
      <c r="C1650" s="71">
        <v>131904438130</v>
      </c>
      <c r="D1650" s="3">
        <v>4993.45</v>
      </c>
      <c r="E1650" s="3">
        <v>9614777.2200000007</v>
      </c>
      <c r="F1650" s="1" t="s">
        <v>3065</v>
      </c>
      <c r="G1650"/>
      <c r="H1650"/>
      <c r="I1650" s="19">
        <f>-IFERROR(VLOOKUP(C1650,SIRCUPA!$A$21:$H$221,8,0),0)</f>
        <v>0</v>
      </c>
      <c r="J1650" s="86">
        <f>-IFERROR(VLOOKUP(C1650,SIRTAC!$A$16:$H$1458,8,0),0)</f>
        <v>-55</v>
      </c>
      <c r="K1650" s="86">
        <f>-IFERROR(VLOOKUP(C1650,Gastos!$A$9:$J$1451,10,0),0)</f>
        <v>-418.55</v>
      </c>
      <c r="L1650" s="86">
        <f>-IFERROR(VLOOKUP(C1650,IDC!$A$20:$H$1763,8,0),0)</f>
        <v>-33</v>
      </c>
      <c r="M1650" s="95">
        <f t="shared" si="55"/>
        <v>5500</v>
      </c>
      <c r="O1650" s="1"/>
    </row>
    <row r="1651" spans="1:15" hidden="1">
      <c r="A1651" s="1" t="s">
        <v>1793</v>
      </c>
      <c r="B1651" s="1" t="s">
        <v>15</v>
      </c>
      <c r="C1651" s="71">
        <v>131307691391</v>
      </c>
      <c r="D1651" s="3">
        <v>4676.6400000000003</v>
      </c>
      <c r="E1651" s="3">
        <v>9619453.8599999994</v>
      </c>
      <c r="F1651" s="1" t="s">
        <v>3065</v>
      </c>
      <c r="G1651"/>
      <c r="H1651"/>
      <c r="I1651" s="19">
        <f>-IFERROR(VLOOKUP(C1651,SIRCUPA!$A$21:$H$221,8,0),0)</f>
        <v>0</v>
      </c>
      <c r="J1651" s="86">
        <f>-IFERROR(VLOOKUP(C1651,SIRTAC!$A$16:$H$1458,8,0),0)</f>
        <v>-48</v>
      </c>
      <c r="K1651" s="86">
        <f>-IFERROR(VLOOKUP(C1651,Gastos!$A$9:$J$1451,10,0),0)</f>
        <v>-46.56</v>
      </c>
      <c r="L1651" s="86">
        <f>-IFERROR(VLOOKUP(C1651,IDC!$A$20:$H$1763,8,0),0)</f>
        <v>-28.8</v>
      </c>
      <c r="M1651" s="95">
        <f t="shared" si="55"/>
        <v>4800.0000000000009</v>
      </c>
      <c r="O1651" s="1"/>
    </row>
    <row r="1652" spans="1:15" hidden="1">
      <c r="A1652" s="1" t="s">
        <v>1793</v>
      </c>
      <c r="B1652" s="1" t="s">
        <v>1829</v>
      </c>
      <c r="C1652" s="71">
        <v>131307866811</v>
      </c>
      <c r="D1652" s="2">
        <v>469.92</v>
      </c>
      <c r="E1652" s="3">
        <v>9619923.7799999993</v>
      </c>
      <c r="F1652" s="1" t="s">
        <v>3065</v>
      </c>
      <c r="G1652"/>
      <c r="H1652"/>
      <c r="I1652" s="19">
        <f>-IFERROR(VLOOKUP(C1652,SIRCUPA!$A$21:$H$221,8,0),0)</f>
        <v>-7.2</v>
      </c>
      <c r="J1652" s="86">
        <f>-IFERROR(VLOOKUP(C1652,SIRTAC!$A$16:$H$1458,8,0),0)</f>
        <v>0</v>
      </c>
      <c r="K1652" s="86">
        <f>-IFERROR(VLOOKUP(C1652,Gastos!$A$9:$J$1451,10,0),0)</f>
        <v>0</v>
      </c>
      <c r="L1652" s="86">
        <f>-IFERROR(VLOOKUP(C1652,IDC!$A$20:$H$1763,8,0),0)</f>
        <v>-2.88</v>
      </c>
      <c r="M1652" s="95">
        <f t="shared" si="55"/>
        <v>480</v>
      </c>
      <c r="O1652" s="1"/>
    </row>
    <row r="1653" spans="1:15" hidden="1">
      <c r="A1653" s="1" t="s">
        <v>1793</v>
      </c>
      <c r="B1653" s="1" t="s">
        <v>15</v>
      </c>
      <c r="C1653" s="71">
        <v>131308959291</v>
      </c>
      <c r="D1653" s="3">
        <v>43175.6</v>
      </c>
      <c r="E1653" s="3">
        <v>9663099.3800000008</v>
      </c>
      <c r="F1653" s="1" t="s">
        <v>3065</v>
      </c>
      <c r="G1653"/>
      <c r="H1653"/>
      <c r="I1653" s="19">
        <f>-IFERROR(VLOOKUP(C1653,SIRCUPA!$A$21:$H$221,8,0),0)</f>
        <v>0</v>
      </c>
      <c r="J1653" s="86">
        <f>-IFERROR(VLOOKUP(C1653,SIRTAC!$A$16:$H$1458,8,0),0)</f>
        <v>-460</v>
      </c>
      <c r="K1653" s="86">
        <f>-IFERROR(VLOOKUP(C1653,Gastos!$A$9:$J$1451,10,0),0)</f>
        <v>-2088.4</v>
      </c>
      <c r="L1653" s="86">
        <f>-IFERROR(VLOOKUP(C1653,IDC!$A$20:$H$1763,8,0),0)</f>
        <v>-276</v>
      </c>
      <c r="M1653" s="95">
        <f t="shared" si="55"/>
        <v>46000</v>
      </c>
      <c r="O1653" s="1"/>
    </row>
    <row r="1654" spans="1:15" hidden="1">
      <c r="A1654" s="1" t="s">
        <v>1793</v>
      </c>
      <c r="B1654" s="1" t="s">
        <v>15</v>
      </c>
      <c r="C1654" s="71">
        <v>131905568532</v>
      </c>
      <c r="D1654" s="3">
        <v>8573.84</v>
      </c>
      <c r="E1654" s="3">
        <v>9671673.2200000007</v>
      </c>
      <c r="F1654" s="1" t="s">
        <v>3065</v>
      </c>
      <c r="G1654"/>
      <c r="H1654"/>
      <c r="I1654" s="19">
        <f>-IFERROR(VLOOKUP(C1654,SIRCUPA!$A$21:$H$221,8,0),0)</f>
        <v>0</v>
      </c>
      <c r="J1654" s="86">
        <f>-IFERROR(VLOOKUP(C1654,SIRTAC!$A$16:$H$1458,8,0),0)</f>
        <v>-88</v>
      </c>
      <c r="K1654" s="86">
        <f>-IFERROR(VLOOKUP(C1654,Gastos!$A$9:$J$1451,10,0),0)</f>
        <v>-85.36</v>
      </c>
      <c r="L1654" s="86">
        <f>-IFERROR(VLOOKUP(C1654,IDC!$A$20:$H$1763,8,0),0)</f>
        <v>-52.8</v>
      </c>
      <c r="M1654" s="95">
        <f t="shared" si="55"/>
        <v>8800</v>
      </c>
      <c r="O1654" s="1"/>
    </row>
    <row r="1655" spans="1:15" hidden="1">
      <c r="A1655" s="1" t="s">
        <v>1793</v>
      </c>
      <c r="B1655" s="1" t="s">
        <v>15</v>
      </c>
      <c r="C1655" s="71">
        <v>131905809004</v>
      </c>
      <c r="D1655" s="3">
        <v>4676.6400000000003</v>
      </c>
      <c r="E1655" s="3">
        <v>9676349.8599999994</v>
      </c>
      <c r="F1655" s="1" t="s">
        <v>3065</v>
      </c>
      <c r="G1655"/>
      <c r="H1655"/>
      <c r="I1655" s="19">
        <f>-IFERROR(VLOOKUP(C1655,SIRCUPA!$A$21:$H$221,8,0),0)</f>
        <v>0</v>
      </c>
      <c r="J1655" s="86">
        <f>-IFERROR(VLOOKUP(C1655,SIRTAC!$A$16:$H$1458,8,0),0)</f>
        <v>-48</v>
      </c>
      <c r="K1655" s="86">
        <f>-IFERROR(VLOOKUP(C1655,Gastos!$A$9:$J$1451,10,0),0)</f>
        <v>-46.56</v>
      </c>
      <c r="L1655" s="86">
        <f>-IFERROR(VLOOKUP(C1655,IDC!$A$20:$H$1763,8,0),0)</f>
        <v>-28.8</v>
      </c>
      <c r="M1655" s="95">
        <f t="shared" si="55"/>
        <v>4800.0000000000009</v>
      </c>
      <c r="O1655" s="1"/>
    </row>
    <row r="1656" spans="1:15" hidden="1">
      <c r="A1656" s="1" t="s">
        <v>1793</v>
      </c>
      <c r="B1656" s="1" t="s">
        <v>448</v>
      </c>
      <c r="C1656" s="71">
        <v>131905932386</v>
      </c>
      <c r="D1656" s="2">
        <v>234.96</v>
      </c>
      <c r="E1656" s="3">
        <v>9676584.8200000003</v>
      </c>
      <c r="F1656" s="1" t="s">
        <v>3065</v>
      </c>
      <c r="G1656"/>
      <c r="H1656"/>
      <c r="I1656" s="19">
        <f>-IFERROR(VLOOKUP(C1656,SIRCUPA!$A$21:$H$221,8,0),0)</f>
        <v>-3.6</v>
      </c>
      <c r="J1656" s="86">
        <f>-IFERROR(VLOOKUP(C1656,SIRTAC!$A$16:$H$1458,8,0),0)</f>
        <v>0</v>
      </c>
      <c r="K1656" s="86">
        <f>-IFERROR(VLOOKUP(C1656,Gastos!$A$9:$J$1451,10,0),0)</f>
        <v>0</v>
      </c>
      <c r="L1656" s="86">
        <f>-IFERROR(VLOOKUP(C1656,IDC!$A$20:$H$1763,8,0),0)</f>
        <v>-1.44</v>
      </c>
      <c r="M1656" s="95">
        <f t="shared" si="55"/>
        <v>240</v>
      </c>
      <c r="O1656" s="1"/>
    </row>
    <row r="1657" spans="1:15" hidden="1">
      <c r="A1657" s="1" t="s">
        <v>1793</v>
      </c>
      <c r="B1657" s="1" t="s">
        <v>15</v>
      </c>
      <c r="C1657" s="71">
        <v>131309391639</v>
      </c>
      <c r="D1657" s="3">
        <v>4481.78</v>
      </c>
      <c r="E1657" s="3">
        <v>9681066.5999999996</v>
      </c>
      <c r="F1657" s="1" t="s">
        <v>3065</v>
      </c>
      <c r="G1657"/>
      <c r="H1657"/>
      <c r="I1657" s="19">
        <f>-IFERROR(VLOOKUP(C1657,SIRCUPA!$A$21:$H$221,8,0),0)</f>
        <v>0</v>
      </c>
      <c r="J1657" s="86">
        <f>-IFERROR(VLOOKUP(C1657,SIRTAC!$A$16:$H$1458,8,0),0)</f>
        <v>-46</v>
      </c>
      <c r="K1657" s="86">
        <f>-IFERROR(VLOOKUP(C1657,Gastos!$A$9:$J$1451,10,0),0)</f>
        <v>-44.62</v>
      </c>
      <c r="L1657" s="86">
        <f>-IFERROR(VLOOKUP(C1657,IDC!$A$20:$H$1763,8,0),0)</f>
        <v>-27.6</v>
      </c>
      <c r="M1657" s="95">
        <f t="shared" si="55"/>
        <v>4600</v>
      </c>
      <c r="O1657" s="1"/>
    </row>
    <row r="1658" spans="1:15" hidden="1">
      <c r="A1658" s="1" t="s">
        <v>1793</v>
      </c>
      <c r="B1658" s="1" t="s">
        <v>15</v>
      </c>
      <c r="C1658" s="71">
        <v>131309712763</v>
      </c>
      <c r="D1658" s="3">
        <v>25039.51</v>
      </c>
      <c r="E1658" s="3">
        <v>9706106.1099999994</v>
      </c>
      <c r="F1658" s="1" t="s">
        <v>3065</v>
      </c>
      <c r="G1658"/>
      <c r="H1658"/>
      <c r="I1658" s="19">
        <f>-IFERROR(VLOOKUP(C1658,SIRCUPA!$A$21:$H$221,8,0),0)</f>
        <v>0</v>
      </c>
      <c r="J1658" s="86">
        <f>-IFERROR(VLOOKUP(C1658,SIRTAC!$A$16:$H$1458,8,0),0)</f>
        <v>-257</v>
      </c>
      <c r="K1658" s="86">
        <f>-IFERROR(VLOOKUP(C1658,Gastos!$A$9:$J$1451,10,0),0)</f>
        <v>-249.29</v>
      </c>
      <c r="L1658" s="86">
        <f>-IFERROR(VLOOKUP(C1658,IDC!$A$20:$H$1763,8,0),0)</f>
        <v>-154.19999999999999</v>
      </c>
      <c r="M1658" s="95">
        <f t="shared" si="55"/>
        <v>25700</v>
      </c>
      <c r="O1658" s="1"/>
    </row>
    <row r="1659" spans="1:15" hidden="1">
      <c r="A1659" s="1" t="s">
        <v>1793</v>
      </c>
      <c r="B1659" s="1" t="s">
        <v>15</v>
      </c>
      <c r="C1659" s="71">
        <v>131906789090</v>
      </c>
      <c r="D1659" s="3">
        <v>33579.19</v>
      </c>
      <c r="E1659" s="3">
        <v>9739685.3000000007</v>
      </c>
      <c r="F1659" s="1" t="s">
        <v>3065</v>
      </c>
      <c r="G1659"/>
      <c r="H1659"/>
      <c r="I1659" s="19">
        <f>-IFERROR(VLOOKUP(C1659,SIRCUPA!$A$21:$H$221,8,0),0)</f>
        <v>0</v>
      </c>
      <c r="J1659" s="86">
        <f>-IFERROR(VLOOKUP(C1659,SIRTAC!$A$16:$H$1458,8,0),0)</f>
        <v>-347</v>
      </c>
      <c r="K1659" s="86">
        <f>-IFERROR(VLOOKUP(C1659,Gastos!$A$9:$J$1451,10,0),0)</f>
        <v>-565.61</v>
      </c>
      <c r="L1659" s="86">
        <f>-IFERROR(VLOOKUP(C1659,IDC!$A$20:$H$1763,8,0),0)</f>
        <v>-208.2</v>
      </c>
      <c r="M1659" s="95">
        <f t="shared" si="55"/>
        <v>34700</v>
      </c>
      <c r="O1659" s="1"/>
    </row>
    <row r="1660" spans="1:15" hidden="1">
      <c r="A1660" s="1" t="s">
        <v>1793</v>
      </c>
      <c r="B1660" s="1" t="s">
        <v>15</v>
      </c>
      <c r="C1660" s="71">
        <v>131907151016</v>
      </c>
      <c r="D1660" s="3">
        <v>27864.98</v>
      </c>
      <c r="E1660" s="3">
        <v>9767550.2799999993</v>
      </c>
      <c r="F1660" s="1" t="s">
        <v>3065</v>
      </c>
      <c r="G1660"/>
      <c r="H1660"/>
      <c r="I1660" s="19">
        <f>-IFERROR(VLOOKUP(C1660,SIRCUPA!$A$21:$H$221,8,0),0)</f>
        <v>0</v>
      </c>
      <c r="J1660" s="86">
        <f>-IFERROR(VLOOKUP(C1660,SIRTAC!$A$16:$H$1458,8,0),0)</f>
        <v>-286</v>
      </c>
      <c r="K1660" s="86">
        <f>-IFERROR(VLOOKUP(C1660,Gastos!$A$9:$J$1451,10,0),0)</f>
        <v>-277.42</v>
      </c>
      <c r="L1660" s="86">
        <f>-IFERROR(VLOOKUP(C1660,IDC!$A$20:$H$1763,8,0),0)</f>
        <v>-171.6</v>
      </c>
      <c r="M1660" s="95">
        <f t="shared" si="55"/>
        <v>28599.999999999996</v>
      </c>
      <c r="O1660" s="1"/>
    </row>
    <row r="1661" spans="1:15" hidden="1">
      <c r="A1661" s="1" t="s">
        <v>1793</v>
      </c>
      <c r="B1661" s="1" t="s">
        <v>15</v>
      </c>
      <c r="C1661" s="71">
        <v>131907151510</v>
      </c>
      <c r="D1661" s="3">
        <v>4579.21</v>
      </c>
      <c r="E1661" s="3">
        <v>9772129.4900000002</v>
      </c>
      <c r="F1661" s="1" t="s">
        <v>3065</v>
      </c>
      <c r="G1661"/>
      <c r="H1661"/>
      <c r="I1661" s="19">
        <f>-IFERROR(VLOOKUP(C1661,SIRCUPA!$A$21:$H$221,8,0),0)</f>
        <v>0</v>
      </c>
      <c r="J1661" s="86">
        <f>-IFERROR(VLOOKUP(C1661,SIRTAC!$A$16:$H$1458,8,0),0)</f>
        <v>-47</v>
      </c>
      <c r="K1661" s="86">
        <f>-IFERROR(VLOOKUP(C1661,Gastos!$A$9:$J$1451,10,0),0)</f>
        <v>-45.59</v>
      </c>
      <c r="L1661" s="86">
        <f>-IFERROR(VLOOKUP(C1661,IDC!$A$20:$H$1763,8,0),0)</f>
        <v>-28.2</v>
      </c>
      <c r="M1661" s="95">
        <f t="shared" si="55"/>
        <v>4700</v>
      </c>
      <c r="O1661" s="1"/>
    </row>
    <row r="1662" spans="1:15" hidden="1">
      <c r="A1662" s="1" t="s">
        <v>1793</v>
      </c>
      <c r="B1662" s="1" t="s">
        <v>15</v>
      </c>
      <c r="C1662" s="71">
        <v>131907367616</v>
      </c>
      <c r="D1662" s="3">
        <v>19388.57</v>
      </c>
      <c r="E1662" s="3">
        <v>9791518.0600000005</v>
      </c>
      <c r="F1662" s="1" t="s">
        <v>3065</v>
      </c>
      <c r="G1662"/>
      <c r="H1662"/>
      <c r="I1662" s="19">
        <f>-IFERROR(VLOOKUP(C1662,SIRCUPA!$A$21:$H$221,8,0),0)</f>
        <v>0</v>
      </c>
      <c r="J1662" s="86">
        <f>-IFERROR(VLOOKUP(C1662,SIRTAC!$A$16:$H$1458,8,0),0)</f>
        <v>-199</v>
      </c>
      <c r="K1662" s="86">
        <f>-IFERROR(VLOOKUP(C1662,Gastos!$A$9:$J$1451,10,0),0)</f>
        <v>-193.03</v>
      </c>
      <c r="L1662" s="86">
        <f>-IFERROR(VLOOKUP(C1662,IDC!$A$20:$H$1763,8,0),0)</f>
        <v>-119.4</v>
      </c>
      <c r="M1662" s="95">
        <f t="shared" si="55"/>
        <v>19900</v>
      </c>
      <c r="O1662" s="1"/>
    </row>
    <row r="1663" spans="1:15" hidden="1">
      <c r="A1663" s="1" t="s">
        <v>1793</v>
      </c>
      <c r="B1663" s="1" t="s">
        <v>15</v>
      </c>
      <c r="C1663" s="71">
        <v>131310426325</v>
      </c>
      <c r="D1663" s="3">
        <v>18706.560000000001</v>
      </c>
      <c r="E1663" s="3">
        <v>9810224.6199999992</v>
      </c>
      <c r="F1663" s="1" t="s">
        <v>3065</v>
      </c>
      <c r="G1663"/>
      <c r="H1663"/>
      <c r="I1663" s="19">
        <f>-IFERROR(VLOOKUP(C1663,SIRCUPA!$A$21:$H$221,8,0),0)</f>
        <v>0</v>
      </c>
      <c r="J1663" s="86">
        <f>-IFERROR(VLOOKUP(C1663,SIRTAC!$A$16:$H$1458,8,0),0)</f>
        <v>-192</v>
      </c>
      <c r="K1663" s="86">
        <f>-IFERROR(VLOOKUP(C1663,Gastos!$A$9:$J$1451,10,0),0)</f>
        <v>-186.24</v>
      </c>
      <c r="L1663" s="86">
        <f>-IFERROR(VLOOKUP(C1663,IDC!$A$20:$H$1763,8,0),0)</f>
        <v>-115.2</v>
      </c>
      <c r="M1663" s="95">
        <f t="shared" si="55"/>
        <v>19200.000000000004</v>
      </c>
      <c r="O1663" s="1"/>
    </row>
    <row r="1664" spans="1:15" hidden="1">
      <c r="A1664" s="1" t="s">
        <v>1793</v>
      </c>
      <c r="B1664" s="1" t="s">
        <v>15</v>
      </c>
      <c r="C1664" s="71">
        <v>131310354047</v>
      </c>
      <c r="D1664" s="3">
        <v>7794.4</v>
      </c>
      <c r="E1664" s="3">
        <v>9818019.0199999996</v>
      </c>
      <c r="F1664" s="1" t="s">
        <v>3065</v>
      </c>
      <c r="G1664"/>
      <c r="H1664"/>
      <c r="I1664" s="19">
        <f>-IFERROR(VLOOKUP(C1664,SIRCUPA!$A$21:$H$221,8,0),0)</f>
        <v>0</v>
      </c>
      <c r="J1664" s="86">
        <f>-IFERROR(VLOOKUP(C1664,SIRTAC!$A$16:$H$1458,8,0),0)</f>
        <v>-80</v>
      </c>
      <c r="K1664" s="86">
        <f>-IFERROR(VLOOKUP(C1664,Gastos!$A$9:$J$1451,10,0),0)</f>
        <v>-77.599999999999994</v>
      </c>
      <c r="L1664" s="86">
        <f>-IFERROR(VLOOKUP(C1664,IDC!$A$20:$H$1763,8,0),0)</f>
        <v>-48</v>
      </c>
      <c r="M1664" s="95">
        <f t="shared" si="55"/>
        <v>8000</v>
      </c>
      <c r="O1664" s="1"/>
    </row>
    <row r="1665" spans="1:15" hidden="1">
      <c r="A1665" s="1" t="s">
        <v>1793</v>
      </c>
      <c r="B1665" s="1" t="s">
        <v>15</v>
      </c>
      <c r="C1665" s="71">
        <v>131310713093</v>
      </c>
      <c r="D1665" s="3">
        <v>30579.32</v>
      </c>
      <c r="E1665" s="3">
        <v>9848598.3399999999</v>
      </c>
      <c r="F1665" s="1" t="s">
        <v>3065</v>
      </c>
      <c r="G1665"/>
      <c r="H1665"/>
      <c r="I1665" s="19">
        <f>-IFERROR(VLOOKUP(C1665,SIRCUPA!$A$21:$H$221,8,0),0)</f>
        <v>0</v>
      </c>
      <c r="J1665" s="86">
        <f>-IFERROR(VLOOKUP(C1665,SIRTAC!$A$16:$H$1458,8,0),0)</f>
        <v>-316</v>
      </c>
      <c r="K1665" s="86">
        <f>-IFERROR(VLOOKUP(C1665,Gastos!$A$9:$J$1451,10,0),0)</f>
        <v>-515.08000000000004</v>
      </c>
      <c r="L1665" s="86">
        <f>-IFERROR(VLOOKUP(C1665,IDC!$A$20:$H$1763,8,0),0)</f>
        <v>-189.6</v>
      </c>
      <c r="M1665" s="95">
        <f t="shared" si="55"/>
        <v>31600</v>
      </c>
      <c r="O1665" s="1"/>
    </row>
    <row r="1666" spans="1:15" hidden="1">
      <c r="A1666" s="1" t="s">
        <v>1793</v>
      </c>
      <c r="B1666" s="1" t="s">
        <v>15</v>
      </c>
      <c r="C1666" s="71">
        <v>131310863993</v>
      </c>
      <c r="D1666" s="3">
        <v>9353.2800000000007</v>
      </c>
      <c r="E1666" s="3">
        <v>9857951.6199999992</v>
      </c>
      <c r="F1666" s="1" t="s">
        <v>3065</v>
      </c>
      <c r="G1666"/>
      <c r="H1666"/>
      <c r="I1666" s="19">
        <f>-IFERROR(VLOOKUP(C1666,SIRCUPA!$A$21:$H$221,8,0),0)</f>
        <v>0</v>
      </c>
      <c r="J1666" s="86">
        <f>-IFERROR(VLOOKUP(C1666,SIRTAC!$A$16:$H$1458,8,0),0)</f>
        <v>-96</v>
      </c>
      <c r="K1666" s="86">
        <f>-IFERROR(VLOOKUP(C1666,Gastos!$A$9:$J$1451,10,0),0)</f>
        <v>-93.12</v>
      </c>
      <c r="L1666" s="86">
        <f>-IFERROR(VLOOKUP(C1666,IDC!$A$20:$H$1763,8,0),0)</f>
        <v>-57.6</v>
      </c>
      <c r="M1666" s="95">
        <f t="shared" si="55"/>
        <v>9600.0000000000018</v>
      </c>
      <c r="O1666" s="1"/>
    </row>
    <row r="1667" spans="1:15" hidden="1">
      <c r="A1667" s="1" t="s">
        <v>1793</v>
      </c>
      <c r="B1667" s="1" t="s">
        <v>15</v>
      </c>
      <c r="C1667" s="71">
        <v>131908282314</v>
      </c>
      <c r="D1667" s="3">
        <v>29131.57</v>
      </c>
      <c r="E1667" s="3">
        <v>9887083.1899999995</v>
      </c>
      <c r="F1667" s="1" t="s">
        <v>3065</v>
      </c>
      <c r="G1667"/>
      <c r="H1667"/>
      <c r="I1667" s="19">
        <f>-IFERROR(VLOOKUP(C1667,SIRCUPA!$A$21:$H$221,8,0),0)</f>
        <v>0</v>
      </c>
      <c r="J1667" s="86">
        <f>-IFERROR(VLOOKUP(C1667,SIRTAC!$A$16:$H$1458,8,0),0)</f>
        <v>-299</v>
      </c>
      <c r="K1667" s="86">
        <f>-IFERROR(VLOOKUP(C1667,Gastos!$A$9:$J$1451,10,0),0)</f>
        <v>-290.02999999999997</v>
      </c>
      <c r="L1667" s="86">
        <f>-IFERROR(VLOOKUP(C1667,IDC!$A$20:$H$1763,8,0),0)</f>
        <v>-179.4</v>
      </c>
      <c r="M1667" s="95">
        <f t="shared" si="55"/>
        <v>29900</v>
      </c>
      <c r="O1667" s="1"/>
    </row>
    <row r="1668" spans="1:15" hidden="1">
      <c r="A1668" s="1" t="s">
        <v>1793</v>
      </c>
      <c r="B1668" s="1" t="s">
        <v>15</v>
      </c>
      <c r="C1668" s="71">
        <v>131311356653</v>
      </c>
      <c r="D1668" s="3">
        <v>16075.95</v>
      </c>
      <c r="E1668" s="3">
        <v>9903159.1400000006</v>
      </c>
      <c r="F1668" s="1" t="s">
        <v>3065</v>
      </c>
      <c r="G1668"/>
      <c r="H1668"/>
      <c r="I1668" s="19">
        <f>-IFERROR(VLOOKUP(C1668,SIRCUPA!$A$21:$H$221,8,0),0)</f>
        <v>0</v>
      </c>
      <c r="J1668" s="86">
        <f>-IFERROR(VLOOKUP(C1668,SIRTAC!$A$16:$H$1458,8,0),0)</f>
        <v>-165</v>
      </c>
      <c r="K1668" s="86">
        <f>-IFERROR(VLOOKUP(C1668,Gastos!$A$9:$J$1451,10,0),0)</f>
        <v>-160.05000000000001</v>
      </c>
      <c r="L1668" s="86">
        <f>-IFERROR(VLOOKUP(C1668,IDC!$A$20:$H$1763,8,0),0)</f>
        <v>-99</v>
      </c>
      <c r="M1668" s="95">
        <f t="shared" ref="M1668:M1699" si="56">+D1668-I1668-J1668-K1668-L1668</f>
        <v>16500</v>
      </c>
      <c r="O1668" s="1"/>
    </row>
    <row r="1669" spans="1:15" hidden="1">
      <c r="A1669" s="1" t="s">
        <v>1793</v>
      </c>
      <c r="B1669" s="1" t="s">
        <v>15</v>
      </c>
      <c r="C1669" s="71">
        <v>131908241628</v>
      </c>
      <c r="D1669" s="3">
        <v>26111.24</v>
      </c>
      <c r="E1669" s="3">
        <v>9929270.3800000008</v>
      </c>
      <c r="F1669" s="1" t="s">
        <v>3065</v>
      </c>
      <c r="G1669"/>
      <c r="H1669"/>
      <c r="I1669" s="19">
        <f>-IFERROR(VLOOKUP(C1669,SIRCUPA!$A$21:$H$221,8,0),0)</f>
        <v>0</v>
      </c>
      <c r="J1669" s="86">
        <f>-IFERROR(VLOOKUP(C1669,SIRTAC!$A$16:$H$1458,8,0),0)</f>
        <v>-268</v>
      </c>
      <c r="K1669" s="86">
        <f>-IFERROR(VLOOKUP(C1669,Gastos!$A$9:$J$1451,10,0),0)</f>
        <v>-259.95999999999998</v>
      </c>
      <c r="L1669" s="86">
        <f>-IFERROR(VLOOKUP(C1669,IDC!$A$20:$H$1763,8,0),0)</f>
        <v>-160.80000000000001</v>
      </c>
      <c r="M1669" s="95">
        <f t="shared" si="56"/>
        <v>26800</v>
      </c>
      <c r="O1669" s="1"/>
    </row>
    <row r="1670" spans="1:15" hidden="1">
      <c r="A1670" s="1" t="s">
        <v>1793</v>
      </c>
      <c r="B1670" s="1" t="s">
        <v>15</v>
      </c>
      <c r="C1670" s="71">
        <v>131311443397</v>
      </c>
      <c r="D1670" s="3">
        <v>47058.69</v>
      </c>
      <c r="E1670" s="3">
        <v>9976329.0700000003</v>
      </c>
      <c r="F1670" s="1" t="s">
        <v>3065</v>
      </c>
      <c r="G1670"/>
      <c r="H1670"/>
      <c r="I1670" s="19">
        <f>-IFERROR(VLOOKUP(C1670,SIRCUPA!$A$21:$H$221,8,0),0)</f>
        <v>0</v>
      </c>
      <c r="J1670" s="86">
        <f>-IFERROR(VLOOKUP(C1670,SIRTAC!$A$16:$H$1458,8,0),0)</f>
        <v>-483</v>
      </c>
      <c r="K1670" s="86">
        <f>-IFERROR(VLOOKUP(C1670,Gastos!$A$9:$J$1451,10,0),0)</f>
        <v>-468.51</v>
      </c>
      <c r="L1670" s="86">
        <f>-IFERROR(VLOOKUP(C1670,IDC!$A$20:$H$1763,8,0),0)</f>
        <v>-289.8</v>
      </c>
      <c r="M1670" s="95">
        <f t="shared" si="56"/>
        <v>48300.000000000007</v>
      </c>
      <c r="O1670" s="1"/>
    </row>
    <row r="1671" spans="1:15" hidden="1">
      <c r="A1671" s="1" t="s">
        <v>1793</v>
      </c>
      <c r="B1671" s="1" t="s">
        <v>15</v>
      </c>
      <c r="C1671" s="71">
        <v>131311573781</v>
      </c>
      <c r="D1671" s="3">
        <v>9010.56</v>
      </c>
      <c r="E1671" s="3">
        <v>9985339.6300000008</v>
      </c>
      <c r="F1671" s="1" t="s">
        <v>3065</v>
      </c>
      <c r="G1671"/>
      <c r="H1671"/>
      <c r="I1671" s="19">
        <f>-IFERROR(VLOOKUP(C1671,SIRCUPA!$A$21:$H$221,8,0),0)</f>
        <v>0</v>
      </c>
      <c r="J1671" s="86">
        <f>-IFERROR(VLOOKUP(C1671,SIRTAC!$A$16:$H$1458,8,0),0)</f>
        <v>-96</v>
      </c>
      <c r="K1671" s="86">
        <f>-IFERROR(VLOOKUP(C1671,Gastos!$A$9:$J$1451,10,0),0)</f>
        <v>-435.84</v>
      </c>
      <c r="L1671" s="86">
        <f>-IFERROR(VLOOKUP(C1671,IDC!$A$20:$H$1763,8,0),0)</f>
        <v>-57.6</v>
      </c>
      <c r="M1671" s="95">
        <f t="shared" si="56"/>
        <v>9600</v>
      </c>
      <c r="O1671" s="1"/>
    </row>
    <row r="1672" spans="1:15" hidden="1">
      <c r="A1672" s="1" t="s">
        <v>1793</v>
      </c>
      <c r="B1672" s="1" t="s">
        <v>15</v>
      </c>
      <c r="C1672" s="71">
        <v>131311969845</v>
      </c>
      <c r="D1672" s="3">
        <v>7989.26</v>
      </c>
      <c r="E1672" s="3">
        <v>9993328.8900000006</v>
      </c>
      <c r="F1672" s="1" t="s">
        <v>3065</v>
      </c>
      <c r="G1672"/>
      <c r="H1672"/>
      <c r="I1672" s="19">
        <f>-IFERROR(VLOOKUP(C1672,SIRCUPA!$A$21:$H$221,8,0),0)</f>
        <v>0</v>
      </c>
      <c r="J1672" s="86">
        <f>-IFERROR(VLOOKUP(C1672,SIRTAC!$A$16:$H$1458,8,0),0)</f>
        <v>-82</v>
      </c>
      <c r="K1672" s="86">
        <f>-IFERROR(VLOOKUP(C1672,Gastos!$A$9:$J$1451,10,0),0)</f>
        <v>-79.540000000000006</v>
      </c>
      <c r="L1672" s="86">
        <f>-IFERROR(VLOOKUP(C1672,IDC!$A$20:$H$1763,8,0),0)</f>
        <v>-49.2</v>
      </c>
      <c r="M1672" s="95">
        <f t="shared" si="56"/>
        <v>8200</v>
      </c>
      <c r="O1672" s="1"/>
    </row>
    <row r="1673" spans="1:15" hidden="1">
      <c r="A1673" s="1" t="s">
        <v>1793</v>
      </c>
      <c r="B1673" s="1" t="s">
        <v>15</v>
      </c>
      <c r="C1673" s="71">
        <v>131312518579</v>
      </c>
      <c r="D1673" s="3">
        <v>24357.5</v>
      </c>
      <c r="E1673" s="3">
        <v>10017686.390000001</v>
      </c>
      <c r="F1673" s="1" t="s">
        <v>3065</v>
      </c>
      <c r="G1673"/>
      <c r="H1673"/>
      <c r="I1673" s="19">
        <f>-IFERROR(VLOOKUP(C1673,SIRCUPA!$A$21:$H$221,8,0),0)</f>
        <v>0</v>
      </c>
      <c r="J1673" s="86">
        <f>-IFERROR(VLOOKUP(C1673,SIRTAC!$A$16:$H$1458,8,0),0)</f>
        <v>-250</v>
      </c>
      <c r="K1673" s="86">
        <f>-IFERROR(VLOOKUP(C1673,Gastos!$A$9:$J$1451,10,0),0)</f>
        <v>-242.5</v>
      </c>
      <c r="L1673" s="86">
        <f>-IFERROR(VLOOKUP(C1673,IDC!$A$20:$H$1763,8,0),0)</f>
        <v>-150</v>
      </c>
      <c r="M1673" s="95">
        <f t="shared" si="56"/>
        <v>25000</v>
      </c>
      <c r="O1673" s="1"/>
    </row>
    <row r="1674" spans="1:15" hidden="1">
      <c r="A1674" s="1" t="s">
        <v>1793</v>
      </c>
      <c r="B1674" s="1" t="s">
        <v>15</v>
      </c>
      <c r="C1674" s="71">
        <v>131312521617</v>
      </c>
      <c r="D1674" s="3">
        <v>9353.2800000000007</v>
      </c>
      <c r="E1674" s="3">
        <v>10027039.67</v>
      </c>
      <c r="F1674" s="1" t="s">
        <v>3065</v>
      </c>
      <c r="G1674"/>
      <c r="H1674"/>
      <c r="I1674" s="19">
        <f>-IFERROR(VLOOKUP(C1674,SIRCUPA!$A$21:$H$221,8,0),0)</f>
        <v>0</v>
      </c>
      <c r="J1674" s="86">
        <f>-IFERROR(VLOOKUP(C1674,SIRTAC!$A$16:$H$1458,8,0),0)</f>
        <v>-96</v>
      </c>
      <c r="K1674" s="86">
        <f>-IFERROR(VLOOKUP(C1674,Gastos!$A$9:$J$1451,10,0),0)</f>
        <v>-93.12</v>
      </c>
      <c r="L1674" s="86">
        <f>-IFERROR(VLOOKUP(C1674,IDC!$A$20:$H$1763,8,0),0)</f>
        <v>-57.6</v>
      </c>
      <c r="M1674" s="95">
        <f t="shared" si="56"/>
        <v>9600.0000000000018</v>
      </c>
      <c r="O1674" s="1"/>
    </row>
    <row r="1675" spans="1:15" hidden="1">
      <c r="A1675" s="1" t="s">
        <v>1793</v>
      </c>
      <c r="B1675" s="1" t="s">
        <v>15</v>
      </c>
      <c r="C1675" s="71">
        <v>131312526083</v>
      </c>
      <c r="D1675" s="3">
        <v>41998.18</v>
      </c>
      <c r="E1675" s="3">
        <v>10069037.85</v>
      </c>
      <c r="F1675" s="1" t="s">
        <v>3065</v>
      </c>
      <c r="G1675"/>
      <c r="H1675"/>
      <c r="I1675" s="19">
        <f>-IFERROR(VLOOKUP(C1675,SIRCUPA!$A$21:$H$221,8,0),0)</f>
        <v>0</v>
      </c>
      <c r="J1675" s="86">
        <f>-IFERROR(VLOOKUP(C1675,SIRTAC!$A$16:$H$1458,8,0),0)</f>
        <v>-434</v>
      </c>
      <c r="K1675" s="86">
        <f>-IFERROR(VLOOKUP(C1675,Gastos!$A$9:$J$1451,10,0),0)</f>
        <v>-707.42</v>
      </c>
      <c r="L1675" s="86">
        <f>-IFERROR(VLOOKUP(C1675,IDC!$A$20:$H$1763,8,0),0)</f>
        <v>-260.39999999999998</v>
      </c>
      <c r="M1675" s="95">
        <f t="shared" si="56"/>
        <v>43400</v>
      </c>
      <c r="O1675" s="1"/>
    </row>
    <row r="1676" spans="1:15" hidden="1">
      <c r="A1676" s="1" t="s">
        <v>1793</v>
      </c>
      <c r="B1676" s="1" t="s">
        <v>15</v>
      </c>
      <c r="C1676" s="71">
        <v>131312741747</v>
      </c>
      <c r="D1676" s="3">
        <v>8866.1299999999992</v>
      </c>
      <c r="E1676" s="3">
        <v>10077903.98</v>
      </c>
      <c r="F1676" s="1" t="s">
        <v>3065</v>
      </c>
      <c r="G1676"/>
      <c r="H1676"/>
      <c r="I1676" s="19">
        <f>-IFERROR(VLOOKUP(C1676,SIRCUPA!$A$21:$H$221,8,0),0)</f>
        <v>0</v>
      </c>
      <c r="J1676" s="86">
        <f>-IFERROR(VLOOKUP(C1676,SIRTAC!$A$16:$H$1458,8,0),0)</f>
        <v>-91</v>
      </c>
      <c r="K1676" s="86">
        <f>-IFERROR(VLOOKUP(C1676,Gastos!$A$9:$J$1451,10,0),0)</f>
        <v>-88.27</v>
      </c>
      <c r="L1676" s="86">
        <f>-IFERROR(VLOOKUP(C1676,IDC!$A$20:$H$1763,8,0),0)</f>
        <v>-54.6</v>
      </c>
      <c r="M1676" s="95">
        <f t="shared" si="56"/>
        <v>9100</v>
      </c>
      <c r="O1676" s="1"/>
    </row>
    <row r="1677" spans="1:15" hidden="1">
      <c r="A1677" s="1" t="s">
        <v>1793</v>
      </c>
      <c r="B1677" s="1" t="s">
        <v>15</v>
      </c>
      <c r="C1677" s="71">
        <v>131312947683</v>
      </c>
      <c r="D1677" s="3">
        <v>8691.24</v>
      </c>
      <c r="E1677" s="3">
        <v>10086595.220000001</v>
      </c>
      <c r="F1677" s="1" t="s">
        <v>3065</v>
      </c>
      <c r="G1677"/>
      <c r="H1677"/>
      <c r="I1677" s="19">
        <f>-IFERROR(VLOOKUP(C1677,SIRCUPA!$A$21:$H$221,8,0),0)</f>
        <v>0</v>
      </c>
      <c r="J1677" s="86">
        <f>-IFERROR(VLOOKUP(C1677,SIRTAC!$A$16:$H$1458,8,0),0)</f>
        <v>-92</v>
      </c>
      <c r="K1677" s="86">
        <f>-IFERROR(VLOOKUP(C1677,Gastos!$A$9:$J$1451,10,0),0)</f>
        <v>-361.56</v>
      </c>
      <c r="L1677" s="86">
        <f>-IFERROR(VLOOKUP(C1677,IDC!$A$20:$H$1763,8,0),0)</f>
        <v>-55.2</v>
      </c>
      <c r="M1677" s="95">
        <f t="shared" si="56"/>
        <v>9200</v>
      </c>
      <c r="O1677" s="1"/>
    </row>
    <row r="1678" spans="1:15" hidden="1">
      <c r="A1678" s="1" t="s">
        <v>1793</v>
      </c>
      <c r="B1678" s="1" t="s">
        <v>15</v>
      </c>
      <c r="C1678" s="71">
        <v>131909518870</v>
      </c>
      <c r="D1678" s="3">
        <v>40449.86</v>
      </c>
      <c r="E1678" s="3">
        <v>10127045.08</v>
      </c>
      <c r="F1678" s="1" t="s">
        <v>3065</v>
      </c>
      <c r="G1678"/>
      <c r="H1678"/>
      <c r="I1678" s="19">
        <f>-IFERROR(VLOOKUP(C1678,SIRCUPA!$A$21:$H$221,8,0),0)</f>
        <v>0</v>
      </c>
      <c r="J1678" s="86">
        <f>-IFERROR(VLOOKUP(C1678,SIRTAC!$A$16:$H$1458,8,0),0)</f>
        <v>-418</v>
      </c>
      <c r="K1678" s="86">
        <f>-IFERROR(VLOOKUP(C1678,Gastos!$A$9:$J$1451,10,0),0)</f>
        <v>-681.34</v>
      </c>
      <c r="L1678" s="86">
        <f>-IFERROR(VLOOKUP(C1678,IDC!$A$20:$H$1763,8,0),0)</f>
        <v>-250.8</v>
      </c>
      <c r="M1678" s="95">
        <f t="shared" si="56"/>
        <v>41800</v>
      </c>
      <c r="O1678" s="1"/>
    </row>
    <row r="1679" spans="1:15" hidden="1">
      <c r="A1679" s="1" t="s">
        <v>1793</v>
      </c>
      <c r="B1679" s="1" t="s">
        <v>15</v>
      </c>
      <c r="C1679" s="71">
        <v>131313176875</v>
      </c>
      <c r="D1679" s="3">
        <v>3897.2</v>
      </c>
      <c r="E1679" s="3">
        <v>10130942.279999999</v>
      </c>
      <c r="F1679" s="1" t="s">
        <v>3065</v>
      </c>
      <c r="G1679"/>
      <c r="H1679"/>
      <c r="I1679" s="19">
        <f>-IFERROR(VLOOKUP(C1679,SIRCUPA!$A$21:$H$221,8,0),0)</f>
        <v>0</v>
      </c>
      <c r="J1679" s="86">
        <f>-IFERROR(VLOOKUP(C1679,SIRTAC!$A$16:$H$1458,8,0),0)</f>
        <v>-40</v>
      </c>
      <c r="K1679" s="86">
        <f>-IFERROR(VLOOKUP(C1679,Gastos!$A$9:$J$1451,10,0),0)</f>
        <v>-38.799999999999997</v>
      </c>
      <c r="L1679" s="86">
        <f>-IFERROR(VLOOKUP(C1679,IDC!$A$20:$H$1763,8,0),0)</f>
        <v>-24</v>
      </c>
      <c r="M1679" s="95">
        <f t="shared" si="56"/>
        <v>4000</v>
      </c>
      <c r="O1679" s="1"/>
    </row>
    <row r="1680" spans="1:15" hidden="1">
      <c r="A1680" s="1" t="s">
        <v>1793</v>
      </c>
      <c r="B1680" s="1" t="s">
        <v>1858</v>
      </c>
      <c r="C1680" s="71">
        <v>131909574080</v>
      </c>
      <c r="D1680" s="2">
        <v>195.8</v>
      </c>
      <c r="E1680" s="3">
        <v>10131138.08</v>
      </c>
      <c r="F1680" s="1" t="s">
        <v>3065</v>
      </c>
      <c r="G1680"/>
      <c r="H1680"/>
      <c r="I1680" s="19">
        <f>-IFERROR(VLOOKUP(C1680,SIRCUPA!$A$21:$H$221,8,0),0)</f>
        <v>-3</v>
      </c>
      <c r="J1680" s="86">
        <f>-IFERROR(VLOOKUP(C1680,SIRTAC!$A$16:$H$1458,8,0),0)</f>
        <v>0</v>
      </c>
      <c r="K1680" s="86">
        <f>-IFERROR(VLOOKUP(C1680,Gastos!$A$9:$J$1451,10,0),0)</f>
        <v>0</v>
      </c>
      <c r="L1680" s="86">
        <f>-IFERROR(VLOOKUP(C1680,IDC!$A$20:$H$1763,8,0),0)</f>
        <v>-1.2</v>
      </c>
      <c r="M1680" s="95">
        <f t="shared" si="56"/>
        <v>200</v>
      </c>
      <c r="O1680" s="1"/>
    </row>
    <row r="1681" spans="1:15" hidden="1">
      <c r="A1681" s="1" t="s">
        <v>1793</v>
      </c>
      <c r="B1681" s="1" t="s">
        <v>15</v>
      </c>
      <c r="C1681" s="71">
        <v>131910008744</v>
      </c>
      <c r="D1681" s="3">
        <v>4286.92</v>
      </c>
      <c r="E1681" s="3">
        <v>10135425</v>
      </c>
      <c r="F1681" s="1" t="s">
        <v>3065</v>
      </c>
      <c r="G1681"/>
      <c r="H1681"/>
      <c r="I1681" s="19">
        <f>-IFERROR(VLOOKUP(C1681,SIRCUPA!$A$21:$H$221,8,0),0)</f>
        <v>0</v>
      </c>
      <c r="J1681" s="86">
        <f>-IFERROR(VLOOKUP(C1681,SIRTAC!$A$16:$H$1458,8,0),0)</f>
        <v>-44</v>
      </c>
      <c r="K1681" s="86">
        <f>-IFERROR(VLOOKUP(C1681,Gastos!$A$9:$J$1451,10,0),0)</f>
        <v>-42.68</v>
      </c>
      <c r="L1681" s="86">
        <f>-IFERROR(VLOOKUP(C1681,IDC!$A$20:$H$1763,8,0),0)</f>
        <v>-26.4</v>
      </c>
      <c r="M1681" s="95">
        <f t="shared" si="56"/>
        <v>4400</v>
      </c>
      <c r="O1681" s="1"/>
    </row>
    <row r="1682" spans="1:15" hidden="1">
      <c r="A1682" s="1" t="s">
        <v>1793</v>
      </c>
      <c r="B1682" s="1" t="s">
        <v>15</v>
      </c>
      <c r="C1682" s="71">
        <v>131910231374</v>
      </c>
      <c r="D1682" s="3">
        <v>7989.26</v>
      </c>
      <c r="E1682" s="3">
        <v>10143414.26</v>
      </c>
      <c r="F1682" s="1" t="s">
        <v>3065</v>
      </c>
      <c r="G1682"/>
      <c r="H1682"/>
      <c r="I1682" s="19">
        <f>-IFERROR(VLOOKUP(C1682,SIRCUPA!$A$21:$H$221,8,0),0)</f>
        <v>0</v>
      </c>
      <c r="J1682" s="86">
        <f>-IFERROR(VLOOKUP(C1682,SIRTAC!$A$16:$H$1458,8,0),0)</f>
        <v>-82</v>
      </c>
      <c r="K1682" s="86">
        <f>-IFERROR(VLOOKUP(C1682,Gastos!$A$9:$J$1451,10,0),0)</f>
        <v>-79.540000000000006</v>
      </c>
      <c r="L1682" s="86">
        <f>-IFERROR(VLOOKUP(C1682,IDC!$A$20:$H$1763,8,0),0)</f>
        <v>-49.2</v>
      </c>
      <c r="M1682" s="95">
        <f t="shared" si="56"/>
        <v>8200</v>
      </c>
      <c r="O1682" s="1"/>
    </row>
    <row r="1683" spans="1:15" hidden="1">
      <c r="A1683" s="1" t="s">
        <v>1793</v>
      </c>
      <c r="B1683" s="1" t="s">
        <v>15</v>
      </c>
      <c r="C1683" s="71">
        <v>131910426998</v>
      </c>
      <c r="D1683" s="3">
        <v>33710.78</v>
      </c>
      <c r="E1683" s="3">
        <v>10177125.039999999</v>
      </c>
      <c r="F1683" s="1" t="s">
        <v>3065</v>
      </c>
      <c r="G1683"/>
      <c r="H1683"/>
      <c r="I1683" s="19">
        <f>-IFERROR(VLOOKUP(C1683,SIRCUPA!$A$21:$H$221,8,0),0)</f>
        <v>0</v>
      </c>
      <c r="J1683" s="86">
        <f>-IFERROR(VLOOKUP(C1683,SIRTAC!$A$16:$H$1458,8,0),0)</f>
        <v>-346</v>
      </c>
      <c r="K1683" s="86">
        <f>-IFERROR(VLOOKUP(C1683,Gastos!$A$9:$J$1451,10,0),0)</f>
        <v>-335.62</v>
      </c>
      <c r="L1683" s="86">
        <f>-IFERROR(VLOOKUP(C1683,IDC!$A$20:$H$1763,8,0),0)</f>
        <v>-207.6</v>
      </c>
      <c r="M1683" s="95">
        <f t="shared" si="56"/>
        <v>34600</v>
      </c>
      <c r="O1683" s="1"/>
    </row>
    <row r="1684" spans="1:15" hidden="1">
      <c r="A1684" s="1" t="s">
        <v>1793</v>
      </c>
      <c r="B1684" s="1" t="s">
        <v>15</v>
      </c>
      <c r="C1684" s="71">
        <v>131313630355</v>
      </c>
      <c r="D1684" s="3">
        <v>19338.27</v>
      </c>
      <c r="E1684" s="3">
        <v>10196463.310000001</v>
      </c>
      <c r="F1684" s="1" t="s">
        <v>3065</v>
      </c>
      <c r="G1684"/>
      <c r="H1684"/>
      <c r="I1684" s="19">
        <f>-IFERROR(VLOOKUP(C1684,SIRCUPA!$A$21:$H$221,8,0),0)</f>
        <v>0</v>
      </c>
      <c r="J1684" s="86">
        <f>-IFERROR(VLOOKUP(C1684,SIRTAC!$A$16:$H$1458,8,0),0)</f>
        <v>-213</v>
      </c>
      <c r="K1684" s="86">
        <f>-IFERROR(VLOOKUP(C1684,Gastos!$A$9:$J$1451,10,0),0)</f>
        <v>-1620.93</v>
      </c>
      <c r="L1684" s="86">
        <f>-IFERROR(VLOOKUP(C1684,IDC!$A$20:$H$1763,8,0),0)</f>
        <v>-127.8</v>
      </c>
      <c r="M1684" s="95">
        <f t="shared" si="56"/>
        <v>21300</v>
      </c>
      <c r="O1684" s="1"/>
    </row>
    <row r="1685" spans="1:15" hidden="1">
      <c r="A1685" s="1" t="s">
        <v>1793</v>
      </c>
      <c r="B1685" s="1" t="s">
        <v>1864</v>
      </c>
      <c r="C1685" s="71">
        <v>131910726814</v>
      </c>
      <c r="D1685" s="3">
        <v>1042.6300000000001</v>
      </c>
      <c r="E1685" s="3">
        <v>10197505.939999999</v>
      </c>
      <c r="F1685" s="1" t="s">
        <v>3065</v>
      </c>
      <c r="G1685"/>
      <c r="H1685"/>
      <c r="I1685" s="19">
        <f>-IFERROR(VLOOKUP(C1685,SIRCUPA!$A$21:$H$221,8,0),0)</f>
        <v>-15.98</v>
      </c>
      <c r="J1685" s="86">
        <f>-IFERROR(VLOOKUP(C1685,SIRTAC!$A$16:$H$1458,8,0),0)</f>
        <v>0</v>
      </c>
      <c r="K1685" s="86">
        <f>-IFERROR(VLOOKUP(C1685,Gastos!$A$9:$J$1451,10,0),0)</f>
        <v>0</v>
      </c>
      <c r="L1685" s="86">
        <f>-IFERROR(VLOOKUP(C1685,IDC!$A$20:$H$1763,8,0),0)</f>
        <v>-6.39</v>
      </c>
      <c r="M1685" s="95">
        <f t="shared" si="56"/>
        <v>1065.0000000000002</v>
      </c>
      <c r="O1685" s="1"/>
    </row>
    <row r="1686" spans="1:15" hidden="1">
      <c r="A1686" s="1" t="s">
        <v>1793</v>
      </c>
      <c r="B1686" s="1" t="s">
        <v>15</v>
      </c>
      <c r="C1686" s="71">
        <v>131313557783</v>
      </c>
      <c r="D1686" s="3">
        <v>4676.6400000000003</v>
      </c>
      <c r="E1686" s="3">
        <v>10202182.58</v>
      </c>
      <c r="F1686" s="1" t="s">
        <v>3065</v>
      </c>
      <c r="G1686"/>
      <c r="H1686"/>
      <c r="I1686" s="19">
        <f>-IFERROR(VLOOKUP(C1686,SIRCUPA!$A$21:$H$221,8,0),0)</f>
        <v>0</v>
      </c>
      <c r="J1686" s="86">
        <f>-IFERROR(VLOOKUP(C1686,SIRTAC!$A$16:$H$1458,8,0),0)</f>
        <v>-48</v>
      </c>
      <c r="K1686" s="86">
        <f>-IFERROR(VLOOKUP(C1686,Gastos!$A$9:$J$1451,10,0),0)</f>
        <v>-46.56</v>
      </c>
      <c r="L1686" s="86">
        <f>-IFERROR(VLOOKUP(C1686,IDC!$A$20:$H$1763,8,0),0)</f>
        <v>-28.8</v>
      </c>
      <c r="M1686" s="95">
        <f t="shared" si="56"/>
        <v>4800.0000000000009</v>
      </c>
      <c r="O1686" s="1"/>
    </row>
    <row r="1687" spans="1:15" hidden="1">
      <c r="A1687" s="1" t="s">
        <v>1793</v>
      </c>
      <c r="B1687" s="1" t="s">
        <v>1108</v>
      </c>
      <c r="C1687" s="71">
        <v>131313734591</v>
      </c>
      <c r="D1687" s="2">
        <v>469.92</v>
      </c>
      <c r="E1687" s="3">
        <v>10202652.5</v>
      </c>
      <c r="F1687" s="1" t="s">
        <v>3065</v>
      </c>
      <c r="G1687"/>
      <c r="H1687"/>
      <c r="I1687" s="19">
        <f>-IFERROR(VLOOKUP(C1687,SIRCUPA!$A$21:$H$221,8,0),0)</f>
        <v>-7.2</v>
      </c>
      <c r="J1687" s="86">
        <f>-IFERROR(VLOOKUP(C1687,SIRTAC!$A$16:$H$1458,8,0),0)</f>
        <v>0</v>
      </c>
      <c r="K1687" s="86">
        <f>-IFERROR(VLOOKUP(C1687,Gastos!$A$9:$J$1451,10,0),0)</f>
        <v>0</v>
      </c>
      <c r="L1687" s="86">
        <f>-IFERROR(VLOOKUP(C1687,IDC!$A$20:$H$1763,8,0),0)</f>
        <v>-2.88</v>
      </c>
      <c r="M1687" s="95">
        <f t="shared" si="56"/>
        <v>480</v>
      </c>
      <c r="O1687" s="1"/>
    </row>
    <row r="1688" spans="1:15" hidden="1">
      <c r="A1688" s="1" t="s">
        <v>1793</v>
      </c>
      <c r="B1688" s="1" t="s">
        <v>15</v>
      </c>
      <c r="C1688" s="71">
        <v>131313650019</v>
      </c>
      <c r="D1688" s="3">
        <v>83794.89</v>
      </c>
      <c r="E1688" s="3">
        <v>10286447.390000001</v>
      </c>
      <c r="F1688" s="1" t="s">
        <v>3065</v>
      </c>
      <c r="G1688"/>
      <c r="H1688"/>
      <c r="I1688" s="19">
        <f>-IFERROR(VLOOKUP(C1688,SIRCUPA!$A$21:$H$221,8,0),0)</f>
        <v>0</v>
      </c>
      <c r="J1688" s="86">
        <f>-IFERROR(VLOOKUP(C1688,SIRTAC!$A$16:$H$1458,8,0),0)</f>
        <v>-887</v>
      </c>
      <c r="K1688" s="86">
        <f>-IFERROR(VLOOKUP(C1688,Gastos!$A$9:$J$1451,10,0),0)</f>
        <v>-3485.91</v>
      </c>
      <c r="L1688" s="86">
        <f>-IFERROR(VLOOKUP(C1688,IDC!$A$20:$H$1763,8,0),0)</f>
        <v>-532.20000000000005</v>
      </c>
      <c r="M1688" s="95">
        <f t="shared" si="56"/>
        <v>88700</v>
      </c>
      <c r="O1688" s="1"/>
    </row>
    <row r="1689" spans="1:15" hidden="1">
      <c r="A1689" s="1" t="s">
        <v>1793</v>
      </c>
      <c r="B1689" s="1" t="s">
        <v>15</v>
      </c>
      <c r="C1689" s="71">
        <v>131910955522</v>
      </c>
      <c r="D1689" s="3">
        <v>5447.4</v>
      </c>
      <c r="E1689" s="3">
        <v>10291894.789999999</v>
      </c>
      <c r="F1689" s="1" t="s">
        <v>3065</v>
      </c>
      <c r="G1689"/>
      <c r="H1689"/>
      <c r="I1689" s="19">
        <f>-IFERROR(VLOOKUP(C1689,SIRCUPA!$A$21:$H$221,8,0),0)</f>
        <v>0</v>
      </c>
      <c r="J1689" s="86">
        <f>-IFERROR(VLOOKUP(C1689,SIRTAC!$A$16:$H$1458,8,0),0)</f>
        <v>-60</v>
      </c>
      <c r="K1689" s="86">
        <f>-IFERROR(VLOOKUP(C1689,Gastos!$A$9:$J$1451,10,0),0)</f>
        <v>-456.6</v>
      </c>
      <c r="L1689" s="86">
        <f>-IFERROR(VLOOKUP(C1689,IDC!$A$20:$H$1763,8,0),0)</f>
        <v>-36</v>
      </c>
      <c r="M1689" s="95">
        <f t="shared" si="56"/>
        <v>6000</v>
      </c>
      <c r="O1689" s="1"/>
    </row>
    <row r="1690" spans="1:15" hidden="1">
      <c r="A1690" s="1" t="s">
        <v>1793</v>
      </c>
      <c r="B1690" s="1" t="s">
        <v>15</v>
      </c>
      <c r="C1690" s="71">
        <v>131314138549</v>
      </c>
      <c r="D1690" s="3">
        <v>9069.1200000000008</v>
      </c>
      <c r="E1690" s="3">
        <v>10300963.91</v>
      </c>
      <c r="F1690" s="1" t="s">
        <v>3065</v>
      </c>
      <c r="G1690"/>
      <c r="H1690"/>
      <c r="I1690" s="19">
        <f>-IFERROR(VLOOKUP(C1690,SIRCUPA!$A$21:$H$221,8,0),0)</f>
        <v>0</v>
      </c>
      <c r="J1690" s="86">
        <f>-IFERROR(VLOOKUP(C1690,SIRTAC!$A$16:$H$1458,8,0),0)</f>
        <v>-96</v>
      </c>
      <c r="K1690" s="86">
        <f>-IFERROR(VLOOKUP(C1690,Gastos!$A$9:$J$1451,10,0),0)</f>
        <v>-377.28</v>
      </c>
      <c r="L1690" s="86">
        <f>-IFERROR(VLOOKUP(C1690,IDC!$A$20:$H$1763,8,0),0)</f>
        <v>-57.6</v>
      </c>
      <c r="M1690" s="95">
        <f t="shared" si="56"/>
        <v>9600.0000000000018</v>
      </c>
      <c r="O1690" s="1"/>
    </row>
    <row r="1691" spans="1:15" hidden="1">
      <c r="A1691" s="1" t="s">
        <v>1871</v>
      </c>
      <c r="B1691" s="1" t="s">
        <v>15</v>
      </c>
      <c r="C1691" s="71">
        <v>131314279823</v>
      </c>
      <c r="D1691" s="3">
        <v>47350.98</v>
      </c>
      <c r="E1691" s="3">
        <v>10348314.890000001</v>
      </c>
      <c r="F1691" s="1" t="s">
        <v>3065</v>
      </c>
      <c r="G1691"/>
      <c r="H1691"/>
      <c r="I1691" s="19">
        <f>-IFERROR(VLOOKUP(C1691,SIRCUPA!$A$21:$H$221,8,0),0)</f>
        <v>0</v>
      </c>
      <c r="J1691" s="86">
        <f>-IFERROR(VLOOKUP(C1691,SIRTAC!$A$16:$H$1458,8,0),0)</f>
        <v>-486</v>
      </c>
      <c r="K1691" s="86">
        <f>-IFERROR(VLOOKUP(C1691,Gastos!$A$9:$J$1451,10,0),0)</f>
        <v>-471.42</v>
      </c>
      <c r="L1691" s="86">
        <f>-IFERROR(VLOOKUP(C1691,IDC!$A$20:$H$1763,8,0),0)</f>
        <v>-291.60000000000002</v>
      </c>
      <c r="M1691" s="95">
        <f t="shared" si="56"/>
        <v>48600</v>
      </c>
      <c r="O1691" s="1"/>
    </row>
    <row r="1692" spans="1:15" hidden="1">
      <c r="A1692" s="1" t="s">
        <v>1871</v>
      </c>
      <c r="B1692" s="1" t="s">
        <v>15</v>
      </c>
      <c r="C1692" s="71">
        <v>131911569716</v>
      </c>
      <c r="D1692" s="3">
        <v>15296.51</v>
      </c>
      <c r="E1692" s="3">
        <v>10363611.4</v>
      </c>
      <c r="F1692" s="1" t="s">
        <v>3065</v>
      </c>
      <c r="G1692"/>
      <c r="H1692"/>
      <c r="I1692" s="19">
        <f>-IFERROR(VLOOKUP(C1692,SIRCUPA!$A$21:$H$221,8,0),0)</f>
        <v>0</v>
      </c>
      <c r="J1692" s="86">
        <f>-IFERROR(VLOOKUP(C1692,SIRTAC!$A$16:$H$1458,8,0),0)</f>
        <v>-157</v>
      </c>
      <c r="K1692" s="86">
        <f>-IFERROR(VLOOKUP(C1692,Gastos!$A$9:$J$1451,10,0),0)</f>
        <v>-152.29</v>
      </c>
      <c r="L1692" s="86">
        <f>-IFERROR(VLOOKUP(C1692,IDC!$A$20:$H$1763,8,0),0)</f>
        <v>-94.2</v>
      </c>
      <c r="M1692" s="95">
        <f t="shared" si="56"/>
        <v>15700.000000000002</v>
      </c>
      <c r="O1692" s="1"/>
    </row>
    <row r="1693" spans="1:15" hidden="1">
      <c r="A1693" s="1" t="s">
        <v>1871</v>
      </c>
      <c r="B1693" s="1" t="s">
        <v>15</v>
      </c>
      <c r="C1693" s="71">
        <v>131911758332</v>
      </c>
      <c r="D1693" s="3">
        <v>4676.6400000000003</v>
      </c>
      <c r="E1693" s="3">
        <v>10368288.039999999</v>
      </c>
      <c r="F1693" s="1" t="s">
        <v>3065</v>
      </c>
      <c r="G1693"/>
      <c r="H1693"/>
      <c r="I1693" s="19">
        <f>-IFERROR(VLOOKUP(C1693,SIRCUPA!$A$21:$H$221,8,0),0)</f>
        <v>0</v>
      </c>
      <c r="J1693" s="86">
        <f>-IFERROR(VLOOKUP(C1693,SIRTAC!$A$16:$H$1458,8,0),0)</f>
        <v>-48</v>
      </c>
      <c r="K1693" s="86">
        <f>-IFERROR(VLOOKUP(C1693,Gastos!$A$9:$J$1451,10,0),0)</f>
        <v>-46.56</v>
      </c>
      <c r="L1693" s="86">
        <f>-IFERROR(VLOOKUP(C1693,IDC!$A$20:$H$1763,8,0),0)</f>
        <v>-28.8</v>
      </c>
      <c r="M1693" s="95">
        <f t="shared" si="56"/>
        <v>4800.0000000000009</v>
      </c>
      <c r="O1693" s="1"/>
    </row>
    <row r="1694" spans="1:15" hidden="1">
      <c r="A1694" s="1" t="s">
        <v>1871</v>
      </c>
      <c r="B1694" s="1" t="s">
        <v>15</v>
      </c>
      <c r="C1694" s="71">
        <v>131911994644</v>
      </c>
      <c r="D1694" s="3">
        <v>3897.2</v>
      </c>
      <c r="E1694" s="3">
        <v>10372185.24</v>
      </c>
      <c r="F1694" s="1" t="s">
        <v>3065</v>
      </c>
      <c r="G1694"/>
      <c r="H1694"/>
      <c r="I1694" s="19">
        <f>-IFERROR(VLOOKUP(C1694,SIRCUPA!$A$21:$H$221,8,0),0)</f>
        <v>0</v>
      </c>
      <c r="J1694" s="86">
        <f>-IFERROR(VLOOKUP(C1694,SIRTAC!$A$16:$H$1458,8,0),0)</f>
        <v>-40</v>
      </c>
      <c r="K1694" s="86">
        <f>-IFERROR(VLOOKUP(C1694,Gastos!$A$9:$J$1451,10,0),0)</f>
        <v>-38.799999999999997</v>
      </c>
      <c r="L1694" s="86">
        <f>-IFERROR(VLOOKUP(C1694,IDC!$A$20:$H$1763,8,0),0)</f>
        <v>-24</v>
      </c>
      <c r="M1694" s="95">
        <f t="shared" si="56"/>
        <v>4000</v>
      </c>
      <c r="O1694" s="1"/>
    </row>
    <row r="1695" spans="1:15" hidden="1">
      <c r="A1695" s="1" t="s">
        <v>1871</v>
      </c>
      <c r="B1695" s="1" t="s">
        <v>15</v>
      </c>
      <c r="C1695" s="71">
        <v>131911831956</v>
      </c>
      <c r="D1695" s="3">
        <v>31865.47</v>
      </c>
      <c r="E1695" s="3">
        <v>10404050.710000001</v>
      </c>
      <c r="F1695" s="1" t="s">
        <v>3065</v>
      </c>
      <c r="G1695"/>
      <c r="H1695"/>
      <c r="I1695" s="19">
        <f>-IFERROR(VLOOKUP(C1695,SIRCUPA!$A$21:$H$221,8,0),0)</f>
        <v>0</v>
      </c>
      <c r="J1695" s="86">
        <f>-IFERROR(VLOOKUP(C1695,SIRTAC!$A$16:$H$1458,8,0),0)</f>
        <v>-339.5</v>
      </c>
      <c r="K1695" s="86">
        <f>-IFERROR(VLOOKUP(C1695,Gastos!$A$9:$J$1451,10,0),0)</f>
        <v>-1541.33</v>
      </c>
      <c r="L1695" s="86">
        <f>-IFERROR(VLOOKUP(C1695,IDC!$A$20:$H$1763,8,0),0)</f>
        <v>-203.7</v>
      </c>
      <c r="M1695" s="95">
        <f t="shared" si="56"/>
        <v>33950</v>
      </c>
      <c r="O1695" s="1"/>
    </row>
    <row r="1696" spans="1:15" hidden="1">
      <c r="A1696" s="1" t="s">
        <v>1871</v>
      </c>
      <c r="B1696" s="1" t="s">
        <v>15</v>
      </c>
      <c r="C1696" s="71">
        <v>131315445485</v>
      </c>
      <c r="D1696" s="3">
        <v>33126.199999999997</v>
      </c>
      <c r="E1696" s="3">
        <v>10437176.91</v>
      </c>
      <c r="F1696" s="1" t="s">
        <v>3065</v>
      </c>
      <c r="G1696"/>
      <c r="H1696"/>
      <c r="I1696" s="19">
        <f>-IFERROR(VLOOKUP(C1696,SIRCUPA!$A$21:$H$221,8,0),0)</f>
        <v>0</v>
      </c>
      <c r="J1696" s="86">
        <f>-IFERROR(VLOOKUP(C1696,SIRTAC!$A$16:$H$1458,8,0),0)</f>
        <v>-340</v>
      </c>
      <c r="K1696" s="86">
        <f>-IFERROR(VLOOKUP(C1696,Gastos!$A$9:$J$1451,10,0),0)</f>
        <v>-329.8</v>
      </c>
      <c r="L1696" s="86">
        <f>-IFERROR(VLOOKUP(C1696,IDC!$A$20:$H$1763,8,0),0)</f>
        <v>-204</v>
      </c>
      <c r="M1696" s="95">
        <f t="shared" si="56"/>
        <v>34000</v>
      </c>
      <c r="O1696" s="1"/>
    </row>
    <row r="1697" spans="1:15" hidden="1">
      <c r="A1697" s="1" t="s">
        <v>1871</v>
      </c>
      <c r="B1697" s="1" t="s">
        <v>15</v>
      </c>
      <c r="C1697" s="71">
        <v>131315798133</v>
      </c>
      <c r="D1697" s="3">
        <v>10324.6</v>
      </c>
      <c r="E1697" s="3">
        <v>10447501.51</v>
      </c>
      <c r="F1697" s="1" t="s">
        <v>3065</v>
      </c>
      <c r="G1697"/>
      <c r="H1697"/>
      <c r="I1697" s="19">
        <f>-IFERROR(VLOOKUP(C1697,SIRCUPA!$A$21:$H$221,8,0),0)</f>
        <v>0</v>
      </c>
      <c r="J1697" s="86">
        <f>-IFERROR(VLOOKUP(C1697,SIRTAC!$A$16:$H$1458,8,0),0)</f>
        <v>-110</v>
      </c>
      <c r="K1697" s="86">
        <f>-IFERROR(VLOOKUP(C1697,Gastos!$A$9:$J$1451,10,0),0)</f>
        <v>-499.4</v>
      </c>
      <c r="L1697" s="86">
        <f>-IFERROR(VLOOKUP(C1697,IDC!$A$20:$H$1763,8,0),0)</f>
        <v>-66</v>
      </c>
      <c r="M1697" s="95">
        <f t="shared" si="56"/>
        <v>11000</v>
      </c>
      <c r="O1697" s="1"/>
    </row>
    <row r="1698" spans="1:15" hidden="1">
      <c r="A1698" s="1" t="s">
        <v>1871</v>
      </c>
      <c r="B1698" s="1" t="s">
        <v>15</v>
      </c>
      <c r="C1698" s="71">
        <v>131315537649</v>
      </c>
      <c r="D1698" s="3">
        <v>48812.43</v>
      </c>
      <c r="E1698" s="3">
        <v>10496313.939999999</v>
      </c>
      <c r="F1698" s="1" t="s">
        <v>3065</v>
      </c>
      <c r="G1698"/>
      <c r="H1698"/>
      <c r="I1698" s="19">
        <f>-IFERROR(VLOOKUP(C1698,SIRCUPA!$A$21:$H$221,8,0),0)</f>
        <v>0</v>
      </c>
      <c r="J1698" s="86">
        <f>-IFERROR(VLOOKUP(C1698,SIRTAC!$A$16:$H$1458,8,0),0)</f>
        <v>-501</v>
      </c>
      <c r="K1698" s="86">
        <f>-IFERROR(VLOOKUP(C1698,Gastos!$A$9:$J$1451,10,0),0)</f>
        <v>-485.97</v>
      </c>
      <c r="L1698" s="86">
        <f>-IFERROR(VLOOKUP(C1698,IDC!$A$20:$H$1763,8,0),0)</f>
        <v>-300.60000000000002</v>
      </c>
      <c r="M1698" s="95">
        <f t="shared" si="56"/>
        <v>50100</v>
      </c>
      <c r="O1698" s="1"/>
    </row>
    <row r="1699" spans="1:15" hidden="1">
      <c r="A1699" s="1" t="s">
        <v>1871</v>
      </c>
      <c r="B1699" s="1" t="s">
        <v>15</v>
      </c>
      <c r="C1699" s="71">
        <v>131912442132</v>
      </c>
      <c r="D1699" s="3">
        <v>8502.2999999999993</v>
      </c>
      <c r="E1699" s="3">
        <v>10504816.24</v>
      </c>
      <c r="F1699" s="1" t="s">
        <v>3065</v>
      </c>
      <c r="G1699"/>
      <c r="H1699"/>
      <c r="I1699" s="19">
        <f>-IFERROR(VLOOKUP(C1699,SIRCUPA!$A$21:$H$221,8,0),0)</f>
        <v>0</v>
      </c>
      <c r="J1699" s="86">
        <f>-IFERROR(VLOOKUP(C1699,SIRTAC!$A$16:$H$1458,8,0),0)</f>
        <v>-90</v>
      </c>
      <c r="K1699" s="86">
        <f>-IFERROR(VLOOKUP(C1699,Gastos!$A$9:$J$1451,10,0),0)</f>
        <v>-353.7</v>
      </c>
      <c r="L1699" s="86">
        <f>-IFERROR(VLOOKUP(C1699,IDC!$A$20:$H$1763,8,0),0)</f>
        <v>-54</v>
      </c>
      <c r="M1699" s="95">
        <f t="shared" si="56"/>
        <v>9000</v>
      </c>
      <c r="O1699" s="1"/>
    </row>
    <row r="1700" spans="1:15" hidden="1">
      <c r="A1700" s="1" t="s">
        <v>1871</v>
      </c>
      <c r="B1700" s="1" t="s">
        <v>15</v>
      </c>
      <c r="C1700" s="71">
        <v>131315987293</v>
      </c>
      <c r="D1700" s="3">
        <v>11984.28</v>
      </c>
      <c r="E1700" s="3">
        <v>10516800.52</v>
      </c>
      <c r="F1700" s="1" t="s">
        <v>3065</v>
      </c>
      <c r="G1700"/>
      <c r="H1700"/>
      <c r="I1700" s="19">
        <f>-IFERROR(VLOOKUP(C1700,SIRCUPA!$A$21:$H$221,8,0),0)</f>
        <v>0</v>
      </c>
      <c r="J1700" s="86">
        <f>-IFERROR(VLOOKUP(C1700,SIRTAC!$A$16:$H$1458,8,0),0)</f>
        <v>-132</v>
      </c>
      <c r="K1700" s="86">
        <f>-IFERROR(VLOOKUP(C1700,Gastos!$A$9:$J$1451,10,0),0)</f>
        <v>-1004.52</v>
      </c>
      <c r="L1700" s="86">
        <f>-IFERROR(VLOOKUP(C1700,IDC!$A$20:$H$1763,8,0),0)</f>
        <v>-79.2</v>
      </c>
      <c r="M1700" s="95">
        <f t="shared" ref="M1700:M1731" si="57">+D1700-I1700-J1700-K1700-L1700</f>
        <v>13200.000000000002</v>
      </c>
      <c r="O1700" s="1"/>
    </row>
    <row r="1701" spans="1:15" hidden="1">
      <c r="A1701" s="1" t="s">
        <v>1871</v>
      </c>
      <c r="B1701" s="1" t="s">
        <v>15</v>
      </c>
      <c r="C1701" s="71">
        <v>131316170617</v>
      </c>
      <c r="D1701" s="3">
        <v>13445.34</v>
      </c>
      <c r="E1701" s="3">
        <v>10530245.859999999</v>
      </c>
      <c r="F1701" s="1" t="s">
        <v>3065</v>
      </c>
      <c r="G1701"/>
      <c r="H1701"/>
      <c r="I1701" s="19">
        <f>-IFERROR(VLOOKUP(C1701,SIRCUPA!$A$21:$H$221,8,0),0)</f>
        <v>0</v>
      </c>
      <c r="J1701" s="86">
        <f>-IFERROR(VLOOKUP(C1701,SIRTAC!$A$16:$H$1458,8,0),0)</f>
        <v>-138</v>
      </c>
      <c r="K1701" s="86">
        <f>-IFERROR(VLOOKUP(C1701,Gastos!$A$9:$J$1451,10,0),0)</f>
        <v>-133.86000000000001</v>
      </c>
      <c r="L1701" s="86">
        <f>-IFERROR(VLOOKUP(C1701,IDC!$A$20:$H$1763,8,0),0)</f>
        <v>-82.8</v>
      </c>
      <c r="M1701" s="95">
        <f t="shared" si="57"/>
        <v>13800</v>
      </c>
      <c r="O1701" s="1"/>
    </row>
    <row r="1702" spans="1:15" hidden="1">
      <c r="A1702" s="1" t="s">
        <v>1871</v>
      </c>
      <c r="B1702" s="1" t="s">
        <v>15</v>
      </c>
      <c r="C1702" s="71">
        <v>131316233559</v>
      </c>
      <c r="D1702" s="3">
        <v>10717.3</v>
      </c>
      <c r="E1702" s="3">
        <v>10540963.16</v>
      </c>
      <c r="F1702" s="1" t="s">
        <v>3065</v>
      </c>
      <c r="G1702"/>
      <c r="H1702"/>
      <c r="I1702" s="19">
        <f>-IFERROR(VLOOKUP(C1702,SIRCUPA!$A$21:$H$221,8,0),0)</f>
        <v>0</v>
      </c>
      <c r="J1702" s="86">
        <f>-IFERROR(VLOOKUP(C1702,SIRTAC!$A$16:$H$1458,8,0),0)</f>
        <v>-110</v>
      </c>
      <c r="K1702" s="86">
        <f>-IFERROR(VLOOKUP(C1702,Gastos!$A$9:$J$1451,10,0),0)</f>
        <v>-106.7</v>
      </c>
      <c r="L1702" s="86">
        <f>-IFERROR(VLOOKUP(C1702,IDC!$A$20:$H$1763,8,0),0)</f>
        <v>-66</v>
      </c>
      <c r="M1702" s="95">
        <f t="shared" si="57"/>
        <v>11000</v>
      </c>
      <c r="O1702" s="1"/>
    </row>
    <row r="1703" spans="1:15" hidden="1">
      <c r="A1703" s="1" t="s">
        <v>1871</v>
      </c>
      <c r="B1703" s="1" t="s">
        <v>15</v>
      </c>
      <c r="C1703" s="71">
        <v>131316259873</v>
      </c>
      <c r="D1703" s="3">
        <v>31930.86</v>
      </c>
      <c r="E1703" s="3">
        <v>10572894.02</v>
      </c>
      <c r="F1703" s="1" t="s">
        <v>3065</v>
      </c>
      <c r="G1703"/>
      <c r="H1703"/>
      <c r="I1703" s="19">
        <f>-IFERROR(VLOOKUP(C1703,SIRCUPA!$A$21:$H$221,8,0),0)</f>
        <v>0</v>
      </c>
      <c r="J1703" s="86">
        <f>-IFERROR(VLOOKUP(C1703,SIRTAC!$A$16:$H$1458,8,0),0)</f>
        <v>-338</v>
      </c>
      <c r="K1703" s="86">
        <f>-IFERROR(VLOOKUP(C1703,Gastos!$A$9:$J$1451,10,0),0)</f>
        <v>-1328.34</v>
      </c>
      <c r="L1703" s="86">
        <f>-IFERROR(VLOOKUP(C1703,IDC!$A$20:$H$1763,8,0),0)</f>
        <v>-202.8</v>
      </c>
      <c r="M1703" s="95">
        <f t="shared" si="57"/>
        <v>33800</v>
      </c>
      <c r="O1703" s="1"/>
    </row>
    <row r="1704" spans="1:15" hidden="1">
      <c r="A1704" s="1" t="s">
        <v>1871</v>
      </c>
      <c r="B1704" s="1" t="s">
        <v>15</v>
      </c>
      <c r="C1704" s="71">
        <v>131913233904</v>
      </c>
      <c r="D1704" s="3">
        <v>30105.87</v>
      </c>
      <c r="E1704" s="3">
        <v>10602999.890000001</v>
      </c>
      <c r="F1704" s="1" t="s">
        <v>3065</v>
      </c>
      <c r="G1704"/>
      <c r="H1704"/>
      <c r="I1704" s="19">
        <f>-IFERROR(VLOOKUP(C1704,SIRCUPA!$A$21:$H$221,8,0),0)</f>
        <v>0</v>
      </c>
      <c r="J1704" s="86">
        <f>-IFERROR(VLOOKUP(C1704,SIRTAC!$A$16:$H$1458,8,0),0)</f>
        <v>-309</v>
      </c>
      <c r="K1704" s="86">
        <f>-IFERROR(VLOOKUP(C1704,Gastos!$A$9:$J$1451,10,0),0)</f>
        <v>-299.73</v>
      </c>
      <c r="L1704" s="86">
        <f>-IFERROR(VLOOKUP(C1704,IDC!$A$20:$H$1763,8,0),0)</f>
        <v>-185.4</v>
      </c>
      <c r="M1704" s="95">
        <f t="shared" si="57"/>
        <v>30900</v>
      </c>
      <c r="O1704" s="1"/>
    </row>
    <row r="1705" spans="1:15" hidden="1">
      <c r="A1705" s="1" t="s">
        <v>1871</v>
      </c>
      <c r="B1705" s="1" t="s">
        <v>15</v>
      </c>
      <c r="C1705" s="71">
        <v>131913625570</v>
      </c>
      <c r="D1705" s="3">
        <v>62842.35</v>
      </c>
      <c r="E1705" s="3">
        <v>10665842.24</v>
      </c>
      <c r="F1705" s="1" t="s">
        <v>3065</v>
      </c>
      <c r="G1705"/>
      <c r="H1705"/>
      <c r="I1705" s="19">
        <f>-IFERROR(VLOOKUP(C1705,SIRCUPA!$A$21:$H$221,8,0),0)</f>
        <v>0</v>
      </c>
      <c r="J1705" s="86">
        <f>-IFERROR(VLOOKUP(C1705,SIRTAC!$A$16:$H$1458,8,0),0)</f>
        <v>-645</v>
      </c>
      <c r="K1705" s="86">
        <f>-IFERROR(VLOOKUP(C1705,Gastos!$A$9:$J$1451,10,0),0)</f>
        <v>-625.65</v>
      </c>
      <c r="L1705" s="86">
        <f>-IFERROR(VLOOKUP(C1705,IDC!$A$20:$H$1763,8,0),0)</f>
        <v>-387</v>
      </c>
      <c r="M1705" s="95">
        <f t="shared" si="57"/>
        <v>64500</v>
      </c>
      <c r="O1705" s="1"/>
    </row>
    <row r="1706" spans="1:15" hidden="1">
      <c r="A1706" s="1" t="s">
        <v>1871</v>
      </c>
      <c r="B1706" s="1" t="s">
        <v>658</v>
      </c>
      <c r="C1706" s="71">
        <v>131913722710</v>
      </c>
      <c r="D1706" s="3">
        <v>3157.27</v>
      </c>
      <c r="E1706" s="3">
        <v>10668999.51</v>
      </c>
      <c r="F1706" s="1" t="s">
        <v>3065</v>
      </c>
      <c r="G1706"/>
      <c r="H1706"/>
      <c r="I1706" s="19">
        <f>-IFERROR(VLOOKUP(C1706,SIRCUPA!$A$21:$H$221,8,0),0)</f>
        <v>-48.38</v>
      </c>
      <c r="J1706" s="86">
        <f>-IFERROR(VLOOKUP(C1706,SIRTAC!$A$16:$H$1458,8,0),0)</f>
        <v>0</v>
      </c>
      <c r="K1706" s="86">
        <f>-IFERROR(VLOOKUP(C1706,Gastos!$A$9:$J$1451,10,0),0)</f>
        <v>0</v>
      </c>
      <c r="L1706" s="86">
        <f>-IFERROR(VLOOKUP(C1706,IDC!$A$20:$H$1763,8,0),0)</f>
        <v>-19.350000000000001</v>
      </c>
      <c r="M1706" s="95">
        <f t="shared" si="57"/>
        <v>3225</v>
      </c>
      <c r="O1706" s="1"/>
    </row>
    <row r="1707" spans="1:15" hidden="1">
      <c r="A1707" s="1" t="s">
        <v>1871</v>
      </c>
      <c r="B1707" s="1" t="s">
        <v>15</v>
      </c>
      <c r="C1707" s="71">
        <v>131913776076</v>
      </c>
      <c r="D1707" s="3">
        <v>18138.240000000002</v>
      </c>
      <c r="E1707" s="3">
        <v>10687137.75</v>
      </c>
      <c r="F1707" s="1" t="s">
        <v>3065</v>
      </c>
      <c r="G1707"/>
      <c r="H1707"/>
      <c r="I1707" s="19">
        <f>-IFERROR(VLOOKUP(C1707,SIRCUPA!$A$21:$H$221,8,0),0)</f>
        <v>0</v>
      </c>
      <c r="J1707" s="86">
        <f>-IFERROR(VLOOKUP(C1707,SIRTAC!$A$16:$H$1458,8,0),0)</f>
        <v>-192</v>
      </c>
      <c r="K1707" s="86">
        <f>-IFERROR(VLOOKUP(C1707,Gastos!$A$9:$J$1451,10,0),0)</f>
        <v>-754.56</v>
      </c>
      <c r="L1707" s="86">
        <f>-IFERROR(VLOOKUP(C1707,IDC!$A$20:$H$1763,8,0),0)</f>
        <v>-115.2</v>
      </c>
      <c r="M1707" s="95">
        <f t="shared" si="57"/>
        <v>19200.000000000004</v>
      </c>
      <c r="O1707" s="1"/>
    </row>
    <row r="1708" spans="1:15" hidden="1">
      <c r="A1708" s="1" t="s">
        <v>1871</v>
      </c>
      <c r="B1708" s="1" t="s">
        <v>15</v>
      </c>
      <c r="C1708" s="71">
        <v>131914000620</v>
      </c>
      <c r="D1708" s="3">
        <v>50955.89</v>
      </c>
      <c r="E1708" s="3">
        <v>10738093.640000001</v>
      </c>
      <c r="F1708" s="1" t="s">
        <v>3065</v>
      </c>
      <c r="G1708"/>
      <c r="H1708"/>
      <c r="I1708" s="19">
        <f>-IFERROR(VLOOKUP(C1708,SIRCUPA!$A$21:$H$221,8,0),0)</f>
        <v>0</v>
      </c>
      <c r="J1708" s="86">
        <f>-IFERROR(VLOOKUP(C1708,SIRTAC!$A$16:$H$1458,8,0),0)</f>
        <v>-523</v>
      </c>
      <c r="K1708" s="86">
        <f>-IFERROR(VLOOKUP(C1708,Gastos!$A$9:$J$1451,10,0),0)</f>
        <v>-507.31</v>
      </c>
      <c r="L1708" s="86">
        <f>-IFERROR(VLOOKUP(C1708,IDC!$A$20:$H$1763,8,0),0)</f>
        <v>-313.8</v>
      </c>
      <c r="M1708" s="95">
        <f t="shared" si="57"/>
        <v>52300</v>
      </c>
      <c r="O1708" s="1"/>
    </row>
    <row r="1709" spans="1:15" hidden="1">
      <c r="A1709" s="1" t="s">
        <v>1871</v>
      </c>
      <c r="B1709" s="1" t="s">
        <v>15</v>
      </c>
      <c r="C1709" s="71">
        <v>131317503951</v>
      </c>
      <c r="D1709" s="3">
        <v>8768.7000000000007</v>
      </c>
      <c r="E1709" s="3">
        <v>10746862.34</v>
      </c>
      <c r="F1709" s="1" t="s">
        <v>3065</v>
      </c>
      <c r="G1709"/>
      <c r="H1709"/>
      <c r="I1709" s="19">
        <f>-IFERROR(VLOOKUP(C1709,SIRCUPA!$A$21:$H$221,8,0),0)</f>
        <v>0</v>
      </c>
      <c r="J1709" s="86">
        <f>-IFERROR(VLOOKUP(C1709,SIRTAC!$A$16:$H$1458,8,0),0)</f>
        <v>-90</v>
      </c>
      <c r="K1709" s="86">
        <f>-IFERROR(VLOOKUP(C1709,Gastos!$A$9:$J$1451,10,0),0)</f>
        <v>-87.3</v>
      </c>
      <c r="L1709" s="86">
        <f>-IFERROR(VLOOKUP(C1709,IDC!$A$20:$H$1763,8,0),0)</f>
        <v>-54</v>
      </c>
      <c r="M1709" s="95">
        <f t="shared" si="57"/>
        <v>9000</v>
      </c>
      <c r="O1709" s="1"/>
    </row>
    <row r="1710" spans="1:15" hidden="1">
      <c r="A1710" s="1" t="s">
        <v>1871</v>
      </c>
      <c r="B1710" s="1" t="s">
        <v>15</v>
      </c>
      <c r="C1710" s="71">
        <v>131317701455</v>
      </c>
      <c r="D1710" s="3">
        <v>49202.15</v>
      </c>
      <c r="E1710" s="3">
        <v>10796064.49</v>
      </c>
      <c r="F1710" s="1" t="s">
        <v>3065</v>
      </c>
      <c r="G1710"/>
      <c r="H1710"/>
      <c r="I1710" s="19">
        <f>-IFERROR(VLOOKUP(C1710,SIRCUPA!$A$21:$H$221,8,0),0)</f>
        <v>0</v>
      </c>
      <c r="J1710" s="86">
        <f>-IFERROR(VLOOKUP(C1710,SIRTAC!$A$16:$H$1458,8,0),0)</f>
        <v>-505</v>
      </c>
      <c r="K1710" s="86">
        <f>-IFERROR(VLOOKUP(C1710,Gastos!$A$9:$J$1451,10,0),0)</f>
        <v>-489.85</v>
      </c>
      <c r="L1710" s="86">
        <f>-IFERROR(VLOOKUP(C1710,IDC!$A$20:$H$1763,8,0),0)</f>
        <v>-303</v>
      </c>
      <c r="M1710" s="95">
        <f t="shared" si="57"/>
        <v>50500</v>
      </c>
      <c r="O1710" s="1"/>
    </row>
    <row r="1711" spans="1:15" hidden="1">
      <c r="A1711" s="1" t="s">
        <v>1871</v>
      </c>
      <c r="B1711" s="1" t="s">
        <v>15</v>
      </c>
      <c r="C1711" s="71">
        <v>131317789095</v>
      </c>
      <c r="D1711" s="3">
        <v>9353.2800000000007</v>
      </c>
      <c r="E1711" s="3">
        <v>10805417.77</v>
      </c>
      <c r="F1711" s="1" t="s">
        <v>3065</v>
      </c>
      <c r="G1711"/>
      <c r="H1711"/>
      <c r="I1711" s="19">
        <f>-IFERROR(VLOOKUP(C1711,SIRCUPA!$A$21:$H$221,8,0),0)</f>
        <v>0</v>
      </c>
      <c r="J1711" s="86">
        <f>-IFERROR(VLOOKUP(C1711,SIRTAC!$A$16:$H$1458,8,0),0)</f>
        <v>-96</v>
      </c>
      <c r="K1711" s="86">
        <f>-IFERROR(VLOOKUP(C1711,Gastos!$A$9:$J$1451,10,0),0)</f>
        <v>-93.12</v>
      </c>
      <c r="L1711" s="86">
        <f>-IFERROR(VLOOKUP(C1711,IDC!$A$20:$H$1763,8,0),0)</f>
        <v>-57.6</v>
      </c>
      <c r="M1711" s="95">
        <f t="shared" si="57"/>
        <v>9600.0000000000018</v>
      </c>
      <c r="O1711" s="1"/>
    </row>
    <row r="1712" spans="1:15" hidden="1">
      <c r="A1712" s="1" t="s">
        <v>1871</v>
      </c>
      <c r="B1712" s="1" t="s">
        <v>158</v>
      </c>
      <c r="C1712" s="71">
        <v>131914675008</v>
      </c>
      <c r="D1712" s="2">
        <v>939.84</v>
      </c>
      <c r="E1712" s="3">
        <v>10806357.609999999</v>
      </c>
      <c r="F1712" s="1" t="s">
        <v>3065</v>
      </c>
      <c r="G1712"/>
      <c r="H1712"/>
      <c r="I1712" s="19">
        <f>-IFERROR(VLOOKUP(C1712,SIRCUPA!$A$21:$H$221,8,0),0)</f>
        <v>-14.4</v>
      </c>
      <c r="J1712" s="86">
        <f>-IFERROR(VLOOKUP(C1712,SIRTAC!$A$16:$H$1458,8,0),0)</f>
        <v>0</v>
      </c>
      <c r="K1712" s="86">
        <f>-IFERROR(VLOOKUP(C1712,Gastos!$A$9:$J$1451,10,0),0)</f>
        <v>0</v>
      </c>
      <c r="L1712" s="86">
        <f>-IFERROR(VLOOKUP(C1712,IDC!$A$20:$H$1763,8,0),0)</f>
        <v>-5.76</v>
      </c>
      <c r="M1712" s="95">
        <f t="shared" si="57"/>
        <v>960</v>
      </c>
      <c r="O1712" s="1"/>
    </row>
    <row r="1713" spans="1:15" hidden="1">
      <c r="A1713" s="1" t="s">
        <v>1871</v>
      </c>
      <c r="B1713" s="1" t="s">
        <v>15</v>
      </c>
      <c r="C1713" s="71">
        <v>131914746862</v>
      </c>
      <c r="D1713" s="3">
        <v>9353.2800000000007</v>
      </c>
      <c r="E1713" s="3">
        <v>10815710.890000001</v>
      </c>
      <c r="F1713" s="1" t="s">
        <v>3065</v>
      </c>
      <c r="G1713"/>
      <c r="H1713"/>
      <c r="I1713" s="19">
        <f>-IFERROR(VLOOKUP(C1713,SIRCUPA!$A$21:$H$221,8,0),0)</f>
        <v>0</v>
      </c>
      <c r="J1713" s="86">
        <f>-IFERROR(VLOOKUP(C1713,SIRTAC!$A$16:$H$1458,8,0),0)</f>
        <v>-96</v>
      </c>
      <c r="K1713" s="86">
        <f>-IFERROR(VLOOKUP(C1713,Gastos!$A$9:$J$1451,10,0),0)</f>
        <v>-93.12</v>
      </c>
      <c r="L1713" s="86">
        <f>-IFERROR(VLOOKUP(C1713,IDC!$A$20:$H$1763,8,0),0)</f>
        <v>-57.6</v>
      </c>
      <c r="M1713" s="95">
        <f t="shared" si="57"/>
        <v>9600.0000000000018</v>
      </c>
      <c r="O1713" s="1"/>
    </row>
    <row r="1714" spans="1:15" hidden="1">
      <c r="A1714" s="1" t="s">
        <v>1871</v>
      </c>
      <c r="B1714" s="1" t="s">
        <v>15</v>
      </c>
      <c r="C1714" s="71">
        <v>131317780025</v>
      </c>
      <c r="D1714" s="3">
        <v>30398.16</v>
      </c>
      <c r="E1714" s="3">
        <v>10846109.050000001</v>
      </c>
      <c r="F1714" s="1" t="s">
        <v>3065</v>
      </c>
      <c r="G1714"/>
      <c r="H1714"/>
      <c r="I1714" s="19">
        <f>-IFERROR(VLOOKUP(C1714,SIRCUPA!$A$21:$H$221,8,0),0)</f>
        <v>0</v>
      </c>
      <c r="J1714" s="86">
        <f>-IFERROR(VLOOKUP(C1714,SIRTAC!$A$16:$H$1458,8,0),0)</f>
        <v>-312</v>
      </c>
      <c r="K1714" s="86">
        <f>-IFERROR(VLOOKUP(C1714,Gastos!$A$9:$J$1451,10,0),0)</f>
        <v>-302.64</v>
      </c>
      <c r="L1714" s="86">
        <f>-IFERROR(VLOOKUP(C1714,IDC!$A$20:$H$1763,8,0),0)</f>
        <v>-187.2</v>
      </c>
      <c r="M1714" s="95">
        <f t="shared" si="57"/>
        <v>31200</v>
      </c>
      <c r="O1714" s="1"/>
    </row>
    <row r="1715" spans="1:15" hidden="1">
      <c r="A1715" s="1" t="s">
        <v>1871</v>
      </c>
      <c r="B1715" s="1" t="s">
        <v>15</v>
      </c>
      <c r="C1715" s="71">
        <v>131318108529</v>
      </c>
      <c r="D1715" s="3">
        <v>16075.95</v>
      </c>
      <c r="E1715" s="3">
        <v>10862185</v>
      </c>
      <c r="F1715" s="1" t="s">
        <v>3065</v>
      </c>
      <c r="G1715"/>
      <c r="H1715"/>
      <c r="I1715" s="19">
        <f>-IFERROR(VLOOKUP(C1715,SIRCUPA!$A$21:$H$221,8,0),0)</f>
        <v>0</v>
      </c>
      <c r="J1715" s="86">
        <f>-IFERROR(VLOOKUP(C1715,SIRTAC!$A$16:$H$1458,8,0),0)</f>
        <v>-165</v>
      </c>
      <c r="K1715" s="86">
        <f>-IFERROR(VLOOKUP(C1715,Gastos!$A$9:$J$1451,10,0),0)</f>
        <v>-160.05000000000001</v>
      </c>
      <c r="L1715" s="86">
        <f>-IFERROR(VLOOKUP(C1715,IDC!$A$20:$H$1763,8,0),0)</f>
        <v>-99</v>
      </c>
      <c r="M1715" s="95">
        <f t="shared" si="57"/>
        <v>16500</v>
      </c>
      <c r="O1715" s="1"/>
    </row>
    <row r="1716" spans="1:15" hidden="1">
      <c r="A1716" s="1" t="s">
        <v>1871</v>
      </c>
      <c r="B1716" s="1" t="s">
        <v>15</v>
      </c>
      <c r="C1716" s="71">
        <v>131914914580</v>
      </c>
      <c r="D1716" s="3">
        <v>40141.160000000003</v>
      </c>
      <c r="E1716" s="3">
        <v>10902326.16</v>
      </c>
      <c r="F1716" s="1" t="s">
        <v>3065</v>
      </c>
      <c r="G1716"/>
      <c r="H1716"/>
      <c r="I1716" s="19">
        <f>-IFERROR(VLOOKUP(C1716,SIRCUPA!$A$21:$H$221,8,0),0)</f>
        <v>0</v>
      </c>
      <c r="J1716" s="86">
        <f>-IFERROR(VLOOKUP(C1716,SIRTAC!$A$16:$H$1458,8,0),0)</f>
        <v>-412</v>
      </c>
      <c r="K1716" s="86">
        <f>-IFERROR(VLOOKUP(C1716,Gastos!$A$9:$J$1451,10,0),0)</f>
        <v>-399.64</v>
      </c>
      <c r="L1716" s="86">
        <f>-IFERROR(VLOOKUP(C1716,IDC!$A$20:$H$1763,8,0),0)</f>
        <v>-247.2</v>
      </c>
      <c r="M1716" s="95">
        <f t="shared" si="57"/>
        <v>41200</v>
      </c>
      <c r="O1716" s="1"/>
    </row>
    <row r="1717" spans="1:15" hidden="1">
      <c r="A1717" s="1" t="s">
        <v>1871</v>
      </c>
      <c r="B1717" s="1" t="s">
        <v>15</v>
      </c>
      <c r="C1717" s="71">
        <v>131318226099</v>
      </c>
      <c r="D1717" s="3">
        <v>3942.12</v>
      </c>
      <c r="E1717" s="3">
        <v>10906268.279999999</v>
      </c>
      <c r="F1717" s="1" t="s">
        <v>3065</v>
      </c>
      <c r="G1717"/>
      <c r="H1717"/>
      <c r="I1717" s="19">
        <f>-IFERROR(VLOOKUP(C1717,SIRCUPA!$A$21:$H$221,8,0),0)</f>
        <v>0</v>
      </c>
      <c r="J1717" s="86">
        <f>-IFERROR(VLOOKUP(C1717,SIRTAC!$A$16:$H$1458,8,0),0)</f>
        <v>-42</v>
      </c>
      <c r="K1717" s="86">
        <f>-IFERROR(VLOOKUP(C1717,Gastos!$A$9:$J$1451,10,0),0)</f>
        <v>-190.68</v>
      </c>
      <c r="L1717" s="86">
        <f>-IFERROR(VLOOKUP(C1717,IDC!$A$20:$H$1763,8,0),0)</f>
        <v>-25.2</v>
      </c>
      <c r="M1717" s="95">
        <f t="shared" si="57"/>
        <v>4200</v>
      </c>
      <c r="O1717" s="1"/>
    </row>
    <row r="1718" spans="1:15" hidden="1">
      <c r="A1718" s="1" t="s">
        <v>1871</v>
      </c>
      <c r="B1718" s="1" t="s">
        <v>15</v>
      </c>
      <c r="C1718" s="71">
        <v>131915208972</v>
      </c>
      <c r="D1718" s="3">
        <v>9010.56</v>
      </c>
      <c r="E1718" s="3">
        <v>10915278.84</v>
      </c>
      <c r="F1718" s="1" t="s">
        <v>3065</v>
      </c>
      <c r="G1718"/>
      <c r="H1718"/>
      <c r="I1718" s="19">
        <f>-IFERROR(VLOOKUP(C1718,SIRCUPA!$A$21:$H$221,8,0),0)</f>
        <v>0</v>
      </c>
      <c r="J1718" s="86">
        <f>-IFERROR(VLOOKUP(C1718,SIRTAC!$A$16:$H$1458,8,0),0)</f>
        <v>-96</v>
      </c>
      <c r="K1718" s="86">
        <f>-IFERROR(VLOOKUP(C1718,Gastos!$A$9:$J$1451,10,0),0)</f>
        <v>-435.84</v>
      </c>
      <c r="L1718" s="86">
        <f>-IFERROR(VLOOKUP(C1718,IDC!$A$20:$H$1763,8,0),0)</f>
        <v>-57.6</v>
      </c>
      <c r="M1718" s="95">
        <f t="shared" si="57"/>
        <v>9600</v>
      </c>
      <c r="O1718" s="1"/>
    </row>
    <row r="1719" spans="1:15" hidden="1">
      <c r="A1719" s="1" t="s">
        <v>1871</v>
      </c>
      <c r="B1719" s="1" t="s">
        <v>15</v>
      </c>
      <c r="C1719" s="71">
        <v>131915245194</v>
      </c>
      <c r="D1719" s="3">
        <v>13737.63</v>
      </c>
      <c r="E1719" s="3">
        <v>10929016.470000001</v>
      </c>
      <c r="F1719" s="1" t="s">
        <v>3065</v>
      </c>
      <c r="G1719"/>
      <c r="H1719"/>
      <c r="I1719" s="19">
        <f>-IFERROR(VLOOKUP(C1719,SIRCUPA!$A$21:$H$221,8,0),0)</f>
        <v>0</v>
      </c>
      <c r="J1719" s="86">
        <f>-IFERROR(VLOOKUP(C1719,SIRTAC!$A$16:$H$1458,8,0),0)</f>
        <v>-141</v>
      </c>
      <c r="K1719" s="86">
        <f>-IFERROR(VLOOKUP(C1719,Gastos!$A$9:$J$1451,10,0),0)</f>
        <v>-136.77000000000001</v>
      </c>
      <c r="L1719" s="86">
        <f>-IFERROR(VLOOKUP(C1719,IDC!$A$20:$H$1763,8,0),0)</f>
        <v>-84.6</v>
      </c>
      <c r="M1719" s="95">
        <f t="shared" si="57"/>
        <v>14100</v>
      </c>
      <c r="O1719" s="1"/>
    </row>
    <row r="1720" spans="1:15" hidden="1">
      <c r="A1720" s="1" t="s">
        <v>1871</v>
      </c>
      <c r="B1720" s="1" t="s">
        <v>15</v>
      </c>
      <c r="C1720" s="71">
        <v>131915199812</v>
      </c>
      <c r="D1720" s="3">
        <v>13542.77</v>
      </c>
      <c r="E1720" s="3">
        <v>10942559.24</v>
      </c>
      <c r="F1720" s="1" t="s">
        <v>3065</v>
      </c>
      <c r="G1720"/>
      <c r="H1720"/>
      <c r="I1720" s="19">
        <f>-IFERROR(VLOOKUP(C1720,SIRCUPA!$A$21:$H$221,8,0),0)</f>
        <v>0</v>
      </c>
      <c r="J1720" s="86">
        <f>-IFERROR(VLOOKUP(C1720,SIRTAC!$A$16:$H$1458,8,0),0)</f>
        <v>-139</v>
      </c>
      <c r="K1720" s="86">
        <f>-IFERROR(VLOOKUP(C1720,Gastos!$A$9:$J$1451,10,0),0)</f>
        <v>-134.83000000000001</v>
      </c>
      <c r="L1720" s="86">
        <f>-IFERROR(VLOOKUP(C1720,IDC!$A$20:$H$1763,8,0),0)</f>
        <v>-83.4</v>
      </c>
      <c r="M1720" s="95">
        <f t="shared" si="57"/>
        <v>13900</v>
      </c>
      <c r="O1720" s="1"/>
    </row>
    <row r="1721" spans="1:15" hidden="1">
      <c r="A1721" s="1" t="s">
        <v>1871</v>
      </c>
      <c r="B1721" s="1" t="s">
        <v>1814</v>
      </c>
      <c r="C1721" s="71">
        <v>131915191964</v>
      </c>
      <c r="D1721" s="3">
        <v>1360.81</v>
      </c>
      <c r="E1721" s="3">
        <v>10943920.050000001</v>
      </c>
      <c r="F1721" s="1" t="s">
        <v>3065</v>
      </c>
      <c r="G1721"/>
      <c r="H1721"/>
      <c r="I1721" s="19">
        <f>-IFERROR(VLOOKUP(C1721,SIRCUPA!$A$21:$H$221,8,0),0)</f>
        <v>-20.85</v>
      </c>
      <c r="J1721" s="86">
        <f>-IFERROR(VLOOKUP(C1721,SIRTAC!$A$16:$H$1458,8,0),0)</f>
        <v>0</v>
      </c>
      <c r="K1721" s="86">
        <f>-IFERROR(VLOOKUP(C1721,Gastos!$A$9:$J$1451,10,0),0)</f>
        <v>0</v>
      </c>
      <c r="L1721" s="86">
        <f>-IFERROR(VLOOKUP(C1721,IDC!$A$20:$H$1763,8,0),0)</f>
        <v>-8.34</v>
      </c>
      <c r="M1721" s="95">
        <f t="shared" si="57"/>
        <v>1389.9999999999998</v>
      </c>
      <c r="O1721" s="1"/>
    </row>
    <row r="1722" spans="1:15" hidden="1">
      <c r="A1722" s="1" t="s">
        <v>1871</v>
      </c>
      <c r="B1722" s="1" t="s">
        <v>15</v>
      </c>
      <c r="C1722" s="71">
        <v>131318475295</v>
      </c>
      <c r="D1722" s="3">
        <v>15978.52</v>
      </c>
      <c r="E1722" s="3">
        <v>10959898.57</v>
      </c>
      <c r="F1722" s="1" t="s">
        <v>3065</v>
      </c>
      <c r="G1722"/>
      <c r="H1722"/>
      <c r="I1722" s="19">
        <f>-IFERROR(VLOOKUP(C1722,SIRCUPA!$A$21:$H$221,8,0),0)</f>
        <v>0</v>
      </c>
      <c r="J1722" s="86">
        <f>-IFERROR(VLOOKUP(C1722,SIRTAC!$A$16:$H$1458,8,0),0)</f>
        <v>-164</v>
      </c>
      <c r="K1722" s="86">
        <f>-IFERROR(VLOOKUP(C1722,Gastos!$A$9:$J$1451,10,0),0)</f>
        <v>-159.08000000000001</v>
      </c>
      <c r="L1722" s="86">
        <f>-IFERROR(VLOOKUP(C1722,IDC!$A$20:$H$1763,8,0),0)</f>
        <v>-98.4</v>
      </c>
      <c r="M1722" s="95">
        <f t="shared" si="57"/>
        <v>16400</v>
      </c>
      <c r="O1722" s="1"/>
    </row>
    <row r="1723" spans="1:15" hidden="1">
      <c r="A1723" s="1" t="s">
        <v>1871</v>
      </c>
      <c r="B1723" s="1" t="s">
        <v>1486</v>
      </c>
      <c r="C1723" s="71">
        <v>131915273768</v>
      </c>
      <c r="D1723" s="2">
        <v>802.78</v>
      </c>
      <c r="E1723" s="3">
        <v>10960701.35</v>
      </c>
      <c r="F1723" s="1" t="s">
        <v>3065</v>
      </c>
      <c r="G1723"/>
      <c r="H1723"/>
      <c r="I1723" s="19">
        <f>-IFERROR(VLOOKUP(C1723,SIRCUPA!$A$21:$H$221,8,0),0)</f>
        <v>-12.3</v>
      </c>
      <c r="J1723" s="86">
        <f>-IFERROR(VLOOKUP(C1723,SIRTAC!$A$16:$H$1458,8,0),0)</f>
        <v>0</v>
      </c>
      <c r="K1723" s="86">
        <f>-IFERROR(VLOOKUP(C1723,Gastos!$A$9:$J$1451,10,0),0)</f>
        <v>0</v>
      </c>
      <c r="L1723" s="86">
        <f>-IFERROR(VLOOKUP(C1723,IDC!$A$20:$H$1763,8,0),0)</f>
        <v>-4.92</v>
      </c>
      <c r="M1723" s="95">
        <f t="shared" si="57"/>
        <v>819.99999999999989</v>
      </c>
      <c r="O1723" s="1"/>
    </row>
    <row r="1724" spans="1:15" hidden="1">
      <c r="A1724" s="1" t="s">
        <v>1871</v>
      </c>
      <c r="B1724" s="1" t="s">
        <v>15</v>
      </c>
      <c r="C1724" s="71">
        <v>131318639651</v>
      </c>
      <c r="D1724" s="3">
        <v>4129.84</v>
      </c>
      <c r="E1724" s="3">
        <v>10964831.189999999</v>
      </c>
      <c r="F1724" s="1" t="s">
        <v>3065</v>
      </c>
      <c r="G1724"/>
      <c r="H1724"/>
      <c r="I1724" s="19">
        <f>-IFERROR(VLOOKUP(C1724,SIRCUPA!$A$21:$H$221,8,0),0)</f>
        <v>0</v>
      </c>
      <c r="J1724" s="86">
        <f>-IFERROR(VLOOKUP(C1724,SIRTAC!$A$16:$H$1458,8,0),0)</f>
        <v>-44</v>
      </c>
      <c r="K1724" s="86">
        <f>-IFERROR(VLOOKUP(C1724,Gastos!$A$9:$J$1451,10,0),0)</f>
        <v>-199.76</v>
      </c>
      <c r="L1724" s="86">
        <f>-IFERROR(VLOOKUP(C1724,IDC!$A$20:$H$1763,8,0),0)</f>
        <v>-26.4</v>
      </c>
      <c r="M1724" s="95">
        <f t="shared" si="57"/>
        <v>4400</v>
      </c>
      <c r="O1724" s="1"/>
    </row>
    <row r="1725" spans="1:15" hidden="1">
      <c r="A1725" s="1" t="s">
        <v>1871</v>
      </c>
      <c r="B1725" s="1" t="s">
        <v>15</v>
      </c>
      <c r="C1725" s="71">
        <v>131915750288</v>
      </c>
      <c r="D1725" s="3">
        <v>4481.78</v>
      </c>
      <c r="E1725" s="3">
        <v>10969312.970000001</v>
      </c>
      <c r="F1725" s="1" t="s">
        <v>3065</v>
      </c>
      <c r="G1725"/>
      <c r="H1725"/>
      <c r="I1725" s="19">
        <f>-IFERROR(VLOOKUP(C1725,SIRCUPA!$A$21:$H$221,8,0),0)</f>
        <v>0</v>
      </c>
      <c r="J1725" s="86">
        <f>-IFERROR(VLOOKUP(C1725,SIRTAC!$A$16:$H$1458,8,0),0)</f>
        <v>-46</v>
      </c>
      <c r="K1725" s="86">
        <f>-IFERROR(VLOOKUP(C1725,Gastos!$A$9:$J$1451,10,0),0)</f>
        <v>-44.62</v>
      </c>
      <c r="L1725" s="86">
        <f>-IFERROR(VLOOKUP(C1725,IDC!$A$20:$H$1763,8,0),0)</f>
        <v>-27.6</v>
      </c>
      <c r="M1725" s="95">
        <f t="shared" si="57"/>
        <v>4600</v>
      </c>
      <c r="O1725" s="1"/>
    </row>
    <row r="1726" spans="1:15" hidden="1">
      <c r="A1726" s="1" t="s">
        <v>1871</v>
      </c>
      <c r="B1726" s="1" t="s">
        <v>15</v>
      </c>
      <c r="C1726" s="71">
        <v>131915932200</v>
      </c>
      <c r="D1726" s="3">
        <v>11594.17</v>
      </c>
      <c r="E1726" s="3">
        <v>10980907.140000001</v>
      </c>
      <c r="F1726" s="1" t="s">
        <v>3065</v>
      </c>
      <c r="G1726"/>
      <c r="H1726"/>
      <c r="I1726" s="19">
        <f>-IFERROR(VLOOKUP(C1726,SIRCUPA!$A$21:$H$221,8,0),0)</f>
        <v>0</v>
      </c>
      <c r="J1726" s="86">
        <f>-IFERROR(VLOOKUP(C1726,SIRTAC!$A$16:$H$1458,8,0),0)</f>
        <v>-119</v>
      </c>
      <c r="K1726" s="86">
        <f>-IFERROR(VLOOKUP(C1726,Gastos!$A$9:$J$1451,10,0),0)</f>
        <v>-115.43</v>
      </c>
      <c r="L1726" s="86">
        <f>-IFERROR(VLOOKUP(C1726,IDC!$A$20:$H$1763,8,0),0)</f>
        <v>-71.400000000000006</v>
      </c>
      <c r="M1726" s="95">
        <f t="shared" si="57"/>
        <v>11900</v>
      </c>
      <c r="O1726" s="1"/>
    </row>
    <row r="1727" spans="1:15" hidden="1">
      <c r="A1727" s="1" t="s">
        <v>1871</v>
      </c>
      <c r="B1727" s="1" t="s">
        <v>1908</v>
      </c>
      <c r="C1727" s="71">
        <v>131319123549</v>
      </c>
      <c r="D1727" s="2">
        <v>582.5</v>
      </c>
      <c r="E1727" s="3">
        <v>10981489.640000001</v>
      </c>
      <c r="F1727" s="1" t="s">
        <v>3065</v>
      </c>
      <c r="G1727"/>
      <c r="H1727"/>
      <c r="I1727" s="19">
        <f>-IFERROR(VLOOKUP(C1727,SIRCUPA!$A$21:$H$221,8,0),0)</f>
        <v>-8.93</v>
      </c>
      <c r="J1727" s="86">
        <f>-IFERROR(VLOOKUP(C1727,SIRTAC!$A$16:$H$1458,8,0),0)</f>
        <v>0</v>
      </c>
      <c r="K1727" s="86">
        <f>-IFERROR(VLOOKUP(C1727,Gastos!$A$9:$J$1451,10,0),0)</f>
        <v>0</v>
      </c>
      <c r="L1727" s="86">
        <f>-IFERROR(VLOOKUP(C1727,IDC!$A$20:$H$1763,8,0),0)</f>
        <v>-3.57</v>
      </c>
      <c r="M1727" s="95">
        <f t="shared" si="57"/>
        <v>595</v>
      </c>
      <c r="O1727" s="1"/>
    </row>
    <row r="1728" spans="1:15" hidden="1">
      <c r="A1728" s="1" t="s">
        <v>1871</v>
      </c>
      <c r="B1728" s="1" t="s">
        <v>15</v>
      </c>
      <c r="C1728" s="71">
        <v>131319369569</v>
      </c>
      <c r="D1728" s="3">
        <v>9548.14</v>
      </c>
      <c r="E1728" s="3">
        <v>10991037.779999999</v>
      </c>
      <c r="F1728" s="1" t="s">
        <v>3065</v>
      </c>
      <c r="G1728"/>
      <c r="H1728"/>
      <c r="I1728" s="19">
        <f>-IFERROR(VLOOKUP(C1728,SIRCUPA!$A$21:$H$221,8,0),0)</f>
        <v>0</v>
      </c>
      <c r="J1728" s="86">
        <f>-IFERROR(VLOOKUP(C1728,SIRTAC!$A$16:$H$1458,8,0),0)</f>
        <v>-98</v>
      </c>
      <c r="K1728" s="86">
        <f>-IFERROR(VLOOKUP(C1728,Gastos!$A$9:$J$1451,10,0),0)</f>
        <v>-95.06</v>
      </c>
      <c r="L1728" s="86">
        <f>-IFERROR(VLOOKUP(C1728,IDC!$A$20:$H$1763,8,0),0)</f>
        <v>-58.8</v>
      </c>
      <c r="M1728" s="95">
        <f t="shared" si="57"/>
        <v>9799.9999999999982</v>
      </c>
      <c r="O1728" s="1"/>
    </row>
    <row r="1729" spans="1:15" hidden="1">
      <c r="A1729" s="1" t="s">
        <v>1871</v>
      </c>
      <c r="B1729" s="1" t="s">
        <v>15</v>
      </c>
      <c r="C1729" s="71">
        <v>131319428755</v>
      </c>
      <c r="D1729" s="3">
        <v>15588.8</v>
      </c>
      <c r="E1729" s="3">
        <v>11006626.58</v>
      </c>
      <c r="F1729" s="1" t="s">
        <v>3065</v>
      </c>
      <c r="G1729"/>
      <c r="H1729"/>
      <c r="I1729" s="19">
        <f>-IFERROR(VLOOKUP(C1729,SIRCUPA!$A$21:$H$221,8,0),0)</f>
        <v>0</v>
      </c>
      <c r="J1729" s="86">
        <f>-IFERROR(VLOOKUP(C1729,SIRTAC!$A$16:$H$1458,8,0),0)</f>
        <v>-160</v>
      </c>
      <c r="K1729" s="86">
        <f>-IFERROR(VLOOKUP(C1729,Gastos!$A$9:$J$1451,10,0),0)</f>
        <v>-155.19999999999999</v>
      </c>
      <c r="L1729" s="86">
        <f>-IFERROR(VLOOKUP(C1729,IDC!$A$20:$H$1763,8,0),0)</f>
        <v>-96</v>
      </c>
      <c r="M1729" s="95">
        <f t="shared" si="57"/>
        <v>16000</v>
      </c>
      <c r="O1729" s="1"/>
    </row>
    <row r="1730" spans="1:15" hidden="1">
      <c r="A1730" s="1" t="s">
        <v>1871</v>
      </c>
      <c r="B1730" s="1" t="s">
        <v>15</v>
      </c>
      <c r="C1730" s="71">
        <v>131916032026</v>
      </c>
      <c r="D1730" s="3">
        <v>4505.28</v>
      </c>
      <c r="E1730" s="3">
        <v>11011131.859999999</v>
      </c>
      <c r="F1730" s="1" t="s">
        <v>3065</v>
      </c>
      <c r="G1730"/>
      <c r="H1730"/>
      <c r="I1730" s="19">
        <f>-IFERROR(VLOOKUP(C1730,SIRCUPA!$A$21:$H$221,8,0),0)</f>
        <v>0</v>
      </c>
      <c r="J1730" s="86">
        <f>-IFERROR(VLOOKUP(C1730,SIRTAC!$A$16:$H$1458,8,0),0)</f>
        <v>-48</v>
      </c>
      <c r="K1730" s="86">
        <f>-IFERROR(VLOOKUP(C1730,Gastos!$A$9:$J$1451,10,0),0)</f>
        <v>-217.92</v>
      </c>
      <c r="L1730" s="86">
        <f>-IFERROR(VLOOKUP(C1730,IDC!$A$20:$H$1763,8,0),0)</f>
        <v>-28.8</v>
      </c>
      <c r="M1730" s="95">
        <f t="shared" si="57"/>
        <v>4800</v>
      </c>
      <c r="O1730" s="1"/>
    </row>
    <row r="1731" spans="1:15" hidden="1">
      <c r="A1731" s="1" t="s">
        <v>1871</v>
      </c>
      <c r="B1731" s="1" t="s">
        <v>15</v>
      </c>
      <c r="C1731" s="71">
        <v>131916342834</v>
      </c>
      <c r="D1731" s="3">
        <v>4676.6400000000003</v>
      </c>
      <c r="E1731" s="3">
        <v>11015808.5</v>
      </c>
      <c r="F1731" s="1" t="s">
        <v>3065</v>
      </c>
      <c r="G1731"/>
      <c r="H1731"/>
      <c r="I1731" s="19">
        <f>-IFERROR(VLOOKUP(C1731,SIRCUPA!$A$21:$H$221,8,0),0)</f>
        <v>0</v>
      </c>
      <c r="J1731" s="86">
        <f>-IFERROR(VLOOKUP(C1731,SIRTAC!$A$16:$H$1458,8,0),0)</f>
        <v>-48</v>
      </c>
      <c r="K1731" s="86">
        <f>-IFERROR(VLOOKUP(C1731,Gastos!$A$9:$J$1451,10,0),0)</f>
        <v>-46.56</v>
      </c>
      <c r="L1731" s="86">
        <f>-IFERROR(VLOOKUP(C1731,IDC!$A$20:$H$1763,8,0),0)</f>
        <v>-28.8</v>
      </c>
      <c r="M1731" s="95">
        <f t="shared" si="57"/>
        <v>4800.0000000000009</v>
      </c>
      <c r="O1731" s="1"/>
    </row>
    <row r="1732" spans="1:15" hidden="1">
      <c r="A1732" s="1" t="s">
        <v>1871</v>
      </c>
      <c r="B1732" s="1" t="s">
        <v>15</v>
      </c>
      <c r="C1732" s="71">
        <v>131916342992</v>
      </c>
      <c r="D1732" s="3">
        <v>25429.23</v>
      </c>
      <c r="E1732" s="3">
        <v>11041237.73</v>
      </c>
      <c r="F1732" s="1" t="s">
        <v>3065</v>
      </c>
      <c r="G1732"/>
      <c r="H1732"/>
      <c r="I1732" s="19">
        <f>-IFERROR(VLOOKUP(C1732,SIRCUPA!$A$21:$H$221,8,0),0)</f>
        <v>0</v>
      </c>
      <c r="J1732" s="86">
        <f>-IFERROR(VLOOKUP(C1732,SIRTAC!$A$16:$H$1458,8,0),0)</f>
        <v>-261</v>
      </c>
      <c r="K1732" s="86">
        <f>-IFERROR(VLOOKUP(C1732,Gastos!$A$9:$J$1451,10,0),0)</f>
        <v>-253.17</v>
      </c>
      <c r="L1732" s="86">
        <f>-IFERROR(VLOOKUP(C1732,IDC!$A$20:$H$1763,8,0),0)</f>
        <v>-156.6</v>
      </c>
      <c r="M1732" s="95">
        <f t="shared" ref="M1732:M1757" si="58">+D1732-I1732-J1732-K1732-L1732</f>
        <v>26099.999999999996</v>
      </c>
      <c r="O1732" s="1"/>
    </row>
    <row r="1733" spans="1:15" hidden="1">
      <c r="A1733" s="1" t="s">
        <v>1871</v>
      </c>
      <c r="B1733" s="1" t="s">
        <v>1915</v>
      </c>
      <c r="C1733" s="71">
        <v>131319469609</v>
      </c>
      <c r="D1733" s="3">
        <v>2555.19</v>
      </c>
      <c r="E1733" s="3">
        <v>11043792.92</v>
      </c>
      <c r="F1733" s="1" t="s">
        <v>3065</v>
      </c>
      <c r="G1733"/>
      <c r="H1733"/>
      <c r="I1733" s="19">
        <f>-IFERROR(VLOOKUP(C1733,SIRCUPA!$A$21:$H$221,8,0),0)</f>
        <v>-39.15</v>
      </c>
      <c r="J1733" s="86">
        <f>-IFERROR(VLOOKUP(C1733,SIRTAC!$A$16:$H$1458,8,0),0)</f>
        <v>0</v>
      </c>
      <c r="K1733" s="86">
        <f>-IFERROR(VLOOKUP(C1733,Gastos!$A$9:$J$1451,10,0),0)</f>
        <v>0</v>
      </c>
      <c r="L1733" s="86">
        <f>-IFERROR(VLOOKUP(C1733,IDC!$A$20:$H$1763,8,0),0)</f>
        <v>-15.66</v>
      </c>
      <c r="M1733" s="95">
        <f t="shared" si="58"/>
        <v>2610</v>
      </c>
      <c r="O1733" s="1"/>
    </row>
    <row r="1734" spans="1:15" hidden="1">
      <c r="A1734" s="1" t="s">
        <v>1871</v>
      </c>
      <c r="B1734" s="1" t="s">
        <v>15</v>
      </c>
      <c r="C1734" s="71">
        <v>131916546200</v>
      </c>
      <c r="D1734" s="3">
        <v>4505.28</v>
      </c>
      <c r="E1734" s="3">
        <v>11048298.199999999</v>
      </c>
      <c r="F1734" s="1" t="s">
        <v>3065</v>
      </c>
      <c r="G1734"/>
      <c r="H1734"/>
      <c r="I1734" s="19">
        <f>-IFERROR(VLOOKUP(C1734,SIRCUPA!$A$21:$H$221,8,0),0)</f>
        <v>0</v>
      </c>
      <c r="J1734" s="86">
        <f>-IFERROR(VLOOKUP(C1734,SIRTAC!$A$16:$H$1458,8,0),0)</f>
        <v>-48</v>
      </c>
      <c r="K1734" s="86">
        <f>-IFERROR(VLOOKUP(C1734,Gastos!$A$9:$J$1451,10,0),0)</f>
        <v>-217.92</v>
      </c>
      <c r="L1734" s="86">
        <f>-IFERROR(VLOOKUP(C1734,IDC!$A$20:$H$1763,8,0),0)</f>
        <v>-28.8</v>
      </c>
      <c r="M1734" s="95">
        <f t="shared" si="58"/>
        <v>4800</v>
      </c>
      <c r="O1734" s="1"/>
    </row>
    <row r="1735" spans="1:15" hidden="1">
      <c r="A1735" s="1" t="s">
        <v>1871</v>
      </c>
      <c r="B1735" s="1" t="s">
        <v>15</v>
      </c>
      <c r="C1735" s="71">
        <v>131319845291</v>
      </c>
      <c r="D1735" s="3">
        <v>16075.95</v>
      </c>
      <c r="E1735" s="3">
        <v>11064374.15</v>
      </c>
      <c r="F1735" s="1" t="s">
        <v>3065</v>
      </c>
      <c r="G1735"/>
      <c r="H1735"/>
      <c r="I1735" s="19">
        <f>-IFERROR(VLOOKUP(C1735,SIRCUPA!$A$21:$H$221,8,0),0)</f>
        <v>0</v>
      </c>
      <c r="J1735" s="86">
        <f>-IFERROR(VLOOKUP(C1735,SIRTAC!$A$16:$H$1458,8,0),0)</f>
        <v>-165</v>
      </c>
      <c r="K1735" s="86">
        <f>-IFERROR(VLOOKUP(C1735,Gastos!$A$9:$J$1451,10,0),0)</f>
        <v>-160.05000000000001</v>
      </c>
      <c r="L1735" s="86">
        <f>-IFERROR(VLOOKUP(C1735,IDC!$A$20:$H$1763,8,0),0)</f>
        <v>-99</v>
      </c>
      <c r="M1735" s="95">
        <f t="shared" si="58"/>
        <v>16500</v>
      </c>
      <c r="O1735" s="1"/>
    </row>
    <row r="1736" spans="1:15" hidden="1">
      <c r="A1736" s="1" t="s">
        <v>1871</v>
      </c>
      <c r="B1736" s="1" t="s">
        <v>1919</v>
      </c>
      <c r="C1736" s="71">
        <v>131916458918</v>
      </c>
      <c r="D1736" s="2">
        <v>807.67</v>
      </c>
      <c r="E1736" s="3">
        <v>11065181.82</v>
      </c>
      <c r="F1736" s="1" t="s">
        <v>3065</v>
      </c>
      <c r="G1736"/>
      <c r="H1736"/>
      <c r="I1736" s="19">
        <f>-IFERROR(VLOOKUP(C1736,SIRCUPA!$A$21:$H$221,8,0),0)</f>
        <v>-12.38</v>
      </c>
      <c r="J1736" s="86">
        <f>-IFERROR(VLOOKUP(C1736,SIRTAC!$A$16:$H$1458,8,0),0)</f>
        <v>0</v>
      </c>
      <c r="K1736" s="86">
        <f>-IFERROR(VLOOKUP(C1736,Gastos!$A$9:$J$1451,10,0),0)</f>
        <v>0</v>
      </c>
      <c r="L1736" s="86">
        <f>-IFERROR(VLOOKUP(C1736,IDC!$A$20:$H$1763,8,0),0)</f>
        <v>-4.95</v>
      </c>
      <c r="M1736" s="95">
        <f t="shared" si="58"/>
        <v>825</v>
      </c>
      <c r="O1736" s="1"/>
    </row>
    <row r="1737" spans="1:15" hidden="1">
      <c r="A1737" s="1" t="s">
        <v>1871</v>
      </c>
      <c r="B1737" s="1" t="s">
        <v>15</v>
      </c>
      <c r="C1737" s="71">
        <v>131916575874</v>
      </c>
      <c r="D1737" s="3">
        <v>23188.34</v>
      </c>
      <c r="E1737" s="3">
        <v>11088370.16</v>
      </c>
      <c r="F1737" s="1" t="s">
        <v>3065</v>
      </c>
      <c r="G1737"/>
      <c r="H1737"/>
      <c r="I1737" s="19">
        <f>-IFERROR(VLOOKUP(C1737,SIRCUPA!$A$21:$H$221,8,0),0)</f>
        <v>0</v>
      </c>
      <c r="J1737" s="86">
        <f>-IFERROR(VLOOKUP(C1737,SIRTAC!$A$16:$H$1458,8,0),0)</f>
        <v>-238</v>
      </c>
      <c r="K1737" s="86">
        <f>-IFERROR(VLOOKUP(C1737,Gastos!$A$9:$J$1451,10,0),0)</f>
        <v>-230.86</v>
      </c>
      <c r="L1737" s="86">
        <f>-IFERROR(VLOOKUP(C1737,IDC!$A$20:$H$1763,8,0),0)</f>
        <v>-142.80000000000001</v>
      </c>
      <c r="M1737" s="95">
        <f t="shared" si="58"/>
        <v>23800</v>
      </c>
      <c r="O1737" s="1"/>
    </row>
    <row r="1738" spans="1:15" hidden="1">
      <c r="A1738" s="1" t="s">
        <v>1871</v>
      </c>
      <c r="B1738" s="1" t="s">
        <v>15</v>
      </c>
      <c r="C1738" s="71">
        <v>131320133169</v>
      </c>
      <c r="D1738" s="3">
        <v>40149.75</v>
      </c>
      <c r="E1738" s="3">
        <v>11128519.91</v>
      </c>
      <c r="F1738" s="1" t="s">
        <v>3065</v>
      </c>
      <c r="G1738"/>
      <c r="H1738"/>
      <c r="I1738" s="19">
        <f>-IFERROR(VLOOKUP(C1738,SIRCUPA!$A$21:$H$221,8,0),0)</f>
        <v>0</v>
      </c>
      <c r="J1738" s="86">
        <f>-IFERROR(VLOOKUP(C1738,SIRTAC!$A$16:$H$1458,8,0),0)</f>
        <v>-425</v>
      </c>
      <c r="K1738" s="86">
        <f>-IFERROR(VLOOKUP(C1738,Gastos!$A$9:$J$1451,10,0),0)</f>
        <v>-1670.25</v>
      </c>
      <c r="L1738" s="86">
        <f>-IFERROR(VLOOKUP(C1738,IDC!$A$20:$H$1763,8,0),0)</f>
        <v>-255</v>
      </c>
      <c r="M1738" s="95">
        <f t="shared" si="58"/>
        <v>42500</v>
      </c>
      <c r="O1738" s="1"/>
    </row>
    <row r="1739" spans="1:15" hidden="1">
      <c r="A1739" s="1" t="s">
        <v>1871</v>
      </c>
      <c r="B1739" s="1" t="s">
        <v>15</v>
      </c>
      <c r="C1739" s="71">
        <v>131319977785</v>
      </c>
      <c r="D1739" s="3">
        <v>4676.6400000000003</v>
      </c>
      <c r="E1739" s="3">
        <v>11133196.550000001</v>
      </c>
      <c r="F1739" s="1" t="s">
        <v>3065</v>
      </c>
      <c r="G1739"/>
      <c r="H1739"/>
      <c r="I1739" s="19">
        <f>-IFERROR(VLOOKUP(C1739,SIRCUPA!$A$21:$H$221,8,0),0)</f>
        <v>0</v>
      </c>
      <c r="J1739" s="86">
        <f>-IFERROR(VLOOKUP(C1739,SIRTAC!$A$16:$H$1458,8,0),0)</f>
        <v>-48</v>
      </c>
      <c r="K1739" s="86">
        <f>-IFERROR(VLOOKUP(C1739,Gastos!$A$9:$J$1451,10,0),0)</f>
        <v>-46.56</v>
      </c>
      <c r="L1739" s="86">
        <f>-IFERROR(VLOOKUP(C1739,IDC!$A$20:$H$1763,8,0),0)</f>
        <v>-28.8</v>
      </c>
      <c r="M1739" s="95">
        <f t="shared" si="58"/>
        <v>4800.0000000000009</v>
      </c>
      <c r="O1739" s="1"/>
    </row>
    <row r="1740" spans="1:15" hidden="1">
      <c r="A1740" s="1" t="s">
        <v>1871</v>
      </c>
      <c r="B1740" s="1" t="s">
        <v>174</v>
      </c>
      <c r="C1740" s="71">
        <v>131320260817</v>
      </c>
      <c r="D1740" s="2">
        <v>234.96</v>
      </c>
      <c r="E1740" s="3">
        <v>11133431.51</v>
      </c>
      <c r="F1740" s="1" t="s">
        <v>3065</v>
      </c>
      <c r="G1740"/>
      <c r="H1740"/>
      <c r="I1740" s="19">
        <f>-IFERROR(VLOOKUP(C1740,SIRCUPA!$A$21:$H$221,8,0),0)</f>
        <v>-3.6</v>
      </c>
      <c r="J1740" s="86">
        <f>-IFERROR(VLOOKUP(C1740,SIRTAC!$A$16:$H$1458,8,0),0)</f>
        <v>0</v>
      </c>
      <c r="K1740" s="86">
        <f>-IFERROR(VLOOKUP(C1740,Gastos!$A$9:$J$1451,10,0),0)</f>
        <v>0</v>
      </c>
      <c r="L1740" s="86">
        <f>-IFERROR(VLOOKUP(C1740,IDC!$A$20:$H$1763,8,0),0)</f>
        <v>-1.44</v>
      </c>
      <c r="M1740" s="95">
        <f t="shared" si="58"/>
        <v>240</v>
      </c>
      <c r="O1740" s="1"/>
    </row>
    <row r="1741" spans="1:15" hidden="1">
      <c r="A1741" s="1" t="s">
        <v>1871</v>
      </c>
      <c r="B1741" s="1" t="s">
        <v>15</v>
      </c>
      <c r="C1741" s="71">
        <v>131320310663</v>
      </c>
      <c r="D1741" s="3">
        <v>154913.70000000001</v>
      </c>
      <c r="E1741" s="3">
        <v>11288345.210000001</v>
      </c>
      <c r="F1741" s="1" t="s">
        <v>3065</v>
      </c>
      <c r="G1741"/>
      <c r="H1741"/>
      <c r="I1741" s="19">
        <f>-IFERROR(VLOOKUP(C1741,SIRCUPA!$A$21:$H$221,8,0),0)</f>
        <v>0</v>
      </c>
      <c r="J1741" s="86">
        <f>-IFERROR(VLOOKUP(C1741,SIRTAC!$A$16:$H$1458,8,0),0)</f>
        <v>-1590</v>
      </c>
      <c r="K1741" s="86">
        <f>-IFERROR(VLOOKUP(C1741,Gastos!$A$9:$J$1451,10,0),0)</f>
        <v>-1542.3</v>
      </c>
      <c r="L1741" s="86">
        <f>-IFERROR(VLOOKUP(C1741,IDC!$A$20:$H$1763,8,0),0)</f>
        <v>-954</v>
      </c>
      <c r="M1741" s="95">
        <f t="shared" si="58"/>
        <v>159000</v>
      </c>
      <c r="O1741" s="1"/>
    </row>
    <row r="1742" spans="1:15" hidden="1">
      <c r="A1742" s="1" t="s">
        <v>1871</v>
      </c>
      <c r="B1742" s="1" t="s">
        <v>15</v>
      </c>
      <c r="C1742" s="71">
        <v>131320327125</v>
      </c>
      <c r="D1742" s="3">
        <v>8573.84</v>
      </c>
      <c r="E1742" s="3">
        <v>11296919.050000001</v>
      </c>
      <c r="F1742" s="1" t="s">
        <v>3065</v>
      </c>
      <c r="G1742"/>
      <c r="H1742"/>
      <c r="I1742" s="19">
        <f>-IFERROR(VLOOKUP(C1742,SIRCUPA!$A$21:$H$221,8,0),0)</f>
        <v>0</v>
      </c>
      <c r="J1742" s="86">
        <f>-IFERROR(VLOOKUP(C1742,SIRTAC!$A$16:$H$1458,8,0),0)</f>
        <v>-88</v>
      </c>
      <c r="K1742" s="86">
        <f>-IFERROR(VLOOKUP(C1742,Gastos!$A$9:$J$1451,10,0),0)</f>
        <v>-85.36</v>
      </c>
      <c r="L1742" s="86">
        <f>-IFERROR(VLOOKUP(C1742,IDC!$A$20:$H$1763,8,0),0)</f>
        <v>-52.8</v>
      </c>
      <c r="M1742" s="95">
        <f t="shared" si="58"/>
        <v>8800</v>
      </c>
      <c r="O1742" s="1"/>
    </row>
    <row r="1743" spans="1:15" hidden="1">
      <c r="A1743" s="1" t="s">
        <v>1871</v>
      </c>
      <c r="B1743" s="1" t="s">
        <v>1927</v>
      </c>
      <c r="C1743" s="71">
        <v>131917132592</v>
      </c>
      <c r="D1743" s="2">
        <v>430.76</v>
      </c>
      <c r="E1743" s="3">
        <v>11297349.810000001</v>
      </c>
      <c r="F1743" s="1" t="s">
        <v>3065</v>
      </c>
      <c r="G1743"/>
      <c r="H1743"/>
      <c r="I1743" s="19">
        <f>-IFERROR(VLOOKUP(C1743,SIRCUPA!$A$21:$H$221,8,0),0)</f>
        <v>-6.6</v>
      </c>
      <c r="J1743" s="86">
        <f>-IFERROR(VLOOKUP(C1743,SIRTAC!$A$16:$H$1458,8,0),0)</f>
        <v>0</v>
      </c>
      <c r="K1743" s="86">
        <f>-IFERROR(VLOOKUP(C1743,Gastos!$A$9:$J$1451,10,0),0)</f>
        <v>0</v>
      </c>
      <c r="L1743" s="86">
        <f>-IFERROR(VLOOKUP(C1743,IDC!$A$20:$H$1763,8,0),0)</f>
        <v>-2.64</v>
      </c>
      <c r="M1743" s="95">
        <f t="shared" si="58"/>
        <v>440</v>
      </c>
      <c r="O1743" s="1"/>
    </row>
    <row r="1744" spans="1:15" hidden="1">
      <c r="A1744" s="1" t="s">
        <v>1871</v>
      </c>
      <c r="B1744" s="1" t="s">
        <v>15</v>
      </c>
      <c r="C1744" s="71">
        <v>131917265204</v>
      </c>
      <c r="D1744" s="3">
        <v>26111.24</v>
      </c>
      <c r="E1744" s="3">
        <v>11323461.050000001</v>
      </c>
      <c r="F1744" s="1" t="s">
        <v>3065</v>
      </c>
      <c r="G1744"/>
      <c r="H1744"/>
      <c r="I1744" s="19">
        <f>-IFERROR(VLOOKUP(C1744,SIRCUPA!$A$21:$H$221,8,0),0)</f>
        <v>0</v>
      </c>
      <c r="J1744" s="86">
        <f>-IFERROR(VLOOKUP(C1744,SIRTAC!$A$16:$H$1458,8,0),0)</f>
        <v>-268</v>
      </c>
      <c r="K1744" s="86">
        <f>-IFERROR(VLOOKUP(C1744,Gastos!$A$9:$J$1451,10,0),0)</f>
        <v>-259.95999999999998</v>
      </c>
      <c r="L1744" s="86">
        <f>-IFERROR(VLOOKUP(C1744,IDC!$A$20:$H$1763,8,0),0)</f>
        <v>-160.80000000000001</v>
      </c>
      <c r="M1744" s="95">
        <f t="shared" si="58"/>
        <v>26800</v>
      </c>
      <c r="O1744" s="1"/>
    </row>
    <row r="1745" spans="1:17" hidden="1">
      <c r="A1745" s="1" t="s">
        <v>1871</v>
      </c>
      <c r="B1745" s="1" t="s">
        <v>15</v>
      </c>
      <c r="C1745" s="71">
        <v>131917283282</v>
      </c>
      <c r="D1745" s="3">
        <v>7794.4</v>
      </c>
      <c r="E1745" s="3">
        <v>11331255.449999999</v>
      </c>
      <c r="F1745" s="1" t="s">
        <v>3065</v>
      </c>
      <c r="G1745"/>
      <c r="H1745"/>
      <c r="I1745" s="19">
        <f>-IFERROR(VLOOKUP(C1745,SIRCUPA!$A$21:$H$221,8,0),0)</f>
        <v>0</v>
      </c>
      <c r="J1745" s="86">
        <f>-IFERROR(VLOOKUP(C1745,SIRTAC!$A$16:$H$1458,8,0),0)</f>
        <v>-80</v>
      </c>
      <c r="K1745" s="86">
        <f>-IFERROR(VLOOKUP(C1745,Gastos!$A$9:$J$1451,10,0),0)</f>
        <v>-77.599999999999994</v>
      </c>
      <c r="L1745" s="86">
        <f>-IFERROR(VLOOKUP(C1745,IDC!$A$20:$H$1763,8,0),0)</f>
        <v>-48</v>
      </c>
      <c r="M1745" s="95">
        <f t="shared" si="58"/>
        <v>8000</v>
      </c>
      <c r="O1745" s="1"/>
    </row>
    <row r="1746" spans="1:17" hidden="1">
      <c r="A1746" s="1" t="s">
        <v>1871</v>
      </c>
      <c r="B1746" s="1" t="s">
        <v>1931</v>
      </c>
      <c r="C1746" s="71">
        <v>131320680825</v>
      </c>
      <c r="D1746" s="2">
        <v>391.6</v>
      </c>
      <c r="E1746" s="3">
        <v>11331647.050000001</v>
      </c>
      <c r="F1746" s="1" t="s">
        <v>3065</v>
      </c>
      <c r="G1746"/>
      <c r="H1746"/>
      <c r="I1746" s="19">
        <f>-IFERROR(VLOOKUP(C1746,SIRCUPA!$A$21:$H$221,8,0),0)</f>
        <v>-6</v>
      </c>
      <c r="J1746" s="86">
        <f>-IFERROR(VLOOKUP(C1746,SIRTAC!$A$16:$H$1458,8,0),0)</f>
        <v>0</v>
      </c>
      <c r="K1746" s="86">
        <f>-IFERROR(VLOOKUP(C1746,Gastos!$A$9:$J$1451,10,0),0)</f>
        <v>0</v>
      </c>
      <c r="L1746" s="86">
        <f>-IFERROR(VLOOKUP(C1746,IDC!$A$20:$H$1763,8,0),0)</f>
        <v>-2.4</v>
      </c>
      <c r="M1746" s="95">
        <f t="shared" si="58"/>
        <v>400</v>
      </c>
      <c r="O1746" s="1"/>
    </row>
    <row r="1747" spans="1:17" hidden="1">
      <c r="A1747" s="1" t="s">
        <v>1871</v>
      </c>
      <c r="B1747" s="1" t="s">
        <v>15</v>
      </c>
      <c r="C1747" s="71">
        <v>131320695005</v>
      </c>
      <c r="D1747" s="3">
        <v>22311.47</v>
      </c>
      <c r="E1747" s="3">
        <v>11353958.52</v>
      </c>
      <c r="F1747" s="1" t="s">
        <v>3065</v>
      </c>
      <c r="G1747"/>
      <c r="H1747"/>
      <c r="I1747" s="19">
        <f>-IFERROR(VLOOKUP(C1747,SIRCUPA!$A$21:$H$221,8,0),0)</f>
        <v>0</v>
      </c>
      <c r="J1747" s="86">
        <f>-IFERROR(VLOOKUP(C1747,SIRTAC!$A$16:$H$1458,8,0),0)</f>
        <v>-229</v>
      </c>
      <c r="K1747" s="86">
        <f>-IFERROR(VLOOKUP(C1747,Gastos!$A$9:$J$1451,10,0),0)</f>
        <v>-222.13</v>
      </c>
      <c r="L1747" s="86">
        <f>-IFERROR(VLOOKUP(C1747,IDC!$A$20:$H$1763,8,0),0)</f>
        <v>-137.4</v>
      </c>
      <c r="M1747" s="95">
        <f t="shared" si="58"/>
        <v>22900.000000000004</v>
      </c>
      <c r="O1747" s="1"/>
    </row>
    <row r="1748" spans="1:17" hidden="1">
      <c r="A1748" s="1" t="s">
        <v>1871</v>
      </c>
      <c r="B1748" s="1" t="s">
        <v>15</v>
      </c>
      <c r="C1748" s="71">
        <v>131320643815</v>
      </c>
      <c r="D1748" s="3">
        <v>44038.36</v>
      </c>
      <c r="E1748" s="3">
        <v>11397996.880000001</v>
      </c>
      <c r="F1748" s="1" t="s">
        <v>3065</v>
      </c>
      <c r="G1748"/>
      <c r="H1748"/>
      <c r="I1748" s="19">
        <f>-IFERROR(VLOOKUP(C1748,SIRCUPA!$A$21:$H$221,8,0),0)</f>
        <v>0</v>
      </c>
      <c r="J1748" s="86">
        <f>-IFERROR(VLOOKUP(C1748,SIRTAC!$A$16:$H$1458,8,0),0)</f>
        <v>-452</v>
      </c>
      <c r="K1748" s="86">
        <f>-IFERROR(VLOOKUP(C1748,Gastos!$A$9:$J$1451,10,0),0)</f>
        <v>-438.44</v>
      </c>
      <c r="L1748" s="86">
        <f>-IFERROR(VLOOKUP(C1748,IDC!$A$20:$H$1763,8,0),0)</f>
        <v>-271.2</v>
      </c>
      <c r="M1748" s="95">
        <f t="shared" si="58"/>
        <v>45200</v>
      </c>
      <c r="O1748" s="1"/>
    </row>
    <row r="1749" spans="1:17" hidden="1">
      <c r="A1749" s="1" t="s">
        <v>1871</v>
      </c>
      <c r="B1749" s="1" t="s">
        <v>15</v>
      </c>
      <c r="C1749" s="71">
        <v>131320786849</v>
      </c>
      <c r="D1749" s="3">
        <v>9069.1200000000008</v>
      </c>
      <c r="E1749" s="3">
        <v>11407066</v>
      </c>
      <c r="F1749" s="1" t="s">
        <v>3065</v>
      </c>
      <c r="G1749"/>
      <c r="H1749"/>
      <c r="I1749" s="19">
        <f>-IFERROR(VLOOKUP(C1749,SIRCUPA!$A$21:$H$221,8,0),0)</f>
        <v>0</v>
      </c>
      <c r="J1749" s="86">
        <f>-IFERROR(VLOOKUP(C1749,SIRTAC!$A$16:$H$1458,8,0),0)</f>
        <v>-96</v>
      </c>
      <c r="K1749" s="86">
        <f>-IFERROR(VLOOKUP(C1749,Gastos!$A$9:$J$1451,10,0),0)</f>
        <v>-377.28</v>
      </c>
      <c r="L1749" s="86">
        <f>-IFERROR(VLOOKUP(C1749,IDC!$A$20:$H$1763,8,0),0)</f>
        <v>-57.6</v>
      </c>
      <c r="M1749" s="95">
        <f t="shared" si="58"/>
        <v>9600.0000000000018</v>
      </c>
      <c r="O1749" s="1"/>
    </row>
    <row r="1750" spans="1:17" hidden="1">
      <c r="A1750" s="1" t="s">
        <v>1871</v>
      </c>
      <c r="B1750" s="1" t="s">
        <v>15</v>
      </c>
      <c r="C1750" s="71">
        <v>131917566708</v>
      </c>
      <c r="D1750" s="3">
        <v>4534.5600000000004</v>
      </c>
      <c r="E1750" s="3">
        <v>11411600.560000001</v>
      </c>
      <c r="F1750" s="1" t="s">
        <v>3065</v>
      </c>
      <c r="G1750"/>
      <c r="H1750"/>
      <c r="I1750" s="19">
        <f>-IFERROR(VLOOKUP(C1750,SIRCUPA!$A$21:$H$221,8,0),0)</f>
        <v>0</v>
      </c>
      <c r="J1750" s="86">
        <f>-IFERROR(VLOOKUP(C1750,SIRTAC!$A$16:$H$1458,8,0),0)</f>
        <v>-48</v>
      </c>
      <c r="K1750" s="86">
        <f>-IFERROR(VLOOKUP(C1750,Gastos!$A$9:$J$1451,10,0),0)</f>
        <v>-188.64</v>
      </c>
      <c r="L1750" s="86">
        <f>-IFERROR(VLOOKUP(C1750,IDC!$A$20:$H$1763,8,0),0)</f>
        <v>-28.8</v>
      </c>
      <c r="M1750" s="95">
        <f t="shared" si="58"/>
        <v>4800.0000000000009</v>
      </c>
      <c r="O1750" s="1"/>
    </row>
    <row r="1751" spans="1:17" hidden="1">
      <c r="A1751" s="1" t="s">
        <v>1871</v>
      </c>
      <c r="B1751" s="1" t="s">
        <v>15</v>
      </c>
      <c r="C1751" s="71">
        <v>131917577150</v>
      </c>
      <c r="D1751" s="3">
        <v>4092.06</v>
      </c>
      <c r="E1751" s="3">
        <v>11415692.619999999</v>
      </c>
      <c r="F1751" s="1" t="s">
        <v>3065</v>
      </c>
      <c r="G1751"/>
      <c r="H1751"/>
      <c r="I1751" s="19">
        <f>-IFERROR(VLOOKUP(C1751,SIRCUPA!$A$21:$H$221,8,0),0)</f>
        <v>0</v>
      </c>
      <c r="J1751" s="86">
        <f>-IFERROR(VLOOKUP(C1751,SIRTAC!$A$16:$H$1458,8,0),0)</f>
        <v>-42</v>
      </c>
      <c r="K1751" s="86">
        <f>-IFERROR(VLOOKUP(C1751,Gastos!$A$9:$J$1451,10,0),0)</f>
        <v>-40.74</v>
      </c>
      <c r="L1751" s="86">
        <f>-IFERROR(VLOOKUP(C1751,IDC!$A$20:$H$1763,8,0),0)</f>
        <v>-25.2</v>
      </c>
      <c r="M1751" s="95">
        <f t="shared" si="58"/>
        <v>4199.9999999999991</v>
      </c>
      <c r="O1751" s="1"/>
    </row>
    <row r="1752" spans="1:17" hidden="1">
      <c r="A1752" s="1" t="s">
        <v>1871</v>
      </c>
      <c r="B1752" s="1" t="s">
        <v>1938</v>
      </c>
      <c r="C1752" s="71">
        <v>131917606846</v>
      </c>
      <c r="D1752" s="2">
        <v>616.77</v>
      </c>
      <c r="E1752" s="3">
        <v>11416309.390000001</v>
      </c>
      <c r="F1752" s="1" t="s">
        <v>3065</v>
      </c>
      <c r="G1752"/>
      <c r="H1752"/>
      <c r="I1752" s="19">
        <f>-IFERROR(VLOOKUP(C1752,SIRCUPA!$A$21:$H$221,8,0),0)</f>
        <v>-9.4499999999999993</v>
      </c>
      <c r="J1752" s="86">
        <f>-IFERROR(VLOOKUP(C1752,SIRTAC!$A$16:$H$1458,8,0),0)</f>
        <v>0</v>
      </c>
      <c r="K1752" s="86">
        <f>-IFERROR(VLOOKUP(C1752,Gastos!$A$9:$J$1451,10,0),0)</f>
        <v>0</v>
      </c>
      <c r="L1752" s="86">
        <f>-IFERROR(VLOOKUP(C1752,IDC!$A$20:$H$1763,8,0),0)</f>
        <v>-3.78</v>
      </c>
      <c r="M1752" s="95">
        <f t="shared" si="58"/>
        <v>630</v>
      </c>
      <c r="O1752" s="1"/>
    </row>
    <row r="1753" spans="1:17" hidden="1">
      <c r="A1753" s="1" t="s">
        <v>1871</v>
      </c>
      <c r="B1753" s="1" t="s">
        <v>15</v>
      </c>
      <c r="C1753" s="71">
        <v>131320829761</v>
      </c>
      <c r="D1753" s="3">
        <v>13835.06</v>
      </c>
      <c r="E1753" s="3">
        <v>11430144.449999999</v>
      </c>
      <c r="F1753" s="1" t="s">
        <v>3065</v>
      </c>
      <c r="G1753"/>
      <c r="H1753"/>
      <c r="I1753" s="19">
        <f>-IFERROR(VLOOKUP(C1753,SIRCUPA!$A$21:$H$221,8,0),0)</f>
        <v>0</v>
      </c>
      <c r="J1753" s="86">
        <f>-IFERROR(VLOOKUP(C1753,SIRTAC!$A$16:$H$1458,8,0),0)</f>
        <v>-142</v>
      </c>
      <c r="K1753" s="86">
        <f>-IFERROR(VLOOKUP(C1753,Gastos!$A$9:$J$1451,10,0),0)</f>
        <v>-137.74</v>
      </c>
      <c r="L1753" s="86">
        <f>-IFERROR(VLOOKUP(C1753,IDC!$A$20:$H$1763,8,0),0)</f>
        <v>-85.2</v>
      </c>
      <c r="M1753" s="95">
        <f t="shared" si="58"/>
        <v>14200</v>
      </c>
      <c r="O1753" s="1"/>
    </row>
    <row r="1754" spans="1:17" hidden="1">
      <c r="A1754" s="1" t="s">
        <v>1871</v>
      </c>
      <c r="B1754" s="1" t="s">
        <v>15</v>
      </c>
      <c r="C1754" s="71">
        <v>131917714840</v>
      </c>
      <c r="D1754" s="3">
        <v>24162.639999999999</v>
      </c>
      <c r="E1754" s="3">
        <v>11454307.09</v>
      </c>
      <c r="F1754" s="1" t="s">
        <v>3065</v>
      </c>
      <c r="G1754"/>
      <c r="H1754"/>
      <c r="I1754" s="19">
        <f>-IFERROR(VLOOKUP(C1754,SIRCUPA!$A$21:$H$221,8,0),0)</f>
        <v>0</v>
      </c>
      <c r="J1754" s="86">
        <f>-IFERROR(VLOOKUP(C1754,SIRTAC!$A$16:$H$1458,8,0),0)</f>
        <v>-248</v>
      </c>
      <c r="K1754" s="86">
        <f>-IFERROR(VLOOKUP(C1754,Gastos!$A$9:$J$1451,10,0),0)</f>
        <v>-240.56</v>
      </c>
      <c r="L1754" s="86">
        <f>-IFERROR(VLOOKUP(C1754,IDC!$A$20:$H$1763,8,0),0)</f>
        <v>-148.80000000000001</v>
      </c>
      <c r="M1754" s="95">
        <f t="shared" si="58"/>
        <v>24800</v>
      </c>
      <c r="O1754" s="1"/>
    </row>
    <row r="1755" spans="1:17" hidden="1">
      <c r="A1755" s="1" t="s">
        <v>1871</v>
      </c>
      <c r="B1755" s="1" t="s">
        <v>15</v>
      </c>
      <c r="C1755" s="71">
        <v>131917669410</v>
      </c>
      <c r="D1755" s="3">
        <v>4481.78</v>
      </c>
      <c r="E1755" s="3">
        <v>11458788.869999999</v>
      </c>
      <c r="F1755" s="1" t="s">
        <v>3065</v>
      </c>
      <c r="G1755"/>
      <c r="H1755"/>
      <c r="I1755" s="19">
        <f>-IFERROR(VLOOKUP(C1755,SIRCUPA!$A$21:$H$221,8,0),0)</f>
        <v>0</v>
      </c>
      <c r="J1755" s="86">
        <f>-IFERROR(VLOOKUP(C1755,SIRTAC!$A$16:$H$1458,8,0),0)</f>
        <v>-46</v>
      </c>
      <c r="K1755" s="86">
        <f>-IFERROR(VLOOKUP(C1755,Gastos!$A$9:$J$1451,10,0),0)</f>
        <v>-44.62</v>
      </c>
      <c r="L1755" s="86">
        <f>-IFERROR(VLOOKUP(C1755,IDC!$A$20:$H$1763,8,0),0)</f>
        <v>-27.6</v>
      </c>
      <c r="M1755" s="95">
        <f t="shared" si="58"/>
        <v>4600</v>
      </c>
      <c r="O1755" s="1"/>
    </row>
    <row r="1756" spans="1:17" hidden="1">
      <c r="A1756" s="1" t="s">
        <v>1871</v>
      </c>
      <c r="B1756" s="1" t="s">
        <v>15</v>
      </c>
      <c r="C1756" s="71">
        <v>131321198139</v>
      </c>
      <c r="D1756" s="3">
        <v>4676.6400000000003</v>
      </c>
      <c r="E1756" s="3">
        <v>11463465.51</v>
      </c>
      <c r="F1756" s="1" t="s">
        <v>3065</v>
      </c>
      <c r="G1756"/>
      <c r="H1756"/>
      <c r="I1756" s="19">
        <f>-IFERROR(VLOOKUP(C1756,SIRCUPA!$A$21:$H$221,8,0),0)</f>
        <v>0</v>
      </c>
      <c r="J1756" s="86">
        <f>-IFERROR(VLOOKUP(C1756,SIRTAC!$A$16:$H$1458,8,0),0)</f>
        <v>-48</v>
      </c>
      <c r="K1756" s="86">
        <f>-IFERROR(VLOOKUP(C1756,Gastos!$A$9:$J$1451,10,0),0)</f>
        <v>-46.56</v>
      </c>
      <c r="L1756" s="86">
        <f>-IFERROR(VLOOKUP(C1756,IDC!$A$20:$H$1763,8,0),0)</f>
        <v>-28.8</v>
      </c>
      <c r="M1756" s="95">
        <f t="shared" si="58"/>
        <v>4800.0000000000009</v>
      </c>
      <c r="O1756" s="1"/>
    </row>
    <row r="1757" spans="1:17" hidden="1">
      <c r="A1757" s="1" t="s">
        <v>1871</v>
      </c>
      <c r="B1757" s="1" t="s">
        <v>15</v>
      </c>
      <c r="C1757" s="71">
        <v>131918000406</v>
      </c>
      <c r="D1757" s="3">
        <v>25331.8</v>
      </c>
      <c r="E1757" s="3">
        <v>11488797.310000001</v>
      </c>
      <c r="F1757" s="1" t="s">
        <v>3065</v>
      </c>
      <c r="G1757"/>
      <c r="H1757"/>
      <c r="I1757" s="19">
        <f>-IFERROR(VLOOKUP(C1757,SIRCUPA!$A$21:$H$221,8,0),0)</f>
        <v>0</v>
      </c>
      <c r="J1757" s="86">
        <f>-IFERROR(VLOOKUP(C1757,SIRTAC!$A$16:$H$1458,8,0),0)</f>
        <v>-260</v>
      </c>
      <c r="K1757" s="86">
        <f>-IFERROR(VLOOKUP(C1757,Gastos!$A$9:$J$1451,10,0),0)</f>
        <v>-252.2</v>
      </c>
      <c r="L1757" s="86">
        <f>-IFERROR(VLOOKUP(C1757,IDC!$A$20:$H$1763,8,0),0)</f>
        <v>-156</v>
      </c>
      <c r="M1757" s="95">
        <f t="shared" si="58"/>
        <v>26000</v>
      </c>
      <c r="O1757" s="1"/>
    </row>
    <row r="1758" spans="1:17" s="67" customFormat="1" hidden="1">
      <c r="A1758" s="67" t="s">
        <v>1742</v>
      </c>
      <c r="B1758" s="67" t="s">
        <v>51</v>
      </c>
      <c r="C1758" s="75">
        <v>131465299312</v>
      </c>
      <c r="D1758" s="70">
        <v>-829.19</v>
      </c>
      <c r="E1758" s="3">
        <v>15482230.550000001</v>
      </c>
      <c r="F1758" s="67" t="s">
        <v>3062</v>
      </c>
      <c r="G1758" s="69">
        <f>+D1758/0.006</f>
        <v>-138198.33333333334</v>
      </c>
      <c r="H1758" s="69"/>
      <c r="I1758" s="69">
        <f>-IFERROR(VLOOKUP(C1758,SIRCUPA!$A$21:$H$221,8,0),0)</f>
        <v>0</v>
      </c>
      <c r="J1758" s="69">
        <f>-IFERROR(VLOOKUP(C1758,SIRTAC!$A$16:$H$1458,8,0),0)</f>
        <v>0</v>
      </c>
      <c r="K1758" s="69">
        <f>-IFERROR(VLOOKUP(C1758,Gastos!$A$9:$J$1451,10,0),0)</f>
        <v>0</v>
      </c>
      <c r="L1758" s="69"/>
      <c r="M1758" s="96">
        <f>+D1758</f>
        <v>-829.19</v>
      </c>
      <c r="P1758" s="19"/>
      <c r="Q1758" s="19"/>
    </row>
    <row r="1759" spans="1:17" s="67" customFormat="1" hidden="1">
      <c r="A1759" s="67" t="s">
        <v>1742</v>
      </c>
      <c r="B1759" s="67" t="s">
        <v>1609</v>
      </c>
      <c r="C1759" s="75">
        <v>131465299312</v>
      </c>
      <c r="D1759" s="68">
        <v>-138198.41</v>
      </c>
      <c r="E1759" s="3">
        <v>15483059.74</v>
      </c>
      <c r="F1759" s="67" t="s">
        <v>3066</v>
      </c>
      <c r="G1759" s="69">
        <f>+D1759/1.006</f>
        <v>-137374.16500994036</v>
      </c>
      <c r="H1759" s="69">
        <f>+D1759-G1759</f>
        <v>-824.24499005964026</v>
      </c>
      <c r="I1759" s="69">
        <f>-IFERROR(VLOOKUP(C1759,SIRCUPA!$A$21:$H$221,8,0),0)</f>
        <v>0</v>
      </c>
      <c r="J1759" s="69">
        <f>-IFERROR(VLOOKUP(C1759,SIRTAC!$A$16:$H$1458,8,0),0)</f>
        <v>0</v>
      </c>
      <c r="K1759" s="69">
        <f>-IFERROR(VLOOKUP(C1759,Gastos!$A$9:$J$1451,10,0),0)</f>
        <v>0</v>
      </c>
      <c r="L1759" s="69">
        <f>-IFERROR(VLOOKUP(C1759,IDC!$A$20:$H$1763,8,0),0)</f>
        <v>-829.19</v>
      </c>
      <c r="M1759" s="96">
        <f>+D1759</f>
        <v>-138198.41</v>
      </c>
      <c r="P1759" s="19"/>
      <c r="Q1759" s="19"/>
    </row>
    <row r="1760" spans="1:17" hidden="1">
      <c r="A1760" s="1" t="s">
        <v>1764</v>
      </c>
      <c r="B1760" s="1" t="s">
        <v>566</v>
      </c>
      <c r="C1760" s="71">
        <v>131604351324</v>
      </c>
      <c r="D1760" s="3">
        <v>-728344</v>
      </c>
      <c r="E1760" s="3">
        <v>13862570.550000001</v>
      </c>
      <c r="F1760" s="1" t="s">
        <v>3069</v>
      </c>
      <c r="G1760" s="19">
        <f>+D1760/1.006</f>
        <v>-724000</v>
      </c>
      <c r="H1760" s="19">
        <f>+D1760-G1760</f>
        <v>-4344</v>
      </c>
      <c r="I1760" s="19">
        <f>-IFERROR(VLOOKUP(C1760,SIRCUPA!$A$21:$H$221,8,0),0)</f>
        <v>0</v>
      </c>
      <c r="J1760" s="86">
        <f>-IFERROR(VLOOKUP(C1760,SIRTAC!$A$16:$H$1458,8,0),0)</f>
        <v>0</v>
      </c>
      <c r="K1760" s="86">
        <f>-IFERROR(VLOOKUP(C1760,Gastos!$A$9:$J$1451,10,0),0)</f>
        <v>0</v>
      </c>
      <c r="L1760" s="86">
        <f>+D1760-G1760</f>
        <v>-4344</v>
      </c>
      <c r="M1760" s="94">
        <f>+D1760-I1760-J1760-K1760-L1760</f>
        <v>-724000</v>
      </c>
      <c r="O1760" s="1"/>
    </row>
    <row r="1761" spans="1:17" hidden="1">
      <c r="A1761" s="1" t="s">
        <v>1768</v>
      </c>
      <c r="B1761" s="1" t="s">
        <v>1388</v>
      </c>
      <c r="C1761" s="71">
        <v>131709692626</v>
      </c>
      <c r="D1761" s="3">
        <v>-123536.8</v>
      </c>
      <c r="E1761" s="3">
        <v>12039900.76</v>
      </c>
      <c r="F1761" s="1" t="s">
        <v>3066</v>
      </c>
      <c r="G1761" s="19">
        <f>+D1761/1.006</f>
        <v>-122800</v>
      </c>
      <c r="H1761" s="19">
        <f>+D1761-G1761</f>
        <v>-736.80000000000291</v>
      </c>
      <c r="I1761" s="19">
        <f>-IFERROR(VLOOKUP(C1761,SIRCUPA!$A$21:$H$221,8,0),0)</f>
        <v>0</v>
      </c>
      <c r="J1761" s="86">
        <f>-IFERROR(VLOOKUP(C1761,SIRTAC!$A$16:$H$1458,8,0),0)</f>
        <v>0</v>
      </c>
      <c r="K1761" s="86">
        <f>-IFERROR(VLOOKUP(C1761,Gastos!$A$9:$J$1451,10,0),0)</f>
        <v>0</v>
      </c>
      <c r="L1761" s="86">
        <f>+D1761-G1761</f>
        <v>-736.80000000000291</v>
      </c>
      <c r="M1761" s="94">
        <f t="shared" ref="M1761:M1762" si="59">+D1761-I1761-J1761-K1761-L1761</f>
        <v>-122800</v>
      </c>
      <c r="O1761" s="1"/>
    </row>
    <row r="1762" spans="1:17" hidden="1">
      <c r="A1762" s="1" t="s">
        <v>1768</v>
      </c>
      <c r="B1762" s="1" t="s">
        <v>564</v>
      </c>
      <c r="C1762" s="71">
        <v>131710063412</v>
      </c>
      <c r="D1762" s="3">
        <v>-127570.86</v>
      </c>
      <c r="E1762" s="3">
        <v>11912329.9</v>
      </c>
      <c r="F1762" s="1" t="s">
        <v>3066</v>
      </c>
      <c r="G1762" s="19">
        <f>+D1762/1.006</f>
        <v>-126810</v>
      </c>
      <c r="H1762" s="19">
        <f>+D1762-G1762</f>
        <v>-760.86000000000058</v>
      </c>
      <c r="I1762" s="19">
        <f>-IFERROR(VLOOKUP(C1762,SIRCUPA!$A$21:$H$221,8,0),0)</f>
        <v>0</v>
      </c>
      <c r="J1762" s="86">
        <f>-IFERROR(VLOOKUP(C1762,SIRTAC!$A$16:$H$1458,8,0),0)</f>
        <v>0</v>
      </c>
      <c r="K1762" s="86">
        <f>-IFERROR(VLOOKUP(C1762,Gastos!$A$9:$J$1451,10,0),0)</f>
        <v>0</v>
      </c>
      <c r="L1762" s="86">
        <f>+D1762-G1762</f>
        <v>-760.86000000000058</v>
      </c>
      <c r="M1762" s="94">
        <f t="shared" si="59"/>
        <v>-126810</v>
      </c>
      <c r="O1762" s="1"/>
    </row>
    <row r="1763" spans="1:17" s="67" customFormat="1" hidden="1">
      <c r="A1763" s="67" t="s">
        <v>1793</v>
      </c>
      <c r="B1763" s="67" t="s">
        <v>51</v>
      </c>
      <c r="C1763" s="75">
        <v>131814061112</v>
      </c>
      <c r="D1763" s="68">
        <v>-6211.37</v>
      </c>
      <c r="E1763" s="3">
        <v>11148418.210000001</v>
      </c>
      <c r="F1763" s="67" t="s">
        <v>3062</v>
      </c>
      <c r="G1763" s="69">
        <f>+D1763/0.006</f>
        <v>-1035228.3333333333</v>
      </c>
      <c r="H1763" s="69"/>
      <c r="I1763" s="69">
        <f>-IFERROR(VLOOKUP(C1763,SIRCUPA!$A$21:$H$221,8,0),0)</f>
        <v>0</v>
      </c>
      <c r="J1763" s="69">
        <f>-IFERROR(VLOOKUP(C1763,SIRTAC!$A$16:$H$1458,8,0),0)</f>
        <v>0</v>
      </c>
      <c r="K1763" s="69">
        <f>-IFERROR(VLOOKUP(C1763,Gastos!$A$9:$J$1451,10,0),0)</f>
        <v>0</v>
      </c>
      <c r="L1763" s="69"/>
      <c r="M1763" s="96">
        <f>+D1763</f>
        <v>-6211.37</v>
      </c>
      <c r="P1763" s="19"/>
      <c r="Q1763" s="19"/>
    </row>
    <row r="1764" spans="1:17" s="67" customFormat="1" hidden="1">
      <c r="A1764" s="67" t="s">
        <v>1793</v>
      </c>
      <c r="B1764" s="67" t="s">
        <v>471</v>
      </c>
      <c r="C1764" s="75">
        <v>131814061112</v>
      </c>
      <c r="D1764" s="68">
        <v>-1035227.6</v>
      </c>
      <c r="E1764" s="3">
        <v>11154629.58</v>
      </c>
      <c r="F1764" s="67" t="s">
        <v>3066</v>
      </c>
      <c r="G1764" s="69">
        <f>+D1764/1.006</f>
        <v>-1029053.2803180914</v>
      </c>
      <c r="H1764" s="69">
        <f>+D1764-G1764</f>
        <v>-6174.3196819085861</v>
      </c>
      <c r="I1764" s="69">
        <f>-IFERROR(VLOOKUP(C1764,SIRCUPA!$A$21:$H$221,8,0),0)</f>
        <v>0</v>
      </c>
      <c r="J1764" s="69">
        <f>-IFERROR(VLOOKUP(C1764,SIRTAC!$A$16:$H$1458,8,0),0)</f>
        <v>0</v>
      </c>
      <c r="K1764" s="69">
        <f>-IFERROR(VLOOKUP(C1764,Gastos!$A$9:$J$1451,10,0),0)</f>
        <v>0</v>
      </c>
      <c r="L1764" s="69">
        <f>-IFERROR(VLOOKUP(C1764,IDC!$A$20:$H$1763,8,0),0)</f>
        <v>-6211.37</v>
      </c>
      <c r="M1764" s="96">
        <f>+D1764</f>
        <v>-1035227.6</v>
      </c>
      <c r="P1764" s="19"/>
      <c r="Q1764" s="19"/>
    </row>
    <row r="1765" spans="1:17" s="67" customFormat="1" hidden="1">
      <c r="A1765" s="67" t="s">
        <v>1793</v>
      </c>
      <c r="B1765" s="67" t="s">
        <v>51</v>
      </c>
      <c r="C1765" s="75">
        <v>131845873060</v>
      </c>
      <c r="D1765" s="68">
        <v>-7208.4</v>
      </c>
      <c r="E1765" s="3">
        <v>9939809.8100000005</v>
      </c>
      <c r="F1765" s="67" t="s">
        <v>3062</v>
      </c>
      <c r="G1765" s="69">
        <f>+D1765/0.006</f>
        <v>-1201400</v>
      </c>
      <c r="H1765" s="69"/>
      <c r="I1765" s="69">
        <f>-IFERROR(VLOOKUP(C1765,SIRCUPA!$A$21:$H$221,8,0),0)</f>
        <v>0</v>
      </c>
      <c r="J1765" s="69">
        <f>-IFERROR(VLOOKUP(C1765,SIRTAC!$A$16:$H$1458,8,0),0)</f>
        <v>0</v>
      </c>
      <c r="K1765" s="69">
        <f>-IFERROR(VLOOKUP(C1765,Gastos!$A$9:$J$1451,10,0),0)</f>
        <v>0</v>
      </c>
      <c r="L1765" s="69"/>
      <c r="M1765" s="96">
        <f>+D1765</f>
        <v>-7208.4</v>
      </c>
      <c r="P1765" s="19"/>
      <c r="Q1765" s="19"/>
    </row>
    <row r="1766" spans="1:17" s="67" customFormat="1" hidden="1">
      <c r="A1766" s="67" t="s">
        <v>1793</v>
      </c>
      <c r="B1766" s="67" t="s">
        <v>1799</v>
      </c>
      <c r="C1766" s="75">
        <v>131845873060</v>
      </c>
      <c r="D1766" s="68">
        <v>-1201400</v>
      </c>
      <c r="E1766" s="3">
        <v>9947018.2100000009</v>
      </c>
      <c r="F1766" s="67" t="s">
        <v>3066</v>
      </c>
      <c r="G1766" s="69">
        <f>+D1766/1.006</f>
        <v>-1194234.5924453281</v>
      </c>
      <c r="H1766" s="69">
        <f>+D1766-G1766</f>
        <v>-7165.4075546718668</v>
      </c>
      <c r="I1766" s="69">
        <f>-IFERROR(VLOOKUP(C1766,SIRCUPA!$A$21:$H$221,8,0),0)</f>
        <v>0</v>
      </c>
      <c r="J1766" s="69">
        <f>-IFERROR(VLOOKUP(C1766,SIRTAC!$A$16:$H$1458,8,0),0)</f>
        <v>0</v>
      </c>
      <c r="K1766" s="69">
        <f>-IFERROR(VLOOKUP(C1766,Gastos!$A$9:$J$1451,10,0),0)</f>
        <v>0</v>
      </c>
      <c r="L1766" s="69">
        <f>-IFERROR(VLOOKUP(C1766,IDC!$A$20:$H$1763,8,0),0)</f>
        <v>-7208.4</v>
      </c>
      <c r="M1766" s="96">
        <f>+D1766</f>
        <v>-1201400</v>
      </c>
      <c r="P1766" s="19"/>
      <c r="Q1766" s="19"/>
    </row>
    <row r="1767" spans="1:17" hidden="1">
      <c r="A1767" s="1" t="s">
        <v>1871</v>
      </c>
      <c r="B1767" s="1" t="s">
        <v>475</v>
      </c>
      <c r="C1767" s="71">
        <v>131958297698</v>
      </c>
      <c r="D1767" s="3">
        <v>-45068.82</v>
      </c>
      <c r="E1767" s="3">
        <v>11443728.49</v>
      </c>
      <c r="F1767" s="1" t="s">
        <v>3066</v>
      </c>
      <c r="G1767" s="19">
        <f>+D1767/1.006</f>
        <v>-44800.019880715707</v>
      </c>
      <c r="H1767" s="19">
        <f>+D1767-G1767</f>
        <v>-268.80011928429303</v>
      </c>
      <c r="I1767" s="19">
        <f>-IFERROR(VLOOKUP(C1767,SIRCUPA!$A$21:$H$221,8,0),0)</f>
        <v>0</v>
      </c>
      <c r="J1767" s="86">
        <f>-IFERROR(VLOOKUP(C1767,SIRTAC!$A$16:$H$1458,8,0),0)</f>
        <v>0</v>
      </c>
      <c r="K1767" s="86">
        <f>-IFERROR(VLOOKUP(C1767,Gastos!$A$9:$J$1451,10,0),0)</f>
        <v>0</v>
      </c>
      <c r="L1767" s="86">
        <f>+D1767-G1767</f>
        <v>-268.80011928429303</v>
      </c>
      <c r="M1767" s="94">
        <f>+D1767-I1767-J1767-K1767-L1767</f>
        <v>-44800.019880715707</v>
      </c>
      <c r="O1767" s="1" t="s">
        <v>2011</v>
      </c>
    </row>
    <row r="1768" spans="1:17" hidden="1">
      <c r="A1768" s="1" t="s">
        <v>1871</v>
      </c>
      <c r="B1768" s="1" t="s">
        <v>1949</v>
      </c>
      <c r="C1768" s="71">
        <v>131969974252</v>
      </c>
      <c r="D1768" s="3">
        <v>-116897.2</v>
      </c>
      <c r="E1768" s="3">
        <v>10887330.189999999</v>
      </c>
      <c r="F1768" s="1" t="s">
        <v>3066</v>
      </c>
      <c r="G1768" s="19">
        <f>+D1768/1.006</f>
        <v>-116200</v>
      </c>
      <c r="H1768" s="19">
        <f>+D1768-G1768</f>
        <v>-697.19999999999709</v>
      </c>
      <c r="I1768" s="19">
        <f>-IFERROR(VLOOKUP(C1768,SIRCUPA!$A$21:$H$221,8,0),0)</f>
        <v>0</v>
      </c>
      <c r="J1768" s="86">
        <f>-IFERROR(VLOOKUP(C1768,SIRTAC!$A$16:$H$1458,8,0),0)</f>
        <v>0</v>
      </c>
      <c r="K1768" s="86">
        <f>-IFERROR(VLOOKUP(C1768,Gastos!$A$9:$J$1451,10,0),0)</f>
        <v>0</v>
      </c>
      <c r="L1768" s="86">
        <f>+D1768-G1768</f>
        <v>-697.19999999999709</v>
      </c>
      <c r="M1768" s="94">
        <f>+D1768-I1768-J1768-K1768-L1768</f>
        <v>-116200</v>
      </c>
      <c r="O1768" s="1"/>
    </row>
    <row r="1769" spans="1:17" hidden="1">
      <c r="A1769" s="1" t="s">
        <v>1871</v>
      </c>
      <c r="B1769" s="1" t="s">
        <v>15</v>
      </c>
      <c r="C1769" s="71">
        <v>131426444169</v>
      </c>
      <c r="D1769" s="3">
        <v>9353.2800000000007</v>
      </c>
      <c r="E1769" s="3">
        <v>9722027.5700000003</v>
      </c>
      <c r="F1769" s="1" t="s">
        <v>3065</v>
      </c>
      <c r="G1769"/>
      <c r="H1769"/>
      <c r="I1769" s="19">
        <f>-IFERROR(VLOOKUP(C1769,SIRCUPA!$A$21:$H$221,8,0),0)</f>
        <v>0</v>
      </c>
      <c r="J1769" s="86">
        <f>-IFERROR(VLOOKUP(C1769,SIRTAC!$A$16:$H$1458,8,0),0)</f>
        <v>-96</v>
      </c>
      <c r="K1769" s="86">
        <f>-IFERROR(VLOOKUP(C1769,Gastos!$A$9:$J$1451,10,0),0)</f>
        <v>-93.12</v>
      </c>
      <c r="L1769" s="86">
        <f>-IFERROR(VLOOKUP(C1769,IDC!$A$20:$H$1763,8,0),0)</f>
        <v>-57.6</v>
      </c>
      <c r="M1769" s="95">
        <f>+D1769-I1769-J1769-K1769-L1769</f>
        <v>9600.0000000000018</v>
      </c>
      <c r="O1769" s="1"/>
    </row>
    <row r="1770" spans="1:17" hidden="1">
      <c r="A1770" s="1" t="s">
        <v>1871</v>
      </c>
      <c r="B1770" s="1" t="s">
        <v>1955</v>
      </c>
      <c r="C1770" s="71">
        <v>131426410673</v>
      </c>
      <c r="D1770" s="2">
        <v>469.92</v>
      </c>
      <c r="E1770" s="3">
        <v>9722497.4900000002</v>
      </c>
      <c r="F1770" s="1" t="s">
        <v>3065</v>
      </c>
      <c r="G1770"/>
      <c r="H1770"/>
      <c r="I1770" s="19">
        <f>-IFERROR(VLOOKUP(C1770,SIRCUPA!$A$21:$H$221,8,0),0)</f>
        <v>-7.2</v>
      </c>
      <c r="J1770" s="86">
        <f>-IFERROR(VLOOKUP(C1770,SIRTAC!$A$16:$H$1458,8,0),0)</f>
        <v>0</v>
      </c>
      <c r="K1770" s="86">
        <f>-IFERROR(VLOOKUP(C1770,Gastos!$A$9:$J$1451,10,0),0)</f>
        <v>0</v>
      </c>
      <c r="L1770" s="86">
        <f>-IFERROR(VLOOKUP(C1770,IDC!$A$20:$H$1763,8,0),0)</f>
        <v>-2.88</v>
      </c>
      <c r="M1770" s="95">
        <f t="shared" ref="M1770" si="60">+D1770-I1770-J1770-K1770-L1770</f>
        <v>480</v>
      </c>
      <c r="O1770" s="1"/>
    </row>
    <row r="1771" spans="1:17" hidden="1">
      <c r="A1771" s="1" t="s">
        <v>1871</v>
      </c>
      <c r="B1771" s="1" t="s">
        <v>15</v>
      </c>
      <c r="C1771" s="71">
        <v>132024371420</v>
      </c>
      <c r="D1771" s="3">
        <v>9353.2800000000007</v>
      </c>
      <c r="E1771" s="3">
        <v>9731850.7699999996</v>
      </c>
      <c r="F1771" s="1" t="s">
        <v>3065</v>
      </c>
      <c r="G1771"/>
      <c r="H1771"/>
      <c r="I1771" s="19">
        <f>-IFERROR(VLOOKUP(C1771,SIRCUPA!$A$21:$H$221,8,0),0)</f>
        <v>0</v>
      </c>
      <c r="J1771" s="86">
        <f>-IFERROR(VLOOKUP(C1771,SIRTAC!$A$16:$H$1458,8,0),0)</f>
        <v>-96</v>
      </c>
      <c r="K1771" s="86">
        <f>-IFERROR(VLOOKUP(C1771,Gastos!$A$9:$J$1451,10,0),0)</f>
        <v>-93.12</v>
      </c>
      <c r="L1771" s="86">
        <f>-IFERROR(VLOOKUP(C1771,IDC!$A$20:$H$1763,8,0),0)</f>
        <v>-57.6</v>
      </c>
      <c r="M1771" s="95">
        <f t="shared" ref="M1771:M1776" si="61">+D1771-I1771-J1771-K1771-L1771</f>
        <v>9600.0000000000018</v>
      </c>
      <c r="O1771" s="1"/>
    </row>
    <row r="1772" spans="1:17" hidden="1">
      <c r="A1772" s="1" t="s">
        <v>1871</v>
      </c>
      <c r="B1772" s="1" t="s">
        <v>15</v>
      </c>
      <c r="C1772" s="71">
        <v>132026588886</v>
      </c>
      <c r="D1772" s="3">
        <v>8573.84</v>
      </c>
      <c r="E1772" s="3">
        <v>9740424.6099999994</v>
      </c>
      <c r="F1772" s="1" t="s">
        <v>3065</v>
      </c>
      <c r="G1772"/>
      <c r="H1772"/>
      <c r="I1772" s="19">
        <f>-IFERROR(VLOOKUP(C1772,SIRCUPA!$A$21:$H$221,8,0),0)</f>
        <v>0</v>
      </c>
      <c r="J1772" s="86">
        <f>-IFERROR(VLOOKUP(C1772,SIRTAC!$A$16:$H$1458,8,0),0)</f>
        <v>-88</v>
      </c>
      <c r="K1772" s="86">
        <f>-IFERROR(VLOOKUP(C1772,Gastos!$A$9:$J$1451,10,0),0)</f>
        <v>-85.36</v>
      </c>
      <c r="L1772" s="86">
        <f>-IFERROR(VLOOKUP(C1772,IDC!$A$20:$H$1763,8,0),0)</f>
        <v>-52.8</v>
      </c>
      <c r="M1772" s="95">
        <f t="shared" si="61"/>
        <v>8800</v>
      </c>
      <c r="O1772" s="1"/>
    </row>
    <row r="1773" spans="1:17" hidden="1">
      <c r="A1773" s="1" t="s">
        <v>1871</v>
      </c>
      <c r="B1773" s="1" t="s">
        <v>15</v>
      </c>
      <c r="C1773" s="71">
        <v>131431493777</v>
      </c>
      <c r="D1773" s="3">
        <v>11496.74</v>
      </c>
      <c r="E1773" s="3">
        <v>9751921.3499999996</v>
      </c>
      <c r="F1773" s="1" t="s">
        <v>3065</v>
      </c>
      <c r="G1773"/>
      <c r="H1773"/>
      <c r="I1773" s="19">
        <f>-IFERROR(VLOOKUP(C1773,SIRCUPA!$A$21:$H$221,8,0),0)</f>
        <v>0</v>
      </c>
      <c r="J1773" s="86">
        <f>-IFERROR(VLOOKUP(C1773,SIRTAC!$A$16:$H$1458,8,0),0)</f>
        <v>-118</v>
      </c>
      <c r="K1773" s="86">
        <f>-IFERROR(VLOOKUP(C1773,Gastos!$A$9:$J$1451,10,0),0)</f>
        <v>-114.46</v>
      </c>
      <c r="L1773" s="86">
        <f>-IFERROR(VLOOKUP(C1773,IDC!$A$20:$H$1763,8,0),0)</f>
        <v>-70.8</v>
      </c>
      <c r="M1773" s="95">
        <f t="shared" si="61"/>
        <v>11799.999999999998</v>
      </c>
      <c r="O1773" s="1"/>
    </row>
    <row r="1774" spans="1:17" hidden="1">
      <c r="A1774" s="1" t="s">
        <v>1871</v>
      </c>
      <c r="B1774" s="1" t="s">
        <v>15</v>
      </c>
      <c r="C1774" s="71">
        <v>132032843916</v>
      </c>
      <c r="D1774" s="3">
        <v>3967.74</v>
      </c>
      <c r="E1774" s="3">
        <v>9755889.0899999999</v>
      </c>
      <c r="F1774" s="1" t="s">
        <v>3065</v>
      </c>
      <c r="G1774"/>
      <c r="H1774"/>
      <c r="I1774" s="19">
        <f>-IFERROR(VLOOKUP(C1774,SIRCUPA!$A$21:$H$221,8,0),0)</f>
        <v>0</v>
      </c>
      <c r="J1774" s="86">
        <f>-IFERROR(VLOOKUP(C1774,SIRTAC!$A$16:$H$1458,8,0),0)</f>
        <v>-42</v>
      </c>
      <c r="K1774" s="86">
        <f>-IFERROR(VLOOKUP(C1774,Gastos!$A$9:$J$1451,10,0),0)</f>
        <v>-165.06</v>
      </c>
      <c r="L1774" s="86">
        <f>-IFERROR(VLOOKUP(C1774,IDC!$A$20:$H$1763,8,0),0)</f>
        <v>-25.2</v>
      </c>
      <c r="M1774" s="95">
        <f t="shared" si="61"/>
        <v>4200</v>
      </c>
      <c r="O1774" s="1"/>
    </row>
    <row r="1775" spans="1:17" hidden="1">
      <c r="A1775" s="1" t="s">
        <v>1871</v>
      </c>
      <c r="B1775" s="1" t="s">
        <v>15</v>
      </c>
      <c r="C1775" s="71">
        <v>132033280404</v>
      </c>
      <c r="D1775" s="3">
        <v>19388.57</v>
      </c>
      <c r="E1775" s="3">
        <v>9775277.6600000001</v>
      </c>
      <c r="F1775" s="1" t="s">
        <v>3065</v>
      </c>
      <c r="G1775"/>
      <c r="H1775"/>
      <c r="I1775" s="19">
        <f>-IFERROR(VLOOKUP(C1775,SIRCUPA!$A$21:$H$221,8,0),0)</f>
        <v>0</v>
      </c>
      <c r="J1775" s="86">
        <f>-IFERROR(VLOOKUP(C1775,SIRTAC!$A$16:$H$1458,8,0),0)</f>
        <v>-199</v>
      </c>
      <c r="K1775" s="86">
        <f>-IFERROR(VLOOKUP(C1775,Gastos!$A$9:$J$1451,10,0),0)</f>
        <v>-193.03</v>
      </c>
      <c r="L1775" s="86">
        <f>-IFERROR(VLOOKUP(C1775,IDC!$A$20:$H$1763,8,0),0)</f>
        <v>-119.4</v>
      </c>
      <c r="M1775" s="95">
        <f t="shared" si="61"/>
        <v>19900</v>
      </c>
      <c r="O1775" s="1"/>
    </row>
    <row r="1776" spans="1:17" hidden="1">
      <c r="A1776" s="1" t="s">
        <v>1871</v>
      </c>
      <c r="B1776" s="1" t="s">
        <v>1962</v>
      </c>
      <c r="C1776" s="71">
        <v>132033306284</v>
      </c>
      <c r="D1776" s="3">
        <v>1948.21</v>
      </c>
      <c r="E1776" s="3">
        <v>9777225.8699999992</v>
      </c>
      <c r="F1776" s="1" t="s">
        <v>3065</v>
      </c>
      <c r="G1776"/>
      <c r="H1776"/>
      <c r="I1776" s="19">
        <f>-IFERROR(VLOOKUP(C1776,SIRCUPA!$A$21:$H$221,8,0),0)</f>
        <v>-29.85</v>
      </c>
      <c r="J1776" s="86">
        <f>-IFERROR(VLOOKUP(C1776,SIRTAC!$A$16:$H$1458,8,0),0)</f>
        <v>0</v>
      </c>
      <c r="K1776" s="86">
        <f>-IFERROR(VLOOKUP(C1776,Gastos!$A$9:$J$1451,10,0),0)</f>
        <v>0</v>
      </c>
      <c r="L1776" s="86">
        <f>-IFERROR(VLOOKUP(C1776,IDC!$A$20:$H$1763,8,0),0)</f>
        <v>-11.94</v>
      </c>
      <c r="M1776" s="95">
        <f t="shared" si="61"/>
        <v>1990</v>
      </c>
      <c r="O1776" s="1"/>
    </row>
    <row r="1777" spans="1:18" hidden="1">
      <c r="A1777" s="1" t="s">
        <v>1871</v>
      </c>
      <c r="B1777" s="1" t="s">
        <v>15</v>
      </c>
      <c r="C1777" s="71">
        <v>131437180631</v>
      </c>
      <c r="D1777" s="3">
        <v>9353.2800000000007</v>
      </c>
      <c r="E1777" s="3">
        <v>9786579.1500000004</v>
      </c>
      <c r="F1777" s="1" t="s">
        <v>3065</v>
      </c>
      <c r="G1777"/>
      <c r="H1777"/>
      <c r="I1777" s="19">
        <f>-IFERROR(VLOOKUP(C1777,SIRCUPA!$A$21:$H$221,8,0),0)</f>
        <v>0</v>
      </c>
      <c r="J1777" s="86">
        <f>-IFERROR(VLOOKUP(C1777,SIRTAC!$A$16:$H$1458,8,0),0)</f>
        <v>-96</v>
      </c>
      <c r="K1777" s="86">
        <f>-IFERROR(VLOOKUP(C1777,Gastos!$A$9:$J$1451,10,0),0)</f>
        <v>-93.12</v>
      </c>
      <c r="L1777" s="86">
        <f>-IFERROR(VLOOKUP(C1777,IDC!$A$20:$H$1763,8,0),0)</f>
        <v>-57.6</v>
      </c>
      <c r="M1777" s="95">
        <f>+D1777-I1777-J1777-K1777-L1777</f>
        <v>9600.0000000000018</v>
      </c>
      <c r="O1777" s="1"/>
    </row>
    <row r="1778" spans="1:18" hidden="1">
      <c r="A1778" s="1" t="s">
        <v>1871</v>
      </c>
      <c r="B1778" s="1" t="s">
        <v>850</v>
      </c>
      <c r="C1778" s="71">
        <v>131437083607</v>
      </c>
      <c r="D1778" s="2">
        <v>939.84</v>
      </c>
      <c r="E1778" s="3">
        <v>9787518.9900000002</v>
      </c>
      <c r="F1778" s="1" t="s">
        <v>3065</v>
      </c>
      <c r="G1778"/>
      <c r="H1778"/>
      <c r="I1778" s="19">
        <f>-IFERROR(VLOOKUP(C1778,SIRCUPA!$A$21:$H$221,8,0),0)</f>
        <v>-14.4</v>
      </c>
      <c r="J1778" s="86">
        <f>-IFERROR(VLOOKUP(C1778,SIRTAC!$A$16:$H$1458,8,0),0)</f>
        <v>0</v>
      </c>
      <c r="K1778" s="86">
        <f>-IFERROR(VLOOKUP(C1778,Gastos!$A$9:$J$1451,10,0),0)</f>
        <v>0</v>
      </c>
      <c r="L1778" s="86">
        <f>-IFERROR(VLOOKUP(C1778,IDC!$A$20:$H$1763,8,0),0)</f>
        <v>-5.76</v>
      </c>
      <c r="M1778" s="95">
        <f t="shared" ref="M1778" si="62">+D1778-I1778-J1778-K1778-L1778</f>
        <v>960</v>
      </c>
      <c r="O1778" s="1"/>
    </row>
    <row r="1779" spans="1:18" hidden="1">
      <c r="A1779" s="1" t="s">
        <v>1871</v>
      </c>
      <c r="B1779" s="1" t="s">
        <v>15</v>
      </c>
      <c r="C1779" s="71">
        <v>132035156628</v>
      </c>
      <c r="D1779" s="3">
        <v>9069.1200000000008</v>
      </c>
      <c r="E1779" s="3">
        <v>9796588.1099999994</v>
      </c>
      <c r="F1779" s="1" t="s">
        <v>3065</v>
      </c>
      <c r="G1779"/>
      <c r="H1779"/>
      <c r="I1779" s="19">
        <f>-IFERROR(VLOOKUP(C1779,SIRCUPA!$A$21:$H$221,8,0),0)</f>
        <v>0</v>
      </c>
      <c r="J1779" s="86">
        <f>-IFERROR(VLOOKUP(C1779,SIRTAC!$A$16:$H$1458,8,0),0)</f>
        <v>-96</v>
      </c>
      <c r="K1779" s="86">
        <f>-IFERROR(VLOOKUP(C1779,Gastos!$A$9:$J$1451,10,0),0)</f>
        <v>-377.28</v>
      </c>
      <c r="L1779" s="86">
        <f>-IFERROR(VLOOKUP(C1779,IDC!$A$20:$H$1763,8,0),0)</f>
        <v>-57.6</v>
      </c>
      <c r="M1779" s="95">
        <f t="shared" ref="M1779:M1784" si="63">+D1779-I1779-J1779-K1779-L1779</f>
        <v>9600.0000000000018</v>
      </c>
      <c r="O1779" s="1"/>
    </row>
    <row r="1780" spans="1:18" hidden="1">
      <c r="A1780" s="1" t="s">
        <v>1871</v>
      </c>
      <c r="B1780" s="1" t="s">
        <v>15</v>
      </c>
      <c r="C1780" s="71">
        <v>131438131109</v>
      </c>
      <c r="D1780" s="3">
        <v>9353.2800000000007</v>
      </c>
      <c r="E1780" s="3">
        <v>9805941.3900000006</v>
      </c>
      <c r="F1780" s="1" t="s">
        <v>3065</v>
      </c>
      <c r="G1780"/>
      <c r="H1780"/>
      <c r="I1780" s="19">
        <f>-IFERROR(VLOOKUP(C1780,SIRCUPA!$A$21:$H$221,8,0),0)</f>
        <v>0</v>
      </c>
      <c r="J1780" s="86">
        <f>-IFERROR(VLOOKUP(C1780,SIRTAC!$A$16:$H$1458,8,0),0)</f>
        <v>-96</v>
      </c>
      <c r="K1780" s="86">
        <f>-IFERROR(VLOOKUP(C1780,Gastos!$A$9:$J$1451,10,0),0)</f>
        <v>-93.12</v>
      </c>
      <c r="L1780" s="86">
        <f>-IFERROR(VLOOKUP(C1780,IDC!$A$20:$H$1763,8,0),0)</f>
        <v>-57.6</v>
      </c>
      <c r="M1780" s="95">
        <f t="shared" si="63"/>
        <v>9600.0000000000018</v>
      </c>
      <c r="O1780" s="1"/>
    </row>
    <row r="1781" spans="1:18" hidden="1">
      <c r="A1781" s="1" t="s">
        <v>1871</v>
      </c>
      <c r="B1781" s="1" t="s">
        <v>15</v>
      </c>
      <c r="C1781" s="71">
        <v>132035989400</v>
      </c>
      <c r="D1781" s="3">
        <v>9353.2800000000007</v>
      </c>
      <c r="E1781" s="3">
        <v>9815294.6699999999</v>
      </c>
      <c r="F1781" s="1" t="s">
        <v>3065</v>
      </c>
      <c r="G1781"/>
      <c r="H1781"/>
      <c r="I1781" s="19">
        <f>-IFERROR(VLOOKUP(C1781,SIRCUPA!$A$21:$H$221,8,0),0)</f>
        <v>0</v>
      </c>
      <c r="J1781" s="86">
        <f>-IFERROR(VLOOKUP(C1781,SIRTAC!$A$16:$H$1458,8,0),0)</f>
        <v>-96</v>
      </c>
      <c r="K1781" s="86">
        <f>-IFERROR(VLOOKUP(C1781,Gastos!$A$9:$J$1451,10,0),0)</f>
        <v>-93.12</v>
      </c>
      <c r="L1781" s="86">
        <f>-IFERROR(VLOOKUP(C1781,IDC!$A$20:$H$1763,8,0),0)</f>
        <v>-57.6</v>
      </c>
      <c r="M1781" s="95">
        <f t="shared" si="63"/>
        <v>9600.0000000000018</v>
      </c>
      <c r="O1781" s="1"/>
    </row>
    <row r="1782" spans="1:18" hidden="1">
      <c r="A1782" s="1" t="s">
        <v>1871</v>
      </c>
      <c r="B1782" s="1" t="s">
        <v>15</v>
      </c>
      <c r="C1782" s="71">
        <v>131440599777</v>
      </c>
      <c r="D1782" s="3">
        <v>49934.5</v>
      </c>
      <c r="E1782" s="3">
        <v>9865229.1699999999</v>
      </c>
      <c r="F1782" s="1" t="s">
        <v>3065</v>
      </c>
      <c r="G1782"/>
      <c r="H1782"/>
      <c r="I1782" s="19">
        <f>-IFERROR(VLOOKUP(C1782,SIRCUPA!$A$21:$H$221,8,0),0)</f>
        <v>0</v>
      </c>
      <c r="J1782" s="86">
        <f>-IFERROR(VLOOKUP(C1782,SIRTAC!$A$16:$H$1458,8,0),0)</f>
        <v>-550</v>
      </c>
      <c r="K1782" s="86">
        <f>-IFERROR(VLOOKUP(C1782,Gastos!$A$9:$J$1451,10,0),0)</f>
        <v>-4185.5</v>
      </c>
      <c r="L1782" s="86">
        <f>-IFERROR(VLOOKUP(C1782,IDC!$A$20:$H$1763,8,0),0)</f>
        <v>-330</v>
      </c>
      <c r="M1782" s="95">
        <f t="shared" si="63"/>
        <v>55000</v>
      </c>
      <c r="O1782" s="1"/>
    </row>
    <row r="1783" spans="1:18" hidden="1">
      <c r="A1783" s="1" t="s">
        <v>1871</v>
      </c>
      <c r="B1783" s="1" t="s">
        <v>15</v>
      </c>
      <c r="C1783" s="71">
        <v>131440703545</v>
      </c>
      <c r="D1783" s="3">
        <v>38777.14</v>
      </c>
      <c r="E1783" s="3">
        <v>9904006.3100000005</v>
      </c>
      <c r="F1783" s="1" t="s">
        <v>3065</v>
      </c>
      <c r="G1783"/>
      <c r="H1783"/>
      <c r="I1783" s="19">
        <f>-IFERROR(VLOOKUP(C1783,SIRCUPA!$A$21:$H$221,8,0),0)</f>
        <v>0</v>
      </c>
      <c r="J1783" s="86">
        <f>-IFERROR(VLOOKUP(C1783,SIRTAC!$A$16:$H$1458,8,0),0)</f>
        <v>-398</v>
      </c>
      <c r="K1783" s="86">
        <f>-IFERROR(VLOOKUP(C1783,Gastos!$A$9:$J$1451,10,0),0)</f>
        <v>-386.06</v>
      </c>
      <c r="L1783" s="86">
        <f>-IFERROR(VLOOKUP(C1783,IDC!$A$20:$H$1763,8,0),0)</f>
        <v>-238.8</v>
      </c>
      <c r="M1783" s="95">
        <f t="shared" si="63"/>
        <v>39800</v>
      </c>
      <c r="O1783" s="1"/>
    </row>
    <row r="1784" spans="1:18" hidden="1">
      <c r="A1784" s="1" t="s">
        <v>1871</v>
      </c>
      <c r="B1784" s="1" t="s">
        <v>1971</v>
      </c>
      <c r="C1784" s="71">
        <v>132038062836</v>
      </c>
      <c r="D1784" s="3">
        <v>1948.21</v>
      </c>
      <c r="E1784" s="3">
        <v>9905954.5199999996</v>
      </c>
      <c r="F1784" s="1" t="s">
        <v>3065</v>
      </c>
      <c r="G1784"/>
      <c r="H1784"/>
      <c r="I1784" s="19">
        <f>-IFERROR(VLOOKUP(C1784,SIRCUPA!$A$21:$H$221,8,0),0)</f>
        <v>-29.85</v>
      </c>
      <c r="J1784" s="86">
        <f>-IFERROR(VLOOKUP(C1784,SIRTAC!$A$16:$H$1458,8,0),0)</f>
        <v>0</v>
      </c>
      <c r="K1784" s="86">
        <f>-IFERROR(VLOOKUP(C1784,Gastos!$A$9:$J$1451,10,0),0)</f>
        <v>0</v>
      </c>
      <c r="L1784" s="86">
        <f>-IFERROR(VLOOKUP(C1784,IDC!$A$20:$H$1763,8,0),0)</f>
        <v>-11.94</v>
      </c>
      <c r="M1784" s="95">
        <f t="shared" si="63"/>
        <v>1990</v>
      </c>
      <c r="O1784" s="1"/>
    </row>
    <row r="1785" spans="1:18" hidden="1">
      <c r="A1785" s="1" t="s">
        <v>1871</v>
      </c>
      <c r="B1785" s="1" t="s">
        <v>15</v>
      </c>
      <c r="C1785" s="71">
        <v>132038856812</v>
      </c>
      <c r="D1785" s="3">
        <v>39312.07</v>
      </c>
      <c r="E1785" s="3">
        <v>9945266.5899999999</v>
      </c>
      <c r="F1785" s="1" t="s">
        <v>3065</v>
      </c>
      <c r="G1785"/>
      <c r="H1785"/>
      <c r="I1785" s="19">
        <f>-IFERROR(VLOOKUP(C1785,SIRCUPA!$A$21:$H$221,8,0),0)</f>
        <v>0</v>
      </c>
      <c r="J1785" s="86">
        <f>-IFERROR(VLOOKUP(C1785,SIRTAC!$A$16:$H$1458,8,0),0)</f>
        <v>-433</v>
      </c>
      <c r="K1785" s="86">
        <f>-IFERROR(VLOOKUP(C1785,Gastos!$A$9:$J$1451,10,0),0)</f>
        <v>-3295.13</v>
      </c>
      <c r="L1785" s="86">
        <f>-IFERROR(VLOOKUP(C1785,IDC!$A$20:$H$1763,8,0),0)</f>
        <v>-259.8</v>
      </c>
      <c r="M1785" s="95">
        <f t="shared" ref="M1785:M1806" si="64">+D1785-I1785-J1785-K1785-L1785</f>
        <v>43300</v>
      </c>
      <c r="O1785" s="1"/>
    </row>
    <row r="1786" spans="1:18" hidden="1">
      <c r="A1786" s="1" t="s">
        <v>1871</v>
      </c>
      <c r="B1786" s="1" t="s">
        <v>15</v>
      </c>
      <c r="C1786" s="71">
        <v>131442369167</v>
      </c>
      <c r="D1786" s="3">
        <v>32346.76</v>
      </c>
      <c r="E1786" s="3">
        <v>9977613.3499999996</v>
      </c>
      <c r="F1786" s="1" t="s">
        <v>3065</v>
      </c>
      <c r="G1786"/>
      <c r="H1786"/>
      <c r="I1786" s="19">
        <f>-IFERROR(VLOOKUP(C1786,SIRCUPA!$A$21:$H$221,8,0),0)</f>
        <v>0</v>
      </c>
      <c r="J1786" s="86">
        <f>-IFERROR(VLOOKUP(C1786,SIRTAC!$A$16:$H$1458,8,0),0)</f>
        <v>-332</v>
      </c>
      <c r="K1786" s="86">
        <f>-IFERROR(VLOOKUP(C1786,Gastos!$A$9:$J$1451,10,0),0)</f>
        <v>-322.04000000000002</v>
      </c>
      <c r="L1786" s="86">
        <f>-IFERROR(VLOOKUP(C1786,IDC!$A$20:$H$1763,8,0),0)</f>
        <v>-199.2</v>
      </c>
      <c r="M1786" s="95">
        <f t="shared" si="64"/>
        <v>33199.999999999993</v>
      </c>
      <c r="O1786" s="1"/>
    </row>
    <row r="1787" spans="1:18" hidden="1">
      <c r="A1787" s="1" t="s">
        <v>1871</v>
      </c>
      <c r="B1787" s="1" t="s">
        <v>15</v>
      </c>
      <c r="C1787" s="71">
        <v>132040086204</v>
      </c>
      <c r="D1787" s="3">
        <v>47545.84</v>
      </c>
      <c r="E1787" s="3">
        <v>10025159.189999999</v>
      </c>
      <c r="F1787" s="1" t="s">
        <v>3065</v>
      </c>
      <c r="G1787"/>
      <c r="H1787"/>
      <c r="I1787" s="19">
        <f>-IFERROR(VLOOKUP(C1787,SIRCUPA!$A$21:$H$221,8,0),0)</f>
        <v>0</v>
      </c>
      <c r="J1787" s="86">
        <f>-IFERROR(VLOOKUP(C1787,SIRTAC!$A$16:$H$1458,8,0),0)</f>
        <v>-488</v>
      </c>
      <c r="K1787" s="86">
        <f>-IFERROR(VLOOKUP(C1787,Gastos!$A$9:$J$1451,10,0),0)</f>
        <v>-473.36</v>
      </c>
      <c r="L1787" s="86">
        <f>-IFERROR(VLOOKUP(C1787,IDC!$A$20:$H$1763,8,0),0)</f>
        <v>-292.8</v>
      </c>
      <c r="M1787" s="95">
        <f t="shared" si="64"/>
        <v>48800</v>
      </c>
      <c r="O1787" s="1"/>
    </row>
    <row r="1788" spans="1:18" hidden="1">
      <c r="A1788" s="1" t="s">
        <v>1871</v>
      </c>
      <c r="B1788" s="1" t="s">
        <v>15</v>
      </c>
      <c r="C1788" s="71">
        <v>131442820443</v>
      </c>
      <c r="D1788" s="3">
        <v>5573.73</v>
      </c>
      <c r="E1788" s="3">
        <v>10030732.92</v>
      </c>
      <c r="F1788" s="1" t="s">
        <v>3065</v>
      </c>
      <c r="G1788"/>
      <c r="H1788"/>
      <c r="I1788" s="19">
        <f>-IFERROR(VLOOKUP(C1788,SIRCUPA!$A$21:$H$221,8,0),0)</f>
        <v>0</v>
      </c>
      <c r="J1788" s="86">
        <f>-IFERROR(VLOOKUP(C1788,SIRTAC!$A$16:$H$1458,8,0),0)</f>
        <v>-59</v>
      </c>
      <c r="K1788" s="86">
        <f>-IFERROR(VLOOKUP(C1788,Gastos!$A$9:$J$1451,10,0),0)</f>
        <v>-231.87</v>
      </c>
      <c r="L1788" s="86">
        <f>-IFERROR(VLOOKUP(C1788,IDC!$A$20:$H$1763,8,0),0)</f>
        <v>-35.4</v>
      </c>
      <c r="M1788" s="95">
        <f t="shared" si="64"/>
        <v>5899.9999999999991</v>
      </c>
      <c r="O1788" s="1"/>
    </row>
    <row r="1789" spans="1:18" hidden="1">
      <c r="A1789" s="1" t="s">
        <v>1871</v>
      </c>
      <c r="B1789" s="1" t="s">
        <v>15</v>
      </c>
      <c r="C1789" s="71">
        <v>131442949423</v>
      </c>
      <c r="D1789" s="3">
        <v>27207.360000000001</v>
      </c>
      <c r="E1789" s="3">
        <v>10057940.279999999</v>
      </c>
      <c r="F1789" s="1" t="s">
        <v>3065</v>
      </c>
      <c r="G1789"/>
      <c r="H1789"/>
      <c r="I1789" s="19">
        <f>-IFERROR(VLOOKUP(C1789,SIRCUPA!$A$21:$H$221,8,0),0)</f>
        <v>0</v>
      </c>
      <c r="J1789" s="86">
        <f>-IFERROR(VLOOKUP(C1789,SIRTAC!$A$16:$H$1458,8,0),0)</f>
        <v>-288</v>
      </c>
      <c r="K1789" s="86">
        <f>-IFERROR(VLOOKUP(C1789,Gastos!$A$9:$J$1451,10,0),0)</f>
        <v>-1131.8399999999999</v>
      </c>
      <c r="L1789" s="86">
        <f>-IFERROR(VLOOKUP(C1789,IDC!$A$20:$H$1763,8,0),0)</f>
        <v>-172.8</v>
      </c>
      <c r="M1789" s="95">
        <f t="shared" si="64"/>
        <v>28800</v>
      </c>
      <c r="O1789" s="1"/>
    </row>
    <row r="1790" spans="1:18" hidden="1">
      <c r="A1790" s="1" t="s">
        <v>1871</v>
      </c>
      <c r="B1790" s="1" t="s">
        <v>15</v>
      </c>
      <c r="C1790" s="71">
        <v>131443126827</v>
      </c>
      <c r="D1790" s="3">
        <v>28449.56</v>
      </c>
      <c r="E1790" s="3">
        <v>10086389.84</v>
      </c>
      <c r="F1790" s="1" t="s">
        <v>3065</v>
      </c>
      <c r="G1790"/>
      <c r="H1790"/>
      <c r="I1790" s="19">
        <f>-IFERROR(VLOOKUP(C1790,SIRCUPA!$A$21:$H$221,8,0),0)</f>
        <v>0</v>
      </c>
      <c r="J1790" s="86">
        <f>-IFERROR(VLOOKUP(C1790,SIRTAC!$A$16:$H$1458,8,0),0)</f>
        <v>-292</v>
      </c>
      <c r="K1790" s="86">
        <f>-IFERROR(VLOOKUP(C1790,Gastos!$A$9:$J$1451,10,0),0)</f>
        <v>-283.24</v>
      </c>
      <c r="L1790" s="86">
        <f>-IFERROR(VLOOKUP(C1790,IDC!$A$20:$H$1763,8,0),0)</f>
        <v>-175.2</v>
      </c>
      <c r="M1790" s="95">
        <f t="shared" si="64"/>
        <v>29200.000000000004</v>
      </c>
      <c r="O1790" s="1"/>
    </row>
    <row r="1791" spans="1:18" hidden="1">
      <c r="A1791" s="6" t="s">
        <v>1871</v>
      </c>
      <c r="B1791" s="6" t="s">
        <v>15</v>
      </c>
      <c r="C1791" s="74">
        <v>132040871854</v>
      </c>
      <c r="D1791" s="31">
        <v>10477.44</v>
      </c>
      <c r="E1791" s="3">
        <v>10096867.279999999</v>
      </c>
      <c r="F1791" s="6" t="s">
        <v>3065</v>
      </c>
      <c r="G1791" s="6"/>
      <c r="H1791" s="6"/>
      <c r="I1791" s="22">
        <f>-IFERROR(VLOOKUP(C1791,SIRCUPA!$A$21:$H$221,8,0),0)</f>
        <v>0</v>
      </c>
      <c r="J1791" s="87">
        <f>-IFERROR(VLOOKUP(C1791,SIRTAC!$A$16:$H$1458,8,0),0)</f>
        <v>-110.4</v>
      </c>
      <c r="K1791" s="87">
        <f>-IFERROR(VLOOKUP(C1791,Gastos!$A$9:$J$1451,10,0),0)</f>
        <v>-377.28</v>
      </c>
      <c r="L1791" s="87">
        <f>-IFERROR(VLOOKUP(C1791,IDC!$A$20:$H$1763,8,0),0)</f>
        <v>-74.88</v>
      </c>
      <c r="M1791" s="95">
        <f t="shared" si="64"/>
        <v>11040</v>
      </c>
      <c r="N1791" s="6"/>
      <c r="O1791" s="6"/>
      <c r="R1791" s="6"/>
    </row>
    <row r="1792" spans="1:18" hidden="1">
      <c r="A1792" s="1" t="s">
        <v>1871</v>
      </c>
      <c r="B1792" s="1" t="s">
        <v>15</v>
      </c>
      <c r="C1792" s="71">
        <v>132042598568</v>
      </c>
      <c r="D1792" s="3">
        <v>18959.72</v>
      </c>
      <c r="E1792" s="3">
        <v>10115827</v>
      </c>
      <c r="F1792" s="1" t="s">
        <v>3065</v>
      </c>
      <c r="G1792"/>
      <c r="H1792"/>
      <c r="I1792" s="19">
        <f>-IFERROR(VLOOKUP(C1792,SIRCUPA!$A$21:$H$221,8,0),0)</f>
        <v>0</v>
      </c>
      <c r="J1792" s="86">
        <f>-IFERROR(VLOOKUP(C1792,SIRTAC!$A$16:$H$1458,8,0),0)</f>
        <v>-202</v>
      </c>
      <c r="K1792" s="86">
        <f>-IFERROR(VLOOKUP(C1792,Gastos!$A$9:$J$1451,10,0),0)</f>
        <v>-917.08</v>
      </c>
      <c r="L1792" s="86">
        <f>-IFERROR(VLOOKUP(C1792,IDC!$A$20:$H$1763,8,0),0)</f>
        <v>-121.2</v>
      </c>
      <c r="M1792" s="95">
        <f t="shared" si="64"/>
        <v>20200.000000000004</v>
      </c>
      <c r="O1792" s="1"/>
    </row>
    <row r="1793" spans="1:15" hidden="1">
      <c r="A1793" s="1" t="s">
        <v>1871</v>
      </c>
      <c r="B1793" s="1" t="s">
        <v>15</v>
      </c>
      <c r="C1793" s="71">
        <v>131445281177</v>
      </c>
      <c r="D1793" s="3">
        <v>54887.07</v>
      </c>
      <c r="E1793" s="3">
        <v>10170714.07</v>
      </c>
      <c r="F1793" s="1" t="s">
        <v>3065</v>
      </c>
      <c r="G1793"/>
      <c r="H1793"/>
      <c r="I1793" s="19">
        <f>-IFERROR(VLOOKUP(C1793,SIRCUPA!$A$21:$H$221,8,0),0)</f>
        <v>0</v>
      </c>
      <c r="J1793" s="86">
        <f>-IFERROR(VLOOKUP(C1793,SIRTAC!$A$16:$H$1458,8,0),0)</f>
        <v>-581</v>
      </c>
      <c r="K1793" s="86">
        <f>-IFERROR(VLOOKUP(C1793,Gastos!$A$9:$J$1451,10,0),0)</f>
        <v>-2283.33</v>
      </c>
      <c r="L1793" s="86">
        <f>-IFERROR(VLOOKUP(C1793,IDC!$A$20:$H$1763,8,0),0)</f>
        <v>-348.6</v>
      </c>
      <c r="M1793" s="95">
        <f t="shared" si="64"/>
        <v>58100</v>
      </c>
      <c r="O1793" s="1"/>
    </row>
    <row r="1794" spans="1:15" hidden="1">
      <c r="A1794" s="1" t="s">
        <v>1871</v>
      </c>
      <c r="B1794" s="1" t="s">
        <v>15</v>
      </c>
      <c r="C1794" s="71">
        <v>131446697595</v>
      </c>
      <c r="D1794" s="3">
        <v>44778.78</v>
      </c>
      <c r="E1794" s="3">
        <v>10215492.85</v>
      </c>
      <c r="F1794" s="1" t="s">
        <v>3065</v>
      </c>
      <c r="G1794"/>
      <c r="H1794"/>
      <c r="I1794" s="19">
        <f>-IFERROR(VLOOKUP(C1794,SIRCUPA!$A$21:$H$221,8,0),0)</f>
        <v>0</v>
      </c>
      <c r="J1794" s="86">
        <f>-IFERROR(VLOOKUP(C1794,SIRTAC!$A$16:$H$1458,8,0),0)</f>
        <v>-474</v>
      </c>
      <c r="K1794" s="86">
        <f>-IFERROR(VLOOKUP(C1794,Gastos!$A$9:$J$1451,10,0),0)</f>
        <v>-1862.82</v>
      </c>
      <c r="L1794" s="86">
        <f>-IFERROR(VLOOKUP(C1794,IDC!$A$20:$H$1763,8,0),0)</f>
        <v>-284.39999999999998</v>
      </c>
      <c r="M1794" s="95">
        <f t="shared" si="64"/>
        <v>47400</v>
      </c>
      <c r="O1794" s="1"/>
    </row>
    <row r="1795" spans="1:15" hidden="1">
      <c r="A1795" s="1" t="s">
        <v>1871</v>
      </c>
      <c r="B1795" s="1" t="s">
        <v>15</v>
      </c>
      <c r="C1795" s="71">
        <v>131447307481</v>
      </c>
      <c r="D1795" s="3">
        <v>4676.6400000000003</v>
      </c>
      <c r="E1795" s="3">
        <v>10220169.49</v>
      </c>
      <c r="F1795" s="1" t="s">
        <v>3065</v>
      </c>
      <c r="G1795"/>
      <c r="H1795"/>
      <c r="I1795" s="19">
        <f>-IFERROR(VLOOKUP(C1795,SIRCUPA!$A$21:$H$221,8,0),0)</f>
        <v>0</v>
      </c>
      <c r="J1795" s="86">
        <f>-IFERROR(VLOOKUP(C1795,SIRTAC!$A$16:$H$1458,8,0),0)</f>
        <v>-48</v>
      </c>
      <c r="K1795" s="86">
        <f>-IFERROR(VLOOKUP(C1795,Gastos!$A$9:$J$1451,10,0),0)</f>
        <v>-46.56</v>
      </c>
      <c r="L1795" s="86">
        <f>-IFERROR(VLOOKUP(C1795,IDC!$A$20:$H$1763,8,0),0)</f>
        <v>-28.8</v>
      </c>
      <c r="M1795" s="95">
        <f t="shared" si="64"/>
        <v>4800.0000000000009</v>
      </c>
      <c r="O1795" s="1"/>
    </row>
    <row r="1796" spans="1:15" hidden="1">
      <c r="A1796" s="1" t="s">
        <v>1871</v>
      </c>
      <c r="B1796" s="1" t="s">
        <v>15</v>
      </c>
      <c r="C1796" s="71">
        <v>131449789851</v>
      </c>
      <c r="D1796" s="3">
        <v>62939.78</v>
      </c>
      <c r="E1796" s="3">
        <v>10283109.27</v>
      </c>
      <c r="F1796" s="1" t="s">
        <v>3065</v>
      </c>
      <c r="G1796"/>
      <c r="H1796"/>
      <c r="I1796" s="19">
        <f>-IFERROR(VLOOKUP(C1796,SIRCUPA!$A$21:$H$221,8,0),0)</f>
        <v>0</v>
      </c>
      <c r="J1796" s="86">
        <f>-IFERROR(VLOOKUP(C1796,SIRTAC!$A$16:$H$1458,8,0),0)</f>
        <v>-646</v>
      </c>
      <c r="K1796" s="86">
        <f>-IFERROR(VLOOKUP(C1796,Gastos!$A$9:$J$1451,10,0),0)</f>
        <v>-626.62</v>
      </c>
      <c r="L1796" s="86">
        <f>-IFERROR(VLOOKUP(C1796,IDC!$A$20:$H$1763,8,0),0)</f>
        <v>-387.6</v>
      </c>
      <c r="M1796" s="95">
        <f t="shared" si="64"/>
        <v>64600</v>
      </c>
      <c r="O1796" s="1"/>
    </row>
    <row r="1797" spans="1:15" hidden="1">
      <c r="A1797" s="1" t="s">
        <v>1871</v>
      </c>
      <c r="B1797" s="1" t="s">
        <v>15</v>
      </c>
      <c r="C1797" s="71">
        <v>131450205625</v>
      </c>
      <c r="D1797" s="3">
        <v>8963.56</v>
      </c>
      <c r="E1797" s="3">
        <v>10292072.83</v>
      </c>
      <c r="F1797" s="1" t="s">
        <v>3065</v>
      </c>
      <c r="G1797"/>
      <c r="H1797"/>
      <c r="I1797" s="19">
        <f>-IFERROR(VLOOKUP(C1797,SIRCUPA!$A$21:$H$221,8,0),0)</f>
        <v>0</v>
      </c>
      <c r="J1797" s="86">
        <f>-IFERROR(VLOOKUP(C1797,SIRTAC!$A$16:$H$1458,8,0),0)</f>
        <v>-92</v>
      </c>
      <c r="K1797" s="86">
        <f>-IFERROR(VLOOKUP(C1797,Gastos!$A$9:$J$1451,10,0),0)</f>
        <v>-89.24</v>
      </c>
      <c r="L1797" s="86">
        <f>-IFERROR(VLOOKUP(C1797,IDC!$A$20:$H$1763,8,0),0)</f>
        <v>-55.2</v>
      </c>
      <c r="M1797" s="95">
        <f t="shared" si="64"/>
        <v>9200</v>
      </c>
      <c r="O1797" s="1"/>
    </row>
    <row r="1798" spans="1:15" hidden="1">
      <c r="A1798" s="1" t="s">
        <v>1871</v>
      </c>
      <c r="B1798" s="1" t="s">
        <v>15</v>
      </c>
      <c r="C1798" s="71">
        <v>131450361471</v>
      </c>
      <c r="D1798" s="3">
        <v>42762.09</v>
      </c>
      <c r="E1798" s="3">
        <v>10334834.92</v>
      </c>
      <c r="F1798" s="1" t="s">
        <v>3065</v>
      </c>
      <c r="G1798"/>
      <c r="H1798"/>
      <c r="I1798" s="19">
        <f>-IFERROR(VLOOKUP(C1798,SIRCUPA!$A$21:$H$221,8,0),0)</f>
        <v>0</v>
      </c>
      <c r="J1798" s="86">
        <f>-IFERROR(VLOOKUP(C1798,SIRTAC!$A$16:$H$1458,8,0),0)</f>
        <v>-471</v>
      </c>
      <c r="K1798" s="86">
        <f>-IFERROR(VLOOKUP(C1798,Gastos!$A$9:$J$1451,10,0),0)</f>
        <v>-3584.31</v>
      </c>
      <c r="L1798" s="86">
        <f>-IFERROR(VLOOKUP(C1798,IDC!$A$20:$H$1763,8,0),0)</f>
        <v>-282.60000000000002</v>
      </c>
      <c r="M1798" s="95">
        <f t="shared" si="64"/>
        <v>47099.999999999993</v>
      </c>
      <c r="O1798" s="1"/>
    </row>
    <row r="1799" spans="1:15" hidden="1">
      <c r="A1799" s="1" t="s">
        <v>1871</v>
      </c>
      <c r="B1799" s="1" t="s">
        <v>15</v>
      </c>
      <c r="C1799" s="71">
        <v>131450649595</v>
      </c>
      <c r="D1799" s="3">
        <v>13932.49</v>
      </c>
      <c r="E1799" s="3">
        <v>10348767.41</v>
      </c>
      <c r="F1799" s="1" t="s">
        <v>3065</v>
      </c>
      <c r="G1799"/>
      <c r="H1799"/>
      <c r="I1799" s="19">
        <f>-IFERROR(VLOOKUP(C1799,SIRCUPA!$A$21:$H$221,8,0),0)</f>
        <v>0</v>
      </c>
      <c r="J1799" s="86">
        <f>-IFERROR(VLOOKUP(C1799,SIRTAC!$A$16:$H$1458,8,0),0)</f>
        <v>-143</v>
      </c>
      <c r="K1799" s="86">
        <f>-IFERROR(VLOOKUP(C1799,Gastos!$A$9:$J$1451,10,0),0)</f>
        <v>-138.71</v>
      </c>
      <c r="L1799" s="86">
        <f>-IFERROR(VLOOKUP(C1799,IDC!$A$20:$H$1763,8,0),0)</f>
        <v>-85.8</v>
      </c>
      <c r="M1799" s="95">
        <f t="shared" si="64"/>
        <v>14299.999999999998</v>
      </c>
      <c r="O1799" s="1"/>
    </row>
    <row r="1800" spans="1:15" hidden="1">
      <c r="A1800" s="1" t="s">
        <v>1871</v>
      </c>
      <c r="B1800" s="1" t="s">
        <v>15</v>
      </c>
      <c r="C1800" s="71">
        <v>132048145386</v>
      </c>
      <c r="D1800" s="3">
        <v>53747.68</v>
      </c>
      <c r="E1800" s="3">
        <v>10402515.09</v>
      </c>
      <c r="F1800" s="1" t="s">
        <v>3065</v>
      </c>
      <c r="G1800"/>
      <c r="H1800"/>
      <c r="I1800" s="19">
        <f>-IFERROR(VLOOKUP(C1800,SIRCUPA!$A$21:$H$221,8,0),0)</f>
        <v>0</v>
      </c>
      <c r="J1800" s="86">
        <f>-IFERROR(VLOOKUP(C1800,SIRTAC!$A$16:$H$1458,8,0),0)</f>
        <v>-592</v>
      </c>
      <c r="K1800" s="86">
        <f>-IFERROR(VLOOKUP(C1800,Gastos!$A$9:$J$1451,10,0),0)</f>
        <v>-4505.12</v>
      </c>
      <c r="L1800" s="86">
        <f>-IFERROR(VLOOKUP(C1800,IDC!$A$20:$H$1763,8,0),0)</f>
        <v>-355.2</v>
      </c>
      <c r="M1800" s="95">
        <f t="shared" si="64"/>
        <v>59200</v>
      </c>
      <c r="O1800" s="1"/>
    </row>
    <row r="1801" spans="1:15" hidden="1">
      <c r="A1801" s="1" t="s">
        <v>1871</v>
      </c>
      <c r="B1801" s="1" t="s">
        <v>15</v>
      </c>
      <c r="C1801" s="71">
        <v>131450909125</v>
      </c>
      <c r="D1801" s="3">
        <v>8866.1299999999992</v>
      </c>
      <c r="E1801" s="3">
        <v>10411381.220000001</v>
      </c>
      <c r="F1801" s="1" t="s">
        <v>3065</v>
      </c>
      <c r="G1801"/>
      <c r="H1801"/>
      <c r="I1801" s="19">
        <f>-IFERROR(VLOOKUP(C1801,SIRCUPA!$A$21:$H$221,8,0),0)</f>
        <v>0</v>
      </c>
      <c r="J1801" s="86">
        <f>-IFERROR(VLOOKUP(C1801,SIRTAC!$A$16:$H$1458,8,0),0)</f>
        <v>-91</v>
      </c>
      <c r="K1801" s="86">
        <f>-IFERROR(VLOOKUP(C1801,Gastos!$A$9:$J$1451,10,0),0)</f>
        <v>-88.27</v>
      </c>
      <c r="L1801" s="86">
        <f>-IFERROR(VLOOKUP(C1801,IDC!$A$20:$H$1763,8,0),0)</f>
        <v>-54.6</v>
      </c>
      <c r="M1801" s="95">
        <f t="shared" si="64"/>
        <v>9100</v>
      </c>
      <c r="O1801" s="1"/>
    </row>
    <row r="1802" spans="1:15" hidden="1">
      <c r="A1802" s="1" t="s">
        <v>1871</v>
      </c>
      <c r="B1802" s="1" t="s">
        <v>15</v>
      </c>
      <c r="C1802" s="71">
        <v>132048712642</v>
      </c>
      <c r="D1802" s="3">
        <v>32444.19</v>
      </c>
      <c r="E1802" s="3">
        <v>10443825.41</v>
      </c>
      <c r="F1802" s="1" t="s">
        <v>3065</v>
      </c>
      <c r="G1802"/>
      <c r="H1802"/>
      <c r="I1802" s="19">
        <f>-IFERROR(VLOOKUP(C1802,SIRCUPA!$A$21:$H$221,8,0),0)</f>
        <v>0</v>
      </c>
      <c r="J1802" s="86">
        <f>-IFERROR(VLOOKUP(C1802,SIRTAC!$A$16:$H$1458,8,0),0)</f>
        <v>-333</v>
      </c>
      <c r="K1802" s="86">
        <f>-IFERROR(VLOOKUP(C1802,Gastos!$A$9:$J$1451,10,0),0)</f>
        <v>-323.01</v>
      </c>
      <c r="L1802" s="86">
        <f>-IFERROR(VLOOKUP(C1802,IDC!$A$20:$H$1763,8,0),0)</f>
        <v>-199.8</v>
      </c>
      <c r="M1802" s="95">
        <f t="shared" si="64"/>
        <v>33300.000000000007</v>
      </c>
      <c r="O1802" s="1"/>
    </row>
    <row r="1803" spans="1:15" hidden="1">
      <c r="A1803" s="1" t="s">
        <v>1871</v>
      </c>
      <c r="B1803" s="1" t="s">
        <v>15</v>
      </c>
      <c r="C1803" s="71">
        <v>131451440131</v>
      </c>
      <c r="D1803" s="3">
        <v>34490.22</v>
      </c>
      <c r="E1803" s="3">
        <v>10478315.630000001</v>
      </c>
      <c r="F1803" s="1" t="s">
        <v>3065</v>
      </c>
      <c r="G1803"/>
      <c r="H1803"/>
      <c r="I1803" s="19">
        <f>-IFERROR(VLOOKUP(C1803,SIRCUPA!$A$21:$H$221,8,0),0)</f>
        <v>0</v>
      </c>
      <c r="J1803" s="86">
        <f>-IFERROR(VLOOKUP(C1803,SIRTAC!$A$16:$H$1458,8,0),0)</f>
        <v>-354</v>
      </c>
      <c r="K1803" s="86">
        <f>-IFERROR(VLOOKUP(C1803,Gastos!$A$9:$J$1451,10,0),0)</f>
        <v>-343.38</v>
      </c>
      <c r="L1803" s="86">
        <f>-IFERROR(VLOOKUP(C1803,IDC!$A$20:$H$1763,8,0),0)</f>
        <v>-212.4</v>
      </c>
      <c r="M1803" s="95">
        <f t="shared" si="64"/>
        <v>35400</v>
      </c>
      <c r="O1803" s="1"/>
    </row>
    <row r="1804" spans="1:15" hidden="1">
      <c r="A1804" s="1" t="s">
        <v>1871</v>
      </c>
      <c r="B1804" s="1" t="s">
        <v>15</v>
      </c>
      <c r="C1804" s="71">
        <v>132049026310</v>
      </c>
      <c r="D1804" s="3">
        <v>12665.9</v>
      </c>
      <c r="E1804" s="3">
        <v>10490981.529999999</v>
      </c>
      <c r="F1804" s="1" t="s">
        <v>3065</v>
      </c>
      <c r="G1804"/>
      <c r="H1804"/>
      <c r="I1804" s="19">
        <f>-IFERROR(VLOOKUP(C1804,SIRCUPA!$A$21:$H$221,8,0),0)</f>
        <v>0</v>
      </c>
      <c r="J1804" s="86">
        <f>-IFERROR(VLOOKUP(C1804,SIRTAC!$A$16:$H$1458,8,0),0)</f>
        <v>-130</v>
      </c>
      <c r="K1804" s="86">
        <f>-IFERROR(VLOOKUP(C1804,Gastos!$A$9:$J$1451,10,0),0)</f>
        <v>-126.1</v>
      </c>
      <c r="L1804" s="86">
        <f>-IFERROR(VLOOKUP(C1804,IDC!$A$20:$H$1763,8,0),0)</f>
        <v>-78</v>
      </c>
      <c r="M1804" s="95">
        <f t="shared" si="64"/>
        <v>13000</v>
      </c>
      <c r="O1804" s="1"/>
    </row>
    <row r="1805" spans="1:15" hidden="1">
      <c r="A1805" s="1" t="s">
        <v>1871</v>
      </c>
      <c r="B1805" s="1" t="s">
        <v>15</v>
      </c>
      <c r="C1805" s="71">
        <v>132051231038</v>
      </c>
      <c r="D1805" s="3">
        <v>57379.28</v>
      </c>
      <c r="E1805" s="3">
        <v>10548360.810000001</v>
      </c>
      <c r="F1805" s="1" t="s">
        <v>3065</v>
      </c>
      <c r="G1805"/>
      <c r="H1805"/>
      <c r="I1805" s="19">
        <f>-IFERROR(VLOOKUP(C1805,SIRCUPA!$A$21:$H$221,8,0),0)</f>
        <v>0</v>
      </c>
      <c r="J1805" s="86">
        <f>-IFERROR(VLOOKUP(C1805,SIRTAC!$A$16:$H$1458,8,0),0)</f>
        <v>-632</v>
      </c>
      <c r="K1805" s="86">
        <f>-IFERROR(VLOOKUP(C1805,Gastos!$A$9:$J$1451,10,0),0)</f>
        <v>-4809.5200000000004</v>
      </c>
      <c r="L1805" s="86">
        <f>-IFERROR(VLOOKUP(C1805,IDC!$A$20:$H$1763,8,0),0)</f>
        <v>-379.2</v>
      </c>
      <c r="M1805" s="95">
        <f t="shared" si="64"/>
        <v>63200</v>
      </c>
      <c r="O1805" s="1"/>
    </row>
    <row r="1806" spans="1:15" hidden="1">
      <c r="A1806" s="1" t="s">
        <v>1871</v>
      </c>
      <c r="B1806" s="1" t="s">
        <v>15</v>
      </c>
      <c r="C1806" s="71">
        <v>131454294961</v>
      </c>
      <c r="D1806" s="3">
        <v>80184.89</v>
      </c>
      <c r="E1806" s="3">
        <v>10628545.699999999</v>
      </c>
      <c r="F1806" s="1" t="s">
        <v>3065</v>
      </c>
      <c r="G1806"/>
      <c r="H1806"/>
      <c r="I1806" s="19">
        <f>-IFERROR(VLOOKUP(C1806,SIRCUPA!$A$21:$H$221,8,0),0)</f>
        <v>0</v>
      </c>
      <c r="J1806" s="86">
        <f>-IFERROR(VLOOKUP(C1806,SIRTAC!$A$16:$H$1458,8,0),0)</f>
        <v>-823</v>
      </c>
      <c r="K1806" s="86">
        <f>-IFERROR(VLOOKUP(C1806,Gastos!$A$9:$J$1451,10,0),0)</f>
        <v>-798.31</v>
      </c>
      <c r="L1806" s="86">
        <f>-IFERROR(VLOOKUP(C1806,IDC!$A$20:$H$1763,8,0),0)</f>
        <v>-493.8</v>
      </c>
      <c r="M1806" s="95">
        <f t="shared" si="64"/>
        <v>82300</v>
      </c>
      <c r="O1806" s="1"/>
    </row>
    <row r="1808" spans="1:15">
      <c r="D1808" s="3">
        <f>SUM(D5:D1807)</f>
        <v>-254062.8100000018</v>
      </c>
      <c r="E1808" s="3">
        <f t="shared" ref="E1808:O1808" si="65">SUM(E5:E1807)</f>
        <v>21944026583.519978</v>
      </c>
      <c r="F1808" s="3">
        <f t="shared" si="65"/>
        <v>0</v>
      </c>
      <c r="G1808" s="3">
        <f t="shared" si="65"/>
        <v>-53055611.418157734</v>
      </c>
      <c r="H1808" s="3">
        <f t="shared" si="65"/>
        <v>-211666.70850894687</v>
      </c>
      <c r="I1808" s="3">
        <f t="shared" si="65"/>
        <v>-5736.5300000000007</v>
      </c>
      <c r="J1808" s="3">
        <f t="shared" si="65"/>
        <v>-364773.83999999991</v>
      </c>
      <c r="K1808" s="3">
        <f t="shared" si="65"/>
        <v>-925999.72000000265</v>
      </c>
      <c r="L1808" s="3">
        <f t="shared" si="65"/>
        <v>-433540.19803180866</v>
      </c>
      <c r="M1808" s="3">
        <f t="shared" si="65"/>
        <v>1369320.518031809</v>
      </c>
      <c r="N1808" s="3">
        <f t="shared" si="65"/>
        <v>0</v>
      </c>
      <c r="O1808" s="3">
        <f t="shared" si="65"/>
        <v>0</v>
      </c>
    </row>
    <row r="1809" spans="3:12">
      <c r="I1809" s="19">
        <f>+SIRCUPA!H223</f>
        <v>5736.5300000000016</v>
      </c>
      <c r="J1809" s="19">
        <f>+SIRTAC!H1460</f>
        <v>364773.83999999991</v>
      </c>
      <c r="K1809" s="19">
        <f>+Gastos!J1453</f>
        <v>925999.72000000265</v>
      </c>
      <c r="L1809" s="19">
        <f>+IDC!H1765</f>
        <v>433540.20999999944</v>
      </c>
    </row>
    <row r="1810" spans="3:12">
      <c r="I1810" s="19">
        <f>+I1808+I1809</f>
        <v>0</v>
      </c>
      <c r="J1810" s="19">
        <f>+J1808+J1809</f>
        <v>0</v>
      </c>
      <c r="K1810" s="19">
        <f>+K1808+K1809</f>
        <v>0</v>
      </c>
      <c r="L1810" s="19">
        <f>+L1808+L1809</f>
        <v>1.1968190781772137E-2</v>
      </c>
    </row>
    <row r="1813" spans="3:12">
      <c r="I1813" s="59">
        <f>+A2</f>
        <v>10882608.51</v>
      </c>
      <c r="J1813" s="63" t="s">
        <v>3171</v>
      </c>
    </row>
    <row r="1814" spans="3:12">
      <c r="I1814" s="59">
        <f>+M1808</f>
        <v>1369320.518031809</v>
      </c>
      <c r="J1814" s="63" t="s">
        <v>3172</v>
      </c>
    </row>
    <row r="1815" spans="3:12">
      <c r="I1815" s="59">
        <f>+I1808</f>
        <v>-5736.5300000000007</v>
      </c>
      <c r="J1815" s="63" t="s">
        <v>3173</v>
      </c>
    </row>
    <row r="1816" spans="3:12">
      <c r="C1816" s="71">
        <v>128421075828</v>
      </c>
      <c r="I1816" s="59">
        <f>+J1808</f>
        <v>-364773.83999999991</v>
      </c>
      <c r="J1816" s="63" t="s">
        <v>3174</v>
      </c>
    </row>
    <row r="1817" spans="3:12">
      <c r="C1817" s="71">
        <v>128564070590</v>
      </c>
      <c r="I1817" s="59">
        <f>+K1808</f>
        <v>-925999.72000000265</v>
      </c>
      <c r="J1817" s="63" t="s">
        <v>3175</v>
      </c>
    </row>
    <row r="1818" spans="3:12">
      <c r="C1818" s="71">
        <v>129669964271</v>
      </c>
      <c r="I1818" s="59">
        <f>+L1808</f>
        <v>-433540.19803180866</v>
      </c>
      <c r="J1818" s="63" t="s">
        <v>3176</v>
      </c>
    </row>
    <row r="1819" spans="3:12">
      <c r="I1819" s="59">
        <v>106666.96</v>
      </c>
      <c r="J1819" s="63" t="s">
        <v>3177</v>
      </c>
    </row>
    <row r="1820" spans="3:12">
      <c r="I1820" s="90">
        <f>SUM(I1813:I1819)</f>
        <v>10628545.699999999</v>
      </c>
      <c r="J1820" s="63" t="s">
        <v>3178</v>
      </c>
    </row>
    <row r="1821" spans="3:12">
      <c r="I1821" s="59">
        <f>+D2</f>
        <v>10628545.699999999</v>
      </c>
      <c r="J1821" s="63" t="s">
        <v>3179</v>
      </c>
    </row>
    <row r="1822" spans="3:12">
      <c r="I1822" s="88">
        <f>+I1820-I1821</f>
        <v>0</v>
      </c>
      <c r="J1822" s="89" t="s">
        <v>3180</v>
      </c>
    </row>
    <row r="1824" spans="3:12">
      <c r="I1824" s="19">
        <f>+I1822/2</f>
        <v>0</v>
      </c>
    </row>
  </sheetData>
  <autoFilter ref="A4:O1806">
    <filterColumn colId="1">
      <filters>
        <filter val="Pago de servicios ARCA"/>
      </filters>
    </filterColumn>
    <sortState ref="A33:O1768">
      <sortCondition ref="C4:C180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4"/>
  <sheetViews>
    <sheetView zoomScale="85" zoomScaleNormal="85" workbookViewId="0">
      <pane xSplit="2" ySplit="4" topLeftCell="C1784" activePane="bottomRight" state="frozen"/>
      <selection pane="topRight" activeCell="C1" sqref="C1"/>
      <selection pane="bottomLeft" activeCell="A5" sqref="A5"/>
      <selection pane="bottomRight" activeCell="G1819" sqref="G1819"/>
    </sheetView>
  </sheetViews>
  <sheetFormatPr baseColWidth="10" defaultColWidth="9.140625" defaultRowHeight="15"/>
  <cols>
    <col min="1" max="1" width="22.42578125" style="1" customWidth="1"/>
    <col min="2" max="2" width="35" style="1" customWidth="1"/>
    <col min="3" max="3" width="20.140625" style="1" customWidth="1"/>
    <col min="4" max="4" width="20.5703125" style="1" customWidth="1"/>
    <col min="5" max="5" width="19.85546875" style="1" hidden="1" customWidth="1"/>
    <col min="6" max="6" width="16.85546875" style="1" customWidth="1"/>
    <col min="7" max="7" width="18.28515625" style="19" customWidth="1"/>
    <col min="8" max="8" width="17.140625" style="19" bestFit="1" customWidth="1"/>
    <col min="9" max="9" width="54.5703125" style="1" bestFit="1" customWidth="1"/>
    <col min="10" max="16384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1" t="s">
        <v>4</v>
      </c>
      <c r="B2" s="1" t="s">
        <v>5</v>
      </c>
      <c r="C2" s="1" t="s">
        <v>6</v>
      </c>
      <c r="D2" s="1" t="s">
        <v>7</v>
      </c>
    </row>
    <row r="3" spans="1:9">
      <c r="A3" s="1" t="s">
        <v>8</v>
      </c>
    </row>
    <row r="4" spans="1:9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9" t="s">
        <v>3038</v>
      </c>
      <c r="G4" s="19" t="s">
        <v>3039</v>
      </c>
      <c r="H4" s="19" t="s">
        <v>3040</v>
      </c>
      <c r="I4" s="19" t="s">
        <v>3049</v>
      </c>
    </row>
    <row r="5" spans="1:9">
      <c r="A5" s="1" t="s">
        <v>14</v>
      </c>
      <c r="B5" s="1" t="s">
        <v>15</v>
      </c>
      <c r="C5" s="1" t="s">
        <v>16</v>
      </c>
      <c r="D5" s="3">
        <v>8502.2999999999993</v>
      </c>
      <c r="E5" s="3">
        <v>10891110.810000001</v>
      </c>
      <c r="F5" s="1" t="s">
        <v>3048</v>
      </c>
      <c r="G5" s="19">
        <f>+D5</f>
        <v>8502.2999999999993</v>
      </c>
    </row>
    <row r="6" spans="1:9">
      <c r="A6" s="1" t="s">
        <v>14</v>
      </c>
      <c r="B6" s="1" t="s">
        <v>15</v>
      </c>
      <c r="C6" s="1" t="s">
        <v>17</v>
      </c>
      <c r="D6" s="3">
        <v>7794.4</v>
      </c>
      <c r="E6" s="3">
        <v>10898905.210000001</v>
      </c>
      <c r="F6" s="1" t="s">
        <v>3048</v>
      </c>
      <c r="G6" s="19">
        <f t="shared" ref="G6:G9" si="0">+D6</f>
        <v>7794.4</v>
      </c>
    </row>
    <row r="7" spans="1:9">
      <c r="A7" s="1" t="s">
        <v>14</v>
      </c>
      <c r="B7" s="1" t="s">
        <v>15</v>
      </c>
      <c r="C7" s="1" t="s">
        <v>18</v>
      </c>
      <c r="D7" s="3">
        <v>8768.7000000000007</v>
      </c>
      <c r="E7" s="3">
        <v>10907673.91</v>
      </c>
      <c r="F7" s="1" t="s">
        <v>3048</v>
      </c>
      <c r="G7" s="19">
        <f t="shared" si="0"/>
        <v>8768.7000000000007</v>
      </c>
    </row>
    <row r="8" spans="1:9">
      <c r="A8" s="1" t="s">
        <v>14</v>
      </c>
      <c r="B8" s="1" t="s">
        <v>15</v>
      </c>
      <c r="C8" s="1" t="s">
        <v>19</v>
      </c>
      <c r="D8" s="3">
        <v>10912.16</v>
      </c>
      <c r="E8" s="3">
        <v>10918586.07</v>
      </c>
      <c r="F8" s="1" t="s">
        <v>3048</v>
      </c>
      <c r="G8" s="19">
        <f t="shared" si="0"/>
        <v>10912.16</v>
      </c>
    </row>
    <row r="9" spans="1:9">
      <c r="A9" s="1" t="s">
        <v>14</v>
      </c>
      <c r="B9" s="1" t="s">
        <v>15</v>
      </c>
      <c r="C9" s="1" t="s">
        <v>20</v>
      </c>
      <c r="D9" s="3">
        <v>44131.89</v>
      </c>
      <c r="E9" s="3">
        <v>10962717.960000001</v>
      </c>
      <c r="F9" s="1" t="s">
        <v>3048</v>
      </c>
      <c r="G9" s="19">
        <f t="shared" si="0"/>
        <v>44131.89</v>
      </c>
    </row>
    <row r="10" spans="1:9">
      <c r="A10" s="1" t="s">
        <v>41</v>
      </c>
      <c r="B10" s="1" t="s">
        <v>53</v>
      </c>
      <c r="C10" s="1" t="s">
        <v>54</v>
      </c>
      <c r="D10" s="3">
        <v>-84292.74</v>
      </c>
      <c r="E10" s="3">
        <v>10863304.41</v>
      </c>
      <c r="G10" s="19">
        <f>+D10/1.006</f>
        <v>-83790</v>
      </c>
      <c r="H10" s="19">
        <f>+D10-G10</f>
        <v>-502.74000000000524</v>
      </c>
      <c r="I10" s="1" t="s">
        <v>3051</v>
      </c>
    </row>
    <row r="11" spans="1:9">
      <c r="A11" s="1" t="s">
        <v>14</v>
      </c>
      <c r="B11" s="1" t="s">
        <v>15</v>
      </c>
      <c r="C11" s="1" t="s">
        <v>23</v>
      </c>
      <c r="D11" s="2">
        <v>487.15</v>
      </c>
      <c r="E11" s="3">
        <v>10965421.57</v>
      </c>
      <c r="F11" s="1" t="s">
        <v>3048</v>
      </c>
      <c r="G11" s="19">
        <f t="shared" ref="G11:G14" si="1">+D11</f>
        <v>487.15</v>
      </c>
    </row>
    <row r="12" spans="1:9">
      <c r="A12" s="1" t="s">
        <v>14</v>
      </c>
      <c r="B12" s="1" t="s">
        <v>15</v>
      </c>
      <c r="C12" s="1" t="s">
        <v>24</v>
      </c>
      <c r="D12" s="3">
        <v>30103.919999999998</v>
      </c>
      <c r="E12" s="3">
        <v>10995525.49</v>
      </c>
      <c r="F12" s="1" t="s">
        <v>3048</v>
      </c>
      <c r="G12" s="19">
        <f t="shared" si="1"/>
        <v>30103.919999999998</v>
      </c>
    </row>
    <row r="13" spans="1:9">
      <c r="A13" s="1" t="s">
        <v>14</v>
      </c>
      <c r="B13" s="1" t="s">
        <v>15</v>
      </c>
      <c r="C13" s="1" t="s">
        <v>25</v>
      </c>
      <c r="D13" s="3">
        <v>38704.129999999997</v>
      </c>
      <c r="E13" s="3">
        <v>11034229.619999999</v>
      </c>
      <c r="F13" s="1" t="s">
        <v>3048</v>
      </c>
      <c r="G13" s="19">
        <f t="shared" si="1"/>
        <v>38704.129999999997</v>
      </c>
    </row>
    <row r="14" spans="1:9">
      <c r="A14" s="1" t="s">
        <v>14</v>
      </c>
      <c r="B14" s="1" t="s">
        <v>15</v>
      </c>
      <c r="C14" s="1" t="s">
        <v>26</v>
      </c>
      <c r="D14" s="3">
        <v>25721.52</v>
      </c>
      <c r="E14" s="3">
        <v>11059951.140000001</v>
      </c>
      <c r="F14" s="1" t="s">
        <v>3048</v>
      </c>
      <c r="G14" s="19">
        <f t="shared" si="1"/>
        <v>25721.52</v>
      </c>
    </row>
    <row r="15" spans="1:9">
      <c r="A15" s="1" t="s">
        <v>1011</v>
      </c>
      <c r="B15" s="32" t="s">
        <v>53</v>
      </c>
      <c r="C15" s="32" t="s">
        <v>1012</v>
      </c>
      <c r="D15" s="33">
        <v>-51378.43</v>
      </c>
      <c r="E15" s="33">
        <v>14229474.85</v>
      </c>
      <c r="F15" s="32"/>
      <c r="G15" s="19">
        <f>+D15/1.006</f>
        <v>-51071.99801192843</v>
      </c>
      <c r="H15" s="19">
        <f>+D15-G15</f>
        <v>-306.43198807157023</v>
      </c>
      <c r="I15" s="32" t="s">
        <v>3054</v>
      </c>
    </row>
    <row r="16" spans="1:9">
      <c r="A16" s="1" t="s">
        <v>14</v>
      </c>
      <c r="B16" s="1" t="s">
        <v>15</v>
      </c>
      <c r="C16" s="1" t="s">
        <v>29</v>
      </c>
      <c r="D16" s="3">
        <v>12665.9</v>
      </c>
      <c r="E16" s="3">
        <v>11075201.6</v>
      </c>
      <c r="F16" s="1" t="s">
        <v>3048</v>
      </c>
      <c r="G16" s="19">
        <f>+D16</f>
        <v>12665.9</v>
      </c>
    </row>
    <row r="17" spans="1:9">
      <c r="A17" s="1" t="s">
        <v>1039</v>
      </c>
      <c r="B17" s="34" t="s">
        <v>53</v>
      </c>
      <c r="C17" s="34" t="s">
        <v>1056</v>
      </c>
      <c r="D17" s="35">
        <v>-165601.68</v>
      </c>
      <c r="E17" s="35">
        <v>11005032.710000001</v>
      </c>
      <c r="F17" s="34"/>
      <c r="G17" s="19">
        <f>+D17/1.006</f>
        <v>-164613.99602385686</v>
      </c>
      <c r="H17" s="19">
        <f>+D17-G17</f>
        <v>-987.6839761431329</v>
      </c>
      <c r="I17" s="34" t="s">
        <v>2018</v>
      </c>
    </row>
    <row r="18" spans="1:9">
      <c r="A18" s="1" t="s">
        <v>14</v>
      </c>
      <c r="B18" s="1" t="s">
        <v>15</v>
      </c>
      <c r="C18" s="1" t="s">
        <v>32</v>
      </c>
      <c r="D18" s="3">
        <v>20215.64</v>
      </c>
      <c r="E18" s="3">
        <v>11096053.59</v>
      </c>
      <c r="F18" s="1" t="s">
        <v>3048</v>
      </c>
      <c r="G18" s="19">
        <f t="shared" ref="G18:G28" si="2">+D18</f>
        <v>20215.64</v>
      </c>
    </row>
    <row r="19" spans="1:9">
      <c r="A19" s="1" t="s">
        <v>14</v>
      </c>
      <c r="B19" s="1" t="s">
        <v>15</v>
      </c>
      <c r="C19" s="1" t="s">
        <v>33</v>
      </c>
      <c r="D19" s="3">
        <v>28761.05</v>
      </c>
      <c r="E19" s="3">
        <v>11124814.640000001</v>
      </c>
      <c r="F19" s="1" t="s">
        <v>3048</v>
      </c>
      <c r="G19" s="19">
        <f t="shared" si="2"/>
        <v>28761.05</v>
      </c>
    </row>
    <row r="20" spans="1:9">
      <c r="A20" s="1" t="s">
        <v>14</v>
      </c>
      <c r="B20" s="1" t="s">
        <v>15</v>
      </c>
      <c r="C20" s="1" t="s">
        <v>34</v>
      </c>
      <c r="D20" s="3">
        <v>13160.72</v>
      </c>
      <c r="E20" s="3">
        <v>11137975.359999999</v>
      </c>
      <c r="F20" s="1" t="s">
        <v>3048</v>
      </c>
      <c r="G20" s="19">
        <f t="shared" si="2"/>
        <v>13160.72</v>
      </c>
    </row>
    <row r="21" spans="1:9">
      <c r="A21" s="1" t="s">
        <v>14</v>
      </c>
      <c r="B21" s="1" t="s">
        <v>15</v>
      </c>
      <c r="C21" s="1" t="s">
        <v>35</v>
      </c>
      <c r="D21" s="3">
        <v>19484.05</v>
      </c>
      <c r="E21" s="3">
        <v>11157459.41</v>
      </c>
      <c r="F21" s="1" t="s">
        <v>3048</v>
      </c>
      <c r="G21" s="19">
        <f t="shared" si="2"/>
        <v>19484.05</v>
      </c>
    </row>
    <row r="22" spans="1:9">
      <c r="A22" s="1" t="s">
        <v>14</v>
      </c>
      <c r="B22" s="1" t="s">
        <v>15</v>
      </c>
      <c r="C22" s="1" t="s">
        <v>36</v>
      </c>
      <c r="D22" s="3">
        <v>24747.22</v>
      </c>
      <c r="E22" s="3">
        <v>11182206.630000001</v>
      </c>
      <c r="F22" s="1" t="s">
        <v>3048</v>
      </c>
      <c r="G22" s="19">
        <f t="shared" si="2"/>
        <v>24747.22</v>
      </c>
    </row>
    <row r="23" spans="1:9">
      <c r="A23" s="1" t="s">
        <v>14</v>
      </c>
      <c r="B23" s="1" t="s">
        <v>15</v>
      </c>
      <c r="C23" s="1" t="s">
        <v>37</v>
      </c>
      <c r="D23" s="3">
        <v>73459.3</v>
      </c>
      <c r="E23" s="3">
        <v>11255665.93</v>
      </c>
      <c r="F23" s="1" t="s">
        <v>3048</v>
      </c>
      <c r="G23" s="19">
        <f t="shared" si="2"/>
        <v>73459.3</v>
      </c>
    </row>
    <row r="24" spans="1:9">
      <c r="A24" s="1" t="s">
        <v>14</v>
      </c>
      <c r="B24" s="1" t="s">
        <v>15</v>
      </c>
      <c r="C24" s="1" t="s">
        <v>38</v>
      </c>
      <c r="D24" s="3">
        <v>38972</v>
      </c>
      <c r="E24" s="3">
        <v>11294637.93</v>
      </c>
      <c r="F24" s="1" t="s">
        <v>3048</v>
      </c>
      <c r="G24" s="19">
        <f t="shared" si="2"/>
        <v>38972</v>
      </c>
    </row>
    <row r="25" spans="1:9">
      <c r="A25" s="1" t="s">
        <v>14</v>
      </c>
      <c r="B25" s="1" t="s">
        <v>15</v>
      </c>
      <c r="C25" s="1" t="s">
        <v>39</v>
      </c>
      <c r="D25" s="3">
        <v>29226.080000000002</v>
      </c>
      <c r="E25" s="3">
        <v>11323864.01</v>
      </c>
      <c r="F25" s="1" t="s">
        <v>3048</v>
      </c>
      <c r="G25" s="19">
        <f t="shared" si="2"/>
        <v>29226.080000000002</v>
      </c>
    </row>
    <row r="26" spans="1:9">
      <c r="A26" s="1" t="s">
        <v>14</v>
      </c>
      <c r="B26" s="1" t="s">
        <v>15</v>
      </c>
      <c r="C26" s="1" t="s">
        <v>40</v>
      </c>
      <c r="D26" s="3">
        <v>17050.25</v>
      </c>
      <c r="E26" s="3">
        <v>11340914.26</v>
      </c>
      <c r="F26" s="1" t="s">
        <v>3048</v>
      </c>
      <c r="G26" s="19">
        <f t="shared" si="2"/>
        <v>17050.25</v>
      </c>
    </row>
    <row r="27" spans="1:9">
      <c r="A27" s="1" t="s">
        <v>41</v>
      </c>
      <c r="B27" s="1" t="s">
        <v>15</v>
      </c>
      <c r="C27" s="1" t="s">
        <v>42</v>
      </c>
      <c r="D27" s="3">
        <v>9645.57</v>
      </c>
      <c r="E27" s="3">
        <v>11350559.83</v>
      </c>
      <c r="F27" s="1" t="s">
        <v>3048</v>
      </c>
      <c r="G27" s="19">
        <f t="shared" si="2"/>
        <v>9645.57</v>
      </c>
    </row>
    <row r="28" spans="1:9">
      <c r="A28" s="1" t="s">
        <v>41</v>
      </c>
      <c r="B28" s="1" t="s">
        <v>15</v>
      </c>
      <c r="C28" s="1" t="s">
        <v>43</v>
      </c>
      <c r="D28" s="3">
        <v>14321.24</v>
      </c>
      <c r="E28" s="3">
        <v>11364881.07</v>
      </c>
      <c r="F28" s="1" t="s">
        <v>3048</v>
      </c>
      <c r="G28" s="19">
        <f t="shared" si="2"/>
        <v>14321.24</v>
      </c>
    </row>
    <row r="29" spans="1:9">
      <c r="A29" s="1" t="s">
        <v>1039</v>
      </c>
      <c r="B29" s="34" t="s">
        <v>53</v>
      </c>
      <c r="C29" s="34" t="s">
        <v>1057</v>
      </c>
      <c r="D29" s="35">
        <v>-82800.84</v>
      </c>
      <c r="E29" s="35">
        <v>10922231.869999999</v>
      </c>
      <c r="F29" s="34"/>
      <c r="G29" s="19">
        <f>+D29/1.006</f>
        <v>-82306.99801192843</v>
      </c>
      <c r="H29" s="19">
        <f>+D29-G29</f>
        <v>-493.84198807156645</v>
      </c>
      <c r="I29" s="34" t="s">
        <v>2018</v>
      </c>
    </row>
    <row r="30" spans="1:9">
      <c r="A30" s="1" t="s">
        <v>41</v>
      </c>
      <c r="B30" s="1" t="s">
        <v>15</v>
      </c>
      <c r="C30" s="1" t="s">
        <v>46</v>
      </c>
      <c r="D30" s="3">
        <v>32970.03</v>
      </c>
      <c r="E30" s="3">
        <v>11400008.82</v>
      </c>
      <c r="F30" s="1" t="s">
        <v>3048</v>
      </c>
      <c r="G30" s="19">
        <f t="shared" ref="G30:G32" si="3">+D30</f>
        <v>32970.03</v>
      </c>
    </row>
    <row r="31" spans="1:9">
      <c r="A31" s="1" t="s">
        <v>41</v>
      </c>
      <c r="B31" s="1" t="s">
        <v>15</v>
      </c>
      <c r="C31" s="1" t="s">
        <v>47</v>
      </c>
      <c r="D31" s="3">
        <v>33192.11</v>
      </c>
      <c r="E31" s="3">
        <v>11433200.93</v>
      </c>
      <c r="F31" s="1" t="s">
        <v>3048</v>
      </c>
      <c r="G31" s="19">
        <f t="shared" si="3"/>
        <v>33192.11</v>
      </c>
    </row>
    <row r="32" spans="1:9">
      <c r="A32" s="1" t="s">
        <v>41</v>
      </c>
      <c r="B32" s="1" t="s">
        <v>15</v>
      </c>
      <c r="C32" s="1" t="s">
        <v>48</v>
      </c>
      <c r="D32" s="3">
        <v>4354.6499999999996</v>
      </c>
      <c r="E32" s="3">
        <v>11437555.58</v>
      </c>
      <c r="F32" s="1" t="s">
        <v>3048</v>
      </c>
      <c r="G32" s="19">
        <f t="shared" si="3"/>
        <v>4354.6499999999996</v>
      </c>
    </row>
    <row r="33" spans="1:9">
      <c r="A33" s="1" t="s">
        <v>41</v>
      </c>
      <c r="B33" s="1" t="s">
        <v>49</v>
      </c>
      <c r="C33" s="1" t="s">
        <v>50</v>
      </c>
      <c r="D33" s="3">
        <v>-193742.33</v>
      </c>
      <c r="E33" s="3">
        <v>11243813.25</v>
      </c>
      <c r="G33" s="19">
        <f>+D33/1.006</f>
        <v>-192586.8091451292</v>
      </c>
      <c r="H33" s="19">
        <f>+D33-G33</f>
        <v>-1155.5208548707888</v>
      </c>
    </row>
    <row r="34" spans="1:9">
      <c r="A34" s="1" t="s">
        <v>1039</v>
      </c>
      <c r="B34" s="1" t="s">
        <v>53</v>
      </c>
      <c r="C34" s="1" t="s">
        <v>1058</v>
      </c>
      <c r="D34" s="3">
        <v>-367900.24</v>
      </c>
      <c r="E34" s="3">
        <v>10554331.630000001</v>
      </c>
      <c r="G34" s="19">
        <f>+D34/1.006</f>
        <v>-365706.00397614314</v>
      </c>
      <c r="H34" s="19">
        <f>+D34-G34</f>
        <v>-2194.2360238568508</v>
      </c>
      <c r="I34" s="1" t="s">
        <v>3052</v>
      </c>
    </row>
    <row r="35" spans="1:9">
      <c r="A35" s="1" t="s">
        <v>41</v>
      </c>
      <c r="B35" s="1" t="s">
        <v>49</v>
      </c>
      <c r="C35" s="1" t="s">
        <v>52</v>
      </c>
      <c r="D35" s="3">
        <v>-293293.89</v>
      </c>
      <c r="E35" s="3">
        <v>10949356.91</v>
      </c>
      <c r="G35" s="19">
        <f>+D35/1.006</f>
        <v>-291544.62226640159</v>
      </c>
      <c r="H35" s="19">
        <f>+D35-G35</f>
        <v>-1749.267733598419</v>
      </c>
    </row>
    <row r="36" spans="1:9">
      <c r="A36" s="1" t="s">
        <v>1400</v>
      </c>
      <c r="B36" s="1" t="s">
        <v>53</v>
      </c>
      <c r="C36" s="1" t="s">
        <v>1406</v>
      </c>
      <c r="D36" s="3">
        <v>-36832.06</v>
      </c>
      <c r="E36" s="3">
        <v>10918996.25</v>
      </c>
      <c r="F36" s="30"/>
      <c r="G36" s="19">
        <f t="shared" ref="G36:G37" si="4">+D36/1.006</f>
        <v>-36612.385685884692</v>
      </c>
      <c r="H36" s="19">
        <f t="shared" ref="H36:H37" si="5">+D36-G36</f>
        <v>-219.67431411530561</v>
      </c>
      <c r="I36" s="30" t="s">
        <v>2020</v>
      </c>
    </row>
    <row r="37" spans="1:9">
      <c r="A37" s="1" t="s">
        <v>1428</v>
      </c>
      <c r="B37" s="1" t="s">
        <v>53</v>
      </c>
      <c r="C37" s="1" t="s">
        <v>1456</v>
      </c>
      <c r="D37" s="3">
        <v>-374232</v>
      </c>
      <c r="E37" s="3">
        <v>10487139.960000001</v>
      </c>
      <c r="G37" s="19">
        <f t="shared" si="4"/>
        <v>-372000</v>
      </c>
      <c r="H37" s="19">
        <f t="shared" si="5"/>
        <v>-2232</v>
      </c>
      <c r="I37" s="1" t="s">
        <v>3053</v>
      </c>
    </row>
    <row r="38" spans="1:9">
      <c r="A38" s="1" t="s">
        <v>41</v>
      </c>
      <c r="B38" s="1" t="s">
        <v>55</v>
      </c>
      <c r="C38" s="1" t="s">
        <v>56</v>
      </c>
      <c r="D38" s="3">
        <v>-203693.9</v>
      </c>
      <c r="E38" s="3">
        <v>10659610.51</v>
      </c>
      <c r="G38" s="19">
        <f t="shared" ref="G38:G43" si="6">+D38/1.006</f>
        <v>-202479.02584493041</v>
      </c>
      <c r="H38" s="19">
        <f t="shared" ref="H38:H43" si="7">+D38-G38</f>
        <v>-1214.874155069585</v>
      </c>
    </row>
    <row r="39" spans="1:9">
      <c r="A39" s="1" t="s">
        <v>761</v>
      </c>
      <c r="B39" s="1" t="s">
        <v>773</v>
      </c>
      <c r="C39" s="1" t="s">
        <v>774</v>
      </c>
      <c r="D39" s="3">
        <v>-30049.69</v>
      </c>
      <c r="E39" s="3">
        <v>11485499.34</v>
      </c>
      <c r="G39" s="19">
        <f t="shared" si="6"/>
        <v>-29870.467196819085</v>
      </c>
      <c r="H39" s="19">
        <f t="shared" si="7"/>
        <v>-179.22280318091362</v>
      </c>
    </row>
    <row r="40" spans="1:9">
      <c r="A40" s="1" t="s">
        <v>41</v>
      </c>
      <c r="B40" s="1" t="s">
        <v>55</v>
      </c>
      <c r="C40" s="1" t="s">
        <v>57</v>
      </c>
      <c r="D40" s="3">
        <v>-54034.239999999998</v>
      </c>
      <c r="E40" s="3">
        <v>10604354.109999999</v>
      </c>
      <c r="G40" s="19">
        <f t="shared" si="6"/>
        <v>-53711.968190854866</v>
      </c>
      <c r="H40" s="19">
        <f t="shared" si="7"/>
        <v>-322.27180914513156</v>
      </c>
    </row>
    <row r="41" spans="1:9">
      <c r="A41" s="1" t="s">
        <v>1039</v>
      </c>
      <c r="B41" s="34" t="s">
        <v>1061</v>
      </c>
      <c r="C41" s="34" t="s">
        <v>1057</v>
      </c>
      <c r="D41" s="35">
        <v>82800.84</v>
      </c>
      <c r="E41" s="35">
        <v>10436268.18</v>
      </c>
      <c r="F41" s="34"/>
      <c r="G41" s="19">
        <f t="shared" si="6"/>
        <v>82306.99801192843</v>
      </c>
      <c r="H41" s="19">
        <f t="shared" si="7"/>
        <v>493.84198807156645</v>
      </c>
      <c r="I41" s="34" t="s">
        <v>2019</v>
      </c>
    </row>
    <row r="42" spans="1:9">
      <c r="A42" s="1" t="s">
        <v>41</v>
      </c>
      <c r="B42" s="1" t="s">
        <v>55</v>
      </c>
      <c r="C42" s="1" t="s">
        <v>58</v>
      </c>
      <c r="D42" s="3">
        <v>-217667.97</v>
      </c>
      <c r="E42" s="3">
        <v>10386361.93</v>
      </c>
      <c r="G42" s="19">
        <f t="shared" si="6"/>
        <v>-216369.75149105367</v>
      </c>
      <c r="H42" s="19">
        <f t="shared" si="7"/>
        <v>-1298.218508946331</v>
      </c>
    </row>
    <row r="43" spans="1:9">
      <c r="A43" s="1" t="s">
        <v>1039</v>
      </c>
      <c r="B43" s="34" t="s">
        <v>1061</v>
      </c>
      <c r="C43" s="34" t="s">
        <v>1056</v>
      </c>
      <c r="D43" s="35">
        <v>165601.68</v>
      </c>
      <c r="E43" s="35">
        <v>10601869.859999999</v>
      </c>
      <c r="F43" s="34"/>
      <c r="G43" s="19">
        <f t="shared" si="6"/>
        <v>164613.99602385686</v>
      </c>
      <c r="H43" s="19">
        <f t="shared" si="7"/>
        <v>987.6839761431329</v>
      </c>
      <c r="I43" s="34" t="s">
        <v>2019</v>
      </c>
    </row>
    <row r="44" spans="1:9">
      <c r="A44" s="1" t="s">
        <v>41</v>
      </c>
      <c r="B44" s="1" t="s">
        <v>15</v>
      </c>
      <c r="C44" s="1" t="s">
        <v>59</v>
      </c>
      <c r="D44" s="3">
        <v>9548.14</v>
      </c>
      <c r="E44" s="3">
        <v>10394604.060000001</v>
      </c>
      <c r="F44" s="1" t="s">
        <v>3048</v>
      </c>
      <c r="G44" s="19">
        <f t="shared" ref="G44:G46" si="8">+D44</f>
        <v>9548.14</v>
      </c>
    </row>
    <row r="45" spans="1:9">
      <c r="A45" s="1" t="s">
        <v>41</v>
      </c>
      <c r="B45" s="1" t="s">
        <v>15</v>
      </c>
      <c r="C45" s="1" t="s">
        <v>60</v>
      </c>
      <c r="D45" s="3">
        <v>9353.2800000000007</v>
      </c>
      <c r="E45" s="3">
        <v>10403957.34</v>
      </c>
      <c r="F45" s="1" t="s">
        <v>3048</v>
      </c>
      <c r="G45" s="19">
        <f t="shared" si="8"/>
        <v>9353.2800000000007</v>
      </c>
    </row>
    <row r="46" spans="1:9">
      <c r="A46" s="1" t="s">
        <v>41</v>
      </c>
      <c r="B46" s="1" t="s">
        <v>15</v>
      </c>
      <c r="C46" s="1" t="s">
        <v>61</v>
      </c>
      <c r="D46" s="3">
        <v>13932.49</v>
      </c>
      <c r="E46" s="3">
        <v>10417889.83</v>
      </c>
      <c r="F46" s="1" t="s">
        <v>3048</v>
      </c>
      <c r="G46" s="19">
        <f t="shared" si="8"/>
        <v>13932.49</v>
      </c>
    </row>
    <row r="47" spans="1:9">
      <c r="A47" s="1" t="s">
        <v>1377</v>
      </c>
      <c r="B47" s="6" t="s">
        <v>1385</v>
      </c>
      <c r="C47" s="6" t="s">
        <v>1384</v>
      </c>
      <c r="D47" s="31">
        <v>349480.54</v>
      </c>
      <c r="E47" s="31">
        <v>15392583.859999999</v>
      </c>
      <c r="F47" s="6"/>
      <c r="G47" s="19">
        <f>+D47/1.006</f>
        <v>347396.16302186879</v>
      </c>
      <c r="H47" s="19">
        <f>+D47-G47</f>
        <v>2084.3769781311858</v>
      </c>
      <c r="I47" s="6" t="s">
        <v>2019</v>
      </c>
    </row>
    <row r="48" spans="1:9">
      <c r="A48" s="1" t="s">
        <v>41</v>
      </c>
      <c r="B48" s="1" t="s">
        <v>15</v>
      </c>
      <c r="C48" s="1" t="s">
        <v>64</v>
      </c>
      <c r="D48" s="3">
        <v>12958.19</v>
      </c>
      <c r="E48" s="3">
        <v>10432947.970000001</v>
      </c>
      <c r="F48" s="1" t="s">
        <v>3048</v>
      </c>
      <c r="G48" s="19">
        <f>+D48</f>
        <v>12958.19</v>
      </c>
    </row>
    <row r="49" spans="1:9">
      <c r="A49" s="1" t="s">
        <v>1377</v>
      </c>
      <c r="B49" s="6" t="s">
        <v>1385</v>
      </c>
      <c r="C49" s="6" t="s">
        <v>1387</v>
      </c>
      <c r="D49" s="31">
        <v>349480.54</v>
      </c>
      <c r="E49" s="31">
        <v>14047038.74</v>
      </c>
      <c r="F49" s="6"/>
      <c r="G49" s="19">
        <f>+D49/1.006</f>
        <v>347396.16302186879</v>
      </c>
      <c r="H49" s="19">
        <f>+D49-G49</f>
        <v>2084.3769781311858</v>
      </c>
      <c r="I49" s="6" t="s">
        <v>2019</v>
      </c>
    </row>
    <row r="50" spans="1:9">
      <c r="A50" s="1" t="s">
        <v>41</v>
      </c>
      <c r="B50" s="1" t="s">
        <v>15</v>
      </c>
      <c r="C50" s="1" t="s">
        <v>67</v>
      </c>
      <c r="D50" s="3">
        <v>30598.36</v>
      </c>
      <c r="E50" s="3">
        <v>10464848.4</v>
      </c>
      <c r="F50" s="1" t="s">
        <v>3048</v>
      </c>
      <c r="G50" s="19">
        <f t="shared" ref="G50:G53" si="9">+D50</f>
        <v>30598.36</v>
      </c>
    </row>
    <row r="51" spans="1:9">
      <c r="A51" s="1" t="s">
        <v>41</v>
      </c>
      <c r="B51" s="1" t="s">
        <v>15</v>
      </c>
      <c r="C51" s="1" t="s">
        <v>68</v>
      </c>
      <c r="D51" s="3">
        <v>4676.6400000000003</v>
      </c>
      <c r="E51" s="3">
        <v>10469525.039999999</v>
      </c>
      <c r="F51" s="1" t="s">
        <v>3048</v>
      </c>
      <c r="G51" s="19">
        <f t="shared" si="9"/>
        <v>4676.6400000000003</v>
      </c>
    </row>
    <row r="52" spans="1:9">
      <c r="A52" s="1" t="s">
        <v>41</v>
      </c>
      <c r="B52" s="1" t="s">
        <v>15</v>
      </c>
      <c r="C52" s="1" t="s">
        <v>69</v>
      </c>
      <c r="D52" s="3">
        <v>4534.5600000000004</v>
      </c>
      <c r="E52" s="3">
        <v>10474059.6</v>
      </c>
      <c r="F52" s="1" t="s">
        <v>3048</v>
      </c>
      <c r="G52" s="19">
        <f t="shared" si="9"/>
        <v>4534.5600000000004</v>
      </c>
    </row>
    <row r="53" spans="1:9">
      <c r="A53" s="1" t="s">
        <v>41</v>
      </c>
      <c r="B53" s="1" t="s">
        <v>15</v>
      </c>
      <c r="C53" s="1" t="s">
        <v>70</v>
      </c>
      <c r="D53" s="3">
        <v>37705.410000000003</v>
      </c>
      <c r="E53" s="3">
        <v>10511765.01</v>
      </c>
      <c r="F53" s="1" t="s">
        <v>3048</v>
      </c>
      <c r="G53" s="19">
        <f t="shared" si="9"/>
        <v>37705.410000000003</v>
      </c>
    </row>
    <row r="54" spans="1:9">
      <c r="A54" s="1" t="s">
        <v>41</v>
      </c>
      <c r="B54" s="1" t="s">
        <v>51</v>
      </c>
      <c r="C54" s="1" t="s">
        <v>50</v>
      </c>
      <c r="D54" s="3">
        <v>-1162.45</v>
      </c>
      <c r="E54" s="3">
        <v>11242650.800000001</v>
      </c>
      <c r="G54" s="19">
        <f>+D54</f>
        <v>-1162.45</v>
      </c>
      <c r="H54" s="19">
        <f>+D54-G54</f>
        <v>0</v>
      </c>
    </row>
    <row r="55" spans="1:9">
      <c r="A55" s="1" t="s">
        <v>41</v>
      </c>
      <c r="B55" s="1" t="s">
        <v>15</v>
      </c>
      <c r="C55" s="1" t="s">
        <v>73</v>
      </c>
      <c r="D55" s="3">
        <v>8768.7000000000007</v>
      </c>
      <c r="E55" s="3">
        <v>10522428.07</v>
      </c>
      <c r="F55" s="1" t="s">
        <v>3048</v>
      </c>
      <c r="G55" s="19">
        <f t="shared" ref="G55:G56" si="10">+D55</f>
        <v>8768.7000000000007</v>
      </c>
    </row>
    <row r="56" spans="1:9">
      <c r="A56" s="1" t="s">
        <v>41</v>
      </c>
      <c r="B56" s="1" t="s">
        <v>15</v>
      </c>
      <c r="C56" s="1" t="s">
        <v>74</v>
      </c>
      <c r="D56" s="3">
        <v>4676.6400000000003</v>
      </c>
      <c r="E56" s="3">
        <v>10527104.710000001</v>
      </c>
      <c r="F56" s="1" t="s">
        <v>3048</v>
      </c>
      <c r="G56" s="19">
        <f t="shared" si="10"/>
        <v>4676.6400000000003</v>
      </c>
    </row>
    <row r="57" spans="1:9">
      <c r="A57" s="1" t="s">
        <v>41</v>
      </c>
      <c r="B57" s="1" t="s">
        <v>51</v>
      </c>
      <c r="C57" s="1" t="s">
        <v>52</v>
      </c>
      <c r="D57" s="3">
        <v>-1759.76</v>
      </c>
      <c r="E57" s="3">
        <v>10947597.15</v>
      </c>
      <c r="G57" s="19">
        <f>+D57</f>
        <v>-1759.76</v>
      </c>
      <c r="H57" s="19">
        <f>+D57-G57</f>
        <v>0</v>
      </c>
    </row>
    <row r="58" spans="1:9">
      <c r="A58" s="1" t="s">
        <v>41</v>
      </c>
      <c r="B58" s="1" t="s">
        <v>15</v>
      </c>
      <c r="C58" s="1" t="s">
        <v>77</v>
      </c>
      <c r="D58" s="3">
        <v>4286.92</v>
      </c>
      <c r="E58" s="3">
        <v>10531861.550000001</v>
      </c>
      <c r="F58" s="1" t="s">
        <v>3048</v>
      </c>
      <c r="G58" s="19">
        <f t="shared" ref="G58:G67" si="11">+D58</f>
        <v>4286.92</v>
      </c>
    </row>
    <row r="59" spans="1:9">
      <c r="A59" s="1" t="s">
        <v>41</v>
      </c>
      <c r="B59" s="1" t="s">
        <v>15</v>
      </c>
      <c r="C59" s="1" t="s">
        <v>78</v>
      </c>
      <c r="D59" s="3">
        <v>3967.74</v>
      </c>
      <c r="E59" s="3">
        <v>10535829.289999999</v>
      </c>
      <c r="F59" s="1" t="s">
        <v>3048</v>
      </c>
      <c r="G59" s="19">
        <f t="shared" si="11"/>
        <v>3967.74</v>
      </c>
    </row>
    <row r="60" spans="1:9">
      <c r="A60" s="1" t="s">
        <v>41</v>
      </c>
      <c r="B60" s="1" t="s">
        <v>15</v>
      </c>
      <c r="C60" s="1" t="s">
        <v>79</v>
      </c>
      <c r="D60" s="3">
        <v>3967.74</v>
      </c>
      <c r="E60" s="3">
        <v>10539797.029999999</v>
      </c>
      <c r="F60" s="1" t="s">
        <v>3048</v>
      </c>
      <c r="G60" s="19">
        <f t="shared" si="11"/>
        <v>3967.74</v>
      </c>
    </row>
    <row r="61" spans="1:9">
      <c r="A61" s="1" t="s">
        <v>41</v>
      </c>
      <c r="B61" s="1" t="s">
        <v>15</v>
      </c>
      <c r="C61" s="1" t="s">
        <v>80</v>
      </c>
      <c r="D61" s="3">
        <v>25342.2</v>
      </c>
      <c r="E61" s="3">
        <v>10565139.23</v>
      </c>
      <c r="F61" s="1" t="s">
        <v>3048</v>
      </c>
      <c r="G61" s="19">
        <f t="shared" si="11"/>
        <v>25342.2</v>
      </c>
    </row>
    <row r="62" spans="1:9">
      <c r="A62" s="1" t="s">
        <v>41</v>
      </c>
      <c r="B62" s="1" t="s">
        <v>15</v>
      </c>
      <c r="C62" s="1" t="s">
        <v>81</v>
      </c>
      <c r="D62" s="3">
        <v>14322.21</v>
      </c>
      <c r="E62" s="3">
        <v>10579461.439999999</v>
      </c>
      <c r="F62" s="1" t="s">
        <v>3048</v>
      </c>
      <c r="G62" s="19">
        <f t="shared" si="11"/>
        <v>14322.21</v>
      </c>
    </row>
    <row r="63" spans="1:9">
      <c r="A63" s="1" t="s">
        <v>41</v>
      </c>
      <c r="B63" s="1" t="s">
        <v>15</v>
      </c>
      <c r="C63" s="1" t="s">
        <v>82</v>
      </c>
      <c r="D63" s="3">
        <v>4534.5600000000004</v>
      </c>
      <c r="E63" s="3">
        <v>10583996</v>
      </c>
      <c r="F63" s="1" t="s">
        <v>3048</v>
      </c>
      <c r="G63" s="19">
        <f t="shared" si="11"/>
        <v>4534.5600000000004</v>
      </c>
    </row>
    <row r="64" spans="1:9">
      <c r="A64" s="1" t="s">
        <v>41</v>
      </c>
      <c r="B64" s="1" t="s">
        <v>15</v>
      </c>
      <c r="C64" s="1" t="s">
        <v>83</v>
      </c>
      <c r="D64" s="3">
        <v>4676.6400000000003</v>
      </c>
      <c r="E64" s="3">
        <v>10588672.640000001</v>
      </c>
      <c r="F64" s="1" t="s">
        <v>3048</v>
      </c>
      <c r="G64" s="19">
        <f t="shared" si="11"/>
        <v>4676.6400000000003</v>
      </c>
    </row>
    <row r="65" spans="1:8">
      <c r="A65" s="1" t="s">
        <v>41</v>
      </c>
      <c r="B65" s="1" t="s">
        <v>15</v>
      </c>
      <c r="C65" s="1" t="s">
        <v>84</v>
      </c>
      <c r="D65" s="3">
        <v>9743</v>
      </c>
      <c r="E65" s="3">
        <v>10598415.640000001</v>
      </c>
      <c r="F65" s="1" t="s">
        <v>3048</v>
      </c>
      <c r="G65" s="19">
        <f t="shared" si="11"/>
        <v>9743</v>
      </c>
    </row>
    <row r="66" spans="1:8">
      <c r="A66" s="1" t="s">
        <v>41</v>
      </c>
      <c r="B66" s="1" t="s">
        <v>15</v>
      </c>
      <c r="C66" s="1" t="s">
        <v>85</v>
      </c>
      <c r="D66" s="3">
        <v>29234.38</v>
      </c>
      <c r="E66" s="3">
        <v>10627650.02</v>
      </c>
      <c r="F66" s="1" t="s">
        <v>3048</v>
      </c>
      <c r="G66" s="19">
        <f t="shared" si="11"/>
        <v>29234.38</v>
      </c>
    </row>
    <row r="67" spans="1:8">
      <c r="A67" s="1" t="s">
        <v>41</v>
      </c>
      <c r="B67" s="1" t="s">
        <v>15</v>
      </c>
      <c r="C67" s="1" t="s">
        <v>86</v>
      </c>
      <c r="D67" s="3">
        <v>33905.64</v>
      </c>
      <c r="E67" s="3">
        <v>10661555.66</v>
      </c>
      <c r="F67" s="1" t="s">
        <v>3048</v>
      </c>
      <c r="G67" s="19">
        <f t="shared" si="11"/>
        <v>33905.64</v>
      </c>
    </row>
    <row r="68" spans="1:8">
      <c r="A68" s="1" t="s">
        <v>41</v>
      </c>
      <c r="B68" s="1" t="s">
        <v>51</v>
      </c>
      <c r="C68" s="1" t="s">
        <v>56</v>
      </c>
      <c r="D68" s="3">
        <v>-1222.1600000000001</v>
      </c>
      <c r="E68" s="3">
        <v>10658388.35</v>
      </c>
      <c r="G68" s="19">
        <f>+D68</f>
        <v>-1222.1600000000001</v>
      </c>
      <c r="H68" s="19">
        <f>+D68-G68</f>
        <v>0</v>
      </c>
    </row>
    <row r="69" spans="1:8">
      <c r="A69" s="1" t="s">
        <v>41</v>
      </c>
      <c r="B69" s="1" t="s">
        <v>15</v>
      </c>
      <c r="C69" s="1" t="s">
        <v>88</v>
      </c>
      <c r="D69" s="3">
        <v>5628.98</v>
      </c>
      <c r="E69" s="3">
        <v>10672295.02</v>
      </c>
      <c r="F69" s="1" t="s">
        <v>3048</v>
      </c>
      <c r="G69" s="19">
        <f t="shared" ref="G69:G77" si="12">+D69</f>
        <v>5628.98</v>
      </c>
    </row>
    <row r="70" spans="1:8">
      <c r="A70" s="1" t="s">
        <v>41</v>
      </c>
      <c r="B70" s="1" t="s">
        <v>15</v>
      </c>
      <c r="C70" s="1" t="s">
        <v>89</v>
      </c>
      <c r="D70" s="3">
        <v>8768.7000000000007</v>
      </c>
      <c r="E70" s="3">
        <v>10681063.720000001</v>
      </c>
      <c r="F70" s="1" t="s">
        <v>3048</v>
      </c>
      <c r="G70" s="19">
        <f t="shared" si="12"/>
        <v>8768.7000000000007</v>
      </c>
    </row>
    <row r="71" spans="1:8">
      <c r="A71" s="1" t="s">
        <v>41</v>
      </c>
      <c r="B71" s="1" t="s">
        <v>15</v>
      </c>
      <c r="C71" s="1" t="s">
        <v>90</v>
      </c>
      <c r="D71" s="3">
        <v>4676.6400000000003</v>
      </c>
      <c r="E71" s="3">
        <v>10685740.359999999</v>
      </c>
      <c r="F71" s="1" t="s">
        <v>3048</v>
      </c>
      <c r="G71" s="19">
        <f t="shared" si="12"/>
        <v>4676.6400000000003</v>
      </c>
    </row>
    <row r="72" spans="1:8">
      <c r="A72" s="1" t="s">
        <v>41</v>
      </c>
      <c r="B72" s="1" t="s">
        <v>15</v>
      </c>
      <c r="C72" s="1" t="s">
        <v>91</v>
      </c>
      <c r="D72" s="3">
        <v>3897.2</v>
      </c>
      <c r="E72" s="3">
        <v>10689637.560000001</v>
      </c>
      <c r="F72" s="1" t="s">
        <v>3048</v>
      </c>
      <c r="G72" s="19">
        <f t="shared" si="12"/>
        <v>3897.2</v>
      </c>
    </row>
    <row r="73" spans="1:8">
      <c r="A73" s="1" t="s">
        <v>41</v>
      </c>
      <c r="B73" s="1" t="s">
        <v>15</v>
      </c>
      <c r="C73" s="1" t="s">
        <v>92</v>
      </c>
      <c r="D73" s="3">
        <v>11301.88</v>
      </c>
      <c r="E73" s="3">
        <v>10700939.439999999</v>
      </c>
      <c r="F73" s="1" t="s">
        <v>3048</v>
      </c>
      <c r="G73" s="19">
        <f t="shared" si="12"/>
        <v>11301.88</v>
      </c>
    </row>
    <row r="74" spans="1:8">
      <c r="A74" s="1" t="s">
        <v>41</v>
      </c>
      <c r="B74" s="1" t="s">
        <v>15</v>
      </c>
      <c r="C74" s="1" t="s">
        <v>93</v>
      </c>
      <c r="D74" s="3">
        <v>3897.2</v>
      </c>
      <c r="E74" s="3">
        <v>10704836.640000001</v>
      </c>
      <c r="F74" s="1" t="s">
        <v>3048</v>
      </c>
      <c r="G74" s="19">
        <f t="shared" si="12"/>
        <v>3897.2</v>
      </c>
    </row>
    <row r="75" spans="1:8">
      <c r="A75" s="1" t="s">
        <v>41</v>
      </c>
      <c r="B75" s="1" t="s">
        <v>15</v>
      </c>
      <c r="C75" s="1" t="s">
        <v>94</v>
      </c>
      <c r="D75" s="3">
        <v>11169.34</v>
      </c>
      <c r="E75" s="3">
        <v>10716005.98</v>
      </c>
      <c r="F75" s="1" t="s">
        <v>3048</v>
      </c>
      <c r="G75" s="19">
        <f t="shared" si="12"/>
        <v>11169.34</v>
      </c>
    </row>
    <row r="76" spans="1:8">
      <c r="A76" s="1" t="s">
        <v>41</v>
      </c>
      <c r="B76" s="1" t="s">
        <v>15</v>
      </c>
      <c r="C76" s="1" t="s">
        <v>95</v>
      </c>
      <c r="D76" s="3">
        <v>7404.68</v>
      </c>
      <c r="E76" s="3">
        <v>10723410.66</v>
      </c>
      <c r="F76" s="1" t="s">
        <v>3048</v>
      </c>
      <c r="G76" s="19">
        <f t="shared" si="12"/>
        <v>7404.68</v>
      </c>
    </row>
    <row r="77" spans="1:8">
      <c r="A77" s="1" t="s">
        <v>41</v>
      </c>
      <c r="B77" s="1" t="s">
        <v>15</v>
      </c>
      <c r="C77" s="1" t="s">
        <v>96</v>
      </c>
      <c r="D77" s="3">
        <v>33955.46</v>
      </c>
      <c r="E77" s="3">
        <v>10757366.119999999</v>
      </c>
      <c r="F77" s="1" t="s">
        <v>3048</v>
      </c>
      <c r="G77" s="19">
        <f t="shared" si="12"/>
        <v>33955.46</v>
      </c>
    </row>
    <row r="78" spans="1:8">
      <c r="A78" s="1" t="s">
        <v>41</v>
      </c>
      <c r="B78" s="1" t="s">
        <v>51</v>
      </c>
      <c r="C78" s="1" t="s">
        <v>57</v>
      </c>
      <c r="D78" s="2">
        <v>-324.20999999999998</v>
      </c>
      <c r="E78" s="3">
        <v>10604029.9</v>
      </c>
      <c r="G78" s="19">
        <f>+D78</f>
        <v>-324.20999999999998</v>
      </c>
      <c r="H78" s="19">
        <f>+D78-G78</f>
        <v>0</v>
      </c>
    </row>
    <row r="79" spans="1:8">
      <c r="A79" s="1" t="s">
        <v>41</v>
      </c>
      <c r="B79" s="1" t="s">
        <v>15</v>
      </c>
      <c r="C79" s="1" t="s">
        <v>99</v>
      </c>
      <c r="D79" s="3">
        <v>4384.3500000000004</v>
      </c>
      <c r="E79" s="3">
        <v>10765411.93</v>
      </c>
      <c r="F79" s="1" t="s">
        <v>3048</v>
      </c>
      <c r="G79" s="19">
        <f t="shared" ref="G79:G90" si="13">+D79</f>
        <v>4384.3500000000004</v>
      </c>
    </row>
    <row r="80" spans="1:8">
      <c r="A80" s="1" t="s">
        <v>41</v>
      </c>
      <c r="B80" s="1" t="s">
        <v>15</v>
      </c>
      <c r="C80" s="1" t="s">
        <v>100</v>
      </c>
      <c r="D80" s="3">
        <v>3967.74</v>
      </c>
      <c r="E80" s="3">
        <v>10769379.67</v>
      </c>
      <c r="F80" s="1" t="s">
        <v>3048</v>
      </c>
      <c r="G80" s="19">
        <f t="shared" si="13"/>
        <v>3967.74</v>
      </c>
    </row>
    <row r="81" spans="1:8">
      <c r="A81" s="1" t="s">
        <v>41</v>
      </c>
      <c r="B81" s="1" t="s">
        <v>15</v>
      </c>
      <c r="C81" s="1" t="s">
        <v>101</v>
      </c>
      <c r="D81" s="3">
        <v>9743</v>
      </c>
      <c r="E81" s="3">
        <v>10779122.67</v>
      </c>
      <c r="F81" s="1" t="s">
        <v>3048</v>
      </c>
      <c r="G81" s="19">
        <f t="shared" si="13"/>
        <v>9743</v>
      </c>
    </row>
    <row r="82" spans="1:8">
      <c r="A82" s="1" t="s">
        <v>41</v>
      </c>
      <c r="B82" s="1" t="s">
        <v>15</v>
      </c>
      <c r="C82" s="1" t="s">
        <v>102</v>
      </c>
      <c r="D82" s="3">
        <v>2338.3200000000002</v>
      </c>
      <c r="E82" s="3">
        <v>10781460.99</v>
      </c>
      <c r="F82" s="1" t="s">
        <v>3048</v>
      </c>
      <c r="G82" s="19">
        <f t="shared" si="13"/>
        <v>2338.3200000000002</v>
      </c>
    </row>
    <row r="83" spans="1:8">
      <c r="A83" s="1" t="s">
        <v>41</v>
      </c>
      <c r="B83" s="1" t="s">
        <v>15</v>
      </c>
      <c r="C83" s="1" t="s">
        <v>103</v>
      </c>
      <c r="D83" s="3">
        <v>29911.01</v>
      </c>
      <c r="E83" s="3">
        <v>10811372</v>
      </c>
      <c r="F83" s="1" t="s">
        <v>3048</v>
      </c>
      <c r="G83" s="19">
        <f t="shared" si="13"/>
        <v>29911.01</v>
      </c>
    </row>
    <row r="84" spans="1:8">
      <c r="A84" s="1" t="s">
        <v>41</v>
      </c>
      <c r="B84" s="1" t="s">
        <v>15</v>
      </c>
      <c r="C84" s="1" t="s">
        <v>104</v>
      </c>
      <c r="D84" s="3">
        <v>3897.2</v>
      </c>
      <c r="E84" s="3">
        <v>10815269.199999999</v>
      </c>
      <c r="F84" s="1" t="s">
        <v>3048</v>
      </c>
      <c r="G84" s="19">
        <f t="shared" si="13"/>
        <v>3897.2</v>
      </c>
    </row>
    <row r="85" spans="1:8">
      <c r="A85" s="1" t="s">
        <v>41</v>
      </c>
      <c r="B85" s="1" t="s">
        <v>15</v>
      </c>
      <c r="C85" s="1" t="s">
        <v>105</v>
      </c>
      <c r="D85" s="3">
        <v>4676.6400000000003</v>
      </c>
      <c r="E85" s="3">
        <v>10819945.84</v>
      </c>
      <c r="F85" s="1" t="s">
        <v>3048</v>
      </c>
      <c r="G85" s="19">
        <f t="shared" si="13"/>
        <v>4676.6400000000003</v>
      </c>
    </row>
    <row r="86" spans="1:8">
      <c r="A86" s="1" t="s">
        <v>41</v>
      </c>
      <c r="B86" s="1" t="s">
        <v>15</v>
      </c>
      <c r="C86" s="1" t="s">
        <v>106</v>
      </c>
      <c r="D86" s="3">
        <v>3967.74</v>
      </c>
      <c r="E86" s="3">
        <v>10823913.58</v>
      </c>
      <c r="F86" s="1" t="s">
        <v>3048</v>
      </c>
      <c r="G86" s="19">
        <f t="shared" si="13"/>
        <v>3967.74</v>
      </c>
    </row>
    <row r="87" spans="1:8">
      <c r="A87" s="1" t="s">
        <v>41</v>
      </c>
      <c r="B87" s="1" t="s">
        <v>15</v>
      </c>
      <c r="C87" s="1" t="s">
        <v>107</v>
      </c>
      <c r="D87" s="3">
        <v>93825.09</v>
      </c>
      <c r="E87" s="3">
        <v>10917738.67</v>
      </c>
      <c r="F87" s="1" t="s">
        <v>3048</v>
      </c>
      <c r="G87" s="19">
        <f t="shared" si="13"/>
        <v>93825.09</v>
      </c>
    </row>
    <row r="88" spans="1:8">
      <c r="A88" s="1" t="s">
        <v>41</v>
      </c>
      <c r="B88" s="1" t="s">
        <v>15</v>
      </c>
      <c r="C88" s="1" t="s">
        <v>108</v>
      </c>
      <c r="D88" s="3">
        <v>23772.92</v>
      </c>
      <c r="E88" s="3">
        <v>10941511.59</v>
      </c>
      <c r="F88" s="1" t="s">
        <v>3048</v>
      </c>
      <c r="G88" s="19">
        <f t="shared" si="13"/>
        <v>23772.92</v>
      </c>
    </row>
    <row r="89" spans="1:8">
      <c r="A89" s="1" t="s">
        <v>41</v>
      </c>
      <c r="B89" s="1" t="s">
        <v>15</v>
      </c>
      <c r="C89" s="1" t="s">
        <v>109</v>
      </c>
      <c r="D89" s="3">
        <v>4676.6400000000003</v>
      </c>
      <c r="E89" s="3">
        <v>10946188.23</v>
      </c>
      <c r="F89" s="1" t="s">
        <v>3048</v>
      </c>
      <c r="G89" s="19">
        <f t="shared" si="13"/>
        <v>4676.6400000000003</v>
      </c>
    </row>
    <row r="90" spans="1:8">
      <c r="A90" s="1" t="s">
        <v>41</v>
      </c>
      <c r="B90" s="1" t="s">
        <v>15</v>
      </c>
      <c r="C90" s="1" t="s">
        <v>110</v>
      </c>
      <c r="D90" s="3">
        <v>9743</v>
      </c>
      <c r="E90" s="3">
        <v>10955931.23</v>
      </c>
      <c r="F90" s="1" t="s">
        <v>3048</v>
      </c>
      <c r="G90" s="19">
        <f t="shared" si="13"/>
        <v>9743</v>
      </c>
    </row>
    <row r="91" spans="1:8">
      <c r="A91" s="1" t="s">
        <v>41</v>
      </c>
      <c r="B91" s="1" t="s">
        <v>51</v>
      </c>
      <c r="C91" s="1" t="s">
        <v>58</v>
      </c>
      <c r="D91" s="3">
        <v>-1306.01</v>
      </c>
      <c r="E91" s="3">
        <v>10385055.92</v>
      </c>
      <c r="G91" s="19">
        <f>+D91</f>
        <v>-1306.01</v>
      </c>
      <c r="H91" s="19">
        <f>+D91-G91</f>
        <v>0</v>
      </c>
    </row>
    <row r="92" spans="1:8">
      <c r="A92" s="1" t="s">
        <v>41</v>
      </c>
      <c r="B92" s="1" t="s">
        <v>15</v>
      </c>
      <c r="C92" s="1" t="s">
        <v>113</v>
      </c>
      <c r="D92" s="3">
        <v>18121.98</v>
      </c>
      <c r="E92" s="3">
        <v>10974542.710000001</v>
      </c>
      <c r="F92" s="1" t="s">
        <v>3048</v>
      </c>
      <c r="G92" s="19">
        <f t="shared" ref="G92:G111" si="14">+D92</f>
        <v>18121.98</v>
      </c>
    </row>
    <row r="93" spans="1:8">
      <c r="A93" s="1" t="s">
        <v>41</v>
      </c>
      <c r="B93" s="1" t="s">
        <v>15</v>
      </c>
      <c r="C93" s="1" t="s">
        <v>114</v>
      </c>
      <c r="D93" s="3">
        <v>41661.269999999997</v>
      </c>
      <c r="E93" s="3">
        <v>11016203.98</v>
      </c>
      <c r="F93" s="1" t="s">
        <v>3048</v>
      </c>
      <c r="G93" s="19">
        <f t="shared" si="14"/>
        <v>41661.269999999997</v>
      </c>
    </row>
    <row r="94" spans="1:8">
      <c r="A94" s="1" t="s">
        <v>41</v>
      </c>
      <c r="B94" s="1" t="s">
        <v>15</v>
      </c>
      <c r="C94" s="1" t="s">
        <v>115</v>
      </c>
      <c r="D94" s="3">
        <v>6138.09</v>
      </c>
      <c r="E94" s="3">
        <v>11022342.07</v>
      </c>
      <c r="F94" s="1" t="s">
        <v>3048</v>
      </c>
      <c r="G94" s="19">
        <f t="shared" si="14"/>
        <v>6138.09</v>
      </c>
    </row>
    <row r="95" spans="1:8">
      <c r="A95" s="1" t="s">
        <v>41</v>
      </c>
      <c r="B95" s="1" t="s">
        <v>15</v>
      </c>
      <c r="C95" s="1" t="s">
        <v>116</v>
      </c>
      <c r="D95" s="3">
        <v>210340.26</v>
      </c>
      <c r="E95" s="3">
        <v>11232682.33</v>
      </c>
      <c r="F95" s="1" t="s">
        <v>3048</v>
      </c>
      <c r="G95" s="19">
        <f t="shared" si="14"/>
        <v>210340.26</v>
      </c>
    </row>
    <row r="96" spans="1:8">
      <c r="A96" s="1" t="s">
        <v>41</v>
      </c>
      <c r="B96" s="1" t="s">
        <v>15</v>
      </c>
      <c r="C96" s="1" t="s">
        <v>117</v>
      </c>
      <c r="D96" s="3">
        <v>6138.09</v>
      </c>
      <c r="E96" s="3">
        <v>11238820.42</v>
      </c>
      <c r="F96" s="1" t="s">
        <v>3048</v>
      </c>
      <c r="G96" s="19">
        <f t="shared" si="14"/>
        <v>6138.09</v>
      </c>
    </row>
    <row r="97" spans="1:8">
      <c r="A97" s="1" t="s">
        <v>41</v>
      </c>
      <c r="B97" s="1" t="s">
        <v>15</v>
      </c>
      <c r="C97" s="1" t="s">
        <v>118</v>
      </c>
      <c r="D97" s="3">
        <v>9743</v>
      </c>
      <c r="E97" s="3">
        <v>11248563.42</v>
      </c>
      <c r="F97" s="1" t="s">
        <v>3048</v>
      </c>
      <c r="G97" s="19">
        <f t="shared" si="14"/>
        <v>9743</v>
      </c>
    </row>
    <row r="98" spans="1:8">
      <c r="A98" s="1" t="s">
        <v>41</v>
      </c>
      <c r="B98" s="1" t="s">
        <v>15</v>
      </c>
      <c r="C98" s="1" t="s">
        <v>119</v>
      </c>
      <c r="D98" s="3">
        <v>46376.68</v>
      </c>
      <c r="E98" s="3">
        <v>11294940.1</v>
      </c>
      <c r="F98" s="1" t="s">
        <v>3048</v>
      </c>
      <c r="G98" s="19">
        <f t="shared" si="14"/>
        <v>46376.68</v>
      </c>
    </row>
    <row r="99" spans="1:8">
      <c r="A99" s="1" t="s">
        <v>41</v>
      </c>
      <c r="B99" s="1" t="s">
        <v>15</v>
      </c>
      <c r="C99" s="1" t="s">
        <v>120</v>
      </c>
      <c r="D99" s="3">
        <v>7112.39</v>
      </c>
      <c r="E99" s="3">
        <v>11302052.49</v>
      </c>
      <c r="F99" s="1" t="s">
        <v>3048</v>
      </c>
      <c r="G99" s="19">
        <f t="shared" si="14"/>
        <v>7112.39</v>
      </c>
    </row>
    <row r="100" spans="1:8">
      <c r="A100" s="1" t="s">
        <v>121</v>
      </c>
      <c r="B100" s="1" t="s">
        <v>15</v>
      </c>
      <c r="C100" s="1" t="s">
        <v>122</v>
      </c>
      <c r="D100" s="3">
        <v>4871.5</v>
      </c>
      <c r="E100" s="3">
        <v>11306923.99</v>
      </c>
      <c r="F100" s="1" t="s">
        <v>3048</v>
      </c>
      <c r="G100" s="19">
        <f t="shared" si="14"/>
        <v>4871.5</v>
      </c>
    </row>
    <row r="101" spans="1:8">
      <c r="A101" s="1" t="s">
        <v>121</v>
      </c>
      <c r="B101" s="1" t="s">
        <v>15</v>
      </c>
      <c r="C101" s="1" t="s">
        <v>123</v>
      </c>
      <c r="D101" s="3">
        <v>29597.54</v>
      </c>
      <c r="E101" s="3">
        <v>11336521.529999999</v>
      </c>
      <c r="F101" s="1" t="s">
        <v>3048</v>
      </c>
      <c r="G101" s="19">
        <f t="shared" si="14"/>
        <v>29597.54</v>
      </c>
    </row>
    <row r="102" spans="1:8">
      <c r="A102" s="1" t="s">
        <v>121</v>
      </c>
      <c r="B102" s="1" t="s">
        <v>15</v>
      </c>
      <c r="C102" s="1" t="s">
        <v>124</v>
      </c>
      <c r="D102" s="3">
        <v>18316.84</v>
      </c>
      <c r="E102" s="3">
        <v>11354838.369999999</v>
      </c>
      <c r="F102" s="1" t="s">
        <v>3048</v>
      </c>
      <c r="G102" s="19">
        <f t="shared" si="14"/>
        <v>18316.84</v>
      </c>
    </row>
    <row r="103" spans="1:8">
      <c r="A103" s="1" t="s">
        <v>121</v>
      </c>
      <c r="B103" s="1" t="s">
        <v>15</v>
      </c>
      <c r="C103" s="1" t="s">
        <v>125</v>
      </c>
      <c r="D103" s="3">
        <v>106718.82</v>
      </c>
      <c r="E103" s="3">
        <v>11461557.189999999</v>
      </c>
      <c r="F103" s="1" t="s">
        <v>3048</v>
      </c>
      <c r="G103" s="19">
        <f t="shared" si="14"/>
        <v>106718.82</v>
      </c>
    </row>
    <row r="104" spans="1:8">
      <c r="A104" s="1" t="s">
        <v>121</v>
      </c>
      <c r="B104" s="1" t="s">
        <v>15</v>
      </c>
      <c r="C104" s="1" t="s">
        <v>126</v>
      </c>
      <c r="D104" s="3">
        <v>4189.49</v>
      </c>
      <c r="E104" s="3">
        <v>11465746.68</v>
      </c>
      <c r="F104" s="1" t="s">
        <v>3048</v>
      </c>
      <c r="G104" s="19">
        <f t="shared" si="14"/>
        <v>4189.49</v>
      </c>
    </row>
    <row r="105" spans="1:8">
      <c r="A105" s="1" t="s">
        <v>121</v>
      </c>
      <c r="B105" s="1" t="s">
        <v>15</v>
      </c>
      <c r="C105" s="1" t="s">
        <v>127</v>
      </c>
      <c r="D105" s="3">
        <v>9353.2800000000007</v>
      </c>
      <c r="E105" s="3">
        <v>11475099.960000001</v>
      </c>
      <c r="F105" s="1" t="s">
        <v>3048</v>
      </c>
      <c r="G105" s="19">
        <f t="shared" si="14"/>
        <v>9353.2800000000007</v>
      </c>
    </row>
    <row r="106" spans="1:8">
      <c r="A106" s="1" t="s">
        <v>121</v>
      </c>
      <c r="B106" s="1" t="s">
        <v>15</v>
      </c>
      <c r="C106" s="1" t="s">
        <v>128</v>
      </c>
      <c r="D106" s="3">
        <v>13250.48</v>
      </c>
      <c r="E106" s="3">
        <v>11488350.439999999</v>
      </c>
      <c r="F106" s="1" t="s">
        <v>3048</v>
      </c>
      <c r="G106" s="19">
        <f t="shared" si="14"/>
        <v>13250.48</v>
      </c>
    </row>
    <row r="107" spans="1:8">
      <c r="A107" s="1" t="s">
        <v>121</v>
      </c>
      <c r="B107" s="1" t="s">
        <v>15</v>
      </c>
      <c r="C107" s="1" t="s">
        <v>129</v>
      </c>
      <c r="D107" s="3">
        <v>154252.21</v>
      </c>
      <c r="E107" s="3">
        <v>11642602.65</v>
      </c>
      <c r="F107" s="1" t="s">
        <v>3048</v>
      </c>
      <c r="G107" s="19">
        <f t="shared" si="14"/>
        <v>154252.21</v>
      </c>
    </row>
    <row r="108" spans="1:8">
      <c r="A108" s="1" t="s">
        <v>121</v>
      </c>
      <c r="B108" s="1" t="s">
        <v>15</v>
      </c>
      <c r="C108" s="1" t="s">
        <v>130</v>
      </c>
      <c r="D108" s="3">
        <v>15209.67</v>
      </c>
      <c r="E108" s="3">
        <v>11657812.32</v>
      </c>
      <c r="F108" s="1" t="s">
        <v>3048</v>
      </c>
      <c r="G108" s="19">
        <f t="shared" si="14"/>
        <v>15209.67</v>
      </c>
    </row>
    <row r="109" spans="1:8">
      <c r="A109" s="1" t="s">
        <v>121</v>
      </c>
      <c r="B109" s="1" t="s">
        <v>15</v>
      </c>
      <c r="C109" s="1" t="s">
        <v>131</v>
      </c>
      <c r="D109" s="3">
        <v>25154.48</v>
      </c>
      <c r="E109" s="3">
        <v>11682966.800000001</v>
      </c>
      <c r="F109" s="1" t="s">
        <v>3048</v>
      </c>
      <c r="G109" s="19">
        <f t="shared" si="14"/>
        <v>25154.48</v>
      </c>
    </row>
    <row r="110" spans="1:8">
      <c r="A110" s="1" t="s">
        <v>121</v>
      </c>
      <c r="B110" s="1" t="s">
        <v>15</v>
      </c>
      <c r="C110" s="1" t="s">
        <v>132</v>
      </c>
      <c r="D110" s="3">
        <v>7502.11</v>
      </c>
      <c r="E110" s="3">
        <v>11690468.91</v>
      </c>
      <c r="F110" s="1" t="s">
        <v>3048</v>
      </c>
      <c r="G110" s="19">
        <f t="shared" si="14"/>
        <v>7502.11</v>
      </c>
    </row>
    <row r="111" spans="1:8">
      <c r="A111" s="1" t="s">
        <v>121</v>
      </c>
      <c r="B111" s="1" t="s">
        <v>15</v>
      </c>
      <c r="C111" s="1" t="s">
        <v>133</v>
      </c>
      <c r="D111" s="3">
        <v>3897.2</v>
      </c>
      <c r="E111" s="3">
        <v>11694366.109999999</v>
      </c>
      <c r="F111" s="1" t="s">
        <v>3048</v>
      </c>
      <c r="G111" s="19">
        <f t="shared" si="14"/>
        <v>3897.2</v>
      </c>
    </row>
    <row r="112" spans="1:8">
      <c r="A112" s="1" t="s">
        <v>121</v>
      </c>
      <c r="B112" s="1" t="s">
        <v>51</v>
      </c>
      <c r="C112" s="1" t="s">
        <v>188</v>
      </c>
      <c r="D112" s="3">
        <v>-4517.66</v>
      </c>
      <c r="E112" s="3">
        <v>11628765.109999999</v>
      </c>
      <c r="G112" s="19">
        <f>+D112</f>
        <v>-4517.66</v>
      </c>
      <c r="H112" s="19">
        <f>+D112-G112</f>
        <v>0</v>
      </c>
    </row>
    <row r="113" spans="1:8">
      <c r="A113" s="1" t="s">
        <v>121</v>
      </c>
      <c r="B113" s="1" t="s">
        <v>136</v>
      </c>
      <c r="C113" s="1" t="s">
        <v>125</v>
      </c>
      <c r="D113" s="3">
        <v>-106718.82</v>
      </c>
      <c r="E113" s="3">
        <v>11588234.689999999</v>
      </c>
      <c r="F113" s="1" t="s">
        <v>3048</v>
      </c>
      <c r="G113" s="19">
        <f t="shared" ref="G113:G118" si="15">+D113</f>
        <v>-106718.82</v>
      </c>
    </row>
    <row r="114" spans="1:8">
      <c r="A114" s="1" t="s">
        <v>121</v>
      </c>
      <c r="B114" s="1" t="s">
        <v>15</v>
      </c>
      <c r="C114" s="1" t="s">
        <v>137</v>
      </c>
      <c r="D114" s="3">
        <v>9353.2800000000007</v>
      </c>
      <c r="E114" s="3">
        <v>11597587.970000001</v>
      </c>
      <c r="F114" s="1" t="s">
        <v>3048</v>
      </c>
      <c r="G114" s="19">
        <f t="shared" si="15"/>
        <v>9353.2800000000007</v>
      </c>
    </row>
    <row r="115" spans="1:8">
      <c r="A115" s="1" t="s">
        <v>121</v>
      </c>
      <c r="B115" s="1" t="s">
        <v>15</v>
      </c>
      <c r="C115" s="1" t="s">
        <v>138</v>
      </c>
      <c r="D115" s="3">
        <v>34352.76</v>
      </c>
      <c r="E115" s="3">
        <v>11631940.73</v>
      </c>
      <c r="F115" s="1" t="s">
        <v>3048</v>
      </c>
      <c r="G115" s="19">
        <f t="shared" si="15"/>
        <v>34352.76</v>
      </c>
    </row>
    <row r="116" spans="1:8">
      <c r="A116" s="1" t="s">
        <v>121</v>
      </c>
      <c r="B116" s="1" t="s">
        <v>15</v>
      </c>
      <c r="C116" s="1" t="s">
        <v>139</v>
      </c>
      <c r="D116" s="3">
        <v>6820.1</v>
      </c>
      <c r="E116" s="3">
        <v>11638760.83</v>
      </c>
      <c r="F116" s="1" t="s">
        <v>3048</v>
      </c>
      <c r="G116" s="19">
        <f t="shared" si="15"/>
        <v>6820.1</v>
      </c>
    </row>
    <row r="117" spans="1:8">
      <c r="A117" s="1" t="s">
        <v>121</v>
      </c>
      <c r="B117" s="1" t="s">
        <v>15</v>
      </c>
      <c r="C117" s="1" t="s">
        <v>140</v>
      </c>
      <c r="D117" s="3">
        <v>4092.06</v>
      </c>
      <c r="E117" s="3">
        <v>11642852.890000001</v>
      </c>
      <c r="F117" s="1" t="s">
        <v>3048</v>
      </c>
      <c r="G117" s="19">
        <f t="shared" si="15"/>
        <v>4092.06</v>
      </c>
    </row>
    <row r="118" spans="1:8">
      <c r="A118" s="1" t="s">
        <v>121</v>
      </c>
      <c r="B118" s="1" t="s">
        <v>15</v>
      </c>
      <c r="C118" s="1" t="s">
        <v>141</v>
      </c>
      <c r="D118" s="3">
        <v>58263.14</v>
      </c>
      <c r="E118" s="3">
        <v>11701116.029999999</v>
      </c>
      <c r="F118" s="1" t="s">
        <v>3048</v>
      </c>
      <c r="G118" s="19">
        <f t="shared" si="15"/>
        <v>58263.14</v>
      </c>
    </row>
    <row r="119" spans="1:8">
      <c r="A119" s="1" t="s">
        <v>461</v>
      </c>
      <c r="B119" s="1" t="s">
        <v>51</v>
      </c>
      <c r="C119" s="1" t="s">
        <v>468</v>
      </c>
      <c r="D119" s="3">
        <v>-6297.98</v>
      </c>
      <c r="E119" s="3">
        <v>14861934.41</v>
      </c>
      <c r="G119" s="19">
        <f>+D119</f>
        <v>-6297.98</v>
      </c>
      <c r="H119" s="19">
        <f>+D119-G119</f>
        <v>0</v>
      </c>
    </row>
    <row r="120" spans="1:8">
      <c r="A120" s="1" t="s">
        <v>121</v>
      </c>
      <c r="B120" s="1" t="s">
        <v>15</v>
      </c>
      <c r="C120" s="1" t="s">
        <v>144</v>
      </c>
      <c r="D120" s="3">
        <v>8259.68</v>
      </c>
      <c r="E120" s="3">
        <v>11712302.92</v>
      </c>
      <c r="F120" s="1" t="s">
        <v>3048</v>
      </c>
      <c r="G120" s="19">
        <f t="shared" ref="G120:G126" si="16">+D120</f>
        <v>8259.68</v>
      </c>
    </row>
    <row r="121" spans="1:8">
      <c r="A121" s="1" t="s">
        <v>121</v>
      </c>
      <c r="B121" s="1" t="s">
        <v>15</v>
      </c>
      <c r="C121" s="1" t="s">
        <v>145</v>
      </c>
      <c r="D121" s="3">
        <v>4534.5600000000004</v>
      </c>
      <c r="E121" s="3">
        <v>11716837.48</v>
      </c>
      <c r="F121" s="1" t="s">
        <v>3048</v>
      </c>
      <c r="G121" s="19">
        <f t="shared" si="16"/>
        <v>4534.5600000000004</v>
      </c>
    </row>
    <row r="122" spans="1:8">
      <c r="A122" s="1" t="s">
        <v>121</v>
      </c>
      <c r="B122" s="1" t="s">
        <v>15</v>
      </c>
      <c r="C122" s="1" t="s">
        <v>146</v>
      </c>
      <c r="D122" s="3">
        <v>12665.9</v>
      </c>
      <c r="E122" s="3">
        <v>11729503.380000001</v>
      </c>
      <c r="F122" s="1" t="s">
        <v>3048</v>
      </c>
      <c r="G122" s="19">
        <f t="shared" si="16"/>
        <v>12665.9</v>
      </c>
    </row>
    <row r="123" spans="1:8">
      <c r="A123" s="1" t="s">
        <v>121</v>
      </c>
      <c r="B123" s="1" t="s">
        <v>15</v>
      </c>
      <c r="C123" s="1" t="s">
        <v>147</v>
      </c>
      <c r="D123" s="3">
        <v>10035.290000000001</v>
      </c>
      <c r="E123" s="3">
        <v>11739538.67</v>
      </c>
      <c r="F123" s="1" t="s">
        <v>3048</v>
      </c>
      <c r="G123" s="19">
        <f t="shared" si="16"/>
        <v>10035.290000000001</v>
      </c>
    </row>
    <row r="124" spans="1:8">
      <c r="A124" s="1" t="s">
        <v>121</v>
      </c>
      <c r="B124" s="1" t="s">
        <v>15</v>
      </c>
      <c r="C124" s="1" t="s">
        <v>148</v>
      </c>
      <c r="D124" s="3">
        <v>5163.79</v>
      </c>
      <c r="E124" s="3">
        <v>11744702.460000001</v>
      </c>
      <c r="F124" s="1" t="s">
        <v>3048</v>
      </c>
      <c r="G124" s="19">
        <f t="shared" si="16"/>
        <v>5163.79</v>
      </c>
    </row>
    <row r="125" spans="1:8">
      <c r="A125" s="1" t="s">
        <v>121</v>
      </c>
      <c r="B125" s="1" t="s">
        <v>15</v>
      </c>
      <c r="C125" s="1" t="s">
        <v>149</v>
      </c>
      <c r="D125" s="3">
        <v>51248.18</v>
      </c>
      <c r="E125" s="3">
        <v>11795950.640000001</v>
      </c>
      <c r="F125" s="1" t="s">
        <v>3048</v>
      </c>
      <c r="G125" s="19">
        <f t="shared" si="16"/>
        <v>51248.18</v>
      </c>
    </row>
    <row r="126" spans="1:8">
      <c r="A126" s="1" t="s">
        <v>121</v>
      </c>
      <c r="B126" s="1" t="s">
        <v>15</v>
      </c>
      <c r="C126" s="1" t="s">
        <v>150</v>
      </c>
      <c r="D126" s="3">
        <v>68883.009999999995</v>
      </c>
      <c r="E126" s="3">
        <v>11864833.65</v>
      </c>
      <c r="F126" s="1" t="s">
        <v>3048</v>
      </c>
      <c r="G126" s="19">
        <f t="shared" si="16"/>
        <v>68883.009999999995</v>
      </c>
    </row>
    <row r="127" spans="1:8">
      <c r="A127" s="1" t="s">
        <v>461</v>
      </c>
      <c r="B127" s="1" t="s">
        <v>51</v>
      </c>
      <c r="C127" s="1" t="s">
        <v>470</v>
      </c>
      <c r="D127" s="3">
        <v>-1523.4</v>
      </c>
      <c r="E127" s="3">
        <v>14606510.560000001</v>
      </c>
      <c r="G127" s="19">
        <f>+D127</f>
        <v>-1523.4</v>
      </c>
      <c r="H127" s="19">
        <f>+D127-G127</f>
        <v>0</v>
      </c>
    </row>
    <row r="128" spans="1:8">
      <c r="A128" s="1" t="s">
        <v>121</v>
      </c>
      <c r="B128" s="1" t="s">
        <v>15</v>
      </c>
      <c r="C128" s="1" t="s">
        <v>153</v>
      </c>
      <c r="D128" s="3">
        <v>4676.6400000000003</v>
      </c>
      <c r="E128" s="3">
        <v>11872971.050000001</v>
      </c>
      <c r="F128" s="1" t="s">
        <v>3048</v>
      </c>
      <c r="G128" s="19">
        <f t="shared" ref="G128:G132" si="17">+D128</f>
        <v>4676.6400000000003</v>
      </c>
    </row>
    <row r="129" spans="1:8">
      <c r="A129" s="1" t="s">
        <v>121</v>
      </c>
      <c r="B129" s="1" t="s">
        <v>15</v>
      </c>
      <c r="C129" s="1" t="s">
        <v>154</v>
      </c>
      <c r="D129" s="3">
        <v>16270.81</v>
      </c>
      <c r="E129" s="3">
        <v>11889241.859999999</v>
      </c>
      <c r="F129" s="1" t="s">
        <v>3048</v>
      </c>
      <c r="G129" s="19">
        <f t="shared" si="17"/>
        <v>16270.81</v>
      </c>
    </row>
    <row r="130" spans="1:8">
      <c r="A130" s="1" t="s">
        <v>121</v>
      </c>
      <c r="B130" s="1" t="s">
        <v>15</v>
      </c>
      <c r="C130" s="1" t="s">
        <v>155</v>
      </c>
      <c r="D130" s="3">
        <v>9743</v>
      </c>
      <c r="E130" s="3">
        <v>11898984.859999999</v>
      </c>
      <c r="F130" s="1" t="s">
        <v>3048</v>
      </c>
      <c r="G130" s="19">
        <f t="shared" si="17"/>
        <v>9743</v>
      </c>
    </row>
    <row r="131" spans="1:8">
      <c r="A131" s="1" t="s">
        <v>121</v>
      </c>
      <c r="B131" s="1" t="s">
        <v>15</v>
      </c>
      <c r="C131" s="1" t="s">
        <v>156</v>
      </c>
      <c r="D131" s="3">
        <v>12471.04</v>
      </c>
      <c r="E131" s="3">
        <v>11911455.9</v>
      </c>
      <c r="F131" s="1" t="s">
        <v>3048</v>
      </c>
      <c r="G131" s="19">
        <f t="shared" si="17"/>
        <v>12471.04</v>
      </c>
    </row>
    <row r="132" spans="1:8">
      <c r="A132" s="1" t="s">
        <v>121</v>
      </c>
      <c r="B132" s="1" t="s">
        <v>15</v>
      </c>
      <c r="C132" s="1" t="s">
        <v>157</v>
      </c>
      <c r="D132" s="3">
        <v>4676.6400000000003</v>
      </c>
      <c r="E132" s="3">
        <v>11916132.539999999</v>
      </c>
      <c r="F132" s="1" t="s">
        <v>3048</v>
      </c>
      <c r="G132" s="19">
        <f t="shared" si="17"/>
        <v>4676.6400000000003</v>
      </c>
    </row>
    <row r="133" spans="1:8">
      <c r="A133" s="1" t="s">
        <v>461</v>
      </c>
      <c r="B133" s="1" t="s">
        <v>51</v>
      </c>
      <c r="C133" s="1" t="s">
        <v>472</v>
      </c>
      <c r="D133" s="3">
        <v>-9232.32</v>
      </c>
      <c r="E133" s="3">
        <v>13058557.539999999</v>
      </c>
      <c r="G133" s="19">
        <f>+D133</f>
        <v>-9232.32</v>
      </c>
      <c r="H133" s="19">
        <f>+D133-G133</f>
        <v>0</v>
      </c>
    </row>
    <row r="134" spans="1:8">
      <c r="A134" s="1" t="s">
        <v>121</v>
      </c>
      <c r="B134" s="1" t="s">
        <v>15</v>
      </c>
      <c r="C134" s="1" t="s">
        <v>160</v>
      </c>
      <c r="D134" s="3">
        <v>20168.009999999998</v>
      </c>
      <c r="E134" s="3">
        <v>11936770.470000001</v>
      </c>
      <c r="F134" s="1" t="s">
        <v>3048</v>
      </c>
      <c r="G134" s="19">
        <f>+D134</f>
        <v>20168.009999999998</v>
      </c>
    </row>
    <row r="135" spans="1:8">
      <c r="A135" s="1" t="s">
        <v>461</v>
      </c>
      <c r="B135" s="1" t="s">
        <v>51</v>
      </c>
      <c r="C135" s="1" t="s">
        <v>474</v>
      </c>
      <c r="D135" s="3">
        <v>-7688.4</v>
      </c>
      <c r="E135" s="3">
        <v>11769469.119999999</v>
      </c>
      <c r="G135" s="19">
        <f>+D135</f>
        <v>-7688.4</v>
      </c>
      <c r="H135" s="19">
        <f>+D135-G135</f>
        <v>0</v>
      </c>
    </row>
    <row r="136" spans="1:8">
      <c r="A136" s="1" t="s">
        <v>121</v>
      </c>
      <c r="B136" s="1" t="s">
        <v>15</v>
      </c>
      <c r="C136" s="1" t="s">
        <v>162</v>
      </c>
      <c r="D136" s="3">
        <v>43356.35</v>
      </c>
      <c r="E136" s="3">
        <v>11981140.08</v>
      </c>
      <c r="F136" s="1" t="s">
        <v>3048</v>
      </c>
      <c r="G136" s="19">
        <f t="shared" ref="G136:G138" si="18">+D136</f>
        <v>43356.35</v>
      </c>
    </row>
    <row r="137" spans="1:8">
      <c r="A137" s="1" t="s">
        <v>121</v>
      </c>
      <c r="B137" s="1" t="s">
        <v>15</v>
      </c>
      <c r="C137" s="1" t="s">
        <v>163</v>
      </c>
      <c r="D137" s="3">
        <v>4092.06</v>
      </c>
      <c r="E137" s="3">
        <v>11985232.140000001</v>
      </c>
      <c r="F137" s="1" t="s">
        <v>3048</v>
      </c>
      <c r="G137" s="19">
        <f t="shared" si="18"/>
        <v>4092.06</v>
      </c>
    </row>
    <row r="138" spans="1:8">
      <c r="A138" s="1" t="s">
        <v>121</v>
      </c>
      <c r="B138" s="1" t="s">
        <v>15</v>
      </c>
      <c r="C138" s="1" t="s">
        <v>164</v>
      </c>
      <c r="D138" s="3">
        <v>2338.3200000000002</v>
      </c>
      <c r="E138" s="3">
        <v>11987570.460000001</v>
      </c>
      <c r="F138" s="1" t="s">
        <v>3048</v>
      </c>
      <c r="G138" s="19">
        <f t="shared" si="18"/>
        <v>2338.3200000000002</v>
      </c>
    </row>
    <row r="139" spans="1:8">
      <c r="A139" s="1" t="s">
        <v>477</v>
      </c>
      <c r="B139" s="1" t="s">
        <v>51</v>
      </c>
      <c r="C139" s="1" t="s">
        <v>481</v>
      </c>
      <c r="D139" s="2">
        <v>-590.66999999999996</v>
      </c>
      <c r="E139" s="3">
        <v>9468236.8300000001</v>
      </c>
      <c r="G139" s="19">
        <f>+D139</f>
        <v>-590.66999999999996</v>
      </c>
      <c r="H139" s="19">
        <f>+D139-G139</f>
        <v>0</v>
      </c>
    </row>
    <row r="140" spans="1:8">
      <c r="A140" s="1" t="s">
        <v>121</v>
      </c>
      <c r="B140" s="1" t="s">
        <v>15</v>
      </c>
      <c r="C140" s="1" t="s">
        <v>167</v>
      </c>
      <c r="D140" s="3">
        <v>32569.42</v>
      </c>
      <c r="E140" s="3">
        <v>12020492.32</v>
      </c>
      <c r="F140" s="1" t="s">
        <v>3048</v>
      </c>
      <c r="G140" s="19">
        <f t="shared" ref="G140:G146" si="19">+D140</f>
        <v>32569.42</v>
      </c>
    </row>
    <row r="141" spans="1:8">
      <c r="A141" s="1" t="s">
        <v>121</v>
      </c>
      <c r="B141" s="1" t="s">
        <v>15</v>
      </c>
      <c r="C141" s="1" t="s">
        <v>168</v>
      </c>
      <c r="D141" s="3">
        <v>12568.47</v>
      </c>
      <c r="E141" s="3">
        <v>12033060.789999999</v>
      </c>
      <c r="F141" s="1" t="s">
        <v>3048</v>
      </c>
      <c r="G141" s="19">
        <f t="shared" si="19"/>
        <v>12568.47</v>
      </c>
    </row>
    <row r="142" spans="1:8">
      <c r="A142" s="1" t="s">
        <v>121</v>
      </c>
      <c r="B142" s="1" t="s">
        <v>15</v>
      </c>
      <c r="C142" s="1" t="s">
        <v>169</v>
      </c>
      <c r="D142" s="3">
        <v>156375.15</v>
      </c>
      <c r="E142" s="3">
        <v>12189435.939999999</v>
      </c>
      <c r="F142" s="1" t="s">
        <v>3048</v>
      </c>
      <c r="G142" s="19">
        <f t="shared" si="19"/>
        <v>156375.15</v>
      </c>
    </row>
    <row r="143" spans="1:8">
      <c r="A143" s="1" t="s">
        <v>121</v>
      </c>
      <c r="B143" s="1" t="s">
        <v>15</v>
      </c>
      <c r="C143" s="1" t="s">
        <v>170</v>
      </c>
      <c r="D143" s="3">
        <v>14614.5</v>
      </c>
      <c r="E143" s="3">
        <v>12204050.439999999</v>
      </c>
      <c r="F143" s="1" t="s">
        <v>3048</v>
      </c>
      <c r="G143" s="19">
        <f t="shared" si="19"/>
        <v>14614.5</v>
      </c>
    </row>
    <row r="144" spans="1:8">
      <c r="A144" s="1" t="s">
        <v>121</v>
      </c>
      <c r="B144" s="1" t="s">
        <v>15</v>
      </c>
      <c r="C144" s="1" t="s">
        <v>171</v>
      </c>
      <c r="D144" s="3">
        <v>4251.1499999999996</v>
      </c>
      <c r="E144" s="3">
        <v>12208301.59</v>
      </c>
      <c r="F144" s="1" t="s">
        <v>3048</v>
      </c>
      <c r="G144" s="19">
        <f t="shared" si="19"/>
        <v>4251.1499999999996</v>
      </c>
    </row>
    <row r="145" spans="1:8">
      <c r="A145" s="1" t="s">
        <v>121</v>
      </c>
      <c r="B145" s="1" t="s">
        <v>15</v>
      </c>
      <c r="C145" s="1" t="s">
        <v>172</v>
      </c>
      <c r="D145" s="3">
        <v>4384.3500000000004</v>
      </c>
      <c r="E145" s="3">
        <v>12212685.939999999</v>
      </c>
      <c r="F145" s="1" t="s">
        <v>3048</v>
      </c>
      <c r="G145" s="19">
        <f t="shared" si="19"/>
        <v>4384.3500000000004</v>
      </c>
    </row>
    <row r="146" spans="1:8">
      <c r="A146" s="1" t="s">
        <v>121</v>
      </c>
      <c r="B146" s="1" t="s">
        <v>15</v>
      </c>
      <c r="C146" s="1" t="s">
        <v>173</v>
      </c>
      <c r="D146" s="3">
        <v>4676.6400000000003</v>
      </c>
      <c r="E146" s="3">
        <v>12217362.58</v>
      </c>
      <c r="F146" s="1" t="s">
        <v>3048</v>
      </c>
      <c r="G146" s="19">
        <f t="shared" si="19"/>
        <v>4676.6400000000003</v>
      </c>
    </row>
    <row r="147" spans="1:8">
      <c r="A147" s="1" t="s">
        <v>477</v>
      </c>
      <c r="B147" s="1" t="s">
        <v>51</v>
      </c>
      <c r="C147" s="1" t="s">
        <v>483</v>
      </c>
      <c r="D147" s="2">
        <v>-418.8</v>
      </c>
      <c r="E147" s="3">
        <v>9398017.9000000004</v>
      </c>
      <c r="G147" s="19">
        <f>+D147</f>
        <v>-418.8</v>
      </c>
      <c r="H147" s="19">
        <f>+D147-G147</f>
        <v>0</v>
      </c>
    </row>
    <row r="148" spans="1:8">
      <c r="A148" s="1" t="s">
        <v>121</v>
      </c>
      <c r="B148" s="1" t="s">
        <v>15</v>
      </c>
      <c r="C148" s="1" t="s">
        <v>176</v>
      </c>
      <c r="D148" s="3">
        <v>19792.22</v>
      </c>
      <c r="E148" s="3">
        <v>12237624.720000001</v>
      </c>
      <c r="F148" s="1" t="s">
        <v>3048</v>
      </c>
      <c r="G148" s="19">
        <f t="shared" ref="G148:G150" si="20">+D148</f>
        <v>19792.22</v>
      </c>
    </row>
    <row r="149" spans="1:8">
      <c r="A149" s="1" t="s">
        <v>121</v>
      </c>
      <c r="B149" s="1" t="s">
        <v>15</v>
      </c>
      <c r="C149" s="1" t="s">
        <v>177</v>
      </c>
      <c r="D149" s="3">
        <v>22798.62</v>
      </c>
      <c r="E149" s="3">
        <v>12260423.34</v>
      </c>
      <c r="F149" s="1" t="s">
        <v>3048</v>
      </c>
      <c r="G149" s="19">
        <f t="shared" si="20"/>
        <v>22798.62</v>
      </c>
    </row>
    <row r="150" spans="1:8">
      <c r="A150" s="1" t="s">
        <v>121</v>
      </c>
      <c r="B150" s="1" t="s">
        <v>15</v>
      </c>
      <c r="C150" s="1" t="s">
        <v>178</v>
      </c>
      <c r="D150" s="3">
        <v>13640.2</v>
      </c>
      <c r="E150" s="3">
        <v>12274063.539999999</v>
      </c>
      <c r="F150" s="1" t="s">
        <v>3048</v>
      </c>
      <c r="G150" s="19">
        <f t="shared" si="20"/>
        <v>13640.2</v>
      </c>
    </row>
    <row r="151" spans="1:8">
      <c r="A151" s="1" t="s">
        <v>477</v>
      </c>
      <c r="B151" s="1" t="s">
        <v>51</v>
      </c>
      <c r="C151" s="1" t="s">
        <v>485</v>
      </c>
      <c r="D151" s="3">
        <v>-2162.14</v>
      </c>
      <c r="E151" s="3">
        <v>9035499.4299999997</v>
      </c>
      <c r="G151" s="19">
        <f>+D151</f>
        <v>-2162.14</v>
      </c>
      <c r="H151" s="19">
        <f>+D151-G151</f>
        <v>0</v>
      </c>
    </row>
    <row r="152" spans="1:8">
      <c r="A152" s="1" t="s">
        <v>121</v>
      </c>
      <c r="B152" s="1" t="s">
        <v>15</v>
      </c>
      <c r="C152" s="1" t="s">
        <v>181</v>
      </c>
      <c r="D152" s="3">
        <v>9079</v>
      </c>
      <c r="E152" s="3">
        <v>12283827.84</v>
      </c>
      <c r="F152" s="1" t="s">
        <v>3048</v>
      </c>
      <c r="G152" s="19">
        <f t="shared" ref="G152:G157" si="21">+D152</f>
        <v>9079</v>
      </c>
    </row>
    <row r="153" spans="1:8">
      <c r="A153" s="1" t="s">
        <v>121</v>
      </c>
      <c r="B153" s="1" t="s">
        <v>15</v>
      </c>
      <c r="C153" s="1" t="s">
        <v>182</v>
      </c>
      <c r="D153" s="3">
        <v>18901.419999999998</v>
      </c>
      <c r="E153" s="3">
        <v>12302729.26</v>
      </c>
      <c r="F153" s="1" t="s">
        <v>3048</v>
      </c>
      <c r="G153" s="19">
        <f t="shared" si="21"/>
        <v>18901.419999999998</v>
      </c>
    </row>
    <row r="154" spans="1:8">
      <c r="A154" s="1" t="s">
        <v>121</v>
      </c>
      <c r="B154" s="1" t="s">
        <v>15</v>
      </c>
      <c r="C154" s="1" t="s">
        <v>183</v>
      </c>
      <c r="D154" s="3">
        <v>14127.35</v>
      </c>
      <c r="E154" s="3">
        <v>12316856.609999999</v>
      </c>
      <c r="F154" s="1" t="s">
        <v>3048</v>
      </c>
      <c r="G154" s="19">
        <f t="shared" si="21"/>
        <v>14127.35</v>
      </c>
    </row>
    <row r="155" spans="1:8">
      <c r="A155" s="1" t="s">
        <v>121</v>
      </c>
      <c r="B155" s="1" t="s">
        <v>15</v>
      </c>
      <c r="C155" s="1" t="s">
        <v>184</v>
      </c>
      <c r="D155" s="3">
        <v>4092.06</v>
      </c>
      <c r="E155" s="3">
        <v>12320948.67</v>
      </c>
      <c r="F155" s="1" t="s">
        <v>3048</v>
      </c>
      <c r="G155" s="19">
        <f t="shared" si="21"/>
        <v>4092.06</v>
      </c>
    </row>
    <row r="156" spans="1:8">
      <c r="A156" s="1" t="s">
        <v>121</v>
      </c>
      <c r="B156" s="1" t="s">
        <v>15</v>
      </c>
      <c r="C156" s="1" t="s">
        <v>185</v>
      </c>
      <c r="D156" s="3">
        <v>37997.699999999997</v>
      </c>
      <c r="E156" s="3">
        <v>12358946.369999999</v>
      </c>
      <c r="F156" s="1" t="s">
        <v>3048</v>
      </c>
      <c r="G156" s="19">
        <f t="shared" si="21"/>
        <v>37997.699999999997</v>
      </c>
    </row>
    <row r="157" spans="1:8">
      <c r="A157" s="1" t="s">
        <v>121</v>
      </c>
      <c r="B157" s="1" t="s">
        <v>15</v>
      </c>
      <c r="C157" s="1" t="s">
        <v>186</v>
      </c>
      <c r="D157" s="3">
        <v>27280.400000000001</v>
      </c>
      <c r="E157" s="3">
        <v>12386226.77</v>
      </c>
      <c r="F157" s="1" t="s">
        <v>3048</v>
      </c>
      <c r="G157" s="19">
        <f t="shared" si="21"/>
        <v>27280.400000000001</v>
      </c>
    </row>
    <row r="158" spans="1:8">
      <c r="A158" s="1" t="s">
        <v>477</v>
      </c>
      <c r="B158" s="1" t="s">
        <v>51</v>
      </c>
      <c r="C158" s="1" t="s">
        <v>486</v>
      </c>
      <c r="D158" s="3">
        <v>-1587.2</v>
      </c>
      <c r="E158" s="3">
        <v>8769379.0099999998</v>
      </c>
      <c r="G158" s="19">
        <f t="shared" ref="G158:G162" si="22">+D158</f>
        <v>-1587.2</v>
      </c>
      <c r="H158" s="19">
        <f t="shared" ref="H158:H159" si="23">+D158-G158</f>
        <v>0</v>
      </c>
    </row>
    <row r="159" spans="1:8">
      <c r="A159" s="1" t="s">
        <v>477</v>
      </c>
      <c r="B159" s="1" t="s">
        <v>51</v>
      </c>
      <c r="C159" s="1" t="s">
        <v>487</v>
      </c>
      <c r="D159" s="2">
        <v>-356.04</v>
      </c>
      <c r="E159" s="3">
        <v>8709682.9700000007</v>
      </c>
      <c r="G159" s="19">
        <f t="shared" si="22"/>
        <v>-356.04</v>
      </c>
      <c r="H159" s="19">
        <f t="shared" si="23"/>
        <v>0</v>
      </c>
    </row>
    <row r="160" spans="1:8">
      <c r="A160" s="1" t="s">
        <v>121</v>
      </c>
      <c r="B160" s="1" t="s">
        <v>15</v>
      </c>
      <c r="C160" s="1" t="s">
        <v>189</v>
      </c>
      <c r="D160" s="3">
        <v>34953.9</v>
      </c>
      <c r="E160" s="3">
        <v>11663719.01</v>
      </c>
      <c r="F160" s="1" t="s">
        <v>3048</v>
      </c>
      <c r="G160" s="19">
        <f t="shared" si="22"/>
        <v>34953.9</v>
      </c>
    </row>
    <row r="161" spans="1:8">
      <c r="A161" s="1" t="s">
        <v>121</v>
      </c>
      <c r="B161" s="1" t="s">
        <v>15</v>
      </c>
      <c r="C161" s="1" t="s">
        <v>190</v>
      </c>
      <c r="D161" s="3">
        <v>9353.2800000000007</v>
      </c>
      <c r="E161" s="3">
        <v>11673072.289999999</v>
      </c>
      <c r="F161" s="1" t="s">
        <v>3048</v>
      </c>
      <c r="G161" s="19">
        <f t="shared" si="22"/>
        <v>9353.2800000000007</v>
      </c>
    </row>
    <row r="162" spans="1:8">
      <c r="A162" s="1" t="s">
        <v>121</v>
      </c>
      <c r="B162" s="1" t="s">
        <v>15</v>
      </c>
      <c r="C162" s="1" t="s">
        <v>191</v>
      </c>
      <c r="D162" s="3">
        <v>38585.75</v>
      </c>
      <c r="E162" s="3">
        <v>11711658.039999999</v>
      </c>
      <c r="F162" s="1" t="s">
        <v>3048</v>
      </c>
      <c r="G162" s="19">
        <f t="shared" si="22"/>
        <v>38585.75</v>
      </c>
    </row>
    <row r="163" spans="1:8">
      <c r="A163" s="1" t="s">
        <v>548</v>
      </c>
      <c r="B163" s="1" t="s">
        <v>51</v>
      </c>
      <c r="C163" s="1" t="s">
        <v>561</v>
      </c>
      <c r="D163" s="2">
        <v>-662.35</v>
      </c>
      <c r="E163" s="3">
        <v>9523305.5899999999</v>
      </c>
      <c r="G163" s="19">
        <f>+D163</f>
        <v>-662.35</v>
      </c>
      <c r="H163" s="19">
        <f>+D163-G163</f>
        <v>0</v>
      </c>
    </row>
    <row r="164" spans="1:8">
      <c r="A164" s="1" t="s">
        <v>121</v>
      </c>
      <c r="B164" s="1" t="s">
        <v>15</v>
      </c>
      <c r="C164" s="1" t="s">
        <v>194</v>
      </c>
      <c r="D164" s="3">
        <v>9548.14</v>
      </c>
      <c r="E164" s="3">
        <v>11723286.550000001</v>
      </c>
      <c r="F164" s="1" t="s">
        <v>3048</v>
      </c>
      <c r="G164" s="19">
        <f t="shared" ref="G164:G165" si="24">+D164</f>
        <v>9548.14</v>
      </c>
    </row>
    <row r="165" spans="1:8">
      <c r="A165" s="1" t="s">
        <v>121</v>
      </c>
      <c r="B165" s="1" t="s">
        <v>15</v>
      </c>
      <c r="C165" s="1" t="s">
        <v>195</v>
      </c>
      <c r="D165" s="3">
        <v>12958.19</v>
      </c>
      <c r="E165" s="3">
        <v>11736244.74</v>
      </c>
      <c r="F165" s="1" t="s">
        <v>3048</v>
      </c>
      <c r="G165" s="19">
        <f t="shared" si="24"/>
        <v>12958.19</v>
      </c>
    </row>
    <row r="166" spans="1:8">
      <c r="A166" s="1" t="s">
        <v>548</v>
      </c>
      <c r="B166" s="1" t="s">
        <v>51</v>
      </c>
      <c r="C166" s="1" t="s">
        <v>562</v>
      </c>
      <c r="D166" s="2">
        <v>-641.41</v>
      </c>
      <c r="E166" s="3">
        <v>9415763.0800000001</v>
      </c>
      <c r="G166" s="19">
        <f>+D166</f>
        <v>-641.41</v>
      </c>
      <c r="H166" s="19">
        <f>+D166-G166</f>
        <v>0</v>
      </c>
    </row>
    <row r="167" spans="1:8">
      <c r="A167" s="1" t="s">
        <v>121</v>
      </c>
      <c r="B167" s="1" t="s">
        <v>15</v>
      </c>
      <c r="C167" s="1" t="s">
        <v>198</v>
      </c>
      <c r="D167" s="3">
        <v>27112.89</v>
      </c>
      <c r="E167" s="3">
        <v>11765310.73</v>
      </c>
      <c r="F167" s="1" t="s">
        <v>3048</v>
      </c>
      <c r="G167" s="19">
        <f t="shared" ref="G167:G170" si="25">+D167</f>
        <v>27112.89</v>
      </c>
    </row>
    <row r="168" spans="1:8">
      <c r="A168" s="1" t="s">
        <v>121</v>
      </c>
      <c r="B168" s="1" t="s">
        <v>15</v>
      </c>
      <c r="C168" s="1" t="s">
        <v>199</v>
      </c>
      <c r="D168" s="3">
        <v>7794.4</v>
      </c>
      <c r="E168" s="3">
        <v>11773105.130000001</v>
      </c>
      <c r="F168" s="1" t="s">
        <v>3048</v>
      </c>
      <c r="G168" s="19">
        <f t="shared" si="25"/>
        <v>7794.4</v>
      </c>
    </row>
    <row r="169" spans="1:8">
      <c r="A169" s="1" t="s">
        <v>121</v>
      </c>
      <c r="B169" s="1" t="s">
        <v>15</v>
      </c>
      <c r="C169" s="1" t="s">
        <v>200</v>
      </c>
      <c r="D169" s="3">
        <v>15004.22</v>
      </c>
      <c r="E169" s="3">
        <v>11788109.35</v>
      </c>
      <c r="F169" s="1" t="s">
        <v>3048</v>
      </c>
      <c r="G169" s="19">
        <f t="shared" si="25"/>
        <v>15004.22</v>
      </c>
    </row>
    <row r="170" spans="1:8">
      <c r="A170" s="1" t="s">
        <v>121</v>
      </c>
      <c r="B170" s="1" t="s">
        <v>15</v>
      </c>
      <c r="C170" s="1" t="s">
        <v>201</v>
      </c>
      <c r="D170" s="3">
        <v>9353.2800000000007</v>
      </c>
      <c r="E170" s="3">
        <v>11797462.630000001</v>
      </c>
      <c r="F170" s="1" t="s">
        <v>3048</v>
      </c>
      <c r="G170" s="19">
        <f t="shared" si="25"/>
        <v>9353.2800000000007</v>
      </c>
    </row>
    <row r="171" spans="1:8">
      <c r="A171" s="1" t="s">
        <v>548</v>
      </c>
      <c r="B171" s="1" t="s">
        <v>51</v>
      </c>
      <c r="C171" s="1" t="s">
        <v>563</v>
      </c>
      <c r="D171" s="3">
        <v>-1187.28</v>
      </c>
      <c r="E171" s="3">
        <v>9216695.8300000001</v>
      </c>
      <c r="G171" s="19">
        <f>+D171</f>
        <v>-1187.28</v>
      </c>
      <c r="H171" s="19">
        <f>+D171-G171</f>
        <v>0</v>
      </c>
    </row>
    <row r="172" spans="1:8">
      <c r="A172" s="1" t="s">
        <v>121</v>
      </c>
      <c r="B172" s="1" t="s">
        <v>15</v>
      </c>
      <c r="C172" s="1" t="s">
        <v>204</v>
      </c>
      <c r="D172" s="3">
        <v>7935.48</v>
      </c>
      <c r="E172" s="3">
        <v>11805868.029999999</v>
      </c>
      <c r="F172" s="1" t="s">
        <v>3048</v>
      </c>
      <c r="G172" s="19">
        <f t="shared" ref="G172:G178" si="26">+D172</f>
        <v>7935.48</v>
      </c>
    </row>
    <row r="173" spans="1:8">
      <c r="A173" s="1" t="s">
        <v>121</v>
      </c>
      <c r="B173" s="1" t="s">
        <v>15</v>
      </c>
      <c r="C173" s="1" t="s">
        <v>205</v>
      </c>
      <c r="D173" s="3">
        <v>2240.89</v>
      </c>
      <c r="E173" s="3">
        <v>11808108.92</v>
      </c>
      <c r="F173" s="1" t="s">
        <v>3048</v>
      </c>
      <c r="G173" s="19">
        <f t="shared" si="26"/>
        <v>2240.89</v>
      </c>
    </row>
    <row r="174" spans="1:8">
      <c r="A174" s="1" t="s">
        <v>121</v>
      </c>
      <c r="B174" s="1" t="s">
        <v>15</v>
      </c>
      <c r="C174" s="1" t="s">
        <v>206</v>
      </c>
      <c r="D174" s="3">
        <v>9743</v>
      </c>
      <c r="E174" s="3">
        <v>11817851.92</v>
      </c>
      <c r="F174" s="1" t="s">
        <v>3048</v>
      </c>
      <c r="G174" s="19">
        <f t="shared" si="26"/>
        <v>9743</v>
      </c>
    </row>
    <row r="175" spans="1:8">
      <c r="A175" s="1" t="s">
        <v>121</v>
      </c>
      <c r="B175" s="1" t="s">
        <v>15</v>
      </c>
      <c r="C175" s="1" t="s">
        <v>207</v>
      </c>
      <c r="D175" s="3">
        <v>7884.24</v>
      </c>
      <c r="E175" s="3">
        <v>11825736.16</v>
      </c>
      <c r="F175" s="1" t="s">
        <v>3048</v>
      </c>
      <c r="G175" s="19">
        <f t="shared" si="26"/>
        <v>7884.24</v>
      </c>
    </row>
    <row r="176" spans="1:8">
      <c r="A176" s="1" t="s">
        <v>121</v>
      </c>
      <c r="B176" s="1" t="s">
        <v>15</v>
      </c>
      <c r="C176" s="1" t="s">
        <v>208</v>
      </c>
      <c r="D176" s="3">
        <v>4774.07</v>
      </c>
      <c r="E176" s="3">
        <v>11830510.23</v>
      </c>
      <c r="F176" s="1" t="s">
        <v>3048</v>
      </c>
      <c r="G176" s="19">
        <f t="shared" si="26"/>
        <v>4774.07</v>
      </c>
    </row>
    <row r="177" spans="1:8">
      <c r="A177" s="1" t="s">
        <v>121</v>
      </c>
      <c r="B177" s="1" t="s">
        <v>15</v>
      </c>
      <c r="C177" s="1" t="s">
        <v>209</v>
      </c>
      <c r="D177" s="3">
        <v>41417.56</v>
      </c>
      <c r="E177" s="3">
        <v>11871927.789999999</v>
      </c>
      <c r="F177" s="1" t="s">
        <v>3048</v>
      </c>
      <c r="G177" s="19">
        <f t="shared" si="26"/>
        <v>41417.56</v>
      </c>
    </row>
    <row r="178" spans="1:8">
      <c r="A178" s="1" t="s">
        <v>121</v>
      </c>
      <c r="B178" s="1" t="s">
        <v>15</v>
      </c>
      <c r="C178" s="1" t="s">
        <v>210</v>
      </c>
      <c r="D178" s="3">
        <v>33613.35</v>
      </c>
      <c r="E178" s="3">
        <v>11905541.140000001</v>
      </c>
      <c r="F178" s="1" t="s">
        <v>3048</v>
      </c>
      <c r="G178" s="19">
        <f t="shared" si="26"/>
        <v>33613.35</v>
      </c>
    </row>
    <row r="179" spans="1:8">
      <c r="A179" s="1" t="s">
        <v>1000</v>
      </c>
      <c r="B179" s="1" t="s">
        <v>51</v>
      </c>
      <c r="C179" s="1" t="s">
        <v>1010</v>
      </c>
      <c r="D179" s="3">
        <v>-3063.72</v>
      </c>
      <c r="E179" s="3">
        <v>14280853.279999999</v>
      </c>
      <c r="G179" s="19">
        <f>+D179</f>
        <v>-3063.72</v>
      </c>
      <c r="H179" s="19">
        <f>+D179-G179</f>
        <v>0</v>
      </c>
    </row>
    <row r="180" spans="1:8">
      <c r="A180" s="1" t="s">
        <v>121</v>
      </c>
      <c r="B180" s="1" t="s">
        <v>15</v>
      </c>
      <c r="C180" s="1" t="s">
        <v>213</v>
      </c>
      <c r="D180" s="3">
        <v>4676.6400000000003</v>
      </c>
      <c r="E180" s="3">
        <v>11913595.33</v>
      </c>
      <c r="F180" s="1" t="s">
        <v>3048</v>
      </c>
      <c r="G180" s="19">
        <f t="shared" ref="G180:G182" si="27">+D180</f>
        <v>4676.6400000000003</v>
      </c>
    </row>
    <row r="181" spans="1:8">
      <c r="A181" s="1" t="s">
        <v>121</v>
      </c>
      <c r="B181" s="1" t="s">
        <v>15</v>
      </c>
      <c r="C181" s="1" t="s">
        <v>214</v>
      </c>
      <c r="D181" s="3">
        <v>19096.28</v>
      </c>
      <c r="E181" s="3">
        <v>11932691.609999999</v>
      </c>
      <c r="F181" s="1" t="s">
        <v>3048</v>
      </c>
      <c r="G181" s="19">
        <f t="shared" si="27"/>
        <v>19096.28</v>
      </c>
    </row>
    <row r="182" spans="1:8">
      <c r="A182" s="1" t="s">
        <v>121</v>
      </c>
      <c r="B182" s="1" t="s">
        <v>15</v>
      </c>
      <c r="C182" s="1" t="s">
        <v>215</v>
      </c>
      <c r="D182" s="3">
        <v>43064.06</v>
      </c>
      <c r="E182" s="3">
        <v>11975755.67</v>
      </c>
      <c r="F182" s="1" t="s">
        <v>3048</v>
      </c>
      <c r="G182" s="19">
        <f t="shared" si="27"/>
        <v>43064.06</v>
      </c>
    </row>
    <row r="183" spans="1:8">
      <c r="A183" s="1" t="s">
        <v>1013</v>
      </c>
      <c r="B183" s="1" t="s">
        <v>51</v>
      </c>
      <c r="C183" s="1" t="s">
        <v>1014</v>
      </c>
      <c r="D183" s="3">
        <v>-1650.15</v>
      </c>
      <c r="E183" s="3">
        <v>13952799.57</v>
      </c>
      <c r="G183" s="19">
        <f>+D183</f>
        <v>-1650.15</v>
      </c>
      <c r="H183" s="19">
        <f>+D183-G183</f>
        <v>0</v>
      </c>
    </row>
    <row r="184" spans="1:8">
      <c r="A184" s="1" t="s">
        <v>121</v>
      </c>
      <c r="B184" s="1" t="s">
        <v>15</v>
      </c>
      <c r="C184" s="1" t="s">
        <v>218</v>
      </c>
      <c r="D184" s="3">
        <v>62744.92</v>
      </c>
      <c r="E184" s="3">
        <v>12040664.18</v>
      </c>
      <c r="F184" s="1" t="s">
        <v>3048</v>
      </c>
      <c r="G184" s="19">
        <f t="shared" ref="G184:G189" si="28">+D184</f>
        <v>62744.92</v>
      </c>
    </row>
    <row r="185" spans="1:8">
      <c r="A185" s="1" t="s">
        <v>121</v>
      </c>
      <c r="B185" s="1" t="s">
        <v>15</v>
      </c>
      <c r="C185" s="1" t="s">
        <v>219</v>
      </c>
      <c r="D185" s="3">
        <v>50919.33</v>
      </c>
      <c r="E185" s="3">
        <v>12091583.51</v>
      </c>
      <c r="F185" s="1" t="s">
        <v>3048</v>
      </c>
      <c r="G185" s="19">
        <f t="shared" si="28"/>
        <v>50919.33</v>
      </c>
    </row>
    <row r="186" spans="1:8">
      <c r="A186" s="1" t="s">
        <v>121</v>
      </c>
      <c r="B186" s="1" t="s">
        <v>15</v>
      </c>
      <c r="C186" s="1" t="s">
        <v>220</v>
      </c>
      <c r="D186" s="3">
        <v>40811.040000000001</v>
      </c>
      <c r="E186" s="3">
        <v>12132394.550000001</v>
      </c>
      <c r="F186" s="1" t="s">
        <v>3048</v>
      </c>
      <c r="G186" s="19">
        <f t="shared" si="28"/>
        <v>40811.040000000001</v>
      </c>
    </row>
    <row r="187" spans="1:8">
      <c r="A187" s="1" t="s">
        <v>121</v>
      </c>
      <c r="B187" s="1" t="s">
        <v>15</v>
      </c>
      <c r="C187" s="1" t="s">
        <v>221</v>
      </c>
      <c r="D187" s="3">
        <v>8768.7000000000007</v>
      </c>
      <c r="E187" s="3">
        <v>12141163.25</v>
      </c>
      <c r="F187" s="1" t="s">
        <v>3048</v>
      </c>
      <c r="G187" s="19">
        <f t="shared" si="28"/>
        <v>8768.7000000000007</v>
      </c>
    </row>
    <row r="188" spans="1:8">
      <c r="A188" s="1" t="s">
        <v>121</v>
      </c>
      <c r="B188" s="1" t="s">
        <v>15</v>
      </c>
      <c r="C188" s="1" t="s">
        <v>222</v>
      </c>
      <c r="D188" s="3">
        <v>4838.5</v>
      </c>
      <c r="E188" s="3">
        <v>12146001.75</v>
      </c>
      <c r="F188" s="1" t="s">
        <v>3048</v>
      </c>
      <c r="G188" s="19">
        <f t="shared" si="28"/>
        <v>4838.5</v>
      </c>
    </row>
    <row r="189" spans="1:8">
      <c r="A189" s="1" t="s">
        <v>121</v>
      </c>
      <c r="B189" s="1" t="s">
        <v>15</v>
      </c>
      <c r="C189" s="1" t="s">
        <v>223</v>
      </c>
      <c r="D189" s="3">
        <v>66349.83</v>
      </c>
      <c r="E189" s="3">
        <v>12212351.58</v>
      </c>
      <c r="F189" s="1" t="s">
        <v>3048</v>
      </c>
      <c r="G189" s="19">
        <f t="shared" si="28"/>
        <v>66349.83</v>
      </c>
    </row>
    <row r="190" spans="1:8">
      <c r="A190" s="1" t="s">
        <v>1013</v>
      </c>
      <c r="B190" s="1" t="s">
        <v>51</v>
      </c>
      <c r="C190" s="1" t="s">
        <v>1015</v>
      </c>
      <c r="D190" s="3">
        <v>-1409.31</v>
      </c>
      <c r="E190" s="3">
        <v>13716504.550000001</v>
      </c>
      <c r="G190" s="19">
        <f>+D190</f>
        <v>-1409.31</v>
      </c>
      <c r="H190" s="19">
        <f>+D190-G190</f>
        <v>0</v>
      </c>
    </row>
    <row r="191" spans="1:8">
      <c r="A191" s="1" t="s">
        <v>121</v>
      </c>
      <c r="B191" s="1" t="s">
        <v>15</v>
      </c>
      <c r="C191" s="1" t="s">
        <v>226</v>
      </c>
      <c r="D191" s="3">
        <v>5128.8100000000004</v>
      </c>
      <c r="E191" s="3">
        <v>12220813.880000001</v>
      </c>
      <c r="F191" s="1" t="s">
        <v>3048</v>
      </c>
      <c r="G191" s="19">
        <f t="shared" ref="G191:G199" si="29">+D191</f>
        <v>5128.8100000000004</v>
      </c>
    </row>
    <row r="192" spans="1:8">
      <c r="A192" s="1" t="s">
        <v>121</v>
      </c>
      <c r="B192" s="1" t="s">
        <v>15</v>
      </c>
      <c r="C192" s="1" t="s">
        <v>227</v>
      </c>
      <c r="D192" s="3">
        <v>16270.81</v>
      </c>
      <c r="E192" s="3">
        <v>12237084.689999999</v>
      </c>
      <c r="F192" s="1" t="s">
        <v>3048</v>
      </c>
      <c r="G192" s="19">
        <f t="shared" si="29"/>
        <v>16270.81</v>
      </c>
    </row>
    <row r="193" spans="1:8">
      <c r="A193" s="1" t="s">
        <v>121</v>
      </c>
      <c r="B193" s="1" t="s">
        <v>15</v>
      </c>
      <c r="C193" s="1" t="s">
        <v>228</v>
      </c>
      <c r="D193" s="3">
        <v>42771.77</v>
      </c>
      <c r="E193" s="3">
        <v>12279856.460000001</v>
      </c>
      <c r="F193" s="1" t="s">
        <v>3048</v>
      </c>
      <c r="G193" s="19">
        <f t="shared" si="29"/>
        <v>42771.77</v>
      </c>
    </row>
    <row r="194" spans="1:8">
      <c r="A194" s="1" t="s">
        <v>121</v>
      </c>
      <c r="B194" s="1" t="s">
        <v>15</v>
      </c>
      <c r="C194" s="1" t="s">
        <v>229</v>
      </c>
      <c r="D194" s="3">
        <v>8768.7000000000007</v>
      </c>
      <c r="E194" s="3">
        <v>12288625.16</v>
      </c>
      <c r="F194" s="1" t="s">
        <v>3048</v>
      </c>
      <c r="G194" s="19">
        <f t="shared" si="29"/>
        <v>8768.7000000000007</v>
      </c>
    </row>
    <row r="195" spans="1:8">
      <c r="A195" s="1" t="s">
        <v>121</v>
      </c>
      <c r="B195" s="1" t="s">
        <v>15</v>
      </c>
      <c r="C195" s="1" t="s">
        <v>230</v>
      </c>
      <c r="D195" s="3">
        <v>9104.42</v>
      </c>
      <c r="E195" s="3">
        <v>12297729.58</v>
      </c>
      <c r="F195" s="1" t="s">
        <v>3048</v>
      </c>
      <c r="G195" s="19">
        <f t="shared" si="29"/>
        <v>9104.42</v>
      </c>
    </row>
    <row r="196" spans="1:8">
      <c r="A196" s="1" t="s">
        <v>121</v>
      </c>
      <c r="B196" s="1" t="s">
        <v>136</v>
      </c>
      <c r="C196" s="1" t="s">
        <v>228</v>
      </c>
      <c r="D196" s="3">
        <v>-42771.77</v>
      </c>
      <c r="E196" s="3">
        <v>12254957.810000001</v>
      </c>
      <c r="F196" s="1" t="s">
        <v>3048</v>
      </c>
      <c r="G196" s="19">
        <f t="shared" si="29"/>
        <v>-42771.77</v>
      </c>
    </row>
    <row r="197" spans="1:8">
      <c r="A197" s="1" t="s">
        <v>121</v>
      </c>
      <c r="B197" s="1" t="s">
        <v>15</v>
      </c>
      <c r="C197" s="1" t="s">
        <v>231</v>
      </c>
      <c r="D197" s="3">
        <v>33808.21</v>
      </c>
      <c r="E197" s="3">
        <v>12288766.02</v>
      </c>
      <c r="F197" s="1" t="s">
        <v>3048</v>
      </c>
      <c r="G197" s="19">
        <f t="shared" si="29"/>
        <v>33808.21</v>
      </c>
    </row>
    <row r="198" spans="1:8">
      <c r="A198" s="1" t="s">
        <v>121</v>
      </c>
      <c r="B198" s="1" t="s">
        <v>15</v>
      </c>
      <c r="C198" s="1" t="s">
        <v>232</v>
      </c>
      <c r="D198" s="3">
        <v>29618.720000000001</v>
      </c>
      <c r="E198" s="3">
        <v>12318384.74</v>
      </c>
      <c r="F198" s="1" t="s">
        <v>3048</v>
      </c>
      <c r="G198" s="19">
        <f t="shared" si="29"/>
        <v>29618.720000000001</v>
      </c>
    </row>
    <row r="199" spans="1:8">
      <c r="A199" s="1" t="s">
        <v>121</v>
      </c>
      <c r="B199" s="1" t="s">
        <v>15</v>
      </c>
      <c r="C199" s="1" t="s">
        <v>233</v>
      </c>
      <c r="D199" s="3">
        <v>28839.279999999999</v>
      </c>
      <c r="E199" s="3">
        <v>12347224.02</v>
      </c>
      <c r="F199" s="1" t="s">
        <v>3048</v>
      </c>
      <c r="G199" s="19">
        <f t="shared" si="29"/>
        <v>28839.279999999999</v>
      </c>
    </row>
    <row r="200" spans="1:8">
      <c r="A200" s="1" t="s">
        <v>1039</v>
      </c>
      <c r="B200" s="1" t="s">
        <v>51</v>
      </c>
      <c r="C200" s="1" t="s">
        <v>1051</v>
      </c>
      <c r="D200" s="2">
        <v>-518.33000000000004</v>
      </c>
      <c r="E200" s="3">
        <v>13961803.18</v>
      </c>
      <c r="G200" s="19">
        <f>+D200</f>
        <v>-518.33000000000004</v>
      </c>
      <c r="H200" s="19">
        <f>+D200-G200</f>
        <v>0</v>
      </c>
    </row>
    <row r="201" spans="1:8">
      <c r="A201" s="1" t="s">
        <v>121</v>
      </c>
      <c r="B201" s="1" t="s">
        <v>15</v>
      </c>
      <c r="C201" s="1" t="s">
        <v>236</v>
      </c>
      <c r="D201" s="3">
        <v>31567.32</v>
      </c>
      <c r="E201" s="3">
        <v>12380240.26</v>
      </c>
      <c r="F201" s="1" t="s">
        <v>3048</v>
      </c>
      <c r="G201" s="19">
        <f t="shared" ref="G201:G202" si="30">+D201</f>
        <v>31567.32</v>
      </c>
    </row>
    <row r="202" spans="1:8">
      <c r="A202" s="1" t="s">
        <v>121</v>
      </c>
      <c r="B202" s="1" t="s">
        <v>15</v>
      </c>
      <c r="C202" s="1" t="s">
        <v>237</v>
      </c>
      <c r="D202" s="3">
        <v>39848.870000000003</v>
      </c>
      <c r="E202" s="3">
        <v>12420089.130000001</v>
      </c>
      <c r="F202" s="1" t="s">
        <v>3048</v>
      </c>
      <c r="G202" s="19">
        <f t="shared" si="30"/>
        <v>39848.870000000003</v>
      </c>
    </row>
    <row r="203" spans="1:8">
      <c r="A203" s="1" t="s">
        <v>1039</v>
      </c>
      <c r="B203" s="1" t="s">
        <v>51</v>
      </c>
      <c r="C203" s="1" t="s">
        <v>1052</v>
      </c>
      <c r="D203" s="3">
        <v>-1280.48</v>
      </c>
      <c r="E203" s="3">
        <v>13747110.039999999</v>
      </c>
      <c r="G203" s="19">
        <f>+D203</f>
        <v>-1280.48</v>
      </c>
      <c r="H203" s="19">
        <f>+D203-G203</f>
        <v>0</v>
      </c>
    </row>
    <row r="204" spans="1:8">
      <c r="A204" s="1" t="s">
        <v>121</v>
      </c>
      <c r="B204" s="1" t="s">
        <v>15</v>
      </c>
      <c r="C204" s="1" t="s">
        <v>240</v>
      </c>
      <c r="D204" s="3">
        <v>23285.77</v>
      </c>
      <c r="E204" s="3">
        <v>12445376.949999999</v>
      </c>
      <c r="F204" s="1" t="s">
        <v>3048</v>
      </c>
      <c r="G204" s="19">
        <f t="shared" ref="G204:G208" si="31">+D204</f>
        <v>23285.77</v>
      </c>
    </row>
    <row r="205" spans="1:8">
      <c r="A205" s="1" t="s">
        <v>121</v>
      </c>
      <c r="B205" s="1" t="s">
        <v>15</v>
      </c>
      <c r="C205" s="1" t="s">
        <v>241</v>
      </c>
      <c r="D205" s="3">
        <v>8573.84</v>
      </c>
      <c r="E205" s="3">
        <v>12453950.789999999</v>
      </c>
      <c r="F205" s="1" t="s">
        <v>3048</v>
      </c>
      <c r="G205" s="19">
        <f t="shared" si="31"/>
        <v>8573.84</v>
      </c>
    </row>
    <row r="206" spans="1:8">
      <c r="A206" s="1" t="s">
        <v>121</v>
      </c>
      <c r="B206" s="1" t="s">
        <v>15</v>
      </c>
      <c r="C206" s="1" t="s">
        <v>242</v>
      </c>
      <c r="D206" s="3">
        <v>86030.69</v>
      </c>
      <c r="E206" s="3">
        <v>12539981.48</v>
      </c>
      <c r="F206" s="1" t="s">
        <v>3048</v>
      </c>
      <c r="G206" s="19">
        <f t="shared" si="31"/>
        <v>86030.69</v>
      </c>
    </row>
    <row r="207" spans="1:8">
      <c r="A207" s="1" t="s">
        <v>121</v>
      </c>
      <c r="B207" s="1" t="s">
        <v>15</v>
      </c>
      <c r="C207" s="1" t="s">
        <v>243</v>
      </c>
      <c r="D207" s="3">
        <v>77559.87</v>
      </c>
      <c r="E207" s="3">
        <v>12617541.35</v>
      </c>
      <c r="F207" s="1" t="s">
        <v>3048</v>
      </c>
      <c r="G207" s="19">
        <f t="shared" si="31"/>
        <v>77559.87</v>
      </c>
    </row>
    <row r="208" spans="1:8">
      <c r="A208" s="1" t="s">
        <v>121</v>
      </c>
      <c r="B208" s="1" t="s">
        <v>15</v>
      </c>
      <c r="C208" s="1" t="s">
        <v>244</v>
      </c>
      <c r="D208" s="3">
        <v>73267.360000000001</v>
      </c>
      <c r="E208" s="3">
        <v>12690808.710000001</v>
      </c>
      <c r="F208" s="1" t="s">
        <v>3048</v>
      </c>
      <c r="G208" s="19">
        <f t="shared" si="31"/>
        <v>73267.360000000001</v>
      </c>
    </row>
    <row r="209" spans="1:8">
      <c r="A209" s="1" t="s">
        <v>1039</v>
      </c>
      <c r="B209" s="1" t="s">
        <v>51</v>
      </c>
      <c r="C209" s="1" t="s">
        <v>1053</v>
      </c>
      <c r="D209" s="2">
        <v>-966.65</v>
      </c>
      <c r="E209" s="3">
        <v>13585034.390000001</v>
      </c>
      <c r="G209" s="19">
        <f>+D209</f>
        <v>-966.65</v>
      </c>
      <c r="H209" s="19">
        <f>+D209-G209</f>
        <v>0</v>
      </c>
    </row>
    <row r="210" spans="1:8">
      <c r="A210" s="1" t="s">
        <v>121</v>
      </c>
      <c r="B210" s="1" t="s">
        <v>15</v>
      </c>
      <c r="C210" s="1" t="s">
        <v>247</v>
      </c>
      <c r="D210" s="3">
        <v>61868.05</v>
      </c>
      <c r="E210" s="3">
        <v>12756357.800000001</v>
      </c>
      <c r="F210" s="1" t="s">
        <v>3048</v>
      </c>
      <c r="G210" s="19">
        <f t="shared" ref="G210:G221" si="32">+D210</f>
        <v>61868.05</v>
      </c>
    </row>
    <row r="211" spans="1:8">
      <c r="A211" s="1" t="s">
        <v>121</v>
      </c>
      <c r="B211" s="1" t="s">
        <v>15</v>
      </c>
      <c r="C211" s="1" t="s">
        <v>248</v>
      </c>
      <c r="D211" s="3">
        <v>4774.07</v>
      </c>
      <c r="E211" s="3">
        <v>12761131.869999999</v>
      </c>
      <c r="F211" s="1" t="s">
        <v>3048</v>
      </c>
      <c r="G211" s="19">
        <f t="shared" si="32"/>
        <v>4774.07</v>
      </c>
    </row>
    <row r="212" spans="1:8">
      <c r="A212" s="1" t="s">
        <v>121</v>
      </c>
      <c r="B212" s="1" t="s">
        <v>15</v>
      </c>
      <c r="C212" s="1" t="s">
        <v>249</v>
      </c>
      <c r="D212" s="3">
        <v>101619.49</v>
      </c>
      <c r="E212" s="3">
        <v>12862751.359999999</v>
      </c>
      <c r="F212" s="1" t="s">
        <v>3048</v>
      </c>
      <c r="G212" s="19">
        <f t="shared" si="32"/>
        <v>101619.49</v>
      </c>
    </row>
    <row r="213" spans="1:8">
      <c r="A213" s="1" t="s">
        <v>121</v>
      </c>
      <c r="B213" s="1" t="s">
        <v>15</v>
      </c>
      <c r="C213" s="1" t="s">
        <v>250</v>
      </c>
      <c r="D213" s="3">
        <v>12860.76</v>
      </c>
      <c r="E213" s="3">
        <v>12875612.119999999</v>
      </c>
      <c r="F213" s="1" t="s">
        <v>3048</v>
      </c>
      <c r="G213" s="19">
        <f t="shared" si="32"/>
        <v>12860.76</v>
      </c>
    </row>
    <row r="214" spans="1:8">
      <c r="A214" s="1" t="s">
        <v>121</v>
      </c>
      <c r="B214" s="1" t="s">
        <v>15</v>
      </c>
      <c r="C214" s="1" t="s">
        <v>251</v>
      </c>
      <c r="D214" s="3">
        <v>39556.58</v>
      </c>
      <c r="E214" s="3">
        <v>12915168.699999999</v>
      </c>
      <c r="F214" s="1" t="s">
        <v>3048</v>
      </c>
      <c r="G214" s="19">
        <f t="shared" si="32"/>
        <v>39556.58</v>
      </c>
    </row>
    <row r="215" spans="1:8">
      <c r="A215" s="1" t="s">
        <v>121</v>
      </c>
      <c r="B215" s="1" t="s">
        <v>15</v>
      </c>
      <c r="C215" s="1" t="s">
        <v>252</v>
      </c>
      <c r="D215" s="3">
        <v>18490.419999999998</v>
      </c>
      <c r="E215" s="3">
        <v>12933659.119999999</v>
      </c>
      <c r="F215" s="1" t="s">
        <v>3048</v>
      </c>
      <c r="G215" s="19">
        <f t="shared" si="32"/>
        <v>18490.419999999998</v>
      </c>
    </row>
    <row r="216" spans="1:8">
      <c r="A216" s="1" t="s">
        <v>253</v>
      </c>
      <c r="B216" s="1" t="s">
        <v>15</v>
      </c>
      <c r="C216" s="1" t="s">
        <v>254</v>
      </c>
      <c r="D216" s="3">
        <v>57248.82</v>
      </c>
      <c r="E216" s="3">
        <v>12990907.939999999</v>
      </c>
      <c r="F216" s="1" t="s">
        <v>3048</v>
      </c>
      <c r="G216" s="19">
        <f t="shared" si="32"/>
        <v>57248.82</v>
      </c>
    </row>
    <row r="217" spans="1:8">
      <c r="A217" s="1" t="s">
        <v>253</v>
      </c>
      <c r="B217" s="1" t="s">
        <v>15</v>
      </c>
      <c r="C217" s="1" t="s">
        <v>255</v>
      </c>
      <c r="D217" s="3">
        <v>8573.84</v>
      </c>
      <c r="E217" s="3">
        <v>12999481.779999999</v>
      </c>
      <c r="F217" s="1" t="s">
        <v>3048</v>
      </c>
      <c r="G217" s="19">
        <f t="shared" si="32"/>
        <v>8573.84</v>
      </c>
    </row>
    <row r="218" spans="1:8">
      <c r="A218" s="1" t="s">
        <v>253</v>
      </c>
      <c r="B218" s="1" t="s">
        <v>15</v>
      </c>
      <c r="C218" s="1" t="s">
        <v>256</v>
      </c>
      <c r="D218" s="3">
        <v>37900.269999999997</v>
      </c>
      <c r="E218" s="3">
        <v>13037382.050000001</v>
      </c>
      <c r="F218" s="1" t="s">
        <v>3048</v>
      </c>
      <c r="G218" s="19">
        <f t="shared" si="32"/>
        <v>37900.269999999997</v>
      </c>
    </row>
    <row r="219" spans="1:8">
      <c r="A219" s="1" t="s">
        <v>253</v>
      </c>
      <c r="B219" s="1" t="s">
        <v>15</v>
      </c>
      <c r="C219" s="1" t="s">
        <v>257</v>
      </c>
      <c r="D219" s="3">
        <v>38387.42</v>
      </c>
      <c r="E219" s="3">
        <v>13075769.470000001</v>
      </c>
      <c r="F219" s="1" t="s">
        <v>3048</v>
      </c>
      <c r="G219" s="19">
        <f t="shared" si="32"/>
        <v>38387.42</v>
      </c>
    </row>
    <row r="220" spans="1:8">
      <c r="A220" s="1" t="s">
        <v>253</v>
      </c>
      <c r="B220" s="1" t="s">
        <v>15</v>
      </c>
      <c r="C220" s="1" t="s">
        <v>258</v>
      </c>
      <c r="D220" s="3">
        <v>36225.21</v>
      </c>
      <c r="E220" s="3">
        <v>13111994.68</v>
      </c>
      <c r="F220" s="1" t="s">
        <v>3048</v>
      </c>
      <c r="G220" s="19">
        <f t="shared" si="32"/>
        <v>36225.21</v>
      </c>
    </row>
    <row r="221" spans="1:8">
      <c r="A221" s="1" t="s">
        <v>253</v>
      </c>
      <c r="B221" s="1" t="s">
        <v>15</v>
      </c>
      <c r="C221" s="1" t="s">
        <v>259</v>
      </c>
      <c r="D221" s="3">
        <v>33613.35</v>
      </c>
      <c r="E221" s="3">
        <v>13145608.029999999</v>
      </c>
      <c r="F221" s="1" t="s">
        <v>3048</v>
      </c>
      <c r="G221" s="19">
        <f t="shared" si="32"/>
        <v>33613.35</v>
      </c>
    </row>
    <row r="222" spans="1:8">
      <c r="A222" s="1" t="s">
        <v>1039</v>
      </c>
      <c r="B222" s="1" t="s">
        <v>51</v>
      </c>
      <c r="C222" s="1" t="s">
        <v>1060</v>
      </c>
      <c r="D222" s="3">
        <v>-1198</v>
      </c>
      <c r="E222" s="3">
        <v>10353467.34</v>
      </c>
      <c r="G222" s="19">
        <f>+D222</f>
        <v>-1198</v>
      </c>
      <c r="H222" s="19">
        <f>+D222-G222</f>
        <v>0</v>
      </c>
    </row>
    <row r="223" spans="1:8">
      <c r="A223" s="1" t="s">
        <v>253</v>
      </c>
      <c r="B223" s="1" t="s">
        <v>15</v>
      </c>
      <c r="C223" s="1" t="s">
        <v>262</v>
      </c>
      <c r="D223" s="3">
        <v>17147.68</v>
      </c>
      <c r="E223" s="3">
        <v>13164713.710000001</v>
      </c>
      <c r="F223" s="1" t="s">
        <v>3048</v>
      </c>
      <c r="G223" s="19">
        <f t="shared" ref="G223:G239" si="33">+D223</f>
        <v>17147.68</v>
      </c>
    </row>
    <row r="224" spans="1:8">
      <c r="A224" s="1" t="s">
        <v>253</v>
      </c>
      <c r="B224" s="1" t="s">
        <v>15</v>
      </c>
      <c r="C224" s="1" t="s">
        <v>263</v>
      </c>
      <c r="D224" s="3">
        <v>31469.89</v>
      </c>
      <c r="E224" s="3">
        <v>13196183.6</v>
      </c>
      <c r="F224" s="1" t="s">
        <v>3048</v>
      </c>
      <c r="G224" s="19">
        <f t="shared" si="33"/>
        <v>31469.89</v>
      </c>
    </row>
    <row r="225" spans="1:8">
      <c r="A225" s="1" t="s">
        <v>253</v>
      </c>
      <c r="B225" s="1" t="s">
        <v>15</v>
      </c>
      <c r="C225" s="1" t="s">
        <v>264</v>
      </c>
      <c r="D225" s="3">
        <v>24467.73</v>
      </c>
      <c r="E225" s="3">
        <v>13220651.33</v>
      </c>
      <c r="F225" s="1" t="s">
        <v>3048</v>
      </c>
      <c r="G225" s="19">
        <f t="shared" si="33"/>
        <v>24467.73</v>
      </c>
    </row>
    <row r="226" spans="1:8">
      <c r="A226" s="1" t="s">
        <v>253</v>
      </c>
      <c r="B226" s="1" t="s">
        <v>15</v>
      </c>
      <c r="C226" s="1" t="s">
        <v>265</v>
      </c>
      <c r="D226" s="3">
        <v>10327.58</v>
      </c>
      <c r="E226" s="3">
        <v>13230978.91</v>
      </c>
      <c r="F226" s="1" t="s">
        <v>3048</v>
      </c>
      <c r="G226" s="19">
        <f t="shared" si="33"/>
        <v>10327.58</v>
      </c>
    </row>
    <row r="227" spans="1:8">
      <c r="A227" s="1" t="s">
        <v>253</v>
      </c>
      <c r="B227" s="1" t="s">
        <v>15</v>
      </c>
      <c r="C227" s="1" t="s">
        <v>266</v>
      </c>
      <c r="D227" s="3">
        <v>22603.759999999998</v>
      </c>
      <c r="E227" s="3">
        <v>13253582.67</v>
      </c>
      <c r="F227" s="1" t="s">
        <v>3048</v>
      </c>
      <c r="G227" s="19">
        <f t="shared" si="33"/>
        <v>22603.759999999998</v>
      </c>
    </row>
    <row r="228" spans="1:8">
      <c r="A228" s="1" t="s">
        <v>253</v>
      </c>
      <c r="B228" s="1" t="s">
        <v>15</v>
      </c>
      <c r="C228" s="1" t="s">
        <v>267</v>
      </c>
      <c r="D228" s="3">
        <v>37510.550000000003</v>
      </c>
      <c r="E228" s="3">
        <v>13291093.220000001</v>
      </c>
      <c r="F228" s="1" t="s">
        <v>3048</v>
      </c>
      <c r="G228" s="19">
        <f t="shared" si="33"/>
        <v>37510.550000000003</v>
      </c>
    </row>
    <row r="229" spans="1:8">
      <c r="A229" s="1" t="s">
        <v>253</v>
      </c>
      <c r="B229" s="1" t="s">
        <v>15</v>
      </c>
      <c r="C229" s="1" t="s">
        <v>268</v>
      </c>
      <c r="D229" s="3">
        <v>75508.25</v>
      </c>
      <c r="E229" s="3">
        <v>13366601.470000001</v>
      </c>
      <c r="F229" s="1" t="s">
        <v>3048</v>
      </c>
      <c r="G229" s="19">
        <f t="shared" si="33"/>
        <v>75508.25</v>
      </c>
    </row>
    <row r="230" spans="1:8">
      <c r="A230" s="1" t="s">
        <v>253</v>
      </c>
      <c r="B230" s="1" t="s">
        <v>15</v>
      </c>
      <c r="C230" s="1" t="s">
        <v>269</v>
      </c>
      <c r="D230" s="3">
        <v>7746.54</v>
      </c>
      <c r="E230" s="3">
        <v>13374348.01</v>
      </c>
      <c r="F230" s="1" t="s">
        <v>3048</v>
      </c>
      <c r="G230" s="19">
        <f t="shared" si="33"/>
        <v>7746.54</v>
      </c>
    </row>
    <row r="231" spans="1:8">
      <c r="A231" s="1" t="s">
        <v>253</v>
      </c>
      <c r="B231" s="1" t="s">
        <v>15</v>
      </c>
      <c r="C231" s="1" t="s">
        <v>270</v>
      </c>
      <c r="D231" s="3">
        <v>22200.45</v>
      </c>
      <c r="E231" s="3">
        <v>13396548.460000001</v>
      </c>
      <c r="F231" s="1" t="s">
        <v>3048</v>
      </c>
      <c r="G231" s="19">
        <f t="shared" si="33"/>
        <v>22200.45</v>
      </c>
    </row>
    <row r="232" spans="1:8">
      <c r="A232" s="1" t="s">
        <v>253</v>
      </c>
      <c r="B232" s="1" t="s">
        <v>15</v>
      </c>
      <c r="C232" s="1" t="s">
        <v>271</v>
      </c>
      <c r="D232" s="3">
        <v>96747.99</v>
      </c>
      <c r="E232" s="3">
        <v>13493296.449999999</v>
      </c>
      <c r="F232" s="1" t="s">
        <v>3048</v>
      </c>
      <c r="G232" s="19">
        <f t="shared" si="33"/>
        <v>96747.99</v>
      </c>
    </row>
    <row r="233" spans="1:8">
      <c r="A233" s="1" t="s">
        <v>253</v>
      </c>
      <c r="B233" s="1" t="s">
        <v>15</v>
      </c>
      <c r="C233" s="1" t="s">
        <v>272</v>
      </c>
      <c r="D233" s="3">
        <v>39960.81</v>
      </c>
      <c r="E233" s="3">
        <v>13533257.26</v>
      </c>
      <c r="F233" s="1" t="s">
        <v>3048</v>
      </c>
      <c r="G233" s="19">
        <f t="shared" si="33"/>
        <v>39960.81</v>
      </c>
    </row>
    <row r="234" spans="1:8">
      <c r="A234" s="1" t="s">
        <v>253</v>
      </c>
      <c r="B234" s="1" t="s">
        <v>15</v>
      </c>
      <c r="C234" s="1" t="s">
        <v>273</v>
      </c>
      <c r="D234" s="3">
        <v>38095.129999999997</v>
      </c>
      <c r="E234" s="3">
        <v>13571352.390000001</v>
      </c>
      <c r="F234" s="1" t="s">
        <v>3048</v>
      </c>
      <c r="G234" s="19">
        <f t="shared" si="33"/>
        <v>38095.129999999997</v>
      </c>
    </row>
    <row r="235" spans="1:8">
      <c r="A235" s="1" t="s">
        <v>253</v>
      </c>
      <c r="B235" s="1" t="s">
        <v>15</v>
      </c>
      <c r="C235" s="1" t="s">
        <v>274</v>
      </c>
      <c r="D235" s="3">
        <v>4534.5600000000004</v>
      </c>
      <c r="E235" s="3">
        <v>13575886.949999999</v>
      </c>
      <c r="F235" s="1" t="s">
        <v>3048</v>
      </c>
      <c r="G235" s="19">
        <f t="shared" si="33"/>
        <v>4534.5600000000004</v>
      </c>
    </row>
    <row r="236" spans="1:8">
      <c r="A236" s="1" t="s">
        <v>253</v>
      </c>
      <c r="B236" s="1" t="s">
        <v>15</v>
      </c>
      <c r="C236" s="1" t="s">
        <v>275</v>
      </c>
      <c r="D236" s="3">
        <v>35659.379999999997</v>
      </c>
      <c r="E236" s="3">
        <v>13611546.33</v>
      </c>
      <c r="F236" s="1" t="s">
        <v>3048</v>
      </c>
      <c r="G236" s="19">
        <f t="shared" si="33"/>
        <v>35659.379999999997</v>
      </c>
    </row>
    <row r="237" spans="1:8">
      <c r="A237" s="1" t="s">
        <v>253</v>
      </c>
      <c r="B237" s="1" t="s">
        <v>15</v>
      </c>
      <c r="C237" s="1" t="s">
        <v>276</v>
      </c>
      <c r="D237" s="3">
        <v>14805.81</v>
      </c>
      <c r="E237" s="3">
        <v>13626352.140000001</v>
      </c>
      <c r="F237" s="1" t="s">
        <v>3048</v>
      </c>
      <c r="G237" s="19">
        <f t="shared" si="33"/>
        <v>14805.81</v>
      </c>
    </row>
    <row r="238" spans="1:8">
      <c r="A238" s="1" t="s">
        <v>253</v>
      </c>
      <c r="B238" s="1" t="s">
        <v>15</v>
      </c>
      <c r="C238" s="1" t="s">
        <v>277</v>
      </c>
      <c r="D238" s="3">
        <v>25721.52</v>
      </c>
      <c r="E238" s="3">
        <v>13652073.66</v>
      </c>
      <c r="F238" s="1" t="s">
        <v>3048</v>
      </c>
      <c r="G238" s="19">
        <f t="shared" si="33"/>
        <v>25721.52</v>
      </c>
    </row>
    <row r="239" spans="1:8">
      <c r="A239" s="1" t="s">
        <v>253</v>
      </c>
      <c r="B239" s="1" t="s">
        <v>15</v>
      </c>
      <c r="C239" s="1" t="s">
        <v>278</v>
      </c>
      <c r="D239" s="3">
        <v>9353.2800000000007</v>
      </c>
      <c r="E239" s="3">
        <v>13661426.939999999</v>
      </c>
      <c r="F239" s="1" t="s">
        <v>3048</v>
      </c>
      <c r="G239" s="19">
        <f t="shared" si="33"/>
        <v>9353.2800000000007</v>
      </c>
    </row>
    <row r="240" spans="1:8">
      <c r="A240" s="1" t="s">
        <v>1377</v>
      </c>
      <c r="B240" s="1" t="s">
        <v>51</v>
      </c>
      <c r="C240" s="1" t="s">
        <v>1384</v>
      </c>
      <c r="D240" s="3">
        <v>-2096.88</v>
      </c>
      <c r="E240" s="3">
        <v>15043103.32</v>
      </c>
      <c r="G240" s="19">
        <f>+D240</f>
        <v>-2096.88</v>
      </c>
      <c r="H240" s="19">
        <f>+D240-G240</f>
        <v>0</v>
      </c>
    </row>
    <row r="241" spans="1:8">
      <c r="A241" s="1" t="s">
        <v>253</v>
      </c>
      <c r="B241" s="1" t="s">
        <v>15</v>
      </c>
      <c r="C241" s="1" t="s">
        <v>281</v>
      </c>
      <c r="D241" s="3">
        <v>36633.68</v>
      </c>
      <c r="E241" s="3">
        <v>13699000.460000001</v>
      </c>
      <c r="F241" s="1" t="s">
        <v>3048</v>
      </c>
      <c r="G241" s="19">
        <f t="shared" ref="G241:G244" si="34">+D241</f>
        <v>36633.68</v>
      </c>
    </row>
    <row r="242" spans="1:8">
      <c r="A242" s="1" t="s">
        <v>253</v>
      </c>
      <c r="B242" s="1" t="s">
        <v>15</v>
      </c>
      <c r="C242" s="1" t="s">
        <v>282</v>
      </c>
      <c r="D242" s="3">
        <v>11999.48</v>
      </c>
      <c r="E242" s="3">
        <v>13710999.939999999</v>
      </c>
      <c r="F242" s="1" t="s">
        <v>3048</v>
      </c>
      <c r="G242" s="19">
        <f t="shared" si="34"/>
        <v>11999.48</v>
      </c>
    </row>
    <row r="243" spans="1:8">
      <c r="A243" s="1" t="s">
        <v>253</v>
      </c>
      <c r="B243" s="1" t="s">
        <v>15</v>
      </c>
      <c r="C243" s="1" t="s">
        <v>283</v>
      </c>
      <c r="D243" s="3">
        <v>8573.84</v>
      </c>
      <c r="E243" s="3">
        <v>13719573.779999999</v>
      </c>
      <c r="F243" s="1" t="s">
        <v>3048</v>
      </c>
      <c r="G243" s="19">
        <f t="shared" si="34"/>
        <v>8573.84</v>
      </c>
    </row>
    <row r="244" spans="1:8">
      <c r="A244" s="1" t="s">
        <v>253</v>
      </c>
      <c r="B244" s="1" t="s">
        <v>15</v>
      </c>
      <c r="C244" s="1" t="s">
        <v>284</v>
      </c>
      <c r="D244" s="3">
        <v>25234.37</v>
      </c>
      <c r="E244" s="3">
        <v>13744808.15</v>
      </c>
      <c r="F244" s="1" t="s">
        <v>3048</v>
      </c>
      <c r="G244" s="19">
        <f t="shared" si="34"/>
        <v>25234.37</v>
      </c>
    </row>
    <row r="245" spans="1:8">
      <c r="A245" s="1" t="s">
        <v>1377</v>
      </c>
      <c r="B245" s="1" t="s">
        <v>51</v>
      </c>
      <c r="C245" s="1" t="s">
        <v>1384</v>
      </c>
      <c r="D245" s="3">
        <v>2096.88</v>
      </c>
      <c r="E245" s="3">
        <v>15394680.74</v>
      </c>
      <c r="G245" s="19">
        <f>+D245</f>
        <v>2096.88</v>
      </c>
      <c r="H245" s="19">
        <f>+D245-G245</f>
        <v>0</v>
      </c>
    </row>
    <row r="246" spans="1:8">
      <c r="A246" s="1" t="s">
        <v>253</v>
      </c>
      <c r="B246" s="1" t="s">
        <v>15</v>
      </c>
      <c r="C246" s="1" t="s">
        <v>287</v>
      </c>
      <c r="D246" s="3">
        <v>9353.2800000000007</v>
      </c>
      <c r="E246" s="3">
        <v>13755429.23</v>
      </c>
      <c r="F246" s="1" t="s">
        <v>3048</v>
      </c>
      <c r="G246" s="19">
        <f>+D246</f>
        <v>9353.2800000000007</v>
      </c>
    </row>
    <row r="247" spans="1:8">
      <c r="A247" s="1" t="s">
        <v>1377</v>
      </c>
      <c r="B247" s="1" t="s">
        <v>51</v>
      </c>
      <c r="C247" s="1" t="s">
        <v>1387</v>
      </c>
      <c r="D247" s="3">
        <v>-2096.88</v>
      </c>
      <c r="E247" s="3">
        <v>13697558.199999999</v>
      </c>
      <c r="G247" s="19">
        <f>+D247</f>
        <v>-2096.88</v>
      </c>
      <c r="H247" s="19">
        <f>+D247-G247</f>
        <v>0</v>
      </c>
    </row>
    <row r="248" spans="1:8">
      <c r="A248" s="1" t="s">
        <v>253</v>
      </c>
      <c r="B248" s="1" t="s">
        <v>15</v>
      </c>
      <c r="C248" s="1" t="s">
        <v>289</v>
      </c>
      <c r="D248" s="3">
        <v>56606.83</v>
      </c>
      <c r="E248" s="3">
        <v>13812975.9</v>
      </c>
      <c r="F248" s="1" t="s">
        <v>3048</v>
      </c>
      <c r="G248" s="19">
        <f>+D248</f>
        <v>56606.83</v>
      </c>
    </row>
    <row r="249" spans="1:8">
      <c r="A249" s="1" t="s">
        <v>1377</v>
      </c>
      <c r="B249" s="1" t="s">
        <v>51</v>
      </c>
      <c r="C249" s="1" t="s">
        <v>1387</v>
      </c>
      <c r="D249" s="3">
        <v>2096.88</v>
      </c>
      <c r="E249" s="3">
        <v>14049135.619999999</v>
      </c>
      <c r="G249" s="19">
        <f>+D249</f>
        <v>2096.88</v>
      </c>
      <c r="H249" s="19">
        <f>+D249-G249</f>
        <v>0</v>
      </c>
    </row>
    <row r="250" spans="1:8">
      <c r="A250" s="1" t="s">
        <v>253</v>
      </c>
      <c r="B250" s="1" t="s">
        <v>15</v>
      </c>
      <c r="C250" s="1" t="s">
        <v>292</v>
      </c>
      <c r="D250" s="3">
        <v>8322.2199999999993</v>
      </c>
      <c r="E250" s="3">
        <v>13824142.109999999</v>
      </c>
      <c r="F250" s="1" t="s">
        <v>3048</v>
      </c>
      <c r="G250" s="19">
        <f t="shared" ref="G250:G251" si="35">+D250</f>
        <v>8322.2199999999993</v>
      </c>
    </row>
    <row r="251" spans="1:8">
      <c r="A251" s="1" t="s">
        <v>253</v>
      </c>
      <c r="B251" s="1" t="s">
        <v>15</v>
      </c>
      <c r="C251" s="1" t="s">
        <v>293</v>
      </c>
      <c r="D251" s="3">
        <v>4189.49</v>
      </c>
      <c r="E251" s="3">
        <v>13828331.6</v>
      </c>
      <c r="F251" s="1" t="s">
        <v>3048</v>
      </c>
      <c r="G251" s="19">
        <f t="shared" si="35"/>
        <v>4189.49</v>
      </c>
    </row>
    <row r="252" spans="1:8">
      <c r="A252" s="1" t="s">
        <v>1395</v>
      </c>
      <c r="B252" s="1" t="s">
        <v>51</v>
      </c>
      <c r="C252" s="1" t="s">
        <v>1398</v>
      </c>
      <c r="D252" s="3">
        <v>-3450</v>
      </c>
      <c r="E252" s="3">
        <v>13234240.91</v>
      </c>
      <c r="G252" s="19">
        <f>+D252</f>
        <v>-3450</v>
      </c>
      <c r="H252" s="19">
        <f>+D252-G252</f>
        <v>0</v>
      </c>
    </row>
    <row r="253" spans="1:8">
      <c r="A253" s="1" t="s">
        <v>253</v>
      </c>
      <c r="B253" s="1" t="s">
        <v>15</v>
      </c>
      <c r="C253" s="1" t="s">
        <v>296</v>
      </c>
      <c r="D253" s="3">
        <v>9353.2800000000007</v>
      </c>
      <c r="E253" s="3">
        <v>13838105.85</v>
      </c>
      <c r="F253" s="1" t="s">
        <v>3048</v>
      </c>
      <c r="G253" s="19">
        <f t="shared" ref="G253:G254" si="36">+D253</f>
        <v>9353.2800000000007</v>
      </c>
    </row>
    <row r="254" spans="1:8">
      <c r="A254" s="1" t="s">
        <v>253</v>
      </c>
      <c r="B254" s="1" t="s">
        <v>15</v>
      </c>
      <c r="C254" s="1" t="s">
        <v>297</v>
      </c>
      <c r="D254" s="3">
        <v>4774.07</v>
      </c>
      <c r="E254" s="3">
        <v>13842879.92</v>
      </c>
      <c r="F254" s="1" t="s">
        <v>3048</v>
      </c>
      <c r="G254" s="19">
        <f t="shared" si="36"/>
        <v>4774.07</v>
      </c>
    </row>
    <row r="255" spans="1:8">
      <c r="A255" s="1" t="s">
        <v>1400</v>
      </c>
      <c r="B255" s="1" t="s">
        <v>51</v>
      </c>
      <c r="C255" s="1" t="s">
        <v>1401</v>
      </c>
      <c r="D255" s="3">
        <v>-1048</v>
      </c>
      <c r="E255" s="3">
        <v>12590597.699999999</v>
      </c>
      <c r="G255" s="19">
        <f>+D255</f>
        <v>-1048</v>
      </c>
      <c r="H255" s="19">
        <f>+D255-G255</f>
        <v>0</v>
      </c>
    </row>
    <row r="256" spans="1:8">
      <c r="A256" s="1" t="s">
        <v>253</v>
      </c>
      <c r="B256" s="1" t="s">
        <v>15</v>
      </c>
      <c r="C256" s="1" t="s">
        <v>300</v>
      </c>
      <c r="D256" s="3">
        <v>5650.94</v>
      </c>
      <c r="E256" s="3">
        <v>13848770.710000001</v>
      </c>
      <c r="F256" s="1" t="s">
        <v>3048</v>
      </c>
      <c r="G256" s="19">
        <f t="shared" ref="G256:G262" si="37">+D256</f>
        <v>5650.94</v>
      </c>
    </row>
    <row r="257" spans="1:8">
      <c r="A257" s="1" t="s">
        <v>253</v>
      </c>
      <c r="B257" s="1" t="s">
        <v>15</v>
      </c>
      <c r="C257" s="1" t="s">
        <v>301</v>
      </c>
      <c r="D257" s="3">
        <v>9548.14</v>
      </c>
      <c r="E257" s="3">
        <v>13858318.85</v>
      </c>
      <c r="F257" s="1" t="s">
        <v>3048</v>
      </c>
      <c r="G257" s="19">
        <f t="shared" si="37"/>
        <v>9548.14</v>
      </c>
    </row>
    <row r="258" spans="1:8">
      <c r="A258" s="1" t="s">
        <v>253</v>
      </c>
      <c r="B258" s="1" t="s">
        <v>15</v>
      </c>
      <c r="C258" s="1" t="s">
        <v>302</v>
      </c>
      <c r="D258" s="3">
        <v>16952.82</v>
      </c>
      <c r="E258" s="3">
        <v>13875271.67</v>
      </c>
      <c r="F258" s="1" t="s">
        <v>3048</v>
      </c>
      <c r="G258" s="19">
        <f t="shared" si="37"/>
        <v>16952.82</v>
      </c>
    </row>
    <row r="259" spans="1:8">
      <c r="A259" s="1" t="s">
        <v>253</v>
      </c>
      <c r="B259" s="1" t="s">
        <v>15</v>
      </c>
      <c r="C259" s="1" t="s">
        <v>303</v>
      </c>
      <c r="D259" s="3">
        <v>44778.78</v>
      </c>
      <c r="E259" s="3">
        <v>13920050.449999999</v>
      </c>
      <c r="F259" s="1" t="s">
        <v>3048</v>
      </c>
      <c r="G259" s="19">
        <f t="shared" si="37"/>
        <v>44778.78</v>
      </c>
    </row>
    <row r="260" spans="1:8">
      <c r="A260" s="1" t="s">
        <v>253</v>
      </c>
      <c r="B260" s="1" t="s">
        <v>15</v>
      </c>
      <c r="C260" s="1" t="s">
        <v>304</v>
      </c>
      <c r="D260" s="3">
        <v>30885.31</v>
      </c>
      <c r="E260" s="3">
        <v>13950935.76</v>
      </c>
      <c r="F260" s="1" t="s">
        <v>3048</v>
      </c>
      <c r="G260" s="19">
        <f t="shared" si="37"/>
        <v>30885.31</v>
      </c>
    </row>
    <row r="261" spans="1:8">
      <c r="A261" s="1" t="s">
        <v>253</v>
      </c>
      <c r="B261" s="1" t="s">
        <v>15</v>
      </c>
      <c r="C261" s="1" t="s">
        <v>305</v>
      </c>
      <c r="D261" s="3">
        <v>4629.03</v>
      </c>
      <c r="E261" s="3">
        <v>13955564.789999999</v>
      </c>
      <c r="F261" s="1" t="s">
        <v>3048</v>
      </c>
      <c r="G261" s="19">
        <f t="shared" si="37"/>
        <v>4629.03</v>
      </c>
    </row>
    <row r="262" spans="1:8">
      <c r="A262" s="1" t="s">
        <v>253</v>
      </c>
      <c r="B262" s="1" t="s">
        <v>15</v>
      </c>
      <c r="C262" s="1" t="s">
        <v>306</v>
      </c>
      <c r="D262" s="3">
        <v>9548.14</v>
      </c>
      <c r="E262" s="3">
        <v>13965112.93</v>
      </c>
      <c r="F262" s="1" t="s">
        <v>3048</v>
      </c>
      <c r="G262" s="19">
        <f t="shared" si="37"/>
        <v>9548.14</v>
      </c>
    </row>
    <row r="263" spans="1:8">
      <c r="A263" s="1" t="s">
        <v>1400</v>
      </c>
      <c r="B263" s="1" t="s">
        <v>51</v>
      </c>
      <c r="C263" s="1" t="s">
        <v>1402</v>
      </c>
      <c r="D263" s="3">
        <v>-1335.22</v>
      </c>
      <c r="E263" s="3">
        <v>12366726.109999999</v>
      </c>
      <c r="G263" s="19">
        <f>+D263</f>
        <v>-1335.22</v>
      </c>
      <c r="H263" s="19">
        <f>+D263-G263</f>
        <v>0</v>
      </c>
    </row>
    <row r="264" spans="1:8">
      <c r="A264" s="1" t="s">
        <v>253</v>
      </c>
      <c r="B264" s="1" t="s">
        <v>15</v>
      </c>
      <c r="C264" s="1" t="s">
        <v>309</v>
      </c>
      <c r="D264" s="3">
        <v>62019.55</v>
      </c>
      <c r="E264" s="3">
        <v>14028571.609999999</v>
      </c>
      <c r="F264" s="1" t="s">
        <v>3048</v>
      </c>
      <c r="G264" s="19">
        <f t="shared" ref="G264:G274" si="38">+D264</f>
        <v>62019.55</v>
      </c>
    </row>
    <row r="265" spans="1:8">
      <c r="A265" s="1" t="s">
        <v>253</v>
      </c>
      <c r="B265" s="1" t="s">
        <v>15</v>
      </c>
      <c r="C265" s="1" t="s">
        <v>310</v>
      </c>
      <c r="D265" s="3">
        <v>15393.94</v>
      </c>
      <c r="E265" s="3">
        <v>14043965.550000001</v>
      </c>
      <c r="F265" s="1" t="s">
        <v>3048</v>
      </c>
      <c r="G265" s="19">
        <f t="shared" si="38"/>
        <v>15393.94</v>
      </c>
    </row>
    <row r="266" spans="1:8">
      <c r="A266" s="1" t="s">
        <v>253</v>
      </c>
      <c r="B266" s="1" t="s">
        <v>15</v>
      </c>
      <c r="C266" s="1" t="s">
        <v>311</v>
      </c>
      <c r="D266" s="3">
        <v>25234.37</v>
      </c>
      <c r="E266" s="3">
        <v>14069199.92</v>
      </c>
      <c r="F266" s="1" t="s">
        <v>3048</v>
      </c>
      <c r="G266" s="19">
        <f t="shared" si="38"/>
        <v>25234.37</v>
      </c>
    </row>
    <row r="267" spans="1:8">
      <c r="A267" s="1" t="s">
        <v>253</v>
      </c>
      <c r="B267" s="1" t="s">
        <v>15</v>
      </c>
      <c r="C267" s="1" t="s">
        <v>312</v>
      </c>
      <c r="D267" s="3">
        <v>10522.44</v>
      </c>
      <c r="E267" s="3">
        <v>14079722.359999999</v>
      </c>
      <c r="F267" s="1" t="s">
        <v>3048</v>
      </c>
      <c r="G267" s="19">
        <f t="shared" si="38"/>
        <v>10522.44</v>
      </c>
    </row>
    <row r="268" spans="1:8">
      <c r="A268" s="1" t="s">
        <v>253</v>
      </c>
      <c r="B268" s="1" t="s">
        <v>15</v>
      </c>
      <c r="C268" s="1" t="s">
        <v>313</v>
      </c>
      <c r="D268" s="3">
        <v>13542.77</v>
      </c>
      <c r="E268" s="3">
        <v>14093265.130000001</v>
      </c>
      <c r="F268" s="1" t="s">
        <v>3048</v>
      </c>
      <c r="G268" s="19">
        <f t="shared" si="38"/>
        <v>13542.77</v>
      </c>
    </row>
    <row r="269" spans="1:8">
      <c r="A269" s="1" t="s">
        <v>253</v>
      </c>
      <c r="B269" s="1" t="s">
        <v>15</v>
      </c>
      <c r="C269" s="1" t="s">
        <v>314</v>
      </c>
      <c r="D269" s="3">
        <v>12564.51</v>
      </c>
      <c r="E269" s="3">
        <v>14105829.640000001</v>
      </c>
      <c r="F269" s="1" t="s">
        <v>3048</v>
      </c>
      <c r="G269" s="19">
        <f t="shared" si="38"/>
        <v>12564.51</v>
      </c>
    </row>
    <row r="270" spans="1:8">
      <c r="A270" s="1" t="s">
        <v>253</v>
      </c>
      <c r="B270" s="1" t="s">
        <v>15</v>
      </c>
      <c r="C270" s="1" t="s">
        <v>315</v>
      </c>
      <c r="D270" s="3">
        <v>35331.78</v>
      </c>
      <c r="E270" s="3">
        <v>14141161.42</v>
      </c>
      <c r="F270" s="1" t="s">
        <v>3048</v>
      </c>
      <c r="G270" s="19">
        <f t="shared" si="38"/>
        <v>35331.78</v>
      </c>
    </row>
    <row r="271" spans="1:8">
      <c r="A271" s="1" t="s">
        <v>253</v>
      </c>
      <c r="B271" s="1" t="s">
        <v>15</v>
      </c>
      <c r="C271" s="1" t="s">
        <v>316</v>
      </c>
      <c r="D271" s="3">
        <v>52052.97</v>
      </c>
      <c r="E271" s="3">
        <v>14193214.390000001</v>
      </c>
      <c r="F271" s="1" t="s">
        <v>3048</v>
      </c>
      <c r="G271" s="19">
        <f t="shared" si="38"/>
        <v>52052.97</v>
      </c>
    </row>
    <row r="272" spans="1:8">
      <c r="A272" s="1" t="s">
        <v>253</v>
      </c>
      <c r="B272" s="1" t="s">
        <v>15</v>
      </c>
      <c r="C272" s="1" t="s">
        <v>317</v>
      </c>
      <c r="D272" s="3">
        <v>34100.5</v>
      </c>
      <c r="E272" s="3">
        <v>14227314.890000001</v>
      </c>
      <c r="F272" s="1" t="s">
        <v>3048</v>
      </c>
      <c r="G272" s="19">
        <f t="shared" si="38"/>
        <v>34100.5</v>
      </c>
    </row>
    <row r="273" spans="1:8">
      <c r="A273" s="1" t="s">
        <v>253</v>
      </c>
      <c r="B273" s="1" t="s">
        <v>15</v>
      </c>
      <c r="C273" s="1" t="s">
        <v>318</v>
      </c>
      <c r="D273" s="3">
        <v>14322.21</v>
      </c>
      <c r="E273" s="3">
        <v>14241637.1</v>
      </c>
      <c r="F273" s="1" t="s">
        <v>3048</v>
      </c>
      <c r="G273" s="19">
        <f t="shared" si="38"/>
        <v>14322.21</v>
      </c>
    </row>
    <row r="274" spans="1:8">
      <c r="A274" s="1" t="s">
        <v>253</v>
      </c>
      <c r="B274" s="1" t="s">
        <v>15</v>
      </c>
      <c r="C274" s="1" t="s">
        <v>319</v>
      </c>
      <c r="D274" s="3">
        <v>99183.74</v>
      </c>
      <c r="E274" s="3">
        <v>14340820.84</v>
      </c>
      <c r="F274" s="1" t="s">
        <v>3048</v>
      </c>
      <c r="G274" s="19">
        <f t="shared" si="38"/>
        <v>99183.74</v>
      </c>
    </row>
    <row r="275" spans="1:8">
      <c r="A275" s="1" t="s">
        <v>1400</v>
      </c>
      <c r="B275" s="1" t="s">
        <v>51</v>
      </c>
      <c r="C275" s="1" t="s">
        <v>1403</v>
      </c>
      <c r="D275" s="3">
        <v>-6445.36</v>
      </c>
      <c r="E275" s="3">
        <v>11286054.85</v>
      </c>
      <c r="G275" s="19">
        <f>+D275</f>
        <v>-6445.36</v>
      </c>
      <c r="H275" s="19">
        <f>+D275-G275</f>
        <v>0</v>
      </c>
    </row>
    <row r="276" spans="1:8">
      <c r="A276" s="1" t="s">
        <v>253</v>
      </c>
      <c r="B276" s="1" t="s">
        <v>15</v>
      </c>
      <c r="C276" s="1" t="s">
        <v>322</v>
      </c>
      <c r="D276" s="3">
        <v>32321.18</v>
      </c>
      <c r="E276" s="3">
        <v>14383108.24</v>
      </c>
      <c r="F276" s="1" t="s">
        <v>3048</v>
      </c>
      <c r="G276" s="19">
        <f>+D276</f>
        <v>32321.18</v>
      </c>
    </row>
    <row r="277" spans="1:8">
      <c r="A277" s="1" t="s">
        <v>1400</v>
      </c>
      <c r="B277" s="1" t="s">
        <v>51</v>
      </c>
      <c r="C277" s="1" t="s">
        <v>1405</v>
      </c>
      <c r="D277" s="3">
        <v>-1969.54</v>
      </c>
      <c r="E277" s="3">
        <v>10955828.310000001</v>
      </c>
      <c r="G277" s="19">
        <f>+D277</f>
        <v>-1969.54</v>
      </c>
      <c r="H277" s="19">
        <f>+D277-G277</f>
        <v>0</v>
      </c>
    </row>
    <row r="278" spans="1:8">
      <c r="A278" s="1" t="s">
        <v>253</v>
      </c>
      <c r="B278" s="1" t="s">
        <v>15</v>
      </c>
      <c r="C278" s="1" t="s">
        <v>324</v>
      </c>
      <c r="D278" s="3">
        <v>25693.57</v>
      </c>
      <c r="E278" s="3">
        <v>14410436.74</v>
      </c>
      <c r="F278" s="1" t="s">
        <v>3048</v>
      </c>
      <c r="G278" s="19">
        <f t="shared" ref="G278:G279" si="39">+D278</f>
        <v>25693.57</v>
      </c>
    </row>
    <row r="279" spans="1:8">
      <c r="A279" s="1" t="s">
        <v>253</v>
      </c>
      <c r="B279" s="1" t="s">
        <v>15</v>
      </c>
      <c r="C279" s="1" t="s">
        <v>325</v>
      </c>
      <c r="D279" s="3">
        <v>9548.14</v>
      </c>
      <c r="E279" s="3">
        <v>14419984.880000001</v>
      </c>
      <c r="F279" s="1" t="s">
        <v>3048</v>
      </c>
      <c r="G279" s="19">
        <f t="shared" si="39"/>
        <v>9548.14</v>
      </c>
    </row>
    <row r="280" spans="1:8">
      <c r="A280" s="1" t="s">
        <v>1428</v>
      </c>
      <c r="B280" s="1" t="s">
        <v>51</v>
      </c>
      <c r="C280" s="1" t="s">
        <v>1454</v>
      </c>
      <c r="D280" s="3">
        <v>-1821.6</v>
      </c>
      <c r="E280" s="3">
        <v>11313279.560000001</v>
      </c>
      <c r="G280" s="19">
        <f>+D280</f>
        <v>-1821.6</v>
      </c>
      <c r="H280" s="19">
        <f>+D280-G280</f>
        <v>0</v>
      </c>
    </row>
    <row r="281" spans="1:8">
      <c r="A281" s="1" t="s">
        <v>253</v>
      </c>
      <c r="B281" s="1" t="s">
        <v>15</v>
      </c>
      <c r="C281" s="1" t="s">
        <v>327</v>
      </c>
      <c r="D281" s="3">
        <v>32592.15</v>
      </c>
      <c r="E281" s="3">
        <v>14454016.16</v>
      </c>
      <c r="F281" s="1" t="s">
        <v>3048</v>
      </c>
      <c r="G281" s="19">
        <f t="shared" ref="G281:G282" si="40">+D281</f>
        <v>32592.15</v>
      </c>
    </row>
    <row r="282" spans="1:8">
      <c r="A282" s="1" t="s">
        <v>253</v>
      </c>
      <c r="B282" s="1" t="s">
        <v>15</v>
      </c>
      <c r="C282" s="1" t="s">
        <v>328</v>
      </c>
      <c r="D282" s="3">
        <v>17708.91</v>
      </c>
      <c r="E282" s="3">
        <v>14471725.07</v>
      </c>
      <c r="F282" s="1" t="s">
        <v>3048</v>
      </c>
      <c r="G282" s="19">
        <f t="shared" si="40"/>
        <v>17708.91</v>
      </c>
    </row>
    <row r="283" spans="1:8">
      <c r="A283" s="1" t="s">
        <v>1428</v>
      </c>
      <c r="B283" s="1" t="s">
        <v>51</v>
      </c>
      <c r="C283" s="1" t="s">
        <v>1455</v>
      </c>
      <c r="D283" s="3">
        <v>-2695.27</v>
      </c>
      <c r="E283" s="3">
        <v>10861371.960000001</v>
      </c>
      <c r="G283" s="19">
        <f>+D283</f>
        <v>-2695.27</v>
      </c>
      <c r="H283" s="19">
        <f>+D283-G283</f>
        <v>0</v>
      </c>
    </row>
    <row r="284" spans="1:8">
      <c r="A284" s="1" t="s">
        <v>253</v>
      </c>
      <c r="B284" s="1" t="s">
        <v>15</v>
      </c>
      <c r="C284" s="1" t="s">
        <v>331</v>
      </c>
      <c r="D284" s="3">
        <v>33515.919999999998</v>
      </c>
      <c r="E284" s="3">
        <v>14506136.77</v>
      </c>
      <c r="F284" s="1" t="s">
        <v>3048</v>
      </c>
      <c r="G284" s="19">
        <f t="shared" ref="G284:G285" si="41">+D284</f>
        <v>33515.919999999998</v>
      </c>
    </row>
    <row r="285" spans="1:8">
      <c r="A285" s="1" t="s">
        <v>253</v>
      </c>
      <c r="B285" s="1" t="s">
        <v>15</v>
      </c>
      <c r="C285" s="1" t="s">
        <v>332</v>
      </c>
      <c r="D285" s="3">
        <v>33418.49</v>
      </c>
      <c r="E285" s="3">
        <v>14539555.26</v>
      </c>
      <c r="F285" s="1" t="s">
        <v>3048</v>
      </c>
      <c r="G285" s="19">
        <f t="shared" si="41"/>
        <v>33418.49</v>
      </c>
    </row>
    <row r="286" spans="1:8">
      <c r="A286" s="1" t="s">
        <v>1523</v>
      </c>
      <c r="B286" s="1" t="s">
        <v>51</v>
      </c>
      <c r="C286" s="1" t="s">
        <v>1608</v>
      </c>
      <c r="D286" s="3">
        <v>-1161.02</v>
      </c>
      <c r="E286" s="3">
        <v>13016856.880000001</v>
      </c>
      <c r="G286" s="19">
        <f>+D286</f>
        <v>-1161.02</v>
      </c>
      <c r="H286" s="19">
        <f>+D286-G286</f>
        <v>0</v>
      </c>
    </row>
    <row r="287" spans="1:8">
      <c r="A287" s="1" t="s">
        <v>253</v>
      </c>
      <c r="B287" s="1" t="s">
        <v>15</v>
      </c>
      <c r="C287" s="1" t="s">
        <v>335</v>
      </c>
      <c r="D287" s="3">
        <v>21824.32</v>
      </c>
      <c r="E287" s="3">
        <v>14563058.560000001</v>
      </c>
      <c r="F287" s="1" t="s">
        <v>3048</v>
      </c>
      <c r="G287" s="19">
        <f t="shared" ref="G287:G290" si="42">+D287</f>
        <v>21824.32</v>
      </c>
    </row>
    <row r="288" spans="1:8">
      <c r="A288" s="1" t="s">
        <v>253</v>
      </c>
      <c r="B288" s="1" t="s">
        <v>15</v>
      </c>
      <c r="C288" s="1" t="s">
        <v>336</v>
      </c>
      <c r="D288" s="3">
        <v>5748.37</v>
      </c>
      <c r="E288" s="3">
        <v>14568806.93</v>
      </c>
      <c r="F288" s="1" t="s">
        <v>3048</v>
      </c>
      <c r="G288" s="19">
        <f t="shared" si="42"/>
        <v>5748.37</v>
      </c>
    </row>
    <row r="289" spans="1:8">
      <c r="A289" s="1" t="s">
        <v>253</v>
      </c>
      <c r="B289" s="1" t="s">
        <v>15</v>
      </c>
      <c r="C289" s="1" t="s">
        <v>337</v>
      </c>
      <c r="D289" s="3">
        <v>15304.14</v>
      </c>
      <c r="E289" s="3">
        <v>14584111.07</v>
      </c>
      <c r="F289" s="1" t="s">
        <v>3048</v>
      </c>
      <c r="G289" s="19">
        <f t="shared" si="42"/>
        <v>15304.14</v>
      </c>
    </row>
    <row r="290" spans="1:8">
      <c r="A290" s="1" t="s">
        <v>253</v>
      </c>
      <c r="B290" s="1" t="s">
        <v>15</v>
      </c>
      <c r="C290" s="1" t="s">
        <v>338</v>
      </c>
      <c r="D290" s="3">
        <v>37023.4</v>
      </c>
      <c r="E290" s="3">
        <v>14621134.470000001</v>
      </c>
      <c r="F290" s="1" t="s">
        <v>3048</v>
      </c>
      <c r="G290" s="19">
        <f t="shared" si="42"/>
        <v>37023.4</v>
      </c>
    </row>
    <row r="291" spans="1:8">
      <c r="A291" s="1" t="s">
        <v>1523</v>
      </c>
      <c r="B291" s="1" t="s">
        <v>51</v>
      </c>
      <c r="C291" s="1" t="s">
        <v>1610</v>
      </c>
      <c r="D291" s="2">
        <v>-819.93</v>
      </c>
      <c r="E291" s="3">
        <v>12879382.15</v>
      </c>
      <c r="G291" s="19">
        <f>+D291</f>
        <v>-819.93</v>
      </c>
      <c r="H291" s="19">
        <f>+D291-G291</f>
        <v>0</v>
      </c>
    </row>
    <row r="292" spans="1:8">
      <c r="A292" s="1" t="s">
        <v>253</v>
      </c>
      <c r="B292" s="1" t="s">
        <v>15</v>
      </c>
      <c r="C292" s="1" t="s">
        <v>341</v>
      </c>
      <c r="D292" s="3">
        <v>12942.39</v>
      </c>
      <c r="E292" s="3">
        <v>14635936.960000001</v>
      </c>
      <c r="F292" s="1" t="s">
        <v>3048</v>
      </c>
      <c r="G292" s="19">
        <f t="shared" ref="G292:G316" si="43">+D292</f>
        <v>12942.39</v>
      </c>
    </row>
    <row r="293" spans="1:8">
      <c r="A293" s="1" t="s">
        <v>253</v>
      </c>
      <c r="B293" s="1" t="s">
        <v>15</v>
      </c>
      <c r="C293" s="1" t="s">
        <v>342</v>
      </c>
      <c r="D293" s="3">
        <v>9353.2800000000007</v>
      </c>
      <c r="E293" s="3">
        <v>14645290.24</v>
      </c>
      <c r="F293" s="1" t="s">
        <v>3048</v>
      </c>
      <c r="G293" s="19">
        <f t="shared" si="43"/>
        <v>9353.2800000000007</v>
      </c>
    </row>
    <row r="294" spans="1:8">
      <c r="A294" s="1" t="s">
        <v>253</v>
      </c>
      <c r="B294" s="1" t="s">
        <v>15</v>
      </c>
      <c r="C294" s="1" t="s">
        <v>343</v>
      </c>
      <c r="D294" s="3">
        <v>49745.8</v>
      </c>
      <c r="E294" s="3">
        <v>14695036.039999999</v>
      </c>
      <c r="F294" s="1" t="s">
        <v>3048</v>
      </c>
      <c r="G294" s="19">
        <f t="shared" si="43"/>
        <v>49745.8</v>
      </c>
    </row>
    <row r="295" spans="1:8">
      <c r="A295" s="1" t="s">
        <v>253</v>
      </c>
      <c r="B295" s="1" t="s">
        <v>15</v>
      </c>
      <c r="C295" s="1" t="s">
        <v>344</v>
      </c>
      <c r="D295" s="3">
        <v>4693</v>
      </c>
      <c r="E295" s="3">
        <v>14699729.039999999</v>
      </c>
      <c r="F295" s="1" t="s">
        <v>3048</v>
      </c>
      <c r="G295" s="19">
        <f t="shared" si="43"/>
        <v>4693</v>
      </c>
    </row>
    <row r="296" spans="1:8">
      <c r="A296" s="1" t="s">
        <v>253</v>
      </c>
      <c r="B296" s="1" t="s">
        <v>15</v>
      </c>
      <c r="C296" s="1" t="s">
        <v>345</v>
      </c>
      <c r="D296" s="3">
        <v>52467.74</v>
      </c>
      <c r="E296" s="3">
        <v>14752196.779999999</v>
      </c>
      <c r="F296" s="1" t="s">
        <v>3048</v>
      </c>
      <c r="G296" s="19">
        <f t="shared" si="43"/>
        <v>52467.74</v>
      </c>
    </row>
    <row r="297" spans="1:8">
      <c r="A297" s="1" t="s">
        <v>253</v>
      </c>
      <c r="B297" s="1" t="s">
        <v>15</v>
      </c>
      <c r="C297" s="1" t="s">
        <v>346</v>
      </c>
      <c r="D297" s="3">
        <v>3702.34</v>
      </c>
      <c r="E297" s="3">
        <v>14755899.119999999</v>
      </c>
      <c r="F297" s="1" t="s">
        <v>3048</v>
      </c>
      <c r="G297" s="19">
        <f t="shared" si="43"/>
        <v>3702.34</v>
      </c>
    </row>
    <row r="298" spans="1:8">
      <c r="A298" s="1" t="s">
        <v>253</v>
      </c>
      <c r="B298" s="1" t="s">
        <v>15</v>
      </c>
      <c r="C298" s="1" t="s">
        <v>347</v>
      </c>
      <c r="D298" s="3">
        <v>4092.06</v>
      </c>
      <c r="E298" s="3">
        <v>14759991.18</v>
      </c>
      <c r="F298" s="1" t="s">
        <v>3048</v>
      </c>
      <c r="G298" s="19">
        <f t="shared" si="43"/>
        <v>4092.06</v>
      </c>
    </row>
    <row r="299" spans="1:8">
      <c r="A299" s="1" t="s">
        <v>253</v>
      </c>
      <c r="B299" s="1" t="s">
        <v>15</v>
      </c>
      <c r="C299" s="1" t="s">
        <v>348</v>
      </c>
      <c r="D299" s="3">
        <v>4871.5</v>
      </c>
      <c r="E299" s="3">
        <v>14764862.68</v>
      </c>
      <c r="F299" s="1" t="s">
        <v>3048</v>
      </c>
      <c r="G299" s="19">
        <f t="shared" si="43"/>
        <v>4871.5</v>
      </c>
    </row>
    <row r="300" spans="1:8">
      <c r="A300" s="1" t="s">
        <v>253</v>
      </c>
      <c r="B300" s="1" t="s">
        <v>15</v>
      </c>
      <c r="C300" s="1" t="s">
        <v>349</v>
      </c>
      <c r="D300" s="3">
        <v>9353.2800000000007</v>
      </c>
      <c r="E300" s="3">
        <v>14774215.960000001</v>
      </c>
      <c r="F300" s="1" t="s">
        <v>3048</v>
      </c>
      <c r="G300" s="19">
        <f t="shared" si="43"/>
        <v>9353.2800000000007</v>
      </c>
    </row>
    <row r="301" spans="1:8">
      <c r="A301" s="1" t="s">
        <v>253</v>
      </c>
      <c r="B301" s="1" t="s">
        <v>15</v>
      </c>
      <c r="C301" s="1" t="s">
        <v>350</v>
      </c>
      <c r="D301" s="3">
        <v>36438.82</v>
      </c>
      <c r="E301" s="3">
        <v>14810654.779999999</v>
      </c>
      <c r="F301" s="1" t="s">
        <v>3048</v>
      </c>
      <c r="G301" s="19">
        <f t="shared" si="43"/>
        <v>36438.82</v>
      </c>
    </row>
    <row r="302" spans="1:8">
      <c r="A302" s="1" t="s">
        <v>253</v>
      </c>
      <c r="B302" s="1" t="s">
        <v>15</v>
      </c>
      <c r="C302" s="1" t="s">
        <v>351</v>
      </c>
      <c r="D302" s="3">
        <v>9353.2800000000007</v>
      </c>
      <c r="E302" s="3">
        <v>14820008.060000001</v>
      </c>
      <c r="F302" s="1" t="s">
        <v>3048</v>
      </c>
      <c r="G302" s="19">
        <f t="shared" si="43"/>
        <v>9353.2800000000007</v>
      </c>
    </row>
    <row r="303" spans="1:8">
      <c r="A303" s="1" t="s">
        <v>253</v>
      </c>
      <c r="B303" s="1" t="s">
        <v>15</v>
      </c>
      <c r="C303" s="1" t="s">
        <v>352</v>
      </c>
      <c r="D303" s="3">
        <v>8963.56</v>
      </c>
      <c r="E303" s="3">
        <v>14828971.619999999</v>
      </c>
      <c r="F303" s="1" t="s">
        <v>3048</v>
      </c>
      <c r="G303" s="19">
        <f t="shared" si="43"/>
        <v>8963.56</v>
      </c>
    </row>
    <row r="304" spans="1:8">
      <c r="A304" s="1" t="s">
        <v>253</v>
      </c>
      <c r="B304" s="1" t="s">
        <v>15</v>
      </c>
      <c r="C304" s="1" t="s">
        <v>353</v>
      </c>
      <c r="D304" s="3">
        <v>34009.199999999997</v>
      </c>
      <c r="E304" s="3">
        <v>14862980.82</v>
      </c>
      <c r="F304" s="1" t="s">
        <v>3048</v>
      </c>
      <c r="G304" s="19">
        <f t="shared" si="43"/>
        <v>34009.199999999997</v>
      </c>
    </row>
    <row r="305" spans="1:8">
      <c r="A305" s="1" t="s">
        <v>253</v>
      </c>
      <c r="B305" s="1" t="s">
        <v>15</v>
      </c>
      <c r="C305" s="1" t="s">
        <v>354</v>
      </c>
      <c r="D305" s="3">
        <v>50707.48</v>
      </c>
      <c r="E305" s="3">
        <v>14913688.300000001</v>
      </c>
      <c r="F305" s="1" t="s">
        <v>3048</v>
      </c>
      <c r="G305" s="19">
        <f t="shared" si="43"/>
        <v>50707.48</v>
      </c>
    </row>
    <row r="306" spans="1:8">
      <c r="A306" s="1" t="s">
        <v>253</v>
      </c>
      <c r="B306" s="1" t="s">
        <v>15</v>
      </c>
      <c r="C306" s="1" t="s">
        <v>355</v>
      </c>
      <c r="D306" s="3">
        <v>50858.46</v>
      </c>
      <c r="E306" s="3">
        <v>14964546.76</v>
      </c>
      <c r="F306" s="1" t="s">
        <v>3048</v>
      </c>
      <c r="G306" s="19">
        <f t="shared" si="43"/>
        <v>50858.46</v>
      </c>
    </row>
    <row r="307" spans="1:8">
      <c r="A307" s="1" t="s">
        <v>253</v>
      </c>
      <c r="B307" s="1" t="s">
        <v>15</v>
      </c>
      <c r="C307" s="1" t="s">
        <v>356</v>
      </c>
      <c r="D307" s="3">
        <v>95383.97</v>
      </c>
      <c r="E307" s="3">
        <v>15059930.73</v>
      </c>
      <c r="F307" s="1" t="s">
        <v>3048</v>
      </c>
      <c r="G307" s="19">
        <f t="shared" si="43"/>
        <v>95383.97</v>
      </c>
    </row>
    <row r="308" spans="1:8">
      <c r="A308" s="1" t="s">
        <v>253</v>
      </c>
      <c r="B308" s="1" t="s">
        <v>15</v>
      </c>
      <c r="C308" s="1" t="s">
        <v>357</v>
      </c>
      <c r="D308" s="3">
        <v>7794.4</v>
      </c>
      <c r="E308" s="3">
        <v>15067725.130000001</v>
      </c>
      <c r="F308" s="1" t="s">
        <v>3048</v>
      </c>
      <c r="G308" s="19">
        <f t="shared" si="43"/>
        <v>7794.4</v>
      </c>
    </row>
    <row r="309" spans="1:8">
      <c r="A309" s="1" t="s">
        <v>253</v>
      </c>
      <c r="B309" s="1" t="s">
        <v>15</v>
      </c>
      <c r="C309" s="1" t="s">
        <v>358</v>
      </c>
      <c r="D309" s="3">
        <v>19616.740000000002</v>
      </c>
      <c r="E309" s="3">
        <v>15087341.869999999</v>
      </c>
      <c r="F309" s="1" t="s">
        <v>3048</v>
      </c>
      <c r="G309" s="19">
        <f t="shared" si="43"/>
        <v>19616.740000000002</v>
      </c>
    </row>
    <row r="310" spans="1:8">
      <c r="A310" s="1" t="s">
        <v>253</v>
      </c>
      <c r="B310" s="1" t="s">
        <v>15</v>
      </c>
      <c r="C310" s="1" t="s">
        <v>359</v>
      </c>
      <c r="D310" s="3">
        <v>4871.5</v>
      </c>
      <c r="E310" s="3">
        <v>15092213.369999999</v>
      </c>
      <c r="F310" s="1" t="s">
        <v>3048</v>
      </c>
      <c r="G310" s="19">
        <f t="shared" si="43"/>
        <v>4871.5</v>
      </c>
    </row>
    <row r="311" spans="1:8">
      <c r="A311" s="1" t="s">
        <v>360</v>
      </c>
      <c r="B311" s="1" t="s">
        <v>15</v>
      </c>
      <c r="C311" s="1" t="s">
        <v>361</v>
      </c>
      <c r="D311" s="3">
        <v>14614.5</v>
      </c>
      <c r="E311" s="3">
        <v>15106827.869999999</v>
      </c>
      <c r="F311" s="1" t="s">
        <v>3048</v>
      </c>
      <c r="G311" s="19">
        <f t="shared" si="43"/>
        <v>14614.5</v>
      </c>
    </row>
    <row r="312" spans="1:8">
      <c r="A312" s="1" t="s">
        <v>360</v>
      </c>
      <c r="B312" s="1" t="s">
        <v>15</v>
      </c>
      <c r="C312" s="1" t="s">
        <v>362</v>
      </c>
      <c r="D312" s="3">
        <v>67275.39</v>
      </c>
      <c r="E312" s="3">
        <v>15174103.26</v>
      </c>
      <c r="F312" s="1" t="s">
        <v>3048</v>
      </c>
      <c r="G312" s="19">
        <f t="shared" si="43"/>
        <v>67275.39</v>
      </c>
    </row>
    <row r="313" spans="1:8">
      <c r="A313" s="1" t="s">
        <v>360</v>
      </c>
      <c r="B313" s="1" t="s">
        <v>15</v>
      </c>
      <c r="C313" s="1" t="s">
        <v>363</v>
      </c>
      <c r="D313" s="3">
        <v>4539.5</v>
      </c>
      <c r="E313" s="3">
        <v>15178642.76</v>
      </c>
      <c r="F313" s="1" t="s">
        <v>3048</v>
      </c>
      <c r="G313" s="19">
        <f t="shared" si="43"/>
        <v>4539.5</v>
      </c>
    </row>
    <row r="314" spans="1:8">
      <c r="A314" s="1" t="s">
        <v>360</v>
      </c>
      <c r="B314" s="1" t="s">
        <v>15</v>
      </c>
      <c r="C314" s="1" t="s">
        <v>364</v>
      </c>
      <c r="D314" s="3">
        <v>4871.5</v>
      </c>
      <c r="E314" s="3">
        <v>15183514.26</v>
      </c>
      <c r="F314" s="1" t="s">
        <v>3048</v>
      </c>
      <c r="G314" s="19">
        <f t="shared" si="43"/>
        <v>4871.5</v>
      </c>
    </row>
    <row r="315" spans="1:8">
      <c r="A315" s="1" t="s">
        <v>360</v>
      </c>
      <c r="B315" s="1" t="s">
        <v>15</v>
      </c>
      <c r="C315" s="1" t="s">
        <v>365</v>
      </c>
      <c r="D315" s="3">
        <v>3897.2</v>
      </c>
      <c r="E315" s="3">
        <v>15187411.460000001</v>
      </c>
      <c r="F315" s="1" t="s">
        <v>3048</v>
      </c>
      <c r="G315" s="19">
        <f t="shared" si="43"/>
        <v>3897.2</v>
      </c>
    </row>
    <row r="316" spans="1:8">
      <c r="A316" s="1" t="s">
        <v>360</v>
      </c>
      <c r="B316" s="1" t="s">
        <v>15</v>
      </c>
      <c r="C316" s="1" t="s">
        <v>366</v>
      </c>
      <c r="D316" s="3">
        <v>4871.5</v>
      </c>
      <c r="E316" s="3">
        <v>15192282.960000001</v>
      </c>
      <c r="F316" s="1" t="s">
        <v>3048</v>
      </c>
      <c r="G316" s="19">
        <f t="shared" si="43"/>
        <v>4871.5</v>
      </c>
    </row>
    <row r="317" spans="1:8">
      <c r="A317" s="1" t="s">
        <v>1630</v>
      </c>
      <c r="B317" s="1" t="s">
        <v>51</v>
      </c>
      <c r="C317" s="1" t="s">
        <v>1646</v>
      </c>
      <c r="D317" s="2">
        <v>-394.19</v>
      </c>
      <c r="E317" s="3">
        <v>13539785.67</v>
      </c>
      <c r="G317" s="19">
        <f>+D317</f>
        <v>-394.19</v>
      </c>
      <c r="H317" s="19">
        <f>+D317-G317</f>
        <v>0</v>
      </c>
    </row>
    <row r="318" spans="1:8">
      <c r="A318" s="1" t="s">
        <v>360</v>
      </c>
      <c r="B318" s="1" t="s">
        <v>15</v>
      </c>
      <c r="C318" s="1" t="s">
        <v>369</v>
      </c>
      <c r="D318" s="3">
        <v>7794.4</v>
      </c>
      <c r="E318" s="3">
        <v>15200322.109999999</v>
      </c>
      <c r="F318" s="1" t="s">
        <v>3048</v>
      </c>
      <c r="G318" s="19">
        <f t="shared" ref="G318:G321" si="44">+D318</f>
        <v>7794.4</v>
      </c>
    </row>
    <row r="319" spans="1:8">
      <c r="A319" s="1" t="s">
        <v>360</v>
      </c>
      <c r="B319" s="1" t="s">
        <v>15</v>
      </c>
      <c r="C319" s="1" t="s">
        <v>370</v>
      </c>
      <c r="D319" s="3">
        <v>15004.22</v>
      </c>
      <c r="E319" s="3">
        <v>15215326.33</v>
      </c>
      <c r="F319" s="1" t="s">
        <v>3048</v>
      </c>
      <c r="G319" s="19">
        <f t="shared" si="44"/>
        <v>15004.22</v>
      </c>
    </row>
    <row r="320" spans="1:8">
      <c r="A320" s="1" t="s">
        <v>360</v>
      </c>
      <c r="B320" s="1" t="s">
        <v>15</v>
      </c>
      <c r="C320" s="1" t="s">
        <v>371</v>
      </c>
      <c r="D320" s="3">
        <v>57059.88</v>
      </c>
      <c r="E320" s="3">
        <v>15272386.210000001</v>
      </c>
      <c r="F320" s="1" t="s">
        <v>3048</v>
      </c>
      <c r="G320" s="19">
        <f t="shared" si="44"/>
        <v>57059.88</v>
      </c>
    </row>
    <row r="321" spans="1:8">
      <c r="A321" s="1" t="s">
        <v>360</v>
      </c>
      <c r="B321" s="1" t="s">
        <v>15</v>
      </c>
      <c r="C321" s="1" t="s">
        <v>372</v>
      </c>
      <c r="D321" s="3">
        <v>42382.05</v>
      </c>
      <c r="E321" s="3">
        <v>15314768.26</v>
      </c>
      <c r="F321" s="1" t="s">
        <v>3048</v>
      </c>
      <c r="G321" s="19">
        <f t="shared" si="44"/>
        <v>42382.05</v>
      </c>
    </row>
    <row r="322" spans="1:8">
      <c r="A322" s="1" t="s">
        <v>1630</v>
      </c>
      <c r="B322" s="1" t="s">
        <v>51</v>
      </c>
      <c r="C322" s="1" t="s">
        <v>1647</v>
      </c>
      <c r="D322" s="2">
        <v>-702.12</v>
      </c>
      <c r="E322" s="3">
        <v>13422064.380000001</v>
      </c>
      <c r="G322" s="19">
        <f>+D322</f>
        <v>-702.12</v>
      </c>
      <c r="H322" s="19">
        <f>+D322-G322</f>
        <v>0</v>
      </c>
    </row>
    <row r="323" spans="1:8">
      <c r="A323" s="1" t="s">
        <v>360</v>
      </c>
      <c r="B323" s="1" t="s">
        <v>15</v>
      </c>
      <c r="C323" s="1" t="s">
        <v>375</v>
      </c>
      <c r="D323" s="3">
        <v>37510.550000000003</v>
      </c>
      <c r="E323" s="3">
        <v>15354408.130000001</v>
      </c>
      <c r="F323" s="1" t="s">
        <v>3048</v>
      </c>
      <c r="G323" s="19">
        <f t="shared" ref="G323:G325" si="45">+D323</f>
        <v>37510.550000000003</v>
      </c>
    </row>
    <row r="324" spans="1:8">
      <c r="A324" s="1" t="s">
        <v>360</v>
      </c>
      <c r="B324" s="1" t="s">
        <v>15</v>
      </c>
      <c r="C324" s="1" t="s">
        <v>376</v>
      </c>
      <c r="D324" s="3">
        <v>36654.36</v>
      </c>
      <c r="E324" s="3">
        <v>15391062.49</v>
      </c>
      <c r="F324" s="1" t="s">
        <v>3048</v>
      </c>
      <c r="G324" s="19">
        <f t="shared" si="45"/>
        <v>36654.36</v>
      </c>
    </row>
    <row r="325" spans="1:8">
      <c r="A325" s="1" t="s">
        <v>360</v>
      </c>
      <c r="B325" s="1" t="s">
        <v>15</v>
      </c>
      <c r="C325" s="1" t="s">
        <v>377</v>
      </c>
      <c r="D325" s="3">
        <v>56606.83</v>
      </c>
      <c r="E325" s="3">
        <v>15447669.32</v>
      </c>
      <c r="F325" s="1" t="s">
        <v>3048</v>
      </c>
      <c r="G325" s="19">
        <f t="shared" si="45"/>
        <v>56606.83</v>
      </c>
    </row>
    <row r="326" spans="1:8">
      <c r="A326" s="1" t="s">
        <v>1742</v>
      </c>
      <c r="B326" s="1" t="s">
        <v>51</v>
      </c>
      <c r="C326" s="1" t="s">
        <v>1758</v>
      </c>
      <c r="D326" s="2">
        <v>-461.48</v>
      </c>
      <c r="E326" s="3">
        <v>16009211.210000001</v>
      </c>
      <c r="G326" s="19">
        <f>+D326</f>
        <v>-461.48</v>
      </c>
      <c r="H326" s="19">
        <f>+D326-G326</f>
        <v>0</v>
      </c>
    </row>
    <row r="327" spans="1:8">
      <c r="A327" s="1" t="s">
        <v>360</v>
      </c>
      <c r="B327" s="1" t="s">
        <v>15</v>
      </c>
      <c r="C327" s="1" t="s">
        <v>380</v>
      </c>
      <c r="D327" s="3">
        <v>15004.22</v>
      </c>
      <c r="E327" s="3">
        <v>15468361.529999999</v>
      </c>
      <c r="F327" s="1" t="s">
        <v>3048</v>
      </c>
      <c r="G327" s="19">
        <f t="shared" ref="G327:G328" si="46">+D327</f>
        <v>15004.22</v>
      </c>
    </row>
    <row r="328" spans="1:8">
      <c r="A328" s="1" t="s">
        <v>360</v>
      </c>
      <c r="B328" s="1" t="s">
        <v>15</v>
      </c>
      <c r="C328" s="1" t="s">
        <v>381</v>
      </c>
      <c r="D328" s="3">
        <v>41700.04</v>
      </c>
      <c r="E328" s="3">
        <v>15510061.57</v>
      </c>
      <c r="F328" s="1" t="s">
        <v>3048</v>
      </c>
      <c r="G328" s="19">
        <f t="shared" si="46"/>
        <v>41700.04</v>
      </c>
    </row>
    <row r="329" spans="1:8">
      <c r="A329" s="1" t="s">
        <v>1742</v>
      </c>
      <c r="B329" s="1" t="s">
        <v>51</v>
      </c>
      <c r="C329" s="1" t="s">
        <v>1759</v>
      </c>
      <c r="D329" s="2">
        <v>-633.87</v>
      </c>
      <c r="E329" s="3">
        <v>15902933.119999999</v>
      </c>
      <c r="G329" s="19">
        <f>+D329</f>
        <v>-633.87</v>
      </c>
      <c r="H329" s="19">
        <f>+D329-G329</f>
        <v>0</v>
      </c>
    </row>
    <row r="330" spans="1:8">
      <c r="A330" s="1" t="s">
        <v>360</v>
      </c>
      <c r="B330" s="1" t="s">
        <v>15</v>
      </c>
      <c r="C330" s="1" t="s">
        <v>384</v>
      </c>
      <c r="D330" s="3">
        <v>7935.48</v>
      </c>
      <c r="E330" s="3">
        <v>15522187.17</v>
      </c>
      <c r="F330" s="1" t="s">
        <v>3048</v>
      </c>
      <c r="G330" s="19">
        <f t="shared" ref="G330:G335" si="47">+D330</f>
        <v>7935.48</v>
      </c>
    </row>
    <row r="331" spans="1:8">
      <c r="A331" s="1" t="s">
        <v>360</v>
      </c>
      <c r="B331" s="1" t="s">
        <v>15</v>
      </c>
      <c r="C331" s="1" t="s">
        <v>385</v>
      </c>
      <c r="D331" s="3">
        <v>9353.2800000000007</v>
      </c>
      <c r="E331" s="3">
        <v>15531540.449999999</v>
      </c>
      <c r="F331" s="1" t="s">
        <v>3048</v>
      </c>
      <c r="G331" s="19">
        <f t="shared" si="47"/>
        <v>9353.2800000000007</v>
      </c>
    </row>
    <row r="332" spans="1:8">
      <c r="A332" s="1" t="s">
        <v>360</v>
      </c>
      <c r="B332" s="1" t="s">
        <v>15</v>
      </c>
      <c r="C332" s="1" t="s">
        <v>386</v>
      </c>
      <c r="D332" s="3">
        <v>5163.79</v>
      </c>
      <c r="E332" s="3">
        <v>15536704.24</v>
      </c>
      <c r="F332" s="1" t="s">
        <v>3048</v>
      </c>
      <c r="G332" s="19">
        <f t="shared" si="47"/>
        <v>5163.79</v>
      </c>
    </row>
    <row r="333" spans="1:8">
      <c r="A333" s="1" t="s">
        <v>360</v>
      </c>
      <c r="B333" s="1" t="s">
        <v>15</v>
      </c>
      <c r="C333" s="1" t="s">
        <v>387</v>
      </c>
      <c r="D333" s="3">
        <v>9386</v>
      </c>
      <c r="E333" s="3">
        <v>15546090.24</v>
      </c>
      <c r="F333" s="1" t="s">
        <v>3048</v>
      </c>
      <c r="G333" s="19">
        <f t="shared" si="47"/>
        <v>9386</v>
      </c>
    </row>
    <row r="334" spans="1:8">
      <c r="A334" s="1" t="s">
        <v>360</v>
      </c>
      <c r="B334" s="1" t="s">
        <v>15</v>
      </c>
      <c r="C334" s="1" t="s">
        <v>388</v>
      </c>
      <c r="D334" s="3">
        <v>61770.62</v>
      </c>
      <c r="E334" s="3">
        <v>15607860.859999999</v>
      </c>
      <c r="F334" s="1" t="s">
        <v>3048</v>
      </c>
      <c r="G334" s="19">
        <f t="shared" si="47"/>
        <v>61770.62</v>
      </c>
    </row>
    <row r="335" spans="1:8">
      <c r="A335" s="1" t="s">
        <v>360</v>
      </c>
      <c r="B335" s="1" t="s">
        <v>15</v>
      </c>
      <c r="C335" s="1" t="s">
        <v>389</v>
      </c>
      <c r="D335" s="3">
        <v>8573.84</v>
      </c>
      <c r="E335" s="3">
        <v>15616434.699999999</v>
      </c>
      <c r="F335" s="1" t="s">
        <v>3048</v>
      </c>
      <c r="G335" s="19">
        <f t="shared" si="47"/>
        <v>8573.84</v>
      </c>
    </row>
    <row r="336" spans="1:8">
      <c r="A336" s="1" t="s">
        <v>1742</v>
      </c>
      <c r="B336" s="1" t="s">
        <v>51</v>
      </c>
      <c r="C336" s="1" t="s">
        <v>1760</v>
      </c>
      <c r="D336" s="3">
        <v>-1525.96</v>
      </c>
      <c r="E336" s="3">
        <v>15647080.16</v>
      </c>
      <c r="G336" s="19">
        <f>+D336</f>
        <v>-1525.96</v>
      </c>
      <c r="H336" s="19">
        <f>+D336-G336</f>
        <v>0</v>
      </c>
    </row>
    <row r="337" spans="1:8">
      <c r="A337" s="1" t="s">
        <v>360</v>
      </c>
      <c r="B337" s="1" t="s">
        <v>15</v>
      </c>
      <c r="C337" s="1" t="s">
        <v>392</v>
      </c>
      <c r="D337" s="3">
        <v>24942.080000000002</v>
      </c>
      <c r="E337" s="3">
        <v>15642238.300000001</v>
      </c>
      <c r="F337" s="1" t="s">
        <v>3048</v>
      </c>
      <c r="G337" s="19">
        <f>+D337</f>
        <v>24942.080000000002</v>
      </c>
    </row>
    <row r="338" spans="1:8">
      <c r="A338" s="1" t="s">
        <v>1742</v>
      </c>
      <c r="B338" s="1" t="s">
        <v>51</v>
      </c>
      <c r="C338" s="1" t="s">
        <v>1762</v>
      </c>
      <c r="D338" s="2">
        <v>-154.01</v>
      </c>
      <c r="E338" s="3">
        <v>15621258.15</v>
      </c>
      <c r="G338" s="19">
        <f>+D338</f>
        <v>-154.01</v>
      </c>
      <c r="H338" s="19">
        <f>+D338-G338</f>
        <v>0</v>
      </c>
    </row>
    <row r="339" spans="1:8">
      <c r="A339" s="1" t="s">
        <v>360</v>
      </c>
      <c r="B339" s="1" t="s">
        <v>15</v>
      </c>
      <c r="C339" s="1" t="s">
        <v>395</v>
      </c>
      <c r="D339" s="3">
        <v>21434.6</v>
      </c>
      <c r="E339" s="3">
        <v>15664926.02</v>
      </c>
      <c r="F339" s="1" t="s">
        <v>3048</v>
      </c>
      <c r="G339" s="19">
        <f t="shared" ref="G339:G341" si="48">+D339</f>
        <v>21434.6</v>
      </c>
    </row>
    <row r="340" spans="1:8">
      <c r="A340" s="1" t="s">
        <v>360</v>
      </c>
      <c r="B340" s="1" t="s">
        <v>15</v>
      </c>
      <c r="C340" s="1" t="s">
        <v>396</v>
      </c>
      <c r="D340" s="3">
        <v>38972</v>
      </c>
      <c r="E340" s="3">
        <v>15703898.02</v>
      </c>
      <c r="F340" s="1" t="s">
        <v>3048</v>
      </c>
      <c r="G340" s="19">
        <f t="shared" si="48"/>
        <v>38972</v>
      </c>
    </row>
    <row r="341" spans="1:8">
      <c r="A341" s="1" t="s">
        <v>360</v>
      </c>
      <c r="B341" s="1" t="s">
        <v>15</v>
      </c>
      <c r="C341" s="1" t="s">
        <v>397</v>
      </c>
      <c r="D341" s="3">
        <v>95968.55</v>
      </c>
      <c r="E341" s="3">
        <v>15799866.57</v>
      </c>
      <c r="F341" s="1" t="s">
        <v>3048</v>
      </c>
      <c r="G341" s="19">
        <f t="shared" si="48"/>
        <v>95968.55</v>
      </c>
    </row>
    <row r="342" spans="1:8">
      <c r="A342" s="1" t="s">
        <v>1742</v>
      </c>
      <c r="B342" s="1" t="s">
        <v>51</v>
      </c>
      <c r="C342" s="1" t="s">
        <v>1763</v>
      </c>
      <c r="D342" s="2">
        <v>-829.19</v>
      </c>
      <c r="E342" s="3">
        <v>15482230.550000001</v>
      </c>
      <c r="G342" s="19">
        <f>+D342</f>
        <v>-829.19</v>
      </c>
      <c r="H342" s="19">
        <f>+D342-G342</f>
        <v>0</v>
      </c>
    </row>
    <row r="343" spans="1:8">
      <c r="A343" s="1" t="s">
        <v>360</v>
      </c>
      <c r="B343" s="1" t="s">
        <v>15</v>
      </c>
      <c r="C343" s="1" t="s">
        <v>400</v>
      </c>
      <c r="D343" s="3">
        <v>11983.89</v>
      </c>
      <c r="E343" s="3">
        <v>15816672.029999999</v>
      </c>
      <c r="F343" s="1" t="s">
        <v>3048</v>
      </c>
      <c r="G343" s="19">
        <f t="shared" ref="G343:G353" si="49">+D343</f>
        <v>11983.89</v>
      </c>
    </row>
    <row r="344" spans="1:8">
      <c r="A344" s="1" t="s">
        <v>360</v>
      </c>
      <c r="B344" s="1" t="s">
        <v>15</v>
      </c>
      <c r="C344" s="1" t="s">
        <v>401</v>
      </c>
      <c r="D344" s="3">
        <v>38095.129999999997</v>
      </c>
      <c r="E344" s="3">
        <v>15854767.16</v>
      </c>
      <c r="F344" s="1" t="s">
        <v>3048</v>
      </c>
      <c r="G344" s="19">
        <f t="shared" si="49"/>
        <v>38095.129999999997</v>
      </c>
    </row>
    <row r="345" spans="1:8">
      <c r="A345" s="1" t="s">
        <v>360</v>
      </c>
      <c r="B345" s="1" t="s">
        <v>15</v>
      </c>
      <c r="C345" s="1" t="s">
        <v>402</v>
      </c>
      <c r="D345" s="3">
        <v>52147.44</v>
      </c>
      <c r="E345" s="3">
        <v>15906914.6</v>
      </c>
      <c r="F345" s="1" t="s">
        <v>3048</v>
      </c>
      <c r="G345" s="19">
        <f t="shared" si="49"/>
        <v>52147.44</v>
      </c>
    </row>
    <row r="346" spans="1:8">
      <c r="A346" s="1" t="s">
        <v>360</v>
      </c>
      <c r="B346" s="1" t="s">
        <v>15</v>
      </c>
      <c r="C346" s="1" t="s">
        <v>403</v>
      </c>
      <c r="D346" s="3">
        <v>3702.34</v>
      </c>
      <c r="E346" s="3">
        <v>15910616.939999999</v>
      </c>
      <c r="F346" s="1" t="s">
        <v>3048</v>
      </c>
      <c r="G346" s="19">
        <f t="shared" si="49"/>
        <v>3702.34</v>
      </c>
    </row>
    <row r="347" spans="1:8">
      <c r="A347" s="1" t="s">
        <v>360</v>
      </c>
      <c r="B347" s="1" t="s">
        <v>15</v>
      </c>
      <c r="C347" s="1" t="s">
        <v>404</v>
      </c>
      <c r="D347" s="3">
        <v>47707.35</v>
      </c>
      <c r="E347" s="3">
        <v>15958324.289999999</v>
      </c>
      <c r="F347" s="1" t="s">
        <v>3048</v>
      </c>
      <c r="G347" s="19">
        <f t="shared" si="49"/>
        <v>47707.35</v>
      </c>
    </row>
    <row r="348" spans="1:8">
      <c r="A348" s="1" t="s">
        <v>360</v>
      </c>
      <c r="B348" s="1" t="s">
        <v>15</v>
      </c>
      <c r="C348" s="1" t="s">
        <v>405</v>
      </c>
      <c r="D348" s="3">
        <v>15491.37</v>
      </c>
      <c r="E348" s="3">
        <v>15973815.66</v>
      </c>
      <c r="F348" s="1" t="s">
        <v>3048</v>
      </c>
      <c r="G348" s="19">
        <f t="shared" si="49"/>
        <v>15491.37</v>
      </c>
    </row>
    <row r="349" spans="1:8">
      <c r="A349" s="1" t="s">
        <v>360</v>
      </c>
      <c r="B349" s="1" t="s">
        <v>15</v>
      </c>
      <c r="C349" s="1" t="s">
        <v>406</v>
      </c>
      <c r="D349" s="3">
        <v>21773.25</v>
      </c>
      <c r="E349" s="3">
        <v>15995588.91</v>
      </c>
      <c r="F349" s="1" t="s">
        <v>3048</v>
      </c>
      <c r="G349" s="19">
        <f t="shared" si="49"/>
        <v>21773.25</v>
      </c>
    </row>
    <row r="350" spans="1:8">
      <c r="A350" s="1" t="s">
        <v>360</v>
      </c>
      <c r="B350" s="1" t="s">
        <v>15</v>
      </c>
      <c r="C350" s="1" t="s">
        <v>407</v>
      </c>
      <c r="D350" s="3">
        <v>30135.93</v>
      </c>
      <c r="E350" s="3">
        <v>16025724.84</v>
      </c>
      <c r="F350" s="1" t="s">
        <v>3048</v>
      </c>
      <c r="G350" s="19">
        <f t="shared" si="49"/>
        <v>30135.93</v>
      </c>
    </row>
    <row r="351" spans="1:8">
      <c r="A351" s="1" t="s">
        <v>360</v>
      </c>
      <c r="B351" s="1" t="s">
        <v>15</v>
      </c>
      <c r="C351" s="1" t="s">
        <v>408</v>
      </c>
      <c r="D351" s="3">
        <v>14224.78</v>
      </c>
      <c r="E351" s="3">
        <v>16039949.619999999</v>
      </c>
      <c r="F351" s="1" t="s">
        <v>3048</v>
      </c>
      <c r="G351" s="19">
        <f t="shared" si="49"/>
        <v>14224.78</v>
      </c>
    </row>
    <row r="352" spans="1:8">
      <c r="A352" s="1" t="s">
        <v>360</v>
      </c>
      <c r="B352" s="1" t="s">
        <v>15</v>
      </c>
      <c r="C352" s="1" t="s">
        <v>409</v>
      </c>
      <c r="D352" s="3">
        <v>26890.68</v>
      </c>
      <c r="E352" s="3">
        <v>16066840.300000001</v>
      </c>
      <c r="F352" s="1" t="s">
        <v>3048</v>
      </c>
      <c r="G352" s="19">
        <f t="shared" si="49"/>
        <v>26890.68</v>
      </c>
    </row>
    <row r="353" spans="1:8">
      <c r="A353" s="1" t="s">
        <v>360</v>
      </c>
      <c r="B353" s="1" t="s">
        <v>15</v>
      </c>
      <c r="C353" s="1" t="s">
        <v>410</v>
      </c>
      <c r="D353" s="3">
        <v>28157.27</v>
      </c>
      <c r="E353" s="3">
        <v>16094997.57</v>
      </c>
      <c r="F353" s="1" t="s">
        <v>3048</v>
      </c>
      <c r="G353" s="19">
        <f t="shared" si="49"/>
        <v>28157.27</v>
      </c>
    </row>
    <row r="354" spans="1:8">
      <c r="A354" s="1" t="s">
        <v>1768</v>
      </c>
      <c r="B354" s="1" t="s">
        <v>51</v>
      </c>
      <c r="C354" s="1" t="s">
        <v>1770</v>
      </c>
      <c r="D354" s="3">
        <v>-1171.8</v>
      </c>
      <c r="E354" s="3">
        <v>12163437.560000001</v>
      </c>
      <c r="G354" s="19">
        <f>+D354</f>
        <v>-1171.8</v>
      </c>
      <c r="H354" s="19">
        <f>+D354-G354</f>
        <v>0</v>
      </c>
    </row>
    <row r="355" spans="1:8">
      <c r="A355" s="1" t="s">
        <v>360</v>
      </c>
      <c r="B355" s="1" t="s">
        <v>15</v>
      </c>
      <c r="C355" s="1" t="s">
        <v>413</v>
      </c>
      <c r="D355" s="3">
        <v>16368.24</v>
      </c>
      <c r="E355" s="3">
        <v>16112780.460000001</v>
      </c>
      <c r="F355" s="1" t="s">
        <v>3048</v>
      </c>
      <c r="G355" s="19">
        <f t="shared" ref="G355:G356" si="50">+D355</f>
        <v>16368.24</v>
      </c>
    </row>
    <row r="356" spans="1:8">
      <c r="A356" s="1" t="s">
        <v>360</v>
      </c>
      <c r="B356" s="1" t="s">
        <v>15</v>
      </c>
      <c r="C356" s="1" t="s">
        <v>414</v>
      </c>
      <c r="D356" s="3">
        <v>27280.400000000001</v>
      </c>
      <c r="E356" s="3">
        <v>16140060.859999999</v>
      </c>
      <c r="F356" s="1" t="s">
        <v>3048</v>
      </c>
      <c r="G356" s="19">
        <f t="shared" si="50"/>
        <v>27280.400000000001</v>
      </c>
    </row>
    <row r="357" spans="1:8">
      <c r="A357" s="1" t="s">
        <v>1768</v>
      </c>
      <c r="B357" s="1" t="s">
        <v>51</v>
      </c>
      <c r="C357" s="1" t="s">
        <v>1775</v>
      </c>
      <c r="D357" s="3">
        <v>-1200</v>
      </c>
      <c r="E357" s="3">
        <v>11563102.529999999</v>
      </c>
      <c r="G357" s="19">
        <f>+D357</f>
        <v>-1200</v>
      </c>
      <c r="H357" s="19">
        <f>+D357-G357</f>
        <v>0</v>
      </c>
    </row>
    <row r="358" spans="1:8">
      <c r="A358" s="1" t="s">
        <v>360</v>
      </c>
      <c r="B358" s="1" t="s">
        <v>15</v>
      </c>
      <c r="C358" s="1" t="s">
        <v>417</v>
      </c>
      <c r="D358" s="3">
        <v>12081.32</v>
      </c>
      <c r="E358" s="3">
        <v>16153512.779999999</v>
      </c>
      <c r="F358" s="1" t="s">
        <v>3048</v>
      </c>
      <c r="G358" s="19">
        <f t="shared" ref="G358:G378" si="51">+D358</f>
        <v>12081.32</v>
      </c>
    </row>
    <row r="359" spans="1:8">
      <c r="A359" s="1" t="s">
        <v>360</v>
      </c>
      <c r="B359" s="1" t="s">
        <v>15</v>
      </c>
      <c r="C359" s="1" t="s">
        <v>418</v>
      </c>
      <c r="D359" s="3">
        <v>8313.36</v>
      </c>
      <c r="E359" s="3">
        <v>16161826.140000001</v>
      </c>
      <c r="F359" s="1" t="s">
        <v>3048</v>
      </c>
      <c r="G359" s="19">
        <f t="shared" si="51"/>
        <v>8313.36</v>
      </c>
    </row>
    <row r="360" spans="1:8">
      <c r="A360" s="1" t="s">
        <v>360</v>
      </c>
      <c r="B360" s="1" t="s">
        <v>15</v>
      </c>
      <c r="C360" s="1" t="s">
        <v>419</v>
      </c>
      <c r="D360" s="3">
        <v>7557.6</v>
      </c>
      <c r="E360" s="3">
        <v>16169383.74</v>
      </c>
      <c r="F360" s="1" t="s">
        <v>3048</v>
      </c>
      <c r="G360" s="19">
        <f t="shared" si="51"/>
        <v>7557.6</v>
      </c>
    </row>
    <row r="361" spans="1:8">
      <c r="A361" s="1" t="s">
        <v>360</v>
      </c>
      <c r="B361" s="1" t="s">
        <v>15</v>
      </c>
      <c r="C361" s="1" t="s">
        <v>420</v>
      </c>
      <c r="D361" s="3">
        <v>17382.48</v>
      </c>
      <c r="E361" s="3">
        <v>16186766.220000001</v>
      </c>
      <c r="F361" s="1" t="s">
        <v>3048</v>
      </c>
      <c r="G361" s="19">
        <f t="shared" si="51"/>
        <v>17382.48</v>
      </c>
    </row>
    <row r="362" spans="1:8">
      <c r="A362" s="1" t="s">
        <v>360</v>
      </c>
      <c r="B362" s="1" t="s">
        <v>15</v>
      </c>
      <c r="C362" s="1" t="s">
        <v>421</v>
      </c>
      <c r="D362" s="3">
        <v>21400.080000000002</v>
      </c>
      <c r="E362" s="3">
        <v>16208166.300000001</v>
      </c>
      <c r="F362" s="1" t="s">
        <v>3048</v>
      </c>
      <c r="G362" s="19">
        <f t="shared" si="51"/>
        <v>21400.080000000002</v>
      </c>
    </row>
    <row r="363" spans="1:8">
      <c r="A363" s="1" t="s">
        <v>360</v>
      </c>
      <c r="B363" s="1" t="s">
        <v>15</v>
      </c>
      <c r="C363" s="1" t="s">
        <v>422</v>
      </c>
      <c r="D363" s="3">
        <v>18884.32</v>
      </c>
      <c r="E363" s="3">
        <v>16227050.619999999</v>
      </c>
      <c r="F363" s="1" t="s">
        <v>3048</v>
      </c>
      <c r="G363" s="19">
        <f t="shared" si="51"/>
        <v>18884.32</v>
      </c>
    </row>
    <row r="364" spans="1:8">
      <c r="A364" s="1" t="s">
        <v>360</v>
      </c>
      <c r="B364" s="1" t="s">
        <v>15</v>
      </c>
      <c r="C364" s="1" t="s">
        <v>423</v>
      </c>
      <c r="D364" s="3">
        <v>17854.830000000002</v>
      </c>
      <c r="E364" s="3">
        <v>16244905.449999999</v>
      </c>
      <c r="F364" s="1" t="s">
        <v>3048</v>
      </c>
      <c r="G364" s="19">
        <f t="shared" si="51"/>
        <v>17854.830000000002</v>
      </c>
    </row>
    <row r="365" spans="1:8">
      <c r="A365" s="1" t="s">
        <v>360</v>
      </c>
      <c r="B365" s="1" t="s">
        <v>15</v>
      </c>
      <c r="C365" s="1" t="s">
        <v>424</v>
      </c>
      <c r="D365" s="3">
        <v>21044.880000000001</v>
      </c>
      <c r="E365" s="3">
        <v>16265950.33</v>
      </c>
      <c r="F365" s="1" t="s">
        <v>3048</v>
      </c>
      <c r="G365" s="19">
        <f t="shared" si="51"/>
        <v>21044.880000000001</v>
      </c>
    </row>
    <row r="366" spans="1:8">
      <c r="A366" s="1" t="s">
        <v>360</v>
      </c>
      <c r="B366" s="1" t="s">
        <v>15</v>
      </c>
      <c r="C366" s="1" t="s">
        <v>425</v>
      </c>
      <c r="D366" s="3">
        <v>16626.72</v>
      </c>
      <c r="E366" s="3">
        <v>16282577.050000001</v>
      </c>
      <c r="F366" s="1" t="s">
        <v>3048</v>
      </c>
      <c r="G366" s="19">
        <f t="shared" si="51"/>
        <v>16626.72</v>
      </c>
    </row>
    <row r="367" spans="1:8">
      <c r="A367" s="1" t="s">
        <v>360</v>
      </c>
      <c r="B367" s="1" t="s">
        <v>15</v>
      </c>
      <c r="C367" s="1" t="s">
        <v>426</v>
      </c>
      <c r="D367" s="3">
        <v>3967.74</v>
      </c>
      <c r="E367" s="3">
        <v>16286544.789999999</v>
      </c>
      <c r="F367" s="1" t="s">
        <v>3048</v>
      </c>
      <c r="G367" s="19">
        <f t="shared" si="51"/>
        <v>3967.74</v>
      </c>
    </row>
    <row r="368" spans="1:8">
      <c r="A368" s="1" t="s">
        <v>360</v>
      </c>
      <c r="B368" s="1" t="s">
        <v>15</v>
      </c>
      <c r="C368" s="1" t="s">
        <v>427</v>
      </c>
      <c r="D368" s="3">
        <v>17439.97</v>
      </c>
      <c r="E368" s="3">
        <v>16303984.76</v>
      </c>
      <c r="F368" s="1" t="s">
        <v>3048</v>
      </c>
      <c r="G368" s="19">
        <f t="shared" si="51"/>
        <v>17439.97</v>
      </c>
    </row>
    <row r="369" spans="1:8">
      <c r="A369" s="1" t="s">
        <v>360</v>
      </c>
      <c r="B369" s="1" t="s">
        <v>15</v>
      </c>
      <c r="C369" s="1" t="s">
        <v>428</v>
      </c>
      <c r="D369" s="3">
        <v>15491.37</v>
      </c>
      <c r="E369" s="3">
        <v>16319476.130000001</v>
      </c>
      <c r="F369" s="1" t="s">
        <v>3048</v>
      </c>
      <c r="G369" s="19">
        <f t="shared" si="51"/>
        <v>15491.37</v>
      </c>
    </row>
    <row r="370" spans="1:8">
      <c r="A370" s="1" t="s">
        <v>360</v>
      </c>
      <c r="B370" s="1" t="s">
        <v>15</v>
      </c>
      <c r="C370" s="1" t="s">
        <v>429</v>
      </c>
      <c r="D370" s="3">
        <v>16069.83</v>
      </c>
      <c r="E370" s="3">
        <v>16335545.960000001</v>
      </c>
      <c r="F370" s="1" t="s">
        <v>3048</v>
      </c>
      <c r="G370" s="19">
        <f t="shared" si="51"/>
        <v>16069.83</v>
      </c>
    </row>
    <row r="371" spans="1:8">
      <c r="A371" s="1" t="s">
        <v>360</v>
      </c>
      <c r="B371" s="1" t="s">
        <v>15</v>
      </c>
      <c r="C371" s="1" t="s">
        <v>430</v>
      </c>
      <c r="D371" s="3">
        <v>9743</v>
      </c>
      <c r="E371" s="3">
        <v>16345288.960000001</v>
      </c>
      <c r="F371" s="1" t="s">
        <v>3048</v>
      </c>
      <c r="G371" s="19">
        <f t="shared" si="51"/>
        <v>9743</v>
      </c>
    </row>
    <row r="372" spans="1:8">
      <c r="A372" s="1" t="s">
        <v>360</v>
      </c>
      <c r="B372" s="1" t="s">
        <v>15</v>
      </c>
      <c r="C372" s="1" t="s">
        <v>431</v>
      </c>
      <c r="D372" s="3">
        <v>13509.21</v>
      </c>
      <c r="E372" s="3">
        <v>16358798.17</v>
      </c>
      <c r="F372" s="1" t="s">
        <v>3048</v>
      </c>
      <c r="G372" s="19">
        <f t="shared" si="51"/>
        <v>13509.21</v>
      </c>
    </row>
    <row r="373" spans="1:8">
      <c r="A373" s="1" t="s">
        <v>360</v>
      </c>
      <c r="B373" s="1" t="s">
        <v>15</v>
      </c>
      <c r="C373" s="1" t="s">
        <v>432</v>
      </c>
      <c r="D373" s="3">
        <v>4774.07</v>
      </c>
      <c r="E373" s="3">
        <v>16363572.24</v>
      </c>
      <c r="F373" s="1" t="s">
        <v>3048</v>
      </c>
      <c r="G373" s="19">
        <f t="shared" si="51"/>
        <v>4774.07</v>
      </c>
    </row>
    <row r="374" spans="1:8">
      <c r="A374" s="1" t="s">
        <v>360</v>
      </c>
      <c r="B374" s="1" t="s">
        <v>15</v>
      </c>
      <c r="C374" s="1" t="s">
        <v>433</v>
      </c>
      <c r="D374" s="3">
        <v>4286.92</v>
      </c>
      <c r="E374" s="3">
        <v>16367859.16</v>
      </c>
      <c r="F374" s="1" t="s">
        <v>3048</v>
      </c>
      <c r="G374" s="19">
        <f t="shared" si="51"/>
        <v>4286.92</v>
      </c>
    </row>
    <row r="375" spans="1:8">
      <c r="A375" s="1" t="s">
        <v>360</v>
      </c>
      <c r="B375" s="1" t="s">
        <v>15</v>
      </c>
      <c r="C375" s="1" t="s">
        <v>434</v>
      </c>
      <c r="D375" s="3">
        <v>4774.07</v>
      </c>
      <c r="E375" s="3">
        <v>16372633.23</v>
      </c>
      <c r="F375" s="1" t="s">
        <v>3048</v>
      </c>
      <c r="G375" s="19">
        <f t="shared" si="51"/>
        <v>4774.07</v>
      </c>
    </row>
    <row r="376" spans="1:8">
      <c r="A376" s="1" t="s">
        <v>360</v>
      </c>
      <c r="B376" s="1" t="s">
        <v>15</v>
      </c>
      <c r="C376" s="1" t="s">
        <v>435</v>
      </c>
      <c r="D376" s="3">
        <v>17004.599999999999</v>
      </c>
      <c r="E376" s="3">
        <v>16389637.83</v>
      </c>
      <c r="F376" s="1" t="s">
        <v>3048</v>
      </c>
      <c r="G376" s="19">
        <f t="shared" si="51"/>
        <v>17004.599999999999</v>
      </c>
    </row>
    <row r="377" spans="1:8">
      <c r="A377" s="1" t="s">
        <v>360</v>
      </c>
      <c r="B377" s="1" t="s">
        <v>15</v>
      </c>
      <c r="C377" s="1" t="s">
        <v>436</v>
      </c>
      <c r="D377" s="3">
        <v>13737.63</v>
      </c>
      <c r="E377" s="3">
        <v>16403375.460000001</v>
      </c>
      <c r="F377" s="1" t="s">
        <v>3048</v>
      </c>
      <c r="G377" s="19">
        <f t="shared" si="51"/>
        <v>13737.63</v>
      </c>
    </row>
    <row r="378" spans="1:8">
      <c r="A378" s="1" t="s">
        <v>360</v>
      </c>
      <c r="B378" s="1" t="s">
        <v>15</v>
      </c>
      <c r="C378" s="1" t="s">
        <v>437</v>
      </c>
      <c r="D378" s="3">
        <v>25136.94</v>
      </c>
      <c r="E378" s="3">
        <v>16428512.4</v>
      </c>
      <c r="F378" s="1" t="s">
        <v>3048</v>
      </c>
      <c r="G378" s="19">
        <f t="shared" si="51"/>
        <v>25136.94</v>
      </c>
    </row>
    <row r="379" spans="1:8">
      <c r="A379" s="1" t="s">
        <v>1793</v>
      </c>
      <c r="B379" s="1" t="s">
        <v>51</v>
      </c>
      <c r="C379" s="1" t="s">
        <v>1798</v>
      </c>
      <c r="D379" s="3">
        <v>-6211.37</v>
      </c>
      <c r="E379" s="3">
        <v>11148418.210000001</v>
      </c>
      <c r="G379" s="19">
        <f>+D379</f>
        <v>-6211.37</v>
      </c>
      <c r="H379" s="19">
        <f>+D379-G379</f>
        <v>0</v>
      </c>
    </row>
    <row r="380" spans="1:8">
      <c r="A380" s="1" t="s">
        <v>360</v>
      </c>
      <c r="B380" s="1" t="s">
        <v>15</v>
      </c>
      <c r="C380" s="1" t="s">
        <v>440</v>
      </c>
      <c r="D380" s="3">
        <v>16251.41</v>
      </c>
      <c r="E380" s="3">
        <v>16447289.630000001</v>
      </c>
      <c r="F380" s="1" t="s">
        <v>3048</v>
      </c>
      <c r="G380" s="19">
        <f t="shared" ref="G380:G387" si="52">+D380</f>
        <v>16251.41</v>
      </c>
    </row>
    <row r="381" spans="1:8">
      <c r="A381" s="1" t="s">
        <v>360</v>
      </c>
      <c r="B381" s="1" t="s">
        <v>15</v>
      </c>
      <c r="C381" s="1" t="s">
        <v>441</v>
      </c>
      <c r="D381" s="3">
        <v>15493.08</v>
      </c>
      <c r="E381" s="3">
        <v>16462782.710000001</v>
      </c>
      <c r="F381" s="1" t="s">
        <v>3048</v>
      </c>
      <c r="G381" s="19">
        <f t="shared" si="52"/>
        <v>15493.08</v>
      </c>
    </row>
    <row r="382" spans="1:8">
      <c r="A382" s="1" t="s">
        <v>360</v>
      </c>
      <c r="B382" s="1" t="s">
        <v>15</v>
      </c>
      <c r="C382" s="1" t="s">
        <v>442</v>
      </c>
      <c r="D382" s="3">
        <v>31762.18</v>
      </c>
      <c r="E382" s="3">
        <v>16494544.890000001</v>
      </c>
      <c r="F382" s="1" t="s">
        <v>3048</v>
      </c>
      <c r="G382" s="19">
        <f t="shared" si="52"/>
        <v>31762.18</v>
      </c>
    </row>
    <row r="383" spans="1:8">
      <c r="A383" s="1" t="s">
        <v>360</v>
      </c>
      <c r="B383" s="1" t="s">
        <v>15</v>
      </c>
      <c r="C383" s="1" t="s">
        <v>443</v>
      </c>
      <c r="D383" s="3">
        <v>25916.38</v>
      </c>
      <c r="E383" s="3">
        <v>16520461.27</v>
      </c>
      <c r="F383" s="1" t="s">
        <v>3048</v>
      </c>
      <c r="G383" s="19">
        <f t="shared" si="52"/>
        <v>25916.38</v>
      </c>
    </row>
    <row r="384" spans="1:8">
      <c r="A384" s="1" t="s">
        <v>360</v>
      </c>
      <c r="B384" s="1" t="s">
        <v>15</v>
      </c>
      <c r="C384" s="1" t="s">
        <v>444</v>
      </c>
      <c r="D384" s="3">
        <v>38874.57</v>
      </c>
      <c r="E384" s="3">
        <v>16559335.84</v>
      </c>
      <c r="F384" s="1" t="s">
        <v>3048</v>
      </c>
      <c r="G384" s="19">
        <f t="shared" si="52"/>
        <v>38874.57</v>
      </c>
    </row>
    <row r="385" spans="1:8">
      <c r="A385" s="1" t="s">
        <v>360</v>
      </c>
      <c r="B385" s="1" t="s">
        <v>15</v>
      </c>
      <c r="C385" s="1" t="s">
        <v>445</v>
      </c>
      <c r="D385" s="3">
        <v>9353.2800000000007</v>
      </c>
      <c r="E385" s="3">
        <v>16568689.119999999</v>
      </c>
      <c r="F385" s="1" t="s">
        <v>3048</v>
      </c>
      <c r="G385" s="19">
        <f t="shared" si="52"/>
        <v>9353.2800000000007</v>
      </c>
    </row>
    <row r="386" spans="1:8">
      <c r="A386" s="1" t="s">
        <v>360</v>
      </c>
      <c r="B386" s="1" t="s">
        <v>15</v>
      </c>
      <c r="C386" s="1" t="s">
        <v>446</v>
      </c>
      <c r="D386" s="3">
        <v>34295.360000000001</v>
      </c>
      <c r="E386" s="3">
        <v>16602984.48</v>
      </c>
      <c r="F386" s="1" t="s">
        <v>3048</v>
      </c>
      <c r="G386" s="19">
        <f t="shared" si="52"/>
        <v>34295.360000000001</v>
      </c>
    </row>
    <row r="387" spans="1:8">
      <c r="A387" s="1" t="s">
        <v>360</v>
      </c>
      <c r="B387" s="1" t="s">
        <v>15</v>
      </c>
      <c r="C387" s="1" t="s">
        <v>447</v>
      </c>
      <c r="D387" s="3">
        <v>4676.6400000000003</v>
      </c>
      <c r="E387" s="3">
        <v>16607661.119999999</v>
      </c>
      <c r="F387" s="1" t="s">
        <v>3048</v>
      </c>
      <c r="G387" s="19">
        <f t="shared" si="52"/>
        <v>4676.6400000000003</v>
      </c>
    </row>
    <row r="388" spans="1:8">
      <c r="A388" s="1" t="s">
        <v>1793</v>
      </c>
      <c r="B388" s="1" t="s">
        <v>51</v>
      </c>
      <c r="C388" s="1" t="s">
        <v>1800</v>
      </c>
      <c r="D388" s="3">
        <v>-7208.4</v>
      </c>
      <c r="E388" s="3">
        <v>9939809.8100000005</v>
      </c>
      <c r="G388" s="19">
        <f>+D388</f>
        <v>-7208.4</v>
      </c>
      <c r="H388" s="19">
        <f>+D388-G388</f>
        <v>0</v>
      </c>
    </row>
    <row r="389" spans="1:8">
      <c r="A389" s="1" t="s">
        <v>360</v>
      </c>
      <c r="B389" s="1" t="s">
        <v>15</v>
      </c>
      <c r="C389" s="1" t="s">
        <v>450</v>
      </c>
      <c r="D389" s="3">
        <v>28740.69</v>
      </c>
      <c r="E389" s="3">
        <v>16636871.73</v>
      </c>
      <c r="F389" s="1" t="s">
        <v>3048</v>
      </c>
      <c r="G389" s="19">
        <f>+D389</f>
        <v>28740.69</v>
      </c>
    </row>
    <row r="390" spans="1:8">
      <c r="A390" s="1" t="s">
        <v>1793</v>
      </c>
      <c r="B390" s="1" t="s">
        <v>51</v>
      </c>
      <c r="C390" s="1" t="s">
        <v>1811</v>
      </c>
      <c r="D390" s="3">
        <v>-3309.17</v>
      </c>
      <c r="E390" s="3">
        <v>9528415.1899999995</v>
      </c>
      <c r="G390" s="19">
        <f>+D390</f>
        <v>-3309.17</v>
      </c>
      <c r="H390" s="19">
        <f>+D390-G390</f>
        <v>0</v>
      </c>
    </row>
    <row r="391" spans="1:8">
      <c r="A391" s="1" t="s">
        <v>360</v>
      </c>
      <c r="B391" s="1" t="s">
        <v>15</v>
      </c>
      <c r="C391" s="1" t="s">
        <v>452</v>
      </c>
      <c r="D391" s="3">
        <v>23900.91</v>
      </c>
      <c r="E391" s="3">
        <v>16663680.27</v>
      </c>
      <c r="F391" s="1" t="s">
        <v>3048</v>
      </c>
      <c r="G391" s="19">
        <f t="shared" ref="G391:G393" si="53">+D391</f>
        <v>23900.91</v>
      </c>
    </row>
    <row r="392" spans="1:8">
      <c r="A392" s="1" t="s">
        <v>360</v>
      </c>
      <c r="B392" s="1" t="s">
        <v>15</v>
      </c>
      <c r="C392" s="1" t="s">
        <v>453</v>
      </c>
      <c r="D392" s="3">
        <v>13603.68</v>
      </c>
      <c r="E392" s="3">
        <v>16677283.949999999</v>
      </c>
      <c r="F392" s="1" t="s">
        <v>3048</v>
      </c>
      <c r="G392" s="19">
        <f t="shared" si="53"/>
        <v>13603.68</v>
      </c>
    </row>
    <row r="393" spans="1:8">
      <c r="A393" s="1" t="s">
        <v>360</v>
      </c>
      <c r="B393" s="1" t="s">
        <v>15</v>
      </c>
      <c r="C393" s="1" t="s">
        <v>454</v>
      </c>
      <c r="D393" s="3">
        <v>17050.25</v>
      </c>
      <c r="E393" s="3">
        <v>16694334.199999999</v>
      </c>
      <c r="F393" s="1" t="s">
        <v>3048</v>
      </c>
      <c r="G393" s="19">
        <f t="shared" si="53"/>
        <v>17050.25</v>
      </c>
    </row>
    <row r="394" spans="1:8">
      <c r="A394" s="1" t="s">
        <v>1871</v>
      </c>
      <c r="B394" s="1" t="s">
        <v>51</v>
      </c>
      <c r="C394" s="1" t="s">
        <v>1946</v>
      </c>
      <c r="D394" s="2">
        <v>-425.89</v>
      </c>
      <c r="E394" s="3">
        <v>11372320.76</v>
      </c>
      <c r="G394" s="19">
        <f>+D394</f>
        <v>-425.89</v>
      </c>
      <c r="H394" s="19">
        <f>+D394-G394</f>
        <v>0</v>
      </c>
    </row>
    <row r="395" spans="1:8">
      <c r="A395" s="1" t="s">
        <v>360</v>
      </c>
      <c r="B395" s="1" t="s">
        <v>15</v>
      </c>
      <c r="C395" s="1" t="s">
        <v>457</v>
      </c>
      <c r="D395" s="3">
        <v>30203.3</v>
      </c>
      <c r="E395" s="3">
        <v>16726250.75</v>
      </c>
      <c r="F395" s="1" t="s">
        <v>3048</v>
      </c>
      <c r="G395" s="19">
        <f t="shared" ref="G395:G401" si="54">+D395</f>
        <v>30203.3</v>
      </c>
    </row>
    <row r="396" spans="1:8">
      <c r="A396" s="1" t="s">
        <v>360</v>
      </c>
      <c r="B396" s="1" t="s">
        <v>15</v>
      </c>
      <c r="C396" s="1" t="s">
        <v>458</v>
      </c>
      <c r="D396" s="3">
        <v>42284.62</v>
      </c>
      <c r="E396" s="3">
        <v>16768535.369999999</v>
      </c>
      <c r="F396" s="1" t="s">
        <v>3048</v>
      </c>
      <c r="G396" s="19">
        <f t="shared" si="54"/>
        <v>42284.62</v>
      </c>
    </row>
    <row r="397" spans="1:8">
      <c r="A397" s="1" t="s">
        <v>360</v>
      </c>
      <c r="B397" s="1" t="s">
        <v>15</v>
      </c>
      <c r="C397" s="1" t="s">
        <v>459</v>
      </c>
      <c r="D397" s="3">
        <v>15115.2</v>
      </c>
      <c r="E397" s="3">
        <v>16783650.57</v>
      </c>
      <c r="F397" s="1" t="s">
        <v>3048</v>
      </c>
      <c r="G397" s="19">
        <f t="shared" si="54"/>
        <v>15115.2</v>
      </c>
    </row>
    <row r="398" spans="1:8">
      <c r="A398" s="1" t="s">
        <v>360</v>
      </c>
      <c r="B398" s="1" t="s">
        <v>15</v>
      </c>
      <c r="C398" s="1" t="s">
        <v>460</v>
      </c>
      <c r="D398" s="3">
        <v>29423.86</v>
      </c>
      <c r="E398" s="3">
        <v>16813074.43</v>
      </c>
      <c r="F398" s="1" t="s">
        <v>3048</v>
      </c>
      <c r="G398" s="19">
        <f t="shared" si="54"/>
        <v>29423.86</v>
      </c>
    </row>
    <row r="399" spans="1:8">
      <c r="A399" s="1" t="s">
        <v>461</v>
      </c>
      <c r="B399" s="1" t="s">
        <v>15</v>
      </c>
      <c r="C399" s="1" t="s">
        <v>462</v>
      </c>
      <c r="D399" s="3">
        <v>7741.6</v>
      </c>
      <c r="E399" s="3">
        <v>16820816.030000001</v>
      </c>
      <c r="F399" s="1" t="s">
        <v>3048</v>
      </c>
      <c r="G399" s="19">
        <f t="shared" si="54"/>
        <v>7741.6</v>
      </c>
    </row>
    <row r="400" spans="1:8">
      <c r="A400" s="1" t="s">
        <v>461</v>
      </c>
      <c r="B400" s="1" t="s">
        <v>15</v>
      </c>
      <c r="C400" s="1" t="s">
        <v>463</v>
      </c>
      <c r="D400" s="3">
        <v>49202.15</v>
      </c>
      <c r="E400" s="3">
        <v>16870018.18</v>
      </c>
      <c r="F400" s="1" t="s">
        <v>3048</v>
      </c>
      <c r="G400" s="19">
        <f t="shared" si="54"/>
        <v>49202.15</v>
      </c>
    </row>
    <row r="401" spans="1:9">
      <c r="A401" s="1" t="s">
        <v>461</v>
      </c>
      <c r="B401" s="1" t="s">
        <v>15</v>
      </c>
      <c r="C401" s="1" t="s">
        <v>464</v>
      </c>
      <c r="D401" s="3">
        <v>7989.52</v>
      </c>
      <c r="E401" s="3">
        <v>16878007.699999999</v>
      </c>
      <c r="F401" s="1" t="s">
        <v>3048</v>
      </c>
      <c r="G401" s="19">
        <f t="shared" si="54"/>
        <v>7989.52</v>
      </c>
    </row>
    <row r="402" spans="1:9">
      <c r="A402" s="1" t="s">
        <v>461</v>
      </c>
      <c r="B402" s="1" t="s">
        <v>465</v>
      </c>
      <c r="C402" s="1" t="s">
        <v>466</v>
      </c>
      <c r="D402" s="3">
        <v>-960111.31</v>
      </c>
      <c r="E402" s="3">
        <v>15917896.390000001</v>
      </c>
      <c r="G402" s="19">
        <f t="shared" ref="G402:G403" si="55">+D402/1.006</f>
        <v>-954385</v>
      </c>
      <c r="H402" s="19">
        <f t="shared" ref="H402:H403" si="56">+D402-G402</f>
        <v>-5726.3100000000559</v>
      </c>
    </row>
    <row r="403" spans="1:9">
      <c r="A403" s="1" t="s">
        <v>461</v>
      </c>
      <c r="B403" s="1" t="s">
        <v>467</v>
      </c>
      <c r="C403" s="1" t="s">
        <v>468</v>
      </c>
      <c r="D403" s="3">
        <v>-1049664</v>
      </c>
      <c r="E403" s="3">
        <v>14868232.390000001</v>
      </c>
      <c r="G403" s="19">
        <f t="shared" si="55"/>
        <v>-1043403.5785288271</v>
      </c>
      <c r="H403" s="19">
        <f t="shared" si="56"/>
        <v>-6260.4214711729437</v>
      </c>
    </row>
    <row r="404" spans="1:9">
      <c r="A404" s="1" t="s">
        <v>1871</v>
      </c>
      <c r="B404" s="1" t="s">
        <v>51</v>
      </c>
      <c r="C404" s="1" t="s">
        <v>1947</v>
      </c>
      <c r="D404" s="2">
        <v>-748.35</v>
      </c>
      <c r="E404" s="3">
        <v>11246848.01</v>
      </c>
      <c r="G404" s="19">
        <f t="shared" ref="G404:G406" si="57">+D404</f>
        <v>-748.35</v>
      </c>
      <c r="H404" s="19">
        <f t="shared" ref="H404:H406" si="58">+D404-G404</f>
        <v>0</v>
      </c>
    </row>
    <row r="405" spans="1:9">
      <c r="A405" s="1" t="s">
        <v>1871</v>
      </c>
      <c r="B405" s="1" t="s">
        <v>51</v>
      </c>
      <c r="C405" s="1" t="s">
        <v>1948</v>
      </c>
      <c r="D405" s="3">
        <v>-1212.44</v>
      </c>
      <c r="E405" s="3">
        <v>11043562.01</v>
      </c>
      <c r="G405" s="19">
        <f t="shared" si="57"/>
        <v>-1212.44</v>
      </c>
      <c r="H405" s="19">
        <f t="shared" si="58"/>
        <v>0</v>
      </c>
    </row>
    <row r="406" spans="1:9">
      <c r="A406" s="1" t="s">
        <v>1871</v>
      </c>
      <c r="B406" s="1" t="s">
        <v>51</v>
      </c>
      <c r="C406" s="1" t="s">
        <v>1953</v>
      </c>
      <c r="D406" s="3">
        <v>-7005.9</v>
      </c>
      <c r="E406" s="3">
        <v>9712674.2899999991</v>
      </c>
      <c r="G406" s="19">
        <f t="shared" si="57"/>
        <v>-7005.9</v>
      </c>
      <c r="H406" s="19">
        <f t="shared" si="58"/>
        <v>0</v>
      </c>
    </row>
    <row r="407" spans="1:9">
      <c r="A407" s="1" t="s">
        <v>461</v>
      </c>
      <c r="B407" s="1" t="s">
        <v>471</v>
      </c>
      <c r="C407" s="1" t="s">
        <v>472</v>
      </c>
      <c r="D407" s="3">
        <v>-1538720.7</v>
      </c>
      <c r="E407" s="3">
        <v>13067789.859999999</v>
      </c>
      <c r="G407" s="19">
        <f t="shared" ref="G407:G415" si="59">+D407/1.006</f>
        <v>-1529543.439363817</v>
      </c>
      <c r="H407" s="19">
        <f t="shared" ref="H407:H415" si="60">+D407-G407</f>
        <v>-9177.2606361829676</v>
      </c>
    </row>
    <row r="408" spans="1:9">
      <c r="A408" s="1" t="s">
        <v>477</v>
      </c>
      <c r="B408" s="1" t="s">
        <v>484</v>
      </c>
      <c r="C408" s="1" t="s">
        <v>485</v>
      </c>
      <c r="D408" s="3">
        <v>-360356.33</v>
      </c>
      <c r="E408" s="3">
        <v>9037661.5700000003</v>
      </c>
      <c r="G408" s="19">
        <f t="shared" si="59"/>
        <v>-358207.08747514914</v>
      </c>
      <c r="H408" s="19">
        <f t="shared" si="60"/>
        <v>-2149.2425248508807</v>
      </c>
    </row>
    <row r="409" spans="1:9">
      <c r="A409" s="1" t="s">
        <v>461</v>
      </c>
      <c r="B409" s="1" t="s">
        <v>473</v>
      </c>
      <c r="C409" s="1" t="s">
        <v>474</v>
      </c>
      <c r="D409" s="3">
        <v>-1281400.02</v>
      </c>
      <c r="E409" s="3">
        <v>11777157.52</v>
      </c>
      <c r="G409" s="19">
        <f t="shared" si="59"/>
        <v>-1273757.4751491053</v>
      </c>
      <c r="H409" s="19">
        <f t="shared" si="60"/>
        <v>-7642.5448508947156</v>
      </c>
    </row>
    <row r="410" spans="1:9">
      <c r="A410" s="1" t="s">
        <v>477</v>
      </c>
      <c r="B410" s="1" t="s">
        <v>484</v>
      </c>
      <c r="C410" s="1" t="s">
        <v>486</v>
      </c>
      <c r="D410" s="3">
        <v>-264533.21999999997</v>
      </c>
      <c r="E410" s="3">
        <v>8770966.2100000009</v>
      </c>
      <c r="G410" s="19">
        <f t="shared" si="59"/>
        <v>-262955.48707753478</v>
      </c>
      <c r="H410" s="19">
        <f t="shared" si="60"/>
        <v>-1577.7329224651912</v>
      </c>
    </row>
    <row r="411" spans="1:9">
      <c r="A411" s="1" t="s">
        <v>461</v>
      </c>
      <c r="B411" s="1" t="s">
        <v>475</v>
      </c>
      <c r="C411" s="1" t="s">
        <v>476</v>
      </c>
      <c r="D411" s="3">
        <v>-21729.59</v>
      </c>
      <c r="E411" s="3">
        <v>11747739.529999999</v>
      </c>
      <c r="G411" s="19">
        <f t="shared" si="59"/>
        <v>-21599.990059642147</v>
      </c>
      <c r="H411" s="19">
        <f t="shared" si="60"/>
        <v>-129.59994035785348</v>
      </c>
      <c r="I411" s="1" t="s">
        <v>2011</v>
      </c>
    </row>
    <row r="412" spans="1:9">
      <c r="A412" s="1" t="s">
        <v>1013</v>
      </c>
      <c r="B412" s="1" t="s">
        <v>484</v>
      </c>
      <c r="C412" s="1" t="s">
        <v>1015</v>
      </c>
      <c r="D412" s="3">
        <v>-234885.71</v>
      </c>
      <c r="E412" s="3">
        <v>13717913.859999999</v>
      </c>
      <c r="G412" s="19">
        <f t="shared" si="59"/>
        <v>-233484.80119284292</v>
      </c>
      <c r="H412" s="19">
        <f t="shared" si="60"/>
        <v>-1400.9088071570732</v>
      </c>
    </row>
    <row r="413" spans="1:9">
      <c r="A413" s="1" t="s">
        <v>477</v>
      </c>
      <c r="B413" s="1" t="s">
        <v>480</v>
      </c>
      <c r="C413" s="1" t="s">
        <v>481</v>
      </c>
      <c r="D413" s="3">
        <v>-98444.31</v>
      </c>
      <c r="E413" s="3">
        <v>9468827.5</v>
      </c>
      <c r="G413" s="19">
        <f t="shared" si="59"/>
        <v>-97857.166998011919</v>
      </c>
      <c r="H413" s="19">
        <f t="shared" si="60"/>
        <v>-587.14300198807905</v>
      </c>
    </row>
    <row r="414" spans="1:9">
      <c r="A414" s="1" t="s">
        <v>1400</v>
      </c>
      <c r="B414" s="1" t="s">
        <v>484</v>
      </c>
      <c r="C414" s="1" t="s">
        <v>1401</v>
      </c>
      <c r="D414" s="3">
        <v>-174666.54</v>
      </c>
      <c r="E414" s="3">
        <v>12591645.699999999</v>
      </c>
      <c r="G414" s="19">
        <f t="shared" si="59"/>
        <v>-173624.7912524851</v>
      </c>
      <c r="H414" s="19">
        <f t="shared" si="60"/>
        <v>-1041.7487475149101</v>
      </c>
    </row>
    <row r="415" spans="1:9">
      <c r="A415" s="1" t="s">
        <v>477</v>
      </c>
      <c r="B415" s="1" t="s">
        <v>482</v>
      </c>
      <c r="C415" s="1" t="s">
        <v>483</v>
      </c>
      <c r="D415" s="3">
        <v>-69800.13</v>
      </c>
      <c r="E415" s="3">
        <v>9398436.6999999993</v>
      </c>
      <c r="G415" s="19">
        <f t="shared" si="59"/>
        <v>-69383.827037773357</v>
      </c>
      <c r="H415" s="19">
        <f t="shared" si="60"/>
        <v>-416.30296222664765</v>
      </c>
    </row>
    <row r="416" spans="1:9">
      <c r="A416" s="1" t="s">
        <v>1400</v>
      </c>
      <c r="B416" s="1" t="s">
        <v>484</v>
      </c>
      <c r="C416" s="1" t="s">
        <v>1402</v>
      </c>
      <c r="D416" s="3">
        <v>-222536.37</v>
      </c>
      <c r="E416" s="3">
        <v>12368061.33</v>
      </c>
      <c r="G416" s="19">
        <f t="shared" ref="G416:G420" si="61">+D416/1.006</f>
        <v>-221209.11530815109</v>
      </c>
      <c r="H416" s="19">
        <f t="shared" ref="H416:H420" si="62">+D416-G416</f>
        <v>-1327.2546918489097</v>
      </c>
    </row>
    <row r="417" spans="1:9">
      <c r="A417" s="1" t="s">
        <v>461</v>
      </c>
      <c r="B417" s="1" t="s">
        <v>469</v>
      </c>
      <c r="C417" s="1" t="s">
        <v>470</v>
      </c>
      <c r="D417" s="3">
        <v>-253900.45</v>
      </c>
      <c r="E417" s="3">
        <v>14608033.960000001</v>
      </c>
      <c r="G417" s="19">
        <f t="shared" si="61"/>
        <v>-252386.13320079524</v>
      </c>
      <c r="H417" s="19">
        <f t="shared" si="62"/>
        <v>-1514.3167992047674</v>
      </c>
    </row>
    <row r="418" spans="1:9">
      <c r="A418" s="1" t="s">
        <v>1377</v>
      </c>
      <c r="B418" s="6" t="s">
        <v>469</v>
      </c>
      <c r="C418" s="6" t="s">
        <v>1384</v>
      </c>
      <c r="D418" s="31">
        <v>-349480.54</v>
      </c>
      <c r="E418" s="31">
        <v>15045200.199999999</v>
      </c>
      <c r="F418" s="6"/>
      <c r="G418" s="19">
        <f t="shared" si="61"/>
        <v>-347396.16302186879</v>
      </c>
      <c r="H418" s="19">
        <f t="shared" si="62"/>
        <v>-2084.3769781311858</v>
      </c>
      <c r="I418" s="6" t="s">
        <v>2024</v>
      </c>
    </row>
    <row r="419" spans="1:9">
      <c r="A419" s="1" t="s">
        <v>1377</v>
      </c>
      <c r="B419" s="6" t="s">
        <v>469</v>
      </c>
      <c r="C419" s="6" t="s">
        <v>1387</v>
      </c>
      <c r="D419" s="31">
        <v>-349480.54</v>
      </c>
      <c r="E419" s="31">
        <v>13699655.08</v>
      </c>
      <c r="F419" s="6"/>
      <c r="G419" s="19">
        <f t="shared" si="61"/>
        <v>-347396.16302186879</v>
      </c>
      <c r="H419" s="19">
        <f t="shared" si="62"/>
        <v>-2084.3769781311858</v>
      </c>
      <c r="I419" s="6" t="s">
        <v>2024</v>
      </c>
    </row>
    <row r="420" spans="1:9">
      <c r="A420" s="1" t="s">
        <v>477</v>
      </c>
      <c r="B420" s="1" t="s">
        <v>478</v>
      </c>
      <c r="C420" s="1" t="s">
        <v>479</v>
      </c>
      <c r="D420" s="3">
        <v>-2180467.7200000002</v>
      </c>
      <c r="E420" s="3">
        <v>9567271.8100000005</v>
      </c>
      <c r="G420" s="19">
        <f t="shared" si="61"/>
        <v>-2167462.9423459247</v>
      </c>
      <c r="H420" s="19">
        <f t="shared" si="62"/>
        <v>-13004.777654075529</v>
      </c>
    </row>
    <row r="421" spans="1:9">
      <c r="A421" s="1" t="s">
        <v>477</v>
      </c>
      <c r="B421" s="1" t="s">
        <v>482</v>
      </c>
      <c r="C421" s="1" t="s">
        <v>487</v>
      </c>
      <c r="D421" s="3">
        <v>-59340</v>
      </c>
      <c r="E421" s="3">
        <v>8710039.0099999998</v>
      </c>
      <c r="G421" s="19">
        <f>+D421/1.006</f>
        <v>-58986.083499005967</v>
      </c>
      <c r="H421" s="19">
        <f>+D421-G421</f>
        <v>-353.91650099403341</v>
      </c>
    </row>
    <row r="422" spans="1:9">
      <c r="A422" s="1" t="s">
        <v>1395</v>
      </c>
      <c r="B422" s="1" t="s">
        <v>478</v>
      </c>
      <c r="C422" s="1" t="s">
        <v>1399</v>
      </c>
      <c r="D422" s="3">
        <v>-467928.67</v>
      </c>
      <c r="E422" s="3">
        <v>12766312.24</v>
      </c>
      <c r="G422" s="19">
        <f>+D422/1.006</f>
        <v>-465137.84294234589</v>
      </c>
      <c r="H422" s="19">
        <f>+D422-G422</f>
        <v>-2790.8270576540963</v>
      </c>
    </row>
    <row r="423" spans="1:9">
      <c r="A423" s="1" t="s">
        <v>477</v>
      </c>
      <c r="B423" s="1" t="s">
        <v>15</v>
      </c>
      <c r="C423" s="1" t="s">
        <v>488</v>
      </c>
      <c r="D423" s="3">
        <v>4534.5600000000004</v>
      </c>
      <c r="E423" s="3">
        <v>8714217.5299999993</v>
      </c>
      <c r="F423" s="1" t="s">
        <v>3048</v>
      </c>
      <c r="G423" s="19">
        <f t="shared" ref="G423:G429" si="63">+D423</f>
        <v>4534.5600000000004</v>
      </c>
    </row>
    <row r="424" spans="1:9">
      <c r="A424" s="1" t="s">
        <v>477</v>
      </c>
      <c r="B424" s="1" t="s">
        <v>15</v>
      </c>
      <c r="C424" s="1" t="s">
        <v>489</v>
      </c>
      <c r="D424" s="3">
        <v>12529.02</v>
      </c>
      <c r="E424" s="3">
        <v>8726746.5500000007</v>
      </c>
      <c r="F424" s="1" t="s">
        <v>3048</v>
      </c>
      <c r="G424" s="19">
        <f t="shared" si="63"/>
        <v>12529.02</v>
      </c>
    </row>
    <row r="425" spans="1:9">
      <c r="A425" s="1" t="s">
        <v>477</v>
      </c>
      <c r="B425" s="1" t="s">
        <v>15</v>
      </c>
      <c r="C425" s="1" t="s">
        <v>490</v>
      </c>
      <c r="D425" s="3">
        <v>15870.96</v>
      </c>
      <c r="E425" s="3">
        <v>8742617.5099999998</v>
      </c>
      <c r="F425" s="1" t="s">
        <v>3048</v>
      </c>
      <c r="G425" s="19">
        <f t="shared" si="63"/>
        <v>15870.96</v>
      </c>
    </row>
    <row r="426" spans="1:9">
      <c r="A426" s="1" t="s">
        <v>477</v>
      </c>
      <c r="B426" s="1" t="s">
        <v>15</v>
      </c>
      <c r="C426" s="1" t="s">
        <v>491</v>
      </c>
      <c r="D426" s="3">
        <v>5668.2</v>
      </c>
      <c r="E426" s="3">
        <v>8748285.7100000009</v>
      </c>
      <c r="F426" s="1" t="s">
        <v>3048</v>
      </c>
      <c r="G426" s="19">
        <f t="shared" si="63"/>
        <v>5668.2</v>
      </c>
    </row>
    <row r="427" spans="1:9">
      <c r="A427" s="1" t="s">
        <v>477</v>
      </c>
      <c r="B427" s="1" t="s">
        <v>15</v>
      </c>
      <c r="C427" s="1" t="s">
        <v>492</v>
      </c>
      <c r="D427" s="3">
        <v>2922.9</v>
      </c>
      <c r="E427" s="3">
        <v>8751208.6099999994</v>
      </c>
      <c r="F427" s="1" t="s">
        <v>3048</v>
      </c>
      <c r="G427" s="19">
        <f t="shared" si="63"/>
        <v>2922.9</v>
      </c>
    </row>
    <row r="428" spans="1:9">
      <c r="A428" s="1" t="s">
        <v>477</v>
      </c>
      <c r="B428" s="1" t="s">
        <v>15</v>
      </c>
      <c r="C428" s="1" t="s">
        <v>493</v>
      </c>
      <c r="D428" s="3">
        <v>5845.8</v>
      </c>
      <c r="E428" s="3">
        <v>8757054.4100000001</v>
      </c>
      <c r="F428" s="1" t="s">
        <v>3048</v>
      </c>
      <c r="G428" s="19">
        <f t="shared" si="63"/>
        <v>5845.8</v>
      </c>
    </row>
    <row r="429" spans="1:9">
      <c r="A429" s="1" t="s">
        <v>477</v>
      </c>
      <c r="B429" s="1" t="s">
        <v>15</v>
      </c>
      <c r="C429" s="1" t="s">
        <v>494</v>
      </c>
      <c r="D429" s="3">
        <v>2922.9</v>
      </c>
      <c r="E429" s="3">
        <v>8759977.3100000005</v>
      </c>
      <c r="F429" s="1" t="s">
        <v>3048</v>
      </c>
      <c r="G429" s="19">
        <f t="shared" si="63"/>
        <v>2922.9</v>
      </c>
    </row>
    <row r="430" spans="1:9">
      <c r="A430" s="1" t="s">
        <v>121</v>
      </c>
      <c r="B430" s="1" t="s">
        <v>187</v>
      </c>
      <c r="C430" s="1" t="s">
        <v>188</v>
      </c>
      <c r="D430" s="3">
        <v>-752944</v>
      </c>
      <c r="E430" s="3">
        <v>11633282.77</v>
      </c>
      <c r="G430" s="19">
        <f>+D430/1.006</f>
        <v>-748453.28031809139</v>
      </c>
      <c r="H430" s="19">
        <f>+D430-G430</f>
        <v>-4490.7196819086093</v>
      </c>
    </row>
    <row r="431" spans="1:9">
      <c r="A431" s="1" t="s">
        <v>477</v>
      </c>
      <c r="B431" s="1" t="s">
        <v>15</v>
      </c>
      <c r="C431" s="1" t="s">
        <v>497</v>
      </c>
      <c r="D431" s="3">
        <v>5668.2</v>
      </c>
      <c r="E431" s="3">
        <v>8765792.3599999994</v>
      </c>
      <c r="F431" s="1" t="s">
        <v>3048</v>
      </c>
      <c r="G431" s="19">
        <f t="shared" ref="G431:G480" si="64">+D431</f>
        <v>5668.2</v>
      </c>
    </row>
    <row r="432" spans="1:9">
      <c r="A432" s="1" t="s">
        <v>477</v>
      </c>
      <c r="B432" s="1" t="s">
        <v>15</v>
      </c>
      <c r="C432" s="1" t="s">
        <v>498</v>
      </c>
      <c r="D432" s="3">
        <v>4676.6400000000003</v>
      </c>
      <c r="E432" s="3">
        <v>8770469</v>
      </c>
      <c r="F432" s="1" t="s">
        <v>3048</v>
      </c>
      <c r="G432" s="19">
        <f t="shared" si="64"/>
        <v>4676.6400000000003</v>
      </c>
    </row>
    <row r="433" spans="1:7">
      <c r="A433" s="1" t="s">
        <v>548</v>
      </c>
      <c r="B433" s="1" t="s">
        <v>625</v>
      </c>
      <c r="C433" s="1" t="s">
        <v>626</v>
      </c>
      <c r="D433" s="2">
        <v>910.47</v>
      </c>
      <c r="E433" s="3">
        <v>8110699.0700000003</v>
      </c>
      <c r="F433" s="2" t="s">
        <v>3048</v>
      </c>
      <c r="G433" s="19">
        <f t="shared" si="64"/>
        <v>910.47</v>
      </c>
    </row>
    <row r="434" spans="1:7">
      <c r="A434" s="1" t="s">
        <v>477</v>
      </c>
      <c r="B434" s="1" t="s">
        <v>15</v>
      </c>
      <c r="C434" s="1" t="s">
        <v>501</v>
      </c>
      <c r="D434" s="3">
        <v>2922.9</v>
      </c>
      <c r="E434" s="3">
        <v>8773626.8599999994</v>
      </c>
      <c r="F434" s="1" t="s">
        <v>3048</v>
      </c>
      <c r="G434" s="19">
        <f t="shared" si="64"/>
        <v>2922.9</v>
      </c>
    </row>
    <row r="435" spans="1:7">
      <c r="A435" s="1" t="s">
        <v>477</v>
      </c>
      <c r="B435" s="1" t="s">
        <v>15</v>
      </c>
      <c r="C435" s="1" t="s">
        <v>502</v>
      </c>
      <c r="D435" s="3">
        <v>27868.65</v>
      </c>
      <c r="E435" s="3">
        <v>8801495.5099999998</v>
      </c>
      <c r="F435" s="1" t="s">
        <v>3048</v>
      </c>
      <c r="G435" s="19">
        <f t="shared" si="64"/>
        <v>27868.65</v>
      </c>
    </row>
    <row r="436" spans="1:7">
      <c r="A436" s="1" t="s">
        <v>477</v>
      </c>
      <c r="B436" s="1" t="s">
        <v>15</v>
      </c>
      <c r="C436" s="1" t="s">
        <v>503</v>
      </c>
      <c r="D436" s="3">
        <v>9743</v>
      </c>
      <c r="E436" s="3">
        <v>8811238.5099999998</v>
      </c>
      <c r="F436" s="1" t="s">
        <v>3048</v>
      </c>
      <c r="G436" s="19">
        <f t="shared" si="64"/>
        <v>9743</v>
      </c>
    </row>
    <row r="437" spans="1:7">
      <c r="A437" s="1" t="s">
        <v>1428</v>
      </c>
      <c r="B437" s="1" t="s">
        <v>1493</v>
      </c>
      <c r="C437" s="1" t="s">
        <v>1494</v>
      </c>
      <c r="D437" s="2">
        <v>587.4</v>
      </c>
      <c r="E437" s="3">
        <v>10799823.390000001</v>
      </c>
      <c r="F437" s="2" t="s">
        <v>3048</v>
      </c>
      <c r="G437" s="19">
        <f t="shared" si="64"/>
        <v>587.4</v>
      </c>
    </row>
    <row r="438" spans="1:7">
      <c r="A438" s="1" t="s">
        <v>477</v>
      </c>
      <c r="B438" s="1" t="s">
        <v>15</v>
      </c>
      <c r="C438" s="1" t="s">
        <v>506</v>
      </c>
      <c r="D438" s="3">
        <v>38387.42</v>
      </c>
      <c r="E438" s="3">
        <v>8850115.4299999997</v>
      </c>
      <c r="F438" s="1" t="s">
        <v>3048</v>
      </c>
      <c r="G438" s="19">
        <f t="shared" si="64"/>
        <v>38387.42</v>
      </c>
    </row>
    <row r="439" spans="1:7">
      <c r="A439" s="1" t="s">
        <v>477</v>
      </c>
      <c r="B439" s="1" t="s">
        <v>15</v>
      </c>
      <c r="C439" s="1" t="s">
        <v>507</v>
      </c>
      <c r="D439" s="3">
        <v>24467.73</v>
      </c>
      <c r="E439" s="3">
        <v>8874583.1600000001</v>
      </c>
      <c r="F439" s="1" t="s">
        <v>3048</v>
      </c>
      <c r="G439" s="19">
        <f t="shared" si="64"/>
        <v>24467.73</v>
      </c>
    </row>
    <row r="440" spans="1:7">
      <c r="A440" s="1" t="s">
        <v>477</v>
      </c>
      <c r="B440" s="1" t="s">
        <v>15</v>
      </c>
      <c r="C440" s="1" t="s">
        <v>508</v>
      </c>
      <c r="D440" s="3">
        <v>3702.34</v>
      </c>
      <c r="E440" s="3">
        <v>8878285.5</v>
      </c>
      <c r="F440" s="1" t="s">
        <v>3048</v>
      </c>
      <c r="G440" s="19">
        <f t="shared" si="64"/>
        <v>3702.34</v>
      </c>
    </row>
    <row r="441" spans="1:7">
      <c r="A441" s="1" t="s">
        <v>1523</v>
      </c>
      <c r="B441" s="1" t="s">
        <v>1555</v>
      </c>
      <c r="C441" s="1" t="s">
        <v>1556</v>
      </c>
      <c r="D441" s="3">
        <v>1884.57</v>
      </c>
      <c r="E441" s="3">
        <v>12359408.25</v>
      </c>
      <c r="F441" s="2" t="s">
        <v>3048</v>
      </c>
      <c r="G441" s="19">
        <f t="shared" si="64"/>
        <v>1884.57</v>
      </c>
    </row>
    <row r="442" spans="1:7">
      <c r="A442" s="1" t="s">
        <v>477</v>
      </c>
      <c r="B442" s="1" t="s">
        <v>15</v>
      </c>
      <c r="C442" s="1" t="s">
        <v>511</v>
      </c>
      <c r="D442" s="3">
        <v>9353.2800000000007</v>
      </c>
      <c r="E442" s="3">
        <v>8887824.7899999991</v>
      </c>
      <c r="F442" s="1" t="s">
        <v>3048</v>
      </c>
      <c r="G442" s="19">
        <f t="shared" si="64"/>
        <v>9353.2800000000007</v>
      </c>
    </row>
    <row r="443" spans="1:7">
      <c r="A443" s="1" t="s">
        <v>477</v>
      </c>
      <c r="B443" s="1" t="s">
        <v>15</v>
      </c>
      <c r="C443" s="1" t="s">
        <v>512</v>
      </c>
      <c r="D443" s="3">
        <v>3589.86</v>
      </c>
      <c r="E443" s="3">
        <v>8891414.6500000004</v>
      </c>
      <c r="F443" s="1" t="s">
        <v>3048</v>
      </c>
      <c r="G443" s="19">
        <f t="shared" si="64"/>
        <v>3589.86</v>
      </c>
    </row>
    <row r="444" spans="1:7">
      <c r="A444" s="1" t="s">
        <v>477</v>
      </c>
      <c r="B444" s="1" t="s">
        <v>15</v>
      </c>
      <c r="C444" s="1" t="s">
        <v>513</v>
      </c>
      <c r="D444" s="3">
        <v>9069.1200000000008</v>
      </c>
      <c r="E444" s="3">
        <v>8900483.7699999996</v>
      </c>
      <c r="F444" s="1" t="s">
        <v>3048</v>
      </c>
      <c r="G444" s="19">
        <f t="shared" si="64"/>
        <v>9069.1200000000008</v>
      </c>
    </row>
    <row r="445" spans="1:7">
      <c r="A445" s="1" t="s">
        <v>477</v>
      </c>
      <c r="B445" s="1" t="s">
        <v>15</v>
      </c>
      <c r="C445" s="1" t="s">
        <v>514</v>
      </c>
      <c r="D445" s="3">
        <v>4534.5600000000004</v>
      </c>
      <c r="E445" s="3">
        <v>8905018.3300000001</v>
      </c>
      <c r="F445" s="1" t="s">
        <v>3048</v>
      </c>
      <c r="G445" s="19">
        <f t="shared" si="64"/>
        <v>4534.5600000000004</v>
      </c>
    </row>
    <row r="446" spans="1:7">
      <c r="A446" s="1" t="s">
        <v>477</v>
      </c>
      <c r="B446" s="1" t="s">
        <v>15</v>
      </c>
      <c r="C446" s="1" t="s">
        <v>515</v>
      </c>
      <c r="D446" s="3">
        <v>27280.400000000001</v>
      </c>
      <c r="E446" s="3">
        <v>8932298.7300000004</v>
      </c>
      <c r="F446" s="1" t="s">
        <v>3048</v>
      </c>
      <c r="G446" s="19">
        <f t="shared" si="64"/>
        <v>27280.400000000001</v>
      </c>
    </row>
    <row r="447" spans="1:7">
      <c r="A447" s="1" t="s">
        <v>904</v>
      </c>
      <c r="B447" s="1" t="s">
        <v>914</v>
      </c>
      <c r="C447" s="1" t="s">
        <v>915</v>
      </c>
      <c r="D447" s="3">
        <v>4601.3</v>
      </c>
      <c r="E447" s="3">
        <v>14566444.92</v>
      </c>
      <c r="F447" s="2" t="s">
        <v>3048</v>
      </c>
      <c r="G447" s="19">
        <f t="shared" si="64"/>
        <v>4601.3</v>
      </c>
    </row>
    <row r="448" spans="1:7">
      <c r="A448" s="1" t="s">
        <v>477</v>
      </c>
      <c r="B448" s="1" t="s">
        <v>15</v>
      </c>
      <c r="C448" s="1" t="s">
        <v>518</v>
      </c>
      <c r="D448" s="3">
        <v>26562.38</v>
      </c>
      <c r="E448" s="3">
        <v>8960231.7100000009</v>
      </c>
      <c r="F448" s="1" t="s">
        <v>3048</v>
      </c>
      <c r="G448" s="19">
        <f t="shared" si="64"/>
        <v>26562.38</v>
      </c>
    </row>
    <row r="449" spans="1:7">
      <c r="A449" s="1" t="s">
        <v>477</v>
      </c>
      <c r="B449" s="1" t="s">
        <v>15</v>
      </c>
      <c r="C449" s="1" t="s">
        <v>519</v>
      </c>
      <c r="D449" s="3">
        <v>5650.94</v>
      </c>
      <c r="E449" s="3">
        <v>8965882.6500000004</v>
      </c>
      <c r="F449" s="1" t="s">
        <v>3048</v>
      </c>
      <c r="G449" s="19">
        <f t="shared" si="64"/>
        <v>5650.94</v>
      </c>
    </row>
    <row r="450" spans="1:7">
      <c r="A450" s="1" t="s">
        <v>477</v>
      </c>
      <c r="B450" s="1" t="s">
        <v>15</v>
      </c>
      <c r="C450" s="1" t="s">
        <v>520</v>
      </c>
      <c r="D450" s="3">
        <v>3702.34</v>
      </c>
      <c r="E450" s="3">
        <v>8969584.9900000002</v>
      </c>
      <c r="F450" s="1" t="s">
        <v>3048</v>
      </c>
      <c r="G450" s="19">
        <f t="shared" si="64"/>
        <v>3702.34</v>
      </c>
    </row>
    <row r="451" spans="1:7">
      <c r="A451" s="1" t="s">
        <v>477</v>
      </c>
      <c r="B451" s="1" t="s">
        <v>15</v>
      </c>
      <c r="C451" s="1" t="s">
        <v>521</v>
      </c>
      <c r="D451" s="3">
        <v>30322.98</v>
      </c>
      <c r="E451" s="3">
        <v>8999907.9700000007</v>
      </c>
      <c r="F451" s="1" t="s">
        <v>3048</v>
      </c>
      <c r="G451" s="19">
        <f t="shared" si="64"/>
        <v>30322.98</v>
      </c>
    </row>
    <row r="452" spans="1:7">
      <c r="A452" s="1" t="s">
        <v>477</v>
      </c>
      <c r="B452" s="1" t="s">
        <v>15</v>
      </c>
      <c r="C452" s="1" t="s">
        <v>522</v>
      </c>
      <c r="D452" s="3">
        <v>34781.54</v>
      </c>
      <c r="E452" s="3">
        <v>9034689.5099999998</v>
      </c>
      <c r="F452" s="1" t="s">
        <v>3048</v>
      </c>
      <c r="G452" s="19">
        <f t="shared" si="64"/>
        <v>34781.54</v>
      </c>
    </row>
    <row r="453" spans="1:7">
      <c r="A453" s="1" t="s">
        <v>477</v>
      </c>
      <c r="B453" s="1" t="s">
        <v>15</v>
      </c>
      <c r="C453" s="1" t="s">
        <v>523</v>
      </c>
      <c r="D453" s="3">
        <v>35048.370000000003</v>
      </c>
      <c r="E453" s="3">
        <v>9069737.8800000008</v>
      </c>
      <c r="F453" s="1" t="s">
        <v>3048</v>
      </c>
      <c r="G453" s="19">
        <f t="shared" si="64"/>
        <v>35048.370000000003</v>
      </c>
    </row>
    <row r="454" spans="1:7">
      <c r="A454" s="1" t="s">
        <v>477</v>
      </c>
      <c r="B454" s="1" t="s">
        <v>15</v>
      </c>
      <c r="C454" s="1" t="s">
        <v>524</v>
      </c>
      <c r="D454" s="3">
        <v>109506.45</v>
      </c>
      <c r="E454" s="3">
        <v>9179244.3300000001</v>
      </c>
      <c r="F454" s="1" t="s">
        <v>3048</v>
      </c>
      <c r="G454" s="19">
        <f t="shared" si="64"/>
        <v>109506.45</v>
      </c>
    </row>
    <row r="455" spans="1:7">
      <c r="A455" s="1" t="s">
        <v>477</v>
      </c>
      <c r="B455" s="1" t="s">
        <v>15</v>
      </c>
      <c r="C455" s="1" t="s">
        <v>525</v>
      </c>
      <c r="D455" s="3">
        <v>31175.65</v>
      </c>
      <c r="E455" s="3">
        <v>9210419.9800000004</v>
      </c>
      <c r="F455" s="1" t="s">
        <v>3048</v>
      </c>
      <c r="G455" s="19">
        <f t="shared" si="64"/>
        <v>31175.65</v>
      </c>
    </row>
    <row r="456" spans="1:7">
      <c r="A456" s="1" t="s">
        <v>477</v>
      </c>
      <c r="B456" s="1" t="s">
        <v>15</v>
      </c>
      <c r="C456" s="1" t="s">
        <v>526</v>
      </c>
      <c r="D456" s="3">
        <v>24162.639999999999</v>
      </c>
      <c r="E456" s="3">
        <v>9234582.6199999992</v>
      </c>
      <c r="F456" s="1" t="s">
        <v>3048</v>
      </c>
      <c r="G456" s="19">
        <f t="shared" si="64"/>
        <v>24162.639999999999</v>
      </c>
    </row>
    <row r="457" spans="1:7">
      <c r="A457" s="1" t="s">
        <v>477</v>
      </c>
      <c r="B457" s="1" t="s">
        <v>15</v>
      </c>
      <c r="C457" s="1" t="s">
        <v>527</v>
      </c>
      <c r="D457" s="3">
        <v>41018.03</v>
      </c>
      <c r="E457" s="3">
        <v>9275600.6500000004</v>
      </c>
      <c r="F457" s="1" t="s">
        <v>3048</v>
      </c>
      <c r="G457" s="19">
        <f t="shared" si="64"/>
        <v>41018.03</v>
      </c>
    </row>
    <row r="458" spans="1:7">
      <c r="A458" s="1" t="s">
        <v>477</v>
      </c>
      <c r="B458" s="1" t="s">
        <v>15</v>
      </c>
      <c r="C458" s="1" t="s">
        <v>528</v>
      </c>
      <c r="D458" s="3">
        <v>36242.99</v>
      </c>
      <c r="E458" s="3">
        <v>9311843.6400000006</v>
      </c>
      <c r="F458" s="1" t="s">
        <v>3048</v>
      </c>
      <c r="G458" s="19">
        <f t="shared" si="64"/>
        <v>36242.99</v>
      </c>
    </row>
    <row r="459" spans="1:7">
      <c r="A459" s="1" t="s">
        <v>121</v>
      </c>
      <c r="B459" s="1" t="s">
        <v>196</v>
      </c>
      <c r="C459" s="1" t="s">
        <v>197</v>
      </c>
      <c r="D459" s="3">
        <v>1953.1</v>
      </c>
      <c r="E459" s="3">
        <v>11738197.84</v>
      </c>
      <c r="F459" s="2" t="s">
        <v>3048</v>
      </c>
      <c r="G459" s="19">
        <f t="shared" si="64"/>
        <v>1953.1</v>
      </c>
    </row>
    <row r="460" spans="1:7">
      <c r="A460" s="1" t="s">
        <v>477</v>
      </c>
      <c r="B460" s="1" t="s">
        <v>15</v>
      </c>
      <c r="C460" s="1" t="s">
        <v>531</v>
      </c>
      <c r="D460" s="3">
        <v>17926.150000000001</v>
      </c>
      <c r="E460" s="3">
        <v>9333410.6899999995</v>
      </c>
      <c r="F460" s="1" t="s">
        <v>3048</v>
      </c>
      <c r="G460" s="19">
        <f t="shared" si="64"/>
        <v>17926.150000000001</v>
      </c>
    </row>
    <row r="461" spans="1:7">
      <c r="A461" s="1" t="s">
        <v>1768</v>
      </c>
      <c r="B461" s="1" t="s">
        <v>1781</v>
      </c>
      <c r="C461" s="1" t="s">
        <v>1782</v>
      </c>
      <c r="D461" s="2">
        <v>411.18</v>
      </c>
      <c r="E461" s="3">
        <v>11632416.029999999</v>
      </c>
      <c r="F461" s="2" t="s">
        <v>3048</v>
      </c>
      <c r="G461" s="19">
        <f t="shared" si="64"/>
        <v>411.18</v>
      </c>
    </row>
    <row r="462" spans="1:7">
      <c r="A462" s="1" t="s">
        <v>477</v>
      </c>
      <c r="B462" s="1" t="s">
        <v>15</v>
      </c>
      <c r="C462" s="1" t="s">
        <v>534</v>
      </c>
      <c r="D462" s="3">
        <v>54036.84</v>
      </c>
      <c r="E462" s="3">
        <v>9389247.9100000001</v>
      </c>
      <c r="F462" s="1" t="s">
        <v>3048</v>
      </c>
      <c r="G462" s="19">
        <f t="shared" si="64"/>
        <v>54036.84</v>
      </c>
    </row>
    <row r="463" spans="1:7">
      <c r="A463" s="1" t="s">
        <v>477</v>
      </c>
      <c r="B463" s="1" t="s">
        <v>15</v>
      </c>
      <c r="C463" s="1" t="s">
        <v>535</v>
      </c>
      <c r="D463" s="3">
        <v>25063.43</v>
      </c>
      <c r="E463" s="3">
        <v>9414311.3399999999</v>
      </c>
      <c r="F463" s="1" t="s">
        <v>3048</v>
      </c>
      <c r="G463" s="19">
        <f t="shared" si="64"/>
        <v>25063.43</v>
      </c>
    </row>
    <row r="464" spans="1:7">
      <c r="A464" s="1" t="s">
        <v>477</v>
      </c>
      <c r="B464" s="1" t="s">
        <v>15</v>
      </c>
      <c r="C464" s="1" t="s">
        <v>536</v>
      </c>
      <c r="D464" s="3">
        <v>74430.98</v>
      </c>
      <c r="E464" s="3">
        <v>9488742.3200000003</v>
      </c>
      <c r="F464" s="1" t="s">
        <v>3048</v>
      </c>
      <c r="G464" s="19">
        <f t="shared" si="64"/>
        <v>74430.98</v>
      </c>
    </row>
    <row r="465" spans="1:7">
      <c r="A465" s="1" t="s">
        <v>477</v>
      </c>
      <c r="B465" s="1" t="s">
        <v>15</v>
      </c>
      <c r="C465" s="1" t="s">
        <v>537</v>
      </c>
      <c r="D465" s="3">
        <v>55632.53</v>
      </c>
      <c r="E465" s="3">
        <v>9544374.8499999996</v>
      </c>
      <c r="F465" s="1" t="s">
        <v>3048</v>
      </c>
      <c r="G465" s="19">
        <f t="shared" si="64"/>
        <v>55632.53</v>
      </c>
    </row>
    <row r="466" spans="1:7">
      <c r="A466" s="1" t="s">
        <v>1039</v>
      </c>
      <c r="B466" s="1" t="s">
        <v>1079</v>
      </c>
      <c r="C466" s="1" t="s">
        <v>1080</v>
      </c>
      <c r="D466" s="2">
        <v>895.78</v>
      </c>
      <c r="E466" s="3">
        <v>10247111.029999999</v>
      </c>
      <c r="F466" s="2" t="s">
        <v>3048</v>
      </c>
      <c r="G466" s="19">
        <f t="shared" si="64"/>
        <v>895.78</v>
      </c>
    </row>
    <row r="467" spans="1:7">
      <c r="A467" s="1" t="s">
        <v>477</v>
      </c>
      <c r="B467" s="1" t="s">
        <v>15</v>
      </c>
      <c r="C467" s="1" t="s">
        <v>540</v>
      </c>
      <c r="D467" s="3">
        <v>63226.23</v>
      </c>
      <c r="E467" s="3">
        <v>9610396.1199999992</v>
      </c>
      <c r="F467" s="1" t="s">
        <v>3048</v>
      </c>
      <c r="G467" s="19">
        <f t="shared" si="64"/>
        <v>63226.23</v>
      </c>
    </row>
    <row r="468" spans="1:7">
      <c r="A468" s="1" t="s">
        <v>477</v>
      </c>
      <c r="B468" s="1" t="s">
        <v>15</v>
      </c>
      <c r="C468" s="1" t="s">
        <v>541</v>
      </c>
      <c r="D468" s="3">
        <v>9010.56</v>
      </c>
      <c r="E468" s="3">
        <v>9619406.6799999997</v>
      </c>
      <c r="F468" s="1" t="s">
        <v>3048</v>
      </c>
      <c r="G468" s="19">
        <f t="shared" si="64"/>
        <v>9010.56</v>
      </c>
    </row>
    <row r="469" spans="1:7">
      <c r="A469" s="1" t="s">
        <v>477</v>
      </c>
      <c r="B469" s="1" t="s">
        <v>15</v>
      </c>
      <c r="C469" s="1" t="s">
        <v>542</v>
      </c>
      <c r="D469" s="3">
        <v>47643.27</v>
      </c>
      <c r="E469" s="3">
        <v>9667049.9499999993</v>
      </c>
      <c r="F469" s="1" t="s">
        <v>3048</v>
      </c>
      <c r="G469" s="19">
        <f t="shared" si="64"/>
        <v>47643.27</v>
      </c>
    </row>
    <row r="470" spans="1:7">
      <c r="A470" s="1" t="s">
        <v>761</v>
      </c>
      <c r="B470" s="1" t="s">
        <v>856</v>
      </c>
      <c r="C470" s="1" t="s">
        <v>857</v>
      </c>
      <c r="D470" s="3">
        <v>1209.06</v>
      </c>
      <c r="E470" s="3">
        <v>13272498.48</v>
      </c>
      <c r="F470" s="2" t="s">
        <v>3048</v>
      </c>
      <c r="G470" s="19">
        <f t="shared" si="64"/>
        <v>1209.06</v>
      </c>
    </row>
    <row r="471" spans="1:7">
      <c r="A471" s="1" t="s">
        <v>477</v>
      </c>
      <c r="B471" s="1" t="s">
        <v>15</v>
      </c>
      <c r="C471" s="1" t="s">
        <v>545</v>
      </c>
      <c r="D471" s="3">
        <v>38968.1</v>
      </c>
      <c r="E471" s="3">
        <v>9710805.3599999994</v>
      </c>
      <c r="F471" s="1" t="s">
        <v>3048</v>
      </c>
      <c r="G471" s="19">
        <f t="shared" si="64"/>
        <v>38968.1</v>
      </c>
    </row>
    <row r="472" spans="1:7">
      <c r="A472" s="1" t="s">
        <v>121</v>
      </c>
      <c r="B472" s="1" t="s">
        <v>238</v>
      </c>
      <c r="C472" s="1" t="s">
        <v>239</v>
      </c>
      <c r="D472" s="3">
        <v>2002.05</v>
      </c>
      <c r="E472" s="3">
        <v>12422091.18</v>
      </c>
      <c r="F472" s="2" t="s">
        <v>3048</v>
      </c>
      <c r="G472" s="19">
        <f t="shared" si="64"/>
        <v>2002.05</v>
      </c>
    </row>
    <row r="473" spans="1:7">
      <c r="A473" s="1" t="s">
        <v>548</v>
      </c>
      <c r="B473" s="1" t="s">
        <v>15</v>
      </c>
      <c r="C473" s="1" t="s">
        <v>549</v>
      </c>
      <c r="D473" s="3">
        <v>36825.620000000003</v>
      </c>
      <c r="E473" s="3">
        <v>9751546</v>
      </c>
      <c r="F473" s="1" t="s">
        <v>3048</v>
      </c>
      <c r="G473" s="19">
        <f t="shared" si="64"/>
        <v>36825.620000000003</v>
      </c>
    </row>
    <row r="474" spans="1:7">
      <c r="A474" s="1" t="s">
        <v>548</v>
      </c>
      <c r="B474" s="1" t="s">
        <v>15</v>
      </c>
      <c r="C474" s="1" t="s">
        <v>550</v>
      </c>
      <c r="D474" s="3">
        <v>7989.26</v>
      </c>
      <c r="E474" s="3">
        <v>9759535.2599999998</v>
      </c>
      <c r="F474" s="1" t="s">
        <v>3048</v>
      </c>
      <c r="G474" s="19">
        <f t="shared" si="64"/>
        <v>7989.26</v>
      </c>
    </row>
    <row r="475" spans="1:7">
      <c r="A475" s="1" t="s">
        <v>548</v>
      </c>
      <c r="B475" s="1" t="s">
        <v>15</v>
      </c>
      <c r="C475" s="1" t="s">
        <v>551</v>
      </c>
      <c r="D475" s="3">
        <v>8715.84</v>
      </c>
      <c r="E475" s="3">
        <v>9768251.0999999996</v>
      </c>
      <c r="F475" s="1" t="s">
        <v>3048</v>
      </c>
      <c r="G475" s="19">
        <f t="shared" si="64"/>
        <v>8715.84</v>
      </c>
    </row>
    <row r="476" spans="1:7">
      <c r="A476" s="1" t="s">
        <v>548</v>
      </c>
      <c r="B476" s="1" t="s">
        <v>15</v>
      </c>
      <c r="C476" s="1" t="s">
        <v>552</v>
      </c>
      <c r="D476" s="3">
        <v>40530.879999999997</v>
      </c>
      <c r="E476" s="3">
        <v>9808781.9800000004</v>
      </c>
      <c r="F476" s="1" t="s">
        <v>3048</v>
      </c>
      <c r="G476" s="19">
        <f t="shared" si="64"/>
        <v>40530.879999999997</v>
      </c>
    </row>
    <row r="477" spans="1:7">
      <c r="A477" s="1" t="s">
        <v>548</v>
      </c>
      <c r="B477" s="1" t="s">
        <v>15</v>
      </c>
      <c r="C477" s="1" t="s">
        <v>553</v>
      </c>
      <c r="D477" s="3">
        <v>61573.81</v>
      </c>
      <c r="E477" s="3">
        <v>9870355.7899999991</v>
      </c>
      <c r="F477" s="1" t="s">
        <v>3048</v>
      </c>
      <c r="G477" s="19">
        <f t="shared" si="64"/>
        <v>61573.81</v>
      </c>
    </row>
    <row r="478" spans="1:7">
      <c r="A478" s="1" t="s">
        <v>548</v>
      </c>
      <c r="B478" s="1" t="s">
        <v>15</v>
      </c>
      <c r="C478" s="1" t="s">
        <v>554</v>
      </c>
      <c r="D478" s="3">
        <v>18893.060000000001</v>
      </c>
      <c r="E478" s="3">
        <v>9889248.8499999996</v>
      </c>
      <c r="F478" s="1" t="s">
        <v>3048</v>
      </c>
      <c r="G478" s="19">
        <f t="shared" si="64"/>
        <v>18893.060000000001</v>
      </c>
    </row>
    <row r="479" spans="1:7">
      <c r="A479" s="1" t="s">
        <v>548</v>
      </c>
      <c r="B479" s="1" t="s">
        <v>15</v>
      </c>
      <c r="C479" s="1" t="s">
        <v>555</v>
      </c>
      <c r="D479" s="3">
        <v>8378.98</v>
      </c>
      <c r="E479" s="3">
        <v>9897627.8300000001</v>
      </c>
      <c r="F479" s="1" t="s">
        <v>3048</v>
      </c>
      <c r="G479" s="19">
        <f t="shared" si="64"/>
        <v>8378.98</v>
      </c>
    </row>
    <row r="480" spans="1:7">
      <c r="A480" s="1" t="s">
        <v>548</v>
      </c>
      <c r="B480" s="1" t="s">
        <v>15</v>
      </c>
      <c r="C480" s="1" t="s">
        <v>556</v>
      </c>
      <c r="D480" s="3">
        <v>30300.73</v>
      </c>
      <c r="E480" s="3">
        <v>9927928.5600000005</v>
      </c>
      <c r="F480" s="1" t="s">
        <v>3048</v>
      </c>
      <c r="G480" s="19">
        <f t="shared" si="64"/>
        <v>30300.73</v>
      </c>
    </row>
    <row r="481" spans="1:8">
      <c r="A481" s="1" t="s">
        <v>548</v>
      </c>
      <c r="B481" s="1" t="s">
        <v>557</v>
      </c>
      <c r="C481" s="1" t="s">
        <v>558</v>
      </c>
      <c r="D481" s="3">
        <v>-11556.53</v>
      </c>
      <c r="E481" s="3">
        <v>9916372.0299999993</v>
      </c>
      <c r="G481" s="19">
        <f t="shared" ref="G481:G484" si="65">+D481/1.006</f>
        <v>-11487.604373757456</v>
      </c>
      <c r="H481" s="19">
        <f t="shared" ref="H481:H484" si="66">+D481-G481</f>
        <v>-68.92562624254424</v>
      </c>
    </row>
    <row r="482" spans="1:8">
      <c r="A482" s="1" t="s">
        <v>548</v>
      </c>
      <c r="B482" s="1" t="s">
        <v>557</v>
      </c>
      <c r="C482" s="1" t="s">
        <v>559</v>
      </c>
      <c r="D482" s="3">
        <v>-186039.58</v>
      </c>
      <c r="E482" s="3">
        <v>9730332.4499999993</v>
      </c>
      <c r="G482" s="19">
        <f t="shared" si="65"/>
        <v>-184930</v>
      </c>
      <c r="H482" s="19">
        <f t="shared" si="66"/>
        <v>-1109.5799999999872</v>
      </c>
    </row>
    <row r="483" spans="1:8">
      <c r="A483" s="1" t="s">
        <v>548</v>
      </c>
      <c r="B483" s="1" t="s">
        <v>557</v>
      </c>
      <c r="C483" s="1" t="s">
        <v>560</v>
      </c>
      <c r="D483" s="3">
        <v>-95972.4</v>
      </c>
      <c r="E483" s="3">
        <v>9634360.0500000007</v>
      </c>
      <c r="G483" s="19">
        <f t="shared" si="65"/>
        <v>-95400</v>
      </c>
      <c r="H483" s="19">
        <f t="shared" si="66"/>
        <v>-572.39999999999418</v>
      </c>
    </row>
    <row r="484" spans="1:8">
      <c r="A484" s="1" t="s">
        <v>548</v>
      </c>
      <c r="B484" s="1" t="s">
        <v>55</v>
      </c>
      <c r="C484" s="1" t="s">
        <v>561</v>
      </c>
      <c r="D484" s="3">
        <v>-110392.11</v>
      </c>
      <c r="E484" s="3">
        <v>9523967.9399999995</v>
      </c>
      <c r="G484" s="19">
        <f t="shared" si="65"/>
        <v>-109733.70775347913</v>
      </c>
      <c r="H484" s="19">
        <f t="shared" si="66"/>
        <v>-658.40224652086908</v>
      </c>
    </row>
    <row r="485" spans="1:8">
      <c r="A485" s="1" t="s">
        <v>1013</v>
      </c>
      <c r="B485" s="1" t="s">
        <v>1026</v>
      </c>
      <c r="C485" s="1" t="s">
        <v>1027</v>
      </c>
      <c r="D485" s="3">
        <v>2348.62</v>
      </c>
      <c r="E485" s="3">
        <v>13880616.890000001</v>
      </c>
      <c r="F485" s="2" t="s">
        <v>3048</v>
      </c>
      <c r="G485" s="19">
        <f>+D485</f>
        <v>2348.62</v>
      </c>
    </row>
    <row r="486" spans="1:8">
      <c r="A486" s="1" t="s">
        <v>548</v>
      </c>
      <c r="B486" s="1" t="s">
        <v>55</v>
      </c>
      <c r="C486" s="1" t="s">
        <v>562</v>
      </c>
      <c r="D486" s="3">
        <v>-106901.1</v>
      </c>
      <c r="E486" s="3">
        <v>9416404.4900000002</v>
      </c>
      <c r="G486" s="19">
        <f>+D486/1.006</f>
        <v>-106263.51888667993</v>
      </c>
      <c r="H486" s="19">
        <f>+D486-G486</f>
        <v>-637.58111332007684</v>
      </c>
    </row>
    <row r="487" spans="1:8">
      <c r="A487" s="1" t="s">
        <v>636</v>
      </c>
      <c r="B487" s="1" t="s">
        <v>654</v>
      </c>
      <c r="C487" s="1" t="s">
        <v>655</v>
      </c>
      <c r="D487" s="2">
        <v>469.92</v>
      </c>
      <c r="E487" s="3">
        <v>8856134.8599999994</v>
      </c>
      <c r="F487" s="2" t="s">
        <v>3048</v>
      </c>
      <c r="G487" s="19">
        <f>+D487</f>
        <v>469.92</v>
      </c>
    </row>
    <row r="488" spans="1:8">
      <c r="A488" s="1" t="s">
        <v>548</v>
      </c>
      <c r="B488" s="1" t="s">
        <v>55</v>
      </c>
      <c r="C488" s="1" t="s">
        <v>563</v>
      </c>
      <c r="D488" s="3">
        <v>-197879.97</v>
      </c>
      <c r="E488" s="3">
        <v>9217883.1099999994</v>
      </c>
      <c r="G488" s="19">
        <f>+D488/1.006</f>
        <v>-196699.77137176937</v>
      </c>
      <c r="H488" s="19">
        <f>+D488-G488</f>
        <v>-1180.1986282306316</v>
      </c>
    </row>
    <row r="489" spans="1:8">
      <c r="A489" s="1" t="s">
        <v>761</v>
      </c>
      <c r="B489" s="1" t="s">
        <v>807</v>
      </c>
      <c r="C489" s="1" t="s">
        <v>808</v>
      </c>
      <c r="D489" s="2">
        <v>979</v>
      </c>
      <c r="E489" s="3">
        <v>12208022.48</v>
      </c>
      <c r="F489" s="2" t="s">
        <v>3048</v>
      </c>
      <c r="G489" s="19">
        <f>+D489</f>
        <v>979</v>
      </c>
    </row>
    <row r="490" spans="1:8">
      <c r="A490" s="1" t="s">
        <v>548</v>
      </c>
      <c r="B490" s="1" t="s">
        <v>564</v>
      </c>
      <c r="C490" s="1" t="s">
        <v>565</v>
      </c>
      <c r="D490" s="3">
        <v>-66184.740000000005</v>
      </c>
      <c r="E490" s="3">
        <v>9150511.0899999999</v>
      </c>
      <c r="G490" s="19">
        <f t="shared" ref="G490:G493" si="67">+D490/1.006</f>
        <v>-65790</v>
      </c>
      <c r="H490" s="19">
        <f t="shared" ref="H490:H493" si="68">+D490-G490</f>
        <v>-394.74000000000524</v>
      </c>
    </row>
    <row r="491" spans="1:8">
      <c r="A491" s="1" t="s">
        <v>548</v>
      </c>
      <c r="B491" s="1" t="s">
        <v>566</v>
      </c>
      <c r="C491" s="1" t="s">
        <v>567</v>
      </c>
      <c r="D491" s="3">
        <v>-857112</v>
      </c>
      <c r="E491" s="3">
        <v>8293399.0899999999</v>
      </c>
      <c r="G491" s="19">
        <f t="shared" si="67"/>
        <v>-852000</v>
      </c>
      <c r="H491" s="19">
        <f t="shared" si="68"/>
        <v>-5112</v>
      </c>
    </row>
    <row r="492" spans="1:8">
      <c r="A492" s="1" t="s">
        <v>548</v>
      </c>
      <c r="B492" s="1" t="s">
        <v>568</v>
      </c>
      <c r="C492" s="1" t="s">
        <v>569</v>
      </c>
      <c r="D492" s="3">
        <v>-333798.15000000002</v>
      </c>
      <c r="E492" s="3">
        <v>7959600.9400000004</v>
      </c>
      <c r="G492" s="19">
        <f t="shared" si="67"/>
        <v>-331807.30616302189</v>
      </c>
      <c r="H492" s="19">
        <f t="shared" si="68"/>
        <v>-1990.8438369781361</v>
      </c>
    </row>
    <row r="493" spans="1:8">
      <c r="A493" s="1" t="s">
        <v>548</v>
      </c>
      <c r="B493" s="1" t="s">
        <v>570</v>
      </c>
      <c r="C493" s="1" t="s">
        <v>571</v>
      </c>
      <c r="D493" s="3">
        <v>-378098</v>
      </c>
      <c r="E493" s="3">
        <v>7581502.9400000004</v>
      </c>
      <c r="G493" s="19">
        <f t="shared" si="67"/>
        <v>-375842.94234592444</v>
      </c>
      <c r="H493" s="19">
        <f t="shared" si="68"/>
        <v>-2255.0576540755574</v>
      </c>
    </row>
    <row r="494" spans="1:8">
      <c r="A494" s="1" t="s">
        <v>548</v>
      </c>
      <c r="B494" s="1" t="s">
        <v>15</v>
      </c>
      <c r="C494" s="1" t="s">
        <v>572</v>
      </c>
      <c r="D494" s="3">
        <v>9548.14</v>
      </c>
      <c r="E494" s="3">
        <v>7591051.0800000001</v>
      </c>
      <c r="F494" s="1" t="s">
        <v>3048</v>
      </c>
      <c r="G494" s="19">
        <f t="shared" ref="G494:G557" si="69">+D494</f>
        <v>9548.14</v>
      </c>
    </row>
    <row r="495" spans="1:8">
      <c r="A495" s="1" t="s">
        <v>548</v>
      </c>
      <c r="B495" s="1" t="s">
        <v>15</v>
      </c>
      <c r="C495" s="1" t="s">
        <v>573</v>
      </c>
      <c r="D495" s="3">
        <v>15978.52</v>
      </c>
      <c r="E495" s="3">
        <v>7607029.5999999996</v>
      </c>
      <c r="F495" s="1" t="s">
        <v>3048</v>
      </c>
      <c r="G495" s="19">
        <f t="shared" si="69"/>
        <v>15978.52</v>
      </c>
    </row>
    <row r="496" spans="1:8">
      <c r="A496" s="1" t="s">
        <v>904</v>
      </c>
      <c r="B496" s="1" t="s">
        <v>919</v>
      </c>
      <c r="C496" s="1" t="s">
        <v>920</v>
      </c>
      <c r="D496" s="3">
        <v>3220.91</v>
      </c>
      <c r="E496" s="3">
        <v>14625200.93</v>
      </c>
      <c r="F496" s="2" t="s">
        <v>3048</v>
      </c>
      <c r="G496" s="19">
        <f t="shared" si="69"/>
        <v>3220.91</v>
      </c>
    </row>
    <row r="497" spans="1:7">
      <c r="A497" s="1" t="s">
        <v>548</v>
      </c>
      <c r="B497" s="1" t="s">
        <v>15</v>
      </c>
      <c r="C497" s="1" t="s">
        <v>576</v>
      </c>
      <c r="D497" s="3">
        <v>4676.6400000000003</v>
      </c>
      <c r="E497" s="3">
        <v>7613311.7999999998</v>
      </c>
      <c r="F497" s="1" t="s">
        <v>3048</v>
      </c>
      <c r="G497" s="19">
        <f t="shared" si="69"/>
        <v>4676.6400000000003</v>
      </c>
    </row>
    <row r="498" spans="1:7">
      <c r="A498" s="1" t="s">
        <v>548</v>
      </c>
      <c r="B498" s="1" t="s">
        <v>15</v>
      </c>
      <c r="C498" s="1" t="s">
        <v>577</v>
      </c>
      <c r="D498" s="3">
        <v>4384.3500000000004</v>
      </c>
      <c r="E498" s="3">
        <v>7617696.1500000004</v>
      </c>
      <c r="F498" s="1" t="s">
        <v>3048</v>
      </c>
      <c r="G498" s="19">
        <f t="shared" si="69"/>
        <v>4384.3500000000004</v>
      </c>
    </row>
    <row r="499" spans="1:7">
      <c r="A499" s="1" t="s">
        <v>548</v>
      </c>
      <c r="B499" s="1" t="s">
        <v>15</v>
      </c>
      <c r="C499" s="1" t="s">
        <v>578</v>
      </c>
      <c r="D499" s="3">
        <v>10522.44</v>
      </c>
      <c r="E499" s="3">
        <v>7628218.5899999999</v>
      </c>
      <c r="F499" s="1" t="s">
        <v>3048</v>
      </c>
      <c r="G499" s="19">
        <f t="shared" si="69"/>
        <v>10522.44</v>
      </c>
    </row>
    <row r="500" spans="1:7">
      <c r="A500" s="1" t="s">
        <v>548</v>
      </c>
      <c r="B500" s="1" t="s">
        <v>15</v>
      </c>
      <c r="C500" s="1" t="s">
        <v>579</v>
      </c>
      <c r="D500" s="3">
        <v>35898.6</v>
      </c>
      <c r="E500" s="3">
        <v>7664117.1900000004</v>
      </c>
      <c r="F500" s="1" t="s">
        <v>3048</v>
      </c>
      <c r="G500" s="19">
        <f t="shared" si="69"/>
        <v>35898.6</v>
      </c>
    </row>
    <row r="501" spans="1:7">
      <c r="A501" s="1" t="s">
        <v>548</v>
      </c>
      <c r="B501" s="1" t="s">
        <v>15</v>
      </c>
      <c r="C501" s="1" t="s">
        <v>580</v>
      </c>
      <c r="D501" s="3">
        <v>10622.43</v>
      </c>
      <c r="E501" s="3">
        <v>7674739.6200000001</v>
      </c>
      <c r="F501" s="1" t="s">
        <v>3048</v>
      </c>
      <c r="G501" s="19">
        <f t="shared" si="69"/>
        <v>10622.43</v>
      </c>
    </row>
    <row r="502" spans="1:7">
      <c r="A502" s="1" t="s">
        <v>548</v>
      </c>
      <c r="B502" s="1" t="s">
        <v>15</v>
      </c>
      <c r="C502" s="1" t="s">
        <v>581</v>
      </c>
      <c r="D502" s="3">
        <v>28059.84</v>
      </c>
      <c r="E502" s="3">
        <v>7702799.46</v>
      </c>
      <c r="F502" s="1" t="s">
        <v>3048</v>
      </c>
      <c r="G502" s="19">
        <f t="shared" si="69"/>
        <v>28059.84</v>
      </c>
    </row>
    <row r="503" spans="1:7">
      <c r="A503" s="1" t="s">
        <v>548</v>
      </c>
      <c r="B503" s="1" t="s">
        <v>15</v>
      </c>
      <c r="C503" s="1" t="s">
        <v>582</v>
      </c>
      <c r="D503" s="3">
        <v>4534.5600000000004</v>
      </c>
      <c r="E503" s="3">
        <v>7707334.0199999996</v>
      </c>
      <c r="F503" s="1" t="s">
        <v>3048</v>
      </c>
      <c r="G503" s="19">
        <f t="shared" si="69"/>
        <v>4534.5600000000004</v>
      </c>
    </row>
    <row r="504" spans="1:7">
      <c r="A504" s="1" t="s">
        <v>548</v>
      </c>
      <c r="B504" s="1" t="s">
        <v>15</v>
      </c>
      <c r="C504" s="1" t="s">
        <v>583</v>
      </c>
      <c r="D504" s="3">
        <v>4534.5600000000004</v>
      </c>
      <c r="E504" s="3">
        <v>7711868.5800000001</v>
      </c>
      <c r="F504" s="1" t="s">
        <v>3048</v>
      </c>
      <c r="G504" s="19">
        <f t="shared" si="69"/>
        <v>4534.5600000000004</v>
      </c>
    </row>
    <row r="505" spans="1:7">
      <c r="A505" s="1" t="s">
        <v>548</v>
      </c>
      <c r="B505" s="1" t="s">
        <v>15</v>
      </c>
      <c r="C505" s="1" t="s">
        <v>584</v>
      </c>
      <c r="D505" s="3">
        <v>4676.6400000000003</v>
      </c>
      <c r="E505" s="3">
        <v>7716545.2199999997</v>
      </c>
      <c r="F505" s="1" t="s">
        <v>3048</v>
      </c>
      <c r="G505" s="19">
        <f t="shared" si="69"/>
        <v>4676.6400000000003</v>
      </c>
    </row>
    <row r="506" spans="1:7">
      <c r="A506" s="1" t="s">
        <v>548</v>
      </c>
      <c r="B506" s="1" t="s">
        <v>15</v>
      </c>
      <c r="C506" s="1" t="s">
        <v>585</v>
      </c>
      <c r="D506" s="3">
        <v>3813.18</v>
      </c>
      <c r="E506" s="3">
        <v>7720358.4000000004</v>
      </c>
      <c r="F506" s="1" t="s">
        <v>3048</v>
      </c>
      <c r="G506" s="19">
        <f t="shared" si="69"/>
        <v>3813.18</v>
      </c>
    </row>
    <row r="507" spans="1:7">
      <c r="A507" s="1" t="s">
        <v>548</v>
      </c>
      <c r="B507" s="1" t="s">
        <v>15</v>
      </c>
      <c r="C507" s="1" t="s">
        <v>586</v>
      </c>
      <c r="D507" s="3">
        <v>4505.28</v>
      </c>
      <c r="E507" s="3">
        <v>7724863.6799999997</v>
      </c>
      <c r="F507" s="1" t="s">
        <v>3048</v>
      </c>
      <c r="G507" s="19">
        <f t="shared" si="69"/>
        <v>4505.28</v>
      </c>
    </row>
    <row r="508" spans="1:7">
      <c r="A508" s="1" t="s">
        <v>548</v>
      </c>
      <c r="B508" s="1" t="s">
        <v>15</v>
      </c>
      <c r="C508" s="1" t="s">
        <v>587</v>
      </c>
      <c r="D508" s="3">
        <v>4534.5600000000004</v>
      </c>
      <c r="E508" s="3">
        <v>7729398.2400000002</v>
      </c>
      <c r="F508" s="1" t="s">
        <v>3048</v>
      </c>
      <c r="G508" s="19">
        <f t="shared" si="69"/>
        <v>4534.5600000000004</v>
      </c>
    </row>
    <row r="509" spans="1:7">
      <c r="A509" s="1" t="s">
        <v>548</v>
      </c>
      <c r="B509" s="1" t="s">
        <v>15</v>
      </c>
      <c r="C509" s="1" t="s">
        <v>588</v>
      </c>
      <c r="D509" s="3">
        <v>4357.92</v>
      </c>
      <c r="E509" s="3">
        <v>7733756.1600000001</v>
      </c>
      <c r="F509" s="1" t="s">
        <v>3048</v>
      </c>
      <c r="G509" s="19">
        <f t="shared" si="69"/>
        <v>4357.92</v>
      </c>
    </row>
    <row r="510" spans="1:7">
      <c r="A510" s="1" t="s">
        <v>548</v>
      </c>
      <c r="B510" s="1" t="s">
        <v>15</v>
      </c>
      <c r="C510" s="1" t="s">
        <v>589</v>
      </c>
      <c r="D510" s="3">
        <v>4676.6400000000003</v>
      </c>
      <c r="E510" s="3">
        <v>7738432.7999999998</v>
      </c>
      <c r="F510" s="1" t="s">
        <v>3048</v>
      </c>
      <c r="G510" s="19">
        <f t="shared" si="69"/>
        <v>4676.6400000000003</v>
      </c>
    </row>
    <row r="511" spans="1:7">
      <c r="A511" s="1" t="s">
        <v>548</v>
      </c>
      <c r="B511" s="1" t="s">
        <v>15</v>
      </c>
      <c r="C511" s="1" t="s">
        <v>590</v>
      </c>
      <c r="D511" s="3">
        <v>4676.6400000000003</v>
      </c>
      <c r="E511" s="3">
        <v>7743109.4400000004</v>
      </c>
      <c r="F511" s="1" t="s">
        <v>3048</v>
      </c>
      <c r="G511" s="19">
        <f t="shared" si="69"/>
        <v>4676.6400000000003</v>
      </c>
    </row>
    <row r="512" spans="1:7">
      <c r="A512" s="1" t="s">
        <v>548</v>
      </c>
      <c r="B512" s="1" t="s">
        <v>15</v>
      </c>
      <c r="C512" s="1" t="s">
        <v>591</v>
      </c>
      <c r="D512" s="3">
        <v>27301.83</v>
      </c>
      <c r="E512" s="3">
        <v>7770411.2699999996</v>
      </c>
      <c r="F512" s="1" t="s">
        <v>3048</v>
      </c>
      <c r="G512" s="19">
        <f t="shared" si="69"/>
        <v>27301.83</v>
      </c>
    </row>
    <row r="513" spans="1:7">
      <c r="A513" s="1" t="s">
        <v>548</v>
      </c>
      <c r="B513" s="1" t="s">
        <v>15</v>
      </c>
      <c r="C513" s="1" t="s">
        <v>592</v>
      </c>
      <c r="D513" s="3">
        <v>53976.22</v>
      </c>
      <c r="E513" s="3">
        <v>7824387.4900000002</v>
      </c>
      <c r="F513" s="1" t="s">
        <v>3048</v>
      </c>
      <c r="G513" s="19">
        <f t="shared" si="69"/>
        <v>53976.22</v>
      </c>
    </row>
    <row r="514" spans="1:7">
      <c r="A514" s="1" t="s">
        <v>360</v>
      </c>
      <c r="B514" s="1" t="s">
        <v>411</v>
      </c>
      <c r="C514" s="1" t="s">
        <v>412</v>
      </c>
      <c r="D514" s="3">
        <v>1414.65</v>
      </c>
      <c r="E514" s="3">
        <v>16096412.220000001</v>
      </c>
      <c r="F514" s="2" t="s">
        <v>3048</v>
      </c>
      <c r="G514" s="19">
        <f t="shared" si="69"/>
        <v>1414.65</v>
      </c>
    </row>
    <row r="515" spans="1:7">
      <c r="A515" s="1" t="s">
        <v>548</v>
      </c>
      <c r="B515" s="1" t="s">
        <v>15</v>
      </c>
      <c r="C515" s="1" t="s">
        <v>595</v>
      </c>
      <c r="D515" s="3">
        <v>3897.2</v>
      </c>
      <c r="E515" s="3">
        <v>7830996.5199999996</v>
      </c>
      <c r="F515" s="1" t="s">
        <v>3048</v>
      </c>
      <c r="G515" s="19">
        <f t="shared" si="69"/>
        <v>3897.2</v>
      </c>
    </row>
    <row r="516" spans="1:7">
      <c r="A516" s="1" t="s">
        <v>548</v>
      </c>
      <c r="B516" s="1" t="s">
        <v>15</v>
      </c>
      <c r="C516" s="1" t="s">
        <v>596</v>
      </c>
      <c r="D516" s="3">
        <v>4092.06</v>
      </c>
      <c r="E516" s="3">
        <v>7835088.5800000001</v>
      </c>
      <c r="F516" s="1" t="s">
        <v>3048</v>
      </c>
      <c r="G516" s="19">
        <f t="shared" si="69"/>
        <v>4092.06</v>
      </c>
    </row>
    <row r="517" spans="1:7">
      <c r="A517" s="1" t="s">
        <v>548</v>
      </c>
      <c r="B517" s="1" t="s">
        <v>15</v>
      </c>
      <c r="C517" s="1" t="s">
        <v>597</v>
      </c>
      <c r="D517" s="3">
        <v>4384.3500000000004</v>
      </c>
      <c r="E517" s="3">
        <v>7839472.9299999997</v>
      </c>
      <c r="F517" s="1" t="s">
        <v>3048</v>
      </c>
      <c r="G517" s="19">
        <f t="shared" si="69"/>
        <v>4384.3500000000004</v>
      </c>
    </row>
    <row r="518" spans="1:7">
      <c r="A518" s="1" t="s">
        <v>1742</v>
      </c>
      <c r="B518" s="1" t="s">
        <v>1746</v>
      </c>
      <c r="C518" s="1" t="s">
        <v>1747</v>
      </c>
      <c r="D518" s="3">
        <v>3681.04</v>
      </c>
      <c r="E518" s="3">
        <v>15862941.73</v>
      </c>
      <c r="F518" s="2" t="s">
        <v>3048</v>
      </c>
      <c r="G518" s="19">
        <f t="shared" si="69"/>
        <v>3681.04</v>
      </c>
    </row>
    <row r="519" spans="1:7">
      <c r="A519" s="1" t="s">
        <v>548</v>
      </c>
      <c r="B519" s="1" t="s">
        <v>15</v>
      </c>
      <c r="C519" s="1" t="s">
        <v>600</v>
      </c>
      <c r="D519" s="3">
        <v>2322.48</v>
      </c>
      <c r="E519" s="3">
        <v>7842235.96</v>
      </c>
      <c r="F519" s="1" t="s">
        <v>3048</v>
      </c>
      <c r="G519" s="19">
        <f t="shared" si="69"/>
        <v>2322.48</v>
      </c>
    </row>
    <row r="520" spans="1:7">
      <c r="A520" s="1" t="s">
        <v>548</v>
      </c>
      <c r="B520" s="1" t="s">
        <v>15</v>
      </c>
      <c r="C520" s="1" t="s">
        <v>601</v>
      </c>
      <c r="D520" s="3">
        <v>5845.8</v>
      </c>
      <c r="E520" s="3">
        <v>7848081.7599999998</v>
      </c>
      <c r="F520" s="1" t="s">
        <v>3048</v>
      </c>
      <c r="G520" s="19">
        <f t="shared" si="69"/>
        <v>5845.8</v>
      </c>
    </row>
    <row r="521" spans="1:7">
      <c r="A521" s="1" t="s">
        <v>548</v>
      </c>
      <c r="B521" s="1" t="s">
        <v>15</v>
      </c>
      <c r="C521" s="1" t="s">
        <v>602</v>
      </c>
      <c r="D521" s="3">
        <v>5163.79</v>
      </c>
      <c r="E521" s="3">
        <v>7853245.5499999998</v>
      </c>
      <c r="F521" s="1" t="s">
        <v>3048</v>
      </c>
      <c r="G521" s="19">
        <f t="shared" si="69"/>
        <v>5163.79</v>
      </c>
    </row>
    <row r="522" spans="1:7">
      <c r="A522" s="1" t="s">
        <v>548</v>
      </c>
      <c r="B522" s="1" t="s">
        <v>15</v>
      </c>
      <c r="C522" s="1" t="s">
        <v>603</v>
      </c>
      <c r="D522" s="3">
        <v>16910.13</v>
      </c>
      <c r="E522" s="3">
        <v>7870155.6799999997</v>
      </c>
      <c r="F522" s="1" t="s">
        <v>3048</v>
      </c>
      <c r="G522" s="19">
        <f t="shared" si="69"/>
        <v>16910.13</v>
      </c>
    </row>
    <row r="523" spans="1:7">
      <c r="A523" s="1" t="s">
        <v>548</v>
      </c>
      <c r="B523" s="1" t="s">
        <v>15</v>
      </c>
      <c r="C523" s="1" t="s">
        <v>604</v>
      </c>
      <c r="D523" s="3">
        <v>4676.6400000000003</v>
      </c>
      <c r="E523" s="3">
        <v>7874832.3200000003</v>
      </c>
      <c r="F523" s="1" t="s">
        <v>3048</v>
      </c>
      <c r="G523" s="19">
        <f t="shared" si="69"/>
        <v>4676.6400000000003</v>
      </c>
    </row>
    <row r="524" spans="1:7">
      <c r="A524" s="1" t="s">
        <v>548</v>
      </c>
      <c r="B524" s="1" t="s">
        <v>15</v>
      </c>
      <c r="C524" s="1" t="s">
        <v>605</v>
      </c>
      <c r="D524" s="3">
        <v>1935.4</v>
      </c>
      <c r="E524" s="3">
        <v>7876767.7199999997</v>
      </c>
      <c r="F524" s="1" t="s">
        <v>3048</v>
      </c>
      <c r="G524" s="19">
        <f t="shared" si="69"/>
        <v>1935.4</v>
      </c>
    </row>
    <row r="525" spans="1:7">
      <c r="A525" s="1" t="s">
        <v>548</v>
      </c>
      <c r="B525" s="1" t="s">
        <v>15</v>
      </c>
      <c r="C525" s="1" t="s">
        <v>606</v>
      </c>
      <c r="D525" s="3">
        <v>7696.97</v>
      </c>
      <c r="E525" s="3">
        <v>7884464.6900000004</v>
      </c>
      <c r="F525" s="1" t="s">
        <v>3048</v>
      </c>
      <c r="G525" s="19">
        <f t="shared" si="69"/>
        <v>7696.97</v>
      </c>
    </row>
    <row r="526" spans="1:7">
      <c r="A526" s="1" t="s">
        <v>548</v>
      </c>
      <c r="B526" s="1" t="s">
        <v>15</v>
      </c>
      <c r="C526" s="1" t="s">
        <v>607</v>
      </c>
      <c r="D526" s="3">
        <v>30230.400000000001</v>
      </c>
      <c r="E526" s="3">
        <v>7914695.0899999999</v>
      </c>
      <c r="F526" s="1" t="s">
        <v>3048</v>
      </c>
      <c r="G526" s="19">
        <f t="shared" si="69"/>
        <v>30230.400000000001</v>
      </c>
    </row>
    <row r="527" spans="1:7">
      <c r="A527" s="1" t="s">
        <v>548</v>
      </c>
      <c r="B527" s="1" t="s">
        <v>15</v>
      </c>
      <c r="C527" s="1" t="s">
        <v>608</v>
      </c>
      <c r="D527" s="3">
        <v>4676.6400000000003</v>
      </c>
      <c r="E527" s="3">
        <v>7919371.7300000004</v>
      </c>
      <c r="F527" s="1" t="s">
        <v>3048</v>
      </c>
      <c r="G527" s="19">
        <f t="shared" si="69"/>
        <v>4676.6400000000003</v>
      </c>
    </row>
    <row r="528" spans="1:7">
      <c r="A528" s="1" t="s">
        <v>548</v>
      </c>
      <c r="B528" s="1" t="s">
        <v>15</v>
      </c>
      <c r="C528" s="1" t="s">
        <v>609</v>
      </c>
      <c r="D528" s="3">
        <v>4676.6400000000003</v>
      </c>
      <c r="E528" s="3">
        <v>7924048.3700000001</v>
      </c>
      <c r="F528" s="1" t="s">
        <v>3048</v>
      </c>
      <c r="G528" s="19">
        <f t="shared" si="69"/>
        <v>4676.6400000000003</v>
      </c>
    </row>
    <row r="529" spans="1:7">
      <c r="A529" s="1" t="s">
        <v>548</v>
      </c>
      <c r="B529" s="1" t="s">
        <v>15</v>
      </c>
      <c r="C529" s="1" t="s">
        <v>610</v>
      </c>
      <c r="D529" s="3">
        <v>3994.76</v>
      </c>
      <c r="E529" s="3">
        <v>7928043.1299999999</v>
      </c>
      <c r="F529" s="1" t="s">
        <v>3048</v>
      </c>
      <c r="G529" s="19">
        <f t="shared" si="69"/>
        <v>3994.76</v>
      </c>
    </row>
    <row r="530" spans="1:7">
      <c r="A530" s="1" t="s">
        <v>548</v>
      </c>
      <c r="B530" s="1" t="s">
        <v>15</v>
      </c>
      <c r="C530" s="1" t="s">
        <v>611</v>
      </c>
      <c r="D530" s="3">
        <v>4676.6400000000003</v>
      </c>
      <c r="E530" s="3">
        <v>7932719.7699999996</v>
      </c>
      <c r="F530" s="1" t="s">
        <v>3048</v>
      </c>
      <c r="G530" s="19">
        <f t="shared" si="69"/>
        <v>4676.6400000000003</v>
      </c>
    </row>
    <row r="531" spans="1:7">
      <c r="A531" s="1" t="s">
        <v>548</v>
      </c>
      <c r="B531" s="1" t="s">
        <v>15</v>
      </c>
      <c r="C531" s="1" t="s">
        <v>612</v>
      </c>
      <c r="D531" s="3">
        <v>13603.68</v>
      </c>
      <c r="E531" s="3">
        <v>7946323.4500000002</v>
      </c>
      <c r="F531" s="1" t="s">
        <v>3048</v>
      </c>
      <c r="G531" s="19">
        <f t="shared" si="69"/>
        <v>13603.68</v>
      </c>
    </row>
    <row r="532" spans="1:7">
      <c r="A532" s="1" t="s">
        <v>548</v>
      </c>
      <c r="B532" s="1" t="s">
        <v>15</v>
      </c>
      <c r="C532" s="1" t="s">
        <v>613</v>
      </c>
      <c r="D532" s="3">
        <v>7263.2</v>
      </c>
      <c r="E532" s="3">
        <v>7953586.6500000004</v>
      </c>
      <c r="F532" s="1" t="s">
        <v>3048</v>
      </c>
      <c r="G532" s="19">
        <f t="shared" si="69"/>
        <v>7263.2</v>
      </c>
    </row>
    <row r="533" spans="1:7">
      <c r="A533" s="1" t="s">
        <v>548</v>
      </c>
      <c r="B533" s="1" t="s">
        <v>15</v>
      </c>
      <c r="C533" s="1" t="s">
        <v>614</v>
      </c>
      <c r="D533" s="3">
        <v>4676.6400000000003</v>
      </c>
      <c r="E533" s="3">
        <v>7958263.29</v>
      </c>
      <c r="F533" s="1" t="s">
        <v>3048</v>
      </c>
      <c r="G533" s="19">
        <f t="shared" si="69"/>
        <v>4676.6400000000003</v>
      </c>
    </row>
    <row r="534" spans="1:7">
      <c r="A534" s="1" t="s">
        <v>548</v>
      </c>
      <c r="B534" s="1" t="s">
        <v>15</v>
      </c>
      <c r="C534" s="1" t="s">
        <v>615</v>
      </c>
      <c r="D534" s="3">
        <v>10814.73</v>
      </c>
      <c r="E534" s="3">
        <v>7969078.0199999996</v>
      </c>
      <c r="F534" s="1" t="s">
        <v>3048</v>
      </c>
      <c r="G534" s="19">
        <f t="shared" si="69"/>
        <v>10814.73</v>
      </c>
    </row>
    <row r="535" spans="1:7">
      <c r="A535" s="1" t="s">
        <v>548</v>
      </c>
      <c r="B535" s="1" t="s">
        <v>15</v>
      </c>
      <c r="C535" s="1" t="s">
        <v>616</v>
      </c>
      <c r="D535" s="3">
        <v>7014.96</v>
      </c>
      <c r="E535" s="3">
        <v>7976092.9800000004</v>
      </c>
      <c r="F535" s="1" t="s">
        <v>3048</v>
      </c>
      <c r="G535" s="19">
        <f t="shared" si="69"/>
        <v>7014.96</v>
      </c>
    </row>
    <row r="536" spans="1:7">
      <c r="A536" s="1" t="s">
        <v>548</v>
      </c>
      <c r="B536" s="1" t="s">
        <v>15</v>
      </c>
      <c r="C536" s="1" t="s">
        <v>617</v>
      </c>
      <c r="D536" s="3">
        <v>43453.78</v>
      </c>
      <c r="E536" s="3">
        <v>8019546.7599999998</v>
      </c>
      <c r="F536" s="1" t="s">
        <v>3048</v>
      </c>
      <c r="G536" s="19">
        <f t="shared" si="69"/>
        <v>43453.78</v>
      </c>
    </row>
    <row r="537" spans="1:7">
      <c r="A537" s="1" t="s">
        <v>548</v>
      </c>
      <c r="B537" s="1" t="s">
        <v>15</v>
      </c>
      <c r="C537" s="1" t="s">
        <v>618</v>
      </c>
      <c r="D537" s="3">
        <v>15491.37</v>
      </c>
      <c r="E537" s="3">
        <v>8035038.1299999999</v>
      </c>
      <c r="F537" s="1" t="s">
        <v>3048</v>
      </c>
      <c r="G537" s="19">
        <f t="shared" si="69"/>
        <v>15491.37</v>
      </c>
    </row>
    <row r="538" spans="1:7">
      <c r="A538" s="1" t="s">
        <v>548</v>
      </c>
      <c r="B538" s="1" t="s">
        <v>15</v>
      </c>
      <c r="C538" s="1" t="s">
        <v>619</v>
      </c>
      <c r="D538" s="3">
        <v>14029.92</v>
      </c>
      <c r="E538" s="3">
        <v>8049068.0499999998</v>
      </c>
      <c r="F538" s="1" t="s">
        <v>3048</v>
      </c>
      <c r="G538" s="19">
        <f t="shared" si="69"/>
        <v>14029.92</v>
      </c>
    </row>
    <row r="539" spans="1:7">
      <c r="A539" s="1" t="s">
        <v>253</v>
      </c>
      <c r="B539" s="1" t="s">
        <v>329</v>
      </c>
      <c r="C539" s="1" t="s">
        <v>330</v>
      </c>
      <c r="D539" s="2">
        <v>895.78</v>
      </c>
      <c r="E539" s="3">
        <v>14472620.85</v>
      </c>
      <c r="F539" s="2" t="s">
        <v>3048</v>
      </c>
      <c r="G539" s="19">
        <f t="shared" si="69"/>
        <v>895.78</v>
      </c>
    </row>
    <row r="540" spans="1:7">
      <c r="A540" s="1" t="s">
        <v>548</v>
      </c>
      <c r="B540" s="1" t="s">
        <v>15</v>
      </c>
      <c r="C540" s="1" t="s">
        <v>622</v>
      </c>
      <c r="D540" s="3">
        <v>9937.86</v>
      </c>
      <c r="E540" s="3">
        <v>8059710.79</v>
      </c>
      <c r="F540" s="1" t="s">
        <v>3048</v>
      </c>
      <c r="G540" s="19">
        <f t="shared" si="69"/>
        <v>9937.86</v>
      </c>
    </row>
    <row r="541" spans="1:7">
      <c r="A541" s="1" t="s">
        <v>548</v>
      </c>
      <c r="B541" s="1" t="s">
        <v>15</v>
      </c>
      <c r="C541" s="1" t="s">
        <v>623</v>
      </c>
      <c r="D541" s="3">
        <v>41016.82</v>
      </c>
      <c r="E541" s="3">
        <v>8100727.6100000003</v>
      </c>
      <c r="F541" s="1" t="s">
        <v>3048</v>
      </c>
      <c r="G541" s="19">
        <f t="shared" si="69"/>
        <v>41016.82</v>
      </c>
    </row>
    <row r="542" spans="1:7">
      <c r="A542" s="1" t="s">
        <v>548</v>
      </c>
      <c r="B542" s="1" t="s">
        <v>15</v>
      </c>
      <c r="C542" s="1" t="s">
        <v>624</v>
      </c>
      <c r="D542" s="3">
        <v>9060.99</v>
      </c>
      <c r="E542" s="3">
        <v>8109788.5999999996</v>
      </c>
      <c r="F542" s="1" t="s">
        <v>3048</v>
      </c>
      <c r="G542" s="19">
        <f t="shared" si="69"/>
        <v>9060.99</v>
      </c>
    </row>
    <row r="543" spans="1:7">
      <c r="A543" s="1" t="s">
        <v>41</v>
      </c>
      <c r="B543" s="1" t="s">
        <v>62</v>
      </c>
      <c r="C543" s="1" t="s">
        <v>63</v>
      </c>
      <c r="D543" s="3">
        <v>2099.9499999999998</v>
      </c>
      <c r="E543" s="3">
        <v>10419989.779999999</v>
      </c>
      <c r="F543" s="2" t="s">
        <v>3048</v>
      </c>
      <c r="G543" s="19">
        <f t="shared" si="69"/>
        <v>2099.9499999999998</v>
      </c>
    </row>
    <row r="544" spans="1:7">
      <c r="A544" s="1" t="s">
        <v>548</v>
      </c>
      <c r="B544" s="1" t="s">
        <v>15</v>
      </c>
      <c r="C544" s="1" t="s">
        <v>627</v>
      </c>
      <c r="D544" s="3">
        <v>31567.32</v>
      </c>
      <c r="E544" s="3">
        <v>8142266.3899999997</v>
      </c>
      <c r="F544" s="1" t="s">
        <v>3048</v>
      </c>
      <c r="G544" s="19">
        <f t="shared" si="69"/>
        <v>31567.32</v>
      </c>
    </row>
    <row r="545" spans="1:7">
      <c r="A545" s="1" t="s">
        <v>548</v>
      </c>
      <c r="B545" s="1" t="s">
        <v>15</v>
      </c>
      <c r="C545" s="1" t="s">
        <v>628</v>
      </c>
      <c r="D545" s="3">
        <v>14029.92</v>
      </c>
      <c r="E545" s="3">
        <v>8156296.3099999996</v>
      </c>
      <c r="F545" s="1" t="s">
        <v>3048</v>
      </c>
      <c r="G545" s="19">
        <f t="shared" si="69"/>
        <v>14029.92</v>
      </c>
    </row>
    <row r="546" spans="1:7">
      <c r="A546" s="1" t="s">
        <v>548</v>
      </c>
      <c r="B546" s="1" t="s">
        <v>593</v>
      </c>
      <c r="C546" s="1" t="s">
        <v>594</v>
      </c>
      <c r="D546" s="3">
        <v>2711.83</v>
      </c>
      <c r="E546" s="3">
        <v>7827099.3200000003</v>
      </c>
      <c r="F546" s="2" t="s">
        <v>3048</v>
      </c>
      <c r="G546" s="19">
        <f t="shared" si="69"/>
        <v>2711.83</v>
      </c>
    </row>
    <row r="547" spans="1:7">
      <c r="A547" s="1" t="s">
        <v>548</v>
      </c>
      <c r="B547" s="1" t="s">
        <v>15</v>
      </c>
      <c r="C547" s="1" t="s">
        <v>631</v>
      </c>
      <c r="D547" s="3">
        <v>9353.2800000000007</v>
      </c>
      <c r="E547" s="3">
        <v>8167059.3499999996</v>
      </c>
      <c r="F547" s="1" t="s">
        <v>3048</v>
      </c>
      <c r="G547" s="19">
        <f t="shared" si="69"/>
        <v>9353.2800000000007</v>
      </c>
    </row>
    <row r="548" spans="1:7">
      <c r="A548" s="1" t="s">
        <v>548</v>
      </c>
      <c r="B548" s="1" t="s">
        <v>15</v>
      </c>
      <c r="C548" s="1" t="s">
        <v>632</v>
      </c>
      <c r="D548" s="3">
        <v>32736.48</v>
      </c>
      <c r="E548" s="3">
        <v>8199795.8300000001</v>
      </c>
      <c r="F548" s="1" t="s">
        <v>3048</v>
      </c>
      <c r="G548" s="19">
        <f t="shared" si="69"/>
        <v>32736.48</v>
      </c>
    </row>
    <row r="549" spans="1:7">
      <c r="A549" s="1" t="s">
        <v>548</v>
      </c>
      <c r="B549" s="1" t="s">
        <v>15</v>
      </c>
      <c r="C549" s="1" t="s">
        <v>633</v>
      </c>
      <c r="D549" s="3">
        <v>4676.6400000000003</v>
      </c>
      <c r="E549" s="3">
        <v>8204472.4699999997</v>
      </c>
      <c r="F549" s="1" t="s">
        <v>3048</v>
      </c>
      <c r="G549" s="19">
        <f t="shared" si="69"/>
        <v>4676.6400000000003</v>
      </c>
    </row>
    <row r="550" spans="1:7">
      <c r="A550" s="1" t="s">
        <v>548</v>
      </c>
      <c r="B550" s="1" t="s">
        <v>15</v>
      </c>
      <c r="C550" s="1" t="s">
        <v>634</v>
      </c>
      <c r="D550" s="3">
        <v>27767.55</v>
      </c>
      <c r="E550" s="3">
        <v>8232240.0199999996</v>
      </c>
      <c r="F550" s="1" t="s">
        <v>3048</v>
      </c>
      <c r="G550" s="19">
        <f t="shared" si="69"/>
        <v>27767.55</v>
      </c>
    </row>
    <row r="551" spans="1:7">
      <c r="A551" s="1" t="s">
        <v>548</v>
      </c>
      <c r="B551" s="1" t="s">
        <v>15</v>
      </c>
      <c r="C551" s="1" t="s">
        <v>635</v>
      </c>
      <c r="D551" s="3">
        <v>14321.96</v>
      </c>
      <c r="E551" s="3">
        <v>8246561.9800000004</v>
      </c>
      <c r="F551" s="1" t="s">
        <v>3048</v>
      </c>
      <c r="G551" s="19">
        <f t="shared" si="69"/>
        <v>14321.96</v>
      </c>
    </row>
    <row r="552" spans="1:7">
      <c r="A552" s="1" t="s">
        <v>636</v>
      </c>
      <c r="B552" s="1" t="s">
        <v>15</v>
      </c>
      <c r="C552" s="1" t="s">
        <v>637</v>
      </c>
      <c r="D552" s="3">
        <v>71797.2</v>
      </c>
      <c r="E552" s="3">
        <v>8318359.1799999997</v>
      </c>
      <c r="F552" s="1" t="s">
        <v>3048</v>
      </c>
      <c r="G552" s="19">
        <f t="shared" si="69"/>
        <v>71797.2</v>
      </c>
    </row>
    <row r="553" spans="1:7">
      <c r="A553" s="1" t="s">
        <v>636</v>
      </c>
      <c r="B553" s="1" t="s">
        <v>15</v>
      </c>
      <c r="C553" s="1" t="s">
        <v>638</v>
      </c>
      <c r="D553" s="3">
        <v>9353.2800000000007</v>
      </c>
      <c r="E553" s="3">
        <v>8327712.46</v>
      </c>
      <c r="F553" s="1" t="s">
        <v>3048</v>
      </c>
      <c r="G553" s="19">
        <f t="shared" si="69"/>
        <v>9353.2800000000007</v>
      </c>
    </row>
    <row r="554" spans="1:7">
      <c r="A554" s="1" t="s">
        <v>636</v>
      </c>
      <c r="B554" s="1" t="s">
        <v>15</v>
      </c>
      <c r="C554" s="1" t="s">
        <v>639</v>
      </c>
      <c r="D554" s="3">
        <v>4534.5600000000004</v>
      </c>
      <c r="E554" s="3">
        <v>8332247.0199999996</v>
      </c>
      <c r="F554" s="1" t="s">
        <v>3048</v>
      </c>
      <c r="G554" s="19">
        <f t="shared" si="69"/>
        <v>4534.5600000000004</v>
      </c>
    </row>
    <row r="555" spans="1:7">
      <c r="A555" s="1" t="s">
        <v>636</v>
      </c>
      <c r="B555" s="1" t="s">
        <v>15</v>
      </c>
      <c r="C555" s="1" t="s">
        <v>640</v>
      </c>
      <c r="D555" s="3">
        <v>60102.98</v>
      </c>
      <c r="E555" s="3">
        <v>8392350</v>
      </c>
      <c r="F555" s="1" t="s">
        <v>3048</v>
      </c>
      <c r="G555" s="19">
        <f t="shared" si="69"/>
        <v>60102.98</v>
      </c>
    </row>
    <row r="556" spans="1:7">
      <c r="A556" s="1" t="s">
        <v>636</v>
      </c>
      <c r="B556" s="1" t="s">
        <v>15</v>
      </c>
      <c r="C556" s="1" t="s">
        <v>641</v>
      </c>
      <c r="D556" s="3">
        <v>26500.959999999999</v>
      </c>
      <c r="E556" s="3">
        <v>8418850.9600000009</v>
      </c>
      <c r="F556" s="1" t="s">
        <v>3048</v>
      </c>
      <c r="G556" s="19">
        <f t="shared" si="69"/>
        <v>26500.959999999999</v>
      </c>
    </row>
    <row r="557" spans="1:7">
      <c r="A557" s="1" t="s">
        <v>636</v>
      </c>
      <c r="B557" s="1" t="s">
        <v>15</v>
      </c>
      <c r="C557" s="1" t="s">
        <v>642</v>
      </c>
      <c r="D557" s="3">
        <v>119207.27</v>
      </c>
      <c r="E557" s="3">
        <v>8538058.2300000004</v>
      </c>
      <c r="F557" s="1" t="s">
        <v>3048</v>
      </c>
      <c r="G557" s="19">
        <f t="shared" si="69"/>
        <v>119207.27</v>
      </c>
    </row>
    <row r="558" spans="1:7">
      <c r="A558" s="1" t="s">
        <v>636</v>
      </c>
      <c r="B558" s="1" t="s">
        <v>15</v>
      </c>
      <c r="C558" s="1" t="s">
        <v>643</v>
      </c>
      <c r="D558" s="3">
        <v>7794.4</v>
      </c>
      <c r="E558" s="3">
        <v>8545852.6300000008</v>
      </c>
      <c r="F558" s="1" t="s">
        <v>3048</v>
      </c>
      <c r="G558" s="19">
        <f t="shared" ref="G558:G621" si="70">+D558</f>
        <v>7794.4</v>
      </c>
    </row>
    <row r="559" spans="1:7">
      <c r="A559" s="1" t="s">
        <v>636</v>
      </c>
      <c r="B559" s="1" t="s">
        <v>15</v>
      </c>
      <c r="C559" s="1" t="s">
        <v>644</v>
      </c>
      <c r="D559" s="3">
        <v>7014.96</v>
      </c>
      <c r="E559" s="3">
        <v>8552867.5899999999</v>
      </c>
      <c r="F559" s="1" t="s">
        <v>3048</v>
      </c>
      <c r="G559" s="19">
        <f t="shared" si="70"/>
        <v>7014.96</v>
      </c>
    </row>
    <row r="560" spans="1:7">
      <c r="A560" s="1" t="s">
        <v>636</v>
      </c>
      <c r="B560" s="1" t="s">
        <v>15</v>
      </c>
      <c r="C560" s="1" t="s">
        <v>645</v>
      </c>
      <c r="D560" s="3">
        <v>92558.5</v>
      </c>
      <c r="E560" s="3">
        <v>8645426.0899999999</v>
      </c>
      <c r="F560" s="1" t="s">
        <v>3048</v>
      </c>
      <c r="G560" s="19">
        <f t="shared" si="70"/>
        <v>92558.5</v>
      </c>
    </row>
    <row r="561" spans="1:7">
      <c r="A561" s="1" t="s">
        <v>636</v>
      </c>
      <c r="B561" s="1" t="s">
        <v>15</v>
      </c>
      <c r="C561" s="1" t="s">
        <v>646</v>
      </c>
      <c r="D561" s="3">
        <v>13603.68</v>
      </c>
      <c r="E561" s="3">
        <v>8659029.7699999996</v>
      </c>
      <c r="F561" s="1" t="s">
        <v>3048</v>
      </c>
      <c r="G561" s="19">
        <f t="shared" si="70"/>
        <v>13603.68</v>
      </c>
    </row>
    <row r="562" spans="1:7">
      <c r="A562" s="1" t="s">
        <v>636</v>
      </c>
      <c r="B562" s="1" t="s">
        <v>15</v>
      </c>
      <c r="C562" s="1" t="s">
        <v>647</v>
      </c>
      <c r="D562" s="3">
        <v>106393.56</v>
      </c>
      <c r="E562" s="3">
        <v>8765423.3300000001</v>
      </c>
      <c r="F562" s="1" t="s">
        <v>3048</v>
      </c>
      <c r="G562" s="19">
        <f t="shared" si="70"/>
        <v>106393.56</v>
      </c>
    </row>
    <row r="563" spans="1:7">
      <c r="A563" s="1" t="s">
        <v>636</v>
      </c>
      <c r="B563" s="1" t="s">
        <v>15</v>
      </c>
      <c r="C563" s="1" t="s">
        <v>648</v>
      </c>
      <c r="D563" s="3">
        <v>13250.48</v>
      </c>
      <c r="E563" s="3">
        <v>8778673.8100000005</v>
      </c>
      <c r="F563" s="1" t="s">
        <v>3048</v>
      </c>
      <c r="G563" s="19">
        <f t="shared" si="70"/>
        <v>13250.48</v>
      </c>
    </row>
    <row r="564" spans="1:7">
      <c r="A564" s="1" t="s">
        <v>636</v>
      </c>
      <c r="B564" s="1" t="s">
        <v>15</v>
      </c>
      <c r="C564" s="1" t="s">
        <v>649</v>
      </c>
      <c r="D564" s="3">
        <v>27572.69</v>
      </c>
      <c r="E564" s="3">
        <v>8806246.5</v>
      </c>
      <c r="F564" s="1" t="s">
        <v>3048</v>
      </c>
      <c r="G564" s="19">
        <f t="shared" si="70"/>
        <v>27572.69</v>
      </c>
    </row>
    <row r="565" spans="1:7">
      <c r="A565" s="1" t="s">
        <v>636</v>
      </c>
      <c r="B565" s="1" t="s">
        <v>15</v>
      </c>
      <c r="C565" s="1" t="s">
        <v>650</v>
      </c>
      <c r="D565" s="3">
        <v>26451.599999999999</v>
      </c>
      <c r="E565" s="3">
        <v>8832698.0999999996</v>
      </c>
      <c r="F565" s="1" t="s">
        <v>3048</v>
      </c>
      <c r="G565" s="19">
        <f t="shared" si="70"/>
        <v>26451.599999999999</v>
      </c>
    </row>
    <row r="566" spans="1:7">
      <c r="A566" s="1" t="s">
        <v>636</v>
      </c>
      <c r="B566" s="1" t="s">
        <v>15</v>
      </c>
      <c r="C566" s="1" t="s">
        <v>651</v>
      </c>
      <c r="D566" s="3">
        <v>4534.5600000000004</v>
      </c>
      <c r="E566" s="3">
        <v>8837232.6600000001</v>
      </c>
      <c r="F566" s="1" t="s">
        <v>3048</v>
      </c>
      <c r="G566" s="19">
        <f t="shared" si="70"/>
        <v>4534.5600000000004</v>
      </c>
    </row>
    <row r="567" spans="1:7">
      <c r="A567" s="1" t="s">
        <v>636</v>
      </c>
      <c r="B567" s="1" t="s">
        <v>15</v>
      </c>
      <c r="C567" s="1" t="s">
        <v>652</v>
      </c>
      <c r="D567" s="3">
        <v>9079</v>
      </c>
      <c r="E567" s="3">
        <v>8846311.6600000001</v>
      </c>
      <c r="F567" s="1" t="s">
        <v>3048</v>
      </c>
      <c r="G567" s="19">
        <f t="shared" si="70"/>
        <v>9079</v>
      </c>
    </row>
    <row r="568" spans="1:7">
      <c r="A568" s="1" t="s">
        <v>636</v>
      </c>
      <c r="B568" s="1" t="s">
        <v>15</v>
      </c>
      <c r="C568" s="1" t="s">
        <v>653</v>
      </c>
      <c r="D568" s="3">
        <v>9353.2800000000007</v>
      </c>
      <c r="E568" s="3">
        <v>8855664.9399999995</v>
      </c>
      <c r="F568" s="1" t="s">
        <v>3048</v>
      </c>
      <c r="G568" s="19">
        <f t="shared" si="70"/>
        <v>9353.2800000000007</v>
      </c>
    </row>
    <row r="569" spans="1:7">
      <c r="A569" s="1" t="s">
        <v>1039</v>
      </c>
      <c r="B569" s="1" t="s">
        <v>1111</v>
      </c>
      <c r="C569" s="1" t="s">
        <v>1112</v>
      </c>
      <c r="D569" s="3">
        <v>5878.89</v>
      </c>
      <c r="E569" s="3">
        <v>10672678.41</v>
      </c>
      <c r="F569" s="2" t="s">
        <v>3048</v>
      </c>
      <c r="G569" s="19">
        <f t="shared" si="70"/>
        <v>5878.89</v>
      </c>
    </row>
    <row r="570" spans="1:7">
      <c r="A570" s="1" t="s">
        <v>636</v>
      </c>
      <c r="B570" s="1" t="s">
        <v>15</v>
      </c>
      <c r="C570" s="1" t="s">
        <v>656</v>
      </c>
      <c r="D570" s="3">
        <v>148288.46</v>
      </c>
      <c r="E570" s="3">
        <v>9004423.3200000003</v>
      </c>
      <c r="F570" s="1" t="s">
        <v>3048</v>
      </c>
      <c r="G570" s="19">
        <f t="shared" si="70"/>
        <v>148288.46</v>
      </c>
    </row>
    <row r="571" spans="1:7">
      <c r="A571" s="1" t="s">
        <v>636</v>
      </c>
      <c r="B571" s="1" t="s">
        <v>15</v>
      </c>
      <c r="C571" s="1" t="s">
        <v>657</v>
      </c>
      <c r="D571" s="3">
        <v>42089.760000000002</v>
      </c>
      <c r="E571" s="3">
        <v>9046513.0800000001</v>
      </c>
      <c r="F571" s="1" t="s">
        <v>3048</v>
      </c>
      <c r="G571" s="19">
        <f t="shared" si="70"/>
        <v>42089.760000000002</v>
      </c>
    </row>
    <row r="572" spans="1:7">
      <c r="A572" s="1" t="s">
        <v>121</v>
      </c>
      <c r="B572" s="1" t="s">
        <v>158</v>
      </c>
      <c r="C572" s="1" t="s">
        <v>159</v>
      </c>
      <c r="D572" s="2">
        <v>469.92</v>
      </c>
      <c r="E572" s="3">
        <v>11916602.460000001</v>
      </c>
      <c r="F572" s="2" t="s">
        <v>3048</v>
      </c>
      <c r="G572" s="19">
        <f t="shared" si="70"/>
        <v>469.92</v>
      </c>
    </row>
    <row r="573" spans="1:7">
      <c r="A573" s="1" t="s">
        <v>636</v>
      </c>
      <c r="B573" s="1" t="s">
        <v>15</v>
      </c>
      <c r="C573" s="1" t="s">
        <v>660</v>
      </c>
      <c r="D573" s="3">
        <v>57970.85</v>
      </c>
      <c r="E573" s="3">
        <v>9106598.5700000003</v>
      </c>
      <c r="F573" s="1" t="s">
        <v>3048</v>
      </c>
      <c r="G573" s="19">
        <f t="shared" si="70"/>
        <v>57970.85</v>
      </c>
    </row>
    <row r="574" spans="1:7">
      <c r="A574" s="1" t="s">
        <v>636</v>
      </c>
      <c r="B574" s="1" t="s">
        <v>15</v>
      </c>
      <c r="C574" s="1" t="s">
        <v>661</v>
      </c>
      <c r="D574" s="3">
        <v>14614.5</v>
      </c>
      <c r="E574" s="3">
        <v>9121213.0700000003</v>
      </c>
      <c r="F574" s="1" t="s">
        <v>3048</v>
      </c>
      <c r="G574" s="19">
        <f t="shared" si="70"/>
        <v>14614.5</v>
      </c>
    </row>
    <row r="575" spans="1:7">
      <c r="A575" s="1" t="s">
        <v>636</v>
      </c>
      <c r="B575" s="1" t="s">
        <v>15</v>
      </c>
      <c r="C575" s="1" t="s">
        <v>662</v>
      </c>
      <c r="D575" s="3">
        <v>4676.6400000000003</v>
      </c>
      <c r="E575" s="3">
        <v>9125889.7100000009</v>
      </c>
      <c r="F575" s="1" t="s">
        <v>3048</v>
      </c>
      <c r="G575" s="19">
        <f t="shared" si="70"/>
        <v>4676.6400000000003</v>
      </c>
    </row>
    <row r="576" spans="1:7">
      <c r="A576" s="1" t="s">
        <v>1523</v>
      </c>
      <c r="B576" s="1" t="s">
        <v>158</v>
      </c>
      <c r="C576" s="1" t="s">
        <v>1574</v>
      </c>
      <c r="D576" s="2">
        <v>841.94</v>
      </c>
      <c r="E576" s="3">
        <v>12624165.41</v>
      </c>
      <c r="F576" s="2" t="s">
        <v>3048</v>
      </c>
      <c r="G576" s="19">
        <f t="shared" si="70"/>
        <v>841.94</v>
      </c>
    </row>
    <row r="577" spans="1:7">
      <c r="A577" s="1" t="s">
        <v>636</v>
      </c>
      <c r="B577" s="1" t="s">
        <v>15</v>
      </c>
      <c r="C577" s="1" t="s">
        <v>665</v>
      </c>
      <c r="D577" s="3">
        <v>14614.5</v>
      </c>
      <c r="E577" s="3">
        <v>9140739.1699999999</v>
      </c>
      <c r="F577" s="1" t="s">
        <v>3048</v>
      </c>
      <c r="G577" s="19">
        <f t="shared" si="70"/>
        <v>14614.5</v>
      </c>
    </row>
    <row r="578" spans="1:7">
      <c r="A578" s="1" t="s">
        <v>636</v>
      </c>
      <c r="B578" s="1" t="s">
        <v>15</v>
      </c>
      <c r="C578" s="1" t="s">
        <v>666</v>
      </c>
      <c r="D578" s="3">
        <v>9353.2800000000007</v>
      </c>
      <c r="E578" s="3">
        <v>9150092.4499999993</v>
      </c>
      <c r="F578" s="1" t="s">
        <v>3048</v>
      </c>
      <c r="G578" s="19">
        <f t="shared" si="70"/>
        <v>9353.2800000000007</v>
      </c>
    </row>
    <row r="579" spans="1:7">
      <c r="A579" s="1" t="s">
        <v>636</v>
      </c>
      <c r="B579" s="1" t="s">
        <v>15</v>
      </c>
      <c r="C579" s="1" t="s">
        <v>667</v>
      </c>
      <c r="D579" s="3">
        <v>4676.6400000000003</v>
      </c>
      <c r="E579" s="3">
        <v>9154769.0899999999</v>
      </c>
      <c r="F579" s="1" t="s">
        <v>3048</v>
      </c>
      <c r="G579" s="19">
        <f t="shared" si="70"/>
        <v>4676.6400000000003</v>
      </c>
    </row>
    <row r="580" spans="1:7">
      <c r="A580" s="1" t="s">
        <v>636</v>
      </c>
      <c r="B580" s="1" t="s">
        <v>15</v>
      </c>
      <c r="C580" s="1" t="s">
        <v>668</v>
      </c>
      <c r="D580" s="3">
        <v>5163.79</v>
      </c>
      <c r="E580" s="3">
        <v>9159932.8800000008</v>
      </c>
      <c r="F580" s="1" t="s">
        <v>3048</v>
      </c>
      <c r="G580" s="19">
        <f t="shared" si="70"/>
        <v>5163.79</v>
      </c>
    </row>
    <row r="581" spans="1:7">
      <c r="A581" s="1" t="s">
        <v>636</v>
      </c>
      <c r="B581" s="1" t="s">
        <v>15</v>
      </c>
      <c r="C581" s="1" t="s">
        <v>669</v>
      </c>
      <c r="D581" s="3">
        <v>11691.6</v>
      </c>
      <c r="E581" s="3">
        <v>9171624.4800000004</v>
      </c>
      <c r="F581" s="1" t="s">
        <v>3048</v>
      </c>
      <c r="G581" s="19">
        <f t="shared" si="70"/>
        <v>11691.6</v>
      </c>
    </row>
    <row r="582" spans="1:7">
      <c r="A582" s="1" t="s">
        <v>636</v>
      </c>
      <c r="B582" s="1" t="s">
        <v>15</v>
      </c>
      <c r="C582" s="1" t="s">
        <v>670</v>
      </c>
      <c r="D582" s="3">
        <v>37607.980000000003</v>
      </c>
      <c r="E582" s="3">
        <v>9209232.4600000009</v>
      </c>
      <c r="F582" s="1" t="s">
        <v>3048</v>
      </c>
      <c r="G582" s="19">
        <f t="shared" si="70"/>
        <v>37607.980000000003</v>
      </c>
    </row>
    <row r="583" spans="1:7">
      <c r="A583" s="1" t="s">
        <v>636</v>
      </c>
      <c r="B583" s="1" t="s">
        <v>15</v>
      </c>
      <c r="C583" s="1" t="s">
        <v>671</v>
      </c>
      <c r="D583" s="3">
        <v>14614.5</v>
      </c>
      <c r="E583" s="3">
        <v>9223846.9600000009</v>
      </c>
      <c r="F583" s="1" t="s">
        <v>3048</v>
      </c>
      <c r="G583" s="19">
        <f t="shared" si="70"/>
        <v>14614.5</v>
      </c>
    </row>
    <row r="584" spans="1:7">
      <c r="A584" s="1" t="s">
        <v>636</v>
      </c>
      <c r="B584" s="1" t="s">
        <v>15</v>
      </c>
      <c r="C584" s="1" t="s">
        <v>672</v>
      </c>
      <c r="D584" s="3">
        <v>80167.570000000007</v>
      </c>
      <c r="E584" s="3">
        <v>9304014.5299999993</v>
      </c>
      <c r="F584" s="1" t="s">
        <v>3048</v>
      </c>
      <c r="G584" s="19">
        <f t="shared" si="70"/>
        <v>80167.570000000007</v>
      </c>
    </row>
    <row r="585" spans="1:7">
      <c r="A585" s="1" t="s">
        <v>636</v>
      </c>
      <c r="B585" s="1" t="s">
        <v>15</v>
      </c>
      <c r="C585" s="1" t="s">
        <v>673</v>
      </c>
      <c r="D585" s="3">
        <v>88896.27</v>
      </c>
      <c r="E585" s="3">
        <v>9392910.8000000007</v>
      </c>
      <c r="F585" s="1" t="s">
        <v>3048</v>
      </c>
      <c r="G585" s="19">
        <f t="shared" si="70"/>
        <v>88896.27</v>
      </c>
    </row>
    <row r="586" spans="1:7">
      <c r="A586" s="1" t="s">
        <v>636</v>
      </c>
      <c r="B586" s="1" t="s">
        <v>15</v>
      </c>
      <c r="C586" s="1" t="s">
        <v>674</v>
      </c>
      <c r="D586" s="3">
        <v>7696.97</v>
      </c>
      <c r="E586" s="3">
        <v>9400607.7699999996</v>
      </c>
      <c r="F586" s="1" t="s">
        <v>3048</v>
      </c>
      <c r="G586" s="19">
        <f t="shared" si="70"/>
        <v>7696.97</v>
      </c>
    </row>
    <row r="587" spans="1:7">
      <c r="A587" s="1" t="s">
        <v>636</v>
      </c>
      <c r="B587" s="1" t="s">
        <v>15</v>
      </c>
      <c r="C587" s="1" t="s">
        <v>675</v>
      </c>
      <c r="D587" s="3">
        <v>15101.65</v>
      </c>
      <c r="E587" s="3">
        <v>9415709.4199999999</v>
      </c>
      <c r="F587" s="1" t="s">
        <v>3048</v>
      </c>
      <c r="G587" s="19">
        <f t="shared" si="70"/>
        <v>15101.65</v>
      </c>
    </row>
    <row r="588" spans="1:7">
      <c r="A588" s="1" t="s">
        <v>636</v>
      </c>
      <c r="B588" s="1" t="s">
        <v>15</v>
      </c>
      <c r="C588" s="1" t="s">
        <v>676</v>
      </c>
      <c r="D588" s="3">
        <v>3994.63</v>
      </c>
      <c r="E588" s="3">
        <v>9419704.0500000007</v>
      </c>
      <c r="F588" s="1" t="s">
        <v>3048</v>
      </c>
      <c r="G588" s="19">
        <f t="shared" si="70"/>
        <v>3994.63</v>
      </c>
    </row>
    <row r="589" spans="1:7">
      <c r="A589" s="1" t="s">
        <v>636</v>
      </c>
      <c r="B589" s="1" t="s">
        <v>15</v>
      </c>
      <c r="C589" s="1" t="s">
        <v>677</v>
      </c>
      <c r="D589" s="3">
        <v>4384.3500000000004</v>
      </c>
      <c r="E589" s="3">
        <v>9424088.4000000004</v>
      </c>
      <c r="F589" s="1" t="s">
        <v>3048</v>
      </c>
      <c r="G589" s="19">
        <f t="shared" si="70"/>
        <v>4384.3500000000004</v>
      </c>
    </row>
    <row r="590" spans="1:7">
      <c r="A590" s="1" t="s">
        <v>636</v>
      </c>
      <c r="B590" s="1" t="s">
        <v>15</v>
      </c>
      <c r="C590" s="1" t="s">
        <v>678</v>
      </c>
      <c r="D590" s="3">
        <v>3897.2</v>
      </c>
      <c r="E590" s="3">
        <v>9427985.5999999996</v>
      </c>
      <c r="F590" s="1" t="s">
        <v>3048</v>
      </c>
      <c r="G590" s="19">
        <f t="shared" si="70"/>
        <v>3897.2</v>
      </c>
    </row>
    <row r="591" spans="1:7">
      <c r="A591" s="1" t="s">
        <v>636</v>
      </c>
      <c r="B591" s="1" t="s">
        <v>15</v>
      </c>
      <c r="C591" s="1" t="s">
        <v>679</v>
      </c>
      <c r="D591" s="3">
        <v>11691.6</v>
      </c>
      <c r="E591" s="3">
        <v>9439677.1999999993</v>
      </c>
      <c r="F591" s="1" t="s">
        <v>3048</v>
      </c>
      <c r="G591" s="19">
        <f t="shared" si="70"/>
        <v>11691.6</v>
      </c>
    </row>
    <row r="592" spans="1:7">
      <c r="A592" s="1" t="s">
        <v>1871</v>
      </c>
      <c r="B592" s="1" t="s">
        <v>158</v>
      </c>
      <c r="C592" s="1" t="s">
        <v>1893</v>
      </c>
      <c r="D592" s="2">
        <v>939.84</v>
      </c>
      <c r="E592" s="3">
        <v>10806357.609999999</v>
      </c>
      <c r="F592" s="2" t="s">
        <v>3048</v>
      </c>
      <c r="G592" s="19">
        <f t="shared" si="70"/>
        <v>939.84</v>
      </c>
    </row>
    <row r="593" spans="1:7">
      <c r="A593" s="1" t="s">
        <v>636</v>
      </c>
      <c r="B593" s="1" t="s">
        <v>15</v>
      </c>
      <c r="C593" s="1" t="s">
        <v>682</v>
      </c>
      <c r="D593" s="3">
        <v>52612.2</v>
      </c>
      <c r="E593" s="3">
        <v>9493464.1999999993</v>
      </c>
      <c r="F593" s="1" t="s">
        <v>3048</v>
      </c>
      <c r="G593" s="19">
        <f t="shared" si="70"/>
        <v>52612.2</v>
      </c>
    </row>
    <row r="594" spans="1:7">
      <c r="A594" s="1" t="s">
        <v>636</v>
      </c>
      <c r="B594" s="1" t="s">
        <v>15</v>
      </c>
      <c r="C594" s="1" t="s">
        <v>683</v>
      </c>
      <c r="D594" s="3">
        <v>4161.1099999999997</v>
      </c>
      <c r="E594" s="3">
        <v>9497625.3100000005</v>
      </c>
      <c r="F594" s="1" t="s">
        <v>3048</v>
      </c>
      <c r="G594" s="19">
        <f t="shared" si="70"/>
        <v>4161.1099999999997</v>
      </c>
    </row>
    <row r="595" spans="1:7">
      <c r="A595" s="1" t="s">
        <v>636</v>
      </c>
      <c r="B595" s="1" t="s">
        <v>15</v>
      </c>
      <c r="C595" s="1" t="s">
        <v>684</v>
      </c>
      <c r="D595" s="3">
        <v>4676.6400000000003</v>
      </c>
      <c r="E595" s="3">
        <v>9502301.9499999993</v>
      </c>
      <c r="F595" s="1" t="s">
        <v>3048</v>
      </c>
      <c r="G595" s="19">
        <f t="shared" si="70"/>
        <v>4676.6400000000003</v>
      </c>
    </row>
    <row r="596" spans="1:7">
      <c r="A596" s="1" t="s">
        <v>636</v>
      </c>
      <c r="B596" s="1" t="s">
        <v>15</v>
      </c>
      <c r="C596" s="1" t="s">
        <v>685</v>
      </c>
      <c r="D596" s="3">
        <v>9353.2800000000007</v>
      </c>
      <c r="E596" s="3">
        <v>9511655.2300000004</v>
      </c>
      <c r="F596" s="1" t="s">
        <v>3048</v>
      </c>
      <c r="G596" s="19">
        <f t="shared" si="70"/>
        <v>9353.2800000000007</v>
      </c>
    </row>
    <row r="597" spans="1:7">
      <c r="A597" s="1" t="s">
        <v>636</v>
      </c>
      <c r="B597" s="1" t="s">
        <v>15</v>
      </c>
      <c r="C597" s="1" t="s">
        <v>686</v>
      </c>
      <c r="D597" s="3">
        <v>4723.5</v>
      </c>
      <c r="E597" s="3">
        <v>9516378.7300000004</v>
      </c>
      <c r="F597" s="1" t="s">
        <v>3048</v>
      </c>
      <c r="G597" s="19">
        <f t="shared" si="70"/>
        <v>4723.5</v>
      </c>
    </row>
    <row r="598" spans="1:7">
      <c r="A598" s="1" t="s">
        <v>636</v>
      </c>
      <c r="B598" s="1" t="s">
        <v>15</v>
      </c>
      <c r="C598" s="1" t="s">
        <v>687</v>
      </c>
      <c r="D598" s="3">
        <v>58458</v>
      </c>
      <c r="E598" s="3">
        <v>9574836.7300000004</v>
      </c>
      <c r="F598" s="1" t="s">
        <v>3048</v>
      </c>
      <c r="G598" s="19">
        <f t="shared" si="70"/>
        <v>58458</v>
      </c>
    </row>
    <row r="599" spans="1:7">
      <c r="A599" s="1" t="s">
        <v>636</v>
      </c>
      <c r="B599" s="1" t="s">
        <v>15</v>
      </c>
      <c r="C599" s="1" t="s">
        <v>688</v>
      </c>
      <c r="D599" s="3">
        <v>49104.72</v>
      </c>
      <c r="E599" s="3">
        <v>9623941.4499999993</v>
      </c>
      <c r="F599" s="1" t="s">
        <v>3048</v>
      </c>
      <c r="G599" s="19">
        <f t="shared" si="70"/>
        <v>49104.72</v>
      </c>
    </row>
    <row r="600" spans="1:7">
      <c r="A600" s="1" t="s">
        <v>904</v>
      </c>
      <c r="B600" s="1" t="s">
        <v>961</v>
      </c>
      <c r="C600" s="1" t="s">
        <v>962</v>
      </c>
      <c r="D600" s="2">
        <v>489.5</v>
      </c>
      <c r="E600" s="3">
        <v>15502391.210000001</v>
      </c>
      <c r="F600" s="2" t="s">
        <v>3048</v>
      </c>
      <c r="G600" s="19">
        <f t="shared" si="70"/>
        <v>489.5</v>
      </c>
    </row>
    <row r="601" spans="1:7">
      <c r="A601" s="1" t="s">
        <v>636</v>
      </c>
      <c r="B601" s="1" t="s">
        <v>15</v>
      </c>
      <c r="C601" s="1" t="s">
        <v>691</v>
      </c>
      <c r="D601" s="3">
        <v>12665.9</v>
      </c>
      <c r="E601" s="3">
        <v>9639074.4299999997</v>
      </c>
      <c r="F601" s="1" t="s">
        <v>3048</v>
      </c>
      <c r="G601" s="19">
        <f t="shared" si="70"/>
        <v>12665.9</v>
      </c>
    </row>
    <row r="602" spans="1:7">
      <c r="A602" s="1" t="s">
        <v>636</v>
      </c>
      <c r="B602" s="1" t="s">
        <v>15</v>
      </c>
      <c r="C602" s="1" t="s">
        <v>692</v>
      </c>
      <c r="D602" s="3">
        <v>8785.7099999999991</v>
      </c>
      <c r="E602" s="3">
        <v>9647860.1400000006</v>
      </c>
      <c r="F602" s="1" t="s">
        <v>3048</v>
      </c>
      <c r="G602" s="19">
        <f t="shared" si="70"/>
        <v>8785.7099999999991</v>
      </c>
    </row>
    <row r="603" spans="1:7">
      <c r="A603" s="1" t="s">
        <v>636</v>
      </c>
      <c r="B603" s="1" t="s">
        <v>15</v>
      </c>
      <c r="C603" s="1" t="s">
        <v>693</v>
      </c>
      <c r="D603" s="3">
        <v>6801.84</v>
      </c>
      <c r="E603" s="3">
        <v>9654661.9800000004</v>
      </c>
      <c r="F603" s="1" t="s">
        <v>3048</v>
      </c>
      <c r="G603" s="19">
        <f t="shared" si="70"/>
        <v>6801.84</v>
      </c>
    </row>
    <row r="604" spans="1:7">
      <c r="A604" s="1" t="s">
        <v>636</v>
      </c>
      <c r="B604" s="1" t="s">
        <v>15</v>
      </c>
      <c r="C604" s="1" t="s">
        <v>694</v>
      </c>
      <c r="D604" s="3">
        <v>7935.48</v>
      </c>
      <c r="E604" s="3">
        <v>9662597.4600000009</v>
      </c>
      <c r="F604" s="1" t="s">
        <v>3048</v>
      </c>
      <c r="G604" s="19">
        <f t="shared" si="70"/>
        <v>7935.48</v>
      </c>
    </row>
    <row r="605" spans="1:7">
      <c r="A605" s="1" t="s">
        <v>636</v>
      </c>
      <c r="B605" s="1" t="s">
        <v>15</v>
      </c>
      <c r="C605" s="1" t="s">
        <v>695</v>
      </c>
      <c r="D605" s="3">
        <v>4676.6400000000003</v>
      </c>
      <c r="E605" s="3">
        <v>9667274.0999999996</v>
      </c>
      <c r="F605" s="1" t="s">
        <v>3048</v>
      </c>
      <c r="G605" s="19">
        <f t="shared" si="70"/>
        <v>4676.6400000000003</v>
      </c>
    </row>
    <row r="606" spans="1:7">
      <c r="A606" s="1" t="s">
        <v>636</v>
      </c>
      <c r="B606" s="1" t="s">
        <v>15</v>
      </c>
      <c r="C606" s="1" t="s">
        <v>696</v>
      </c>
      <c r="D606" s="3">
        <v>4676.6400000000003</v>
      </c>
      <c r="E606" s="3">
        <v>9671950.7400000002</v>
      </c>
      <c r="F606" s="1" t="s">
        <v>3048</v>
      </c>
      <c r="G606" s="19">
        <f t="shared" si="70"/>
        <v>4676.6400000000003</v>
      </c>
    </row>
    <row r="607" spans="1:7">
      <c r="A607" s="1" t="s">
        <v>636</v>
      </c>
      <c r="B607" s="1" t="s">
        <v>15</v>
      </c>
      <c r="C607" s="1" t="s">
        <v>697</v>
      </c>
      <c r="D607" s="3">
        <v>19973.150000000001</v>
      </c>
      <c r="E607" s="3">
        <v>9691923.8900000006</v>
      </c>
      <c r="F607" s="1" t="s">
        <v>3048</v>
      </c>
      <c r="G607" s="19">
        <f t="shared" si="70"/>
        <v>19973.150000000001</v>
      </c>
    </row>
    <row r="608" spans="1:7">
      <c r="A608" s="1" t="s">
        <v>636</v>
      </c>
      <c r="B608" s="1" t="s">
        <v>15</v>
      </c>
      <c r="C608" s="1" t="s">
        <v>698</v>
      </c>
      <c r="D608" s="3">
        <v>8963.56</v>
      </c>
      <c r="E608" s="3">
        <v>9700887.4499999993</v>
      </c>
      <c r="F608" s="1" t="s">
        <v>3048</v>
      </c>
      <c r="G608" s="19">
        <f t="shared" si="70"/>
        <v>8963.56</v>
      </c>
    </row>
    <row r="609" spans="1:7">
      <c r="A609" s="1" t="s">
        <v>1871</v>
      </c>
      <c r="B609" s="1" t="s">
        <v>1955</v>
      </c>
      <c r="C609" s="1" t="s">
        <v>1956</v>
      </c>
      <c r="D609" s="2">
        <v>469.92</v>
      </c>
      <c r="E609" s="3">
        <v>9722497.4900000002</v>
      </c>
      <c r="F609" s="2" t="s">
        <v>3048</v>
      </c>
      <c r="G609" s="19">
        <f t="shared" si="70"/>
        <v>469.92</v>
      </c>
    </row>
    <row r="610" spans="1:7">
      <c r="A610" s="1" t="s">
        <v>636</v>
      </c>
      <c r="B610" s="1" t="s">
        <v>15</v>
      </c>
      <c r="C610" s="1" t="s">
        <v>701</v>
      </c>
      <c r="D610" s="3">
        <v>26829.48</v>
      </c>
      <c r="E610" s="3">
        <v>9728167.2699999996</v>
      </c>
      <c r="F610" s="1" t="s">
        <v>3048</v>
      </c>
      <c r="G610" s="19">
        <f t="shared" si="70"/>
        <v>26829.48</v>
      </c>
    </row>
    <row r="611" spans="1:7">
      <c r="A611" s="1" t="s">
        <v>636</v>
      </c>
      <c r="B611" s="1" t="s">
        <v>15</v>
      </c>
      <c r="C611" s="1" t="s">
        <v>702</v>
      </c>
      <c r="D611" s="3">
        <v>7014.96</v>
      </c>
      <c r="E611" s="3">
        <v>9735182.2300000004</v>
      </c>
      <c r="F611" s="1" t="s">
        <v>3048</v>
      </c>
      <c r="G611" s="19">
        <f t="shared" si="70"/>
        <v>7014.96</v>
      </c>
    </row>
    <row r="612" spans="1:7">
      <c r="A612" s="1" t="s">
        <v>636</v>
      </c>
      <c r="B612" s="1" t="s">
        <v>15</v>
      </c>
      <c r="C612" s="1" t="s">
        <v>703</v>
      </c>
      <c r="D612" s="3">
        <v>44428.08</v>
      </c>
      <c r="E612" s="3">
        <v>9779610.3100000005</v>
      </c>
      <c r="F612" s="1" t="s">
        <v>3048</v>
      </c>
      <c r="G612" s="19">
        <f t="shared" si="70"/>
        <v>44428.08</v>
      </c>
    </row>
    <row r="613" spans="1:7">
      <c r="A613" s="1" t="s">
        <v>904</v>
      </c>
      <c r="B613" s="1" t="s">
        <v>998</v>
      </c>
      <c r="C613" s="1" t="s">
        <v>999</v>
      </c>
      <c r="D613" s="2">
        <v>244.75</v>
      </c>
      <c r="E613" s="3">
        <v>16465455.02</v>
      </c>
      <c r="F613" s="2" t="s">
        <v>3048</v>
      </c>
      <c r="G613" s="19">
        <f t="shared" si="70"/>
        <v>244.75</v>
      </c>
    </row>
    <row r="614" spans="1:7">
      <c r="A614" s="1" t="s">
        <v>636</v>
      </c>
      <c r="B614" s="1" t="s">
        <v>15</v>
      </c>
      <c r="C614" s="1" t="s">
        <v>706</v>
      </c>
      <c r="D614" s="3">
        <v>1889.4</v>
      </c>
      <c r="E614" s="3">
        <v>9785963.9499999993</v>
      </c>
      <c r="F614" s="1" t="s">
        <v>3048</v>
      </c>
      <c r="G614" s="19">
        <f t="shared" si="70"/>
        <v>1889.4</v>
      </c>
    </row>
    <row r="615" spans="1:7">
      <c r="A615" s="1" t="s">
        <v>636</v>
      </c>
      <c r="B615" s="1" t="s">
        <v>15</v>
      </c>
      <c r="C615" s="1" t="s">
        <v>707</v>
      </c>
      <c r="D615" s="3">
        <v>9069.1200000000008</v>
      </c>
      <c r="E615" s="3">
        <v>9795033.0700000003</v>
      </c>
      <c r="F615" s="1" t="s">
        <v>3048</v>
      </c>
      <c r="G615" s="19">
        <f t="shared" si="70"/>
        <v>9069.1200000000008</v>
      </c>
    </row>
    <row r="616" spans="1:7">
      <c r="A616" s="1" t="s">
        <v>636</v>
      </c>
      <c r="B616" s="1" t="s">
        <v>15</v>
      </c>
      <c r="C616" s="1" t="s">
        <v>708</v>
      </c>
      <c r="D616" s="3">
        <v>1169.1600000000001</v>
      </c>
      <c r="E616" s="3">
        <v>9796202.2300000004</v>
      </c>
      <c r="F616" s="1" t="s">
        <v>3048</v>
      </c>
      <c r="G616" s="19">
        <f t="shared" si="70"/>
        <v>1169.1600000000001</v>
      </c>
    </row>
    <row r="617" spans="1:7">
      <c r="A617" s="1" t="s">
        <v>636</v>
      </c>
      <c r="B617" s="1" t="s">
        <v>15</v>
      </c>
      <c r="C617" s="1" t="s">
        <v>709</v>
      </c>
      <c r="D617" s="3">
        <v>33321.06</v>
      </c>
      <c r="E617" s="3">
        <v>9829523.2899999991</v>
      </c>
      <c r="F617" s="1" t="s">
        <v>3048</v>
      </c>
      <c r="G617" s="19">
        <f t="shared" si="70"/>
        <v>33321.06</v>
      </c>
    </row>
    <row r="618" spans="1:7">
      <c r="A618" s="1" t="s">
        <v>636</v>
      </c>
      <c r="B618" s="1" t="s">
        <v>15</v>
      </c>
      <c r="C618" s="1" t="s">
        <v>710</v>
      </c>
      <c r="D618" s="3">
        <v>4676.6400000000003</v>
      </c>
      <c r="E618" s="3">
        <v>9834199.9299999997</v>
      </c>
      <c r="F618" s="1" t="s">
        <v>3048</v>
      </c>
      <c r="G618" s="19">
        <f t="shared" si="70"/>
        <v>4676.6400000000003</v>
      </c>
    </row>
    <row r="619" spans="1:7">
      <c r="A619" s="1" t="s">
        <v>636</v>
      </c>
      <c r="B619" s="1" t="s">
        <v>15</v>
      </c>
      <c r="C619" s="1" t="s">
        <v>711</v>
      </c>
      <c r="D619" s="3">
        <v>9158.42</v>
      </c>
      <c r="E619" s="3">
        <v>9843358.3499999996</v>
      </c>
      <c r="F619" s="1" t="s">
        <v>3048</v>
      </c>
      <c r="G619" s="19">
        <f t="shared" si="70"/>
        <v>9158.42</v>
      </c>
    </row>
    <row r="620" spans="1:7">
      <c r="A620" s="1" t="s">
        <v>636</v>
      </c>
      <c r="B620" s="1" t="s">
        <v>15</v>
      </c>
      <c r="C620" s="1" t="s">
        <v>712</v>
      </c>
      <c r="D620" s="3">
        <v>4676.6400000000003</v>
      </c>
      <c r="E620" s="3">
        <v>9848034.9900000002</v>
      </c>
      <c r="F620" s="1" t="s">
        <v>3048</v>
      </c>
      <c r="G620" s="19">
        <f t="shared" si="70"/>
        <v>4676.6400000000003</v>
      </c>
    </row>
    <row r="621" spans="1:7">
      <c r="A621" s="1" t="s">
        <v>636</v>
      </c>
      <c r="B621" s="1" t="s">
        <v>15</v>
      </c>
      <c r="C621" s="1" t="s">
        <v>713</v>
      </c>
      <c r="D621" s="3">
        <v>8184.12</v>
      </c>
      <c r="E621" s="3">
        <v>9856219.1099999994</v>
      </c>
      <c r="F621" s="1" t="s">
        <v>3048</v>
      </c>
      <c r="G621" s="19">
        <f t="shared" si="70"/>
        <v>8184.12</v>
      </c>
    </row>
    <row r="622" spans="1:7">
      <c r="A622" s="1" t="s">
        <v>121</v>
      </c>
      <c r="B622" s="1" t="s">
        <v>165</v>
      </c>
      <c r="C622" s="1" t="s">
        <v>166</v>
      </c>
      <c r="D622" s="2">
        <v>352.44</v>
      </c>
      <c r="E622" s="3">
        <v>11987922.9</v>
      </c>
      <c r="F622" s="2" t="s">
        <v>3048</v>
      </c>
      <c r="G622" s="19">
        <f t="shared" ref="G622:G685" si="71">+D622</f>
        <v>352.44</v>
      </c>
    </row>
    <row r="623" spans="1:7">
      <c r="A623" s="1" t="s">
        <v>636</v>
      </c>
      <c r="B623" s="1" t="s">
        <v>15</v>
      </c>
      <c r="C623" s="1" t="s">
        <v>716</v>
      </c>
      <c r="D623" s="3">
        <v>21044.880000000001</v>
      </c>
      <c r="E623" s="3">
        <v>9877675.1699999999</v>
      </c>
      <c r="F623" s="1" t="s">
        <v>3048</v>
      </c>
      <c r="G623" s="19">
        <f t="shared" si="71"/>
        <v>21044.880000000001</v>
      </c>
    </row>
    <row r="624" spans="1:7">
      <c r="A624" s="1" t="s">
        <v>636</v>
      </c>
      <c r="B624" s="1" t="s">
        <v>15</v>
      </c>
      <c r="C624" s="1" t="s">
        <v>717</v>
      </c>
      <c r="D624" s="3">
        <v>23423.82</v>
      </c>
      <c r="E624" s="3">
        <v>9901098.9900000002</v>
      </c>
      <c r="F624" s="1" t="s">
        <v>3048</v>
      </c>
      <c r="G624" s="19">
        <f t="shared" si="71"/>
        <v>23423.82</v>
      </c>
    </row>
    <row r="625" spans="1:7">
      <c r="A625" s="1" t="s">
        <v>1793</v>
      </c>
      <c r="B625" s="1" t="s">
        <v>1804</v>
      </c>
      <c r="C625" s="1" t="s">
        <v>1805</v>
      </c>
      <c r="D625" s="2">
        <v>195.8</v>
      </c>
      <c r="E625" s="3">
        <v>9964333.2599999998</v>
      </c>
      <c r="F625" s="2" t="s">
        <v>3048</v>
      </c>
      <c r="G625" s="19">
        <f t="shared" si="71"/>
        <v>195.8</v>
      </c>
    </row>
    <row r="626" spans="1:7">
      <c r="A626" s="1" t="s">
        <v>636</v>
      </c>
      <c r="B626" s="1" t="s">
        <v>15</v>
      </c>
      <c r="C626" s="1" t="s">
        <v>719</v>
      </c>
      <c r="D626" s="3">
        <v>11301.88</v>
      </c>
      <c r="E626" s="3">
        <v>9913663.7799999993</v>
      </c>
      <c r="F626" s="1" t="s">
        <v>3048</v>
      </c>
      <c r="G626" s="19">
        <f t="shared" si="71"/>
        <v>11301.88</v>
      </c>
    </row>
    <row r="627" spans="1:7">
      <c r="A627" s="1" t="s">
        <v>636</v>
      </c>
      <c r="B627" s="1" t="s">
        <v>15</v>
      </c>
      <c r="C627" s="1" t="s">
        <v>720</v>
      </c>
      <c r="D627" s="3">
        <v>72995.16</v>
      </c>
      <c r="E627" s="3">
        <v>9986658.9399999995</v>
      </c>
      <c r="F627" s="1" t="s">
        <v>3048</v>
      </c>
      <c r="G627" s="19">
        <f t="shared" si="71"/>
        <v>72995.16</v>
      </c>
    </row>
    <row r="628" spans="1:7">
      <c r="A628" s="1" t="s">
        <v>636</v>
      </c>
      <c r="B628" s="1" t="s">
        <v>15</v>
      </c>
      <c r="C628" s="1" t="s">
        <v>721</v>
      </c>
      <c r="D628" s="3">
        <v>9450.7099999999991</v>
      </c>
      <c r="E628" s="3">
        <v>9996109.6500000004</v>
      </c>
      <c r="F628" s="1" t="s">
        <v>3048</v>
      </c>
      <c r="G628" s="19">
        <f t="shared" si="71"/>
        <v>9450.7099999999991</v>
      </c>
    </row>
    <row r="629" spans="1:7">
      <c r="A629" s="1" t="s">
        <v>636</v>
      </c>
      <c r="B629" s="1" t="s">
        <v>15</v>
      </c>
      <c r="C629" s="1" t="s">
        <v>722</v>
      </c>
      <c r="D629" s="3">
        <v>4189.49</v>
      </c>
      <c r="E629" s="3">
        <v>10000299.140000001</v>
      </c>
      <c r="F629" s="1" t="s">
        <v>3048</v>
      </c>
      <c r="G629" s="19">
        <f t="shared" si="71"/>
        <v>4189.49</v>
      </c>
    </row>
    <row r="630" spans="1:7">
      <c r="A630" s="1" t="s">
        <v>121</v>
      </c>
      <c r="B630" s="1" t="s">
        <v>142</v>
      </c>
      <c r="C630" s="1" t="s">
        <v>143</v>
      </c>
      <c r="D630" s="3">
        <v>2927.21</v>
      </c>
      <c r="E630" s="3">
        <v>11704043.24</v>
      </c>
      <c r="F630" s="2" t="s">
        <v>3048</v>
      </c>
      <c r="G630" s="19">
        <f t="shared" si="71"/>
        <v>2927.21</v>
      </c>
    </row>
    <row r="631" spans="1:7">
      <c r="A631" s="1" t="s">
        <v>636</v>
      </c>
      <c r="B631" s="1" t="s">
        <v>15</v>
      </c>
      <c r="C631" s="1" t="s">
        <v>725</v>
      </c>
      <c r="D631" s="3">
        <v>18706.560000000001</v>
      </c>
      <c r="E631" s="3">
        <v>10019216.18</v>
      </c>
      <c r="F631" s="1" t="s">
        <v>3048</v>
      </c>
      <c r="G631" s="19">
        <f t="shared" si="71"/>
        <v>18706.560000000001</v>
      </c>
    </row>
    <row r="632" spans="1:7">
      <c r="A632" s="1" t="s">
        <v>636</v>
      </c>
      <c r="B632" s="1" t="s">
        <v>15</v>
      </c>
      <c r="C632" s="1" t="s">
        <v>726</v>
      </c>
      <c r="D632" s="3">
        <v>22483.86</v>
      </c>
      <c r="E632" s="3">
        <v>10041700.039999999</v>
      </c>
      <c r="F632" s="1" t="s">
        <v>3048</v>
      </c>
      <c r="G632" s="19">
        <f t="shared" si="71"/>
        <v>22483.86</v>
      </c>
    </row>
    <row r="633" spans="1:7">
      <c r="A633" s="1" t="s">
        <v>636</v>
      </c>
      <c r="B633" s="1" t="s">
        <v>15</v>
      </c>
      <c r="C633" s="1" t="s">
        <v>727</v>
      </c>
      <c r="D633" s="3">
        <v>9548.14</v>
      </c>
      <c r="E633" s="3">
        <v>10051248.18</v>
      </c>
      <c r="F633" s="1" t="s">
        <v>3048</v>
      </c>
      <c r="G633" s="19">
        <f t="shared" si="71"/>
        <v>9548.14</v>
      </c>
    </row>
    <row r="634" spans="1:7">
      <c r="A634" s="1" t="s">
        <v>636</v>
      </c>
      <c r="B634" s="1" t="s">
        <v>15</v>
      </c>
      <c r="C634" s="1" t="s">
        <v>728</v>
      </c>
      <c r="D634" s="3">
        <v>49464.22</v>
      </c>
      <c r="E634" s="3">
        <v>10100712.4</v>
      </c>
      <c r="F634" s="1" t="s">
        <v>3048</v>
      </c>
      <c r="G634" s="19">
        <f t="shared" si="71"/>
        <v>49464.22</v>
      </c>
    </row>
    <row r="635" spans="1:7">
      <c r="A635" s="1" t="s">
        <v>636</v>
      </c>
      <c r="B635" s="1" t="s">
        <v>15</v>
      </c>
      <c r="C635" s="1" t="s">
        <v>729</v>
      </c>
      <c r="D635" s="3">
        <v>13603.68</v>
      </c>
      <c r="E635" s="3">
        <v>10114316.08</v>
      </c>
      <c r="F635" s="1" t="s">
        <v>3048</v>
      </c>
      <c r="G635" s="19">
        <f t="shared" si="71"/>
        <v>13603.68</v>
      </c>
    </row>
    <row r="636" spans="1:7">
      <c r="A636" s="1" t="s">
        <v>636</v>
      </c>
      <c r="B636" s="1" t="s">
        <v>15</v>
      </c>
      <c r="C636" s="1" t="s">
        <v>730</v>
      </c>
      <c r="D636" s="3">
        <v>60466.14</v>
      </c>
      <c r="E636" s="3">
        <v>10174782.220000001</v>
      </c>
      <c r="F636" s="1" t="s">
        <v>3048</v>
      </c>
      <c r="G636" s="19">
        <f t="shared" si="71"/>
        <v>60466.14</v>
      </c>
    </row>
    <row r="637" spans="1:7">
      <c r="A637" s="1" t="s">
        <v>636</v>
      </c>
      <c r="B637" s="1" t="s">
        <v>15</v>
      </c>
      <c r="C637" s="1" t="s">
        <v>731</v>
      </c>
      <c r="D637" s="3">
        <v>105770.35</v>
      </c>
      <c r="E637" s="3">
        <v>10280552.57</v>
      </c>
      <c r="F637" s="1" t="s">
        <v>3048</v>
      </c>
      <c r="G637" s="19">
        <f t="shared" si="71"/>
        <v>105770.35</v>
      </c>
    </row>
    <row r="638" spans="1:7">
      <c r="A638" s="1" t="s">
        <v>636</v>
      </c>
      <c r="B638" s="1" t="s">
        <v>15</v>
      </c>
      <c r="C638" s="1" t="s">
        <v>732</v>
      </c>
      <c r="D638" s="3">
        <v>49662.13</v>
      </c>
      <c r="E638" s="3">
        <v>10330214.699999999</v>
      </c>
      <c r="F638" s="1" t="s">
        <v>3048</v>
      </c>
      <c r="G638" s="19">
        <f t="shared" si="71"/>
        <v>49662.13</v>
      </c>
    </row>
    <row r="639" spans="1:7">
      <c r="A639" s="1" t="s">
        <v>636</v>
      </c>
      <c r="B639" s="1" t="s">
        <v>15</v>
      </c>
      <c r="C639" s="1" t="s">
        <v>733</v>
      </c>
      <c r="D639" s="3">
        <v>30323.86</v>
      </c>
      <c r="E639" s="3">
        <v>10360538.560000001</v>
      </c>
      <c r="F639" s="1" t="s">
        <v>3048</v>
      </c>
      <c r="G639" s="19">
        <f t="shared" si="71"/>
        <v>30323.86</v>
      </c>
    </row>
    <row r="640" spans="1:7">
      <c r="A640" s="1" t="s">
        <v>636</v>
      </c>
      <c r="B640" s="1" t="s">
        <v>15</v>
      </c>
      <c r="C640" s="1" t="s">
        <v>734</v>
      </c>
      <c r="D640" s="3">
        <v>19933.169999999998</v>
      </c>
      <c r="E640" s="3">
        <v>10380471.73</v>
      </c>
      <c r="F640" s="1" t="s">
        <v>3048</v>
      </c>
      <c r="G640" s="19">
        <f t="shared" si="71"/>
        <v>19933.169999999998</v>
      </c>
    </row>
    <row r="641" spans="1:7">
      <c r="A641" s="1" t="s">
        <v>636</v>
      </c>
      <c r="B641" s="1" t="s">
        <v>15</v>
      </c>
      <c r="C641" s="1" t="s">
        <v>735</v>
      </c>
      <c r="D641" s="3">
        <v>4599.1400000000003</v>
      </c>
      <c r="E641" s="3">
        <v>10385070.869999999</v>
      </c>
      <c r="F641" s="1" t="s">
        <v>3048</v>
      </c>
      <c r="G641" s="19">
        <f t="shared" si="71"/>
        <v>4599.1400000000003</v>
      </c>
    </row>
    <row r="642" spans="1:7">
      <c r="A642" s="1" t="s">
        <v>636</v>
      </c>
      <c r="B642" s="1" t="s">
        <v>15</v>
      </c>
      <c r="C642" s="1" t="s">
        <v>736</v>
      </c>
      <c r="D642" s="3">
        <v>24162.639999999999</v>
      </c>
      <c r="E642" s="3">
        <v>10409233.51</v>
      </c>
      <c r="F642" s="1" t="s">
        <v>3048</v>
      </c>
      <c r="G642" s="19">
        <f t="shared" si="71"/>
        <v>24162.639999999999</v>
      </c>
    </row>
    <row r="643" spans="1:7">
      <c r="A643" s="1" t="s">
        <v>636</v>
      </c>
      <c r="B643" s="1" t="s">
        <v>15</v>
      </c>
      <c r="C643" s="1" t="s">
        <v>737</v>
      </c>
      <c r="D643" s="3">
        <v>47120.01</v>
      </c>
      <c r="E643" s="3">
        <v>10456353.52</v>
      </c>
      <c r="F643" s="1" t="s">
        <v>3048</v>
      </c>
      <c r="G643" s="19">
        <f t="shared" si="71"/>
        <v>47120.01</v>
      </c>
    </row>
    <row r="644" spans="1:7">
      <c r="A644" s="1" t="s">
        <v>636</v>
      </c>
      <c r="B644" s="1" t="s">
        <v>15</v>
      </c>
      <c r="C644" s="1" t="s">
        <v>738</v>
      </c>
      <c r="D644" s="3">
        <v>8715.84</v>
      </c>
      <c r="E644" s="3">
        <v>10465069.359999999</v>
      </c>
      <c r="F644" s="1" t="s">
        <v>3048</v>
      </c>
      <c r="G644" s="19">
        <f t="shared" si="71"/>
        <v>8715.84</v>
      </c>
    </row>
    <row r="645" spans="1:7">
      <c r="A645" s="1" t="s">
        <v>636</v>
      </c>
      <c r="B645" s="1" t="s">
        <v>15</v>
      </c>
      <c r="C645" s="1" t="s">
        <v>739</v>
      </c>
      <c r="D645" s="3">
        <v>14322.21</v>
      </c>
      <c r="E645" s="3">
        <v>10479391.57</v>
      </c>
      <c r="F645" s="1" t="s">
        <v>3048</v>
      </c>
      <c r="G645" s="19">
        <f t="shared" si="71"/>
        <v>14322.21</v>
      </c>
    </row>
    <row r="646" spans="1:7">
      <c r="A646" s="1" t="s">
        <v>636</v>
      </c>
      <c r="B646" s="1" t="s">
        <v>15</v>
      </c>
      <c r="C646" s="1" t="s">
        <v>740</v>
      </c>
      <c r="D646" s="3">
        <v>27872.53</v>
      </c>
      <c r="E646" s="3">
        <v>10507264.1</v>
      </c>
      <c r="F646" s="1" t="s">
        <v>3048</v>
      </c>
      <c r="G646" s="19">
        <f t="shared" si="71"/>
        <v>27872.53</v>
      </c>
    </row>
    <row r="647" spans="1:7">
      <c r="A647" s="1" t="s">
        <v>636</v>
      </c>
      <c r="B647" s="1" t="s">
        <v>15</v>
      </c>
      <c r="C647" s="1" t="s">
        <v>741</v>
      </c>
      <c r="D647" s="3">
        <v>36146.53</v>
      </c>
      <c r="E647" s="3">
        <v>10543410.630000001</v>
      </c>
      <c r="F647" s="1" t="s">
        <v>3048</v>
      </c>
      <c r="G647" s="19">
        <f t="shared" si="71"/>
        <v>36146.53</v>
      </c>
    </row>
    <row r="648" spans="1:7">
      <c r="A648" s="1" t="s">
        <v>636</v>
      </c>
      <c r="B648" s="1" t="s">
        <v>15</v>
      </c>
      <c r="C648" s="1" t="s">
        <v>742</v>
      </c>
      <c r="D648" s="3">
        <v>34165.040000000001</v>
      </c>
      <c r="E648" s="3">
        <v>10577575.67</v>
      </c>
      <c r="F648" s="1" t="s">
        <v>3048</v>
      </c>
      <c r="G648" s="19">
        <f t="shared" si="71"/>
        <v>34165.040000000001</v>
      </c>
    </row>
    <row r="649" spans="1:7">
      <c r="A649" s="1" t="s">
        <v>636</v>
      </c>
      <c r="B649" s="1" t="s">
        <v>15</v>
      </c>
      <c r="C649" s="1" t="s">
        <v>743</v>
      </c>
      <c r="D649" s="3">
        <v>5650.94</v>
      </c>
      <c r="E649" s="3">
        <v>10583226.609999999</v>
      </c>
      <c r="F649" s="1" t="s">
        <v>3048</v>
      </c>
      <c r="G649" s="19">
        <f t="shared" si="71"/>
        <v>5650.94</v>
      </c>
    </row>
    <row r="650" spans="1:7">
      <c r="A650" s="1" t="s">
        <v>636</v>
      </c>
      <c r="B650" s="1" t="s">
        <v>15</v>
      </c>
      <c r="C650" s="1" t="s">
        <v>744</v>
      </c>
      <c r="D650" s="3">
        <v>48812.43</v>
      </c>
      <c r="E650" s="3">
        <v>10632039.039999999</v>
      </c>
      <c r="F650" s="1" t="s">
        <v>3048</v>
      </c>
      <c r="G650" s="19">
        <f t="shared" si="71"/>
        <v>48812.43</v>
      </c>
    </row>
    <row r="651" spans="1:7">
      <c r="A651" s="1" t="s">
        <v>636</v>
      </c>
      <c r="B651" s="1" t="s">
        <v>15</v>
      </c>
      <c r="C651" s="1" t="s">
        <v>745</v>
      </c>
      <c r="D651" s="3">
        <v>92512.12</v>
      </c>
      <c r="E651" s="3">
        <v>10724551.16</v>
      </c>
      <c r="F651" s="1" t="s">
        <v>3048</v>
      </c>
      <c r="G651" s="19">
        <f t="shared" si="71"/>
        <v>92512.12</v>
      </c>
    </row>
    <row r="652" spans="1:7">
      <c r="A652" s="1" t="s">
        <v>636</v>
      </c>
      <c r="B652" s="1" t="s">
        <v>15</v>
      </c>
      <c r="C652" s="1" t="s">
        <v>746</v>
      </c>
      <c r="D652" s="3">
        <v>39361.72</v>
      </c>
      <c r="E652" s="3">
        <v>10763912.880000001</v>
      </c>
      <c r="F652" s="1" t="s">
        <v>3048</v>
      </c>
      <c r="G652" s="19">
        <f t="shared" si="71"/>
        <v>39361.72</v>
      </c>
    </row>
    <row r="653" spans="1:7">
      <c r="A653" s="1" t="s">
        <v>636</v>
      </c>
      <c r="B653" s="1" t="s">
        <v>15</v>
      </c>
      <c r="C653" s="1" t="s">
        <v>747</v>
      </c>
      <c r="D653" s="3">
        <v>20655.16</v>
      </c>
      <c r="E653" s="3">
        <v>10784568.039999999</v>
      </c>
      <c r="F653" s="1" t="s">
        <v>3048</v>
      </c>
      <c r="G653" s="19">
        <f t="shared" si="71"/>
        <v>20655.16</v>
      </c>
    </row>
    <row r="654" spans="1:7">
      <c r="A654" s="1" t="s">
        <v>636</v>
      </c>
      <c r="B654" s="1" t="s">
        <v>15</v>
      </c>
      <c r="C654" s="1" t="s">
        <v>748</v>
      </c>
      <c r="D654" s="3">
        <v>30690.45</v>
      </c>
      <c r="E654" s="3">
        <v>10815258.49</v>
      </c>
      <c r="F654" s="1" t="s">
        <v>3048</v>
      </c>
      <c r="G654" s="19">
        <f t="shared" si="71"/>
        <v>30690.45</v>
      </c>
    </row>
    <row r="655" spans="1:7">
      <c r="A655" s="1" t="s">
        <v>636</v>
      </c>
      <c r="B655" s="1" t="s">
        <v>15</v>
      </c>
      <c r="C655" s="1" t="s">
        <v>749</v>
      </c>
      <c r="D655" s="3">
        <v>43062.65</v>
      </c>
      <c r="E655" s="3">
        <v>10858321.140000001</v>
      </c>
      <c r="F655" s="1" t="s">
        <v>3048</v>
      </c>
      <c r="G655" s="19">
        <f t="shared" si="71"/>
        <v>43062.65</v>
      </c>
    </row>
    <row r="656" spans="1:7">
      <c r="A656" s="1" t="s">
        <v>636</v>
      </c>
      <c r="B656" s="1" t="s">
        <v>15</v>
      </c>
      <c r="C656" s="1" t="s">
        <v>750</v>
      </c>
      <c r="D656" s="3">
        <v>4676.6400000000003</v>
      </c>
      <c r="E656" s="3">
        <v>10862997.779999999</v>
      </c>
      <c r="F656" s="1" t="s">
        <v>3048</v>
      </c>
      <c r="G656" s="19">
        <f t="shared" si="71"/>
        <v>4676.6400000000003</v>
      </c>
    </row>
    <row r="657" spans="1:7">
      <c r="A657" s="1" t="s">
        <v>636</v>
      </c>
      <c r="B657" s="1" t="s">
        <v>15</v>
      </c>
      <c r="C657" s="1" t="s">
        <v>751</v>
      </c>
      <c r="D657" s="3">
        <v>7794.4</v>
      </c>
      <c r="E657" s="3">
        <v>10870792.18</v>
      </c>
      <c r="F657" s="1" t="s">
        <v>3048</v>
      </c>
      <c r="G657" s="19">
        <f t="shared" si="71"/>
        <v>7794.4</v>
      </c>
    </row>
    <row r="658" spans="1:7">
      <c r="A658" s="1" t="s">
        <v>636</v>
      </c>
      <c r="B658" s="1" t="s">
        <v>15</v>
      </c>
      <c r="C658" s="1" t="s">
        <v>752</v>
      </c>
      <c r="D658" s="3">
        <v>3897.2</v>
      </c>
      <c r="E658" s="3">
        <v>10874689.380000001</v>
      </c>
      <c r="F658" s="1" t="s">
        <v>3048</v>
      </c>
      <c r="G658" s="19">
        <f t="shared" si="71"/>
        <v>3897.2</v>
      </c>
    </row>
    <row r="659" spans="1:7">
      <c r="A659" s="1" t="s">
        <v>636</v>
      </c>
      <c r="B659" s="1" t="s">
        <v>15</v>
      </c>
      <c r="C659" s="1" t="s">
        <v>753</v>
      </c>
      <c r="D659" s="3">
        <v>85796.55</v>
      </c>
      <c r="E659" s="3">
        <v>10960485.93</v>
      </c>
      <c r="F659" s="1" t="s">
        <v>3048</v>
      </c>
      <c r="G659" s="19">
        <f t="shared" si="71"/>
        <v>85796.55</v>
      </c>
    </row>
    <row r="660" spans="1:7">
      <c r="A660" s="1" t="s">
        <v>636</v>
      </c>
      <c r="B660" s="1" t="s">
        <v>15</v>
      </c>
      <c r="C660" s="1" t="s">
        <v>754</v>
      </c>
      <c r="D660" s="3">
        <v>4481.78</v>
      </c>
      <c r="E660" s="3">
        <v>10964967.710000001</v>
      </c>
      <c r="F660" s="1" t="s">
        <v>3048</v>
      </c>
      <c r="G660" s="19">
        <f t="shared" si="71"/>
        <v>4481.78</v>
      </c>
    </row>
    <row r="661" spans="1:7">
      <c r="A661" s="1" t="s">
        <v>636</v>
      </c>
      <c r="B661" s="1" t="s">
        <v>15</v>
      </c>
      <c r="C661" s="1" t="s">
        <v>755</v>
      </c>
      <c r="D661" s="3">
        <v>13797.42</v>
      </c>
      <c r="E661" s="3">
        <v>10978765.130000001</v>
      </c>
      <c r="F661" s="1" t="s">
        <v>3048</v>
      </c>
      <c r="G661" s="19">
        <f t="shared" si="71"/>
        <v>13797.42</v>
      </c>
    </row>
    <row r="662" spans="1:7">
      <c r="A662" s="1" t="s">
        <v>636</v>
      </c>
      <c r="B662" s="1" t="s">
        <v>15</v>
      </c>
      <c r="C662" s="1" t="s">
        <v>756</v>
      </c>
      <c r="D662" s="3">
        <v>82523.210000000006</v>
      </c>
      <c r="E662" s="3">
        <v>11061288.34</v>
      </c>
      <c r="F662" s="1" t="s">
        <v>3048</v>
      </c>
      <c r="G662" s="19">
        <f t="shared" si="71"/>
        <v>82523.210000000006</v>
      </c>
    </row>
    <row r="663" spans="1:7">
      <c r="A663" s="1" t="s">
        <v>636</v>
      </c>
      <c r="B663" s="1" t="s">
        <v>15</v>
      </c>
      <c r="C663" s="1" t="s">
        <v>757</v>
      </c>
      <c r="D663" s="3">
        <v>16757.96</v>
      </c>
      <c r="E663" s="3">
        <v>11078046.300000001</v>
      </c>
      <c r="F663" s="1" t="s">
        <v>3048</v>
      </c>
      <c r="G663" s="19">
        <f t="shared" si="71"/>
        <v>16757.96</v>
      </c>
    </row>
    <row r="664" spans="1:7">
      <c r="A664" s="1" t="s">
        <v>1286</v>
      </c>
      <c r="B664" s="1" t="s">
        <v>1312</v>
      </c>
      <c r="C664" s="1" t="s">
        <v>1313</v>
      </c>
      <c r="D664" s="3">
        <v>1674.09</v>
      </c>
      <c r="E664" s="3">
        <v>13911733.789999999</v>
      </c>
      <c r="F664" s="2" t="s">
        <v>3048</v>
      </c>
      <c r="G664" s="19">
        <f t="shared" si="71"/>
        <v>1674.09</v>
      </c>
    </row>
    <row r="665" spans="1:7">
      <c r="A665" s="1" t="s">
        <v>636</v>
      </c>
      <c r="B665" s="1" t="s">
        <v>15</v>
      </c>
      <c r="C665" s="1" t="s">
        <v>759</v>
      </c>
      <c r="D665" s="3">
        <v>12471.04</v>
      </c>
      <c r="E665" s="3">
        <v>11091359.279999999</v>
      </c>
      <c r="F665" s="1" t="s">
        <v>3048</v>
      </c>
      <c r="G665" s="19">
        <f t="shared" si="71"/>
        <v>12471.04</v>
      </c>
    </row>
    <row r="666" spans="1:7">
      <c r="A666" s="1" t="s">
        <v>636</v>
      </c>
      <c r="B666" s="1" t="s">
        <v>15</v>
      </c>
      <c r="C666" s="1" t="s">
        <v>760</v>
      </c>
      <c r="D666" s="3">
        <v>18803.990000000002</v>
      </c>
      <c r="E666" s="3">
        <v>11110163.27</v>
      </c>
      <c r="F666" s="1" t="s">
        <v>3048</v>
      </c>
      <c r="G666" s="19">
        <f t="shared" si="71"/>
        <v>18803.990000000002</v>
      </c>
    </row>
    <row r="667" spans="1:7">
      <c r="A667" s="1" t="s">
        <v>761</v>
      </c>
      <c r="B667" s="1" t="s">
        <v>15</v>
      </c>
      <c r="C667" s="1" t="s">
        <v>762</v>
      </c>
      <c r="D667" s="3">
        <v>4448.71</v>
      </c>
      <c r="E667" s="3">
        <v>11114611.98</v>
      </c>
      <c r="F667" s="1" t="s">
        <v>3048</v>
      </c>
      <c r="G667" s="19">
        <f t="shared" si="71"/>
        <v>4448.71</v>
      </c>
    </row>
    <row r="668" spans="1:7">
      <c r="A668" s="1" t="s">
        <v>761</v>
      </c>
      <c r="B668" s="1" t="s">
        <v>15</v>
      </c>
      <c r="C668" s="1" t="s">
        <v>763</v>
      </c>
      <c r="D668" s="3">
        <v>50079.02</v>
      </c>
      <c r="E668" s="3">
        <v>11164691</v>
      </c>
      <c r="F668" s="1" t="s">
        <v>3048</v>
      </c>
      <c r="G668" s="19">
        <f t="shared" si="71"/>
        <v>50079.02</v>
      </c>
    </row>
    <row r="669" spans="1:7">
      <c r="A669" s="1" t="s">
        <v>761</v>
      </c>
      <c r="B669" s="1" t="s">
        <v>15</v>
      </c>
      <c r="C669" s="1" t="s">
        <v>764</v>
      </c>
      <c r="D669" s="3">
        <v>65514.28</v>
      </c>
      <c r="E669" s="3">
        <v>11230205.279999999</v>
      </c>
      <c r="F669" s="1" t="s">
        <v>3048</v>
      </c>
      <c r="G669" s="19">
        <f t="shared" si="71"/>
        <v>65514.28</v>
      </c>
    </row>
    <row r="670" spans="1:7">
      <c r="A670" s="1" t="s">
        <v>761</v>
      </c>
      <c r="B670" s="1" t="s">
        <v>15</v>
      </c>
      <c r="C670" s="1" t="s">
        <v>765</v>
      </c>
      <c r="D670" s="3">
        <v>91584.2</v>
      </c>
      <c r="E670" s="3">
        <v>11321789.48</v>
      </c>
      <c r="F670" s="1" t="s">
        <v>3048</v>
      </c>
      <c r="G670" s="19">
        <f t="shared" si="71"/>
        <v>91584.2</v>
      </c>
    </row>
    <row r="671" spans="1:7">
      <c r="A671" s="1" t="s">
        <v>761</v>
      </c>
      <c r="B671" s="1" t="s">
        <v>15</v>
      </c>
      <c r="C671" s="1" t="s">
        <v>766</v>
      </c>
      <c r="D671" s="3">
        <v>37315.65</v>
      </c>
      <c r="E671" s="3">
        <v>11359105.130000001</v>
      </c>
      <c r="F671" s="1" t="s">
        <v>3048</v>
      </c>
      <c r="G671" s="19">
        <f t="shared" si="71"/>
        <v>37315.65</v>
      </c>
    </row>
    <row r="672" spans="1:7">
      <c r="A672" s="1" t="s">
        <v>761</v>
      </c>
      <c r="B672" s="1" t="s">
        <v>15</v>
      </c>
      <c r="C672" s="1" t="s">
        <v>767</v>
      </c>
      <c r="D672" s="3">
        <v>32781.089999999997</v>
      </c>
      <c r="E672" s="3">
        <v>11391886.220000001</v>
      </c>
      <c r="F672" s="1" t="s">
        <v>3048</v>
      </c>
      <c r="G672" s="19">
        <f t="shared" si="71"/>
        <v>32781.089999999997</v>
      </c>
    </row>
    <row r="673" spans="1:7">
      <c r="A673" s="1" t="s">
        <v>761</v>
      </c>
      <c r="B673" s="1" t="s">
        <v>15</v>
      </c>
      <c r="C673" s="1" t="s">
        <v>768</v>
      </c>
      <c r="D673" s="3">
        <v>8378.98</v>
      </c>
      <c r="E673" s="3">
        <v>11400265.199999999</v>
      </c>
      <c r="F673" s="1" t="s">
        <v>3048</v>
      </c>
      <c r="G673" s="19">
        <f t="shared" si="71"/>
        <v>8378.98</v>
      </c>
    </row>
    <row r="674" spans="1:7">
      <c r="A674" s="1" t="s">
        <v>761</v>
      </c>
      <c r="B674" s="1" t="s">
        <v>15</v>
      </c>
      <c r="C674" s="1" t="s">
        <v>769</v>
      </c>
      <c r="D674" s="3">
        <v>4092.06</v>
      </c>
      <c r="E674" s="3">
        <v>11404357.26</v>
      </c>
      <c r="F674" s="1" t="s">
        <v>3048</v>
      </c>
      <c r="G674" s="19">
        <f t="shared" si="71"/>
        <v>4092.06</v>
      </c>
    </row>
    <row r="675" spans="1:7">
      <c r="A675" s="1" t="s">
        <v>761</v>
      </c>
      <c r="B675" s="1" t="s">
        <v>15</v>
      </c>
      <c r="C675" s="1" t="s">
        <v>770</v>
      </c>
      <c r="D675" s="3">
        <v>71123.899999999994</v>
      </c>
      <c r="E675" s="3">
        <v>11475481.16</v>
      </c>
      <c r="F675" s="1" t="s">
        <v>3048</v>
      </c>
      <c r="G675" s="19">
        <f t="shared" si="71"/>
        <v>71123.899999999994</v>
      </c>
    </row>
    <row r="676" spans="1:7">
      <c r="A676" s="1" t="s">
        <v>761</v>
      </c>
      <c r="B676" s="1" t="s">
        <v>15</v>
      </c>
      <c r="C676" s="1" t="s">
        <v>771</v>
      </c>
      <c r="D676" s="3">
        <v>9743</v>
      </c>
      <c r="E676" s="3">
        <v>11485224.16</v>
      </c>
      <c r="F676" s="1" t="s">
        <v>3048</v>
      </c>
      <c r="G676" s="19">
        <f t="shared" si="71"/>
        <v>9743</v>
      </c>
    </row>
    <row r="677" spans="1:7">
      <c r="A677" s="1" t="s">
        <v>761</v>
      </c>
      <c r="B677" s="1" t="s">
        <v>15</v>
      </c>
      <c r="C677" s="1" t="s">
        <v>772</v>
      </c>
      <c r="D677" s="3">
        <v>30324.87</v>
      </c>
      <c r="E677" s="3">
        <v>11515549.029999999</v>
      </c>
      <c r="F677" s="1" t="s">
        <v>3048</v>
      </c>
      <c r="G677" s="19">
        <f t="shared" si="71"/>
        <v>30324.87</v>
      </c>
    </row>
    <row r="678" spans="1:7">
      <c r="A678" s="1" t="s">
        <v>1630</v>
      </c>
      <c r="B678" s="1" t="s">
        <v>1677</v>
      </c>
      <c r="C678" s="1" t="s">
        <v>1678</v>
      </c>
      <c r="D678" s="3">
        <v>4067.74</v>
      </c>
      <c r="E678" s="3">
        <v>13692033.84</v>
      </c>
      <c r="F678" s="2" t="s">
        <v>3048</v>
      </c>
      <c r="G678" s="19">
        <f t="shared" si="71"/>
        <v>4067.74</v>
      </c>
    </row>
    <row r="679" spans="1:7">
      <c r="A679" s="1" t="s">
        <v>761</v>
      </c>
      <c r="B679" s="1" t="s">
        <v>15</v>
      </c>
      <c r="C679" s="1" t="s">
        <v>775</v>
      </c>
      <c r="D679" s="3">
        <v>4505.28</v>
      </c>
      <c r="E679" s="3">
        <v>11490004.619999999</v>
      </c>
      <c r="F679" s="1" t="s">
        <v>3048</v>
      </c>
      <c r="G679" s="19">
        <f t="shared" si="71"/>
        <v>4505.28</v>
      </c>
    </row>
    <row r="680" spans="1:7">
      <c r="A680" s="1" t="s">
        <v>761</v>
      </c>
      <c r="B680" s="1" t="s">
        <v>15</v>
      </c>
      <c r="C680" s="1" t="s">
        <v>776</v>
      </c>
      <c r="D680" s="3">
        <v>64835.9</v>
      </c>
      <c r="E680" s="3">
        <v>11554840.52</v>
      </c>
      <c r="F680" s="1" t="s">
        <v>3048</v>
      </c>
      <c r="G680" s="19">
        <f t="shared" si="71"/>
        <v>64835.9</v>
      </c>
    </row>
    <row r="681" spans="1:7">
      <c r="A681" s="1" t="s">
        <v>761</v>
      </c>
      <c r="B681" s="1" t="s">
        <v>15</v>
      </c>
      <c r="C681" s="1" t="s">
        <v>777</v>
      </c>
      <c r="D681" s="3">
        <v>16796.150000000001</v>
      </c>
      <c r="E681" s="3">
        <v>11571636.67</v>
      </c>
      <c r="F681" s="1" t="s">
        <v>3048</v>
      </c>
      <c r="G681" s="19">
        <f t="shared" si="71"/>
        <v>16796.150000000001</v>
      </c>
    </row>
    <row r="682" spans="1:7">
      <c r="A682" s="1" t="s">
        <v>761</v>
      </c>
      <c r="B682" s="1" t="s">
        <v>15</v>
      </c>
      <c r="C682" s="1" t="s">
        <v>778</v>
      </c>
      <c r="D682" s="3">
        <v>51930.19</v>
      </c>
      <c r="E682" s="3">
        <v>11623566.859999999</v>
      </c>
      <c r="F682" s="1" t="s">
        <v>3048</v>
      </c>
      <c r="G682" s="19">
        <f t="shared" si="71"/>
        <v>51930.19</v>
      </c>
    </row>
    <row r="683" spans="1:7">
      <c r="A683" s="1" t="s">
        <v>761</v>
      </c>
      <c r="B683" s="1" t="s">
        <v>15</v>
      </c>
      <c r="C683" s="1" t="s">
        <v>779</v>
      </c>
      <c r="D683" s="3">
        <v>12347.44</v>
      </c>
      <c r="E683" s="3">
        <v>11635914.300000001</v>
      </c>
      <c r="F683" s="1" t="s">
        <v>3048</v>
      </c>
      <c r="G683" s="19">
        <f t="shared" si="71"/>
        <v>12347.44</v>
      </c>
    </row>
    <row r="684" spans="1:7">
      <c r="A684" s="1" t="s">
        <v>477</v>
      </c>
      <c r="B684" s="1" t="s">
        <v>499</v>
      </c>
      <c r="C684" s="1" t="s">
        <v>500</v>
      </c>
      <c r="D684" s="2">
        <v>234.96</v>
      </c>
      <c r="E684" s="3">
        <v>8770703.9600000009</v>
      </c>
      <c r="F684" s="2" t="s">
        <v>3048</v>
      </c>
      <c r="G684" s="19">
        <f t="shared" si="71"/>
        <v>234.96</v>
      </c>
    </row>
    <row r="685" spans="1:7">
      <c r="A685" s="1" t="s">
        <v>761</v>
      </c>
      <c r="B685" s="1" t="s">
        <v>15</v>
      </c>
      <c r="C685" s="1" t="s">
        <v>782</v>
      </c>
      <c r="D685" s="3">
        <v>41115.46</v>
      </c>
      <c r="E685" s="3">
        <v>11679026.92</v>
      </c>
      <c r="F685" s="1" t="s">
        <v>3048</v>
      </c>
      <c r="G685" s="19">
        <f t="shared" si="71"/>
        <v>41115.46</v>
      </c>
    </row>
    <row r="686" spans="1:7">
      <c r="A686" s="1" t="s">
        <v>761</v>
      </c>
      <c r="B686" s="1" t="s">
        <v>15</v>
      </c>
      <c r="C686" s="1" t="s">
        <v>783</v>
      </c>
      <c r="D686" s="3">
        <v>48713.34</v>
      </c>
      <c r="E686" s="3">
        <v>11727740.26</v>
      </c>
      <c r="F686" s="1" t="s">
        <v>3048</v>
      </c>
      <c r="G686" s="19">
        <f t="shared" ref="G686:G749" si="72">+D686</f>
        <v>48713.34</v>
      </c>
    </row>
    <row r="687" spans="1:7">
      <c r="A687" s="1" t="s">
        <v>761</v>
      </c>
      <c r="B687" s="1" t="s">
        <v>15</v>
      </c>
      <c r="C687" s="1" t="s">
        <v>784</v>
      </c>
      <c r="D687" s="3">
        <v>10327.58</v>
      </c>
      <c r="E687" s="3">
        <v>11738067.84</v>
      </c>
      <c r="F687" s="1" t="s">
        <v>3048</v>
      </c>
      <c r="G687" s="19">
        <f t="shared" si="72"/>
        <v>10327.58</v>
      </c>
    </row>
    <row r="688" spans="1:7">
      <c r="A688" s="1" t="s">
        <v>761</v>
      </c>
      <c r="B688" s="1" t="s">
        <v>15</v>
      </c>
      <c r="C688" s="1" t="s">
        <v>785</v>
      </c>
      <c r="D688" s="3">
        <v>8635.1200000000008</v>
      </c>
      <c r="E688" s="3">
        <v>11746702.960000001</v>
      </c>
      <c r="F688" s="1" t="s">
        <v>3048</v>
      </c>
      <c r="G688" s="19">
        <f t="shared" si="72"/>
        <v>8635.1200000000008</v>
      </c>
    </row>
    <row r="689" spans="1:7">
      <c r="A689" s="1" t="s">
        <v>761</v>
      </c>
      <c r="B689" s="1" t="s">
        <v>15</v>
      </c>
      <c r="C689" s="1" t="s">
        <v>786</v>
      </c>
      <c r="D689" s="3">
        <v>9840.43</v>
      </c>
      <c r="E689" s="3">
        <v>11756543.390000001</v>
      </c>
      <c r="F689" s="1" t="s">
        <v>3048</v>
      </c>
      <c r="G689" s="19">
        <f t="shared" si="72"/>
        <v>9840.43</v>
      </c>
    </row>
    <row r="690" spans="1:7">
      <c r="A690" s="1" t="s">
        <v>761</v>
      </c>
      <c r="B690" s="1" t="s">
        <v>15</v>
      </c>
      <c r="C690" s="1" t="s">
        <v>787</v>
      </c>
      <c r="D690" s="3">
        <v>12665.9</v>
      </c>
      <c r="E690" s="3">
        <v>11769209.289999999</v>
      </c>
      <c r="F690" s="1" t="s">
        <v>3048</v>
      </c>
      <c r="G690" s="19">
        <f t="shared" si="72"/>
        <v>12665.9</v>
      </c>
    </row>
    <row r="691" spans="1:7">
      <c r="A691" s="1" t="s">
        <v>761</v>
      </c>
      <c r="B691" s="1" t="s">
        <v>15</v>
      </c>
      <c r="C691" s="1" t="s">
        <v>788</v>
      </c>
      <c r="D691" s="3">
        <v>10327.58</v>
      </c>
      <c r="E691" s="3">
        <v>11779536.869999999</v>
      </c>
      <c r="F691" s="1" t="s">
        <v>3048</v>
      </c>
      <c r="G691" s="19">
        <f t="shared" si="72"/>
        <v>10327.58</v>
      </c>
    </row>
    <row r="692" spans="1:7">
      <c r="A692" s="1" t="s">
        <v>761</v>
      </c>
      <c r="B692" s="1" t="s">
        <v>15</v>
      </c>
      <c r="C692" s="1" t="s">
        <v>789</v>
      </c>
      <c r="D692" s="3">
        <v>4676.6400000000003</v>
      </c>
      <c r="E692" s="3">
        <v>11784213.51</v>
      </c>
      <c r="F692" s="1" t="s">
        <v>3048</v>
      </c>
      <c r="G692" s="19">
        <f t="shared" si="72"/>
        <v>4676.6400000000003</v>
      </c>
    </row>
    <row r="693" spans="1:7">
      <c r="A693" s="1" t="s">
        <v>761</v>
      </c>
      <c r="B693" s="1" t="s">
        <v>15</v>
      </c>
      <c r="C693" s="1" t="s">
        <v>790</v>
      </c>
      <c r="D693" s="3">
        <v>18121.98</v>
      </c>
      <c r="E693" s="3">
        <v>11802335.49</v>
      </c>
      <c r="F693" s="1" t="s">
        <v>3048</v>
      </c>
      <c r="G693" s="19">
        <f t="shared" si="72"/>
        <v>18121.98</v>
      </c>
    </row>
    <row r="694" spans="1:7">
      <c r="A694" s="1" t="s">
        <v>761</v>
      </c>
      <c r="B694" s="1" t="s">
        <v>15</v>
      </c>
      <c r="C694" s="1" t="s">
        <v>791</v>
      </c>
      <c r="D694" s="3">
        <v>41602.61</v>
      </c>
      <c r="E694" s="3">
        <v>11843938.1</v>
      </c>
      <c r="F694" s="1" t="s">
        <v>3048</v>
      </c>
      <c r="G694" s="19">
        <f t="shared" si="72"/>
        <v>41602.61</v>
      </c>
    </row>
    <row r="695" spans="1:7">
      <c r="A695" s="1" t="s">
        <v>761</v>
      </c>
      <c r="B695" s="1" t="s">
        <v>15</v>
      </c>
      <c r="C695" s="1" t="s">
        <v>792</v>
      </c>
      <c r="D695" s="3">
        <v>76354.39</v>
      </c>
      <c r="E695" s="3">
        <v>11920292.49</v>
      </c>
      <c r="F695" s="1" t="s">
        <v>3048</v>
      </c>
      <c r="G695" s="19">
        <f t="shared" si="72"/>
        <v>76354.39</v>
      </c>
    </row>
    <row r="696" spans="1:7">
      <c r="A696" s="1" t="s">
        <v>761</v>
      </c>
      <c r="B696" s="1" t="s">
        <v>15</v>
      </c>
      <c r="C696" s="1" t="s">
        <v>793</v>
      </c>
      <c r="D696" s="3">
        <v>64498.66</v>
      </c>
      <c r="E696" s="3">
        <v>11984791.15</v>
      </c>
      <c r="F696" s="1" t="s">
        <v>3048</v>
      </c>
      <c r="G696" s="19">
        <f t="shared" si="72"/>
        <v>64498.66</v>
      </c>
    </row>
    <row r="697" spans="1:7">
      <c r="A697" s="1" t="s">
        <v>1523</v>
      </c>
      <c r="B697" s="1" t="s">
        <v>499</v>
      </c>
      <c r="C697" s="1" t="s">
        <v>1617</v>
      </c>
      <c r="D697" s="2">
        <v>572.71</v>
      </c>
      <c r="E697" s="3">
        <v>12919558.810000001</v>
      </c>
      <c r="F697" s="2" t="s">
        <v>3048</v>
      </c>
      <c r="G697" s="19">
        <f t="shared" si="72"/>
        <v>572.71</v>
      </c>
    </row>
    <row r="698" spans="1:7">
      <c r="A698" s="1" t="s">
        <v>761</v>
      </c>
      <c r="B698" s="1" t="s">
        <v>15</v>
      </c>
      <c r="C698" s="1" t="s">
        <v>796</v>
      </c>
      <c r="D698" s="3">
        <v>9158.42</v>
      </c>
      <c r="E698" s="3">
        <v>12000430.550000001</v>
      </c>
      <c r="F698" s="1" t="s">
        <v>3048</v>
      </c>
      <c r="G698" s="19">
        <f t="shared" si="72"/>
        <v>9158.42</v>
      </c>
    </row>
    <row r="699" spans="1:7">
      <c r="A699" s="1" t="s">
        <v>761</v>
      </c>
      <c r="B699" s="1" t="s">
        <v>15</v>
      </c>
      <c r="C699" s="1" t="s">
        <v>797</v>
      </c>
      <c r="D699" s="3">
        <v>4676.6400000000003</v>
      </c>
      <c r="E699" s="3">
        <v>12005107.189999999</v>
      </c>
      <c r="F699" s="1" t="s">
        <v>3048</v>
      </c>
      <c r="G699" s="19">
        <f t="shared" si="72"/>
        <v>4676.6400000000003</v>
      </c>
    </row>
    <row r="700" spans="1:7">
      <c r="A700" s="1" t="s">
        <v>761</v>
      </c>
      <c r="B700" s="1" t="s">
        <v>15</v>
      </c>
      <c r="C700" s="1" t="s">
        <v>798</v>
      </c>
      <c r="D700" s="3">
        <v>37802.839999999997</v>
      </c>
      <c r="E700" s="3">
        <v>12042910.029999999</v>
      </c>
      <c r="F700" s="1" t="s">
        <v>3048</v>
      </c>
      <c r="G700" s="19">
        <f t="shared" si="72"/>
        <v>37802.839999999997</v>
      </c>
    </row>
    <row r="701" spans="1:7">
      <c r="A701" s="1" t="s">
        <v>761</v>
      </c>
      <c r="B701" s="1" t="s">
        <v>15</v>
      </c>
      <c r="C701" s="1" t="s">
        <v>799</v>
      </c>
      <c r="D701" s="3">
        <v>17927.12</v>
      </c>
      <c r="E701" s="3">
        <v>12060837.15</v>
      </c>
      <c r="F701" s="1" t="s">
        <v>3048</v>
      </c>
      <c r="G701" s="19">
        <f t="shared" si="72"/>
        <v>17927.12</v>
      </c>
    </row>
    <row r="702" spans="1:7">
      <c r="A702" s="1" t="s">
        <v>761</v>
      </c>
      <c r="B702" s="1" t="s">
        <v>15</v>
      </c>
      <c r="C702" s="1" t="s">
        <v>800</v>
      </c>
      <c r="D702" s="3">
        <v>4092.06</v>
      </c>
      <c r="E702" s="3">
        <v>12064929.210000001</v>
      </c>
      <c r="F702" s="1" t="s">
        <v>3048</v>
      </c>
      <c r="G702" s="19">
        <f t="shared" si="72"/>
        <v>4092.06</v>
      </c>
    </row>
    <row r="703" spans="1:7">
      <c r="A703" s="1" t="s">
        <v>1630</v>
      </c>
      <c r="B703" s="1" t="s">
        <v>499</v>
      </c>
      <c r="C703" s="1" t="s">
        <v>1656</v>
      </c>
      <c r="D703" s="2">
        <v>704.88</v>
      </c>
      <c r="E703" s="3">
        <v>13250988.689999999</v>
      </c>
      <c r="F703" s="2" t="s">
        <v>3048</v>
      </c>
      <c r="G703" s="19">
        <f t="shared" si="72"/>
        <v>704.88</v>
      </c>
    </row>
    <row r="704" spans="1:7">
      <c r="A704" s="1" t="s">
        <v>761</v>
      </c>
      <c r="B704" s="1" t="s">
        <v>15</v>
      </c>
      <c r="C704" s="1" t="s">
        <v>803</v>
      </c>
      <c r="D704" s="3">
        <v>80960.789999999994</v>
      </c>
      <c r="E704" s="3">
        <v>12146095.59</v>
      </c>
      <c r="F704" s="1" t="s">
        <v>3048</v>
      </c>
      <c r="G704" s="19">
        <f t="shared" si="72"/>
        <v>80960.789999999994</v>
      </c>
    </row>
    <row r="705" spans="1:7">
      <c r="A705" s="1" t="s">
        <v>761</v>
      </c>
      <c r="B705" s="1" t="s">
        <v>15</v>
      </c>
      <c r="C705" s="1" t="s">
        <v>804</v>
      </c>
      <c r="D705" s="3">
        <v>8822.84</v>
      </c>
      <c r="E705" s="3">
        <v>12154918.43</v>
      </c>
      <c r="F705" s="1" t="s">
        <v>3048</v>
      </c>
      <c r="G705" s="19">
        <f t="shared" si="72"/>
        <v>8822.84</v>
      </c>
    </row>
    <row r="706" spans="1:7">
      <c r="A706" s="1" t="s">
        <v>761</v>
      </c>
      <c r="B706" s="1" t="s">
        <v>15</v>
      </c>
      <c r="C706" s="1" t="s">
        <v>805</v>
      </c>
      <c r="D706" s="3">
        <v>42382.05</v>
      </c>
      <c r="E706" s="3">
        <v>12197300.48</v>
      </c>
      <c r="F706" s="1" t="s">
        <v>3048</v>
      </c>
      <c r="G706" s="19">
        <f t="shared" si="72"/>
        <v>42382.05</v>
      </c>
    </row>
    <row r="707" spans="1:7">
      <c r="A707" s="1" t="s">
        <v>761</v>
      </c>
      <c r="B707" s="1" t="s">
        <v>15</v>
      </c>
      <c r="C707" s="1" t="s">
        <v>806</v>
      </c>
      <c r="D707" s="3">
        <v>9743</v>
      </c>
      <c r="E707" s="3">
        <v>12207043.48</v>
      </c>
      <c r="F707" s="1" t="s">
        <v>3048</v>
      </c>
      <c r="G707" s="19">
        <f t="shared" si="72"/>
        <v>9743</v>
      </c>
    </row>
    <row r="708" spans="1:7">
      <c r="A708" s="1" t="s">
        <v>1523</v>
      </c>
      <c r="B708" s="1" t="s">
        <v>1548</v>
      </c>
      <c r="C708" s="1" t="s">
        <v>1549</v>
      </c>
      <c r="D708" s="3">
        <v>3162.17</v>
      </c>
      <c r="E708" s="3">
        <v>12112011.32</v>
      </c>
      <c r="F708" s="2" t="s">
        <v>3048</v>
      </c>
      <c r="G708" s="19">
        <f t="shared" si="72"/>
        <v>3162.17</v>
      </c>
    </row>
    <row r="709" spans="1:7">
      <c r="A709" s="1" t="s">
        <v>761</v>
      </c>
      <c r="B709" s="1" t="s">
        <v>15</v>
      </c>
      <c r="C709" s="1" t="s">
        <v>809</v>
      </c>
      <c r="D709" s="3">
        <v>8768.7000000000007</v>
      </c>
      <c r="E709" s="3">
        <v>12216791.18</v>
      </c>
      <c r="F709" s="1" t="s">
        <v>3048</v>
      </c>
      <c r="G709" s="19">
        <f t="shared" si="72"/>
        <v>8768.7000000000007</v>
      </c>
    </row>
    <row r="710" spans="1:7">
      <c r="A710" s="1" t="s">
        <v>761</v>
      </c>
      <c r="B710" s="1" t="s">
        <v>15</v>
      </c>
      <c r="C710" s="1" t="s">
        <v>810</v>
      </c>
      <c r="D710" s="3">
        <v>163390.10999999999</v>
      </c>
      <c r="E710" s="3">
        <v>12380181.289999999</v>
      </c>
      <c r="F710" s="1" t="s">
        <v>3048</v>
      </c>
      <c r="G710" s="19">
        <f t="shared" si="72"/>
        <v>163390.10999999999</v>
      </c>
    </row>
    <row r="711" spans="1:7">
      <c r="A711" s="1" t="s">
        <v>761</v>
      </c>
      <c r="B711" s="1" t="s">
        <v>15</v>
      </c>
      <c r="C711" s="1" t="s">
        <v>811</v>
      </c>
      <c r="D711" s="3">
        <v>7599.54</v>
      </c>
      <c r="E711" s="3">
        <v>12387780.83</v>
      </c>
      <c r="F711" s="1" t="s">
        <v>3048</v>
      </c>
      <c r="G711" s="19">
        <f t="shared" si="72"/>
        <v>7599.54</v>
      </c>
    </row>
    <row r="712" spans="1:7">
      <c r="A712" s="1" t="s">
        <v>761</v>
      </c>
      <c r="B712" s="1" t="s">
        <v>15</v>
      </c>
      <c r="C712" s="1" t="s">
        <v>812</v>
      </c>
      <c r="D712" s="3">
        <v>14614.5</v>
      </c>
      <c r="E712" s="3">
        <v>12402395.33</v>
      </c>
      <c r="F712" s="1" t="s">
        <v>3048</v>
      </c>
      <c r="G712" s="19">
        <f t="shared" si="72"/>
        <v>14614.5</v>
      </c>
    </row>
    <row r="713" spans="1:7">
      <c r="A713" s="1" t="s">
        <v>761</v>
      </c>
      <c r="B713" s="1" t="s">
        <v>15</v>
      </c>
      <c r="C713" s="1" t="s">
        <v>813</v>
      </c>
      <c r="D713" s="3">
        <v>27280.400000000001</v>
      </c>
      <c r="E713" s="3">
        <v>12429675.73</v>
      </c>
      <c r="F713" s="1" t="s">
        <v>3048</v>
      </c>
      <c r="G713" s="19">
        <f t="shared" si="72"/>
        <v>27280.400000000001</v>
      </c>
    </row>
    <row r="714" spans="1:7">
      <c r="A714" s="1" t="s">
        <v>761</v>
      </c>
      <c r="B714" s="1" t="s">
        <v>15</v>
      </c>
      <c r="C714" s="1" t="s">
        <v>814</v>
      </c>
      <c r="D714" s="3">
        <v>73657.08</v>
      </c>
      <c r="E714" s="3">
        <v>12503332.810000001</v>
      </c>
      <c r="F714" s="1" t="s">
        <v>3048</v>
      </c>
      <c r="G714" s="19">
        <f t="shared" si="72"/>
        <v>73657.08</v>
      </c>
    </row>
    <row r="715" spans="1:7">
      <c r="A715" s="1" t="s">
        <v>761</v>
      </c>
      <c r="B715" s="1" t="s">
        <v>15</v>
      </c>
      <c r="C715" s="1" t="s">
        <v>815</v>
      </c>
      <c r="D715" s="3">
        <v>64985.81</v>
      </c>
      <c r="E715" s="3">
        <v>12568318.619999999</v>
      </c>
      <c r="F715" s="1" t="s">
        <v>3048</v>
      </c>
      <c r="G715" s="19">
        <f t="shared" si="72"/>
        <v>64985.81</v>
      </c>
    </row>
    <row r="716" spans="1:7">
      <c r="A716" s="1" t="s">
        <v>761</v>
      </c>
      <c r="B716" s="1" t="s">
        <v>15</v>
      </c>
      <c r="C716" s="1" t="s">
        <v>816</v>
      </c>
      <c r="D716" s="3">
        <v>30203.3</v>
      </c>
      <c r="E716" s="3">
        <v>12598521.92</v>
      </c>
      <c r="F716" s="1" t="s">
        <v>3048</v>
      </c>
      <c r="G716" s="19">
        <f t="shared" si="72"/>
        <v>30203.3</v>
      </c>
    </row>
    <row r="717" spans="1:7">
      <c r="A717" s="1" t="s">
        <v>761</v>
      </c>
      <c r="B717" s="1" t="s">
        <v>15</v>
      </c>
      <c r="C717" s="1" t="s">
        <v>817</v>
      </c>
      <c r="D717" s="3">
        <v>23239.62</v>
      </c>
      <c r="E717" s="3">
        <v>12621761.539999999</v>
      </c>
      <c r="F717" s="1" t="s">
        <v>3048</v>
      </c>
      <c r="G717" s="19">
        <f t="shared" si="72"/>
        <v>23239.62</v>
      </c>
    </row>
    <row r="718" spans="1:7">
      <c r="A718" s="1" t="s">
        <v>761</v>
      </c>
      <c r="B718" s="1" t="s">
        <v>15</v>
      </c>
      <c r="C718" s="1" t="s">
        <v>818</v>
      </c>
      <c r="D718" s="3">
        <v>13618.5</v>
      </c>
      <c r="E718" s="3">
        <v>12635380.039999999</v>
      </c>
      <c r="F718" s="1" t="s">
        <v>3048</v>
      </c>
      <c r="G718" s="19">
        <f t="shared" si="72"/>
        <v>13618.5</v>
      </c>
    </row>
    <row r="719" spans="1:7">
      <c r="A719" s="1" t="s">
        <v>761</v>
      </c>
      <c r="B719" s="1" t="s">
        <v>15</v>
      </c>
      <c r="C719" s="1" t="s">
        <v>819</v>
      </c>
      <c r="D719" s="3">
        <v>10327.58</v>
      </c>
      <c r="E719" s="3">
        <v>12645707.619999999</v>
      </c>
      <c r="F719" s="1" t="s">
        <v>3048</v>
      </c>
      <c r="G719" s="19">
        <f t="shared" si="72"/>
        <v>10327.58</v>
      </c>
    </row>
    <row r="720" spans="1:7">
      <c r="A720" s="1" t="s">
        <v>761</v>
      </c>
      <c r="B720" s="1" t="s">
        <v>15</v>
      </c>
      <c r="C720" s="1" t="s">
        <v>820</v>
      </c>
      <c r="D720" s="3">
        <v>14029.92</v>
      </c>
      <c r="E720" s="3">
        <v>12659737.539999999</v>
      </c>
      <c r="F720" s="1" t="s">
        <v>3048</v>
      </c>
      <c r="G720" s="19">
        <f t="shared" si="72"/>
        <v>14029.92</v>
      </c>
    </row>
    <row r="721" spans="1:7">
      <c r="A721" s="1" t="s">
        <v>761</v>
      </c>
      <c r="B721" s="1" t="s">
        <v>15</v>
      </c>
      <c r="C721" s="1" t="s">
        <v>821</v>
      </c>
      <c r="D721" s="3">
        <v>22019.18</v>
      </c>
      <c r="E721" s="3">
        <v>12681756.720000001</v>
      </c>
      <c r="F721" s="1" t="s">
        <v>3048</v>
      </c>
      <c r="G721" s="19">
        <f t="shared" si="72"/>
        <v>22019.18</v>
      </c>
    </row>
    <row r="722" spans="1:7">
      <c r="A722" s="1" t="s">
        <v>761</v>
      </c>
      <c r="B722" s="1" t="s">
        <v>15</v>
      </c>
      <c r="C722" s="1" t="s">
        <v>822</v>
      </c>
      <c r="D722" s="3">
        <v>52417.34</v>
      </c>
      <c r="E722" s="3">
        <v>12734174.060000001</v>
      </c>
      <c r="F722" s="1" t="s">
        <v>3048</v>
      </c>
      <c r="G722" s="19">
        <f t="shared" si="72"/>
        <v>52417.34</v>
      </c>
    </row>
    <row r="723" spans="1:7">
      <c r="A723" s="1" t="s">
        <v>761</v>
      </c>
      <c r="B723" s="1" t="s">
        <v>15</v>
      </c>
      <c r="C723" s="1" t="s">
        <v>823</v>
      </c>
      <c r="D723" s="3">
        <v>11301.88</v>
      </c>
      <c r="E723" s="3">
        <v>12745475.939999999</v>
      </c>
      <c r="F723" s="1" t="s">
        <v>3048</v>
      </c>
      <c r="G723" s="19">
        <f t="shared" si="72"/>
        <v>11301.88</v>
      </c>
    </row>
    <row r="724" spans="1:7">
      <c r="A724" s="1" t="s">
        <v>761</v>
      </c>
      <c r="B724" s="1" t="s">
        <v>15</v>
      </c>
      <c r="C724" s="1" t="s">
        <v>824</v>
      </c>
      <c r="D724" s="3">
        <v>9353.2800000000007</v>
      </c>
      <c r="E724" s="3">
        <v>12754829.220000001</v>
      </c>
      <c r="F724" s="1" t="s">
        <v>3048</v>
      </c>
      <c r="G724" s="19">
        <f t="shared" si="72"/>
        <v>9353.2800000000007</v>
      </c>
    </row>
    <row r="725" spans="1:7">
      <c r="A725" s="1" t="s">
        <v>761</v>
      </c>
      <c r="B725" s="1" t="s">
        <v>15</v>
      </c>
      <c r="C725" s="1" t="s">
        <v>825</v>
      </c>
      <c r="D725" s="3">
        <v>9163.59</v>
      </c>
      <c r="E725" s="3">
        <v>12763992.810000001</v>
      </c>
      <c r="F725" s="1" t="s">
        <v>3048</v>
      </c>
      <c r="G725" s="19">
        <f t="shared" si="72"/>
        <v>9163.59</v>
      </c>
    </row>
    <row r="726" spans="1:7">
      <c r="A726" s="1" t="s">
        <v>761</v>
      </c>
      <c r="B726" s="1" t="s">
        <v>15</v>
      </c>
      <c r="C726" s="1" t="s">
        <v>826</v>
      </c>
      <c r="D726" s="3">
        <v>4676.6400000000003</v>
      </c>
      <c r="E726" s="3">
        <v>12768669.449999999</v>
      </c>
      <c r="F726" s="1" t="s">
        <v>3048</v>
      </c>
      <c r="G726" s="19">
        <f t="shared" si="72"/>
        <v>4676.6400000000003</v>
      </c>
    </row>
    <row r="727" spans="1:7">
      <c r="A727" s="1" t="s">
        <v>761</v>
      </c>
      <c r="B727" s="1" t="s">
        <v>15</v>
      </c>
      <c r="C727" s="1" t="s">
        <v>827</v>
      </c>
      <c r="D727" s="3">
        <v>8806.6299999999992</v>
      </c>
      <c r="E727" s="3">
        <v>12777476.08</v>
      </c>
      <c r="F727" s="1" t="s">
        <v>3048</v>
      </c>
      <c r="G727" s="19">
        <f t="shared" si="72"/>
        <v>8806.6299999999992</v>
      </c>
    </row>
    <row r="728" spans="1:7">
      <c r="A728" s="1" t="s">
        <v>761</v>
      </c>
      <c r="B728" s="1" t="s">
        <v>15</v>
      </c>
      <c r="C728" s="1" t="s">
        <v>828</v>
      </c>
      <c r="D728" s="3">
        <v>21142.31</v>
      </c>
      <c r="E728" s="3">
        <v>12798618.390000001</v>
      </c>
      <c r="F728" s="1" t="s">
        <v>3048</v>
      </c>
      <c r="G728" s="19">
        <f t="shared" si="72"/>
        <v>21142.31</v>
      </c>
    </row>
    <row r="729" spans="1:7">
      <c r="A729" s="1" t="s">
        <v>761</v>
      </c>
      <c r="B729" s="1" t="s">
        <v>15</v>
      </c>
      <c r="C729" s="1" t="s">
        <v>829</v>
      </c>
      <c r="D729" s="3">
        <v>18706.560000000001</v>
      </c>
      <c r="E729" s="3">
        <v>12817324.949999999</v>
      </c>
      <c r="F729" s="1" t="s">
        <v>3048</v>
      </c>
      <c r="G729" s="19">
        <f t="shared" si="72"/>
        <v>18706.560000000001</v>
      </c>
    </row>
    <row r="730" spans="1:7">
      <c r="A730" s="1" t="s">
        <v>761</v>
      </c>
      <c r="B730" s="1" t="s">
        <v>15</v>
      </c>
      <c r="C730" s="1" t="s">
        <v>830</v>
      </c>
      <c r="D730" s="3">
        <v>9258.06</v>
      </c>
      <c r="E730" s="3">
        <v>12826583.01</v>
      </c>
      <c r="F730" s="1" t="s">
        <v>3048</v>
      </c>
      <c r="G730" s="19">
        <f t="shared" si="72"/>
        <v>9258.06</v>
      </c>
    </row>
    <row r="731" spans="1:7">
      <c r="A731" s="1" t="s">
        <v>761</v>
      </c>
      <c r="B731" s="1" t="s">
        <v>15</v>
      </c>
      <c r="C731" s="1" t="s">
        <v>831</v>
      </c>
      <c r="D731" s="3">
        <v>36182.01</v>
      </c>
      <c r="E731" s="3">
        <v>12862765.02</v>
      </c>
      <c r="F731" s="1" t="s">
        <v>3048</v>
      </c>
      <c r="G731" s="19">
        <f t="shared" si="72"/>
        <v>36182.01</v>
      </c>
    </row>
    <row r="732" spans="1:7">
      <c r="A732" s="1" t="s">
        <v>761</v>
      </c>
      <c r="B732" s="1" t="s">
        <v>15</v>
      </c>
      <c r="C732" s="1" t="s">
        <v>832</v>
      </c>
      <c r="D732" s="3">
        <v>5573.73</v>
      </c>
      <c r="E732" s="3">
        <v>12868338.75</v>
      </c>
      <c r="F732" s="1" t="s">
        <v>3048</v>
      </c>
      <c r="G732" s="19">
        <f t="shared" si="72"/>
        <v>5573.73</v>
      </c>
    </row>
    <row r="733" spans="1:7">
      <c r="A733" s="1" t="s">
        <v>761</v>
      </c>
      <c r="B733" s="1" t="s">
        <v>15</v>
      </c>
      <c r="C733" s="1" t="s">
        <v>833</v>
      </c>
      <c r="D733" s="3">
        <v>28871.22</v>
      </c>
      <c r="E733" s="3">
        <v>12897209.970000001</v>
      </c>
      <c r="F733" s="1" t="s">
        <v>3048</v>
      </c>
      <c r="G733" s="19">
        <f t="shared" si="72"/>
        <v>28871.22</v>
      </c>
    </row>
    <row r="734" spans="1:7">
      <c r="A734" s="1" t="s">
        <v>761</v>
      </c>
      <c r="B734" s="1" t="s">
        <v>15</v>
      </c>
      <c r="C734" s="1" t="s">
        <v>834</v>
      </c>
      <c r="D734" s="3">
        <v>27146.21</v>
      </c>
      <c r="E734" s="3">
        <v>12924356.18</v>
      </c>
      <c r="F734" s="1" t="s">
        <v>3048</v>
      </c>
      <c r="G734" s="19">
        <f t="shared" si="72"/>
        <v>27146.21</v>
      </c>
    </row>
    <row r="735" spans="1:7">
      <c r="A735" s="1" t="s">
        <v>761</v>
      </c>
      <c r="B735" s="1" t="s">
        <v>15</v>
      </c>
      <c r="C735" s="1" t="s">
        <v>835</v>
      </c>
      <c r="D735" s="3">
        <v>7557.6</v>
      </c>
      <c r="E735" s="3">
        <v>12931913.779999999</v>
      </c>
      <c r="F735" s="1" t="s">
        <v>3048</v>
      </c>
      <c r="G735" s="19">
        <f t="shared" si="72"/>
        <v>7557.6</v>
      </c>
    </row>
    <row r="736" spans="1:7">
      <c r="A736" s="1" t="s">
        <v>761</v>
      </c>
      <c r="B736" s="1" t="s">
        <v>15</v>
      </c>
      <c r="C736" s="1" t="s">
        <v>836</v>
      </c>
      <c r="D736" s="3">
        <v>73949.37</v>
      </c>
      <c r="E736" s="3">
        <v>13005863.15</v>
      </c>
      <c r="F736" s="1" t="s">
        <v>3048</v>
      </c>
      <c r="G736" s="19">
        <f t="shared" si="72"/>
        <v>73949.37</v>
      </c>
    </row>
    <row r="737" spans="1:7">
      <c r="A737" s="1" t="s">
        <v>761</v>
      </c>
      <c r="B737" s="1" t="s">
        <v>15</v>
      </c>
      <c r="C737" s="1" t="s">
        <v>837</v>
      </c>
      <c r="D737" s="3">
        <v>73539.899999999994</v>
      </c>
      <c r="E737" s="3">
        <v>13079403.050000001</v>
      </c>
      <c r="F737" s="1" t="s">
        <v>3048</v>
      </c>
      <c r="G737" s="19">
        <f t="shared" si="72"/>
        <v>73539.899999999994</v>
      </c>
    </row>
    <row r="738" spans="1:7">
      <c r="A738" s="1" t="s">
        <v>1213</v>
      </c>
      <c r="B738" s="1" t="s">
        <v>1239</v>
      </c>
      <c r="C738" s="1" t="s">
        <v>1240</v>
      </c>
      <c r="D738" s="3">
        <v>2388.7600000000002</v>
      </c>
      <c r="E738" s="3">
        <v>12334464.289999999</v>
      </c>
      <c r="F738" s="2" t="s">
        <v>3048</v>
      </c>
      <c r="G738" s="19">
        <f t="shared" si="72"/>
        <v>2388.7600000000002</v>
      </c>
    </row>
    <row r="739" spans="1:7">
      <c r="A739" s="1" t="s">
        <v>761</v>
      </c>
      <c r="B739" s="1" t="s">
        <v>15</v>
      </c>
      <c r="C739" s="1" t="s">
        <v>840</v>
      </c>
      <c r="D739" s="3">
        <v>33321.06</v>
      </c>
      <c r="E739" s="3">
        <v>13124618.960000001</v>
      </c>
      <c r="F739" s="1" t="s">
        <v>3048</v>
      </c>
      <c r="G739" s="19">
        <f t="shared" si="72"/>
        <v>33321.06</v>
      </c>
    </row>
    <row r="740" spans="1:7">
      <c r="A740" s="1" t="s">
        <v>1630</v>
      </c>
      <c r="B740" s="1" t="s">
        <v>1644</v>
      </c>
      <c r="C740" s="1" t="s">
        <v>1645</v>
      </c>
      <c r="D740" s="3">
        <v>2848.89</v>
      </c>
      <c r="E740" s="3">
        <v>13605878.43</v>
      </c>
      <c r="F740" s="2" t="s">
        <v>3048</v>
      </c>
      <c r="G740" s="19">
        <f t="shared" si="72"/>
        <v>2848.89</v>
      </c>
    </row>
    <row r="741" spans="1:7">
      <c r="A741" s="1" t="s">
        <v>761</v>
      </c>
      <c r="B741" s="1" t="s">
        <v>15</v>
      </c>
      <c r="C741" s="1" t="s">
        <v>843</v>
      </c>
      <c r="D741" s="3">
        <v>21239.74</v>
      </c>
      <c r="E741" s="3">
        <v>13147532.789999999</v>
      </c>
      <c r="F741" s="1" t="s">
        <v>3048</v>
      </c>
      <c r="G741" s="19">
        <f t="shared" si="72"/>
        <v>21239.74</v>
      </c>
    </row>
    <row r="742" spans="1:7">
      <c r="A742" s="1" t="s">
        <v>761</v>
      </c>
      <c r="B742" s="1" t="s">
        <v>15</v>
      </c>
      <c r="C742" s="1" t="s">
        <v>844</v>
      </c>
      <c r="D742" s="3">
        <v>13792.62</v>
      </c>
      <c r="E742" s="3">
        <v>13161325.41</v>
      </c>
      <c r="F742" s="1" t="s">
        <v>3048</v>
      </c>
      <c r="G742" s="19">
        <f t="shared" si="72"/>
        <v>13792.62</v>
      </c>
    </row>
    <row r="743" spans="1:7">
      <c r="A743" s="1" t="s">
        <v>761</v>
      </c>
      <c r="B743" s="1" t="s">
        <v>15</v>
      </c>
      <c r="C743" s="1" t="s">
        <v>845</v>
      </c>
      <c r="D743" s="3">
        <v>9353.2800000000007</v>
      </c>
      <c r="E743" s="3">
        <v>13170678.689999999</v>
      </c>
      <c r="F743" s="1" t="s">
        <v>3048</v>
      </c>
      <c r="G743" s="19">
        <f t="shared" si="72"/>
        <v>9353.2800000000007</v>
      </c>
    </row>
    <row r="744" spans="1:7">
      <c r="A744" s="1" t="s">
        <v>761</v>
      </c>
      <c r="B744" s="1" t="s">
        <v>15</v>
      </c>
      <c r="C744" s="1" t="s">
        <v>846</v>
      </c>
      <c r="D744" s="3">
        <v>9069.1200000000008</v>
      </c>
      <c r="E744" s="3">
        <v>13179747.810000001</v>
      </c>
      <c r="F744" s="1" t="s">
        <v>3048</v>
      </c>
      <c r="G744" s="19">
        <f t="shared" si="72"/>
        <v>9069.1200000000008</v>
      </c>
    </row>
    <row r="745" spans="1:7">
      <c r="A745" s="1" t="s">
        <v>761</v>
      </c>
      <c r="B745" s="1" t="s">
        <v>15</v>
      </c>
      <c r="C745" s="1" t="s">
        <v>847</v>
      </c>
      <c r="D745" s="3">
        <v>20168.009999999998</v>
      </c>
      <c r="E745" s="3">
        <v>13199915.82</v>
      </c>
      <c r="F745" s="1" t="s">
        <v>3048</v>
      </c>
      <c r="G745" s="19">
        <f t="shared" si="72"/>
        <v>20168.009999999998</v>
      </c>
    </row>
    <row r="746" spans="1:7">
      <c r="A746" s="1" t="s">
        <v>761</v>
      </c>
      <c r="B746" s="1" t="s">
        <v>15</v>
      </c>
      <c r="C746" s="1" t="s">
        <v>848</v>
      </c>
      <c r="D746" s="3">
        <v>12081.32</v>
      </c>
      <c r="E746" s="3">
        <v>13211997.140000001</v>
      </c>
      <c r="F746" s="1" t="s">
        <v>3048</v>
      </c>
      <c r="G746" s="19">
        <f t="shared" si="72"/>
        <v>12081.32</v>
      </c>
    </row>
    <row r="747" spans="1:7">
      <c r="A747" s="1" t="s">
        <v>761</v>
      </c>
      <c r="B747" s="1" t="s">
        <v>15</v>
      </c>
      <c r="C747" s="1" t="s">
        <v>849</v>
      </c>
      <c r="D747" s="3">
        <v>9353.2800000000007</v>
      </c>
      <c r="E747" s="3">
        <v>13221350.42</v>
      </c>
      <c r="F747" s="1" t="s">
        <v>3048</v>
      </c>
      <c r="G747" s="19">
        <f t="shared" si="72"/>
        <v>9353.2800000000007</v>
      </c>
    </row>
    <row r="748" spans="1:7">
      <c r="A748" s="1" t="s">
        <v>1523</v>
      </c>
      <c r="B748" s="1" t="s">
        <v>1542</v>
      </c>
      <c r="C748" s="1" t="s">
        <v>1543</v>
      </c>
      <c r="D748" s="2">
        <v>440.55</v>
      </c>
      <c r="E748" s="3">
        <v>11882384.6</v>
      </c>
      <c r="F748" s="2" t="s">
        <v>3048</v>
      </c>
      <c r="G748" s="19">
        <f t="shared" si="72"/>
        <v>440.55</v>
      </c>
    </row>
    <row r="749" spans="1:7">
      <c r="A749" s="1" t="s">
        <v>761</v>
      </c>
      <c r="B749" s="1" t="s">
        <v>15</v>
      </c>
      <c r="C749" s="1" t="s">
        <v>852</v>
      </c>
      <c r="D749" s="3">
        <v>24104.74</v>
      </c>
      <c r="E749" s="3">
        <v>13245925.08</v>
      </c>
      <c r="F749" s="1" t="s">
        <v>3048</v>
      </c>
      <c r="G749" s="19">
        <f t="shared" si="72"/>
        <v>24104.74</v>
      </c>
    </row>
    <row r="750" spans="1:7">
      <c r="A750" s="1" t="s">
        <v>253</v>
      </c>
      <c r="B750" s="1" t="s">
        <v>290</v>
      </c>
      <c r="C750" s="1" t="s">
        <v>291</v>
      </c>
      <c r="D750" s="3">
        <v>2843.99</v>
      </c>
      <c r="E750" s="3">
        <v>13815819.890000001</v>
      </c>
      <c r="F750" s="2" t="s">
        <v>3048</v>
      </c>
      <c r="G750" s="19">
        <f t="shared" ref="G750:G813" si="73">+D750</f>
        <v>2843.99</v>
      </c>
    </row>
    <row r="751" spans="1:7">
      <c r="A751" s="1" t="s">
        <v>761</v>
      </c>
      <c r="B751" s="1" t="s">
        <v>15</v>
      </c>
      <c r="C751" s="1" t="s">
        <v>855</v>
      </c>
      <c r="D751" s="3">
        <v>24065.21</v>
      </c>
      <c r="E751" s="3">
        <v>13271289.42</v>
      </c>
      <c r="F751" s="1" t="s">
        <v>3048</v>
      </c>
      <c r="G751" s="19">
        <f t="shared" si="73"/>
        <v>24065.21</v>
      </c>
    </row>
    <row r="752" spans="1:7">
      <c r="A752" s="1" t="s">
        <v>1871</v>
      </c>
      <c r="B752" s="1" t="s">
        <v>1962</v>
      </c>
      <c r="C752" s="1" t="s">
        <v>1963</v>
      </c>
      <c r="D752" s="3">
        <v>1948.21</v>
      </c>
      <c r="E752" s="3">
        <v>9777225.8699999992</v>
      </c>
      <c r="F752" s="2" t="s">
        <v>3048</v>
      </c>
      <c r="G752" s="19">
        <f t="shared" si="73"/>
        <v>1948.21</v>
      </c>
    </row>
    <row r="753" spans="1:7">
      <c r="A753" s="1" t="s">
        <v>761</v>
      </c>
      <c r="B753" s="1" t="s">
        <v>15</v>
      </c>
      <c r="C753" s="1" t="s">
        <v>858</v>
      </c>
      <c r="D753" s="3">
        <v>55548.36</v>
      </c>
      <c r="E753" s="3">
        <v>13328046.84</v>
      </c>
      <c r="F753" s="1" t="s">
        <v>3048</v>
      </c>
      <c r="G753" s="19">
        <f t="shared" si="73"/>
        <v>55548.36</v>
      </c>
    </row>
    <row r="754" spans="1:7">
      <c r="A754" s="1" t="s">
        <v>761</v>
      </c>
      <c r="B754" s="1" t="s">
        <v>15</v>
      </c>
      <c r="C754" s="1" t="s">
        <v>859</v>
      </c>
      <c r="D754" s="3">
        <v>18901.419999999998</v>
      </c>
      <c r="E754" s="3">
        <v>13346948.26</v>
      </c>
      <c r="F754" s="1" t="s">
        <v>3048</v>
      </c>
      <c r="G754" s="19">
        <f t="shared" si="73"/>
        <v>18901.419999999998</v>
      </c>
    </row>
    <row r="755" spans="1:7">
      <c r="A755" s="1" t="s">
        <v>761</v>
      </c>
      <c r="B755" s="1" t="s">
        <v>15</v>
      </c>
      <c r="C755" s="1" t="s">
        <v>860</v>
      </c>
      <c r="D755" s="3">
        <v>13036.86</v>
      </c>
      <c r="E755" s="3">
        <v>13359985.119999999</v>
      </c>
      <c r="F755" s="1" t="s">
        <v>3048</v>
      </c>
      <c r="G755" s="19">
        <f t="shared" si="73"/>
        <v>13036.86</v>
      </c>
    </row>
    <row r="756" spans="1:7">
      <c r="A756" s="1" t="s">
        <v>761</v>
      </c>
      <c r="B756" s="1" t="s">
        <v>15</v>
      </c>
      <c r="C756" s="1" t="s">
        <v>861</v>
      </c>
      <c r="D756" s="3">
        <v>102301.5</v>
      </c>
      <c r="E756" s="3">
        <v>13462286.619999999</v>
      </c>
      <c r="F756" s="1" t="s">
        <v>3048</v>
      </c>
      <c r="G756" s="19">
        <f t="shared" si="73"/>
        <v>102301.5</v>
      </c>
    </row>
    <row r="757" spans="1:7">
      <c r="A757" s="1" t="s">
        <v>360</v>
      </c>
      <c r="B757" s="1" t="s">
        <v>373</v>
      </c>
      <c r="C757" s="1" t="s">
        <v>374</v>
      </c>
      <c r="D757" s="3">
        <v>2129.3200000000002</v>
      </c>
      <c r="E757" s="3">
        <v>15316897.58</v>
      </c>
      <c r="F757" s="2" t="s">
        <v>3048</v>
      </c>
      <c r="G757" s="19">
        <f t="shared" si="73"/>
        <v>2129.3200000000002</v>
      </c>
    </row>
    <row r="758" spans="1:7">
      <c r="A758" s="1" t="s">
        <v>761</v>
      </c>
      <c r="B758" s="1" t="s">
        <v>15</v>
      </c>
      <c r="C758" s="1" t="s">
        <v>864</v>
      </c>
      <c r="D758" s="3">
        <v>32119.8</v>
      </c>
      <c r="E758" s="3">
        <v>13499546.17</v>
      </c>
      <c r="F758" s="1" t="s">
        <v>3048</v>
      </c>
      <c r="G758" s="19">
        <f t="shared" si="73"/>
        <v>32119.8</v>
      </c>
    </row>
    <row r="759" spans="1:7">
      <c r="A759" s="1" t="s">
        <v>761</v>
      </c>
      <c r="B759" s="1" t="s">
        <v>15</v>
      </c>
      <c r="C759" s="1" t="s">
        <v>865</v>
      </c>
      <c r="D759" s="3">
        <v>59822.02</v>
      </c>
      <c r="E759" s="3">
        <v>13559368.189999999</v>
      </c>
      <c r="F759" s="1" t="s">
        <v>3048</v>
      </c>
      <c r="G759" s="19">
        <f t="shared" si="73"/>
        <v>59822.02</v>
      </c>
    </row>
    <row r="760" spans="1:7">
      <c r="A760" s="1" t="s">
        <v>761</v>
      </c>
      <c r="B760" s="1" t="s">
        <v>841</v>
      </c>
      <c r="C760" s="1" t="s">
        <v>842</v>
      </c>
      <c r="D760" s="3">
        <v>1674.09</v>
      </c>
      <c r="E760" s="3">
        <v>13126293.050000001</v>
      </c>
      <c r="F760" s="2" t="s">
        <v>3048</v>
      </c>
      <c r="G760" s="19">
        <f t="shared" si="73"/>
        <v>1674.09</v>
      </c>
    </row>
    <row r="761" spans="1:7">
      <c r="A761" s="1" t="s">
        <v>761</v>
      </c>
      <c r="B761" s="1" t="s">
        <v>15</v>
      </c>
      <c r="C761" s="1" t="s">
        <v>868</v>
      </c>
      <c r="D761" s="3">
        <v>7989.26</v>
      </c>
      <c r="E761" s="3">
        <v>13576374.039999999</v>
      </c>
      <c r="F761" s="1" t="s">
        <v>3048</v>
      </c>
      <c r="G761" s="19">
        <f t="shared" si="73"/>
        <v>7989.26</v>
      </c>
    </row>
    <row r="762" spans="1:7">
      <c r="A762" s="1" t="s">
        <v>761</v>
      </c>
      <c r="B762" s="1" t="s">
        <v>15</v>
      </c>
      <c r="C762" s="1" t="s">
        <v>869</v>
      </c>
      <c r="D762" s="3">
        <v>11999.48</v>
      </c>
      <c r="E762" s="3">
        <v>13588373.52</v>
      </c>
      <c r="F762" s="1" t="s">
        <v>3048</v>
      </c>
      <c r="G762" s="19">
        <f t="shared" si="73"/>
        <v>11999.48</v>
      </c>
    </row>
    <row r="763" spans="1:7">
      <c r="A763" s="1" t="s">
        <v>761</v>
      </c>
      <c r="B763" s="1" t="s">
        <v>15</v>
      </c>
      <c r="C763" s="1" t="s">
        <v>870</v>
      </c>
      <c r="D763" s="3">
        <v>67547.759999999995</v>
      </c>
      <c r="E763" s="3">
        <v>13655921.279999999</v>
      </c>
      <c r="F763" s="1" t="s">
        <v>3048</v>
      </c>
      <c r="G763" s="19">
        <f t="shared" si="73"/>
        <v>67547.759999999995</v>
      </c>
    </row>
    <row r="764" spans="1:7">
      <c r="A764" s="1" t="s">
        <v>761</v>
      </c>
      <c r="B764" s="1" t="s">
        <v>15</v>
      </c>
      <c r="C764" s="1" t="s">
        <v>871</v>
      </c>
      <c r="D764" s="3">
        <v>4774.07</v>
      </c>
      <c r="E764" s="3">
        <v>13660695.35</v>
      </c>
      <c r="F764" s="1" t="s">
        <v>3048</v>
      </c>
      <c r="G764" s="19">
        <f t="shared" si="73"/>
        <v>4774.07</v>
      </c>
    </row>
    <row r="765" spans="1:7">
      <c r="A765" s="1" t="s">
        <v>761</v>
      </c>
      <c r="B765" s="1" t="s">
        <v>15</v>
      </c>
      <c r="C765" s="1" t="s">
        <v>872</v>
      </c>
      <c r="D765" s="3">
        <v>9548.14</v>
      </c>
      <c r="E765" s="3">
        <v>13670243.49</v>
      </c>
      <c r="F765" s="1" t="s">
        <v>3048</v>
      </c>
      <c r="G765" s="19">
        <f t="shared" si="73"/>
        <v>9548.14</v>
      </c>
    </row>
    <row r="766" spans="1:7">
      <c r="A766" s="1" t="s">
        <v>761</v>
      </c>
      <c r="B766" s="1" t="s">
        <v>15</v>
      </c>
      <c r="C766" s="1" t="s">
        <v>873</v>
      </c>
      <c r="D766" s="3">
        <v>4871.5</v>
      </c>
      <c r="E766" s="3">
        <v>13675114.99</v>
      </c>
      <c r="F766" s="1" t="s">
        <v>3048</v>
      </c>
      <c r="G766" s="19">
        <f t="shared" si="73"/>
        <v>4871.5</v>
      </c>
    </row>
    <row r="767" spans="1:7">
      <c r="A767" s="1" t="s">
        <v>761</v>
      </c>
      <c r="B767" s="1" t="s">
        <v>866</v>
      </c>
      <c r="C767" s="1" t="s">
        <v>867</v>
      </c>
      <c r="D767" s="3">
        <v>9016.59</v>
      </c>
      <c r="E767" s="3">
        <v>13568384.779999999</v>
      </c>
      <c r="F767" s="2" t="s">
        <v>3048</v>
      </c>
      <c r="G767" s="19">
        <f t="shared" si="73"/>
        <v>9016.59</v>
      </c>
    </row>
    <row r="768" spans="1:7">
      <c r="A768" s="1" t="s">
        <v>761</v>
      </c>
      <c r="B768" s="1" t="s">
        <v>15</v>
      </c>
      <c r="C768" s="1" t="s">
        <v>876</v>
      </c>
      <c r="D768" s="3">
        <v>33905.64</v>
      </c>
      <c r="E768" s="3">
        <v>13709265.380000001</v>
      </c>
      <c r="F768" s="1" t="s">
        <v>3048</v>
      </c>
      <c r="G768" s="19">
        <f t="shared" si="73"/>
        <v>33905.64</v>
      </c>
    </row>
    <row r="769" spans="1:7">
      <c r="A769" s="1" t="s">
        <v>1213</v>
      </c>
      <c r="B769" s="1" t="s">
        <v>1269</v>
      </c>
      <c r="C769" s="1" t="s">
        <v>1270</v>
      </c>
      <c r="D769" s="3">
        <v>3171.96</v>
      </c>
      <c r="E769" s="3">
        <v>13067956.140000001</v>
      </c>
      <c r="F769" s="2" t="s">
        <v>3048</v>
      </c>
      <c r="G769" s="19">
        <f t="shared" si="73"/>
        <v>3171.96</v>
      </c>
    </row>
    <row r="770" spans="1:7">
      <c r="A770" s="1" t="s">
        <v>761</v>
      </c>
      <c r="B770" s="1" t="s">
        <v>15</v>
      </c>
      <c r="C770" s="1" t="s">
        <v>879</v>
      </c>
      <c r="D770" s="3">
        <v>9743</v>
      </c>
      <c r="E770" s="3">
        <v>13722415.300000001</v>
      </c>
      <c r="F770" s="1" t="s">
        <v>3048</v>
      </c>
      <c r="G770" s="19">
        <f t="shared" si="73"/>
        <v>9743</v>
      </c>
    </row>
    <row r="771" spans="1:7">
      <c r="A771" s="1" t="s">
        <v>761</v>
      </c>
      <c r="B771" s="1" t="s">
        <v>15</v>
      </c>
      <c r="C771" s="1" t="s">
        <v>880</v>
      </c>
      <c r="D771" s="3">
        <v>9069.1200000000008</v>
      </c>
      <c r="E771" s="3">
        <v>13731484.42</v>
      </c>
      <c r="F771" s="1" t="s">
        <v>3048</v>
      </c>
      <c r="G771" s="19">
        <f t="shared" si="73"/>
        <v>9069.1200000000008</v>
      </c>
    </row>
    <row r="772" spans="1:7">
      <c r="A772" s="1" t="s">
        <v>761</v>
      </c>
      <c r="B772" s="1" t="s">
        <v>15</v>
      </c>
      <c r="C772" s="1" t="s">
        <v>881</v>
      </c>
      <c r="D772" s="3">
        <v>58360.57</v>
      </c>
      <c r="E772" s="3">
        <v>13789844.99</v>
      </c>
      <c r="F772" s="1" t="s">
        <v>3048</v>
      </c>
      <c r="G772" s="19">
        <f t="shared" si="73"/>
        <v>58360.57</v>
      </c>
    </row>
    <row r="773" spans="1:7">
      <c r="A773" s="1" t="s">
        <v>761</v>
      </c>
      <c r="B773" s="1" t="s">
        <v>15</v>
      </c>
      <c r="C773" s="1" t="s">
        <v>882</v>
      </c>
      <c r="D773" s="3">
        <v>38972</v>
      </c>
      <c r="E773" s="3">
        <v>13828816.99</v>
      </c>
      <c r="F773" s="1" t="s">
        <v>3048</v>
      </c>
      <c r="G773" s="19">
        <f t="shared" si="73"/>
        <v>38972</v>
      </c>
    </row>
    <row r="774" spans="1:7">
      <c r="A774" s="1" t="s">
        <v>761</v>
      </c>
      <c r="B774" s="1" t="s">
        <v>15</v>
      </c>
      <c r="C774" s="1" t="s">
        <v>883</v>
      </c>
      <c r="D774" s="3">
        <v>70002.27</v>
      </c>
      <c r="E774" s="3">
        <v>13898819.26</v>
      </c>
      <c r="F774" s="1" t="s">
        <v>3048</v>
      </c>
      <c r="G774" s="19">
        <f t="shared" si="73"/>
        <v>70002.27</v>
      </c>
    </row>
    <row r="775" spans="1:7">
      <c r="A775" s="1" t="s">
        <v>761</v>
      </c>
      <c r="B775" s="1" t="s">
        <v>15</v>
      </c>
      <c r="C775" s="1" t="s">
        <v>884</v>
      </c>
      <c r="D775" s="3">
        <v>8171.1</v>
      </c>
      <c r="E775" s="3">
        <v>13906990.359999999</v>
      </c>
      <c r="F775" s="1" t="s">
        <v>3048</v>
      </c>
      <c r="G775" s="19">
        <f t="shared" si="73"/>
        <v>8171.1</v>
      </c>
    </row>
    <row r="776" spans="1:7">
      <c r="A776" s="1" t="s">
        <v>761</v>
      </c>
      <c r="B776" s="1" t="s">
        <v>15</v>
      </c>
      <c r="C776" s="1" t="s">
        <v>885</v>
      </c>
      <c r="D776" s="3">
        <v>12967.18</v>
      </c>
      <c r="E776" s="3">
        <v>13919957.539999999</v>
      </c>
      <c r="F776" s="1" t="s">
        <v>3048</v>
      </c>
      <c r="G776" s="19">
        <f t="shared" si="73"/>
        <v>12967.18</v>
      </c>
    </row>
    <row r="777" spans="1:7">
      <c r="A777" s="1" t="s">
        <v>761</v>
      </c>
      <c r="B777" s="1" t="s">
        <v>15</v>
      </c>
      <c r="C777" s="1" t="s">
        <v>886</v>
      </c>
      <c r="D777" s="3">
        <v>20850.02</v>
      </c>
      <c r="E777" s="3">
        <v>13940807.560000001</v>
      </c>
      <c r="F777" s="1" t="s">
        <v>3048</v>
      </c>
      <c r="G777" s="19">
        <f t="shared" si="73"/>
        <v>20850.02</v>
      </c>
    </row>
    <row r="778" spans="1:7">
      <c r="A778" s="1" t="s">
        <v>253</v>
      </c>
      <c r="B778" s="1" t="s">
        <v>307</v>
      </c>
      <c r="C778" s="1" t="s">
        <v>308</v>
      </c>
      <c r="D778" s="3">
        <v>1439.13</v>
      </c>
      <c r="E778" s="3">
        <v>13966552.060000001</v>
      </c>
      <c r="F778" s="2" t="s">
        <v>3048</v>
      </c>
      <c r="G778" s="19">
        <f t="shared" si="73"/>
        <v>1439.13</v>
      </c>
    </row>
    <row r="779" spans="1:7">
      <c r="A779" s="1" t="s">
        <v>761</v>
      </c>
      <c r="B779" s="1" t="s">
        <v>15</v>
      </c>
      <c r="C779" s="1" t="s">
        <v>889</v>
      </c>
      <c r="D779" s="3">
        <v>34587.65</v>
      </c>
      <c r="E779" s="3">
        <v>13977490.27</v>
      </c>
      <c r="F779" s="1" t="s">
        <v>3048</v>
      </c>
      <c r="G779" s="19">
        <f t="shared" si="73"/>
        <v>34587.65</v>
      </c>
    </row>
    <row r="780" spans="1:7">
      <c r="A780" s="1" t="s">
        <v>761</v>
      </c>
      <c r="B780" s="1" t="s">
        <v>15</v>
      </c>
      <c r="C780" s="1" t="s">
        <v>890</v>
      </c>
      <c r="D780" s="3">
        <v>14224.78</v>
      </c>
      <c r="E780" s="3">
        <v>13991715.050000001</v>
      </c>
      <c r="F780" s="1" t="s">
        <v>3048</v>
      </c>
      <c r="G780" s="19">
        <f t="shared" si="73"/>
        <v>14224.78</v>
      </c>
    </row>
    <row r="781" spans="1:7">
      <c r="A781" s="1" t="s">
        <v>761</v>
      </c>
      <c r="B781" s="1" t="s">
        <v>15</v>
      </c>
      <c r="C781" s="1" t="s">
        <v>891</v>
      </c>
      <c r="D781" s="3">
        <v>4676.6400000000003</v>
      </c>
      <c r="E781" s="3">
        <v>13996391.689999999</v>
      </c>
      <c r="F781" s="1" t="s">
        <v>3048</v>
      </c>
      <c r="G781" s="19">
        <f t="shared" si="73"/>
        <v>4676.6400000000003</v>
      </c>
    </row>
    <row r="782" spans="1:7">
      <c r="A782" s="1" t="s">
        <v>761</v>
      </c>
      <c r="B782" s="1" t="s">
        <v>15</v>
      </c>
      <c r="C782" s="1" t="s">
        <v>892</v>
      </c>
      <c r="D782" s="3">
        <v>4092.06</v>
      </c>
      <c r="E782" s="3">
        <v>14000483.75</v>
      </c>
      <c r="F782" s="1" t="s">
        <v>3048</v>
      </c>
      <c r="G782" s="19">
        <f t="shared" si="73"/>
        <v>4092.06</v>
      </c>
    </row>
    <row r="783" spans="1:7">
      <c r="A783" s="1" t="s">
        <v>761</v>
      </c>
      <c r="B783" s="1" t="s">
        <v>15</v>
      </c>
      <c r="C783" s="1" t="s">
        <v>893</v>
      </c>
      <c r="D783" s="3">
        <v>4676.6400000000003</v>
      </c>
      <c r="E783" s="3">
        <v>14005160.390000001</v>
      </c>
      <c r="F783" s="1" t="s">
        <v>3048</v>
      </c>
      <c r="G783" s="19">
        <f t="shared" si="73"/>
        <v>4676.6400000000003</v>
      </c>
    </row>
    <row r="784" spans="1:7">
      <c r="A784" s="1" t="s">
        <v>761</v>
      </c>
      <c r="B784" s="1" t="s">
        <v>15</v>
      </c>
      <c r="C784" s="1" t="s">
        <v>894</v>
      </c>
      <c r="D784" s="3">
        <v>4481.78</v>
      </c>
      <c r="E784" s="3">
        <v>14009642.17</v>
      </c>
      <c r="F784" s="1" t="s">
        <v>3048</v>
      </c>
      <c r="G784" s="19">
        <f t="shared" si="73"/>
        <v>4481.78</v>
      </c>
    </row>
    <row r="785" spans="1:7">
      <c r="A785" s="1" t="s">
        <v>761</v>
      </c>
      <c r="B785" s="1" t="s">
        <v>15</v>
      </c>
      <c r="C785" s="1" t="s">
        <v>895</v>
      </c>
      <c r="D785" s="3">
        <v>64011.51</v>
      </c>
      <c r="E785" s="3">
        <v>14073653.68</v>
      </c>
      <c r="F785" s="1" t="s">
        <v>3048</v>
      </c>
      <c r="G785" s="19">
        <f t="shared" si="73"/>
        <v>64011.51</v>
      </c>
    </row>
    <row r="786" spans="1:7">
      <c r="A786" s="1" t="s">
        <v>761</v>
      </c>
      <c r="B786" s="1" t="s">
        <v>15</v>
      </c>
      <c r="C786" s="1" t="s">
        <v>896</v>
      </c>
      <c r="D786" s="3">
        <v>9353.2800000000007</v>
      </c>
      <c r="E786" s="3">
        <v>14083006.960000001</v>
      </c>
      <c r="F786" s="1" t="s">
        <v>3048</v>
      </c>
      <c r="G786" s="19">
        <f t="shared" si="73"/>
        <v>9353.2800000000007</v>
      </c>
    </row>
    <row r="787" spans="1:7">
      <c r="A787" s="1" t="s">
        <v>761</v>
      </c>
      <c r="B787" s="1" t="s">
        <v>15</v>
      </c>
      <c r="C787" s="1" t="s">
        <v>897</v>
      </c>
      <c r="D787" s="3">
        <v>12470.04</v>
      </c>
      <c r="E787" s="3">
        <v>14095477</v>
      </c>
      <c r="F787" s="1" t="s">
        <v>3048</v>
      </c>
      <c r="G787" s="19">
        <f t="shared" si="73"/>
        <v>12470.04</v>
      </c>
    </row>
    <row r="788" spans="1:7">
      <c r="A788" s="1" t="s">
        <v>761</v>
      </c>
      <c r="B788" s="1" t="s">
        <v>15</v>
      </c>
      <c r="C788" s="1" t="s">
        <v>898</v>
      </c>
      <c r="D788" s="3">
        <v>68298.429999999993</v>
      </c>
      <c r="E788" s="3">
        <v>14163775.43</v>
      </c>
      <c r="F788" s="1" t="s">
        <v>3048</v>
      </c>
      <c r="G788" s="19">
        <f t="shared" si="73"/>
        <v>68298.429999999993</v>
      </c>
    </row>
    <row r="789" spans="1:7">
      <c r="A789" s="1" t="s">
        <v>761</v>
      </c>
      <c r="B789" s="1" t="s">
        <v>15</v>
      </c>
      <c r="C789" s="1" t="s">
        <v>899</v>
      </c>
      <c r="D789" s="3">
        <v>8447.4</v>
      </c>
      <c r="E789" s="3">
        <v>14172222.83</v>
      </c>
      <c r="F789" s="1" t="s">
        <v>3048</v>
      </c>
      <c r="G789" s="19">
        <f t="shared" si="73"/>
        <v>8447.4</v>
      </c>
    </row>
    <row r="790" spans="1:7">
      <c r="A790" s="1" t="s">
        <v>761</v>
      </c>
      <c r="B790" s="1" t="s">
        <v>15</v>
      </c>
      <c r="C790" s="1" t="s">
        <v>900</v>
      </c>
      <c r="D790" s="3">
        <v>4505.28</v>
      </c>
      <c r="E790" s="3">
        <v>14176728.109999999</v>
      </c>
      <c r="F790" s="1" t="s">
        <v>3048</v>
      </c>
      <c r="G790" s="19">
        <f t="shared" si="73"/>
        <v>4505.28</v>
      </c>
    </row>
    <row r="791" spans="1:7">
      <c r="A791" s="1" t="s">
        <v>761</v>
      </c>
      <c r="B791" s="1" t="s">
        <v>15</v>
      </c>
      <c r="C791" s="1" t="s">
        <v>901</v>
      </c>
      <c r="D791" s="3">
        <v>37315.65</v>
      </c>
      <c r="E791" s="3">
        <v>14214043.76</v>
      </c>
      <c r="F791" s="1" t="s">
        <v>3048</v>
      </c>
      <c r="G791" s="19">
        <f t="shared" si="73"/>
        <v>37315.65</v>
      </c>
    </row>
    <row r="792" spans="1:7">
      <c r="A792" s="1" t="s">
        <v>761</v>
      </c>
      <c r="B792" s="1" t="s">
        <v>15</v>
      </c>
      <c r="C792" s="1" t="s">
        <v>902</v>
      </c>
      <c r="D792" s="3">
        <v>9730.41</v>
      </c>
      <c r="E792" s="3">
        <v>14223774.17</v>
      </c>
      <c r="F792" s="1" t="s">
        <v>3048</v>
      </c>
      <c r="G792" s="19">
        <f t="shared" si="73"/>
        <v>9730.41</v>
      </c>
    </row>
    <row r="793" spans="1:7">
      <c r="A793" s="1" t="s">
        <v>761</v>
      </c>
      <c r="B793" s="1" t="s">
        <v>15</v>
      </c>
      <c r="C793" s="1" t="s">
        <v>903</v>
      </c>
      <c r="D793" s="3">
        <v>16815.66</v>
      </c>
      <c r="E793" s="3">
        <v>14240589.83</v>
      </c>
      <c r="F793" s="1" t="s">
        <v>3048</v>
      </c>
      <c r="G793" s="19">
        <f t="shared" si="73"/>
        <v>16815.66</v>
      </c>
    </row>
    <row r="794" spans="1:7">
      <c r="A794" s="1" t="s">
        <v>904</v>
      </c>
      <c r="B794" s="1" t="s">
        <v>15</v>
      </c>
      <c r="C794" s="1" t="s">
        <v>905</v>
      </c>
      <c r="D794" s="3">
        <v>100645.19</v>
      </c>
      <c r="E794" s="3">
        <v>14341235.02</v>
      </c>
      <c r="F794" s="1" t="s">
        <v>3048</v>
      </c>
      <c r="G794" s="19">
        <f t="shared" si="73"/>
        <v>100645.19</v>
      </c>
    </row>
    <row r="795" spans="1:7">
      <c r="A795" s="1" t="s">
        <v>904</v>
      </c>
      <c r="B795" s="1" t="s">
        <v>15</v>
      </c>
      <c r="C795" s="1" t="s">
        <v>906</v>
      </c>
      <c r="D795" s="3">
        <v>35709.660000000003</v>
      </c>
      <c r="E795" s="3">
        <v>14376944.68</v>
      </c>
      <c r="F795" s="1" t="s">
        <v>3048</v>
      </c>
      <c r="G795" s="19">
        <f t="shared" si="73"/>
        <v>35709.660000000003</v>
      </c>
    </row>
    <row r="796" spans="1:7">
      <c r="A796" s="1" t="s">
        <v>904</v>
      </c>
      <c r="B796" s="1" t="s">
        <v>15</v>
      </c>
      <c r="C796" s="1" t="s">
        <v>907</v>
      </c>
      <c r="D796" s="3">
        <v>46766.400000000001</v>
      </c>
      <c r="E796" s="3">
        <v>14423711.08</v>
      </c>
      <c r="F796" s="1" t="s">
        <v>3048</v>
      </c>
      <c r="G796" s="19">
        <f t="shared" si="73"/>
        <v>46766.400000000001</v>
      </c>
    </row>
    <row r="797" spans="1:7">
      <c r="A797" s="1" t="s">
        <v>253</v>
      </c>
      <c r="B797" s="1" t="s">
        <v>307</v>
      </c>
      <c r="C797" s="1" t="s">
        <v>326</v>
      </c>
      <c r="D797" s="3">
        <v>1439.13</v>
      </c>
      <c r="E797" s="3">
        <v>14421424.01</v>
      </c>
      <c r="F797" s="2" t="s">
        <v>3048</v>
      </c>
      <c r="G797" s="19">
        <f t="shared" si="73"/>
        <v>1439.13</v>
      </c>
    </row>
    <row r="798" spans="1:7">
      <c r="A798" s="1" t="s">
        <v>904</v>
      </c>
      <c r="B798" s="1" t="s">
        <v>15</v>
      </c>
      <c r="C798" s="1" t="s">
        <v>910</v>
      </c>
      <c r="D798" s="3">
        <v>34292.61</v>
      </c>
      <c r="E798" s="3">
        <v>14462702.890000001</v>
      </c>
      <c r="F798" s="1" t="s">
        <v>3048</v>
      </c>
      <c r="G798" s="19">
        <f t="shared" si="73"/>
        <v>34292.61</v>
      </c>
    </row>
    <row r="799" spans="1:7">
      <c r="A799" s="1" t="s">
        <v>904</v>
      </c>
      <c r="B799" s="1" t="s">
        <v>15</v>
      </c>
      <c r="C799" s="1" t="s">
        <v>911</v>
      </c>
      <c r="D799" s="3">
        <v>8671.27</v>
      </c>
      <c r="E799" s="3">
        <v>14471374.16</v>
      </c>
      <c r="F799" s="1" t="s">
        <v>3048</v>
      </c>
      <c r="G799" s="19">
        <f t="shared" si="73"/>
        <v>8671.27</v>
      </c>
    </row>
    <row r="800" spans="1:7">
      <c r="A800" s="1" t="s">
        <v>904</v>
      </c>
      <c r="B800" s="1" t="s">
        <v>15</v>
      </c>
      <c r="C800" s="1" t="s">
        <v>912</v>
      </c>
      <c r="D800" s="3">
        <v>44677.36</v>
      </c>
      <c r="E800" s="3">
        <v>14516051.52</v>
      </c>
      <c r="F800" s="1" t="s">
        <v>3048</v>
      </c>
      <c r="G800" s="19">
        <f t="shared" si="73"/>
        <v>44677.36</v>
      </c>
    </row>
    <row r="801" spans="1:7">
      <c r="A801" s="1" t="s">
        <v>904</v>
      </c>
      <c r="B801" s="1" t="s">
        <v>15</v>
      </c>
      <c r="C801" s="1" t="s">
        <v>913</v>
      </c>
      <c r="D801" s="3">
        <v>45792.1</v>
      </c>
      <c r="E801" s="3">
        <v>14561843.619999999</v>
      </c>
      <c r="F801" s="1" t="s">
        <v>3048</v>
      </c>
      <c r="G801" s="19">
        <f t="shared" si="73"/>
        <v>45792.1</v>
      </c>
    </row>
    <row r="802" spans="1:7">
      <c r="A802" s="1" t="s">
        <v>477</v>
      </c>
      <c r="B802" s="1" t="s">
        <v>532</v>
      </c>
      <c r="C802" s="1" t="s">
        <v>533</v>
      </c>
      <c r="D802" s="3">
        <v>1800.38</v>
      </c>
      <c r="E802" s="3">
        <v>9335211.0700000003</v>
      </c>
      <c r="F802" s="2" t="s">
        <v>3048</v>
      </c>
      <c r="G802" s="19">
        <f t="shared" si="73"/>
        <v>1800.38</v>
      </c>
    </row>
    <row r="803" spans="1:7">
      <c r="A803" s="1" t="s">
        <v>904</v>
      </c>
      <c r="B803" s="1" t="s">
        <v>15</v>
      </c>
      <c r="C803" s="1" t="s">
        <v>916</v>
      </c>
      <c r="D803" s="3">
        <v>9353.2800000000007</v>
      </c>
      <c r="E803" s="3">
        <v>14575798.199999999</v>
      </c>
      <c r="F803" s="1" t="s">
        <v>3048</v>
      </c>
      <c r="G803" s="19">
        <f t="shared" si="73"/>
        <v>9353.2800000000007</v>
      </c>
    </row>
    <row r="804" spans="1:7">
      <c r="A804" s="1" t="s">
        <v>904</v>
      </c>
      <c r="B804" s="1" t="s">
        <v>15</v>
      </c>
      <c r="C804" s="1" t="s">
        <v>917</v>
      </c>
      <c r="D804" s="3">
        <v>14127.35</v>
      </c>
      <c r="E804" s="3">
        <v>14589925.550000001</v>
      </c>
      <c r="F804" s="1" t="s">
        <v>3048</v>
      </c>
      <c r="G804" s="19">
        <f t="shared" si="73"/>
        <v>14127.35</v>
      </c>
    </row>
    <row r="805" spans="1:7">
      <c r="A805" s="1" t="s">
        <v>904</v>
      </c>
      <c r="B805" s="1" t="s">
        <v>15</v>
      </c>
      <c r="C805" s="1" t="s">
        <v>918</v>
      </c>
      <c r="D805" s="3">
        <v>32054.47</v>
      </c>
      <c r="E805" s="3">
        <v>14621980.02</v>
      </c>
      <c r="F805" s="1" t="s">
        <v>3048</v>
      </c>
      <c r="G805" s="19">
        <f t="shared" si="73"/>
        <v>32054.47</v>
      </c>
    </row>
    <row r="806" spans="1:7">
      <c r="A806" s="1" t="s">
        <v>1286</v>
      </c>
      <c r="B806" s="1" t="s">
        <v>1301</v>
      </c>
      <c r="C806" s="1" t="s">
        <v>1302</v>
      </c>
      <c r="D806" s="2">
        <v>949.63</v>
      </c>
      <c r="E806" s="3">
        <v>13770603.470000001</v>
      </c>
      <c r="F806" s="2" t="s">
        <v>3048</v>
      </c>
      <c r="G806" s="19">
        <f t="shared" si="73"/>
        <v>949.63</v>
      </c>
    </row>
    <row r="807" spans="1:7">
      <c r="A807" s="1" t="s">
        <v>904</v>
      </c>
      <c r="B807" s="1" t="s">
        <v>15</v>
      </c>
      <c r="C807" s="1" t="s">
        <v>921</v>
      </c>
      <c r="D807" s="3">
        <v>29326.43</v>
      </c>
      <c r="E807" s="3">
        <v>14654527.359999999</v>
      </c>
      <c r="F807" s="1" t="s">
        <v>3048</v>
      </c>
      <c r="G807" s="19">
        <f t="shared" si="73"/>
        <v>29326.43</v>
      </c>
    </row>
    <row r="808" spans="1:7">
      <c r="A808" s="1" t="s">
        <v>904</v>
      </c>
      <c r="B808" s="1" t="s">
        <v>15</v>
      </c>
      <c r="C808" s="1" t="s">
        <v>922</v>
      </c>
      <c r="D808" s="3">
        <v>12373.61</v>
      </c>
      <c r="E808" s="3">
        <v>14666900.970000001</v>
      </c>
      <c r="F808" s="1" t="s">
        <v>3048</v>
      </c>
      <c r="G808" s="19">
        <f t="shared" si="73"/>
        <v>12373.61</v>
      </c>
    </row>
    <row r="809" spans="1:7">
      <c r="A809" s="1" t="s">
        <v>904</v>
      </c>
      <c r="B809" s="1" t="s">
        <v>15</v>
      </c>
      <c r="C809" s="1" t="s">
        <v>923</v>
      </c>
      <c r="D809" s="3">
        <v>10035.290000000001</v>
      </c>
      <c r="E809" s="3">
        <v>14676936.26</v>
      </c>
      <c r="F809" s="1" t="s">
        <v>3048</v>
      </c>
      <c r="G809" s="19">
        <f t="shared" si="73"/>
        <v>10035.290000000001</v>
      </c>
    </row>
    <row r="810" spans="1:7">
      <c r="A810" s="1" t="s">
        <v>904</v>
      </c>
      <c r="B810" s="1" t="s">
        <v>15</v>
      </c>
      <c r="C810" s="1" t="s">
        <v>924</v>
      </c>
      <c r="D810" s="3">
        <v>12665.9</v>
      </c>
      <c r="E810" s="3">
        <v>14689602.16</v>
      </c>
      <c r="F810" s="1" t="s">
        <v>3048</v>
      </c>
      <c r="G810" s="19">
        <f t="shared" si="73"/>
        <v>12665.9</v>
      </c>
    </row>
    <row r="811" spans="1:7">
      <c r="A811" s="1" t="s">
        <v>904</v>
      </c>
      <c r="B811" s="1" t="s">
        <v>15</v>
      </c>
      <c r="C811" s="1" t="s">
        <v>925</v>
      </c>
      <c r="D811" s="3">
        <v>23967.78</v>
      </c>
      <c r="E811" s="3">
        <v>14713569.939999999</v>
      </c>
      <c r="F811" s="1" t="s">
        <v>3048</v>
      </c>
      <c r="G811" s="19">
        <f t="shared" si="73"/>
        <v>23967.78</v>
      </c>
    </row>
    <row r="812" spans="1:7">
      <c r="A812" s="1" t="s">
        <v>904</v>
      </c>
      <c r="B812" s="1" t="s">
        <v>15</v>
      </c>
      <c r="C812" s="1" t="s">
        <v>926</v>
      </c>
      <c r="D812" s="3">
        <v>9548.14</v>
      </c>
      <c r="E812" s="3">
        <v>14723118.08</v>
      </c>
      <c r="F812" s="1" t="s">
        <v>3048</v>
      </c>
      <c r="G812" s="19">
        <f t="shared" si="73"/>
        <v>9548.14</v>
      </c>
    </row>
    <row r="813" spans="1:7">
      <c r="A813" s="1" t="s">
        <v>904</v>
      </c>
      <c r="B813" s="1" t="s">
        <v>15</v>
      </c>
      <c r="C813" s="1" t="s">
        <v>927</v>
      </c>
      <c r="D813" s="3">
        <v>8963.56</v>
      </c>
      <c r="E813" s="3">
        <v>14732081.640000001</v>
      </c>
      <c r="F813" s="1" t="s">
        <v>3048</v>
      </c>
      <c r="G813" s="19">
        <f t="shared" si="73"/>
        <v>8963.56</v>
      </c>
    </row>
    <row r="814" spans="1:7">
      <c r="A814" s="1" t="s">
        <v>904</v>
      </c>
      <c r="B814" s="1" t="s">
        <v>15</v>
      </c>
      <c r="C814" s="1" t="s">
        <v>928</v>
      </c>
      <c r="D814" s="3">
        <v>49299.58</v>
      </c>
      <c r="E814" s="3">
        <v>14781381.220000001</v>
      </c>
      <c r="F814" s="1" t="s">
        <v>3048</v>
      </c>
      <c r="G814" s="19">
        <f t="shared" ref="G814:G877" si="74">+D814</f>
        <v>49299.58</v>
      </c>
    </row>
    <row r="815" spans="1:7">
      <c r="A815" s="1" t="s">
        <v>904</v>
      </c>
      <c r="B815" s="1" t="s">
        <v>15</v>
      </c>
      <c r="C815" s="1" t="s">
        <v>929</v>
      </c>
      <c r="D815" s="3">
        <v>8184.12</v>
      </c>
      <c r="E815" s="3">
        <v>14789565.34</v>
      </c>
      <c r="F815" s="1" t="s">
        <v>3048</v>
      </c>
      <c r="G815" s="19">
        <f t="shared" si="74"/>
        <v>8184.12</v>
      </c>
    </row>
    <row r="816" spans="1:7">
      <c r="A816" s="1" t="s">
        <v>253</v>
      </c>
      <c r="B816" s="1" t="s">
        <v>294</v>
      </c>
      <c r="C816" s="1" t="s">
        <v>295</v>
      </c>
      <c r="D816" s="2">
        <v>420.97</v>
      </c>
      <c r="E816" s="3">
        <v>13828752.57</v>
      </c>
      <c r="F816" s="2" t="s">
        <v>3048</v>
      </c>
      <c r="G816" s="19">
        <f t="shared" si="74"/>
        <v>420.97</v>
      </c>
    </row>
    <row r="817" spans="1:7">
      <c r="A817" s="1" t="s">
        <v>904</v>
      </c>
      <c r="B817" s="1" t="s">
        <v>15</v>
      </c>
      <c r="C817" s="1" t="s">
        <v>932</v>
      </c>
      <c r="D817" s="3">
        <v>8071.96</v>
      </c>
      <c r="E817" s="3">
        <v>14798048.48</v>
      </c>
      <c r="F817" s="1" t="s">
        <v>3048</v>
      </c>
      <c r="G817" s="19">
        <f t="shared" si="74"/>
        <v>8071.96</v>
      </c>
    </row>
    <row r="818" spans="1:7">
      <c r="A818" s="1" t="s">
        <v>904</v>
      </c>
      <c r="B818" s="1" t="s">
        <v>15</v>
      </c>
      <c r="C818" s="1" t="s">
        <v>933</v>
      </c>
      <c r="D818" s="3">
        <v>86817.93</v>
      </c>
      <c r="E818" s="3">
        <v>14884866.41</v>
      </c>
      <c r="F818" s="1" t="s">
        <v>3048</v>
      </c>
      <c r="G818" s="19">
        <f t="shared" si="74"/>
        <v>86817.93</v>
      </c>
    </row>
    <row r="819" spans="1:7">
      <c r="A819" s="1" t="s">
        <v>904</v>
      </c>
      <c r="B819" s="1" t="s">
        <v>15</v>
      </c>
      <c r="C819" s="1" t="s">
        <v>934</v>
      </c>
      <c r="D819" s="3">
        <v>25136.94</v>
      </c>
      <c r="E819" s="3">
        <v>14910003.35</v>
      </c>
      <c r="F819" s="1" t="s">
        <v>3048</v>
      </c>
      <c r="G819" s="19">
        <f t="shared" si="74"/>
        <v>25136.94</v>
      </c>
    </row>
    <row r="820" spans="1:7">
      <c r="A820" s="1" t="s">
        <v>548</v>
      </c>
      <c r="B820" s="1" t="s">
        <v>620</v>
      </c>
      <c r="C820" s="1" t="s">
        <v>621</v>
      </c>
      <c r="D820" s="2">
        <v>704.88</v>
      </c>
      <c r="E820" s="3">
        <v>8049772.9299999997</v>
      </c>
      <c r="F820" s="2" t="s">
        <v>3048</v>
      </c>
      <c r="G820" s="19">
        <f t="shared" si="74"/>
        <v>704.88</v>
      </c>
    </row>
    <row r="821" spans="1:7">
      <c r="A821" s="1" t="s">
        <v>904</v>
      </c>
      <c r="B821" s="1" t="s">
        <v>15</v>
      </c>
      <c r="C821" s="1" t="s">
        <v>937</v>
      </c>
      <c r="D821" s="3">
        <v>44684.31</v>
      </c>
      <c r="E821" s="3">
        <v>14955950.57</v>
      </c>
      <c r="F821" s="1" t="s">
        <v>3048</v>
      </c>
      <c r="G821" s="19">
        <f t="shared" si="74"/>
        <v>44684.31</v>
      </c>
    </row>
    <row r="822" spans="1:7">
      <c r="A822" s="1" t="s">
        <v>904</v>
      </c>
      <c r="B822" s="1" t="s">
        <v>15</v>
      </c>
      <c r="C822" s="1" t="s">
        <v>938</v>
      </c>
      <c r="D822" s="3">
        <v>10327.58</v>
      </c>
      <c r="E822" s="3">
        <v>14966278.15</v>
      </c>
      <c r="F822" s="1" t="s">
        <v>3048</v>
      </c>
      <c r="G822" s="19">
        <f t="shared" si="74"/>
        <v>10327.58</v>
      </c>
    </row>
    <row r="823" spans="1:7">
      <c r="A823" s="1" t="s">
        <v>904</v>
      </c>
      <c r="B823" s="1" t="s">
        <v>15</v>
      </c>
      <c r="C823" s="1" t="s">
        <v>939</v>
      </c>
      <c r="D823" s="3">
        <v>75292.59</v>
      </c>
      <c r="E823" s="3">
        <v>15041570.74</v>
      </c>
      <c r="F823" s="1" t="s">
        <v>3048</v>
      </c>
      <c r="G823" s="19">
        <f t="shared" si="74"/>
        <v>75292.59</v>
      </c>
    </row>
    <row r="824" spans="1:7">
      <c r="A824" s="1" t="s">
        <v>904</v>
      </c>
      <c r="B824" s="1" t="s">
        <v>15</v>
      </c>
      <c r="C824" s="1" t="s">
        <v>940</v>
      </c>
      <c r="D824" s="3">
        <v>36828.54</v>
      </c>
      <c r="E824" s="3">
        <v>15078399.279999999</v>
      </c>
      <c r="F824" s="1" t="s">
        <v>3048</v>
      </c>
      <c r="G824" s="19">
        <f t="shared" si="74"/>
        <v>36828.54</v>
      </c>
    </row>
    <row r="825" spans="1:7">
      <c r="A825" s="1" t="s">
        <v>1742</v>
      </c>
      <c r="B825" s="1" t="s">
        <v>1750</v>
      </c>
      <c r="C825" s="1" t="s">
        <v>1751</v>
      </c>
      <c r="D825" s="2">
        <v>411.18</v>
      </c>
      <c r="E825" s="3">
        <v>15913293.92</v>
      </c>
      <c r="F825" s="2" t="s">
        <v>3048</v>
      </c>
      <c r="G825" s="19">
        <f t="shared" si="74"/>
        <v>411.18</v>
      </c>
    </row>
    <row r="826" spans="1:7">
      <c r="A826" s="1" t="s">
        <v>904</v>
      </c>
      <c r="B826" s="1" t="s">
        <v>15</v>
      </c>
      <c r="C826" s="1" t="s">
        <v>942</v>
      </c>
      <c r="D826" s="3">
        <v>16432.990000000002</v>
      </c>
      <c r="E826" s="3">
        <v>15098532.890000001</v>
      </c>
      <c r="F826" s="1" t="s">
        <v>3048</v>
      </c>
      <c r="G826" s="19">
        <f t="shared" si="74"/>
        <v>16432.990000000002</v>
      </c>
    </row>
    <row r="827" spans="1:7">
      <c r="A827" s="1" t="s">
        <v>904</v>
      </c>
      <c r="B827" s="1" t="s">
        <v>15</v>
      </c>
      <c r="C827" s="1" t="s">
        <v>943</v>
      </c>
      <c r="D827" s="3">
        <v>126288.89</v>
      </c>
      <c r="E827" s="3">
        <v>15224821.779999999</v>
      </c>
      <c r="F827" s="1" t="s">
        <v>3048</v>
      </c>
      <c r="G827" s="19">
        <f t="shared" si="74"/>
        <v>126288.89</v>
      </c>
    </row>
    <row r="828" spans="1:7">
      <c r="A828" s="1" t="s">
        <v>904</v>
      </c>
      <c r="B828" s="1" t="s">
        <v>15</v>
      </c>
      <c r="C828" s="1" t="s">
        <v>944</v>
      </c>
      <c r="D828" s="3">
        <v>13835.06</v>
      </c>
      <c r="E828" s="3">
        <v>15238656.84</v>
      </c>
      <c r="F828" s="1" t="s">
        <v>3048</v>
      </c>
      <c r="G828" s="19">
        <f t="shared" si="74"/>
        <v>13835.06</v>
      </c>
    </row>
    <row r="829" spans="1:7">
      <c r="A829" s="1" t="s">
        <v>904</v>
      </c>
      <c r="B829" s="1" t="s">
        <v>15</v>
      </c>
      <c r="C829" s="1" t="s">
        <v>945</v>
      </c>
      <c r="D829" s="3">
        <v>7508.8</v>
      </c>
      <c r="E829" s="3">
        <v>15246165.640000001</v>
      </c>
      <c r="F829" s="1" t="s">
        <v>3048</v>
      </c>
      <c r="G829" s="19">
        <f t="shared" si="74"/>
        <v>7508.8</v>
      </c>
    </row>
    <row r="830" spans="1:7">
      <c r="A830" s="1" t="s">
        <v>904</v>
      </c>
      <c r="B830" s="1" t="s">
        <v>15</v>
      </c>
      <c r="C830" s="1" t="s">
        <v>946</v>
      </c>
      <c r="D830" s="3">
        <v>9353.2800000000007</v>
      </c>
      <c r="E830" s="3">
        <v>15255518.92</v>
      </c>
      <c r="F830" s="1" t="s">
        <v>3048</v>
      </c>
      <c r="G830" s="19">
        <f t="shared" si="74"/>
        <v>9353.2800000000007</v>
      </c>
    </row>
    <row r="831" spans="1:7">
      <c r="A831" s="1" t="s">
        <v>904</v>
      </c>
      <c r="B831" s="1" t="s">
        <v>15</v>
      </c>
      <c r="C831" s="1" t="s">
        <v>947</v>
      </c>
      <c r="D831" s="3">
        <v>26890.68</v>
      </c>
      <c r="E831" s="3">
        <v>15282409.6</v>
      </c>
      <c r="F831" s="1" t="s">
        <v>3048</v>
      </c>
      <c r="G831" s="19">
        <f t="shared" si="74"/>
        <v>26890.68</v>
      </c>
    </row>
    <row r="832" spans="1:7">
      <c r="A832" s="1" t="s">
        <v>904</v>
      </c>
      <c r="B832" s="1" t="s">
        <v>15</v>
      </c>
      <c r="C832" s="1" t="s">
        <v>948</v>
      </c>
      <c r="D832" s="3">
        <v>14224.78</v>
      </c>
      <c r="E832" s="3">
        <v>15296634.380000001</v>
      </c>
      <c r="F832" s="1" t="s">
        <v>3048</v>
      </c>
      <c r="G832" s="19">
        <f t="shared" si="74"/>
        <v>14224.78</v>
      </c>
    </row>
    <row r="833" spans="1:7">
      <c r="A833" s="1" t="s">
        <v>904</v>
      </c>
      <c r="B833" s="1" t="s">
        <v>15</v>
      </c>
      <c r="C833" s="1" t="s">
        <v>949</v>
      </c>
      <c r="D833" s="3">
        <v>109316.46</v>
      </c>
      <c r="E833" s="3">
        <v>15405950.84</v>
      </c>
      <c r="F833" s="1" t="s">
        <v>3048</v>
      </c>
      <c r="G833" s="19">
        <f t="shared" si="74"/>
        <v>109316.46</v>
      </c>
    </row>
    <row r="834" spans="1:7">
      <c r="A834" s="1" t="s">
        <v>904</v>
      </c>
      <c r="B834" s="1" t="s">
        <v>950</v>
      </c>
      <c r="C834" s="1" t="s">
        <v>951</v>
      </c>
      <c r="D834" s="3">
        <v>5492.19</v>
      </c>
      <c r="E834" s="3">
        <v>15411443.029999999</v>
      </c>
      <c r="F834" s="2" t="s">
        <v>3048</v>
      </c>
      <c r="G834" s="19">
        <f t="shared" si="74"/>
        <v>5492.19</v>
      </c>
    </row>
    <row r="835" spans="1:7">
      <c r="A835" s="1" t="s">
        <v>904</v>
      </c>
      <c r="B835" s="1" t="s">
        <v>15</v>
      </c>
      <c r="C835" s="1" t="s">
        <v>952</v>
      </c>
      <c r="D835" s="3">
        <v>9069.1200000000008</v>
      </c>
      <c r="E835" s="3">
        <v>15420512.15</v>
      </c>
      <c r="F835" s="1" t="s">
        <v>3048</v>
      </c>
      <c r="G835" s="19">
        <f t="shared" si="74"/>
        <v>9069.1200000000008</v>
      </c>
    </row>
    <row r="836" spans="1:7">
      <c r="A836" s="1" t="s">
        <v>904</v>
      </c>
      <c r="B836" s="1" t="s">
        <v>15</v>
      </c>
      <c r="C836" s="1" t="s">
        <v>953</v>
      </c>
      <c r="D836" s="3">
        <v>4534.5600000000004</v>
      </c>
      <c r="E836" s="3">
        <v>15425046.710000001</v>
      </c>
      <c r="F836" s="1" t="s">
        <v>3048</v>
      </c>
      <c r="G836" s="19">
        <f t="shared" si="74"/>
        <v>4534.5600000000004</v>
      </c>
    </row>
    <row r="837" spans="1:7">
      <c r="A837" s="1" t="s">
        <v>904</v>
      </c>
      <c r="B837" s="1" t="s">
        <v>15</v>
      </c>
      <c r="C837" s="1" t="s">
        <v>954</v>
      </c>
      <c r="D837" s="3">
        <v>9353.2800000000007</v>
      </c>
      <c r="E837" s="3">
        <v>15434399.99</v>
      </c>
      <c r="F837" s="1" t="s">
        <v>3048</v>
      </c>
      <c r="G837" s="19">
        <f t="shared" si="74"/>
        <v>9353.2800000000007</v>
      </c>
    </row>
    <row r="838" spans="1:7">
      <c r="A838" s="1" t="s">
        <v>904</v>
      </c>
      <c r="B838" s="1" t="s">
        <v>15</v>
      </c>
      <c r="C838" s="1" t="s">
        <v>955</v>
      </c>
      <c r="D838" s="3">
        <v>9548.14</v>
      </c>
      <c r="E838" s="3">
        <v>15443948.130000001</v>
      </c>
      <c r="F838" s="1" t="s">
        <v>3048</v>
      </c>
      <c r="G838" s="19">
        <f t="shared" si="74"/>
        <v>9548.14</v>
      </c>
    </row>
    <row r="839" spans="1:7">
      <c r="A839" s="1" t="s">
        <v>904</v>
      </c>
      <c r="B839" s="1" t="s">
        <v>15</v>
      </c>
      <c r="C839" s="1" t="s">
        <v>956</v>
      </c>
      <c r="D839" s="3">
        <v>22798.62</v>
      </c>
      <c r="E839" s="3">
        <v>15466746.75</v>
      </c>
      <c r="F839" s="1" t="s">
        <v>3048</v>
      </c>
      <c r="G839" s="19">
        <f t="shared" si="74"/>
        <v>22798.62</v>
      </c>
    </row>
    <row r="840" spans="1:7">
      <c r="A840" s="1" t="s">
        <v>904</v>
      </c>
      <c r="B840" s="1" t="s">
        <v>15</v>
      </c>
      <c r="C840" s="1" t="s">
        <v>957</v>
      </c>
      <c r="D840" s="3">
        <v>3897.2</v>
      </c>
      <c r="E840" s="3">
        <v>15470643.949999999</v>
      </c>
      <c r="F840" s="1" t="s">
        <v>3048</v>
      </c>
      <c r="G840" s="19">
        <f t="shared" si="74"/>
        <v>3897.2</v>
      </c>
    </row>
    <row r="841" spans="1:7">
      <c r="A841" s="1" t="s">
        <v>904</v>
      </c>
      <c r="B841" s="1" t="s">
        <v>15</v>
      </c>
      <c r="C841" s="1" t="s">
        <v>958</v>
      </c>
      <c r="D841" s="3">
        <v>3754.4</v>
      </c>
      <c r="E841" s="3">
        <v>15474398.35</v>
      </c>
      <c r="F841" s="1" t="s">
        <v>3048</v>
      </c>
      <c r="G841" s="19">
        <f t="shared" si="74"/>
        <v>3754.4</v>
      </c>
    </row>
    <row r="842" spans="1:7">
      <c r="A842" s="1" t="s">
        <v>904</v>
      </c>
      <c r="B842" s="1" t="s">
        <v>15</v>
      </c>
      <c r="C842" s="1" t="s">
        <v>959</v>
      </c>
      <c r="D842" s="3">
        <v>17760.36</v>
      </c>
      <c r="E842" s="3">
        <v>15492158.710000001</v>
      </c>
      <c r="F842" s="1" t="s">
        <v>3048</v>
      </c>
      <c r="G842" s="19">
        <f t="shared" si="74"/>
        <v>17760.36</v>
      </c>
    </row>
    <row r="843" spans="1:7">
      <c r="A843" s="1" t="s">
        <v>904</v>
      </c>
      <c r="B843" s="1" t="s">
        <v>15</v>
      </c>
      <c r="C843" s="1" t="s">
        <v>960</v>
      </c>
      <c r="D843" s="3">
        <v>9743</v>
      </c>
      <c r="E843" s="3">
        <v>15501901.710000001</v>
      </c>
      <c r="F843" s="1" t="s">
        <v>3048</v>
      </c>
      <c r="G843" s="19">
        <f t="shared" si="74"/>
        <v>9743</v>
      </c>
    </row>
    <row r="844" spans="1:7">
      <c r="A844" s="1" t="s">
        <v>41</v>
      </c>
      <c r="B844" s="1" t="s">
        <v>65</v>
      </c>
      <c r="C844" s="1" t="s">
        <v>66</v>
      </c>
      <c r="D844" s="3">
        <v>1302.07</v>
      </c>
      <c r="E844" s="3">
        <v>10434250.039999999</v>
      </c>
      <c r="F844" s="2" t="s">
        <v>3048</v>
      </c>
      <c r="G844" s="19">
        <f t="shared" si="74"/>
        <v>1302.07</v>
      </c>
    </row>
    <row r="845" spans="1:7">
      <c r="A845" s="1" t="s">
        <v>904</v>
      </c>
      <c r="B845" s="1" t="s">
        <v>15</v>
      </c>
      <c r="C845" s="1" t="s">
        <v>963</v>
      </c>
      <c r="D845" s="3">
        <v>9255.85</v>
      </c>
      <c r="E845" s="3">
        <v>15511647.060000001</v>
      </c>
      <c r="F845" s="1" t="s">
        <v>3048</v>
      </c>
      <c r="G845" s="19">
        <f t="shared" si="74"/>
        <v>9255.85</v>
      </c>
    </row>
    <row r="846" spans="1:7">
      <c r="A846" s="1" t="s">
        <v>904</v>
      </c>
      <c r="B846" s="1" t="s">
        <v>15</v>
      </c>
      <c r="C846" s="1" t="s">
        <v>964</v>
      </c>
      <c r="D846" s="3">
        <v>3897.2</v>
      </c>
      <c r="E846" s="3">
        <v>15515544.26</v>
      </c>
      <c r="F846" s="1" t="s">
        <v>3048</v>
      </c>
      <c r="G846" s="19">
        <f t="shared" si="74"/>
        <v>3897.2</v>
      </c>
    </row>
    <row r="847" spans="1:7">
      <c r="A847" s="1" t="s">
        <v>904</v>
      </c>
      <c r="B847" s="1" t="s">
        <v>15</v>
      </c>
      <c r="C847" s="1" t="s">
        <v>965</v>
      </c>
      <c r="D847" s="3">
        <v>10035.290000000001</v>
      </c>
      <c r="E847" s="3">
        <v>15525579.550000001</v>
      </c>
      <c r="F847" s="1" t="s">
        <v>3048</v>
      </c>
      <c r="G847" s="19">
        <f t="shared" si="74"/>
        <v>10035.290000000001</v>
      </c>
    </row>
    <row r="848" spans="1:7">
      <c r="A848" s="1" t="s">
        <v>904</v>
      </c>
      <c r="B848" s="1" t="s">
        <v>15</v>
      </c>
      <c r="C848" s="1" t="s">
        <v>966</v>
      </c>
      <c r="D848" s="3">
        <v>12860.76</v>
      </c>
      <c r="E848" s="3">
        <v>15538440.310000001</v>
      </c>
      <c r="F848" s="1" t="s">
        <v>3048</v>
      </c>
      <c r="G848" s="19">
        <f t="shared" si="74"/>
        <v>12860.76</v>
      </c>
    </row>
    <row r="849" spans="1:7">
      <c r="A849" s="1" t="s">
        <v>904</v>
      </c>
      <c r="B849" s="1" t="s">
        <v>15</v>
      </c>
      <c r="C849" s="1" t="s">
        <v>967</v>
      </c>
      <c r="D849" s="3">
        <v>15199.08</v>
      </c>
      <c r="E849" s="3">
        <v>15553639.390000001</v>
      </c>
      <c r="F849" s="1" t="s">
        <v>3048</v>
      </c>
      <c r="G849" s="19">
        <f t="shared" si="74"/>
        <v>15199.08</v>
      </c>
    </row>
    <row r="850" spans="1:7">
      <c r="A850" s="1" t="s">
        <v>904</v>
      </c>
      <c r="B850" s="1" t="s">
        <v>15</v>
      </c>
      <c r="C850" s="1" t="s">
        <v>968</v>
      </c>
      <c r="D850" s="3">
        <v>10257.620000000001</v>
      </c>
      <c r="E850" s="3">
        <v>15563897.01</v>
      </c>
      <c r="F850" s="1" t="s">
        <v>3048</v>
      </c>
      <c r="G850" s="19">
        <f t="shared" si="74"/>
        <v>10257.620000000001</v>
      </c>
    </row>
    <row r="851" spans="1:7">
      <c r="A851" s="1" t="s">
        <v>904</v>
      </c>
      <c r="B851" s="1" t="s">
        <v>15</v>
      </c>
      <c r="C851" s="1" t="s">
        <v>969</v>
      </c>
      <c r="D851" s="3">
        <v>9158.42</v>
      </c>
      <c r="E851" s="3">
        <v>15573055.43</v>
      </c>
      <c r="F851" s="1" t="s">
        <v>3048</v>
      </c>
      <c r="G851" s="19">
        <f t="shared" si="74"/>
        <v>9158.42</v>
      </c>
    </row>
    <row r="852" spans="1:7">
      <c r="A852" s="1" t="s">
        <v>904</v>
      </c>
      <c r="B852" s="1" t="s">
        <v>15</v>
      </c>
      <c r="C852" s="1" t="s">
        <v>970</v>
      </c>
      <c r="D852" s="3">
        <v>9258.06</v>
      </c>
      <c r="E852" s="3">
        <v>15582313.49</v>
      </c>
      <c r="F852" s="1" t="s">
        <v>3048</v>
      </c>
      <c r="G852" s="19">
        <f t="shared" si="74"/>
        <v>9258.06</v>
      </c>
    </row>
    <row r="853" spans="1:7">
      <c r="A853" s="1" t="s">
        <v>904</v>
      </c>
      <c r="B853" s="1" t="s">
        <v>15</v>
      </c>
      <c r="C853" s="1" t="s">
        <v>971</v>
      </c>
      <c r="D853" s="3">
        <v>27864.98</v>
      </c>
      <c r="E853" s="3">
        <v>15610178.470000001</v>
      </c>
      <c r="F853" s="1" t="s">
        <v>3048</v>
      </c>
      <c r="G853" s="19">
        <f t="shared" si="74"/>
        <v>27864.98</v>
      </c>
    </row>
    <row r="854" spans="1:7">
      <c r="A854" s="1" t="s">
        <v>904</v>
      </c>
      <c r="B854" s="1" t="s">
        <v>15</v>
      </c>
      <c r="C854" s="1" t="s">
        <v>972</v>
      </c>
      <c r="D854" s="3">
        <v>54853.09</v>
      </c>
      <c r="E854" s="3">
        <v>15665031.560000001</v>
      </c>
      <c r="F854" s="1" t="s">
        <v>3048</v>
      </c>
      <c r="G854" s="19">
        <f t="shared" si="74"/>
        <v>54853.09</v>
      </c>
    </row>
    <row r="855" spans="1:7">
      <c r="A855" s="1" t="s">
        <v>904</v>
      </c>
      <c r="B855" s="1" t="s">
        <v>15</v>
      </c>
      <c r="C855" s="1" t="s">
        <v>973</v>
      </c>
      <c r="D855" s="3">
        <v>191868.57</v>
      </c>
      <c r="E855" s="3">
        <v>15856900.130000001</v>
      </c>
      <c r="F855" s="1" t="s">
        <v>3048</v>
      </c>
      <c r="G855" s="19">
        <f t="shared" si="74"/>
        <v>191868.57</v>
      </c>
    </row>
    <row r="856" spans="1:7">
      <c r="A856" s="1" t="s">
        <v>904</v>
      </c>
      <c r="B856" s="1" t="s">
        <v>15</v>
      </c>
      <c r="C856" s="1" t="s">
        <v>974</v>
      </c>
      <c r="D856" s="3">
        <v>39582.93</v>
      </c>
      <c r="E856" s="3">
        <v>15896483.060000001</v>
      </c>
      <c r="F856" s="1" t="s">
        <v>3048</v>
      </c>
      <c r="G856" s="19">
        <f t="shared" si="74"/>
        <v>39582.93</v>
      </c>
    </row>
    <row r="857" spans="1:7">
      <c r="A857" s="1" t="s">
        <v>904</v>
      </c>
      <c r="B857" s="1" t="s">
        <v>15</v>
      </c>
      <c r="C857" s="1" t="s">
        <v>975</v>
      </c>
      <c r="D857" s="3">
        <v>4774.07</v>
      </c>
      <c r="E857" s="3">
        <v>15901257.130000001</v>
      </c>
      <c r="F857" s="1" t="s">
        <v>3048</v>
      </c>
      <c r="G857" s="19">
        <f t="shared" si="74"/>
        <v>4774.07</v>
      </c>
    </row>
    <row r="858" spans="1:7">
      <c r="A858" s="1" t="s">
        <v>904</v>
      </c>
      <c r="B858" s="1" t="s">
        <v>15</v>
      </c>
      <c r="C858" s="1" t="s">
        <v>976</v>
      </c>
      <c r="D858" s="3">
        <v>12568.47</v>
      </c>
      <c r="E858" s="3">
        <v>15913825.6</v>
      </c>
      <c r="F858" s="1" t="s">
        <v>3048</v>
      </c>
      <c r="G858" s="19">
        <f t="shared" si="74"/>
        <v>12568.47</v>
      </c>
    </row>
    <row r="859" spans="1:7">
      <c r="A859" s="1" t="s">
        <v>904</v>
      </c>
      <c r="B859" s="1" t="s">
        <v>15</v>
      </c>
      <c r="C859" s="1" t="s">
        <v>977</v>
      </c>
      <c r="D859" s="3">
        <v>18129.28</v>
      </c>
      <c r="E859" s="3">
        <v>15931954.880000001</v>
      </c>
      <c r="F859" s="1" t="s">
        <v>3048</v>
      </c>
      <c r="G859" s="19">
        <f t="shared" si="74"/>
        <v>18129.28</v>
      </c>
    </row>
    <row r="860" spans="1:7">
      <c r="A860" s="1" t="s">
        <v>904</v>
      </c>
      <c r="B860" s="1" t="s">
        <v>15</v>
      </c>
      <c r="C860" s="1" t="s">
        <v>978</v>
      </c>
      <c r="D860" s="3">
        <v>15115.2</v>
      </c>
      <c r="E860" s="3">
        <v>15947070.08</v>
      </c>
      <c r="F860" s="1" t="s">
        <v>3048</v>
      </c>
      <c r="G860" s="19">
        <f t="shared" si="74"/>
        <v>15115.2</v>
      </c>
    </row>
    <row r="861" spans="1:7">
      <c r="A861" s="1" t="s">
        <v>904</v>
      </c>
      <c r="B861" s="1" t="s">
        <v>15</v>
      </c>
      <c r="C861" s="1" t="s">
        <v>979</v>
      </c>
      <c r="D861" s="3">
        <v>26695.82</v>
      </c>
      <c r="E861" s="3">
        <v>15973765.9</v>
      </c>
      <c r="F861" s="1" t="s">
        <v>3048</v>
      </c>
      <c r="G861" s="19">
        <f t="shared" si="74"/>
        <v>26695.82</v>
      </c>
    </row>
    <row r="862" spans="1:7">
      <c r="A862" s="1" t="s">
        <v>904</v>
      </c>
      <c r="B862" s="1" t="s">
        <v>15</v>
      </c>
      <c r="C862" s="1" t="s">
        <v>980</v>
      </c>
      <c r="D862" s="3">
        <v>46006.89</v>
      </c>
      <c r="E862" s="3">
        <v>16019772.789999999</v>
      </c>
      <c r="F862" s="1" t="s">
        <v>3048</v>
      </c>
      <c r="G862" s="19">
        <f t="shared" si="74"/>
        <v>46006.89</v>
      </c>
    </row>
    <row r="863" spans="1:7">
      <c r="A863" s="1" t="s">
        <v>904</v>
      </c>
      <c r="B863" s="1" t="s">
        <v>15</v>
      </c>
      <c r="C863" s="1" t="s">
        <v>981</v>
      </c>
      <c r="D863" s="3">
        <v>61290.58</v>
      </c>
      <c r="E863" s="3">
        <v>16081063.369999999</v>
      </c>
      <c r="F863" s="1" t="s">
        <v>3048</v>
      </c>
      <c r="G863" s="19">
        <f t="shared" si="74"/>
        <v>61290.58</v>
      </c>
    </row>
    <row r="864" spans="1:7">
      <c r="A864" s="1" t="s">
        <v>904</v>
      </c>
      <c r="B864" s="1" t="s">
        <v>15</v>
      </c>
      <c r="C864" s="1" t="s">
        <v>982</v>
      </c>
      <c r="D864" s="3">
        <v>34772.57</v>
      </c>
      <c r="E864" s="3">
        <v>16115835.939999999</v>
      </c>
      <c r="F864" s="1" t="s">
        <v>3048</v>
      </c>
      <c r="G864" s="19">
        <f t="shared" si="74"/>
        <v>34772.57</v>
      </c>
    </row>
    <row r="865" spans="1:7">
      <c r="A865" s="1" t="s">
        <v>904</v>
      </c>
      <c r="B865" s="1" t="s">
        <v>15</v>
      </c>
      <c r="C865" s="1" t="s">
        <v>983</v>
      </c>
      <c r="D865" s="3">
        <v>11886.46</v>
      </c>
      <c r="E865" s="3">
        <v>16127722.4</v>
      </c>
      <c r="F865" s="1" t="s">
        <v>3048</v>
      </c>
      <c r="G865" s="19">
        <f t="shared" si="74"/>
        <v>11886.46</v>
      </c>
    </row>
    <row r="866" spans="1:7">
      <c r="A866" s="1" t="s">
        <v>904</v>
      </c>
      <c r="B866" s="1" t="s">
        <v>15</v>
      </c>
      <c r="C866" s="1" t="s">
        <v>984</v>
      </c>
      <c r="D866" s="3">
        <v>39946.300000000003</v>
      </c>
      <c r="E866" s="3">
        <v>16167668.699999999</v>
      </c>
      <c r="F866" s="1" t="s">
        <v>3048</v>
      </c>
      <c r="G866" s="19">
        <f t="shared" si="74"/>
        <v>39946.300000000003</v>
      </c>
    </row>
    <row r="867" spans="1:7">
      <c r="A867" s="1" t="s">
        <v>1768</v>
      </c>
      <c r="B867" s="1" t="s">
        <v>1777</v>
      </c>
      <c r="C867" s="1" t="s">
        <v>1778</v>
      </c>
      <c r="D867" s="3">
        <v>4483.82</v>
      </c>
      <c r="E867" s="3">
        <v>11612209.289999999</v>
      </c>
      <c r="F867" s="2" t="s">
        <v>3048</v>
      </c>
      <c r="G867" s="19">
        <f t="shared" si="74"/>
        <v>4483.82</v>
      </c>
    </row>
    <row r="868" spans="1:7">
      <c r="A868" s="1" t="s">
        <v>904</v>
      </c>
      <c r="B868" s="1" t="s">
        <v>15</v>
      </c>
      <c r="C868" s="1" t="s">
        <v>987</v>
      </c>
      <c r="D868" s="3">
        <v>28059.84</v>
      </c>
      <c r="E868" s="3">
        <v>16201749.390000001</v>
      </c>
      <c r="F868" s="1" t="s">
        <v>3048</v>
      </c>
      <c r="G868" s="19">
        <f t="shared" si="74"/>
        <v>28059.84</v>
      </c>
    </row>
    <row r="869" spans="1:7">
      <c r="A869" s="1" t="s">
        <v>121</v>
      </c>
      <c r="B869" s="1" t="s">
        <v>224</v>
      </c>
      <c r="C869" s="1" t="s">
        <v>225</v>
      </c>
      <c r="D869" s="3">
        <v>3333.49</v>
      </c>
      <c r="E869" s="3">
        <v>12215685.07</v>
      </c>
      <c r="F869" s="2" t="s">
        <v>3048</v>
      </c>
      <c r="G869" s="19">
        <f t="shared" si="74"/>
        <v>3333.49</v>
      </c>
    </row>
    <row r="870" spans="1:7">
      <c r="A870" s="1" t="s">
        <v>904</v>
      </c>
      <c r="B870" s="1" t="s">
        <v>15</v>
      </c>
      <c r="C870" s="1" t="s">
        <v>990</v>
      </c>
      <c r="D870" s="3">
        <v>24552.36</v>
      </c>
      <c r="E870" s="3">
        <v>16229121.27</v>
      </c>
      <c r="F870" s="1" t="s">
        <v>3048</v>
      </c>
      <c r="G870" s="19">
        <f t="shared" si="74"/>
        <v>24552.36</v>
      </c>
    </row>
    <row r="871" spans="1:7">
      <c r="A871" s="1" t="s">
        <v>904</v>
      </c>
      <c r="B871" s="1" t="s">
        <v>15</v>
      </c>
      <c r="C871" s="1" t="s">
        <v>991</v>
      </c>
      <c r="D871" s="3">
        <v>17176.38</v>
      </c>
      <c r="E871" s="3">
        <v>16246297.65</v>
      </c>
      <c r="F871" s="1" t="s">
        <v>3048</v>
      </c>
      <c r="G871" s="19">
        <f t="shared" si="74"/>
        <v>17176.38</v>
      </c>
    </row>
    <row r="872" spans="1:7">
      <c r="A872" s="1" t="s">
        <v>904</v>
      </c>
      <c r="B872" s="1" t="s">
        <v>15</v>
      </c>
      <c r="C872" s="1" t="s">
        <v>992</v>
      </c>
      <c r="D872" s="3">
        <v>75605.679999999993</v>
      </c>
      <c r="E872" s="3">
        <v>16321903.33</v>
      </c>
      <c r="F872" s="1" t="s">
        <v>3048</v>
      </c>
      <c r="G872" s="19">
        <f t="shared" si="74"/>
        <v>75605.679999999993</v>
      </c>
    </row>
    <row r="873" spans="1:7">
      <c r="A873" s="1" t="s">
        <v>904</v>
      </c>
      <c r="B873" s="1" t="s">
        <v>15</v>
      </c>
      <c r="C873" s="1" t="s">
        <v>993</v>
      </c>
      <c r="D873" s="3">
        <v>79210.59</v>
      </c>
      <c r="E873" s="3">
        <v>16401113.92</v>
      </c>
      <c r="F873" s="1" t="s">
        <v>3048</v>
      </c>
      <c r="G873" s="19">
        <f t="shared" si="74"/>
        <v>79210.59</v>
      </c>
    </row>
    <row r="874" spans="1:7">
      <c r="A874" s="1" t="s">
        <v>904</v>
      </c>
      <c r="B874" s="1" t="s">
        <v>15</v>
      </c>
      <c r="C874" s="1" t="s">
        <v>994</v>
      </c>
      <c r="D874" s="3">
        <v>9730.41</v>
      </c>
      <c r="E874" s="3">
        <v>16410844.33</v>
      </c>
      <c r="F874" s="1" t="s">
        <v>3048</v>
      </c>
      <c r="G874" s="19">
        <f t="shared" si="74"/>
        <v>9730.41</v>
      </c>
    </row>
    <row r="875" spans="1:7">
      <c r="A875" s="1" t="s">
        <v>904</v>
      </c>
      <c r="B875" s="1" t="s">
        <v>15</v>
      </c>
      <c r="C875" s="1" t="s">
        <v>995</v>
      </c>
      <c r="D875" s="3">
        <v>14029.92</v>
      </c>
      <c r="E875" s="3">
        <v>16424874.25</v>
      </c>
      <c r="F875" s="1" t="s">
        <v>3048</v>
      </c>
      <c r="G875" s="19">
        <f t="shared" si="74"/>
        <v>14029.92</v>
      </c>
    </row>
    <row r="876" spans="1:7">
      <c r="A876" s="1" t="s">
        <v>904</v>
      </c>
      <c r="B876" s="1" t="s">
        <v>15</v>
      </c>
      <c r="C876" s="1" t="s">
        <v>996</v>
      </c>
      <c r="D876" s="3">
        <v>35464.519999999997</v>
      </c>
      <c r="E876" s="3">
        <v>16460338.77</v>
      </c>
      <c r="F876" s="1" t="s">
        <v>3048</v>
      </c>
      <c r="G876" s="19">
        <f t="shared" si="74"/>
        <v>35464.519999999997</v>
      </c>
    </row>
    <row r="877" spans="1:7">
      <c r="A877" s="1" t="s">
        <v>904</v>
      </c>
      <c r="B877" s="1" t="s">
        <v>15</v>
      </c>
      <c r="C877" s="1" t="s">
        <v>997</v>
      </c>
      <c r="D877" s="3">
        <v>4871.5</v>
      </c>
      <c r="E877" s="3">
        <v>16465210.27</v>
      </c>
      <c r="F877" s="1" t="s">
        <v>3048</v>
      </c>
      <c r="G877" s="19">
        <f t="shared" si="74"/>
        <v>4871.5</v>
      </c>
    </row>
    <row r="878" spans="1:7">
      <c r="A878" s="1" t="s">
        <v>121</v>
      </c>
      <c r="B878" s="1" t="s">
        <v>211</v>
      </c>
      <c r="C878" s="1" t="s">
        <v>212</v>
      </c>
      <c r="D878" s="3">
        <v>3377.55</v>
      </c>
      <c r="E878" s="3">
        <v>11908918.689999999</v>
      </c>
      <c r="F878" s="2" t="s">
        <v>3048</v>
      </c>
      <c r="G878" s="19">
        <f t="shared" ref="G878:G883" si="75">+D878</f>
        <v>3377.55</v>
      </c>
    </row>
    <row r="879" spans="1:7">
      <c r="A879" s="1" t="s">
        <v>1000</v>
      </c>
      <c r="B879" s="1" t="s">
        <v>15</v>
      </c>
      <c r="C879" s="1" t="s">
        <v>1001</v>
      </c>
      <c r="D879" s="3">
        <v>86907.56</v>
      </c>
      <c r="E879" s="3">
        <v>16552362.58</v>
      </c>
      <c r="F879" s="1" t="s">
        <v>3048</v>
      </c>
      <c r="G879" s="19">
        <f t="shared" si="75"/>
        <v>86907.56</v>
      </c>
    </row>
    <row r="880" spans="1:7">
      <c r="A880" s="1" t="s">
        <v>1000</v>
      </c>
      <c r="B880" s="1" t="s">
        <v>15</v>
      </c>
      <c r="C880" s="1" t="s">
        <v>1002</v>
      </c>
      <c r="D880" s="3">
        <v>18121.98</v>
      </c>
      <c r="E880" s="3">
        <v>16570484.560000001</v>
      </c>
      <c r="F880" s="1" t="s">
        <v>3048</v>
      </c>
      <c r="G880" s="19">
        <f t="shared" si="75"/>
        <v>18121.98</v>
      </c>
    </row>
    <row r="881" spans="1:8">
      <c r="A881" s="1" t="s">
        <v>253</v>
      </c>
      <c r="B881" s="1" t="s">
        <v>339</v>
      </c>
      <c r="C881" s="1" t="s">
        <v>340</v>
      </c>
      <c r="D881" s="3">
        <v>1860.1</v>
      </c>
      <c r="E881" s="3">
        <v>14622994.57</v>
      </c>
      <c r="F881" s="2" t="s">
        <v>3048</v>
      </c>
      <c r="G881" s="19">
        <f t="shared" si="75"/>
        <v>1860.1</v>
      </c>
    </row>
    <row r="882" spans="1:8">
      <c r="A882" s="1" t="s">
        <v>1000</v>
      </c>
      <c r="B882" s="1" t="s">
        <v>15</v>
      </c>
      <c r="C882" s="1" t="s">
        <v>1005</v>
      </c>
      <c r="D882" s="3">
        <v>14614.5</v>
      </c>
      <c r="E882" s="3">
        <v>16586009.529999999</v>
      </c>
      <c r="F882" s="1" t="s">
        <v>3048</v>
      </c>
      <c r="G882" s="19">
        <f t="shared" si="75"/>
        <v>14614.5</v>
      </c>
    </row>
    <row r="883" spans="1:8">
      <c r="A883" s="1" t="s">
        <v>1000</v>
      </c>
      <c r="B883" s="1" t="s">
        <v>15</v>
      </c>
      <c r="C883" s="1" t="s">
        <v>1006</v>
      </c>
      <c r="D883" s="3">
        <v>38972</v>
      </c>
      <c r="E883" s="3">
        <v>16624981.529999999</v>
      </c>
      <c r="F883" s="1" t="s">
        <v>3048</v>
      </c>
      <c r="G883" s="19">
        <f t="shared" si="75"/>
        <v>38972</v>
      </c>
    </row>
    <row r="884" spans="1:8">
      <c r="A884" s="1" t="s">
        <v>1000</v>
      </c>
      <c r="B884" s="1" t="s">
        <v>465</v>
      </c>
      <c r="C884" s="1" t="s">
        <v>1007</v>
      </c>
      <c r="D884" s="3">
        <v>-1247158.32</v>
      </c>
      <c r="E884" s="3">
        <v>15377823.210000001</v>
      </c>
      <c r="G884" s="19">
        <f t="shared" ref="G884:G886" si="76">+D884/1.006</f>
        <v>-1239720</v>
      </c>
      <c r="H884" s="19">
        <f t="shared" ref="H884:H886" si="77">+D884-G884</f>
        <v>-7438.3200000000652</v>
      </c>
    </row>
    <row r="885" spans="1:8">
      <c r="A885" s="1" t="s">
        <v>1000</v>
      </c>
      <c r="B885" s="1" t="s">
        <v>568</v>
      </c>
      <c r="C885" s="1" t="s">
        <v>1008</v>
      </c>
      <c r="D885" s="3">
        <v>-583286.38</v>
      </c>
      <c r="E885" s="3">
        <v>14794536.83</v>
      </c>
      <c r="G885" s="19">
        <f t="shared" si="76"/>
        <v>-579807.53479125246</v>
      </c>
      <c r="H885" s="19">
        <f t="shared" si="77"/>
        <v>-3478.8452087475453</v>
      </c>
    </row>
    <row r="886" spans="1:8">
      <c r="A886" s="1" t="s">
        <v>1000</v>
      </c>
      <c r="B886" s="1" t="s">
        <v>1009</v>
      </c>
      <c r="C886" s="1" t="s">
        <v>1010</v>
      </c>
      <c r="D886" s="3">
        <v>-510619.83</v>
      </c>
      <c r="E886" s="3">
        <v>14283917</v>
      </c>
      <c r="G886" s="19">
        <f t="shared" si="76"/>
        <v>-507574.38369781314</v>
      </c>
      <c r="H886" s="19">
        <f t="shared" si="77"/>
        <v>-3045.4463021868723</v>
      </c>
    </row>
    <row r="887" spans="1:8">
      <c r="A887" s="1" t="s">
        <v>761</v>
      </c>
      <c r="B887" s="1" t="s">
        <v>801</v>
      </c>
      <c r="C887" s="1" t="s">
        <v>802</v>
      </c>
      <c r="D887" s="2">
        <v>205.59</v>
      </c>
      <c r="E887" s="3">
        <v>12065134.800000001</v>
      </c>
      <c r="F887" s="2" t="s">
        <v>3048</v>
      </c>
      <c r="G887" s="19">
        <f t="shared" ref="G887:G888" si="78">+D887</f>
        <v>205.59</v>
      </c>
    </row>
    <row r="888" spans="1:8">
      <c r="A888" s="1" t="s">
        <v>1213</v>
      </c>
      <c r="B888" s="1" t="s">
        <v>1246</v>
      </c>
      <c r="C888" s="1" t="s">
        <v>1247</v>
      </c>
      <c r="D888" s="3">
        <v>2839.1</v>
      </c>
      <c r="E888" s="3">
        <v>12444776.199999999</v>
      </c>
      <c r="F888" s="2" t="s">
        <v>3048</v>
      </c>
      <c r="G888" s="19">
        <f t="shared" si="78"/>
        <v>2839.1</v>
      </c>
    </row>
    <row r="889" spans="1:8">
      <c r="A889" s="1" t="s">
        <v>1013</v>
      </c>
      <c r="B889" s="1" t="s">
        <v>49</v>
      </c>
      <c r="C889" s="1" t="s">
        <v>1014</v>
      </c>
      <c r="D889" s="3">
        <v>-275025.13</v>
      </c>
      <c r="E889" s="3">
        <v>13954449.720000001</v>
      </c>
      <c r="G889" s="19">
        <f>+D889/1.006</f>
        <v>-273384.82107355865</v>
      </c>
      <c r="H889" s="19">
        <f>+D889-G889</f>
        <v>-1640.3089264413575</v>
      </c>
    </row>
    <row r="890" spans="1:8">
      <c r="A890" s="1" t="s">
        <v>1118</v>
      </c>
      <c r="B890" s="1" t="s">
        <v>1199</v>
      </c>
      <c r="C890" s="1" t="s">
        <v>1200</v>
      </c>
      <c r="D890" s="2">
        <v>269.22000000000003</v>
      </c>
      <c r="E890" s="3">
        <v>11278091.4</v>
      </c>
      <c r="F890" s="2" t="s">
        <v>3048</v>
      </c>
      <c r="G890" s="19">
        <f t="shared" ref="G890:G919" si="79">+D890</f>
        <v>269.22000000000003</v>
      </c>
    </row>
    <row r="891" spans="1:8">
      <c r="A891" s="1" t="s">
        <v>121</v>
      </c>
      <c r="B891" s="1" t="s">
        <v>202</v>
      </c>
      <c r="C891" s="1" t="s">
        <v>203</v>
      </c>
      <c r="D891" s="2">
        <v>469.92</v>
      </c>
      <c r="E891" s="3">
        <v>11797932.550000001</v>
      </c>
      <c r="F891" s="2" t="s">
        <v>3048</v>
      </c>
      <c r="G891" s="19">
        <f t="shared" si="79"/>
        <v>469.92</v>
      </c>
    </row>
    <row r="892" spans="1:8">
      <c r="A892" s="1" t="s">
        <v>1793</v>
      </c>
      <c r="B892" s="1" t="s">
        <v>1814</v>
      </c>
      <c r="C892" s="1" t="s">
        <v>1815</v>
      </c>
      <c r="D892" s="2">
        <v>269.22000000000003</v>
      </c>
      <c r="E892" s="3">
        <v>9542758.9000000004</v>
      </c>
      <c r="F892" s="2" t="s">
        <v>3048</v>
      </c>
      <c r="G892" s="19">
        <f t="shared" si="79"/>
        <v>269.22000000000003</v>
      </c>
    </row>
    <row r="893" spans="1:8">
      <c r="A893" s="1" t="s">
        <v>1013</v>
      </c>
      <c r="B893" s="1" t="s">
        <v>15</v>
      </c>
      <c r="C893" s="1" t="s">
        <v>1016</v>
      </c>
      <c r="D893" s="3">
        <v>9258.06</v>
      </c>
      <c r="E893" s="3">
        <v>13725762.609999999</v>
      </c>
      <c r="F893" s="1" t="s">
        <v>3048</v>
      </c>
      <c r="G893" s="19">
        <f t="shared" si="79"/>
        <v>9258.06</v>
      </c>
    </row>
    <row r="894" spans="1:8">
      <c r="A894" s="1" t="s">
        <v>1013</v>
      </c>
      <c r="B894" s="1" t="s">
        <v>15</v>
      </c>
      <c r="C894" s="1" t="s">
        <v>1017</v>
      </c>
      <c r="D894" s="3">
        <v>4774.07</v>
      </c>
      <c r="E894" s="3">
        <v>13730536.68</v>
      </c>
      <c r="F894" s="1" t="s">
        <v>3048</v>
      </c>
      <c r="G894" s="19">
        <f t="shared" si="79"/>
        <v>4774.07</v>
      </c>
    </row>
    <row r="895" spans="1:8">
      <c r="A895" s="1" t="s">
        <v>1013</v>
      </c>
      <c r="B895" s="1" t="s">
        <v>15</v>
      </c>
      <c r="C895" s="1" t="s">
        <v>1018</v>
      </c>
      <c r="D895" s="3">
        <v>37413.120000000003</v>
      </c>
      <c r="E895" s="3">
        <v>13767949.800000001</v>
      </c>
      <c r="F895" s="1" t="s">
        <v>3048</v>
      </c>
      <c r="G895" s="19">
        <f t="shared" si="79"/>
        <v>37413.120000000003</v>
      </c>
    </row>
    <row r="896" spans="1:8">
      <c r="A896" s="1" t="s">
        <v>1013</v>
      </c>
      <c r="B896" s="1" t="s">
        <v>15</v>
      </c>
      <c r="C896" s="1" t="s">
        <v>1019</v>
      </c>
      <c r="D896" s="3">
        <v>4534.5600000000004</v>
      </c>
      <c r="E896" s="3">
        <v>13772484.359999999</v>
      </c>
      <c r="F896" s="1" t="s">
        <v>3048</v>
      </c>
      <c r="G896" s="19">
        <f t="shared" si="79"/>
        <v>4534.5600000000004</v>
      </c>
    </row>
    <row r="897" spans="1:7">
      <c r="A897" s="1" t="s">
        <v>1013</v>
      </c>
      <c r="B897" s="1" t="s">
        <v>15</v>
      </c>
      <c r="C897" s="1" t="s">
        <v>1020</v>
      </c>
      <c r="D897" s="3">
        <v>9353.2800000000007</v>
      </c>
      <c r="E897" s="3">
        <v>13781837.640000001</v>
      </c>
      <c r="F897" s="1" t="s">
        <v>3048</v>
      </c>
      <c r="G897" s="19">
        <f t="shared" si="79"/>
        <v>9353.2800000000007</v>
      </c>
    </row>
    <row r="898" spans="1:7">
      <c r="A898" s="1" t="s">
        <v>1013</v>
      </c>
      <c r="B898" s="1" t="s">
        <v>15</v>
      </c>
      <c r="C898" s="1" t="s">
        <v>1021</v>
      </c>
      <c r="D898" s="3">
        <v>9353.2800000000007</v>
      </c>
      <c r="E898" s="3">
        <v>13791190.92</v>
      </c>
      <c r="F898" s="1" t="s">
        <v>3048</v>
      </c>
      <c r="G898" s="19">
        <f t="shared" si="79"/>
        <v>9353.2800000000007</v>
      </c>
    </row>
    <row r="899" spans="1:7">
      <c r="A899" s="1" t="s">
        <v>1013</v>
      </c>
      <c r="B899" s="1" t="s">
        <v>15</v>
      </c>
      <c r="C899" s="1" t="s">
        <v>1022</v>
      </c>
      <c r="D899" s="3">
        <v>9353.2800000000007</v>
      </c>
      <c r="E899" s="3">
        <v>13800544.199999999</v>
      </c>
      <c r="F899" s="1" t="s">
        <v>3048</v>
      </c>
      <c r="G899" s="19">
        <f t="shared" si="79"/>
        <v>9353.2800000000007</v>
      </c>
    </row>
    <row r="900" spans="1:7">
      <c r="A900" s="1" t="s">
        <v>1013</v>
      </c>
      <c r="B900" s="1" t="s">
        <v>15</v>
      </c>
      <c r="C900" s="1" t="s">
        <v>1023</v>
      </c>
      <c r="D900" s="3">
        <v>19270.939999999999</v>
      </c>
      <c r="E900" s="3">
        <v>13819815.140000001</v>
      </c>
      <c r="F900" s="1" t="s">
        <v>3048</v>
      </c>
      <c r="G900" s="19">
        <f t="shared" si="79"/>
        <v>19270.939999999999</v>
      </c>
    </row>
    <row r="901" spans="1:7">
      <c r="A901" s="1" t="s">
        <v>1013</v>
      </c>
      <c r="B901" s="1" t="s">
        <v>15</v>
      </c>
      <c r="C901" s="1" t="s">
        <v>1024</v>
      </c>
      <c r="D901" s="3">
        <v>11690.63</v>
      </c>
      <c r="E901" s="3">
        <v>13831505.77</v>
      </c>
      <c r="F901" s="1" t="s">
        <v>3048</v>
      </c>
      <c r="G901" s="19">
        <f t="shared" si="79"/>
        <v>11690.63</v>
      </c>
    </row>
    <row r="902" spans="1:7">
      <c r="A902" s="1" t="s">
        <v>1013</v>
      </c>
      <c r="B902" s="1" t="s">
        <v>15</v>
      </c>
      <c r="C902" s="1" t="s">
        <v>1025</v>
      </c>
      <c r="D902" s="3">
        <v>46762.5</v>
      </c>
      <c r="E902" s="3">
        <v>13878268.27</v>
      </c>
      <c r="F902" s="1" t="s">
        <v>3048</v>
      </c>
      <c r="G902" s="19">
        <f t="shared" si="79"/>
        <v>46762.5</v>
      </c>
    </row>
    <row r="903" spans="1:7">
      <c r="A903" s="1" t="s">
        <v>1871</v>
      </c>
      <c r="B903" s="1" t="s">
        <v>1814</v>
      </c>
      <c r="C903" s="1" t="s">
        <v>1902</v>
      </c>
      <c r="D903" s="3">
        <v>1360.81</v>
      </c>
      <c r="E903" s="3">
        <v>10943920.050000001</v>
      </c>
      <c r="F903" s="2" t="s">
        <v>3048</v>
      </c>
      <c r="G903" s="19">
        <f t="shared" si="79"/>
        <v>1360.81</v>
      </c>
    </row>
    <row r="904" spans="1:7">
      <c r="A904" s="1" t="s">
        <v>1013</v>
      </c>
      <c r="B904" s="1" t="s">
        <v>15</v>
      </c>
      <c r="C904" s="1" t="s">
        <v>1028</v>
      </c>
      <c r="D904" s="3">
        <v>20609.330000000002</v>
      </c>
      <c r="E904" s="3">
        <v>13901226.220000001</v>
      </c>
      <c r="F904" s="1" t="s">
        <v>3048</v>
      </c>
      <c r="G904" s="19">
        <f t="shared" si="79"/>
        <v>20609.330000000002</v>
      </c>
    </row>
    <row r="905" spans="1:7">
      <c r="A905" s="1" t="s">
        <v>1013</v>
      </c>
      <c r="B905" s="1" t="s">
        <v>15</v>
      </c>
      <c r="C905" s="1" t="s">
        <v>1029</v>
      </c>
      <c r="D905" s="3">
        <v>27690.95</v>
      </c>
      <c r="E905" s="3">
        <v>13928917.17</v>
      </c>
      <c r="F905" s="1" t="s">
        <v>3048</v>
      </c>
      <c r="G905" s="19">
        <f t="shared" si="79"/>
        <v>27690.95</v>
      </c>
    </row>
    <row r="906" spans="1:7">
      <c r="A906" s="1" t="s">
        <v>1013</v>
      </c>
      <c r="B906" s="1" t="s">
        <v>15</v>
      </c>
      <c r="C906" s="1" t="s">
        <v>1030</v>
      </c>
      <c r="D906" s="3">
        <v>41611.1</v>
      </c>
      <c r="E906" s="3">
        <v>13970528.27</v>
      </c>
      <c r="F906" s="1" t="s">
        <v>3048</v>
      </c>
      <c r="G906" s="19">
        <f t="shared" si="79"/>
        <v>41611.1</v>
      </c>
    </row>
    <row r="907" spans="1:7">
      <c r="A907" s="1" t="s">
        <v>1013</v>
      </c>
      <c r="B907" s="1" t="s">
        <v>15</v>
      </c>
      <c r="C907" s="1" t="s">
        <v>1031</v>
      </c>
      <c r="D907" s="3">
        <v>15115.2</v>
      </c>
      <c r="E907" s="3">
        <v>13985643.470000001</v>
      </c>
      <c r="F907" s="1" t="s">
        <v>3048</v>
      </c>
      <c r="G907" s="19">
        <f t="shared" si="79"/>
        <v>15115.2</v>
      </c>
    </row>
    <row r="908" spans="1:7">
      <c r="A908" s="1" t="s">
        <v>1013</v>
      </c>
      <c r="B908" s="1" t="s">
        <v>15</v>
      </c>
      <c r="C908" s="1" t="s">
        <v>1032</v>
      </c>
      <c r="D908" s="3">
        <v>26013.81</v>
      </c>
      <c r="E908" s="3">
        <v>14011657.279999999</v>
      </c>
      <c r="F908" s="1" t="s">
        <v>3048</v>
      </c>
      <c r="G908" s="19">
        <f t="shared" si="79"/>
        <v>26013.81</v>
      </c>
    </row>
    <row r="909" spans="1:7">
      <c r="A909" s="1" t="s">
        <v>1013</v>
      </c>
      <c r="B909" s="1" t="s">
        <v>15</v>
      </c>
      <c r="C909" s="1" t="s">
        <v>1033</v>
      </c>
      <c r="D909" s="3">
        <v>65567.47</v>
      </c>
      <c r="E909" s="3">
        <v>14077224.75</v>
      </c>
      <c r="F909" s="1" t="s">
        <v>3048</v>
      </c>
      <c r="G909" s="19">
        <f t="shared" si="79"/>
        <v>65567.47</v>
      </c>
    </row>
    <row r="910" spans="1:7">
      <c r="A910" s="1" t="s">
        <v>253</v>
      </c>
      <c r="B910" s="1" t="s">
        <v>279</v>
      </c>
      <c r="C910" s="1" t="s">
        <v>280</v>
      </c>
      <c r="D910" s="2">
        <v>939.84</v>
      </c>
      <c r="E910" s="3">
        <v>13662366.779999999</v>
      </c>
      <c r="F910" s="2" t="s">
        <v>3048</v>
      </c>
      <c r="G910" s="19">
        <f t="shared" si="79"/>
        <v>939.84</v>
      </c>
    </row>
    <row r="911" spans="1:7">
      <c r="A911" s="1" t="s">
        <v>1013</v>
      </c>
      <c r="B911" s="1" t="s">
        <v>15</v>
      </c>
      <c r="C911" s="1" t="s">
        <v>1036</v>
      </c>
      <c r="D911" s="3">
        <v>26987.14</v>
      </c>
      <c r="E911" s="3">
        <v>14107505.25</v>
      </c>
      <c r="F911" s="1" t="s">
        <v>3048</v>
      </c>
      <c r="G911" s="19">
        <f t="shared" si="79"/>
        <v>26987.14</v>
      </c>
    </row>
    <row r="912" spans="1:7">
      <c r="A912" s="1" t="s">
        <v>253</v>
      </c>
      <c r="B912" s="1" t="s">
        <v>279</v>
      </c>
      <c r="C912" s="1" t="s">
        <v>288</v>
      </c>
      <c r="D912" s="2">
        <v>939.84</v>
      </c>
      <c r="E912" s="3">
        <v>13756369.07</v>
      </c>
      <c r="F912" s="2" t="s">
        <v>3048</v>
      </c>
      <c r="G912" s="19">
        <f t="shared" si="79"/>
        <v>939.84</v>
      </c>
    </row>
    <row r="913" spans="1:9">
      <c r="A913" s="1" t="s">
        <v>1039</v>
      </c>
      <c r="B913" s="1" t="s">
        <v>15</v>
      </c>
      <c r="C913" s="1" t="s">
        <v>1040</v>
      </c>
      <c r="D913" s="3">
        <v>18516.12</v>
      </c>
      <c r="E913" s="3">
        <v>14128732.220000001</v>
      </c>
      <c r="F913" s="1" t="s">
        <v>3048</v>
      </c>
      <c r="G913" s="19">
        <f t="shared" si="79"/>
        <v>18516.12</v>
      </c>
    </row>
    <row r="914" spans="1:9">
      <c r="A914" s="1" t="s">
        <v>1039</v>
      </c>
      <c r="B914" s="1" t="s">
        <v>15</v>
      </c>
      <c r="C914" s="1" t="s">
        <v>1041</v>
      </c>
      <c r="D914" s="3">
        <v>23381.25</v>
      </c>
      <c r="E914" s="3">
        <v>14152113.470000001</v>
      </c>
      <c r="F914" s="1" t="s">
        <v>3048</v>
      </c>
      <c r="G914" s="19">
        <f t="shared" si="79"/>
        <v>23381.25</v>
      </c>
    </row>
    <row r="915" spans="1:9">
      <c r="A915" s="1" t="s">
        <v>1039</v>
      </c>
      <c r="B915" s="1" t="s">
        <v>15</v>
      </c>
      <c r="C915" s="1" t="s">
        <v>1042</v>
      </c>
      <c r="D915" s="3">
        <v>23381.25</v>
      </c>
      <c r="E915" s="3">
        <v>14175494.720000001</v>
      </c>
      <c r="F915" s="1" t="s">
        <v>3048</v>
      </c>
      <c r="G915" s="19">
        <f t="shared" si="79"/>
        <v>23381.25</v>
      </c>
    </row>
    <row r="916" spans="1:9">
      <c r="A916" s="1" t="s">
        <v>253</v>
      </c>
      <c r="B916" s="1" t="s">
        <v>285</v>
      </c>
      <c r="C916" s="1" t="s">
        <v>286</v>
      </c>
      <c r="D916" s="3">
        <v>1267.8</v>
      </c>
      <c r="E916" s="3">
        <v>13746075.949999999</v>
      </c>
      <c r="F916" s="2" t="s">
        <v>3048</v>
      </c>
      <c r="G916" s="19">
        <f t="shared" si="79"/>
        <v>1267.8</v>
      </c>
    </row>
    <row r="917" spans="1:9">
      <c r="A917" s="1" t="s">
        <v>1039</v>
      </c>
      <c r="B917" s="1" t="s">
        <v>15</v>
      </c>
      <c r="C917" s="1" t="s">
        <v>1045</v>
      </c>
      <c r="D917" s="3">
        <v>47253.55</v>
      </c>
      <c r="E917" s="3">
        <v>14223922.09</v>
      </c>
      <c r="F917" s="1" t="s">
        <v>3048</v>
      </c>
      <c r="G917" s="19">
        <f t="shared" si="79"/>
        <v>47253.55</v>
      </c>
    </row>
    <row r="918" spans="1:9">
      <c r="A918" s="1" t="s">
        <v>1039</v>
      </c>
      <c r="B918" s="1" t="s">
        <v>15</v>
      </c>
      <c r="C918" s="1" t="s">
        <v>1046</v>
      </c>
      <c r="D918" s="3">
        <v>57775.99</v>
      </c>
      <c r="E918" s="3">
        <v>14281698.08</v>
      </c>
      <c r="F918" s="1" t="s">
        <v>3048</v>
      </c>
      <c r="G918" s="19">
        <f t="shared" si="79"/>
        <v>57775.99</v>
      </c>
    </row>
    <row r="919" spans="1:9">
      <c r="A919" s="1" t="s">
        <v>636</v>
      </c>
      <c r="B919" s="1" t="s">
        <v>689</v>
      </c>
      <c r="C919" s="1" t="s">
        <v>690</v>
      </c>
      <c r="D919" s="3">
        <v>2467.08</v>
      </c>
      <c r="E919" s="3">
        <v>9626408.5299999993</v>
      </c>
      <c r="F919" s="2" t="s">
        <v>3048</v>
      </c>
      <c r="G919" s="19">
        <f t="shared" si="79"/>
        <v>2467.08</v>
      </c>
    </row>
    <row r="920" spans="1:9">
      <c r="A920" s="1" t="s">
        <v>1039</v>
      </c>
      <c r="B920" s="1" t="s">
        <v>475</v>
      </c>
      <c r="C920" s="1" t="s">
        <v>1049</v>
      </c>
      <c r="D920" s="3">
        <v>-21729.59</v>
      </c>
      <c r="E920" s="3">
        <v>14268676.689999999</v>
      </c>
      <c r="G920" s="19">
        <f t="shared" ref="G920:G922" si="80">+D920/1.006</f>
        <v>-21599.990059642147</v>
      </c>
      <c r="H920" s="19">
        <f t="shared" ref="H920:H922" si="81">+D920-G920</f>
        <v>-129.59994035785348</v>
      </c>
      <c r="I920" s="1" t="s">
        <v>2011</v>
      </c>
    </row>
    <row r="921" spans="1:9">
      <c r="A921" s="1" t="s">
        <v>1039</v>
      </c>
      <c r="B921" s="1" t="s">
        <v>564</v>
      </c>
      <c r="C921" s="1" t="s">
        <v>1050</v>
      </c>
      <c r="D921" s="3">
        <v>-219966.93</v>
      </c>
      <c r="E921" s="3">
        <v>14048709.76</v>
      </c>
      <c r="G921" s="19">
        <f t="shared" si="80"/>
        <v>-218655</v>
      </c>
      <c r="H921" s="19">
        <f t="shared" si="81"/>
        <v>-1311.929999999993</v>
      </c>
    </row>
    <row r="922" spans="1:9">
      <c r="A922" s="1" t="s">
        <v>1039</v>
      </c>
      <c r="B922" s="1" t="s">
        <v>55</v>
      </c>
      <c r="C922" s="1" t="s">
        <v>1051</v>
      </c>
      <c r="D922" s="3">
        <v>-86388.25</v>
      </c>
      <c r="E922" s="3">
        <v>13962321.51</v>
      </c>
      <c r="G922" s="19">
        <f t="shared" si="80"/>
        <v>-85873.01192842942</v>
      </c>
      <c r="H922" s="19">
        <f t="shared" si="81"/>
        <v>-515.23807157058036</v>
      </c>
    </row>
    <row r="923" spans="1:9">
      <c r="A923" s="1" t="s">
        <v>1793</v>
      </c>
      <c r="B923" s="1" t="s">
        <v>1858</v>
      </c>
      <c r="C923" s="1" t="s">
        <v>1859</v>
      </c>
      <c r="D923" s="2">
        <v>195.8</v>
      </c>
      <c r="E923" s="3">
        <v>10131138.08</v>
      </c>
      <c r="F923" s="2" t="s">
        <v>3048</v>
      </c>
      <c r="G923" s="19">
        <f>+D923</f>
        <v>195.8</v>
      </c>
    </row>
    <row r="924" spans="1:9">
      <c r="A924" s="1" t="s">
        <v>1039</v>
      </c>
      <c r="B924" s="1" t="s">
        <v>55</v>
      </c>
      <c r="C924" s="1" t="s">
        <v>1052</v>
      </c>
      <c r="D924" s="3">
        <v>-213412.66</v>
      </c>
      <c r="E924" s="3">
        <v>13748390.52</v>
      </c>
      <c r="G924" s="19">
        <f>+D924/1.006</f>
        <v>-212139.82107355865</v>
      </c>
      <c r="H924" s="19">
        <f>+D924-G924</f>
        <v>-1272.8389264413563</v>
      </c>
    </row>
    <row r="925" spans="1:9">
      <c r="A925" s="1" t="s">
        <v>1286</v>
      </c>
      <c r="B925" s="1" t="s">
        <v>1295</v>
      </c>
      <c r="C925" s="1" t="s">
        <v>1296</v>
      </c>
      <c r="D925" s="2">
        <v>768.51</v>
      </c>
      <c r="E925" s="3">
        <v>13609261.15</v>
      </c>
      <c r="F925" s="2" t="s">
        <v>3048</v>
      </c>
      <c r="G925" s="19">
        <f>+D925</f>
        <v>768.51</v>
      </c>
    </row>
    <row r="926" spans="1:9">
      <c r="A926" s="1" t="s">
        <v>1039</v>
      </c>
      <c r="B926" s="1" t="s">
        <v>55</v>
      </c>
      <c r="C926" s="1" t="s">
        <v>1053</v>
      </c>
      <c r="D926" s="3">
        <v>-161109</v>
      </c>
      <c r="E926" s="3">
        <v>13586001.039999999</v>
      </c>
      <c r="G926" s="19">
        <f>+D926/1.006</f>
        <v>-160148.11133200795</v>
      </c>
      <c r="H926" s="19">
        <f>+D926-G926</f>
        <v>-960.88866799205425</v>
      </c>
    </row>
    <row r="927" spans="1:9">
      <c r="A927" s="1" t="s">
        <v>1428</v>
      </c>
      <c r="B927" s="1" t="s">
        <v>1467</v>
      </c>
      <c r="C927" s="1" t="s">
        <v>1468</v>
      </c>
      <c r="D927" s="3">
        <v>2496.4499999999998</v>
      </c>
      <c r="E927" s="3">
        <v>10566767.49</v>
      </c>
      <c r="F927" s="2" t="s">
        <v>3048</v>
      </c>
      <c r="G927" s="19">
        <f>+D927</f>
        <v>2496.4499999999998</v>
      </c>
    </row>
    <row r="928" spans="1:9">
      <c r="A928" s="1" t="s">
        <v>1039</v>
      </c>
      <c r="B928" s="1" t="s">
        <v>566</v>
      </c>
      <c r="C928" s="1" t="s">
        <v>1054</v>
      </c>
      <c r="D928" s="3">
        <v>-1428520</v>
      </c>
      <c r="E928" s="3">
        <v>12156514.390000001</v>
      </c>
      <c r="G928" s="19">
        <f t="shared" ref="G928:G929" si="82">+D928/1.006</f>
        <v>-1420000</v>
      </c>
      <c r="H928" s="19">
        <f t="shared" ref="H928:H929" si="83">+D928-G928</f>
        <v>-8520</v>
      </c>
    </row>
    <row r="929" spans="1:8">
      <c r="A929" s="1" t="s">
        <v>1039</v>
      </c>
      <c r="B929" s="1" t="s">
        <v>566</v>
      </c>
      <c r="C929" s="1" t="s">
        <v>1055</v>
      </c>
      <c r="D929" s="3">
        <v>-985880</v>
      </c>
      <c r="E929" s="3">
        <v>11170634.390000001</v>
      </c>
      <c r="G929" s="19">
        <f t="shared" si="82"/>
        <v>-980000</v>
      </c>
      <c r="H929" s="19">
        <f t="shared" si="83"/>
        <v>-5880</v>
      </c>
    </row>
    <row r="930" spans="1:8">
      <c r="A930" s="1" t="s">
        <v>1213</v>
      </c>
      <c r="B930" s="1" t="s">
        <v>1223</v>
      </c>
      <c r="C930" s="1" t="s">
        <v>1224</v>
      </c>
      <c r="D930" s="3">
        <v>1478.29</v>
      </c>
      <c r="E930" s="3">
        <v>12050341.17</v>
      </c>
      <c r="F930" s="2" t="s">
        <v>3048</v>
      </c>
      <c r="G930" s="19">
        <f t="shared" ref="G930:G932" si="84">+D930</f>
        <v>1478.29</v>
      </c>
    </row>
    <row r="931" spans="1:8">
      <c r="A931" s="1" t="s">
        <v>761</v>
      </c>
      <c r="B931" s="1" t="s">
        <v>862</v>
      </c>
      <c r="C931" s="1" t="s">
        <v>863</v>
      </c>
      <c r="D931" s="3">
        <v>5139.75</v>
      </c>
      <c r="E931" s="3">
        <v>13467426.369999999</v>
      </c>
      <c r="F931" s="2" t="s">
        <v>3048</v>
      </c>
      <c r="G931" s="19">
        <f t="shared" si="84"/>
        <v>5139.75</v>
      </c>
    </row>
    <row r="932" spans="1:8">
      <c r="A932" s="1" t="s">
        <v>1871</v>
      </c>
      <c r="B932" s="1" t="s">
        <v>1938</v>
      </c>
      <c r="C932" s="1" t="s">
        <v>1939</v>
      </c>
      <c r="D932" s="2">
        <v>616.77</v>
      </c>
      <c r="E932" s="3">
        <v>11416309.390000001</v>
      </c>
      <c r="F932" s="2" t="s">
        <v>3048</v>
      </c>
      <c r="G932" s="19">
        <f t="shared" si="84"/>
        <v>616.77</v>
      </c>
    </row>
    <row r="933" spans="1:8">
      <c r="A933" s="1" t="s">
        <v>1039</v>
      </c>
      <c r="B933" s="1" t="s">
        <v>1059</v>
      </c>
      <c r="C933" s="1" t="s">
        <v>1060</v>
      </c>
      <c r="D933" s="3">
        <v>-199666.29</v>
      </c>
      <c r="E933" s="3">
        <v>10354665.34</v>
      </c>
      <c r="G933" s="19">
        <f>+D933/1.006</f>
        <v>-198475.43737574553</v>
      </c>
      <c r="H933" s="19">
        <f>+D933-G933</f>
        <v>-1190.8526242544758</v>
      </c>
    </row>
    <row r="934" spans="1:8">
      <c r="A934" s="1" t="s">
        <v>1213</v>
      </c>
      <c r="B934" s="1" t="s">
        <v>1243</v>
      </c>
      <c r="C934" s="1" t="s">
        <v>1244</v>
      </c>
      <c r="D934" s="3">
        <v>1566.4</v>
      </c>
      <c r="E934" s="3">
        <v>12413682.4</v>
      </c>
      <c r="F934" s="2" t="s">
        <v>3048</v>
      </c>
      <c r="G934" s="19">
        <f t="shared" ref="G934:G936" si="85">+D934</f>
        <v>1566.4</v>
      </c>
    </row>
    <row r="935" spans="1:8">
      <c r="A935" s="1" t="s">
        <v>41</v>
      </c>
      <c r="B935" s="1" t="s">
        <v>75</v>
      </c>
      <c r="C935" s="1" t="s">
        <v>76</v>
      </c>
      <c r="D935" s="2">
        <v>469.92</v>
      </c>
      <c r="E935" s="3">
        <v>10527574.630000001</v>
      </c>
      <c r="F935" s="2" t="s">
        <v>3048</v>
      </c>
      <c r="G935" s="19">
        <f t="shared" si="85"/>
        <v>469.92</v>
      </c>
    </row>
    <row r="936" spans="1:8">
      <c r="A936" s="1" t="s">
        <v>121</v>
      </c>
      <c r="B936" s="1" t="s">
        <v>75</v>
      </c>
      <c r="C936" s="1" t="s">
        <v>161</v>
      </c>
      <c r="D936" s="3">
        <v>1013.26</v>
      </c>
      <c r="E936" s="3">
        <v>11937783.73</v>
      </c>
      <c r="F936" s="2" t="s">
        <v>3048</v>
      </c>
      <c r="G936" s="19">
        <f t="shared" si="85"/>
        <v>1013.26</v>
      </c>
    </row>
    <row r="937" spans="1:8">
      <c r="A937" s="1" t="s">
        <v>1039</v>
      </c>
      <c r="B937" s="1" t="s">
        <v>557</v>
      </c>
      <c r="C937" s="1" t="s">
        <v>1062</v>
      </c>
      <c r="D937" s="3">
        <v>-348035.76</v>
      </c>
      <c r="E937" s="3">
        <v>10253834.1</v>
      </c>
      <c r="G937" s="19">
        <f t="shared" ref="G937:G938" si="86">+D937/1.006</f>
        <v>-345960</v>
      </c>
      <c r="H937" s="19">
        <f t="shared" ref="H937:H938" si="87">+D937-G937</f>
        <v>-2075.7600000000093</v>
      </c>
    </row>
    <row r="938" spans="1:8">
      <c r="A938" s="1" t="s">
        <v>1039</v>
      </c>
      <c r="B938" s="1" t="s">
        <v>557</v>
      </c>
      <c r="C938" s="1" t="s">
        <v>1063</v>
      </c>
      <c r="D938" s="3">
        <v>-153621.23000000001</v>
      </c>
      <c r="E938" s="3">
        <v>10100212.869999999</v>
      </c>
      <c r="G938" s="19">
        <f t="shared" si="86"/>
        <v>-152705</v>
      </c>
      <c r="H938" s="19">
        <f t="shared" si="87"/>
        <v>-916.23000000001048</v>
      </c>
    </row>
    <row r="939" spans="1:8">
      <c r="A939" s="1" t="s">
        <v>1039</v>
      </c>
      <c r="B939" s="1" t="s">
        <v>15</v>
      </c>
      <c r="C939" s="1" t="s">
        <v>1064</v>
      </c>
      <c r="D939" s="3">
        <v>8184.12</v>
      </c>
      <c r="E939" s="3">
        <v>10108396.99</v>
      </c>
      <c r="F939" s="1" t="s">
        <v>3048</v>
      </c>
      <c r="G939" s="19">
        <f t="shared" ref="G939:G1002" si="88">+D939</f>
        <v>8184.12</v>
      </c>
    </row>
    <row r="940" spans="1:8">
      <c r="A940" s="1" t="s">
        <v>1039</v>
      </c>
      <c r="B940" s="1" t="s">
        <v>15</v>
      </c>
      <c r="C940" s="1" t="s">
        <v>1065</v>
      </c>
      <c r="D940" s="3">
        <v>13640.2</v>
      </c>
      <c r="E940" s="3">
        <v>10122037.189999999</v>
      </c>
      <c r="F940" s="1" t="s">
        <v>3048</v>
      </c>
      <c r="G940" s="19">
        <f t="shared" si="88"/>
        <v>13640.2</v>
      </c>
    </row>
    <row r="941" spans="1:8">
      <c r="A941" s="1" t="s">
        <v>1039</v>
      </c>
      <c r="B941" s="1" t="s">
        <v>15</v>
      </c>
      <c r="C941" s="1" t="s">
        <v>1066</v>
      </c>
      <c r="D941" s="3">
        <v>4676.6400000000003</v>
      </c>
      <c r="E941" s="3">
        <v>10126713.83</v>
      </c>
      <c r="F941" s="1" t="s">
        <v>3048</v>
      </c>
      <c r="G941" s="19">
        <f t="shared" si="88"/>
        <v>4676.6400000000003</v>
      </c>
    </row>
    <row r="942" spans="1:8">
      <c r="A942" s="1" t="s">
        <v>1039</v>
      </c>
      <c r="B942" s="1" t="s">
        <v>15</v>
      </c>
      <c r="C942" s="1" t="s">
        <v>1067</v>
      </c>
      <c r="D942" s="3">
        <v>6518.43</v>
      </c>
      <c r="E942" s="3">
        <v>10133232.26</v>
      </c>
      <c r="F942" s="1" t="s">
        <v>3048</v>
      </c>
      <c r="G942" s="19">
        <f t="shared" si="88"/>
        <v>6518.43</v>
      </c>
    </row>
    <row r="943" spans="1:8">
      <c r="A943" s="1" t="s">
        <v>1039</v>
      </c>
      <c r="B943" s="1" t="s">
        <v>15</v>
      </c>
      <c r="C943" s="1" t="s">
        <v>1068</v>
      </c>
      <c r="D943" s="3">
        <v>6518.43</v>
      </c>
      <c r="E943" s="3">
        <v>10139750.689999999</v>
      </c>
      <c r="F943" s="1" t="s">
        <v>3048</v>
      </c>
      <c r="G943" s="19">
        <f t="shared" si="88"/>
        <v>6518.43</v>
      </c>
    </row>
    <row r="944" spans="1:8">
      <c r="A944" s="1" t="s">
        <v>1039</v>
      </c>
      <c r="B944" s="1" t="s">
        <v>15</v>
      </c>
      <c r="C944" s="1" t="s">
        <v>1069</v>
      </c>
      <c r="D944" s="3">
        <v>5748.37</v>
      </c>
      <c r="E944" s="3">
        <v>10145499.060000001</v>
      </c>
      <c r="F944" s="1" t="s">
        <v>3048</v>
      </c>
      <c r="G944" s="19">
        <f t="shared" si="88"/>
        <v>5748.37</v>
      </c>
    </row>
    <row r="945" spans="1:7">
      <c r="A945" s="1" t="s">
        <v>1039</v>
      </c>
      <c r="B945" s="1" t="s">
        <v>15</v>
      </c>
      <c r="C945" s="1" t="s">
        <v>1070</v>
      </c>
      <c r="D945" s="3">
        <v>4286.92</v>
      </c>
      <c r="E945" s="3">
        <v>10149785.98</v>
      </c>
      <c r="F945" s="1" t="s">
        <v>3048</v>
      </c>
      <c r="G945" s="19">
        <f t="shared" si="88"/>
        <v>4286.92</v>
      </c>
    </row>
    <row r="946" spans="1:7">
      <c r="A946" s="1" t="s">
        <v>1039</v>
      </c>
      <c r="B946" s="1" t="s">
        <v>15</v>
      </c>
      <c r="C946" s="1" t="s">
        <v>1071</v>
      </c>
      <c r="D946" s="3">
        <v>4676.6400000000003</v>
      </c>
      <c r="E946" s="3">
        <v>10154462.619999999</v>
      </c>
      <c r="F946" s="1" t="s">
        <v>3048</v>
      </c>
      <c r="G946" s="19">
        <f t="shared" si="88"/>
        <v>4676.6400000000003</v>
      </c>
    </row>
    <row r="947" spans="1:7">
      <c r="A947" s="1" t="s">
        <v>1039</v>
      </c>
      <c r="B947" s="1" t="s">
        <v>15</v>
      </c>
      <c r="C947" s="1" t="s">
        <v>1072</v>
      </c>
      <c r="D947" s="3">
        <v>14029.92</v>
      </c>
      <c r="E947" s="3">
        <v>10168492.539999999</v>
      </c>
      <c r="F947" s="1" t="s">
        <v>3048</v>
      </c>
      <c r="G947" s="19">
        <f t="shared" si="88"/>
        <v>14029.92</v>
      </c>
    </row>
    <row r="948" spans="1:7">
      <c r="A948" s="1" t="s">
        <v>1039</v>
      </c>
      <c r="B948" s="1" t="s">
        <v>15</v>
      </c>
      <c r="C948" s="1" t="s">
        <v>1073</v>
      </c>
      <c r="D948" s="3">
        <v>4676.6400000000003</v>
      </c>
      <c r="E948" s="3">
        <v>10173169.18</v>
      </c>
      <c r="F948" s="1" t="s">
        <v>3048</v>
      </c>
      <c r="G948" s="19">
        <f t="shared" si="88"/>
        <v>4676.6400000000003</v>
      </c>
    </row>
    <row r="949" spans="1:7">
      <c r="A949" s="1" t="s">
        <v>1039</v>
      </c>
      <c r="B949" s="1" t="s">
        <v>15</v>
      </c>
      <c r="C949" s="1" t="s">
        <v>1074</v>
      </c>
      <c r="D949" s="3">
        <v>4357.92</v>
      </c>
      <c r="E949" s="3">
        <v>10177527.1</v>
      </c>
      <c r="F949" s="1" t="s">
        <v>3048</v>
      </c>
      <c r="G949" s="19">
        <f t="shared" si="88"/>
        <v>4357.92</v>
      </c>
    </row>
    <row r="950" spans="1:7">
      <c r="A950" s="1" t="s">
        <v>1039</v>
      </c>
      <c r="B950" s="1" t="s">
        <v>15</v>
      </c>
      <c r="C950" s="1" t="s">
        <v>1075</v>
      </c>
      <c r="D950" s="3">
        <v>27475.26</v>
      </c>
      <c r="E950" s="3">
        <v>10205002.359999999</v>
      </c>
      <c r="F950" s="1" t="s">
        <v>3048</v>
      </c>
      <c r="G950" s="19">
        <f t="shared" si="88"/>
        <v>27475.26</v>
      </c>
    </row>
    <row r="951" spans="1:7">
      <c r="A951" s="1" t="s">
        <v>1039</v>
      </c>
      <c r="B951" s="1" t="s">
        <v>15</v>
      </c>
      <c r="C951" s="1" t="s">
        <v>1076</v>
      </c>
      <c r="D951" s="3">
        <v>14029.92</v>
      </c>
      <c r="E951" s="3">
        <v>10219032.279999999</v>
      </c>
      <c r="F951" s="1" t="s">
        <v>3048</v>
      </c>
      <c r="G951" s="19">
        <f t="shared" si="88"/>
        <v>14029.92</v>
      </c>
    </row>
    <row r="952" spans="1:7">
      <c r="A952" s="1" t="s">
        <v>1039</v>
      </c>
      <c r="B952" s="1" t="s">
        <v>15</v>
      </c>
      <c r="C952" s="1" t="s">
        <v>1077</v>
      </c>
      <c r="D952" s="3">
        <v>9353.2800000000007</v>
      </c>
      <c r="E952" s="3">
        <v>10228385.560000001</v>
      </c>
      <c r="F952" s="1" t="s">
        <v>3048</v>
      </c>
      <c r="G952" s="19">
        <f t="shared" si="88"/>
        <v>9353.2800000000007</v>
      </c>
    </row>
    <row r="953" spans="1:7">
      <c r="A953" s="1" t="s">
        <v>1039</v>
      </c>
      <c r="B953" s="1" t="s">
        <v>15</v>
      </c>
      <c r="C953" s="1" t="s">
        <v>1078</v>
      </c>
      <c r="D953" s="3">
        <v>17829.689999999999</v>
      </c>
      <c r="E953" s="3">
        <v>10246215.25</v>
      </c>
      <c r="F953" s="1" t="s">
        <v>3048</v>
      </c>
      <c r="G953" s="19">
        <f t="shared" si="88"/>
        <v>17829.689999999999</v>
      </c>
    </row>
    <row r="954" spans="1:7">
      <c r="A954" s="1" t="s">
        <v>1039</v>
      </c>
      <c r="B954" s="1" t="s">
        <v>1084</v>
      </c>
      <c r="C954" s="1" t="s">
        <v>1085</v>
      </c>
      <c r="D954" s="2">
        <v>469.92</v>
      </c>
      <c r="E954" s="3">
        <v>10285676.08</v>
      </c>
      <c r="F954" s="2" t="s">
        <v>3048</v>
      </c>
      <c r="G954" s="19">
        <f t="shared" si="88"/>
        <v>469.92</v>
      </c>
    </row>
    <row r="955" spans="1:7">
      <c r="A955" s="1" t="s">
        <v>1039</v>
      </c>
      <c r="B955" s="1" t="s">
        <v>15</v>
      </c>
      <c r="C955" s="1" t="s">
        <v>1081</v>
      </c>
      <c r="D955" s="3">
        <v>8184.12</v>
      </c>
      <c r="E955" s="3">
        <v>10255295.15</v>
      </c>
      <c r="F955" s="1" t="s">
        <v>3048</v>
      </c>
      <c r="G955" s="19">
        <f t="shared" si="88"/>
        <v>8184.12</v>
      </c>
    </row>
    <row r="956" spans="1:7">
      <c r="A956" s="1" t="s">
        <v>1039</v>
      </c>
      <c r="B956" s="1" t="s">
        <v>15</v>
      </c>
      <c r="C956" s="1" t="s">
        <v>1082</v>
      </c>
      <c r="D956" s="3">
        <v>25234.37</v>
      </c>
      <c r="E956" s="3">
        <v>10280529.52</v>
      </c>
      <c r="F956" s="1" t="s">
        <v>3048</v>
      </c>
      <c r="G956" s="19">
        <f t="shared" si="88"/>
        <v>25234.37</v>
      </c>
    </row>
    <row r="957" spans="1:7">
      <c r="A957" s="1" t="s">
        <v>1039</v>
      </c>
      <c r="B957" s="1" t="s">
        <v>15</v>
      </c>
      <c r="C957" s="1" t="s">
        <v>1083</v>
      </c>
      <c r="D957" s="3">
        <v>4676.6400000000003</v>
      </c>
      <c r="E957" s="3">
        <v>10285206.16</v>
      </c>
      <c r="F957" s="1" t="s">
        <v>3048</v>
      </c>
      <c r="G957" s="19">
        <f t="shared" si="88"/>
        <v>4676.6400000000003</v>
      </c>
    </row>
    <row r="958" spans="1:7">
      <c r="A958" s="1" t="s">
        <v>1693</v>
      </c>
      <c r="B958" s="1" t="s">
        <v>1732</v>
      </c>
      <c r="C958" s="1" t="s">
        <v>1733</v>
      </c>
      <c r="D958" s="3">
        <v>1962.89</v>
      </c>
      <c r="E958" s="3">
        <v>15260169.689999999</v>
      </c>
      <c r="F958" s="2" t="s">
        <v>3048</v>
      </c>
      <c r="G958" s="19">
        <f t="shared" si="88"/>
        <v>1962.89</v>
      </c>
    </row>
    <row r="959" spans="1:7">
      <c r="A959" s="1" t="s">
        <v>1039</v>
      </c>
      <c r="B959" s="1" t="s">
        <v>15</v>
      </c>
      <c r="C959" s="1" t="s">
        <v>1086</v>
      </c>
      <c r="D959" s="3">
        <v>20752.59</v>
      </c>
      <c r="E959" s="3">
        <v>10306428.67</v>
      </c>
      <c r="F959" s="1" t="s">
        <v>3048</v>
      </c>
      <c r="G959" s="19">
        <f t="shared" si="88"/>
        <v>20752.59</v>
      </c>
    </row>
    <row r="960" spans="1:7">
      <c r="A960" s="1" t="s">
        <v>1039</v>
      </c>
      <c r="B960" s="1" t="s">
        <v>15</v>
      </c>
      <c r="C960" s="1" t="s">
        <v>1087</v>
      </c>
      <c r="D960" s="3">
        <v>12665.9</v>
      </c>
      <c r="E960" s="3">
        <v>10319094.57</v>
      </c>
      <c r="F960" s="1" t="s">
        <v>3048</v>
      </c>
      <c r="G960" s="19">
        <f t="shared" si="88"/>
        <v>12665.9</v>
      </c>
    </row>
    <row r="961" spans="1:7">
      <c r="A961" s="1" t="s">
        <v>1039</v>
      </c>
      <c r="B961" s="1" t="s">
        <v>15</v>
      </c>
      <c r="C961" s="1" t="s">
        <v>1088</v>
      </c>
      <c r="D961" s="3">
        <v>16519.36</v>
      </c>
      <c r="E961" s="3">
        <v>10335613.93</v>
      </c>
      <c r="F961" s="1" t="s">
        <v>3048</v>
      </c>
      <c r="G961" s="19">
        <f t="shared" si="88"/>
        <v>16519.36</v>
      </c>
    </row>
    <row r="962" spans="1:7">
      <c r="A962" s="1" t="s">
        <v>1039</v>
      </c>
      <c r="B962" s="1" t="s">
        <v>15</v>
      </c>
      <c r="C962" s="1" t="s">
        <v>1089</v>
      </c>
      <c r="D962" s="3">
        <v>8768.7000000000007</v>
      </c>
      <c r="E962" s="3">
        <v>10344382.630000001</v>
      </c>
      <c r="F962" s="1" t="s">
        <v>3048</v>
      </c>
      <c r="G962" s="19">
        <f t="shared" si="88"/>
        <v>8768.7000000000007</v>
      </c>
    </row>
    <row r="963" spans="1:7">
      <c r="A963" s="1" t="s">
        <v>1039</v>
      </c>
      <c r="B963" s="1" t="s">
        <v>15</v>
      </c>
      <c r="C963" s="1" t="s">
        <v>1090</v>
      </c>
      <c r="D963" s="3">
        <v>4676.6400000000003</v>
      </c>
      <c r="E963" s="3">
        <v>10349059.27</v>
      </c>
      <c r="F963" s="1" t="s">
        <v>3048</v>
      </c>
      <c r="G963" s="19">
        <f t="shared" si="88"/>
        <v>4676.6400000000003</v>
      </c>
    </row>
    <row r="964" spans="1:7">
      <c r="A964" s="1" t="s">
        <v>1039</v>
      </c>
      <c r="B964" s="1" t="s">
        <v>15</v>
      </c>
      <c r="C964" s="1" t="s">
        <v>1091</v>
      </c>
      <c r="D964" s="3">
        <v>13225.8</v>
      </c>
      <c r="E964" s="3">
        <v>10362285.07</v>
      </c>
      <c r="F964" s="1" t="s">
        <v>3048</v>
      </c>
      <c r="G964" s="19">
        <f t="shared" si="88"/>
        <v>13225.8</v>
      </c>
    </row>
    <row r="965" spans="1:7">
      <c r="A965" s="1" t="s">
        <v>1039</v>
      </c>
      <c r="B965" s="1" t="s">
        <v>15</v>
      </c>
      <c r="C965" s="1" t="s">
        <v>1092</v>
      </c>
      <c r="D965" s="3">
        <v>35426.25</v>
      </c>
      <c r="E965" s="3">
        <v>10397711.32</v>
      </c>
      <c r="F965" s="1" t="s">
        <v>3048</v>
      </c>
      <c r="G965" s="19">
        <f t="shared" si="88"/>
        <v>35426.25</v>
      </c>
    </row>
    <row r="966" spans="1:7">
      <c r="A966" s="1" t="s">
        <v>1039</v>
      </c>
      <c r="B966" s="1" t="s">
        <v>15</v>
      </c>
      <c r="C966" s="1" t="s">
        <v>1093</v>
      </c>
      <c r="D966" s="3">
        <v>9353.2800000000007</v>
      </c>
      <c r="E966" s="3">
        <v>10407064.6</v>
      </c>
      <c r="F966" s="1" t="s">
        <v>3048</v>
      </c>
      <c r="G966" s="19">
        <f t="shared" si="88"/>
        <v>9353.2800000000007</v>
      </c>
    </row>
    <row r="967" spans="1:7">
      <c r="A967" s="1" t="s">
        <v>1039</v>
      </c>
      <c r="B967" s="1" t="s">
        <v>15</v>
      </c>
      <c r="C967" s="1" t="s">
        <v>1094</v>
      </c>
      <c r="D967" s="3">
        <v>5358.65</v>
      </c>
      <c r="E967" s="3">
        <v>10412423.25</v>
      </c>
      <c r="F967" s="1" t="s">
        <v>3048</v>
      </c>
      <c r="G967" s="19">
        <f t="shared" si="88"/>
        <v>5358.65</v>
      </c>
    </row>
    <row r="968" spans="1:7">
      <c r="A968" s="1" t="s">
        <v>1039</v>
      </c>
      <c r="B968" s="1" t="s">
        <v>15</v>
      </c>
      <c r="C968" s="1" t="s">
        <v>1095</v>
      </c>
      <c r="D968" s="3">
        <v>13153.05</v>
      </c>
      <c r="E968" s="3">
        <v>10425576.300000001</v>
      </c>
      <c r="F968" s="1" t="s">
        <v>3048</v>
      </c>
      <c r="G968" s="19">
        <f t="shared" si="88"/>
        <v>13153.05</v>
      </c>
    </row>
    <row r="969" spans="1:7">
      <c r="A969" s="1" t="s">
        <v>1039</v>
      </c>
      <c r="B969" s="1" t="s">
        <v>15</v>
      </c>
      <c r="C969" s="1" t="s">
        <v>1096</v>
      </c>
      <c r="D969" s="3">
        <v>9353.2800000000007</v>
      </c>
      <c r="E969" s="3">
        <v>10434929.58</v>
      </c>
      <c r="F969" s="1" t="s">
        <v>3048</v>
      </c>
      <c r="G969" s="19">
        <f t="shared" si="88"/>
        <v>9353.2800000000007</v>
      </c>
    </row>
    <row r="970" spans="1:7">
      <c r="A970" s="1" t="s">
        <v>1039</v>
      </c>
      <c r="B970" s="1" t="s">
        <v>15</v>
      </c>
      <c r="C970" s="1" t="s">
        <v>1097</v>
      </c>
      <c r="D970" s="3">
        <v>8963.56</v>
      </c>
      <c r="E970" s="3">
        <v>10443893.140000001</v>
      </c>
      <c r="F970" s="1" t="s">
        <v>3048</v>
      </c>
      <c r="G970" s="19">
        <f t="shared" si="88"/>
        <v>8963.56</v>
      </c>
    </row>
    <row r="971" spans="1:7">
      <c r="A971" s="1" t="s">
        <v>1039</v>
      </c>
      <c r="B971" s="1" t="s">
        <v>15</v>
      </c>
      <c r="C971" s="1" t="s">
        <v>1098</v>
      </c>
      <c r="D971" s="3">
        <v>4627.92</v>
      </c>
      <c r="E971" s="3">
        <v>10448521.060000001</v>
      </c>
      <c r="F971" s="1" t="s">
        <v>3048</v>
      </c>
      <c r="G971" s="19">
        <f t="shared" si="88"/>
        <v>4627.92</v>
      </c>
    </row>
    <row r="972" spans="1:7">
      <c r="A972" s="1" t="s">
        <v>1039</v>
      </c>
      <c r="B972" s="1" t="s">
        <v>15</v>
      </c>
      <c r="C972" s="1" t="s">
        <v>1099</v>
      </c>
      <c r="D972" s="3">
        <v>8963.56</v>
      </c>
      <c r="E972" s="3">
        <v>10457484.619999999</v>
      </c>
      <c r="F972" s="1" t="s">
        <v>3048</v>
      </c>
      <c r="G972" s="19">
        <f t="shared" si="88"/>
        <v>8963.56</v>
      </c>
    </row>
    <row r="973" spans="1:7">
      <c r="A973" s="1" t="s">
        <v>1039</v>
      </c>
      <c r="B973" s="1" t="s">
        <v>15</v>
      </c>
      <c r="C973" s="1" t="s">
        <v>1100</v>
      </c>
      <c r="D973" s="3">
        <v>8184.12</v>
      </c>
      <c r="E973" s="3">
        <v>10465668.74</v>
      </c>
      <c r="F973" s="1" t="s">
        <v>3048</v>
      </c>
      <c r="G973" s="19">
        <f t="shared" si="88"/>
        <v>8184.12</v>
      </c>
    </row>
    <row r="974" spans="1:7">
      <c r="A974" s="1" t="s">
        <v>1039</v>
      </c>
      <c r="B974" s="1" t="s">
        <v>15</v>
      </c>
      <c r="C974" s="1" t="s">
        <v>1101</v>
      </c>
      <c r="D974" s="3">
        <v>4676.6400000000003</v>
      </c>
      <c r="E974" s="3">
        <v>10470345.380000001</v>
      </c>
      <c r="F974" s="1" t="s">
        <v>3048</v>
      </c>
      <c r="G974" s="19">
        <f t="shared" si="88"/>
        <v>4676.6400000000003</v>
      </c>
    </row>
    <row r="975" spans="1:7">
      <c r="A975" s="1" t="s">
        <v>1039</v>
      </c>
      <c r="B975" s="1" t="s">
        <v>15</v>
      </c>
      <c r="C975" s="1" t="s">
        <v>1102</v>
      </c>
      <c r="D975" s="3">
        <v>7794.4</v>
      </c>
      <c r="E975" s="3">
        <v>10478139.779999999</v>
      </c>
      <c r="F975" s="1" t="s">
        <v>3048</v>
      </c>
      <c r="G975" s="19">
        <f t="shared" si="88"/>
        <v>7794.4</v>
      </c>
    </row>
    <row r="976" spans="1:7">
      <c r="A976" s="1" t="s">
        <v>1039</v>
      </c>
      <c r="B976" s="1" t="s">
        <v>15</v>
      </c>
      <c r="C976" s="1" t="s">
        <v>1103</v>
      </c>
      <c r="D976" s="3">
        <v>8259.68</v>
      </c>
      <c r="E976" s="3">
        <v>10486399.460000001</v>
      </c>
      <c r="F976" s="1" t="s">
        <v>3048</v>
      </c>
      <c r="G976" s="19">
        <f t="shared" si="88"/>
        <v>8259.68</v>
      </c>
    </row>
    <row r="977" spans="1:7">
      <c r="A977" s="1" t="s">
        <v>1039</v>
      </c>
      <c r="B977" s="1" t="s">
        <v>15</v>
      </c>
      <c r="C977" s="1" t="s">
        <v>1104</v>
      </c>
      <c r="D977" s="3">
        <v>15491.37</v>
      </c>
      <c r="E977" s="3">
        <v>10501890.83</v>
      </c>
      <c r="F977" s="1" t="s">
        <v>3048</v>
      </c>
      <c r="G977" s="19">
        <f t="shared" si="88"/>
        <v>15491.37</v>
      </c>
    </row>
    <row r="978" spans="1:7">
      <c r="A978" s="1" t="s">
        <v>1039</v>
      </c>
      <c r="B978" s="1" t="s">
        <v>15</v>
      </c>
      <c r="C978" s="1" t="s">
        <v>1105</v>
      </c>
      <c r="D978" s="3">
        <v>11691.6</v>
      </c>
      <c r="E978" s="3">
        <v>10513582.43</v>
      </c>
      <c r="F978" s="1" t="s">
        <v>3048</v>
      </c>
      <c r="G978" s="19">
        <f t="shared" si="88"/>
        <v>11691.6</v>
      </c>
    </row>
    <row r="979" spans="1:7">
      <c r="A979" s="1" t="s">
        <v>1039</v>
      </c>
      <c r="B979" s="1" t="s">
        <v>15</v>
      </c>
      <c r="C979" s="1" t="s">
        <v>1106</v>
      </c>
      <c r="D979" s="3">
        <v>20752.59</v>
      </c>
      <c r="E979" s="3">
        <v>10534335.02</v>
      </c>
      <c r="F979" s="1" t="s">
        <v>3048</v>
      </c>
      <c r="G979" s="19">
        <f t="shared" si="88"/>
        <v>20752.59</v>
      </c>
    </row>
    <row r="980" spans="1:7">
      <c r="A980" s="1" t="s">
        <v>1039</v>
      </c>
      <c r="B980" s="1" t="s">
        <v>15</v>
      </c>
      <c r="C980" s="1" t="s">
        <v>1107</v>
      </c>
      <c r="D980" s="3">
        <v>14711.93</v>
      </c>
      <c r="E980" s="3">
        <v>10549046.949999999</v>
      </c>
      <c r="F980" s="1" t="s">
        <v>3048</v>
      </c>
      <c r="G980" s="19">
        <f t="shared" si="88"/>
        <v>14711.93</v>
      </c>
    </row>
    <row r="981" spans="1:7">
      <c r="A981" s="1" t="s">
        <v>1428</v>
      </c>
      <c r="B981" s="1" t="s">
        <v>1432</v>
      </c>
      <c r="C981" s="1" t="s">
        <v>1433</v>
      </c>
      <c r="D981" s="3">
        <v>1173.82</v>
      </c>
      <c r="E981" s="3">
        <v>11404380.98</v>
      </c>
      <c r="F981" s="2" t="s">
        <v>3048</v>
      </c>
      <c r="G981" s="19">
        <f t="shared" si="88"/>
        <v>1173.82</v>
      </c>
    </row>
    <row r="982" spans="1:7">
      <c r="A982" s="1" t="s">
        <v>1039</v>
      </c>
      <c r="B982" s="1" t="s">
        <v>15</v>
      </c>
      <c r="C982" s="1" t="s">
        <v>1110</v>
      </c>
      <c r="D982" s="3">
        <v>117013.43</v>
      </c>
      <c r="E982" s="3">
        <v>10666799.52</v>
      </c>
      <c r="F982" s="1" t="s">
        <v>3048</v>
      </c>
      <c r="G982" s="19">
        <f t="shared" si="88"/>
        <v>117013.43</v>
      </c>
    </row>
    <row r="983" spans="1:7">
      <c r="A983" s="1" t="s">
        <v>477</v>
      </c>
      <c r="B983" s="1" t="s">
        <v>529</v>
      </c>
      <c r="C983" s="1" t="s">
        <v>530</v>
      </c>
      <c r="D983" s="3">
        <v>3640.9</v>
      </c>
      <c r="E983" s="3">
        <v>9315484.5399999991</v>
      </c>
      <c r="F983" s="2" t="s">
        <v>3048</v>
      </c>
      <c r="G983" s="19">
        <f t="shared" si="88"/>
        <v>3640.9</v>
      </c>
    </row>
    <row r="984" spans="1:7">
      <c r="A984" s="1" t="s">
        <v>1039</v>
      </c>
      <c r="B984" s="1" t="s">
        <v>15</v>
      </c>
      <c r="C984" s="1" t="s">
        <v>1113</v>
      </c>
      <c r="D984" s="3">
        <v>18706.560000000001</v>
      </c>
      <c r="E984" s="3">
        <v>10691384.970000001</v>
      </c>
      <c r="F984" s="1" t="s">
        <v>3048</v>
      </c>
      <c r="G984" s="19">
        <f t="shared" si="88"/>
        <v>18706.560000000001</v>
      </c>
    </row>
    <row r="985" spans="1:7">
      <c r="A985" s="1" t="s">
        <v>1039</v>
      </c>
      <c r="B985" s="1" t="s">
        <v>15</v>
      </c>
      <c r="C985" s="1" t="s">
        <v>1114</v>
      </c>
      <c r="D985" s="3">
        <v>95792.58</v>
      </c>
      <c r="E985" s="3">
        <v>10787177.550000001</v>
      </c>
      <c r="F985" s="1" t="s">
        <v>3048</v>
      </c>
      <c r="G985" s="19">
        <f t="shared" si="88"/>
        <v>95792.58</v>
      </c>
    </row>
    <row r="986" spans="1:7">
      <c r="A986" s="1" t="s">
        <v>1039</v>
      </c>
      <c r="B986" s="1" t="s">
        <v>15</v>
      </c>
      <c r="C986" s="1" t="s">
        <v>1115</v>
      </c>
      <c r="D986" s="3">
        <v>4092.06</v>
      </c>
      <c r="E986" s="3">
        <v>10791269.609999999</v>
      </c>
      <c r="F986" s="1" t="s">
        <v>3048</v>
      </c>
      <c r="G986" s="19">
        <f t="shared" si="88"/>
        <v>4092.06</v>
      </c>
    </row>
    <row r="987" spans="1:7">
      <c r="A987" s="1" t="s">
        <v>1039</v>
      </c>
      <c r="B987" s="1" t="s">
        <v>15</v>
      </c>
      <c r="C987" s="1" t="s">
        <v>1116</v>
      </c>
      <c r="D987" s="3">
        <v>11886.46</v>
      </c>
      <c r="E987" s="3">
        <v>10803156.07</v>
      </c>
      <c r="F987" s="1" t="s">
        <v>3048</v>
      </c>
      <c r="G987" s="19">
        <f t="shared" si="88"/>
        <v>11886.46</v>
      </c>
    </row>
    <row r="988" spans="1:7">
      <c r="A988" s="1" t="s">
        <v>1039</v>
      </c>
      <c r="B988" s="1" t="s">
        <v>15</v>
      </c>
      <c r="C988" s="1" t="s">
        <v>1117</v>
      </c>
      <c r="D988" s="3">
        <v>39848.870000000003</v>
      </c>
      <c r="E988" s="3">
        <v>10843004.939999999</v>
      </c>
      <c r="F988" s="1" t="s">
        <v>3048</v>
      </c>
      <c r="G988" s="19">
        <f t="shared" si="88"/>
        <v>39848.870000000003</v>
      </c>
    </row>
    <row r="989" spans="1:7">
      <c r="A989" s="1" t="s">
        <v>1118</v>
      </c>
      <c r="B989" s="1" t="s">
        <v>15</v>
      </c>
      <c r="C989" s="1" t="s">
        <v>1119</v>
      </c>
      <c r="D989" s="3">
        <v>17431.68</v>
      </c>
      <c r="E989" s="3">
        <v>10860436.619999999</v>
      </c>
      <c r="F989" s="1" t="s">
        <v>3048</v>
      </c>
      <c r="G989" s="19">
        <f t="shared" si="88"/>
        <v>17431.68</v>
      </c>
    </row>
    <row r="990" spans="1:7">
      <c r="A990" s="1" t="s">
        <v>1118</v>
      </c>
      <c r="B990" s="1" t="s">
        <v>15</v>
      </c>
      <c r="C990" s="1" t="s">
        <v>1120</v>
      </c>
      <c r="D990" s="3">
        <v>19837.849999999999</v>
      </c>
      <c r="E990" s="3">
        <v>10880274.470000001</v>
      </c>
      <c r="F990" s="1" t="s">
        <v>3048</v>
      </c>
      <c r="G990" s="19">
        <f t="shared" si="88"/>
        <v>19837.849999999999</v>
      </c>
    </row>
    <row r="991" spans="1:7">
      <c r="A991" s="1" t="s">
        <v>1118</v>
      </c>
      <c r="B991" s="1" t="s">
        <v>15</v>
      </c>
      <c r="C991" s="1" t="s">
        <v>1121</v>
      </c>
      <c r="D991" s="3">
        <v>3897.2</v>
      </c>
      <c r="E991" s="3">
        <v>10884171.67</v>
      </c>
      <c r="F991" s="1" t="s">
        <v>3048</v>
      </c>
      <c r="G991" s="19">
        <f t="shared" si="88"/>
        <v>3897.2</v>
      </c>
    </row>
    <row r="992" spans="1:7">
      <c r="A992" s="1" t="s">
        <v>1118</v>
      </c>
      <c r="B992" s="1" t="s">
        <v>15</v>
      </c>
      <c r="C992" s="1" t="s">
        <v>1122</v>
      </c>
      <c r="D992" s="3">
        <v>6423.96</v>
      </c>
      <c r="E992" s="3">
        <v>10890595.630000001</v>
      </c>
      <c r="F992" s="1" t="s">
        <v>3048</v>
      </c>
      <c r="G992" s="19">
        <f t="shared" si="88"/>
        <v>6423.96</v>
      </c>
    </row>
    <row r="993" spans="1:7">
      <c r="A993" s="1" t="s">
        <v>1118</v>
      </c>
      <c r="B993" s="1" t="s">
        <v>15</v>
      </c>
      <c r="C993" s="1" t="s">
        <v>1123</v>
      </c>
      <c r="D993" s="3">
        <v>47156.12</v>
      </c>
      <c r="E993" s="3">
        <v>10937751.75</v>
      </c>
      <c r="F993" s="1" t="s">
        <v>3048</v>
      </c>
      <c r="G993" s="19">
        <f t="shared" si="88"/>
        <v>47156.12</v>
      </c>
    </row>
    <row r="994" spans="1:7">
      <c r="A994" s="1" t="s">
        <v>548</v>
      </c>
      <c r="B994" s="1" t="s">
        <v>629</v>
      </c>
      <c r="C994" s="1" t="s">
        <v>630</v>
      </c>
      <c r="D994" s="3">
        <v>1409.76</v>
      </c>
      <c r="E994" s="3">
        <v>8157706.0700000003</v>
      </c>
      <c r="F994" s="2" t="s">
        <v>3048</v>
      </c>
      <c r="G994" s="19">
        <f t="shared" si="88"/>
        <v>1409.76</v>
      </c>
    </row>
    <row r="995" spans="1:7">
      <c r="A995" s="1" t="s">
        <v>1118</v>
      </c>
      <c r="B995" s="1" t="s">
        <v>15</v>
      </c>
      <c r="C995" s="1" t="s">
        <v>1126</v>
      </c>
      <c r="D995" s="3">
        <v>13445.34</v>
      </c>
      <c r="E995" s="3">
        <v>10953566.27</v>
      </c>
      <c r="F995" s="1" t="s">
        <v>3048</v>
      </c>
      <c r="G995" s="19">
        <f t="shared" si="88"/>
        <v>13445.34</v>
      </c>
    </row>
    <row r="996" spans="1:7">
      <c r="A996" s="1" t="s">
        <v>1118</v>
      </c>
      <c r="B996" s="1" t="s">
        <v>15</v>
      </c>
      <c r="C996" s="1" t="s">
        <v>1127</v>
      </c>
      <c r="D996" s="3">
        <v>13250.48</v>
      </c>
      <c r="E996" s="3">
        <v>10966816.75</v>
      </c>
      <c r="F996" s="1" t="s">
        <v>3048</v>
      </c>
      <c r="G996" s="19">
        <f t="shared" si="88"/>
        <v>13250.48</v>
      </c>
    </row>
    <row r="997" spans="1:7">
      <c r="A997" s="1" t="s">
        <v>1118</v>
      </c>
      <c r="B997" s="1" t="s">
        <v>15</v>
      </c>
      <c r="C997" s="1" t="s">
        <v>1128</v>
      </c>
      <c r="D997" s="3">
        <v>4156.68</v>
      </c>
      <c r="E997" s="3">
        <v>10970973.43</v>
      </c>
      <c r="F997" s="1" t="s">
        <v>3048</v>
      </c>
      <c r="G997" s="19">
        <f t="shared" si="88"/>
        <v>4156.68</v>
      </c>
    </row>
    <row r="998" spans="1:7">
      <c r="A998" s="1" t="s">
        <v>1118</v>
      </c>
      <c r="B998" s="1" t="s">
        <v>15</v>
      </c>
      <c r="C998" s="1" t="s">
        <v>1129</v>
      </c>
      <c r="D998" s="3">
        <v>20168.009999999998</v>
      </c>
      <c r="E998" s="3">
        <v>10991141.439999999</v>
      </c>
      <c r="F998" s="1" t="s">
        <v>3048</v>
      </c>
      <c r="G998" s="19">
        <f t="shared" si="88"/>
        <v>20168.009999999998</v>
      </c>
    </row>
    <row r="999" spans="1:7">
      <c r="A999" s="1" t="s">
        <v>1118</v>
      </c>
      <c r="B999" s="1" t="s">
        <v>15</v>
      </c>
      <c r="C999" s="1" t="s">
        <v>1130</v>
      </c>
      <c r="D999" s="3">
        <v>21434.6</v>
      </c>
      <c r="E999" s="3">
        <v>11012576.039999999</v>
      </c>
      <c r="F999" s="1" t="s">
        <v>3048</v>
      </c>
      <c r="G999" s="19">
        <f t="shared" si="88"/>
        <v>21434.6</v>
      </c>
    </row>
    <row r="1000" spans="1:7">
      <c r="A1000" s="1" t="s">
        <v>1118</v>
      </c>
      <c r="B1000" s="1" t="s">
        <v>15</v>
      </c>
      <c r="C1000" s="1" t="s">
        <v>1131</v>
      </c>
      <c r="D1000" s="3">
        <v>10717.3</v>
      </c>
      <c r="E1000" s="3">
        <v>11023293.34</v>
      </c>
      <c r="F1000" s="1" t="s">
        <v>3048</v>
      </c>
      <c r="G1000" s="19">
        <f t="shared" si="88"/>
        <v>10717.3</v>
      </c>
    </row>
    <row r="1001" spans="1:7">
      <c r="A1001" s="1" t="s">
        <v>1118</v>
      </c>
      <c r="B1001" s="1" t="s">
        <v>15</v>
      </c>
      <c r="C1001" s="1" t="s">
        <v>1132</v>
      </c>
      <c r="D1001" s="3">
        <v>28741.85</v>
      </c>
      <c r="E1001" s="3">
        <v>11052035.189999999</v>
      </c>
      <c r="F1001" s="1" t="s">
        <v>3048</v>
      </c>
      <c r="G1001" s="19">
        <f t="shared" si="88"/>
        <v>28741.85</v>
      </c>
    </row>
    <row r="1002" spans="1:7">
      <c r="A1002" s="1" t="s">
        <v>1118</v>
      </c>
      <c r="B1002" s="1" t="s">
        <v>15</v>
      </c>
      <c r="C1002" s="1" t="s">
        <v>1133</v>
      </c>
      <c r="D1002" s="3">
        <v>10327.58</v>
      </c>
      <c r="E1002" s="3">
        <v>11062362.77</v>
      </c>
      <c r="F1002" s="1" t="s">
        <v>3048</v>
      </c>
      <c r="G1002" s="19">
        <f t="shared" si="88"/>
        <v>10327.58</v>
      </c>
    </row>
    <row r="1003" spans="1:7">
      <c r="A1003" s="1" t="s">
        <v>1118</v>
      </c>
      <c r="B1003" s="1" t="s">
        <v>15</v>
      </c>
      <c r="C1003" s="1" t="s">
        <v>1134</v>
      </c>
      <c r="D1003" s="3">
        <v>78041.429999999993</v>
      </c>
      <c r="E1003" s="3">
        <v>11140404.199999999</v>
      </c>
      <c r="F1003" s="1" t="s">
        <v>3048</v>
      </c>
      <c r="G1003" s="19">
        <f t="shared" ref="G1003:G1047" si="89">+D1003</f>
        <v>78041.429999999993</v>
      </c>
    </row>
    <row r="1004" spans="1:7">
      <c r="A1004" s="1" t="s">
        <v>1118</v>
      </c>
      <c r="B1004" s="1" t="s">
        <v>15</v>
      </c>
      <c r="C1004" s="1" t="s">
        <v>1135</v>
      </c>
      <c r="D1004" s="3">
        <v>5845.8</v>
      </c>
      <c r="E1004" s="3">
        <v>11146250</v>
      </c>
      <c r="F1004" s="1" t="s">
        <v>3048</v>
      </c>
      <c r="G1004" s="19">
        <f t="shared" si="89"/>
        <v>5845.8</v>
      </c>
    </row>
    <row r="1005" spans="1:7">
      <c r="A1005" s="1" t="s">
        <v>1118</v>
      </c>
      <c r="B1005" s="1" t="s">
        <v>15</v>
      </c>
      <c r="C1005" s="1" t="s">
        <v>1136</v>
      </c>
      <c r="D1005" s="3">
        <v>8573.84</v>
      </c>
      <c r="E1005" s="3">
        <v>11154823.84</v>
      </c>
      <c r="F1005" s="1" t="s">
        <v>3048</v>
      </c>
      <c r="G1005" s="19">
        <f t="shared" si="89"/>
        <v>8573.84</v>
      </c>
    </row>
    <row r="1006" spans="1:7">
      <c r="A1006" s="1" t="s">
        <v>1118</v>
      </c>
      <c r="B1006" s="1" t="s">
        <v>15</v>
      </c>
      <c r="C1006" s="1" t="s">
        <v>1137</v>
      </c>
      <c r="D1006" s="3">
        <v>19429.02</v>
      </c>
      <c r="E1006" s="3">
        <v>11174252.859999999</v>
      </c>
      <c r="F1006" s="1" t="s">
        <v>3048</v>
      </c>
      <c r="G1006" s="19">
        <f t="shared" si="89"/>
        <v>19429.02</v>
      </c>
    </row>
    <row r="1007" spans="1:7">
      <c r="A1007" s="1" t="s">
        <v>1118</v>
      </c>
      <c r="B1007" s="1" t="s">
        <v>15</v>
      </c>
      <c r="C1007" s="1" t="s">
        <v>1138</v>
      </c>
      <c r="D1007" s="3">
        <v>7508.8</v>
      </c>
      <c r="E1007" s="3">
        <v>11181761.66</v>
      </c>
      <c r="F1007" s="1" t="s">
        <v>3048</v>
      </c>
      <c r="G1007" s="19">
        <f t="shared" si="89"/>
        <v>7508.8</v>
      </c>
    </row>
    <row r="1008" spans="1:7">
      <c r="A1008" s="1" t="s">
        <v>1118</v>
      </c>
      <c r="B1008" s="1" t="s">
        <v>15</v>
      </c>
      <c r="C1008" s="1" t="s">
        <v>1139</v>
      </c>
      <c r="D1008" s="3">
        <v>4251.1499999999996</v>
      </c>
      <c r="E1008" s="3">
        <v>11186012.810000001</v>
      </c>
      <c r="F1008" s="1" t="s">
        <v>3048</v>
      </c>
      <c r="G1008" s="19">
        <f t="shared" si="89"/>
        <v>4251.1499999999996</v>
      </c>
    </row>
    <row r="1009" spans="1:7">
      <c r="A1009" s="1" t="s">
        <v>1118</v>
      </c>
      <c r="B1009" s="1" t="s">
        <v>15</v>
      </c>
      <c r="C1009" s="1" t="s">
        <v>1140</v>
      </c>
      <c r="D1009" s="3">
        <v>19147.439999999999</v>
      </c>
      <c r="E1009" s="3">
        <v>11205160.25</v>
      </c>
      <c r="F1009" s="1" t="s">
        <v>3048</v>
      </c>
      <c r="G1009" s="19">
        <f t="shared" si="89"/>
        <v>19147.439999999999</v>
      </c>
    </row>
    <row r="1010" spans="1:7">
      <c r="A1010" s="1" t="s">
        <v>1118</v>
      </c>
      <c r="B1010" s="1" t="s">
        <v>15</v>
      </c>
      <c r="C1010" s="1" t="s">
        <v>1141</v>
      </c>
      <c r="D1010" s="3">
        <v>4035.98</v>
      </c>
      <c r="E1010" s="3">
        <v>11209196.23</v>
      </c>
      <c r="F1010" s="1" t="s">
        <v>3048</v>
      </c>
      <c r="G1010" s="19">
        <f t="shared" si="89"/>
        <v>4035.98</v>
      </c>
    </row>
    <row r="1011" spans="1:7">
      <c r="A1011" s="1" t="s">
        <v>1118</v>
      </c>
      <c r="B1011" s="1" t="s">
        <v>15</v>
      </c>
      <c r="C1011" s="1" t="s">
        <v>1142</v>
      </c>
      <c r="D1011" s="3">
        <v>8447.4</v>
      </c>
      <c r="E1011" s="3">
        <v>11217643.630000001</v>
      </c>
      <c r="F1011" s="1" t="s">
        <v>3048</v>
      </c>
      <c r="G1011" s="19">
        <f t="shared" si="89"/>
        <v>8447.4</v>
      </c>
    </row>
    <row r="1012" spans="1:7">
      <c r="A1012" s="1" t="s">
        <v>1118</v>
      </c>
      <c r="B1012" s="1" t="s">
        <v>15</v>
      </c>
      <c r="C1012" s="1" t="s">
        <v>1143</v>
      </c>
      <c r="D1012" s="3">
        <v>7794.4</v>
      </c>
      <c r="E1012" s="3">
        <v>11225438.029999999</v>
      </c>
      <c r="F1012" s="1" t="s">
        <v>3048</v>
      </c>
      <c r="G1012" s="19">
        <f t="shared" si="89"/>
        <v>7794.4</v>
      </c>
    </row>
    <row r="1013" spans="1:7">
      <c r="A1013" s="1" t="s">
        <v>1118</v>
      </c>
      <c r="B1013" s="1" t="s">
        <v>15</v>
      </c>
      <c r="C1013" s="1" t="s">
        <v>1144</v>
      </c>
      <c r="D1013" s="3">
        <v>79795.17</v>
      </c>
      <c r="E1013" s="3">
        <v>11305233.199999999</v>
      </c>
      <c r="F1013" s="1" t="s">
        <v>3048</v>
      </c>
      <c r="G1013" s="19">
        <f t="shared" si="89"/>
        <v>79795.17</v>
      </c>
    </row>
    <row r="1014" spans="1:7">
      <c r="A1014" s="1" t="s">
        <v>1118</v>
      </c>
      <c r="B1014" s="1" t="s">
        <v>15</v>
      </c>
      <c r="C1014" s="1" t="s">
        <v>1145</v>
      </c>
      <c r="D1014" s="3">
        <v>12081.32</v>
      </c>
      <c r="E1014" s="3">
        <v>11317314.52</v>
      </c>
      <c r="F1014" s="1" t="s">
        <v>3048</v>
      </c>
      <c r="G1014" s="19">
        <f t="shared" si="89"/>
        <v>12081.32</v>
      </c>
    </row>
    <row r="1015" spans="1:7">
      <c r="A1015" s="1" t="s">
        <v>1118</v>
      </c>
      <c r="B1015" s="1" t="s">
        <v>15</v>
      </c>
      <c r="C1015" s="1" t="s">
        <v>1146</v>
      </c>
      <c r="D1015" s="3">
        <v>7794.4</v>
      </c>
      <c r="E1015" s="3">
        <v>11325108.92</v>
      </c>
      <c r="F1015" s="1" t="s">
        <v>3048</v>
      </c>
      <c r="G1015" s="19">
        <f t="shared" si="89"/>
        <v>7794.4</v>
      </c>
    </row>
    <row r="1016" spans="1:7">
      <c r="A1016" s="1" t="s">
        <v>1118</v>
      </c>
      <c r="B1016" s="1" t="s">
        <v>15</v>
      </c>
      <c r="C1016" s="1" t="s">
        <v>1147</v>
      </c>
      <c r="D1016" s="3">
        <v>11399.31</v>
      </c>
      <c r="E1016" s="3">
        <v>11336508.23</v>
      </c>
      <c r="F1016" s="1" t="s">
        <v>3048</v>
      </c>
      <c r="G1016" s="19">
        <f t="shared" si="89"/>
        <v>11399.31</v>
      </c>
    </row>
    <row r="1017" spans="1:7">
      <c r="A1017" s="1" t="s">
        <v>1118</v>
      </c>
      <c r="B1017" s="1" t="s">
        <v>15</v>
      </c>
      <c r="C1017" s="1" t="s">
        <v>1148</v>
      </c>
      <c r="D1017" s="3">
        <v>9353.2800000000007</v>
      </c>
      <c r="E1017" s="3">
        <v>11345861.51</v>
      </c>
      <c r="F1017" s="1" t="s">
        <v>3048</v>
      </c>
      <c r="G1017" s="19">
        <f t="shared" si="89"/>
        <v>9353.2800000000007</v>
      </c>
    </row>
    <row r="1018" spans="1:7">
      <c r="A1018" s="1" t="s">
        <v>1118</v>
      </c>
      <c r="B1018" s="1" t="s">
        <v>15</v>
      </c>
      <c r="C1018" s="1" t="s">
        <v>1149</v>
      </c>
      <c r="D1018" s="3">
        <v>24656.67</v>
      </c>
      <c r="E1018" s="3">
        <v>11370518.18</v>
      </c>
      <c r="F1018" s="1" t="s">
        <v>3048</v>
      </c>
      <c r="G1018" s="19">
        <f t="shared" si="89"/>
        <v>24656.67</v>
      </c>
    </row>
    <row r="1019" spans="1:7">
      <c r="A1019" s="1" t="s">
        <v>1118</v>
      </c>
      <c r="B1019" s="1" t="s">
        <v>15</v>
      </c>
      <c r="C1019" s="1" t="s">
        <v>1150</v>
      </c>
      <c r="D1019" s="3">
        <v>12081.32</v>
      </c>
      <c r="E1019" s="3">
        <v>11382599.5</v>
      </c>
      <c r="F1019" s="1" t="s">
        <v>3048</v>
      </c>
      <c r="G1019" s="19">
        <f t="shared" si="89"/>
        <v>12081.32</v>
      </c>
    </row>
    <row r="1020" spans="1:7">
      <c r="A1020" s="1" t="s">
        <v>1118</v>
      </c>
      <c r="B1020" s="1" t="s">
        <v>136</v>
      </c>
      <c r="C1020" s="1" t="s">
        <v>1150</v>
      </c>
      <c r="D1020" s="3">
        <v>-12081.32</v>
      </c>
      <c r="E1020" s="3">
        <v>11370518.18</v>
      </c>
      <c r="F1020" s="1" t="s">
        <v>3048</v>
      </c>
      <c r="G1020" s="19">
        <f t="shared" si="89"/>
        <v>-12081.32</v>
      </c>
    </row>
    <row r="1021" spans="1:7">
      <c r="A1021" s="1" t="s">
        <v>1118</v>
      </c>
      <c r="B1021" s="1" t="s">
        <v>15</v>
      </c>
      <c r="C1021" s="1" t="s">
        <v>1151</v>
      </c>
      <c r="D1021" s="3">
        <v>8184.12</v>
      </c>
      <c r="E1021" s="3">
        <v>11378702.300000001</v>
      </c>
      <c r="F1021" s="1" t="s">
        <v>3048</v>
      </c>
      <c r="G1021" s="19">
        <f t="shared" si="89"/>
        <v>8184.12</v>
      </c>
    </row>
    <row r="1022" spans="1:7">
      <c r="A1022" s="1" t="s">
        <v>1118</v>
      </c>
      <c r="B1022" s="1" t="s">
        <v>15</v>
      </c>
      <c r="C1022" s="1" t="s">
        <v>1152</v>
      </c>
      <c r="D1022" s="3">
        <v>4676.6400000000003</v>
      </c>
      <c r="E1022" s="3">
        <v>11383378.939999999</v>
      </c>
      <c r="F1022" s="1" t="s">
        <v>3048</v>
      </c>
      <c r="G1022" s="19">
        <f t="shared" si="89"/>
        <v>4676.6400000000003</v>
      </c>
    </row>
    <row r="1023" spans="1:7">
      <c r="A1023" s="1" t="s">
        <v>1118</v>
      </c>
      <c r="B1023" s="1" t="s">
        <v>15</v>
      </c>
      <c r="C1023" s="1" t="s">
        <v>1153</v>
      </c>
      <c r="D1023" s="3">
        <v>13542.77</v>
      </c>
      <c r="E1023" s="3">
        <v>11396921.710000001</v>
      </c>
      <c r="F1023" s="1" t="s">
        <v>3048</v>
      </c>
      <c r="G1023" s="19">
        <f t="shared" si="89"/>
        <v>13542.77</v>
      </c>
    </row>
    <row r="1024" spans="1:7">
      <c r="A1024" s="1" t="s">
        <v>1118</v>
      </c>
      <c r="B1024" s="1" t="s">
        <v>15</v>
      </c>
      <c r="C1024" s="1" t="s">
        <v>1154</v>
      </c>
      <c r="D1024" s="3">
        <v>21434.6</v>
      </c>
      <c r="E1024" s="3">
        <v>11418356.310000001</v>
      </c>
      <c r="F1024" s="1" t="s">
        <v>3048</v>
      </c>
      <c r="G1024" s="19">
        <f t="shared" si="89"/>
        <v>21434.6</v>
      </c>
    </row>
    <row r="1025" spans="1:7">
      <c r="A1025" s="1" t="s">
        <v>1118</v>
      </c>
      <c r="B1025" s="1" t="s">
        <v>15</v>
      </c>
      <c r="C1025" s="1" t="s">
        <v>1155</v>
      </c>
      <c r="D1025" s="3">
        <v>13835.06</v>
      </c>
      <c r="E1025" s="3">
        <v>11432191.369999999</v>
      </c>
      <c r="F1025" s="1" t="s">
        <v>3048</v>
      </c>
      <c r="G1025" s="19">
        <f t="shared" si="89"/>
        <v>13835.06</v>
      </c>
    </row>
    <row r="1026" spans="1:7">
      <c r="A1026" s="1" t="s">
        <v>1118</v>
      </c>
      <c r="B1026" s="1" t="s">
        <v>15</v>
      </c>
      <c r="C1026" s="1" t="s">
        <v>1156</v>
      </c>
      <c r="D1026" s="3">
        <v>30505.439999999999</v>
      </c>
      <c r="E1026" s="3">
        <v>11462696.810000001</v>
      </c>
      <c r="F1026" s="1" t="s">
        <v>3048</v>
      </c>
      <c r="G1026" s="19">
        <f t="shared" si="89"/>
        <v>30505.439999999999</v>
      </c>
    </row>
    <row r="1027" spans="1:7">
      <c r="A1027" s="1" t="s">
        <v>1118</v>
      </c>
      <c r="B1027" s="1" t="s">
        <v>15</v>
      </c>
      <c r="C1027" s="1" t="s">
        <v>1157</v>
      </c>
      <c r="D1027" s="3">
        <v>10324.6</v>
      </c>
      <c r="E1027" s="3">
        <v>11473021.41</v>
      </c>
      <c r="F1027" s="1" t="s">
        <v>3048</v>
      </c>
      <c r="G1027" s="19">
        <f t="shared" si="89"/>
        <v>10324.6</v>
      </c>
    </row>
    <row r="1028" spans="1:7">
      <c r="A1028" s="1" t="s">
        <v>1118</v>
      </c>
      <c r="B1028" s="1" t="s">
        <v>15</v>
      </c>
      <c r="C1028" s="1" t="s">
        <v>1158</v>
      </c>
      <c r="D1028" s="3">
        <v>3942.12</v>
      </c>
      <c r="E1028" s="3">
        <v>11476963.529999999</v>
      </c>
      <c r="F1028" s="1" t="s">
        <v>3048</v>
      </c>
      <c r="G1028" s="19">
        <f t="shared" si="89"/>
        <v>3942.12</v>
      </c>
    </row>
    <row r="1029" spans="1:7">
      <c r="A1029" s="1" t="s">
        <v>1118</v>
      </c>
      <c r="B1029" s="1" t="s">
        <v>15</v>
      </c>
      <c r="C1029" s="1" t="s">
        <v>1159</v>
      </c>
      <c r="D1029" s="3">
        <v>9450.7099999999991</v>
      </c>
      <c r="E1029" s="3">
        <v>11486414.24</v>
      </c>
      <c r="F1029" s="1" t="s">
        <v>3048</v>
      </c>
      <c r="G1029" s="19">
        <f t="shared" si="89"/>
        <v>9450.7099999999991</v>
      </c>
    </row>
    <row r="1030" spans="1:7">
      <c r="A1030" s="1" t="s">
        <v>1118</v>
      </c>
      <c r="B1030" s="1" t="s">
        <v>15</v>
      </c>
      <c r="C1030" s="1" t="s">
        <v>1160</v>
      </c>
      <c r="D1030" s="3">
        <v>75995.399999999994</v>
      </c>
      <c r="E1030" s="3">
        <v>11562409.640000001</v>
      </c>
      <c r="F1030" s="1" t="s">
        <v>3048</v>
      </c>
      <c r="G1030" s="19">
        <f t="shared" si="89"/>
        <v>75995.399999999994</v>
      </c>
    </row>
    <row r="1031" spans="1:7">
      <c r="A1031" s="1" t="s">
        <v>1118</v>
      </c>
      <c r="B1031" s="1" t="s">
        <v>15</v>
      </c>
      <c r="C1031" s="1" t="s">
        <v>1161</v>
      </c>
      <c r="D1031" s="3">
        <v>5358.65</v>
      </c>
      <c r="E1031" s="3">
        <v>11567768.289999999</v>
      </c>
      <c r="F1031" s="1" t="s">
        <v>3048</v>
      </c>
      <c r="G1031" s="19">
        <f t="shared" si="89"/>
        <v>5358.65</v>
      </c>
    </row>
    <row r="1032" spans="1:7">
      <c r="A1032" s="1" t="s">
        <v>1118</v>
      </c>
      <c r="B1032" s="1" t="s">
        <v>15</v>
      </c>
      <c r="C1032" s="1" t="s">
        <v>1162</v>
      </c>
      <c r="D1032" s="3">
        <v>4676.6400000000003</v>
      </c>
      <c r="E1032" s="3">
        <v>11572444.93</v>
      </c>
      <c r="F1032" s="1" t="s">
        <v>3048</v>
      </c>
      <c r="G1032" s="19">
        <f t="shared" si="89"/>
        <v>4676.6400000000003</v>
      </c>
    </row>
    <row r="1033" spans="1:7">
      <c r="A1033" s="1" t="s">
        <v>1118</v>
      </c>
      <c r="B1033" s="1" t="s">
        <v>15</v>
      </c>
      <c r="C1033" s="1" t="s">
        <v>1163</v>
      </c>
      <c r="D1033" s="3">
        <v>36146.53</v>
      </c>
      <c r="E1033" s="3">
        <v>11608591.460000001</v>
      </c>
      <c r="F1033" s="1" t="s">
        <v>3048</v>
      </c>
      <c r="G1033" s="19">
        <f t="shared" si="89"/>
        <v>36146.53</v>
      </c>
    </row>
    <row r="1034" spans="1:7">
      <c r="A1034" s="1" t="s">
        <v>1118</v>
      </c>
      <c r="B1034" s="1" t="s">
        <v>15</v>
      </c>
      <c r="C1034" s="1" t="s">
        <v>1164</v>
      </c>
      <c r="D1034" s="3">
        <v>18219.41</v>
      </c>
      <c r="E1034" s="3">
        <v>11626810.869999999</v>
      </c>
      <c r="F1034" s="1" t="s">
        <v>3048</v>
      </c>
      <c r="G1034" s="19">
        <f t="shared" si="89"/>
        <v>18219.41</v>
      </c>
    </row>
    <row r="1035" spans="1:7">
      <c r="A1035" s="1" t="s">
        <v>1118</v>
      </c>
      <c r="B1035" s="1" t="s">
        <v>15</v>
      </c>
      <c r="C1035" s="1" t="s">
        <v>1165</v>
      </c>
      <c r="D1035" s="3">
        <v>8963.56</v>
      </c>
      <c r="E1035" s="3">
        <v>11635774.43</v>
      </c>
      <c r="F1035" s="1" t="s">
        <v>3048</v>
      </c>
      <c r="G1035" s="19">
        <f t="shared" si="89"/>
        <v>8963.56</v>
      </c>
    </row>
    <row r="1036" spans="1:7">
      <c r="A1036" s="1" t="s">
        <v>1118</v>
      </c>
      <c r="B1036" s="1" t="s">
        <v>15</v>
      </c>
      <c r="C1036" s="1" t="s">
        <v>1166</v>
      </c>
      <c r="D1036" s="3">
        <v>10391.700000000001</v>
      </c>
      <c r="E1036" s="3">
        <v>11646166.130000001</v>
      </c>
      <c r="F1036" s="1" t="s">
        <v>3048</v>
      </c>
      <c r="G1036" s="19">
        <f t="shared" si="89"/>
        <v>10391.700000000001</v>
      </c>
    </row>
    <row r="1037" spans="1:7">
      <c r="A1037" s="1" t="s">
        <v>1118</v>
      </c>
      <c r="B1037" s="1" t="s">
        <v>15</v>
      </c>
      <c r="C1037" s="1" t="s">
        <v>1167</v>
      </c>
      <c r="D1037" s="3">
        <v>5358.65</v>
      </c>
      <c r="E1037" s="3">
        <v>11651524.779999999</v>
      </c>
      <c r="F1037" s="1" t="s">
        <v>3048</v>
      </c>
      <c r="G1037" s="19">
        <f t="shared" si="89"/>
        <v>5358.65</v>
      </c>
    </row>
    <row r="1038" spans="1:7">
      <c r="A1038" s="1" t="s">
        <v>1118</v>
      </c>
      <c r="B1038" s="1" t="s">
        <v>15</v>
      </c>
      <c r="C1038" s="1" t="s">
        <v>1168</v>
      </c>
      <c r="D1038" s="3">
        <v>5358.65</v>
      </c>
      <c r="E1038" s="3">
        <v>11656883.43</v>
      </c>
      <c r="F1038" s="1" t="s">
        <v>3048</v>
      </c>
      <c r="G1038" s="19">
        <f t="shared" si="89"/>
        <v>5358.65</v>
      </c>
    </row>
    <row r="1039" spans="1:7">
      <c r="A1039" s="1" t="s">
        <v>1118</v>
      </c>
      <c r="B1039" s="1" t="s">
        <v>15</v>
      </c>
      <c r="C1039" s="1" t="s">
        <v>1169</v>
      </c>
      <c r="D1039" s="3">
        <v>15588.8</v>
      </c>
      <c r="E1039" s="3">
        <v>11672472.23</v>
      </c>
      <c r="F1039" s="1" t="s">
        <v>3048</v>
      </c>
      <c r="G1039" s="19">
        <f t="shared" si="89"/>
        <v>15588.8</v>
      </c>
    </row>
    <row r="1040" spans="1:7">
      <c r="A1040" s="1" t="s">
        <v>1118</v>
      </c>
      <c r="B1040" s="1" t="s">
        <v>15</v>
      </c>
      <c r="C1040" s="1" t="s">
        <v>1170</v>
      </c>
      <c r="D1040" s="3">
        <v>4676.6400000000003</v>
      </c>
      <c r="E1040" s="3">
        <v>11677148.869999999</v>
      </c>
      <c r="F1040" s="1" t="s">
        <v>3048</v>
      </c>
      <c r="G1040" s="19">
        <f t="shared" si="89"/>
        <v>4676.6400000000003</v>
      </c>
    </row>
    <row r="1041" spans="1:8">
      <c r="A1041" s="1" t="s">
        <v>1118</v>
      </c>
      <c r="B1041" s="1" t="s">
        <v>15</v>
      </c>
      <c r="C1041" s="1" t="s">
        <v>1171</v>
      </c>
      <c r="D1041" s="3">
        <v>25331.8</v>
      </c>
      <c r="E1041" s="3">
        <v>11702480.67</v>
      </c>
      <c r="F1041" s="1" t="s">
        <v>3048</v>
      </c>
      <c r="G1041" s="19">
        <f t="shared" si="89"/>
        <v>25331.8</v>
      </c>
    </row>
    <row r="1042" spans="1:8">
      <c r="A1042" s="1" t="s">
        <v>1118</v>
      </c>
      <c r="B1042" s="1" t="s">
        <v>15</v>
      </c>
      <c r="C1042" s="1" t="s">
        <v>1172</v>
      </c>
      <c r="D1042" s="3">
        <v>13515.84</v>
      </c>
      <c r="E1042" s="3">
        <v>11715996.51</v>
      </c>
      <c r="F1042" s="1" t="s">
        <v>3048</v>
      </c>
      <c r="G1042" s="19">
        <f t="shared" si="89"/>
        <v>13515.84</v>
      </c>
    </row>
    <row r="1043" spans="1:8">
      <c r="A1043" s="1" t="s">
        <v>1118</v>
      </c>
      <c r="B1043" s="1" t="s">
        <v>15</v>
      </c>
      <c r="C1043" s="1" t="s">
        <v>1173</v>
      </c>
      <c r="D1043" s="3">
        <v>24260.07</v>
      </c>
      <c r="E1043" s="3">
        <v>11740256.58</v>
      </c>
      <c r="F1043" s="1" t="s">
        <v>3048</v>
      </c>
      <c r="G1043" s="19">
        <f t="shared" si="89"/>
        <v>24260.07</v>
      </c>
    </row>
    <row r="1044" spans="1:8">
      <c r="A1044" s="1" t="s">
        <v>1118</v>
      </c>
      <c r="B1044" s="1" t="s">
        <v>15</v>
      </c>
      <c r="C1044" s="1" t="s">
        <v>1174</v>
      </c>
      <c r="D1044" s="3">
        <v>17732.259999999998</v>
      </c>
      <c r="E1044" s="3">
        <v>11757988.84</v>
      </c>
      <c r="F1044" s="1" t="s">
        <v>3048</v>
      </c>
      <c r="G1044" s="19">
        <f t="shared" si="89"/>
        <v>17732.259999999998</v>
      </c>
    </row>
    <row r="1045" spans="1:8">
      <c r="A1045" s="1" t="s">
        <v>1118</v>
      </c>
      <c r="B1045" s="1" t="s">
        <v>15</v>
      </c>
      <c r="C1045" s="1" t="s">
        <v>1175</v>
      </c>
      <c r="D1045" s="3">
        <v>11691.6</v>
      </c>
      <c r="E1045" s="3">
        <v>11769680.439999999</v>
      </c>
      <c r="F1045" s="1" t="s">
        <v>3048</v>
      </c>
      <c r="G1045" s="19">
        <f t="shared" si="89"/>
        <v>11691.6</v>
      </c>
    </row>
    <row r="1046" spans="1:8">
      <c r="A1046" s="1" t="s">
        <v>121</v>
      </c>
      <c r="B1046" s="1" t="s">
        <v>192</v>
      </c>
      <c r="C1046" s="1" t="s">
        <v>193</v>
      </c>
      <c r="D1046" s="3">
        <v>2080.37</v>
      </c>
      <c r="E1046" s="3">
        <v>11713738.41</v>
      </c>
      <c r="F1046" s="2" t="s">
        <v>3048</v>
      </c>
      <c r="G1046" s="19">
        <f t="shared" si="89"/>
        <v>2080.37</v>
      </c>
    </row>
    <row r="1047" spans="1:8">
      <c r="A1047" s="1" t="s">
        <v>1118</v>
      </c>
      <c r="B1047" s="1" t="s">
        <v>15</v>
      </c>
      <c r="C1047" s="1" t="s">
        <v>1178</v>
      </c>
      <c r="D1047" s="3">
        <v>37023.4</v>
      </c>
      <c r="E1047" s="3">
        <v>11807291.24</v>
      </c>
      <c r="F1047" s="1" t="s">
        <v>3048</v>
      </c>
      <c r="G1047" s="19">
        <f t="shared" si="89"/>
        <v>37023.4</v>
      </c>
    </row>
    <row r="1048" spans="1:8">
      <c r="A1048" s="1" t="s">
        <v>1118</v>
      </c>
      <c r="B1048" s="1" t="s">
        <v>568</v>
      </c>
      <c r="C1048" s="1" t="s">
        <v>1179</v>
      </c>
      <c r="D1048" s="3">
        <v>-667219.43999999994</v>
      </c>
      <c r="E1048" s="3">
        <v>11140071.800000001</v>
      </c>
      <c r="G1048" s="19">
        <f>+D1048/1.006</f>
        <v>-663239.99999999988</v>
      </c>
      <c r="H1048" s="19">
        <f>+D1048-G1048</f>
        <v>-3979.4400000000605</v>
      </c>
    </row>
    <row r="1049" spans="1:8">
      <c r="A1049" s="1" t="s">
        <v>1118</v>
      </c>
      <c r="B1049" s="1" t="s">
        <v>15</v>
      </c>
      <c r="C1049" s="1" t="s">
        <v>1180</v>
      </c>
      <c r="D1049" s="3">
        <v>9353.2800000000007</v>
      </c>
      <c r="E1049" s="3">
        <v>11149425.08</v>
      </c>
      <c r="F1049" s="1" t="s">
        <v>3048</v>
      </c>
      <c r="G1049" s="19">
        <f t="shared" ref="G1049:G1112" si="90">+D1049</f>
        <v>9353.2800000000007</v>
      </c>
    </row>
    <row r="1050" spans="1:8">
      <c r="A1050" s="1" t="s">
        <v>636</v>
      </c>
      <c r="B1050" s="1" t="s">
        <v>192</v>
      </c>
      <c r="C1050" s="1" t="s">
        <v>718</v>
      </c>
      <c r="D1050" s="3">
        <v>1262.9100000000001</v>
      </c>
      <c r="E1050" s="3">
        <v>9902361.9000000004</v>
      </c>
      <c r="F1050" s="2" t="s">
        <v>3048</v>
      </c>
      <c r="G1050" s="19">
        <f t="shared" si="90"/>
        <v>1262.9100000000001</v>
      </c>
    </row>
    <row r="1051" spans="1:8">
      <c r="A1051" s="1" t="s">
        <v>1118</v>
      </c>
      <c r="B1051" s="1" t="s">
        <v>15</v>
      </c>
      <c r="C1051" s="1" t="s">
        <v>1183</v>
      </c>
      <c r="D1051" s="3">
        <v>15870.96</v>
      </c>
      <c r="E1051" s="3">
        <v>11165765.960000001</v>
      </c>
      <c r="F1051" s="1" t="s">
        <v>3048</v>
      </c>
      <c r="G1051" s="19">
        <f t="shared" si="90"/>
        <v>15870.96</v>
      </c>
    </row>
    <row r="1052" spans="1:8">
      <c r="A1052" s="1" t="s">
        <v>1118</v>
      </c>
      <c r="B1052" s="1" t="s">
        <v>15</v>
      </c>
      <c r="C1052" s="1" t="s">
        <v>1184</v>
      </c>
      <c r="D1052" s="3">
        <v>9353.2800000000007</v>
      </c>
      <c r="E1052" s="3">
        <v>11175119.24</v>
      </c>
      <c r="F1052" s="1" t="s">
        <v>3048</v>
      </c>
      <c r="G1052" s="19">
        <f t="shared" si="90"/>
        <v>9353.2800000000007</v>
      </c>
    </row>
    <row r="1053" spans="1:8">
      <c r="A1053" s="1" t="s">
        <v>1118</v>
      </c>
      <c r="B1053" s="1" t="s">
        <v>15</v>
      </c>
      <c r="C1053" s="1" t="s">
        <v>1185</v>
      </c>
      <c r="D1053" s="3">
        <v>4357.92</v>
      </c>
      <c r="E1053" s="3">
        <v>11179477.16</v>
      </c>
      <c r="F1053" s="1" t="s">
        <v>3048</v>
      </c>
      <c r="G1053" s="19">
        <f t="shared" si="90"/>
        <v>4357.92</v>
      </c>
    </row>
    <row r="1054" spans="1:8">
      <c r="A1054" s="1" t="s">
        <v>1118</v>
      </c>
      <c r="B1054" s="1" t="s">
        <v>15</v>
      </c>
      <c r="C1054" s="1" t="s">
        <v>1186</v>
      </c>
      <c r="D1054" s="3">
        <v>15588.8</v>
      </c>
      <c r="E1054" s="3">
        <v>11195065.960000001</v>
      </c>
      <c r="F1054" s="1" t="s">
        <v>3048</v>
      </c>
      <c r="G1054" s="19">
        <f t="shared" si="90"/>
        <v>15588.8</v>
      </c>
    </row>
    <row r="1055" spans="1:8">
      <c r="A1055" s="1" t="s">
        <v>1118</v>
      </c>
      <c r="B1055" s="1" t="s">
        <v>15</v>
      </c>
      <c r="C1055" s="1" t="s">
        <v>1187</v>
      </c>
      <c r="D1055" s="3">
        <v>4676.6400000000003</v>
      </c>
      <c r="E1055" s="3">
        <v>11199742.6</v>
      </c>
      <c r="F1055" s="1" t="s">
        <v>3048</v>
      </c>
      <c r="G1055" s="19">
        <f t="shared" si="90"/>
        <v>4676.6400000000003</v>
      </c>
    </row>
    <row r="1056" spans="1:8">
      <c r="A1056" s="1" t="s">
        <v>1428</v>
      </c>
      <c r="B1056" s="1" t="s">
        <v>192</v>
      </c>
      <c r="C1056" s="1" t="s">
        <v>1461</v>
      </c>
      <c r="D1056" s="3">
        <v>2525.8200000000002</v>
      </c>
      <c r="E1056" s="3">
        <v>10503123.66</v>
      </c>
      <c r="F1056" s="2" t="s">
        <v>3048</v>
      </c>
      <c r="G1056" s="19">
        <f t="shared" si="90"/>
        <v>2525.8200000000002</v>
      </c>
    </row>
    <row r="1057" spans="1:7">
      <c r="A1057" s="1" t="s">
        <v>1118</v>
      </c>
      <c r="B1057" s="1" t="s">
        <v>15</v>
      </c>
      <c r="C1057" s="1" t="s">
        <v>1190</v>
      </c>
      <c r="D1057" s="3">
        <v>18511.7</v>
      </c>
      <c r="E1057" s="3">
        <v>11218489.26</v>
      </c>
      <c r="F1057" s="1" t="s">
        <v>3048</v>
      </c>
      <c r="G1057" s="19">
        <f t="shared" si="90"/>
        <v>18511.7</v>
      </c>
    </row>
    <row r="1058" spans="1:7">
      <c r="A1058" s="1" t="s">
        <v>1118</v>
      </c>
      <c r="B1058" s="1" t="s">
        <v>15</v>
      </c>
      <c r="C1058" s="1" t="s">
        <v>1191</v>
      </c>
      <c r="D1058" s="3">
        <v>2338.3200000000002</v>
      </c>
      <c r="E1058" s="3">
        <v>11220827.58</v>
      </c>
      <c r="F1058" s="1" t="s">
        <v>3048</v>
      </c>
      <c r="G1058" s="19">
        <f t="shared" si="90"/>
        <v>2338.3200000000002</v>
      </c>
    </row>
    <row r="1059" spans="1:7">
      <c r="A1059" s="1" t="s">
        <v>1118</v>
      </c>
      <c r="B1059" s="1" t="s">
        <v>15</v>
      </c>
      <c r="C1059" s="1" t="s">
        <v>1192</v>
      </c>
      <c r="D1059" s="3">
        <v>11241.93</v>
      </c>
      <c r="E1059" s="3">
        <v>11232069.51</v>
      </c>
      <c r="F1059" s="1" t="s">
        <v>3048</v>
      </c>
      <c r="G1059" s="19">
        <f t="shared" si="90"/>
        <v>11241.93</v>
      </c>
    </row>
    <row r="1060" spans="1:7">
      <c r="A1060" s="1" t="s">
        <v>1118</v>
      </c>
      <c r="B1060" s="1" t="s">
        <v>15</v>
      </c>
      <c r="C1060" s="1" t="s">
        <v>1193</v>
      </c>
      <c r="D1060" s="3">
        <v>25429.23</v>
      </c>
      <c r="E1060" s="3">
        <v>11257498.74</v>
      </c>
      <c r="F1060" s="1" t="s">
        <v>3048</v>
      </c>
      <c r="G1060" s="19">
        <f t="shared" si="90"/>
        <v>25429.23</v>
      </c>
    </row>
    <row r="1061" spans="1:7">
      <c r="A1061" s="1" t="s">
        <v>1793</v>
      </c>
      <c r="B1061" s="1" t="s">
        <v>192</v>
      </c>
      <c r="C1061" s="1" t="s">
        <v>1807</v>
      </c>
      <c r="D1061" s="3">
        <v>1360.81</v>
      </c>
      <c r="E1061" s="3">
        <v>9990933.6899999995</v>
      </c>
      <c r="F1061" s="2" t="s">
        <v>3048</v>
      </c>
      <c r="G1061" s="19">
        <f t="shared" si="90"/>
        <v>1360.81</v>
      </c>
    </row>
    <row r="1062" spans="1:7">
      <c r="A1062" s="1" t="s">
        <v>1118</v>
      </c>
      <c r="B1062" s="1" t="s">
        <v>15</v>
      </c>
      <c r="C1062" s="1" t="s">
        <v>1196</v>
      </c>
      <c r="D1062" s="3">
        <v>4676.6400000000003</v>
      </c>
      <c r="E1062" s="3">
        <v>11263452.970000001</v>
      </c>
      <c r="F1062" s="1" t="s">
        <v>3048</v>
      </c>
      <c r="G1062" s="19">
        <f t="shared" si="90"/>
        <v>4676.6400000000003</v>
      </c>
    </row>
    <row r="1063" spans="1:7">
      <c r="A1063" s="1" t="s">
        <v>1118</v>
      </c>
      <c r="B1063" s="1" t="s">
        <v>15</v>
      </c>
      <c r="C1063" s="1" t="s">
        <v>1197</v>
      </c>
      <c r="D1063" s="3">
        <v>9010.56</v>
      </c>
      <c r="E1063" s="3">
        <v>11272463.529999999</v>
      </c>
      <c r="F1063" s="1" t="s">
        <v>3048</v>
      </c>
      <c r="G1063" s="19">
        <f t="shared" si="90"/>
        <v>9010.56</v>
      </c>
    </row>
    <row r="1064" spans="1:7">
      <c r="A1064" s="1" t="s">
        <v>1118</v>
      </c>
      <c r="B1064" s="1" t="s">
        <v>15</v>
      </c>
      <c r="C1064" s="1" t="s">
        <v>1198</v>
      </c>
      <c r="D1064" s="3">
        <v>5358.65</v>
      </c>
      <c r="E1064" s="3">
        <v>11277822.18</v>
      </c>
      <c r="F1064" s="1" t="s">
        <v>3048</v>
      </c>
      <c r="G1064" s="19">
        <f t="shared" si="90"/>
        <v>5358.65</v>
      </c>
    </row>
    <row r="1065" spans="1:7">
      <c r="A1065" s="1" t="s">
        <v>761</v>
      </c>
      <c r="B1065" s="1" t="s">
        <v>794</v>
      </c>
      <c r="C1065" s="1" t="s">
        <v>795</v>
      </c>
      <c r="D1065" s="3">
        <v>6480.98</v>
      </c>
      <c r="E1065" s="3">
        <v>11991272.130000001</v>
      </c>
      <c r="F1065" s="2" t="s">
        <v>3048</v>
      </c>
      <c r="G1065" s="19">
        <f t="shared" si="90"/>
        <v>6480.98</v>
      </c>
    </row>
    <row r="1066" spans="1:7">
      <c r="A1066" s="1" t="s">
        <v>1118</v>
      </c>
      <c r="B1066" s="1" t="s">
        <v>15</v>
      </c>
      <c r="C1066" s="1" t="s">
        <v>1201</v>
      </c>
      <c r="D1066" s="3">
        <v>27418.58</v>
      </c>
      <c r="E1066" s="3">
        <v>11305509.98</v>
      </c>
      <c r="F1066" s="1" t="s">
        <v>3048</v>
      </c>
      <c r="G1066" s="19">
        <f t="shared" si="90"/>
        <v>27418.58</v>
      </c>
    </row>
    <row r="1067" spans="1:7">
      <c r="A1067" s="1" t="s">
        <v>1118</v>
      </c>
      <c r="B1067" s="1" t="s">
        <v>15</v>
      </c>
      <c r="C1067" s="1" t="s">
        <v>1202</v>
      </c>
      <c r="D1067" s="3">
        <v>9548.14</v>
      </c>
      <c r="E1067" s="3">
        <v>11315058.119999999</v>
      </c>
      <c r="F1067" s="1" t="s">
        <v>3048</v>
      </c>
      <c r="G1067" s="19">
        <f t="shared" si="90"/>
        <v>9548.14</v>
      </c>
    </row>
    <row r="1068" spans="1:7">
      <c r="A1068" s="1" t="s">
        <v>1118</v>
      </c>
      <c r="B1068" s="1" t="s">
        <v>15</v>
      </c>
      <c r="C1068" s="1" t="s">
        <v>1203</v>
      </c>
      <c r="D1068" s="3">
        <v>36605.4</v>
      </c>
      <c r="E1068" s="3">
        <v>11351663.52</v>
      </c>
      <c r="F1068" s="1" t="s">
        <v>3048</v>
      </c>
      <c r="G1068" s="19">
        <f t="shared" si="90"/>
        <v>36605.4</v>
      </c>
    </row>
    <row r="1069" spans="1:7">
      <c r="A1069" s="1" t="s">
        <v>1118</v>
      </c>
      <c r="B1069" s="1" t="s">
        <v>15</v>
      </c>
      <c r="C1069" s="1" t="s">
        <v>1204</v>
      </c>
      <c r="D1069" s="3">
        <v>60102.98</v>
      </c>
      <c r="E1069" s="3">
        <v>11411766.5</v>
      </c>
      <c r="F1069" s="1" t="s">
        <v>3048</v>
      </c>
      <c r="G1069" s="19">
        <f t="shared" si="90"/>
        <v>60102.98</v>
      </c>
    </row>
    <row r="1070" spans="1:7">
      <c r="A1070" s="1" t="s">
        <v>1118</v>
      </c>
      <c r="B1070" s="1" t="s">
        <v>15</v>
      </c>
      <c r="C1070" s="1" t="s">
        <v>1205</v>
      </c>
      <c r="D1070" s="3">
        <v>83497.509999999995</v>
      </c>
      <c r="E1070" s="3">
        <v>11495264.01</v>
      </c>
      <c r="F1070" s="1" t="s">
        <v>3048</v>
      </c>
      <c r="G1070" s="19">
        <f t="shared" si="90"/>
        <v>83497.509999999995</v>
      </c>
    </row>
    <row r="1071" spans="1:7">
      <c r="A1071" s="1" t="s">
        <v>1118</v>
      </c>
      <c r="B1071" s="1" t="s">
        <v>15</v>
      </c>
      <c r="C1071" s="1" t="s">
        <v>1206</v>
      </c>
      <c r="D1071" s="3">
        <v>37693.53</v>
      </c>
      <c r="E1071" s="3">
        <v>11532957.539999999</v>
      </c>
      <c r="F1071" s="1" t="s">
        <v>3048</v>
      </c>
      <c r="G1071" s="19">
        <f t="shared" si="90"/>
        <v>37693.53</v>
      </c>
    </row>
    <row r="1072" spans="1:7">
      <c r="A1072" s="1" t="s">
        <v>1118</v>
      </c>
      <c r="B1072" s="1" t="s">
        <v>15</v>
      </c>
      <c r="C1072" s="1" t="s">
        <v>1207</v>
      </c>
      <c r="D1072" s="3">
        <v>4451.42</v>
      </c>
      <c r="E1072" s="3">
        <v>11537408.960000001</v>
      </c>
      <c r="F1072" s="1" t="s">
        <v>3048</v>
      </c>
      <c r="G1072" s="19">
        <f t="shared" si="90"/>
        <v>4451.42</v>
      </c>
    </row>
    <row r="1073" spans="1:7">
      <c r="A1073" s="1" t="s">
        <v>1118</v>
      </c>
      <c r="B1073" s="1" t="s">
        <v>15</v>
      </c>
      <c r="C1073" s="1" t="s">
        <v>1208</v>
      </c>
      <c r="D1073" s="3">
        <v>60177.39</v>
      </c>
      <c r="E1073" s="3">
        <v>11597586.35</v>
      </c>
      <c r="F1073" s="1" t="s">
        <v>3048</v>
      </c>
      <c r="G1073" s="19">
        <f t="shared" si="90"/>
        <v>60177.39</v>
      </c>
    </row>
    <row r="1074" spans="1:7">
      <c r="A1074" s="1" t="s">
        <v>1118</v>
      </c>
      <c r="B1074" s="1" t="s">
        <v>15</v>
      </c>
      <c r="C1074" s="1" t="s">
        <v>1209</v>
      </c>
      <c r="D1074" s="3">
        <v>39677.4</v>
      </c>
      <c r="E1074" s="3">
        <v>11637263.75</v>
      </c>
      <c r="F1074" s="1" t="s">
        <v>3048</v>
      </c>
      <c r="G1074" s="19">
        <f t="shared" si="90"/>
        <v>39677.4</v>
      </c>
    </row>
    <row r="1075" spans="1:7">
      <c r="A1075" s="1" t="s">
        <v>1118</v>
      </c>
      <c r="B1075" s="1" t="s">
        <v>15</v>
      </c>
      <c r="C1075" s="1" t="s">
        <v>1210</v>
      </c>
      <c r="D1075" s="3">
        <v>44850.26</v>
      </c>
      <c r="E1075" s="3">
        <v>11682114.01</v>
      </c>
      <c r="F1075" s="1" t="s">
        <v>3048</v>
      </c>
      <c r="G1075" s="19">
        <f t="shared" si="90"/>
        <v>44850.26</v>
      </c>
    </row>
    <row r="1076" spans="1:7">
      <c r="A1076" s="1" t="s">
        <v>1118</v>
      </c>
      <c r="B1076" s="1" t="s">
        <v>15</v>
      </c>
      <c r="C1076" s="1" t="s">
        <v>1211</v>
      </c>
      <c r="D1076" s="3">
        <v>40141.160000000003</v>
      </c>
      <c r="E1076" s="3">
        <v>11722255.17</v>
      </c>
      <c r="F1076" s="1" t="s">
        <v>3048</v>
      </c>
      <c r="G1076" s="19">
        <f t="shared" si="90"/>
        <v>40141.160000000003</v>
      </c>
    </row>
    <row r="1077" spans="1:7">
      <c r="A1077" s="1" t="s">
        <v>1118</v>
      </c>
      <c r="B1077" s="1" t="s">
        <v>15</v>
      </c>
      <c r="C1077" s="1" t="s">
        <v>1212</v>
      </c>
      <c r="D1077" s="3">
        <v>28235.69</v>
      </c>
      <c r="E1077" s="3">
        <v>11750490.859999999</v>
      </c>
      <c r="F1077" s="1" t="s">
        <v>3048</v>
      </c>
      <c r="G1077" s="19">
        <f t="shared" si="90"/>
        <v>28235.69</v>
      </c>
    </row>
    <row r="1078" spans="1:7">
      <c r="A1078" s="1" t="s">
        <v>1213</v>
      </c>
      <c r="B1078" s="1" t="s">
        <v>15</v>
      </c>
      <c r="C1078" s="1" t="s">
        <v>1214</v>
      </c>
      <c r="D1078" s="3">
        <v>45012.66</v>
      </c>
      <c r="E1078" s="3">
        <v>11795503.52</v>
      </c>
      <c r="F1078" s="1" t="s">
        <v>3048</v>
      </c>
      <c r="G1078" s="19">
        <f t="shared" si="90"/>
        <v>45012.66</v>
      </c>
    </row>
    <row r="1079" spans="1:7">
      <c r="A1079" s="1" t="s">
        <v>1213</v>
      </c>
      <c r="B1079" s="1" t="s">
        <v>15</v>
      </c>
      <c r="C1079" s="1" t="s">
        <v>1215</v>
      </c>
      <c r="D1079" s="3">
        <v>101995.58</v>
      </c>
      <c r="E1079" s="3">
        <v>11897499.1</v>
      </c>
      <c r="F1079" s="1" t="s">
        <v>3048</v>
      </c>
      <c r="G1079" s="19">
        <f t="shared" si="90"/>
        <v>101995.58</v>
      </c>
    </row>
    <row r="1080" spans="1:7">
      <c r="A1080" s="1" t="s">
        <v>1213</v>
      </c>
      <c r="B1080" s="1" t="s">
        <v>15</v>
      </c>
      <c r="C1080" s="1" t="s">
        <v>1216</v>
      </c>
      <c r="D1080" s="3">
        <v>14127.35</v>
      </c>
      <c r="E1080" s="3">
        <v>11911626.449999999</v>
      </c>
      <c r="F1080" s="1" t="s">
        <v>3048</v>
      </c>
      <c r="G1080" s="19">
        <f t="shared" si="90"/>
        <v>14127.35</v>
      </c>
    </row>
    <row r="1081" spans="1:7">
      <c r="A1081" s="1" t="s">
        <v>1213</v>
      </c>
      <c r="B1081" s="1" t="s">
        <v>15</v>
      </c>
      <c r="C1081" s="1" t="s">
        <v>1217</v>
      </c>
      <c r="D1081" s="3">
        <v>38289.99</v>
      </c>
      <c r="E1081" s="3">
        <v>11949916.439999999</v>
      </c>
      <c r="F1081" s="1" t="s">
        <v>3048</v>
      </c>
      <c r="G1081" s="19">
        <f t="shared" si="90"/>
        <v>38289.99</v>
      </c>
    </row>
    <row r="1082" spans="1:7">
      <c r="A1082" s="1" t="s">
        <v>1213</v>
      </c>
      <c r="B1082" s="1" t="s">
        <v>15</v>
      </c>
      <c r="C1082" s="1" t="s">
        <v>1218</v>
      </c>
      <c r="D1082" s="3">
        <v>13792.62</v>
      </c>
      <c r="E1082" s="3">
        <v>11963709.060000001</v>
      </c>
      <c r="F1082" s="1" t="s">
        <v>3048</v>
      </c>
      <c r="G1082" s="19">
        <f t="shared" si="90"/>
        <v>13792.62</v>
      </c>
    </row>
    <row r="1083" spans="1:7">
      <c r="A1083" s="1" t="s">
        <v>1213</v>
      </c>
      <c r="B1083" s="1" t="s">
        <v>15</v>
      </c>
      <c r="C1083" s="1" t="s">
        <v>1219</v>
      </c>
      <c r="D1083" s="3">
        <v>27670.12</v>
      </c>
      <c r="E1083" s="3">
        <v>11991379.18</v>
      </c>
      <c r="F1083" s="1" t="s">
        <v>3048</v>
      </c>
      <c r="G1083" s="19">
        <f t="shared" si="90"/>
        <v>27670.12</v>
      </c>
    </row>
    <row r="1084" spans="1:7">
      <c r="A1084" s="1" t="s">
        <v>1213</v>
      </c>
      <c r="B1084" s="1" t="s">
        <v>15</v>
      </c>
      <c r="C1084" s="1" t="s">
        <v>1220</v>
      </c>
      <c r="D1084" s="3">
        <v>32444.19</v>
      </c>
      <c r="E1084" s="3">
        <v>12023823.369999999</v>
      </c>
      <c r="F1084" s="1" t="s">
        <v>3048</v>
      </c>
      <c r="G1084" s="19">
        <f t="shared" si="90"/>
        <v>32444.19</v>
      </c>
    </row>
    <row r="1085" spans="1:7">
      <c r="A1085" s="1" t="s">
        <v>1213</v>
      </c>
      <c r="B1085" s="1" t="s">
        <v>15</v>
      </c>
      <c r="C1085" s="1" t="s">
        <v>1221</v>
      </c>
      <c r="D1085" s="3">
        <v>10327.58</v>
      </c>
      <c r="E1085" s="3">
        <v>12034150.949999999</v>
      </c>
      <c r="F1085" s="1" t="s">
        <v>3048</v>
      </c>
      <c r="G1085" s="19">
        <f t="shared" si="90"/>
        <v>10327.58</v>
      </c>
    </row>
    <row r="1086" spans="1:7">
      <c r="A1086" s="1" t="s">
        <v>1213</v>
      </c>
      <c r="B1086" s="1" t="s">
        <v>15</v>
      </c>
      <c r="C1086" s="1" t="s">
        <v>1222</v>
      </c>
      <c r="D1086" s="3">
        <v>14711.93</v>
      </c>
      <c r="E1086" s="3">
        <v>12048862.880000001</v>
      </c>
      <c r="F1086" s="1" t="s">
        <v>3048</v>
      </c>
      <c r="G1086" s="19">
        <f t="shared" si="90"/>
        <v>14711.93</v>
      </c>
    </row>
    <row r="1087" spans="1:7">
      <c r="A1087" s="1" t="s">
        <v>1693</v>
      </c>
      <c r="B1087" s="1" t="s">
        <v>1719</v>
      </c>
      <c r="C1087" s="1" t="s">
        <v>1720</v>
      </c>
      <c r="D1087" s="3">
        <v>1806.25</v>
      </c>
      <c r="E1087" s="3">
        <v>14699731.84</v>
      </c>
      <c r="F1087" s="2" t="s">
        <v>3048</v>
      </c>
      <c r="G1087" s="19">
        <f t="shared" si="90"/>
        <v>1806.25</v>
      </c>
    </row>
    <row r="1088" spans="1:7">
      <c r="A1088" s="1" t="s">
        <v>1213</v>
      </c>
      <c r="B1088" s="1" t="s">
        <v>15</v>
      </c>
      <c r="C1088" s="1" t="s">
        <v>1225</v>
      </c>
      <c r="D1088" s="3">
        <v>38388.74</v>
      </c>
      <c r="E1088" s="3">
        <v>12088729.91</v>
      </c>
      <c r="F1088" s="1" t="s">
        <v>3048</v>
      </c>
      <c r="G1088" s="19">
        <f t="shared" si="90"/>
        <v>38388.74</v>
      </c>
    </row>
    <row r="1089" spans="1:7">
      <c r="A1089" s="1" t="s">
        <v>1213</v>
      </c>
      <c r="B1089" s="1" t="s">
        <v>15</v>
      </c>
      <c r="C1089" s="1" t="s">
        <v>1226</v>
      </c>
      <c r="D1089" s="3">
        <v>22116.61</v>
      </c>
      <c r="E1089" s="3">
        <v>12110846.52</v>
      </c>
      <c r="F1089" s="1" t="s">
        <v>3048</v>
      </c>
      <c r="G1089" s="19">
        <f t="shared" si="90"/>
        <v>22116.61</v>
      </c>
    </row>
    <row r="1090" spans="1:7">
      <c r="A1090" s="1" t="s">
        <v>1213</v>
      </c>
      <c r="B1090" s="1" t="s">
        <v>15</v>
      </c>
      <c r="C1090" s="1" t="s">
        <v>1227</v>
      </c>
      <c r="D1090" s="3">
        <v>17927.12</v>
      </c>
      <c r="E1090" s="3">
        <v>12128773.640000001</v>
      </c>
      <c r="F1090" s="1" t="s">
        <v>3048</v>
      </c>
      <c r="G1090" s="19">
        <f t="shared" si="90"/>
        <v>17927.12</v>
      </c>
    </row>
    <row r="1091" spans="1:7">
      <c r="A1091" s="1" t="s">
        <v>1213</v>
      </c>
      <c r="B1091" s="1" t="s">
        <v>15</v>
      </c>
      <c r="C1091" s="1" t="s">
        <v>1228</v>
      </c>
      <c r="D1091" s="3">
        <v>23870.35</v>
      </c>
      <c r="E1091" s="3">
        <v>12152643.99</v>
      </c>
      <c r="F1091" s="1" t="s">
        <v>3048</v>
      </c>
      <c r="G1091" s="19">
        <f t="shared" si="90"/>
        <v>23870.35</v>
      </c>
    </row>
    <row r="1092" spans="1:7">
      <c r="A1092" s="1" t="s">
        <v>477</v>
      </c>
      <c r="B1092" s="1" t="s">
        <v>538</v>
      </c>
      <c r="C1092" s="1" t="s">
        <v>539</v>
      </c>
      <c r="D1092" s="3">
        <v>2795.04</v>
      </c>
      <c r="E1092" s="3">
        <v>9547169.8900000006</v>
      </c>
      <c r="F1092" s="2" t="s">
        <v>3048</v>
      </c>
      <c r="G1092" s="19">
        <f t="shared" si="90"/>
        <v>2795.04</v>
      </c>
    </row>
    <row r="1093" spans="1:7">
      <c r="A1093" s="1" t="s">
        <v>1213</v>
      </c>
      <c r="B1093" s="1" t="s">
        <v>15</v>
      </c>
      <c r="C1093" s="1" t="s">
        <v>1231</v>
      </c>
      <c r="D1093" s="3">
        <v>7794.4</v>
      </c>
      <c r="E1093" s="3">
        <v>12161637.66</v>
      </c>
      <c r="F1093" s="1" t="s">
        <v>3048</v>
      </c>
      <c r="G1093" s="19">
        <f t="shared" si="90"/>
        <v>7794.4</v>
      </c>
    </row>
    <row r="1094" spans="1:7">
      <c r="A1094" s="1" t="s">
        <v>1213</v>
      </c>
      <c r="B1094" s="1" t="s">
        <v>15</v>
      </c>
      <c r="C1094" s="1" t="s">
        <v>1232</v>
      </c>
      <c r="D1094" s="3">
        <v>10644.7</v>
      </c>
      <c r="E1094" s="3">
        <v>12172282.359999999</v>
      </c>
      <c r="F1094" s="1" t="s">
        <v>3048</v>
      </c>
      <c r="G1094" s="19">
        <f t="shared" si="90"/>
        <v>10644.7</v>
      </c>
    </row>
    <row r="1095" spans="1:7">
      <c r="A1095" s="1" t="s">
        <v>1213</v>
      </c>
      <c r="B1095" s="1" t="s">
        <v>15</v>
      </c>
      <c r="C1095" s="1" t="s">
        <v>1233</v>
      </c>
      <c r="D1095" s="3">
        <v>9548.14</v>
      </c>
      <c r="E1095" s="3">
        <v>12181830.5</v>
      </c>
      <c r="F1095" s="1" t="s">
        <v>3048</v>
      </c>
      <c r="G1095" s="19">
        <f t="shared" si="90"/>
        <v>9548.14</v>
      </c>
    </row>
    <row r="1096" spans="1:7">
      <c r="A1096" s="1" t="s">
        <v>1213</v>
      </c>
      <c r="B1096" s="1" t="s">
        <v>15</v>
      </c>
      <c r="C1096" s="1" t="s">
        <v>1234</v>
      </c>
      <c r="D1096" s="3">
        <v>36654.36</v>
      </c>
      <c r="E1096" s="3">
        <v>12218484.859999999</v>
      </c>
      <c r="F1096" s="1" t="s">
        <v>3048</v>
      </c>
      <c r="G1096" s="19">
        <f t="shared" si="90"/>
        <v>36654.36</v>
      </c>
    </row>
    <row r="1097" spans="1:7">
      <c r="A1097" s="1" t="s">
        <v>1213</v>
      </c>
      <c r="B1097" s="1" t="s">
        <v>15</v>
      </c>
      <c r="C1097" s="1" t="s">
        <v>1235</v>
      </c>
      <c r="D1097" s="3">
        <v>37768.639999999999</v>
      </c>
      <c r="E1097" s="3">
        <v>12256253.5</v>
      </c>
      <c r="F1097" s="1" t="s">
        <v>3048</v>
      </c>
      <c r="G1097" s="19">
        <f t="shared" si="90"/>
        <v>37768.639999999999</v>
      </c>
    </row>
    <row r="1098" spans="1:7">
      <c r="A1098" s="1" t="s">
        <v>1213</v>
      </c>
      <c r="B1098" s="1" t="s">
        <v>15</v>
      </c>
      <c r="C1098" s="1" t="s">
        <v>1236</v>
      </c>
      <c r="D1098" s="3">
        <v>37217.32</v>
      </c>
      <c r="E1098" s="3">
        <v>12293470.82</v>
      </c>
      <c r="F1098" s="1" t="s">
        <v>3048</v>
      </c>
      <c r="G1098" s="19">
        <f t="shared" si="90"/>
        <v>37217.32</v>
      </c>
    </row>
    <row r="1099" spans="1:7">
      <c r="A1099" s="1" t="s">
        <v>1213</v>
      </c>
      <c r="B1099" s="1" t="s">
        <v>15</v>
      </c>
      <c r="C1099" s="1" t="s">
        <v>1237</v>
      </c>
      <c r="D1099" s="3">
        <v>14831.79</v>
      </c>
      <c r="E1099" s="3">
        <v>12308302.609999999</v>
      </c>
      <c r="F1099" s="1" t="s">
        <v>3048</v>
      </c>
      <c r="G1099" s="19">
        <f t="shared" si="90"/>
        <v>14831.79</v>
      </c>
    </row>
    <row r="1100" spans="1:7">
      <c r="A1100" s="1" t="s">
        <v>1213</v>
      </c>
      <c r="B1100" s="1" t="s">
        <v>15</v>
      </c>
      <c r="C1100" s="1" t="s">
        <v>1238</v>
      </c>
      <c r="D1100" s="3">
        <v>23772.92</v>
      </c>
      <c r="E1100" s="3">
        <v>12332075.529999999</v>
      </c>
      <c r="F1100" s="1" t="s">
        <v>3048</v>
      </c>
      <c r="G1100" s="19">
        <f t="shared" si="90"/>
        <v>23772.92</v>
      </c>
    </row>
    <row r="1101" spans="1:7">
      <c r="A1101" s="1" t="s">
        <v>121</v>
      </c>
      <c r="B1101" s="1" t="s">
        <v>134</v>
      </c>
      <c r="C1101" s="1" t="s">
        <v>135</v>
      </c>
      <c r="D1101" s="2">
        <v>587.4</v>
      </c>
      <c r="E1101" s="3">
        <v>11694953.51</v>
      </c>
      <c r="F1101" s="2" t="s">
        <v>3048</v>
      </c>
      <c r="G1101" s="19">
        <f t="shared" si="90"/>
        <v>587.4</v>
      </c>
    </row>
    <row r="1102" spans="1:7">
      <c r="A1102" s="1" t="s">
        <v>1213</v>
      </c>
      <c r="B1102" s="1" t="s">
        <v>15</v>
      </c>
      <c r="C1102" s="1" t="s">
        <v>1241</v>
      </c>
      <c r="D1102" s="3">
        <v>46474.11</v>
      </c>
      <c r="E1102" s="3">
        <v>12380938.4</v>
      </c>
      <c r="F1102" s="1" t="s">
        <v>3048</v>
      </c>
      <c r="G1102" s="19">
        <f t="shared" si="90"/>
        <v>46474.11</v>
      </c>
    </row>
    <row r="1103" spans="1:7">
      <c r="A1103" s="1" t="s">
        <v>1213</v>
      </c>
      <c r="B1103" s="1" t="s">
        <v>15</v>
      </c>
      <c r="C1103" s="1" t="s">
        <v>1242</v>
      </c>
      <c r="D1103" s="3">
        <v>31177.599999999999</v>
      </c>
      <c r="E1103" s="3">
        <v>12412116</v>
      </c>
      <c r="F1103" s="1" t="s">
        <v>3048</v>
      </c>
      <c r="G1103" s="19">
        <f t="shared" si="90"/>
        <v>31177.599999999999</v>
      </c>
    </row>
    <row r="1104" spans="1:7">
      <c r="A1104" s="1" t="s">
        <v>1428</v>
      </c>
      <c r="B1104" s="1" t="s">
        <v>1437</v>
      </c>
      <c r="C1104" s="1" t="s">
        <v>1438</v>
      </c>
      <c r="D1104" s="2">
        <v>386.7</v>
      </c>
      <c r="E1104" s="3">
        <v>11496411.9</v>
      </c>
      <c r="F1104" s="2" t="s">
        <v>3048</v>
      </c>
      <c r="G1104" s="19">
        <f t="shared" si="90"/>
        <v>386.7</v>
      </c>
    </row>
    <row r="1105" spans="1:7">
      <c r="A1105" s="1" t="s">
        <v>1213</v>
      </c>
      <c r="B1105" s="1" t="s">
        <v>15</v>
      </c>
      <c r="C1105" s="1" t="s">
        <v>1245</v>
      </c>
      <c r="D1105" s="3">
        <v>28254.7</v>
      </c>
      <c r="E1105" s="3">
        <v>12441937.1</v>
      </c>
      <c r="F1105" s="1" t="s">
        <v>3048</v>
      </c>
      <c r="G1105" s="19">
        <f t="shared" si="90"/>
        <v>28254.7</v>
      </c>
    </row>
    <row r="1106" spans="1:7">
      <c r="A1106" s="1" t="s">
        <v>1118</v>
      </c>
      <c r="B1106" s="1" t="s">
        <v>1181</v>
      </c>
      <c r="C1106" s="1" t="s">
        <v>1182</v>
      </c>
      <c r="D1106" s="2">
        <v>469.92</v>
      </c>
      <c r="E1106" s="3">
        <v>11149895</v>
      </c>
      <c r="F1106" s="2" t="s">
        <v>3048</v>
      </c>
      <c r="G1106" s="19">
        <f t="shared" si="90"/>
        <v>469.92</v>
      </c>
    </row>
    <row r="1107" spans="1:7">
      <c r="A1107" s="1" t="s">
        <v>1213</v>
      </c>
      <c r="B1107" s="1" t="s">
        <v>15</v>
      </c>
      <c r="C1107" s="1" t="s">
        <v>1248</v>
      </c>
      <c r="D1107" s="3">
        <v>4579.21</v>
      </c>
      <c r="E1107" s="3">
        <v>12449355.41</v>
      </c>
      <c r="F1107" s="1" t="s">
        <v>3048</v>
      </c>
      <c r="G1107" s="19">
        <f t="shared" si="90"/>
        <v>4579.21</v>
      </c>
    </row>
    <row r="1108" spans="1:7">
      <c r="A1108" s="1" t="s">
        <v>1213</v>
      </c>
      <c r="B1108" s="1" t="s">
        <v>15</v>
      </c>
      <c r="C1108" s="1" t="s">
        <v>1249</v>
      </c>
      <c r="D1108" s="3">
        <v>9548.14</v>
      </c>
      <c r="E1108" s="3">
        <v>12458903.550000001</v>
      </c>
      <c r="F1108" s="1" t="s">
        <v>3048</v>
      </c>
      <c r="G1108" s="19">
        <f t="shared" si="90"/>
        <v>9548.14</v>
      </c>
    </row>
    <row r="1109" spans="1:7">
      <c r="A1109" s="1" t="s">
        <v>1213</v>
      </c>
      <c r="B1109" s="1" t="s">
        <v>15</v>
      </c>
      <c r="C1109" s="1" t="s">
        <v>1250</v>
      </c>
      <c r="D1109" s="3">
        <v>61027.62</v>
      </c>
      <c r="E1109" s="3">
        <v>12519931.17</v>
      </c>
      <c r="F1109" s="1" t="s">
        <v>3048</v>
      </c>
      <c r="G1109" s="19">
        <f t="shared" si="90"/>
        <v>61027.62</v>
      </c>
    </row>
    <row r="1110" spans="1:7">
      <c r="A1110" s="1" t="s">
        <v>1213</v>
      </c>
      <c r="B1110" s="1" t="s">
        <v>15</v>
      </c>
      <c r="C1110" s="1" t="s">
        <v>1251</v>
      </c>
      <c r="D1110" s="3">
        <v>18706.560000000001</v>
      </c>
      <c r="E1110" s="3">
        <v>12538637.73</v>
      </c>
      <c r="F1110" s="1" t="s">
        <v>3048</v>
      </c>
      <c r="G1110" s="19">
        <f t="shared" si="90"/>
        <v>18706.560000000001</v>
      </c>
    </row>
    <row r="1111" spans="1:7">
      <c r="A1111" s="1" t="s">
        <v>1213</v>
      </c>
      <c r="B1111" s="1" t="s">
        <v>15</v>
      </c>
      <c r="C1111" s="1" t="s">
        <v>1252</v>
      </c>
      <c r="D1111" s="3">
        <v>19555.29</v>
      </c>
      <c r="E1111" s="3">
        <v>12558193.02</v>
      </c>
      <c r="F1111" s="1" t="s">
        <v>3048</v>
      </c>
      <c r="G1111" s="19">
        <f t="shared" si="90"/>
        <v>19555.29</v>
      </c>
    </row>
    <row r="1112" spans="1:7">
      <c r="A1112" s="1" t="s">
        <v>1213</v>
      </c>
      <c r="B1112" s="1" t="s">
        <v>15</v>
      </c>
      <c r="C1112" s="1" t="s">
        <v>1253</v>
      </c>
      <c r="D1112" s="3">
        <v>9069.1200000000008</v>
      </c>
      <c r="E1112" s="3">
        <v>12567262.140000001</v>
      </c>
      <c r="F1112" s="1" t="s">
        <v>3048</v>
      </c>
      <c r="G1112" s="19">
        <f t="shared" si="90"/>
        <v>9069.1200000000008</v>
      </c>
    </row>
    <row r="1113" spans="1:7">
      <c r="A1113" s="1" t="s">
        <v>1213</v>
      </c>
      <c r="B1113" s="1" t="s">
        <v>15</v>
      </c>
      <c r="C1113" s="1" t="s">
        <v>1254</v>
      </c>
      <c r="D1113" s="3">
        <v>28157.27</v>
      </c>
      <c r="E1113" s="3">
        <v>12595419.41</v>
      </c>
      <c r="F1113" s="1" t="s">
        <v>3048</v>
      </c>
      <c r="G1113" s="19">
        <f t="shared" ref="G1113:G1176" si="91">+D1113</f>
        <v>28157.27</v>
      </c>
    </row>
    <row r="1114" spans="1:7">
      <c r="A1114" s="1" t="s">
        <v>1213</v>
      </c>
      <c r="B1114" s="1" t="s">
        <v>15</v>
      </c>
      <c r="C1114" s="1" t="s">
        <v>1255</v>
      </c>
      <c r="D1114" s="3">
        <v>10985.59</v>
      </c>
      <c r="E1114" s="3">
        <v>12606405</v>
      </c>
      <c r="F1114" s="1" t="s">
        <v>3048</v>
      </c>
      <c r="G1114" s="19">
        <f t="shared" si="91"/>
        <v>10985.59</v>
      </c>
    </row>
    <row r="1115" spans="1:7">
      <c r="A1115" s="1" t="s">
        <v>1213</v>
      </c>
      <c r="B1115" s="1" t="s">
        <v>15</v>
      </c>
      <c r="C1115" s="1" t="s">
        <v>1256</v>
      </c>
      <c r="D1115" s="3">
        <v>27767.55</v>
      </c>
      <c r="E1115" s="3">
        <v>12634172.550000001</v>
      </c>
      <c r="F1115" s="1" t="s">
        <v>3048</v>
      </c>
      <c r="G1115" s="19">
        <f t="shared" si="91"/>
        <v>27767.55</v>
      </c>
    </row>
    <row r="1116" spans="1:7">
      <c r="A1116" s="1" t="s">
        <v>1213</v>
      </c>
      <c r="B1116" s="1" t="s">
        <v>15</v>
      </c>
      <c r="C1116" s="1" t="s">
        <v>1257</v>
      </c>
      <c r="D1116" s="3">
        <v>62191.15</v>
      </c>
      <c r="E1116" s="3">
        <v>12696363.699999999</v>
      </c>
      <c r="F1116" s="1" t="s">
        <v>3048</v>
      </c>
      <c r="G1116" s="19">
        <f t="shared" si="91"/>
        <v>62191.15</v>
      </c>
    </row>
    <row r="1117" spans="1:7">
      <c r="A1117" s="1" t="s">
        <v>1213</v>
      </c>
      <c r="B1117" s="1" t="s">
        <v>15</v>
      </c>
      <c r="C1117" s="1" t="s">
        <v>1258</v>
      </c>
      <c r="D1117" s="3">
        <v>42794.91</v>
      </c>
      <c r="E1117" s="3">
        <v>12739158.609999999</v>
      </c>
      <c r="F1117" s="1" t="s">
        <v>3048</v>
      </c>
      <c r="G1117" s="19">
        <f t="shared" si="91"/>
        <v>42794.91</v>
      </c>
    </row>
    <row r="1118" spans="1:7">
      <c r="A1118" s="1" t="s">
        <v>1213</v>
      </c>
      <c r="B1118" s="1" t="s">
        <v>15</v>
      </c>
      <c r="C1118" s="1" t="s">
        <v>1259</v>
      </c>
      <c r="D1118" s="3">
        <v>39459.15</v>
      </c>
      <c r="E1118" s="3">
        <v>12778617.76</v>
      </c>
      <c r="F1118" s="1" t="s">
        <v>3048</v>
      </c>
      <c r="G1118" s="19">
        <f t="shared" si="91"/>
        <v>39459.15</v>
      </c>
    </row>
    <row r="1119" spans="1:7">
      <c r="A1119" s="1" t="s">
        <v>1213</v>
      </c>
      <c r="B1119" s="1" t="s">
        <v>15</v>
      </c>
      <c r="C1119" s="1" t="s">
        <v>1260</v>
      </c>
      <c r="D1119" s="3">
        <v>25717.64</v>
      </c>
      <c r="E1119" s="3">
        <v>12804335.4</v>
      </c>
      <c r="F1119" s="1" t="s">
        <v>3048</v>
      </c>
      <c r="G1119" s="19">
        <f t="shared" si="91"/>
        <v>25717.64</v>
      </c>
    </row>
    <row r="1120" spans="1:7">
      <c r="A1120" s="1" t="s">
        <v>1213</v>
      </c>
      <c r="B1120" s="1" t="s">
        <v>15</v>
      </c>
      <c r="C1120" s="1" t="s">
        <v>1261</v>
      </c>
      <c r="D1120" s="3">
        <v>15686.23</v>
      </c>
      <c r="E1120" s="3">
        <v>12820021.630000001</v>
      </c>
      <c r="F1120" s="1" t="s">
        <v>3048</v>
      </c>
      <c r="G1120" s="19">
        <f t="shared" si="91"/>
        <v>15686.23</v>
      </c>
    </row>
    <row r="1121" spans="1:7">
      <c r="A1121" s="1" t="s">
        <v>1213</v>
      </c>
      <c r="B1121" s="1" t="s">
        <v>15</v>
      </c>
      <c r="C1121" s="1" t="s">
        <v>1262</v>
      </c>
      <c r="D1121" s="3">
        <v>64303.8</v>
      </c>
      <c r="E1121" s="3">
        <v>12884325.43</v>
      </c>
      <c r="F1121" s="1" t="s">
        <v>3048</v>
      </c>
      <c r="G1121" s="19">
        <f t="shared" si="91"/>
        <v>64303.8</v>
      </c>
    </row>
    <row r="1122" spans="1:7">
      <c r="A1122" s="1" t="s">
        <v>1118</v>
      </c>
      <c r="B1122" s="1" t="s">
        <v>1176</v>
      </c>
      <c r="C1122" s="1" t="s">
        <v>1177</v>
      </c>
      <c r="D1122" s="2">
        <v>587.4</v>
      </c>
      <c r="E1122" s="3">
        <v>11770267.84</v>
      </c>
      <c r="F1122" s="2" t="s">
        <v>3048</v>
      </c>
      <c r="G1122" s="19">
        <f t="shared" si="91"/>
        <v>587.4</v>
      </c>
    </row>
    <row r="1123" spans="1:7">
      <c r="A1123" s="1" t="s">
        <v>1213</v>
      </c>
      <c r="B1123" s="1" t="s">
        <v>15</v>
      </c>
      <c r="C1123" s="1" t="s">
        <v>1265</v>
      </c>
      <c r="D1123" s="3">
        <v>44030.35</v>
      </c>
      <c r="E1123" s="3">
        <v>12931586.48</v>
      </c>
      <c r="F1123" s="1" t="s">
        <v>3048</v>
      </c>
      <c r="G1123" s="19">
        <f t="shared" si="91"/>
        <v>44030.35</v>
      </c>
    </row>
    <row r="1124" spans="1:7">
      <c r="A1124" s="1" t="s">
        <v>1213</v>
      </c>
      <c r="B1124" s="1" t="s">
        <v>15</v>
      </c>
      <c r="C1124" s="1" t="s">
        <v>1266</v>
      </c>
      <c r="D1124" s="3">
        <v>39166.86</v>
      </c>
      <c r="E1124" s="3">
        <v>12970753.34</v>
      </c>
      <c r="F1124" s="1" t="s">
        <v>3048</v>
      </c>
      <c r="G1124" s="19">
        <f t="shared" si="91"/>
        <v>39166.86</v>
      </c>
    </row>
    <row r="1125" spans="1:7">
      <c r="A1125" s="1" t="s">
        <v>1213</v>
      </c>
      <c r="B1125" s="1" t="s">
        <v>15</v>
      </c>
      <c r="C1125" s="1" t="s">
        <v>1267</v>
      </c>
      <c r="D1125" s="3">
        <v>62463.519999999997</v>
      </c>
      <c r="E1125" s="3">
        <v>13033216.859999999</v>
      </c>
      <c r="F1125" s="1" t="s">
        <v>3048</v>
      </c>
      <c r="G1125" s="19">
        <f t="shared" si="91"/>
        <v>62463.519999999997</v>
      </c>
    </row>
    <row r="1126" spans="1:7">
      <c r="A1126" s="1" t="s">
        <v>1213</v>
      </c>
      <c r="B1126" s="1" t="s">
        <v>15</v>
      </c>
      <c r="C1126" s="1" t="s">
        <v>1268</v>
      </c>
      <c r="D1126" s="3">
        <v>31567.32</v>
      </c>
      <c r="E1126" s="3">
        <v>13064784.18</v>
      </c>
      <c r="F1126" s="1" t="s">
        <v>3048</v>
      </c>
      <c r="G1126" s="19">
        <f t="shared" si="91"/>
        <v>31567.32</v>
      </c>
    </row>
    <row r="1127" spans="1:7">
      <c r="A1127" s="1" t="s">
        <v>1400</v>
      </c>
      <c r="B1127" s="1" t="s">
        <v>1412</v>
      </c>
      <c r="C1127" s="1" t="s">
        <v>1413</v>
      </c>
      <c r="D1127" s="2">
        <v>469.92</v>
      </c>
      <c r="E1127" s="3">
        <v>10970052.060000001</v>
      </c>
      <c r="F1127" s="2" t="s">
        <v>3048</v>
      </c>
      <c r="G1127" s="19">
        <f t="shared" si="91"/>
        <v>469.92</v>
      </c>
    </row>
    <row r="1128" spans="1:7">
      <c r="A1128" s="1" t="s">
        <v>1213</v>
      </c>
      <c r="B1128" s="1" t="s">
        <v>15</v>
      </c>
      <c r="C1128" s="1" t="s">
        <v>1271</v>
      </c>
      <c r="D1128" s="3">
        <v>34003.07</v>
      </c>
      <c r="E1128" s="3">
        <v>13101959.210000001</v>
      </c>
      <c r="F1128" s="1" t="s">
        <v>3048</v>
      </c>
      <c r="G1128" s="19">
        <f t="shared" si="91"/>
        <v>34003.07</v>
      </c>
    </row>
    <row r="1129" spans="1:7">
      <c r="A1129" s="1" t="s">
        <v>1213</v>
      </c>
      <c r="B1129" s="1" t="s">
        <v>15</v>
      </c>
      <c r="C1129" s="1" t="s">
        <v>1272</v>
      </c>
      <c r="D1129" s="3">
        <v>35074.800000000003</v>
      </c>
      <c r="E1129" s="3">
        <v>13137034.01</v>
      </c>
      <c r="F1129" s="1" t="s">
        <v>3048</v>
      </c>
      <c r="G1129" s="19">
        <f t="shared" si="91"/>
        <v>35074.800000000003</v>
      </c>
    </row>
    <row r="1130" spans="1:7">
      <c r="A1130" s="1" t="s">
        <v>1213</v>
      </c>
      <c r="B1130" s="1" t="s">
        <v>15</v>
      </c>
      <c r="C1130" s="1" t="s">
        <v>1273</v>
      </c>
      <c r="D1130" s="3">
        <v>8768.7000000000007</v>
      </c>
      <c r="E1130" s="3">
        <v>13145802.710000001</v>
      </c>
      <c r="F1130" s="1" t="s">
        <v>3048</v>
      </c>
      <c r="G1130" s="19">
        <f t="shared" si="91"/>
        <v>8768.7000000000007</v>
      </c>
    </row>
    <row r="1131" spans="1:7">
      <c r="A1131" s="1" t="s">
        <v>1013</v>
      </c>
      <c r="B1131" s="1" t="s">
        <v>1037</v>
      </c>
      <c r="C1131" s="1" t="s">
        <v>1038</v>
      </c>
      <c r="D1131" s="3">
        <v>2710.85</v>
      </c>
      <c r="E1131" s="3">
        <v>14110216.1</v>
      </c>
      <c r="F1131" s="2" t="s">
        <v>3048</v>
      </c>
      <c r="G1131" s="19">
        <f t="shared" si="91"/>
        <v>2710.85</v>
      </c>
    </row>
    <row r="1132" spans="1:7">
      <c r="A1132" s="1" t="s">
        <v>1213</v>
      </c>
      <c r="B1132" s="1" t="s">
        <v>15</v>
      </c>
      <c r="C1132" s="1" t="s">
        <v>1276</v>
      </c>
      <c r="D1132" s="3">
        <v>21921.75</v>
      </c>
      <c r="E1132" s="3">
        <v>13168605.560000001</v>
      </c>
      <c r="F1132" s="1" t="s">
        <v>3048</v>
      </c>
      <c r="G1132" s="19">
        <f t="shared" si="91"/>
        <v>21921.75</v>
      </c>
    </row>
    <row r="1133" spans="1:7">
      <c r="A1133" s="1" t="s">
        <v>1213</v>
      </c>
      <c r="B1133" s="1" t="s">
        <v>15</v>
      </c>
      <c r="C1133" s="1" t="s">
        <v>1277</v>
      </c>
      <c r="D1133" s="3">
        <v>24357.5</v>
      </c>
      <c r="E1133" s="3">
        <v>13192963.060000001</v>
      </c>
      <c r="F1133" s="1" t="s">
        <v>3048</v>
      </c>
      <c r="G1133" s="19">
        <f t="shared" si="91"/>
        <v>24357.5</v>
      </c>
    </row>
    <row r="1134" spans="1:7">
      <c r="A1134" s="1" t="s">
        <v>1213</v>
      </c>
      <c r="B1134" s="1" t="s">
        <v>15</v>
      </c>
      <c r="C1134" s="1" t="s">
        <v>1278</v>
      </c>
      <c r="D1134" s="3">
        <v>47643.27</v>
      </c>
      <c r="E1134" s="3">
        <v>13240606.33</v>
      </c>
      <c r="F1134" s="1" t="s">
        <v>3048</v>
      </c>
      <c r="G1134" s="19">
        <f t="shared" si="91"/>
        <v>47643.27</v>
      </c>
    </row>
    <row r="1135" spans="1:7">
      <c r="A1135" s="1" t="s">
        <v>1213</v>
      </c>
      <c r="B1135" s="1" t="s">
        <v>15</v>
      </c>
      <c r="C1135" s="1" t="s">
        <v>1279</v>
      </c>
      <c r="D1135" s="3">
        <v>12373.61</v>
      </c>
      <c r="E1135" s="3">
        <v>13252979.939999999</v>
      </c>
      <c r="F1135" s="1" t="s">
        <v>3048</v>
      </c>
      <c r="G1135" s="19">
        <f t="shared" si="91"/>
        <v>12373.61</v>
      </c>
    </row>
    <row r="1136" spans="1:7">
      <c r="A1136" s="1" t="s">
        <v>1213</v>
      </c>
      <c r="B1136" s="1" t="s">
        <v>15</v>
      </c>
      <c r="C1136" s="1" t="s">
        <v>1280</v>
      </c>
      <c r="D1136" s="3">
        <v>47838.13</v>
      </c>
      <c r="E1136" s="3">
        <v>13300818.07</v>
      </c>
      <c r="F1136" s="1" t="s">
        <v>3048</v>
      </c>
      <c r="G1136" s="19">
        <f t="shared" si="91"/>
        <v>47838.13</v>
      </c>
    </row>
    <row r="1137" spans="1:7">
      <c r="A1137" s="1" t="s">
        <v>1213</v>
      </c>
      <c r="B1137" s="1" t="s">
        <v>15</v>
      </c>
      <c r="C1137" s="1" t="s">
        <v>1281</v>
      </c>
      <c r="D1137" s="3">
        <v>26793.25</v>
      </c>
      <c r="E1137" s="3">
        <v>13327611.32</v>
      </c>
      <c r="F1137" s="1" t="s">
        <v>3048</v>
      </c>
      <c r="G1137" s="19">
        <f t="shared" si="91"/>
        <v>26793.25</v>
      </c>
    </row>
    <row r="1138" spans="1:7">
      <c r="A1138" s="1" t="s">
        <v>1213</v>
      </c>
      <c r="B1138" s="1" t="s">
        <v>15</v>
      </c>
      <c r="C1138" s="1" t="s">
        <v>1282</v>
      </c>
      <c r="D1138" s="3">
        <v>25234.37</v>
      </c>
      <c r="E1138" s="3">
        <v>13352845.689999999</v>
      </c>
      <c r="F1138" s="1" t="s">
        <v>3048</v>
      </c>
      <c r="G1138" s="19">
        <f t="shared" si="91"/>
        <v>25234.37</v>
      </c>
    </row>
    <row r="1139" spans="1:7">
      <c r="A1139" s="1" t="s">
        <v>1213</v>
      </c>
      <c r="B1139" s="1" t="s">
        <v>15</v>
      </c>
      <c r="C1139" s="1" t="s">
        <v>1283</v>
      </c>
      <c r="D1139" s="3">
        <v>8171.1</v>
      </c>
      <c r="E1139" s="3">
        <v>13361016.789999999</v>
      </c>
      <c r="F1139" s="1" t="s">
        <v>3048</v>
      </c>
      <c r="G1139" s="19">
        <f t="shared" si="91"/>
        <v>8171.1</v>
      </c>
    </row>
    <row r="1140" spans="1:7">
      <c r="A1140" s="1" t="s">
        <v>1213</v>
      </c>
      <c r="B1140" s="1" t="s">
        <v>15</v>
      </c>
      <c r="C1140" s="1" t="s">
        <v>1284</v>
      </c>
      <c r="D1140" s="3">
        <v>9010.56</v>
      </c>
      <c r="E1140" s="3">
        <v>13370027.35</v>
      </c>
      <c r="F1140" s="1" t="s">
        <v>3048</v>
      </c>
      <c r="G1140" s="19">
        <f t="shared" si="91"/>
        <v>9010.56</v>
      </c>
    </row>
    <row r="1141" spans="1:7">
      <c r="A1141" s="1" t="s">
        <v>1213</v>
      </c>
      <c r="B1141" s="1" t="s">
        <v>15</v>
      </c>
      <c r="C1141" s="1" t="s">
        <v>1285</v>
      </c>
      <c r="D1141" s="3">
        <v>7989.26</v>
      </c>
      <c r="E1141" s="3">
        <v>13378016.609999999</v>
      </c>
      <c r="F1141" s="1" t="s">
        <v>3048</v>
      </c>
      <c r="G1141" s="19">
        <f t="shared" si="91"/>
        <v>7989.26</v>
      </c>
    </row>
    <row r="1142" spans="1:7">
      <c r="A1142" s="1" t="s">
        <v>1286</v>
      </c>
      <c r="B1142" s="1" t="s">
        <v>15</v>
      </c>
      <c r="C1142" s="1" t="s">
        <v>1287</v>
      </c>
      <c r="D1142" s="3">
        <v>17649.580000000002</v>
      </c>
      <c r="E1142" s="3">
        <v>13395666.189999999</v>
      </c>
      <c r="F1142" s="1" t="s">
        <v>3048</v>
      </c>
      <c r="G1142" s="19">
        <f t="shared" si="91"/>
        <v>17649.580000000002</v>
      </c>
    </row>
    <row r="1143" spans="1:7">
      <c r="A1143" s="1" t="s">
        <v>1286</v>
      </c>
      <c r="B1143" s="1" t="s">
        <v>15</v>
      </c>
      <c r="C1143" s="1" t="s">
        <v>1288</v>
      </c>
      <c r="D1143" s="3">
        <v>36276.480000000003</v>
      </c>
      <c r="E1143" s="3">
        <v>13431942.67</v>
      </c>
      <c r="F1143" s="1" t="s">
        <v>3048</v>
      </c>
      <c r="G1143" s="19">
        <f t="shared" si="91"/>
        <v>36276.480000000003</v>
      </c>
    </row>
    <row r="1144" spans="1:7">
      <c r="A1144" s="1" t="s">
        <v>1286</v>
      </c>
      <c r="B1144" s="1" t="s">
        <v>15</v>
      </c>
      <c r="C1144" s="1" t="s">
        <v>1289</v>
      </c>
      <c r="D1144" s="3">
        <v>51345.61</v>
      </c>
      <c r="E1144" s="3">
        <v>13483288.279999999</v>
      </c>
      <c r="F1144" s="1" t="s">
        <v>3048</v>
      </c>
      <c r="G1144" s="19">
        <f t="shared" si="91"/>
        <v>51345.61</v>
      </c>
    </row>
    <row r="1145" spans="1:7">
      <c r="A1145" s="1" t="s">
        <v>1286</v>
      </c>
      <c r="B1145" s="1" t="s">
        <v>15</v>
      </c>
      <c r="C1145" s="1" t="s">
        <v>1290</v>
      </c>
      <c r="D1145" s="3">
        <v>4993.45</v>
      </c>
      <c r="E1145" s="3">
        <v>13488281.73</v>
      </c>
      <c r="F1145" s="1" t="s">
        <v>3048</v>
      </c>
      <c r="G1145" s="19">
        <f t="shared" si="91"/>
        <v>4993.45</v>
      </c>
    </row>
    <row r="1146" spans="1:7">
      <c r="A1146" s="1" t="s">
        <v>1286</v>
      </c>
      <c r="B1146" s="1" t="s">
        <v>15</v>
      </c>
      <c r="C1146" s="1" t="s">
        <v>1291</v>
      </c>
      <c r="D1146" s="3">
        <v>52839.78</v>
      </c>
      <c r="E1146" s="3">
        <v>13541121.51</v>
      </c>
      <c r="F1146" s="1" t="s">
        <v>3048</v>
      </c>
      <c r="G1146" s="19">
        <f t="shared" si="91"/>
        <v>52839.78</v>
      </c>
    </row>
    <row r="1147" spans="1:7">
      <c r="A1147" s="1" t="s">
        <v>1286</v>
      </c>
      <c r="B1147" s="1" t="s">
        <v>15</v>
      </c>
      <c r="C1147" s="1" t="s">
        <v>1292</v>
      </c>
      <c r="D1147" s="3">
        <v>9010.56</v>
      </c>
      <c r="E1147" s="3">
        <v>13550132.07</v>
      </c>
      <c r="F1147" s="1" t="s">
        <v>3048</v>
      </c>
      <c r="G1147" s="19">
        <f t="shared" si="91"/>
        <v>9010.56</v>
      </c>
    </row>
    <row r="1148" spans="1:7">
      <c r="A1148" s="1" t="s">
        <v>1286</v>
      </c>
      <c r="B1148" s="1" t="s">
        <v>15</v>
      </c>
      <c r="C1148" s="1" t="s">
        <v>1293</v>
      </c>
      <c r="D1148" s="3">
        <v>43064.06</v>
      </c>
      <c r="E1148" s="3">
        <v>13593196.130000001</v>
      </c>
      <c r="F1148" s="1" t="s">
        <v>3048</v>
      </c>
      <c r="G1148" s="19">
        <f t="shared" si="91"/>
        <v>43064.06</v>
      </c>
    </row>
    <row r="1149" spans="1:7">
      <c r="A1149" s="1" t="s">
        <v>1286</v>
      </c>
      <c r="B1149" s="1" t="s">
        <v>15</v>
      </c>
      <c r="C1149" s="1" t="s">
        <v>1294</v>
      </c>
      <c r="D1149" s="3">
        <v>15296.51</v>
      </c>
      <c r="E1149" s="3">
        <v>13608492.640000001</v>
      </c>
      <c r="F1149" s="1" t="s">
        <v>3048</v>
      </c>
      <c r="G1149" s="19">
        <f t="shared" si="91"/>
        <v>15296.51</v>
      </c>
    </row>
    <row r="1150" spans="1:7">
      <c r="A1150" s="1" t="s">
        <v>1793</v>
      </c>
      <c r="B1150" s="1" t="s">
        <v>1829</v>
      </c>
      <c r="C1150" s="1" t="s">
        <v>1830</v>
      </c>
      <c r="D1150" s="2">
        <v>469.92</v>
      </c>
      <c r="E1150" s="3">
        <v>9619923.7799999993</v>
      </c>
      <c r="F1150" s="2" t="s">
        <v>3048</v>
      </c>
      <c r="G1150" s="19">
        <f t="shared" si="91"/>
        <v>469.92</v>
      </c>
    </row>
    <row r="1151" spans="1:7">
      <c r="A1151" s="1" t="s">
        <v>1286</v>
      </c>
      <c r="B1151" s="1" t="s">
        <v>15</v>
      </c>
      <c r="C1151" s="1" t="s">
        <v>1297</v>
      </c>
      <c r="D1151" s="3">
        <v>16952.82</v>
      </c>
      <c r="E1151" s="3">
        <v>13626213.970000001</v>
      </c>
      <c r="F1151" s="1" t="s">
        <v>3048</v>
      </c>
      <c r="G1151" s="19">
        <f t="shared" si="91"/>
        <v>16952.82</v>
      </c>
    </row>
    <row r="1152" spans="1:7">
      <c r="A1152" s="1" t="s">
        <v>1286</v>
      </c>
      <c r="B1152" s="1" t="s">
        <v>15</v>
      </c>
      <c r="C1152" s="1" t="s">
        <v>1298</v>
      </c>
      <c r="D1152" s="3">
        <v>32931.339999999997</v>
      </c>
      <c r="E1152" s="3">
        <v>13659145.310000001</v>
      </c>
      <c r="F1152" s="1" t="s">
        <v>3048</v>
      </c>
      <c r="G1152" s="19">
        <f t="shared" si="91"/>
        <v>32931.339999999997</v>
      </c>
    </row>
    <row r="1153" spans="1:7">
      <c r="A1153" s="1" t="s">
        <v>1286</v>
      </c>
      <c r="B1153" s="1" t="s">
        <v>15</v>
      </c>
      <c r="C1153" s="1" t="s">
        <v>1299</v>
      </c>
      <c r="D1153" s="3">
        <v>91607.11</v>
      </c>
      <c r="E1153" s="3">
        <v>13750752.42</v>
      </c>
      <c r="F1153" s="1" t="s">
        <v>3048</v>
      </c>
      <c r="G1153" s="19">
        <f t="shared" si="91"/>
        <v>91607.11</v>
      </c>
    </row>
    <row r="1154" spans="1:7">
      <c r="A1154" s="1" t="s">
        <v>1286</v>
      </c>
      <c r="B1154" s="1" t="s">
        <v>15</v>
      </c>
      <c r="C1154" s="1" t="s">
        <v>1300</v>
      </c>
      <c r="D1154" s="3">
        <v>18901.419999999998</v>
      </c>
      <c r="E1154" s="3">
        <v>13769653.84</v>
      </c>
      <c r="F1154" s="1" t="s">
        <v>3048</v>
      </c>
      <c r="G1154" s="19">
        <f t="shared" si="91"/>
        <v>18901.419999999998</v>
      </c>
    </row>
    <row r="1155" spans="1:7">
      <c r="A1155" s="1" t="s">
        <v>548</v>
      </c>
      <c r="B1155" s="1" t="s">
        <v>598</v>
      </c>
      <c r="C1155" s="1" t="s">
        <v>599</v>
      </c>
      <c r="D1155" s="2">
        <v>440.55</v>
      </c>
      <c r="E1155" s="3">
        <v>7839913.4800000004</v>
      </c>
      <c r="F1155" s="2" t="s">
        <v>3048</v>
      </c>
      <c r="G1155" s="19">
        <f t="shared" si="91"/>
        <v>440.55</v>
      </c>
    </row>
    <row r="1156" spans="1:7">
      <c r="A1156" s="1" t="s">
        <v>1286</v>
      </c>
      <c r="B1156" s="1" t="s">
        <v>15</v>
      </c>
      <c r="C1156" s="1" t="s">
        <v>1303</v>
      </c>
      <c r="D1156" s="3">
        <v>26793.25</v>
      </c>
      <c r="E1156" s="3">
        <v>13797396.720000001</v>
      </c>
      <c r="F1156" s="1" t="s">
        <v>3048</v>
      </c>
      <c r="G1156" s="19">
        <f t="shared" si="91"/>
        <v>26793.25</v>
      </c>
    </row>
    <row r="1157" spans="1:7">
      <c r="A1157" s="1" t="s">
        <v>1286</v>
      </c>
      <c r="B1157" s="1" t="s">
        <v>15</v>
      </c>
      <c r="C1157" s="1" t="s">
        <v>1304</v>
      </c>
      <c r="D1157" s="3">
        <v>21629.46</v>
      </c>
      <c r="E1157" s="3">
        <v>13819026.18</v>
      </c>
      <c r="F1157" s="1" t="s">
        <v>3048</v>
      </c>
      <c r="G1157" s="19">
        <f t="shared" si="91"/>
        <v>21629.46</v>
      </c>
    </row>
    <row r="1158" spans="1:7">
      <c r="A1158" s="1" t="s">
        <v>1286</v>
      </c>
      <c r="B1158" s="1" t="s">
        <v>15</v>
      </c>
      <c r="C1158" s="1" t="s">
        <v>1305</v>
      </c>
      <c r="D1158" s="3">
        <v>32475.56</v>
      </c>
      <c r="E1158" s="3">
        <v>13851501.74</v>
      </c>
      <c r="F1158" s="1" t="s">
        <v>3048</v>
      </c>
      <c r="G1158" s="19">
        <f t="shared" si="91"/>
        <v>32475.56</v>
      </c>
    </row>
    <row r="1159" spans="1:7">
      <c r="A1159" s="1" t="s">
        <v>1286</v>
      </c>
      <c r="B1159" s="1" t="s">
        <v>15</v>
      </c>
      <c r="C1159" s="1" t="s">
        <v>1306</v>
      </c>
      <c r="D1159" s="3">
        <v>13603.68</v>
      </c>
      <c r="E1159" s="3">
        <v>13865105.42</v>
      </c>
      <c r="F1159" s="1" t="s">
        <v>3048</v>
      </c>
      <c r="G1159" s="19">
        <f t="shared" si="91"/>
        <v>13603.68</v>
      </c>
    </row>
    <row r="1160" spans="1:7">
      <c r="A1160" s="1" t="s">
        <v>1286</v>
      </c>
      <c r="B1160" s="1" t="s">
        <v>15</v>
      </c>
      <c r="C1160" s="1" t="s">
        <v>1307</v>
      </c>
      <c r="D1160" s="3">
        <v>15491.37</v>
      </c>
      <c r="E1160" s="3">
        <v>13880596.789999999</v>
      </c>
      <c r="F1160" s="1" t="s">
        <v>3048</v>
      </c>
      <c r="G1160" s="19">
        <f t="shared" si="91"/>
        <v>15491.37</v>
      </c>
    </row>
    <row r="1161" spans="1:7">
      <c r="A1161" s="1" t="s">
        <v>1286</v>
      </c>
      <c r="B1161" s="1" t="s">
        <v>15</v>
      </c>
      <c r="C1161" s="1" t="s">
        <v>1308</v>
      </c>
      <c r="D1161" s="3">
        <v>2723.7</v>
      </c>
      <c r="E1161" s="3">
        <v>13883320.49</v>
      </c>
      <c r="F1161" s="1" t="s">
        <v>3048</v>
      </c>
      <c r="G1161" s="19">
        <f t="shared" si="91"/>
        <v>2723.7</v>
      </c>
    </row>
    <row r="1162" spans="1:7">
      <c r="A1162" s="1" t="s">
        <v>1286</v>
      </c>
      <c r="B1162" s="1" t="s">
        <v>15</v>
      </c>
      <c r="C1162" s="1" t="s">
        <v>1309</v>
      </c>
      <c r="D1162" s="3">
        <v>9158.42</v>
      </c>
      <c r="E1162" s="3">
        <v>13892478.91</v>
      </c>
      <c r="F1162" s="1" t="s">
        <v>3048</v>
      </c>
      <c r="G1162" s="19">
        <f t="shared" si="91"/>
        <v>9158.42</v>
      </c>
    </row>
    <row r="1163" spans="1:7">
      <c r="A1163" s="1" t="s">
        <v>904</v>
      </c>
      <c r="B1163" s="1" t="s">
        <v>598</v>
      </c>
      <c r="C1163" s="1" t="s">
        <v>941</v>
      </c>
      <c r="D1163" s="3">
        <v>3700.62</v>
      </c>
      <c r="E1163" s="3">
        <v>15082099.9</v>
      </c>
      <c r="F1163" s="2" t="s">
        <v>3048</v>
      </c>
      <c r="G1163" s="19">
        <f t="shared" si="91"/>
        <v>3700.62</v>
      </c>
    </row>
    <row r="1164" spans="1:7">
      <c r="A1164" s="1" t="s">
        <v>1286</v>
      </c>
      <c r="B1164" s="1" t="s">
        <v>15</v>
      </c>
      <c r="C1164" s="1" t="s">
        <v>1311</v>
      </c>
      <c r="D1164" s="3">
        <v>16660.53</v>
      </c>
      <c r="E1164" s="3">
        <v>13910059.699999999</v>
      </c>
      <c r="F1164" s="1" t="s">
        <v>3048</v>
      </c>
      <c r="G1164" s="19">
        <f t="shared" si="91"/>
        <v>16660.53</v>
      </c>
    </row>
    <row r="1165" spans="1:7">
      <c r="A1165" s="1" t="s">
        <v>1286</v>
      </c>
      <c r="B1165" s="1" t="s">
        <v>1347</v>
      </c>
      <c r="C1165" s="1" t="s">
        <v>1348</v>
      </c>
      <c r="D1165" s="2">
        <v>533.54999999999995</v>
      </c>
      <c r="E1165" s="3">
        <v>14735129.859999999</v>
      </c>
      <c r="F1165" s="2" t="s">
        <v>3048</v>
      </c>
      <c r="G1165" s="19">
        <f t="shared" si="91"/>
        <v>533.54999999999995</v>
      </c>
    </row>
    <row r="1166" spans="1:7">
      <c r="A1166" s="1" t="s">
        <v>1286</v>
      </c>
      <c r="B1166" s="1" t="s">
        <v>15</v>
      </c>
      <c r="C1166" s="1" t="s">
        <v>1314</v>
      </c>
      <c r="D1166" s="3">
        <v>27207.360000000001</v>
      </c>
      <c r="E1166" s="3">
        <v>13938941.15</v>
      </c>
      <c r="F1166" s="1" t="s">
        <v>3048</v>
      </c>
      <c r="G1166" s="19">
        <f t="shared" si="91"/>
        <v>27207.360000000001</v>
      </c>
    </row>
    <row r="1167" spans="1:7">
      <c r="A1167" s="1" t="s">
        <v>1286</v>
      </c>
      <c r="B1167" s="1" t="s">
        <v>15</v>
      </c>
      <c r="C1167" s="1" t="s">
        <v>1315</v>
      </c>
      <c r="D1167" s="3">
        <v>41581.82</v>
      </c>
      <c r="E1167" s="3">
        <v>13980522.970000001</v>
      </c>
      <c r="F1167" s="1" t="s">
        <v>3048</v>
      </c>
      <c r="G1167" s="19">
        <f t="shared" si="91"/>
        <v>41581.82</v>
      </c>
    </row>
    <row r="1168" spans="1:7">
      <c r="A1168" s="1" t="s">
        <v>1286</v>
      </c>
      <c r="B1168" s="1" t="s">
        <v>15</v>
      </c>
      <c r="C1168" s="1" t="s">
        <v>1316</v>
      </c>
      <c r="D1168" s="3">
        <v>21629.46</v>
      </c>
      <c r="E1168" s="3">
        <v>14002152.43</v>
      </c>
      <c r="F1168" s="1" t="s">
        <v>3048</v>
      </c>
      <c r="G1168" s="19">
        <f t="shared" si="91"/>
        <v>21629.46</v>
      </c>
    </row>
    <row r="1169" spans="1:7">
      <c r="A1169" s="1" t="s">
        <v>1286</v>
      </c>
      <c r="B1169" s="1" t="s">
        <v>15</v>
      </c>
      <c r="C1169" s="1" t="s">
        <v>1317</v>
      </c>
      <c r="D1169" s="3">
        <v>9198.2800000000007</v>
      </c>
      <c r="E1169" s="3">
        <v>14011350.710000001</v>
      </c>
      <c r="F1169" s="1" t="s">
        <v>3048</v>
      </c>
      <c r="G1169" s="19">
        <f t="shared" si="91"/>
        <v>9198.2800000000007</v>
      </c>
    </row>
    <row r="1170" spans="1:7">
      <c r="A1170" s="1" t="s">
        <v>1286</v>
      </c>
      <c r="B1170" s="1" t="s">
        <v>15</v>
      </c>
      <c r="C1170" s="1" t="s">
        <v>1318</v>
      </c>
      <c r="D1170" s="3">
        <v>13737.63</v>
      </c>
      <c r="E1170" s="3">
        <v>14025088.34</v>
      </c>
      <c r="F1170" s="1" t="s">
        <v>3048</v>
      </c>
      <c r="G1170" s="19">
        <f t="shared" si="91"/>
        <v>13737.63</v>
      </c>
    </row>
    <row r="1171" spans="1:7">
      <c r="A1171" s="1" t="s">
        <v>1286</v>
      </c>
      <c r="B1171" s="1" t="s">
        <v>15</v>
      </c>
      <c r="C1171" s="1" t="s">
        <v>1319</v>
      </c>
      <c r="D1171" s="3">
        <v>10327.58</v>
      </c>
      <c r="E1171" s="3">
        <v>14035415.92</v>
      </c>
      <c r="F1171" s="1" t="s">
        <v>3048</v>
      </c>
      <c r="G1171" s="19">
        <f t="shared" si="91"/>
        <v>10327.58</v>
      </c>
    </row>
    <row r="1172" spans="1:7">
      <c r="A1172" s="1" t="s">
        <v>1286</v>
      </c>
      <c r="B1172" s="1" t="s">
        <v>15</v>
      </c>
      <c r="C1172" s="1" t="s">
        <v>1320</v>
      </c>
      <c r="D1172" s="3">
        <v>33536.85</v>
      </c>
      <c r="E1172" s="3">
        <v>14068952.77</v>
      </c>
      <c r="F1172" s="1" t="s">
        <v>3048</v>
      </c>
      <c r="G1172" s="19">
        <f t="shared" si="91"/>
        <v>33536.85</v>
      </c>
    </row>
    <row r="1173" spans="1:7">
      <c r="A1173" s="1" t="s">
        <v>1286</v>
      </c>
      <c r="B1173" s="1" t="s">
        <v>15</v>
      </c>
      <c r="C1173" s="1" t="s">
        <v>1321</v>
      </c>
      <c r="D1173" s="3">
        <v>24649.79</v>
      </c>
      <c r="E1173" s="3">
        <v>14093602.560000001</v>
      </c>
      <c r="F1173" s="1" t="s">
        <v>3048</v>
      </c>
      <c r="G1173" s="19">
        <f t="shared" si="91"/>
        <v>24649.79</v>
      </c>
    </row>
    <row r="1174" spans="1:7">
      <c r="A1174" s="1" t="s">
        <v>1286</v>
      </c>
      <c r="B1174" s="1" t="s">
        <v>15</v>
      </c>
      <c r="C1174" s="1" t="s">
        <v>1322</v>
      </c>
      <c r="D1174" s="3">
        <v>18316.84</v>
      </c>
      <c r="E1174" s="3">
        <v>14111919.4</v>
      </c>
      <c r="F1174" s="1" t="s">
        <v>3048</v>
      </c>
      <c r="G1174" s="19">
        <f t="shared" si="91"/>
        <v>18316.84</v>
      </c>
    </row>
    <row r="1175" spans="1:7">
      <c r="A1175" s="1" t="s">
        <v>1286</v>
      </c>
      <c r="B1175" s="1" t="s">
        <v>15</v>
      </c>
      <c r="C1175" s="1" t="s">
        <v>1323</v>
      </c>
      <c r="D1175" s="3">
        <v>120228.62</v>
      </c>
      <c r="E1175" s="3">
        <v>14232148.02</v>
      </c>
      <c r="F1175" s="1" t="s">
        <v>3048</v>
      </c>
      <c r="G1175" s="19">
        <f t="shared" si="91"/>
        <v>120228.62</v>
      </c>
    </row>
    <row r="1176" spans="1:7">
      <c r="A1176" s="1" t="s">
        <v>1286</v>
      </c>
      <c r="B1176" s="1" t="s">
        <v>15</v>
      </c>
      <c r="C1176" s="1" t="s">
        <v>1324</v>
      </c>
      <c r="D1176" s="3">
        <v>13036.86</v>
      </c>
      <c r="E1176" s="3">
        <v>14245184.880000001</v>
      </c>
      <c r="F1176" s="1" t="s">
        <v>3048</v>
      </c>
      <c r="G1176" s="19">
        <f t="shared" si="91"/>
        <v>13036.86</v>
      </c>
    </row>
    <row r="1177" spans="1:7">
      <c r="A1177" s="1" t="s">
        <v>1286</v>
      </c>
      <c r="B1177" s="1" t="s">
        <v>15</v>
      </c>
      <c r="C1177" s="1" t="s">
        <v>1325</v>
      </c>
      <c r="D1177" s="3">
        <v>4534.5600000000004</v>
      </c>
      <c r="E1177" s="3">
        <v>14249719.439999999</v>
      </c>
      <c r="F1177" s="1" t="s">
        <v>3048</v>
      </c>
      <c r="G1177" s="19">
        <f t="shared" ref="G1177:G1232" si="92">+D1177</f>
        <v>4534.5600000000004</v>
      </c>
    </row>
    <row r="1178" spans="1:7">
      <c r="A1178" s="1" t="s">
        <v>1286</v>
      </c>
      <c r="B1178" s="1" t="s">
        <v>15</v>
      </c>
      <c r="C1178" s="1" t="s">
        <v>1326</v>
      </c>
      <c r="D1178" s="3">
        <v>39946.300000000003</v>
      </c>
      <c r="E1178" s="3">
        <v>14289665.74</v>
      </c>
      <c r="F1178" s="1" t="s">
        <v>3048</v>
      </c>
      <c r="G1178" s="19">
        <f t="shared" si="92"/>
        <v>39946.300000000003</v>
      </c>
    </row>
    <row r="1179" spans="1:7">
      <c r="A1179" s="1" t="s">
        <v>1286</v>
      </c>
      <c r="B1179" s="1" t="s">
        <v>15</v>
      </c>
      <c r="C1179" s="1" t="s">
        <v>1327</v>
      </c>
      <c r="D1179" s="3">
        <v>20460.3</v>
      </c>
      <c r="E1179" s="3">
        <v>14310126.039999999</v>
      </c>
      <c r="F1179" s="1" t="s">
        <v>3048</v>
      </c>
      <c r="G1179" s="19">
        <f t="shared" si="92"/>
        <v>20460.3</v>
      </c>
    </row>
    <row r="1180" spans="1:7">
      <c r="A1180" s="1" t="s">
        <v>1286</v>
      </c>
      <c r="B1180" s="1" t="s">
        <v>1340</v>
      </c>
      <c r="C1180" s="1" t="s">
        <v>1341</v>
      </c>
      <c r="D1180" s="3">
        <v>1003.47</v>
      </c>
      <c r="E1180" s="3">
        <v>14635041.15</v>
      </c>
      <c r="F1180" s="2" t="s">
        <v>3048</v>
      </c>
      <c r="G1180" s="19">
        <f t="shared" si="92"/>
        <v>1003.47</v>
      </c>
    </row>
    <row r="1181" spans="1:7">
      <c r="A1181" s="1" t="s">
        <v>1286</v>
      </c>
      <c r="B1181" s="1" t="s">
        <v>15</v>
      </c>
      <c r="C1181" s="1" t="s">
        <v>1330</v>
      </c>
      <c r="D1181" s="3">
        <v>3702.34</v>
      </c>
      <c r="E1181" s="3">
        <v>14314856.33</v>
      </c>
      <c r="F1181" s="1" t="s">
        <v>3048</v>
      </c>
      <c r="G1181" s="19">
        <f t="shared" si="92"/>
        <v>3702.34</v>
      </c>
    </row>
    <row r="1182" spans="1:7">
      <c r="A1182" s="1" t="s">
        <v>1286</v>
      </c>
      <c r="B1182" s="1" t="s">
        <v>15</v>
      </c>
      <c r="C1182" s="1" t="s">
        <v>1331</v>
      </c>
      <c r="D1182" s="3">
        <v>58555.43</v>
      </c>
      <c r="E1182" s="3">
        <v>14373411.76</v>
      </c>
      <c r="F1182" s="1" t="s">
        <v>3048</v>
      </c>
      <c r="G1182" s="19">
        <f t="shared" si="92"/>
        <v>58555.43</v>
      </c>
    </row>
    <row r="1183" spans="1:7">
      <c r="A1183" s="1" t="s">
        <v>1286</v>
      </c>
      <c r="B1183" s="1" t="s">
        <v>15</v>
      </c>
      <c r="C1183" s="1" t="s">
        <v>1332</v>
      </c>
      <c r="D1183" s="3">
        <v>9353.2800000000007</v>
      </c>
      <c r="E1183" s="3">
        <v>14382765.039999999</v>
      </c>
      <c r="F1183" s="1" t="s">
        <v>3048</v>
      </c>
      <c r="G1183" s="19">
        <f t="shared" si="92"/>
        <v>9353.2800000000007</v>
      </c>
    </row>
    <row r="1184" spans="1:7">
      <c r="A1184" s="1" t="s">
        <v>1286</v>
      </c>
      <c r="B1184" s="1" t="s">
        <v>15</v>
      </c>
      <c r="C1184" s="1" t="s">
        <v>1333</v>
      </c>
      <c r="D1184" s="3">
        <v>59334.87</v>
      </c>
      <c r="E1184" s="3">
        <v>14442099.91</v>
      </c>
      <c r="F1184" s="1" t="s">
        <v>3048</v>
      </c>
      <c r="G1184" s="19">
        <f t="shared" si="92"/>
        <v>59334.87</v>
      </c>
    </row>
    <row r="1185" spans="1:7">
      <c r="A1185" s="1" t="s">
        <v>1286</v>
      </c>
      <c r="B1185" s="1" t="s">
        <v>15</v>
      </c>
      <c r="C1185" s="1" t="s">
        <v>1334</v>
      </c>
      <c r="D1185" s="3">
        <v>24260.07</v>
      </c>
      <c r="E1185" s="3">
        <v>14466359.98</v>
      </c>
      <c r="F1185" s="1" t="s">
        <v>3048</v>
      </c>
      <c r="G1185" s="19">
        <f t="shared" si="92"/>
        <v>24260.07</v>
      </c>
    </row>
    <row r="1186" spans="1:7">
      <c r="A1186" s="1" t="s">
        <v>1286</v>
      </c>
      <c r="B1186" s="1" t="s">
        <v>15</v>
      </c>
      <c r="C1186" s="1" t="s">
        <v>1335</v>
      </c>
      <c r="D1186" s="3">
        <v>3778.8</v>
      </c>
      <c r="E1186" s="3">
        <v>14470138.779999999</v>
      </c>
      <c r="F1186" s="1" t="s">
        <v>3048</v>
      </c>
      <c r="G1186" s="19">
        <f t="shared" si="92"/>
        <v>3778.8</v>
      </c>
    </row>
    <row r="1187" spans="1:7">
      <c r="A1187" s="1" t="s">
        <v>1286</v>
      </c>
      <c r="B1187" s="1" t="s">
        <v>15</v>
      </c>
      <c r="C1187" s="1" t="s">
        <v>1336</v>
      </c>
      <c r="D1187" s="3">
        <v>30982.74</v>
      </c>
      <c r="E1187" s="3">
        <v>14501121.52</v>
      </c>
      <c r="F1187" s="1" t="s">
        <v>3048</v>
      </c>
      <c r="G1187" s="19">
        <f t="shared" si="92"/>
        <v>30982.74</v>
      </c>
    </row>
    <row r="1188" spans="1:7">
      <c r="A1188" s="1" t="s">
        <v>1286</v>
      </c>
      <c r="B1188" s="1" t="s">
        <v>15</v>
      </c>
      <c r="C1188" s="1" t="s">
        <v>1337</v>
      </c>
      <c r="D1188" s="3">
        <v>51443.040000000001</v>
      </c>
      <c r="E1188" s="3">
        <v>14552564.560000001</v>
      </c>
      <c r="F1188" s="1" t="s">
        <v>3048</v>
      </c>
      <c r="G1188" s="19">
        <f t="shared" si="92"/>
        <v>51443.040000000001</v>
      </c>
    </row>
    <row r="1189" spans="1:7">
      <c r="A1189" s="1" t="s">
        <v>1286</v>
      </c>
      <c r="B1189" s="1" t="s">
        <v>15</v>
      </c>
      <c r="C1189" s="1" t="s">
        <v>1338</v>
      </c>
      <c r="D1189" s="3">
        <v>61499.97</v>
      </c>
      <c r="E1189" s="3">
        <v>14614064.529999999</v>
      </c>
      <c r="F1189" s="1" t="s">
        <v>3048</v>
      </c>
      <c r="G1189" s="19">
        <f t="shared" si="92"/>
        <v>61499.97</v>
      </c>
    </row>
    <row r="1190" spans="1:7">
      <c r="A1190" s="1" t="s">
        <v>1286</v>
      </c>
      <c r="B1190" s="1" t="s">
        <v>15</v>
      </c>
      <c r="C1190" s="1" t="s">
        <v>1339</v>
      </c>
      <c r="D1190" s="3">
        <v>19973.150000000001</v>
      </c>
      <c r="E1190" s="3">
        <v>14634037.68</v>
      </c>
      <c r="F1190" s="1" t="s">
        <v>3048</v>
      </c>
      <c r="G1190" s="19">
        <f t="shared" si="92"/>
        <v>19973.150000000001</v>
      </c>
    </row>
    <row r="1191" spans="1:7">
      <c r="A1191" s="1" t="s">
        <v>1428</v>
      </c>
      <c r="B1191" s="1" t="s">
        <v>1513</v>
      </c>
      <c r="C1191" s="1" t="s">
        <v>1514</v>
      </c>
      <c r="D1191" s="3">
        <v>1879.68</v>
      </c>
      <c r="E1191" s="3">
        <v>11118097.17</v>
      </c>
      <c r="F1191" s="2" t="s">
        <v>3048</v>
      </c>
      <c r="G1191" s="19">
        <f t="shared" si="92"/>
        <v>1879.68</v>
      </c>
    </row>
    <row r="1192" spans="1:7">
      <c r="A1192" s="1" t="s">
        <v>1286</v>
      </c>
      <c r="B1192" s="1" t="s">
        <v>15</v>
      </c>
      <c r="C1192" s="1" t="s">
        <v>1342</v>
      </c>
      <c r="D1192" s="3">
        <v>25624.09</v>
      </c>
      <c r="E1192" s="3">
        <v>14660665.24</v>
      </c>
      <c r="F1192" s="1" t="s">
        <v>3048</v>
      </c>
      <c r="G1192" s="19">
        <f t="shared" si="92"/>
        <v>25624.09</v>
      </c>
    </row>
    <row r="1193" spans="1:7">
      <c r="A1193" s="1" t="s">
        <v>1286</v>
      </c>
      <c r="B1193" s="1" t="s">
        <v>15</v>
      </c>
      <c r="C1193" s="1" t="s">
        <v>1343</v>
      </c>
      <c r="D1193" s="3">
        <v>30398.16</v>
      </c>
      <c r="E1193" s="3">
        <v>14691063.4</v>
      </c>
      <c r="F1193" s="1" t="s">
        <v>3048</v>
      </c>
      <c r="G1193" s="19">
        <f t="shared" si="92"/>
        <v>30398.16</v>
      </c>
    </row>
    <row r="1194" spans="1:7">
      <c r="A1194" s="1" t="s">
        <v>1286</v>
      </c>
      <c r="B1194" s="1" t="s">
        <v>15</v>
      </c>
      <c r="C1194" s="1" t="s">
        <v>1344</v>
      </c>
      <c r="D1194" s="3">
        <v>8165.82</v>
      </c>
      <c r="E1194" s="3">
        <v>14699229.220000001</v>
      </c>
      <c r="F1194" s="1" t="s">
        <v>3048</v>
      </c>
      <c r="G1194" s="19">
        <f t="shared" si="92"/>
        <v>8165.82</v>
      </c>
    </row>
    <row r="1195" spans="1:7">
      <c r="A1195" s="1" t="s">
        <v>1286</v>
      </c>
      <c r="B1195" s="1" t="s">
        <v>15</v>
      </c>
      <c r="C1195" s="1" t="s">
        <v>1345</v>
      </c>
      <c r="D1195" s="3">
        <v>24747.22</v>
      </c>
      <c r="E1195" s="3">
        <v>14723976.439999999</v>
      </c>
      <c r="F1195" s="1" t="s">
        <v>3048</v>
      </c>
      <c r="G1195" s="19">
        <f t="shared" si="92"/>
        <v>24747.22</v>
      </c>
    </row>
    <row r="1196" spans="1:7">
      <c r="A1196" s="1" t="s">
        <v>1286</v>
      </c>
      <c r="B1196" s="1" t="s">
        <v>15</v>
      </c>
      <c r="C1196" s="1" t="s">
        <v>1346</v>
      </c>
      <c r="D1196" s="3">
        <v>10619.87</v>
      </c>
      <c r="E1196" s="3">
        <v>14734596.310000001</v>
      </c>
      <c r="F1196" s="1" t="s">
        <v>3048</v>
      </c>
      <c r="G1196" s="19">
        <f t="shared" si="92"/>
        <v>10619.87</v>
      </c>
    </row>
    <row r="1197" spans="1:7">
      <c r="A1197" s="1" t="s">
        <v>253</v>
      </c>
      <c r="B1197" s="1" t="s">
        <v>320</v>
      </c>
      <c r="C1197" s="1" t="s">
        <v>321</v>
      </c>
      <c r="D1197" s="3">
        <v>9966.2199999999993</v>
      </c>
      <c r="E1197" s="3">
        <v>14350787.060000001</v>
      </c>
      <c r="F1197" s="2" t="s">
        <v>3048</v>
      </c>
      <c r="G1197" s="19">
        <f t="shared" si="92"/>
        <v>9966.2199999999993</v>
      </c>
    </row>
    <row r="1198" spans="1:7">
      <c r="A1198" s="1" t="s">
        <v>1286</v>
      </c>
      <c r="B1198" s="1" t="s">
        <v>15</v>
      </c>
      <c r="C1198" s="1" t="s">
        <v>1349</v>
      </c>
      <c r="D1198" s="3">
        <v>4448.71</v>
      </c>
      <c r="E1198" s="3">
        <v>14739578.57</v>
      </c>
      <c r="F1198" s="1" t="s">
        <v>3048</v>
      </c>
      <c r="G1198" s="19">
        <f t="shared" si="92"/>
        <v>4448.71</v>
      </c>
    </row>
    <row r="1199" spans="1:7">
      <c r="A1199" s="1" t="s">
        <v>1286</v>
      </c>
      <c r="B1199" s="1" t="s">
        <v>15</v>
      </c>
      <c r="C1199" s="1" t="s">
        <v>1350</v>
      </c>
      <c r="D1199" s="3">
        <v>2338.3200000000002</v>
      </c>
      <c r="E1199" s="3">
        <v>14741916.890000001</v>
      </c>
      <c r="F1199" s="1" t="s">
        <v>3048</v>
      </c>
      <c r="G1199" s="19">
        <f t="shared" si="92"/>
        <v>2338.3200000000002</v>
      </c>
    </row>
    <row r="1200" spans="1:7">
      <c r="A1200" s="1" t="s">
        <v>1286</v>
      </c>
      <c r="B1200" s="1" t="s">
        <v>15</v>
      </c>
      <c r="C1200" s="1" t="s">
        <v>1351</v>
      </c>
      <c r="D1200" s="3">
        <v>4676.6400000000003</v>
      </c>
      <c r="E1200" s="3">
        <v>14746593.529999999</v>
      </c>
      <c r="F1200" s="1" t="s">
        <v>3048</v>
      </c>
      <c r="G1200" s="19">
        <f t="shared" si="92"/>
        <v>4676.6400000000003</v>
      </c>
    </row>
    <row r="1201" spans="1:7">
      <c r="A1201" s="1" t="s">
        <v>1213</v>
      </c>
      <c r="B1201" s="1" t="s">
        <v>1263</v>
      </c>
      <c r="C1201" s="1" t="s">
        <v>1264</v>
      </c>
      <c r="D1201" s="3">
        <v>3230.7</v>
      </c>
      <c r="E1201" s="3">
        <v>12887556.130000001</v>
      </c>
      <c r="F1201" s="2" t="s">
        <v>3048</v>
      </c>
      <c r="G1201" s="19">
        <f t="shared" si="92"/>
        <v>3230.7</v>
      </c>
    </row>
    <row r="1202" spans="1:7">
      <c r="A1202" s="1" t="s">
        <v>1286</v>
      </c>
      <c r="B1202" s="1" t="s">
        <v>15</v>
      </c>
      <c r="C1202" s="1" t="s">
        <v>1354</v>
      </c>
      <c r="D1202" s="3">
        <v>9353.2800000000007</v>
      </c>
      <c r="E1202" s="3">
        <v>14756181.77</v>
      </c>
      <c r="F1202" s="1" t="s">
        <v>3048</v>
      </c>
      <c r="G1202" s="19">
        <f t="shared" si="92"/>
        <v>9353.2800000000007</v>
      </c>
    </row>
    <row r="1203" spans="1:7">
      <c r="A1203" s="1" t="s">
        <v>1286</v>
      </c>
      <c r="B1203" s="1" t="s">
        <v>15</v>
      </c>
      <c r="C1203" s="1" t="s">
        <v>1355</v>
      </c>
      <c r="D1203" s="3">
        <v>2338.3200000000002</v>
      </c>
      <c r="E1203" s="3">
        <v>14758520.09</v>
      </c>
      <c r="F1203" s="1" t="s">
        <v>3048</v>
      </c>
      <c r="G1203" s="19">
        <f t="shared" si="92"/>
        <v>2338.3200000000002</v>
      </c>
    </row>
    <row r="1204" spans="1:7">
      <c r="A1204" s="1" t="s">
        <v>1286</v>
      </c>
      <c r="B1204" s="1" t="s">
        <v>15</v>
      </c>
      <c r="C1204" s="1" t="s">
        <v>1356</v>
      </c>
      <c r="D1204" s="3">
        <v>4676.6400000000003</v>
      </c>
      <c r="E1204" s="3">
        <v>14763196.73</v>
      </c>
      <c r="F1204" s="1" t="s">
        <v>3048</v>
      </c>
      <c r="G1204" s="19">
        <f t="shared" si="92"/>
        <v>4676.6400000000003</v>
      </c>
    </row>
    <row r="1205" spans="1:7">
      <c r="A1205" s="1" t="s">
        <v>1286</v>
      </c>
      <c r="B1205" s="1" t="s">
        <v>15</v>
      </c>
      <c r="C1205" s="1" t="s">
        <v>1357</v>
      </c>
      <c r="D1205" s="3">
        <v>8715.84</v>
      </c>
      <c r="E1205" s="3">
        <v>14771912.57</v>
      </c>
      <c r="F1205" s="1" t="s">
        <v>3048</v>
      </c>
      <c r="G1205" s="19">
        <f t="shared" si="92"/>
        <v>8715.84</v>
      </c>
    </row>
    <row r="1206" spans="1:7">
      <c r="A1206" s="1" t="s">
        <v>1286</v>
      </c>
      <c r="B1206" s="1" t="s">
        <v>15</v>
      </c>
      <c r="C1206" s="1" t="s">
        <v>1358</v>
      </c>
      <c r="D1206" s="3">
        <v>18138.240000000002</v>
      </c>
      <c r="E1206" s="3">
        <v>14790050.810000001</v>
      </c>
      <c r="F1206" s="1" t="s">
        <v>3048</v>
      </c>
      <c r="G1206" s="19">
        <f t="shared" si="92"/>
        <v>18138.240000000002</v>
      </c>
    </row>
    <row r="1207" spans="1:7">
      <c r="A1207" s="1" t="s">
        <v>1286</v>
      </c>
      <c r="B1207" s="1" t="s">
        <v>15</v>
      </c>
      <c r="C1207" s="1" t="s">
        <v>1359</v>
      </c>
      <c r="D1207" s="3">
        <v>55926.239999999998</v>
      </c>
      <c r="E1207" s="3">
        <v>14845977.050000001</v>
      </c>
      <c r="F1207" s="1" t="s">
        <v>3048</v>
      </c>
      <c r="G1207" s="19">
        <f t="shared" si="92"/>
        <v>55926.239999999998</v>
      </c>
    </row>
    <row r="1208" spans="1:7">
      <c r="A1208" s="1" t="s">
        <v>1286</v>
      </c>
      <c r="B1208" s="1" t="s">
        <v>15</v>
      </c>
      <c r="C1208" s="1" t="s">
        <v>1360</v>
      </c>
      <c r="D1208" s="3">
        <v>4286.92</v>
      </c>
      <c r="E1208" s="3">
        <v>14850263.970000001</v>
      </c>
      <c r="F1208" s="1" t="s">
        <v>3048</v>
      </c>
      <c r="G1208" s="19">
        <f t="shared" si="92"/>
        <v>4286.92</v>
      </c>
    </row>
    <row r="1209" spans="1:7">
      <c r="A1209" s="1" t="s">
        <v>1286</v>
      </c>
      <c r="B1209" s="1" t="s">
        <v>15</v>
      </c>
      <c r="C1209" s="1" t="s">
        <v>1361</v>
      </c>
      <c r="D1209" s="3">
        <v>39556.58</v>
      </c>
      <c r="E1209" s="3">
        <v>14889820.550000001</v>
      </c>
      <c r="F1209" s="1" t="s">
        <v>3048</v>
      </c>
      <c r="G1209" s="19">
        <f t="shared" si="92"/>
        <v>39556.58</v>
      </c>
    </row>
    <row r="1210" spans="1:7">
      <c r="A1210" s="1" t="s">
        <v>1630</v>
      </c>
      <c r="B1210" s="1" t="s">
        <v>1651</v>
      </c>
      <c r="C1210" s="1" t="s">
        <v>1652</v>
      </c>
      <c r="D1210" s="2">
        <v>217.34</v>
      </c>
      <c r="E1210" s="3">
        <v>13201373.949999999</v>
      </c>
      <c r="F1210" s="2" t="s">
        <v>3048</v>
      </c>
      <c r="G1210" s="19">
        <f t="shared" si="92"/>
        <v>217.34</v>
      </c>
    </row>
    <row r="1211" spans="1:7">
      <c r="A1211" s="1" t="s">
        <v>1286</v>
      </c>
      <c r="B1211" s="1" t="s">
        <v>15</v>
      </c>
      <c r="C1211" s="1" t="s">
        <v>1364</v>
      </c>
      <c r="D1211" s="3">
        <v>9352.5300000000007</v>
      </c>
      <c r="E1211" s="3">
        <v>14903147.82</v>
      </c>
      <c r="F1211" s="1" t="s">
        <v>3048</v>
      </c>
      <c r="G1211" s="19">
        <f t="shared" si="92"/>
        <v>9352.5300000000007</v>
      </c>
    </row>
    <row r="1212" spans="1:7">
      <c r="A1212" s="1" t="s">
        <v>1286</v>
      </c>
      <c r="B1212" s="1" t="s">
        <v>15</v>
      </c>
      <c r="C1212" s="1" t="s">
        <v>1365</v>
      </c>
      <c r="D1212" s="3">
        <v>13421.98</v>
      </c>
      <c r="E1212" s="3">
        <v>14916569.800000001</v>
      </c>
      <c r="F1212" s="1" t="s">
        <v>3048</v>
      </c>
      <c r="G1212" s="19">
        <f t="shared" si="92"/>
        <v>13421.98</v>
      </c>
    </row>
    <row r="1213" spans="1:7">
      <c r="A1213" s="1" t="s">
        <v>1286</v>
      </c>
      <c r="B1213" s="1" t="s">
        <v>15</v>
      </c>
      <c r="C1213" s="1" t="s">
        <v>1366</v>
      </c>
      <c r="D1213" s="3">
        <v>14798.77</v>
      </c>
      <c r="E1213" s="3">
        <v>14931368.57</v>
      </c>
      <c r="F1213" s="1" t="s">
        <v>3048</v>
      </c>
      <c r="G1213" s="19">
        <f t="shared" si="92"/>
        <v>14798.77</v>
      </c>
    </row>
    <row r="1214" spans="1:7">
      <c r="A1214" s="1" t="s">
        <v>1286</v>
      </c>
      <c r="B1214" s="1" t="s">
        <v>15</v>
      </c>
      <c r="C1214" s="1" t="s">
        <v>1367</v>
      </c>
      <c r="D1214" s="3">
        <v>9069.1200000000008</v>
      </c>
      <c r="E1214" s="3">
        <v>14940437.689999999</v>
      </c>
      <c r="F1214" s="1" t="s">
        <v>3048</v>
      </c>
      <c r="G1214" s="19">
        <f t="shared" si="92"/>
        <v>9069.1200000000008</v>
      </c>
    </row>
    <row r="1215" spans="1:7">
      <c r="A1215" s="1" t="s">
        <v>1286</v>
      </c>
      <c r="B1215" s="1" t="s">
        <v>15</v>
      </c>
      <c r="C1215" s="1" t="s">
        <v>1368</v>
      </c>
      <c r="D1215" s="3">
        <v>17431.68</v>
      </c>
      <c r="E1215" s="3">
        <v>14957869.369999999</v>
      </c>
      <c r="F1215" s="1" t="s">
        <v>3048</v>
      </c>
      <c r="G1215" s="19">
        <f t="shared" si="92"/>
        <v>17431.68</v>
      </c>
    </row>
    <row r="1216" spans="1:7">
      <c r="A1216" s="1" t="s">
        <v>1286</v>
      </c>
      <c r="B1216" s="1" t="s">
        <v>15</v>
      </c>
      <c r="C1216" s="1" t="s">
        <v>1369</v>
      </c>
      <c r="D1216" s="3">
        <v>28059.84</v>
      </c>
      <c r="E1216" s="3">
        <v>14985929.210000001</v>
      </c>
      <c r="F1216" s="1" t="s">
        <v>3048</v>
      </c>
      <c r="G1216" s="19">
        <f t="shared" si="92"/>
        <v>28059.84</v>
      </c>
    </row>
    <row r="1217" spans="1:7">
      <c r="A1217" s="1" t="s">
        <v>1286</v>
      </c>
      <c r="B1217" s="1" t="s">
        <v>15</v>
      </c>
      <c r="C1217" s="1" t="s">
        <v>1370</v>
      </c>
      <c r="D1217" s="3">
        <v>11691.6</v>
      </c>
      <c r="E1217" s="3">
        <v>14997620.810000001</v>
      </c>
      <c r="F1217" s="1" t="s">
        <v>3048</v>
      </c>
      <c r="G1217" s="19">
        <f t="shared" si="92"/>
        <v>11691.6</v>
      </c>
    </row>
    <row r="1218" spans="1:7">
      <c r="A1218" s="1" t="s">
        <v>1286</v>
      </c>
      <c r="B1218" s="1" t="s">
        <v>15</v>
      </c>
      <c r="C1218" s="1" t="s">
        <v>1371</v>
      </c>
      <c r="D1218" s="3">
        <v>32321.24</v>
      </c>
      <c r="E1218" s="3">
        <v>15029942.050000001</v>
      </c>
      <c r="F1218" s="1" t="s">
        <v>3048</v>
      </c>
      <c r="G1218" s="19">
        <f t="shared" si="92"/>
        <v>32321.24</v>
      </c>
    </row>
    <row r="1219" spans="1:7">
      <c r="A1219" s="1" t="s">
        <v>1286</v>
      </c>
      <c r="B1219" s="1" t="s">
        <v>15</v>
      </c>
      <c r="C1219" s="1" t="s">
        <v>1372</v>
      </c>
      <c r="D1219" s="3">
        <v>11515.63</v>
      </c>
      <c r="E1219" s="3">
        <v>15041457.68</v>
      </c>
      <c r="F1219" s="1" t="s">
        <v>3048</v>
      </c>
      <c r="G1219" s="19">
        <f t="shared" si="92"/>
        <v>11515.63</v>
      </c>
    </row>
    <row r="1220" spans="1:7">
      <c r="A1220" s="1" t="s">
        <v>1286</v>
      </c>
      <c r="B1220" s="1" t="s">
        <v>15</v>
      </c>
      <c r="C1220" s="1" t="s">
        <v>1373</v>
      </c>
      <c r="D1220" s="3">
        <v>29569.11</v>
      </c>
      <c r="E1220" s="3">
        <v>15071026.789999999</v>
      </c>
      <c r="F1220" s="1" t="s">
        <v>3048</v>
      </c>
      <c r="G1220" s="19">
        <f t="shared" si="92"/>
        <v>29569.11</v>
      </c>
    </row>
    <row r="1221" spans="1:7">
      <c r="A1221" s="1" t="s">
        <v>1286</v>
      </c>
      <c r="B1221" s="1" t="s">
        <v>15</v>
      </c>
      <c r="C1221" s="1" t="s">
        <v>1374</v>
      </c>
      <c r="D1221" s="3">
        <v>18490.419999999998</v>
      </c>
      <c r="E1221" s="3">
        <v>15089517.210000001</v>
      </c>
      <c r="F1221" s="1" t="s">
        <v>3048</v>
      </c>
      <c r="G1221" s="19">
        <f t="shared" si="92"/>
        <v>18490.419999999998</v>
      </c>
    </row>
    <row r="1222" spans="1:7">
      <c r="A1222" s="1" t="s">
        <v>1286</v>
      </c>
      <c r="B1222" s="1" t="s">
        <v>15</v>
      </c>
      <c r="C1222" s="1" t="s">
        <v>1375</v>
      </c>
      <c r="D1222" s="3">
        <v>17794.84</v>
      </c>
      <c r="E1222" s="3">
        <v>15107312.050000001</v>
      </c>
      <c r="F1222" s="1" t="s">
        <v>3048</v>
      </c>
      <c r="G1222" s="19">
        <f t="shared" si="92"/>
        <v>17794.84</v>
      </c>
    </row>
    <row r="1223" spans="1:7">
      <c r="A1223" s="1" t="s">
        <v>1286</v>
      </c>
      <c r="B1223" s="1" t="s">
        <v>15</v>
      </c>
      <c r="C1223" s="1" t="s">
        <v>1376</v>
      </c>
      <c r="D1223" s="3">
        <v>114772.54</v>
      </c>
      <c r="E1223" s="3">
        <v>15222084.59</v>
      </c>
      <c r="F1223" s="1" t="s">
        <v>3048</v>
      </c>
      <c r="G1223" s="19">
        <f t="shared" si="92"/>
        <v>114772.54</v>
      </c>
    </row>
    <row r="1224" spans="1:7">
      <c r="A1224" s="1" t="s">
        <v>1377</v>
      </c>
      <c r="B1224" s="1" t="s">
        <v>15</v>
      </c>
      <c r="C1224" s="1" t="s">
        <v>1378</v>
      </c>
      <c r="D1224" s="3">
        <v>57191.41</v>
      </c>
      <c r="E1224" s="3">
        <v>15279276</v>
      </c>
      <c r="F1224" s="1" t="s">
        <v>3048</v>
      </c>
      <c r="G1224" s="19">
        <f t="shared" si="92"/>
        <v>57191.41</v>
      </c>
    </row>
    <row r="1225" spans="1:7">
      <c r="A1225" s="1" t="s">
        <v>1377</v>
      </c>
      <c r="B1225" s="1" t="s">
        <v>15</v>
      </c>
      <c r="C1225" s="1" t="s">
        <v>1379</v>
      </c>
      <c r="D1225" s="3">
        <v>86225.55</v>
      </c>
      <c r="E1225" s="3">
        <v>15365501.550000001</v>
      </c>
      <c r="F1225" s="1" t="s">
        <v>3048</v>
      </c>
      <c r="G1225" s="19">
        <f t="shared" si="92"/>
        <v>86225.55</v>
      </c>
    </row>
    <row r="1226" spans="1:7">
      <c r="A1226" s="1" t="s">
        <v>1377</v>
      </c>
      <c r="B1226" s="1" t="s">
        <v>15</v>
      </c>
      <c r="C1226" s="1" t="s">
        <v>1380</v>
      </c>
      <c r="D1226" s="3">
        <v>9450.7099999999991</v>
      </c>
      <c r="E1226" s="3">
        <v>15374952.26</v>
      </c>
      <c r="F1226" s="1" t="s">
        <v>3048</v>
      </c>
      <c r="G1226" s="19">
        <f t="shared" si="92"/>
        <v>9450.7099999999991</v>
      </c>
    </row>
    <row r="1227" spans="1:7">
      <c r="A1227" s="1" t="s">
        <v>1377</v>
      </c>
      <c r="B1227" s="1" t="s">
        <v>15</v>
      </c>
      <c r="C1227" s="1" t="s">
        <v>1381</v>
      </c>
      <c r="D1227" s="3">
        <v>17927.12</v>
      </c>
      <c r="E1227" s="3">
        <v>15392879.380000001</v>
      </c>
      <c r="F1227" s="1" t="s">
        <v>3048</v>
      </c>
      <c r="G1227" s="19">
        <f t="shared" si="92"/>
        <v>17927.12</v>
      </c>
    </row>
    <row r="1228" spans="1:7">
      <c r="A1228" s="1" t="s">
        <v>360</v>
      </c>
      <c r="B1228" s="1" t="s">
        <v>438</v>
      </c>
      <c r="C1228" s="1" t="s">
        <v>439</v>
      </c>
      <c r="D1228" s="3">
        <v>2525.8200000000002</v>
      </c>
      <c r="E1228" s="3">
        <v>16431038.220000001</v>
      </c>
      <c r="F1228" s="2" t="s">
        <v>3048</v>
      </c>
      <c r="G1228" s="19">
        <f t="shared" si="92"/>
        <v>2525.8200000000002</v>
      </c>
    </row>
    <row r="1229" spans="1:7">
      <c r="A1229" s="1" t="s">
        <v>360</v>
      </c>
      <c r="B1229" s="1" t="s">
        <v>390</v>
      </c>
      <c r="C1229" s="1" t="s">
        <v>391</v>
      </c>
      <c r="D1229" s="2">
        <v>861.52</v>
      </c>
      <c r="E1229" s="3">
        <v>15617296.220000001</v>
      </c>
      <c r="F1229" s="2" t="s">
        <v>3048</v>
      </c>
      <c r="G1229" s="19">
        <f t="shared" si="92"/>
        <v>861.52</v>
      </c>
    </row>
    <row r="1230" spans="1:7">
      <c r="A1230" s="1" t="s">
        <v>1871</v>
      </c>
      <c r="B1230" s="1" t="s">
        <v>1915</v>
      </c>
      <c r="C1230" s="1" t="s">
        <v>1916</v>
      </c>
      <c r="D1230" s="3">
        <v>2555.19</v>
      </c>
      <c r="E1230" s="3">
        <v>11043792.92</v>
      </c>
      <c r="F1230" s="2" t="s">
        <v>3048</v>
      </c>
      <c r="G1230" s="19">
        <f t="shared" si="92"/>
        <v>2555.19</v>
      </c>
    </row>
    <row r="1231" spans="1:7">
      <c r="A1231" s="1" t="s">
        <v>121</v>
      </c>
      <c r="B1231" s="1" t="s">
        <v>151</v>
      </c>
      <c r="C1231" s="1" t="s">
        <v>152</v>
      </c>
      <c r="D1231" s="3">
        <v>3460.76</v>
      </c>
      <c r="E1231" s="3">
        <v>11868294.41</v>
      </c>
      <c r="F1231" s="2" t="s">
        <v>3048</v>
      </c>
      <c r="G1231" s="19">
        <f t="shared" si="92"/>
        <v>3460.76</v>
      </c>
    </row>
    <row r="1232" spans="1:7">
      <c r="A1232" s="1" t="s">
        <v>1428</v>
      </c>
      <c r="B1232" s="1" t="s">
        <v>1445</v>
      </c>
      <c r="C1232" s="1" t="s">
        <v>1446</v>
      </c>
      <c r="D1232" s="2">
        <v>234.96</v>
      </c>
      <c r="E1232" s="3">
        <v>11541173.310000001</v>
      </c>
      <c r="F1232" s="2" t="s">
        <v>3048</v>
      </c>
      <c r="G1232" s="19">
        <f t="shared" si="92"/>
        <v>234.96</v>
      </c>
    </row>
    <row r="1233" spans="1:12">
      <c r="A1233" s="1" t="s">
        <v>1377</v>
      </c>
      <c r="B1233" s="1" t="s">
        <v>465</v>
      </c>
      <c r="C1233" s="1" t="s">
        <v>1386</v>
      </c>
      <c r="D1233" s="3">
        <v>-1345545.12</v>
      </c>
      <c r="E1233" s="3">
        <v>14049135.619999999</v>
      </c>
      <c r="G1233" s="19">
        <f>+D1233/1.006</f>
        <v>-1337520</v>
      </c>
      <c r="H1233" s="19">
        <f>+D1233-G1233</f>
        <v>-8025.1200000001118</v>
      </c>
    </row>
    <row r="1234" spans="1:12">
      <c r="A1234" s="1" t="s">
        <v>1039</v>
      </c>
      <c r="B1234" s="1" t="s">
        <v>1108</v>
      </c>
      <c r="C1234" s="1" t="s">
        <v>1109</v>
      </c>
      <c r="D1234" s="2">
        <v>739.14</v>
      </c>
      <c r="E1234" s="3">
        <v>10549786.09</v>
      </c>
      <c r="F1234" s="2" t="s">
        <v>3048</v>
      </c>
      <c r="G1234" s="19">
        <f t="shared" ref="G1234:G1237" si="93">+D1234</f>
        <v>739.14</v>
      </c>
    </row>
    <row r="1235" spans="1:12">
      <c r="A1235" s="1" t="s">
        <v>1793</v>
      </c>
      <c r="B1235" s="1" t="s">
        <v>1108</v>
      </c>
      <c r="C1235" s="1" t="s">
        <v>1867</v>
      </c>
      <c r="D1235" s="2">
        <v>469.92</v>
      </c>
      <c r="E1235" s="3">
        <v>10202652.5</v>
      </c>
      <c r="F1235" s="2" t="s">
        <v>3048</v>
      </c>
      <c r="G1235" s="19">
        <f t="shared" si="93"/>
        <v>469.92</v>
      </c>
    </row>
    <row r="1236" spans="1:12">
      <c r="A1236" s="1" t="s">
        <v>360</v>
      </c>
      <c r="B1236" s="1" t="s">
        <v>378</v>
      </c>
      <c r="C1236" s="1" t="s">
        <v>379</v>
      </c>
      <c r="D1236" s="3">
        <v>5687.99</v>
      </c>
      <c r="E1236" s="3">
        <v>15453357.310000001</v>
      </c>
      <c r="F1236" s="2" t="s">
        <v>3048</v>
      </c>
      <c r="G1236" s="19">
        <f t="shared" si="93"/>
        <v>5687.99</v>
      </c>
      <c r="L1236" s="1" t="s">
        <v>3050</v>
      </c>
    </row>
    <row r="1237" spans="1:12">
      <c r="A1237" s="1" t="s">
        <v>360</v>
      </c>
      <c r="B1237" s="1" t="s">
        <v>367</v>
      </c>
      <c r="C1237" s="1" t="s">
        <v>368</v>
      </c>
      <c r="D1237" s="2">
        <v>244.75</v>
      </c>
      <c r="E1237" s="3">
        <v>15192527.710000001</v>
      </c>
      <c r="F1237" s="2" t="s">
        <v>3048</v>
      </c>
      <c r="G1237" s="19">
        <f t="shared" si="93"/>
        <v>244.75</v>
      </c>
    </row>
    <row r="1238" spans="1:12">
      <c r="A1238" s="1" t="s">
        <v>1377</v>
      </c>
      <c r="B1238" s="1" t="s">
        <v>1388</v>
      </c>
      <c r="C1238" s="1" t="s">
        <v>1389</v>
      </c>
      <c r="D1238" s="3">
        <v>-53836.09</v>
      </c>
      <c r="E1238" s="3">
        <v>13995299.529999999</v>
      </c>
      <c r="G1238" s="19">
        <f t="shared" ref="G1238:G1245" si="94">+D1238/1.006</f>
        <v>-53514.999999999993</v>
      </c>
      <c r="H1238" s="19">
        <f t="shared" ref="H1238:H1245" si="95">+D1238-G1238</f>
        <v>-321.09000000000378</v>
      </c>
    </row>
    <row r="1239" spans="1:12">
      <c r="A1239" s="1" t="s">
        <v>1377</v>
      </c>
      <c r="B1239" s="1" t="s">
        <v>1388</v>
      </c>
      <c r="C1239" s="1" t="s">
        <v>1390</v>
      </c>
      <c r="D1239" s="3">
        <v>-52539.360000000001</v>
      </c>
      <c r="E1239" s="3">
        <v>13942760.17</v>
      </c>
      <c r="G1239" s="19">
        <f t="shared" si="94"/>
        <v>-52226.00397614314</v>
      </c>
      <c r="H1239" s="19">
        <f t="shared" si="95"/>
        <v>-313.3560238568607</v>
      </c>
    </row>
    <row r="1240" spans="1:12">
      <c r="A1240" s="1" t="s">
        <v>1377</v>
      </c>
      <c r="B1240" s="1" t="s">
        <v>1388</v>
      </c>
      <c r="C1240" s="1" t="s">
        <v>1391</v>
      </c>
      <c r="D1240" s="3">
        <v>-24797.9</v>
      </c>
      <c r="E1240" s="3">
        <v>13917962.27</v>
      </c>
      <c r="G1240" s="19">
        <f t="shared" si="94"/>
        <v>-24650</v>
      </c>
      <c r="H1240" s="19">
        <f t="shared" si="95"/>
        <v>-147.90000000000146</v>
      </c>
    </row>
    <row r="1241" spans="1:12">
      <c r="A1241" s="1" t="s">
        <v>1377</v>
      </c>
      <c r="B1241" s="1" t="s">
        <v>1388</v>
      </c>
      <c r="C1241" s="1" t="s">
        <v>1392</v>
      </c>
      <c r="D1241" s="3">
        <v>-8048</v>
      </c>
      <c r="E1241" s="3">
        <v>13909914.27</v>
      </c>
      <c r="G1241" s="19">
        <f t="shared" si="94"/>
        <v>-8000</v>
      </c>
      <c r="H1241" s="19">
        <f t="shared" si="95"/>
        <v>-48</v>
      </c>
    </row>
    <row r="1242" spans="1:12">
      <c r="A1242" s="1" t="s">
        <v>1377</v>
      </c>
      <c r="B1242" s="1" t="s">
        <v>1388</v>
      </c>
      <c r="C1242" s="1" t="s">
        <v>1393</v>
      </c>
      <c r="D1242" s="3">
        <v>-6069.7</v>
      </c>
      <c r="E1242" s="3">
        <v>13903844.57</v>
      </c>
      <c r="G1242" s="19">
        <f t="shared" si="94"/>
        <v>-6033.4990059642141</v>
      </c>
      <c r="H1242" s="19">
        <f t="shared" si="95"/>
        <v>-36.200994035785698</v>
      </c>
    </row>
    <row r="1243" spans="1:12">
      <c r="A1243" s="1" t="s">
        <v>1377</v>
      </c>
      <c r="B1243" s="1" t="s">
        <v>1388</v>
      </c>
      <c r="C1243" s="1" t="s">
        <v>1394</v>
      </c>
      <c r="D1243" s="3">
        <v>-23339.200000000001</v>
      </c>
      <c r="E1243" s="3">
        <v>13880505.369999999</v>
      </c>
      <c r="G1243" s="19">
        <f t="shared" si="94"/>
        <v>-23200</v>
      </c>
      <c r="H1243" s="19">
        <f t="shared" si="95"/>
        <v>-139.20000000000073</v>
      </c>
    </row>
    <row r="1244" spans="1:12">
      <c r="A1244" s="1" t="s">
        <v>1395</v>
      </c>
      <c r="B1244" s="1" t="s">
        <v>564</v>
      </c>
      <c r="C1244" s="1" t="s">
        <v>1396</v>
      </c>
      <c r="D1244" s="3">
        <v>-67814.460000000006</v>
      </c>
      <c r="E1244" s="3">
        <v>13812690.91</v>
      </c>
      <c r="G1244" s="19">
        <f t="shared" si="94"/>
        <v>-67410</v>
      </c>
      <c r="H1244" s="19">
        <f t="shared" si="95"/>
        <v>-404.4600000000064</v>
      </c>
    </row>
    <row r="1245" spans="1:12">
      <c r="A1245" s="1" t="s">
        <v>1395</v>
      </c>
      <c r="B1245" s="1" t="s">
        <v>1397</v>
      </c>
      <c r="C1245" s="1" t="s">
        <v>1398</v>
      </c>
      <c r="D1245" s="3">
        <v>-575000</v>
      </c>
      <c r="E1245" s="3">
        <v>13237690.91</v>
      </c>
      <c r="G1245" s="19">
        <f t="shared" si="94"/>
        <v>-571570.57654075546</v>
      </c>
      <c r="H1245" s="19">
        <f t="shared" si="95"/>
        <v>-3429.4234592445428</v>
      </c>
    </row>
    <row r="1246" spans="1:12">
      <c r="A1246" s="1" t="s">
        <v>360</v>
      </c>
      <c r="B1246" s="1" t="s">
        <v>398</v>
      </c>
      <c r="C1246" s="1" t="s">
        <v>399</v>
      </c>
      <c r="D1246" s="3">
        <v>4821.57</v>
      </c>
      <c r="E1246" s="3">
        <v>15804688.140000001</v>
      </c>
      <c r="F1246" s="2" t="s">
        <v>3048</v>
      </c>
      <c r="G1246" s="19">
        <f t="shared" ref="G1246:G1251" si="96">+D1246</f>
        <v>4821.57</v>
      </c>
    </row>
    <row r="1247" spans="1:12">
      <c r="A1247" s="1" t="s">
        <v>477</v>
      </c>
      <c r="B1247" s="1" t="s">
        <v>495</v>
      </c>
      <c r="C1247" s="1" t="s">
        <v>496</v>
      </c>
      <c r="D1247" s="2">
        <v>146.85</v>
      </c>
      <c r="E1247" s="3">
        <v>8760124.1600000001</v>
      </c>
      <c r="F1247" s="2" t="s">
        <v>3048</v>
      </c>
      <c r="G1247" s="19">
        <f t="shared" si="96"/>
        <v>146.85</v>
      </c>
    </row>
    <row r="1248" spans="1:12">
      <c r="A1248" s="1" t="s">
        <v>1428</v>
      </c>
      <c r="B1248" s="1" t="s">
        <v>1486</v>
      </c>
      <c r="C1248" s="1" t="s">
        <v>1487</v>
      </c>
      <c r="D1248" s="2">
        <v>391.6</v>
      </c>
      <c r="E1248" s="3">
        <v>10765914.93</v>
      </c>
      <c r="F1248" s="2" t="s">
        <v>3048</v>
      </c>
      <c r="G1248" s="19">
        <f t="shared" si="96"/>
        <v>391.6</v>
      </c>
    </row>
    <row r="1249" spans="1:8">
      <c r="A1249" s="1" t="s">
        <v>1871</v>
      </c>
      <c r="B1249" s="1" t="s">
        <v>1486</v>
      </c>
      <c r="C1249" s="1" t="s">
        <v>1904</v>
      </c>
      <c r="D1249" s="2">
        <v>802.78</v>
      </c>
      <c r="E1249" s="3">
        <v>10960701.35</v>
      </c>
      <c r="F1249" s="2" t="s">
        <v>3048</v>
      </c>
      <c r="G1249" s="19">
        <f t="shared" si="96"/>
        <v>802.78</v>
      </c>
    </row>
    <row r="1250" spans="1:8">
      <c r="A1250" s="1" t="s">
        <v>1693</v>
      </c>
      <c r="B1250" s="1" t="s">
        <v>1697</v>
      </c>
      <c r="C1250" s="1" t="s">
        <v>1698</v>
      </c>
      <c r="D1250" s="3">
        <v>4826.47</v>
      </c>
      <c r="E1250" s="3">
        <v>14154820.779999999</v>
      </c>
      <c r="F1250" s="2" t="s">
        <v>3048</v>
      </c>
      <c r="G1250" s="19">
        <f t="shared" si="96"/>
        <v>4826.47</v>
      </c>
    </row>
    <row r="1251" spans="1:8">
      <c r="A1251" s="1" t="s">
        <v>1377</v>
      </c>
      <c r="B1251" s="1" t="s">
        <v>1382</v>
      </c>
      <c r="C1251" s="1" t="s">
        <v>1383</v>
      </c>
      <c r="D1251" s="3">
        <v>1801.36</v>
      </c>
      <c r="E1251" s="3">
        <v>15394680.74</v>
      </c>
      <c r="F1251" s="2" t="s">
        <v>3048</v>
      </c>
      <c r="G1251" s="19">
        <f t="shared" si="96"/>
        <v>1801.36</v>
      </c>
    </row>
    <row r="1252" spans="1:8">
      <c r="A1252" s="1" t="s">
        <v>1400</v>
      </c>
      <c r="B1252" s="1" t="s">
        <v>471</v>
      </c>
      <c r="C1252" s="1" t="s">
        <v>1403</v>
      </c>
      <c r="D1252" s="3">
        <v>-1074225.8999999999</v>
      </c>
      <c r="E1252" s="3">
        <v>11292500.210000001</v>
      </c>
      <c r="G1252" s="19">
        <f>+D1252/1.006</f>
        <v>-1067818.9860834989</v>
      </c>
      <c r="H1252" s="19">
        <f>+D1252-G1252</f>
        <v>-6406.9139165009838</v>
      </c>
    </row>
    <row r="1253" spans="1:8">
      <c r="A1253" s="1" t="s">
        <v>636</v>
      </c>
      <c r="B1253" s="1" t="s">
        <v>723</v>
      </c>
      <c r="C1253" s="1" t="s">
        <v>724</v>
      </c>
      <c r="D1253" s="2">
        <v>210.48</v>
      </c>
      <c r="E1253" s="3">
        <v>10000509.619999999</v>
      </c>
      <c r="F1253" s="2" t="s">
        <v>3048</v>
      </c>
      <c r="G1253" s="19">
        <f>+D1253</f>
        <v>210.48</v>
      </c>
    </row>
    <row r="1254" spans="1:8">
      <c r="A1254" s="1" t="s">
        <v>1400</v>
      </c>
      <c r="B1254" s="1" t="s">
        <v>1404</v>
      </c>
      <c r="C1254" s="1" t="s">
        <v>1405</v>
      </c>
      <c r="D1254" s="3">
        <v>-328257</v>
      </c>
      <c r="E1254" s="3">
        <v>10957797.85</v>
      </c>
      <c r="G1254" s="19">
        <f>+D1254/1.006</f>
        <v>-326299.20477137179</v>
      </c>
      <c r="H1254" s="19">
        <f>+D1254-G1254</f>
        <v>-1957.7952286282089</v>
      </c>
    </row>
    <row r="1255" spans="1:8">
      <c r="A1255" s="1" t="s">
        <v>1039</v>
      </c>
      <c r="B1255" s="1" t="s">
        <v>1043</v>
      </c>
      <c r="C1255" s="1" t="s">
        <v>1044</v>
      </c>
      <c r="D1255" s="3">
        <v>1173.82</v>
      </c>
      <c r="E1255" s="3">
        <v>14176668.539999999</v>
      </c>
      <c r="F1255" s="2" t="s">
        <v>3048</v>
      </c>
      <c r="G1255" s="19">
        <f t="shared" ref="G1255:G1295" si="97">+D1255</f>
        <v>1173.82</v>
      </c>
    </row>
    <row r="1256" spans="1:8">
      <c r="A1256" s="1" t="s">
        <v>1118</v>
      </c>
      <c r="B1256" s="1" t="s">
        <v>1124</v>
      </c>
      <c r="C1256" s="1" t="s">
        <v>1125</v>
      </c>
      <c r="D1256" s="3">
        <v>2369.1799999999998</v>
      </c>
      <c r="E1256" s="3">
        <v>10940120.93</v>
      </c>
      <c r="F1256" s="2" t="s">
        <v>3048</v>
      </c>
      <c r="G1256" s="19">
        <f t="shared" si="97"/>
        <v>2369.1799999999998</v>
      </c>
    </row>
    <row r="1257" spans="1:8">
      <c r="A1257" s="1" t="s">
        <v>1400</v>
      </c>
      <c r="B1257" s="1" t="s">
        <v>15</v>
      </c>
      <c r="C1257" s="1" t="s">
        <v>1407</v>
      </c>
      <c r="D1257" s="3">
        <v>17760.36</v>
      </c>
      <c r="E1257" s="3">
        <v>10936756.609999999</v>
      </c>
      <c r="F1257" s="1" t="s">
        <v>3048</v>
      </c>
      <c r="G1257" s="19">
        <f t="shared" si="97"/>
        <v>17760.36</v>
      </c>
    </row>
    <row r="1258" spans="1:8">
      <c r="A1258" s="1" t="s">
        <v>1400</v>
      </c>
      <c r="B1258" s="1" t="s">
        <v>15</v>
      </c>
      <c r="C1258" s="1" t="s">
        <v>1408</v>
      </c>
      <c r="D1258" s="3">
        <v>14798.77</v>
      </c>
      <c r="E1258" s="3">
        <v>10951555.380000001</v>
      </c>
      <c r="F1258" s="1" t="s">
        <v>3048</v>
      </c>
      <c r="G1258" s="19">
        <f t="shared" si="97"/>
        <v>14798.77</v>
      </c>
    </row>
    <row r="1259" spans="1:8">
      <c r="A1259" s="1" t="s">
        <v>1400</v>
      </c>
      <c r="B1259" s="1" t="s">
        <v>15</v>
      </c>
      <c r="C1259" s="1" t="s">
        <v>1409</v>
      </c>
      <c r="D1259" s="3">
        <v>4092.06</v>
      </c>
      <c r="E1259" s="3">
        <v>10955647.439999999</v>
      </c>
      <c r="F1259" s="1" t="s">
        <v>3048</v>
      </c>
      <c r="G1259" s="19">
        <f t="shared" si="97"/>
        <v>4092.06</v>
      </c>
    </row>
    <row r="1260" spans="1:8">
      <c r="A1260" s="1" t="s">
        <v>1400</v>
      </c>
      <c r="B1260" s="1" t="s">
        <v>15</v>
      </c>
      <c r="C1260" s="1" t="s">
        <v>1410</v>
      </c>
      <c r="D1260" s="3">
        <v>9258.06</v>
      </c>
      <c r="E1260" s="3">
        <v>10964905.5</v>
      </c>
      <c r="F1260" s="1" t="s">
        <v>3048</v>
      </c>
      <c r="G1260" s="19">
        <f t="shared" si="97"/>
        <v>9258.06</v>
      </c>
    </row>
    <row r="1261" spans="1:8">
      <c r="A1261" s="1" t="s">
        <v>1400</v>
      </c>
      <c r="B1261" s="1" t="s">
        <v>15</v>
      </c>
      <c r="C1261" s="1" t="s">
        <v>1411</v>
      </c>
      <c r="D1261" s="3">
        <v>4676.6400000000003</v>
      </c>
      <c r="E1261" s="3">
        <v>10969582.140000001</v>
      </c>
      <c r="F1261" s="1" t="s">
        <v>3048</v>
      </c>
      <c r="G1261" s="19">
        <f t="shared" si="97"/>
        <v>4676.6400000000003</v>
      </c>
    </row>
    <row r="1262" spans="1:8">
      <c r="A1262" s="1" t="s">
        <v>636</v>
      </c>
      <c r="B1262" s="1" t="s">
        <v>658</v>
      </c>
      <c r="C1262" s="1" t="s">
        <v>659</v>
      </c>
      <c r="D1262" s="3">
        <v>2114.64</v>
      </c>
      <c r="E1262" s="3">
        <v>9048627.7200000007</v>
      </c>
      <c r="F1262" s="2" t="s">
        <v>3048</v>
      </c>
      <c r="G1262" s="19">
        <f t="shared" si="97"/>
        <v>2114.64</v>
      </c>
    </row>
    <row r="1263" spans="1:8">
      <c r="A1263" s="1" t="s">
        <v>1400</v>
      </c>
      <c r="B1263" s="1" t="s">
        <v>15</v>
      </c>
      <c r="C1263" s="1" t="s">
        <v>1414</v>
      </c>
      <c r="D1263" s="3">
        <v>23381.25</v>
      </c>
      <c r="E1263" s="3">
        <v>10993433.310000001</v>
      </c>
      <c r="F1263" s="1" t="s">
        <v>3048</v>
      </c>
      <c r="G1263" s="19">
        <f t="shared" si="97"/>
        <v>23381.25</v>
      </c>
    </row>
    <row r="1264" spans="1:8">
      <c r="A1264" s="1" t="s">
        <v>1400</v>
      </c>
      <c r="B1264" s="1" t="s">
        <v>15</v>
      </c>
      <c r="C1264" s="1" t="s">
        <v>1415</v>
      </c>
      <c r="D1264" s="3">
        <v>4676.6400000000003</v>
      </c>
      <c r="E1264" s="3">
        <v>10998109.949999999</v>
      </c>
      <c r="F1264" s="1" t="s">
        <v>3048</v>
      </c>
      <c r="G1264" s="19">
        <f t="shared" si="97"/>
        <v>4676.6400000000003</v>
      </c>
    </row>
    <row r="1265" spans="1:7">
      <c r="A1265" s="1" t="s">
        <v>1400</v>
      </c>
      <c r="B1265" s="1" t="s">
        <v>15</v>
      </c>
      <c r="C1265" s="1" t="s">
        <v>1416</v>
      </c>
      <c r="D1265" s="3">
        <v>56018.82</v>
      </c>
      <c r="E1265" s="3">
        <v>11054128.77</v>
      </c>
      <c r="F1265" s="1" t="s">
        <v>3048</v>
      </c>
      <c r="G1265" s="19">
        <f t="shared" si="97"/>
        <v>56018.82</v>
      </c>
    </row>
    <row r="1266" spans="1:7">
      <c r="A1266" s="1" t="s">
        <v>1400</v>
      </c>
      <c r="B1266" s="1" t="s">
        <v>15</v>
      </c>
      <c r="C1266" s="1" t="s">
        <v>1417</v>
      </c>
      <c r="D1266" s="3">
        <v>17245.11</v>
      </c>
      <c r="E1266" s="3">
        <v>11071373.880000001</v>
      </c>
      <c r="F1266" s="1" t="s">
        <v>3048</v>
      </c>
      <c r="G1266" s="19">
        <f t="shared" si="97"/>
        <v>17245.11</v>
      </c>
    </row>
    <row r="1267" spans="1:7">
      <c r="A1267" s="1" t="s">
        <v>1400</v>
      </c>
      <c r="B1267" s="1" t="s">
        <v>15</v>
      </c>
      <c r="C1267" s="1" t="s">
        <v>1418</v>
      </c>
      <c r="D1267" s="3">
        <v>9104.42</v>
      </c>
      <c r="E1267" s="3">
        <v>11080478.300000001</v>
      </c>
      <c r="F1267" s="1" t="s">
        <v>3048</v>
      </c>
      <c r="G1267" s="19">
        <f t="shared" si="97"/>
        <v>9104.42</v>
      </c>
    </row>
    <row r="1268" spans="1:7">
      <c r="A1268" s="1" t="s">
        <v>1400</v>
      </c>
      <c r="B1268" s="1" t="s">
        <v>15</v>
      </c>
      <c r="C1268" s="1" t="s">
        <v>1419</v>
      </c>
      <c r="D1268" s="3">
        <v>5066.3599999999997</v>
      </c>
      <c r="E1268" s="3">
        <v>11085544.66</v>
      </c>
      <c r="F1268" s="1" t="s">
        <v>3048</v>
      </c>
      <c r="G1268" s="19">
        <f t="shared" si="97"/>
        <v>5066.3599999999997</v>
      </c>
    </row>
    <row r="1269" spans="1:7">
      <c r="A1269" s="1" t="s">
        <v>1400</v>
      </c>
      <c r="B1269" s="1" t="s">
        <v>15</v>
      </c>
      <c r="C1269" s="1" t="s">
        <v>1420</v>
      </c>
      <c r="D1269" s="3">
        <v>55931.12</v>
      </c>
      <c r="E1269" s="3">
        <v>11141475.779999999</v>
      </c>
      <c r="F1269" s="1" t="s">
        <v>3048</v>
      </c>
      <c r="G1269" s="19">
        <f t="shared" si="97"/>
        <v>55931.12</v>
      </c>
    </row>
    <row r="1270" spans="1:7">
      <c r="A1270" s="1" t="s">
        <v>1400</v>
      </c>
      <c r="B1270" s="1" t="s">
        <v>15</v>
      </c>
      <c r="C1270" s="1" t="s">
        <v>1421</v>
      </c>
      <c r="D1270" s="3">
        <v>9158.42</v>
      </c>
      <c r="E1270" s="3">
        <v>11150634.199999999</v>
      </c>
      <c r="F1270" s="1" t="s">
        <v>3048</v>
      </c>
      <c r="G1270" s="19">
        <f t="shared" si="97"/>
        <v>9158.42</v>
      </c>
    </row>
    <row r="1271" spans="1:7">
      <c r="A1271" s="1" t="s">
        <v>1871</v>
      </c>
      <c r="B1271" s="1" t="s">
        <v>658</v>
      </c>
      <c r="C1271" s="1" t="s">
        <v>1887</v>
      </c>
      <c r="D1271" s="3">
        <v>3157.27</v>
      </c>
      <c r="E1271" s="3">
        <v>10668999.51</v>
      </c>
      <c r="F1271" s="2" t="s">
        <v>3048</v>
      </c>
      <c r="G1271" s="19">
        <f t="shared" si="97"/>
        <v>3157.27</v>
      </c>
    </row>
    <row r="1272" spans="1:7">
      <c r="A1272" s="1" t="s">
        <v>1400</v>
      </c>
      <c r="B1272" s="1" t="s">
        <v>15</v>
      </c>
      <c r="C1272" s="1" t="s">
        <v>1424</v>
      </c>
      <c r="D1272" s="3">
        <v>44328.7</v>
      </c>
      <c r="E1272" s="3">
        <v>11195423.029999999</v>
      </c>
      <c r="F1272" s="1" t="s">
        <v>3048</v>
      </c>
      <c r="G1272" s="19">
        <f t="shared" si="97"/>
        <v>44328.7</v>
      </c>
    </row>
    <row r="1273" spans="1:7">
      <c r="A1273" s="1" t="s">
        <v>1400</v>
      </c>
      <c r="B1273" s="1" t="s">
        <v>15</v>
      </c>
      <c r="C1273" s="1" t="s">
        <v>1425</v>
      </c>
      <c r="D1273" s="3">
        <v>28985.42</v>
      </c>
      <c r="E1273" s="3">
        <v>11224408.449999999</v>
      </c>
      <c r="F1273" s="1" t="s">
        <v>3048</v>
      </c>
      <c r="G1273" s="19">
        <f t="shared" si="97"/>
        <v>28985.42</v>
      </c>
    </row>
    <row r="1274" spans="1:7">
      <c r="A1274" s="1" t="s">
        <v>1400</v>
      </c>
      <c r="B1274" s="1" t="s">
        <v>15</v>
      </c>
      <c r="C1274" s="1" t="s">
        <v>1426</v>
      </c>
      <c r="D1274" s="3">
        <v>42852.88</v>
      </c>
      <c r="E1274" s="3">
        <v>11267261.33</v>
      </c>
      <c r="F1274" s="1" t="s">
        <v>3048</v>
      </c>
      <c r="G1274" s="19">
        <f t="shared" si="97"/>
        <v>42852.88</v>
      </c>
    </row>
    <row r="1275" spans="1:7">
      <c r="A1275" s="1" t="s">
        <v>1400</v>
      </c>
      <c r="B1275" s="1" t="s">
        <v>15</v>
      </c>
      <c r="C1275" s="1" t="s">
        <v>1427</v>
      </c>
      <c r="D1275" s="3">
        <v>42126.559999999998</v>
      </c>
      <c r="E1275" s="3">
        <v>11309387.890000001</v>
      </c>
      <c r="F1275" s="1" t="s">
        <v>3048</v>
      </c>
      <c r="G1275" s="19">
        <f t="shared" si="97"/>
        <v>42126.559999999998</v>
      </c>
    </row>
    <row r="1276" spans="1:7">
      <c r="A1276" s="1" t="s">
        <v>1428</v>
      </c>
      <c r="B1276" s="1" t="s">
        <v>15</v>
      </c>
      <c r="C1276" s="1" t="s">
        <v>1429</v>
      </c>
      <c r="D1276" s="3">
        <v>20655.16</v>
      </c>
      <c r="E1276" s="3">
        <v>11330043.050000001</v>
      </c>
      <c r="F1276" s="1" t="s">
        <v>3048</v>
      </c>
      <c r="G1276" s="19">
        <f t="shared" si="97"/>
        <v>20655.16</v>
      </c>
    </row>
    <row r="1277" spans="1:7">
      <c r="A1277" s="1" t="s">
        <v>1428</v>
      </c>
      <c r="B1277" s="1" t="s">
        <v>15</v>
      </c>
      <c r="C1277" s="1" t="s">
        <v>1430</v>
      </c>
      <c r="D1277" s="3">
        <v>49782.86</v>
      </c>
      <c r="E1277" s="3">
        <v>11379825.91</v>
      </c>
      <c r="F1277" s="1" t="s">
        <v>3048</v>
      </c>
      <c r="G1277" s="19">
        <f t="shared" si="97"/>
        <v>49782.86</v>
      </c>
    </row>
    <row r="1278" spans="1:7">
      <c r="A1278" s="1" t="s">
        <v>1428</v>
      </c>
      <c r="B1278" s="1" t="s">
        <v>15</v>
      </c>
      <c r="C1278" s="1" t="s">
        <v>1431</v>
      </c>
      <c r="D1278" s="3">
        <v>23381.25</v>
      </c>
      <c r="E1278" s="3">
        <v>11403207.16</v>
      </c>
      <c r="F1278" s="1" t="s">
        <v>3048</v>
      </c>
      <c r="G1278" s="19">
        <f t="shared" si="97"/>
        <v>23381.25</v>
      </c>
    </row>
    <row r="1279" spans="1:7">
      <c r="A1279" s="1" t="s">
        <v>1000</v>
      </c>
      <c r="B1279" s="1" t="s">
        <v>1003</v>
      </c>
      <c r="C1279" s="1" t="s">
        <v>1004</v>
      </c>
      <c r="D1279" s="2">
        <v>910.47</v>
      </c>
      <c r="E1279" s="3">
        <v>16571395.029999999</v>
      </c>
      <c r="F1279" s="2" t="s">
        <v>3048</v>
      </c>
      <c r="G1279" s="19">
        <f t="shared" si="97"/>
        <v>910.47</v>
      </c>
    </row>
    <row r="1280" spans="1:7">
      <c r="A1280" s="1" t="s">
        <v>1428</v>
      </c>
      <c r="B1280" s="1" t="s">
        <v>15</v>
      </c>
      <c r="C1280" s="1" t="s">
        <v>1434</v>
      </c>
      <c r="D1280" s="3">
        <v>66544.69</v>
      </c>
      <c r="E1280" s="3">
        <v>11470925.67</v>
      </c>
      <c r="F1280" s="1" t="s">
        <v>3048</v>
      </c>
      <c r="G1280" s="19">
        <f t="shared" si="97"/>
        <v>66544.69</v>
      </c>
    </row>
    <row r="1281" spans="1:8">
      <c r="A1281" s="1" t="s">
        <v>1428</v>
      </c>
      <c r="B1281" s="1" t="s">
        <v>15</v>
      </c>
      <c r="C1281" s="1" t="s">
        <v>1435</v>
      </c>
      <c r="D1281" s="3">
        <v>17927.12</v>
      </c>
      <c r="E1281" s="3">
        <v>11488852.789999999</v>
      </c>
      <c r="F1281" s="1" t="s">
        <v>3048</v>
      </c>
      <c r="G1281" s="19">
        <f t="shared" si="97"/>
        <v>17927.12</v>
      </c>
    </row>
    <row r="1282" spans="1:8">
      <c r="A1282" s="1" t="s">
        <v>1428</v>
      </c>
      <c r="B1282" s="1" t="s">
        <v>15</v>
      </c>
      <c r="C1282" s="1" t="s">
        <v>1436</v>
      </c>
      <c r="D1282" s="3">
        <v>7172.41</v>
      </c>
      <c r="E1282" s="3">
        <v>11496025.199999999</v>
      </c>
      <c r="F1282" s="1" t="s">
        <v>3048</v>
      </c>
      <c r="G1282" s="19">
        <f t="shared" si="97"/>
        <v>7172.41</v>
      </c>
    </row>
    <row r="1283" spans="1:8">
      <c r="A1283" s="1" t="s">
        <v>1400</v>
      </c>
      <c r="B1283" s="1" t="s">
        <v>1422</v>
      </c>
      <c r="C1283" s="1" t="s">
        <v>1423</v>
      </c>
      <c r="D1283" s="2">
        <v>460.13</v>
      </c>
      <c r="E1283" s="3">
        <v>11151094.33</v>
      </c>
      <c r="F1283" s="2" t="s">
        <v>3048</v>
      </c>
      <c r="G1283" s="19">
        <f t="shared" si="97"/>
        <v>460.13</v>
      </c>
    </row>
    <row r="1284" spans="1:8">
      <c r="A1284" s="1" t="s">
        <v>1428</v>
      </c>
      <c r="B1284" s="1" t="s">
        <v>15</v>
      </c>
      <c r="C1284" s="1" t="s">
        <v>1439</v>
      </c>
      <c r="D1284" s="3">
        <v>3897.2</v>
      </c>
      <c r="E1284" s="3">
        <v>11500309.1</v>
      </c>
      <c r="F1284" s="1" t="s">
        <v>3048</v>
      </c>
      <c r="G1284" s="19">
        <f t="shared" si="97"/>
        <v>3897.2</v>
      </c>
    </row>
    <row r="1285" spans="1:8">
      <c r="A1285" s="1" t="s">
        <v>1871</v>
      </c>
      <c r="B1285" s="1" t="s">
        <v>1908</v>
      </c>
      <c r="C1285" s="1" t="s">
        <v>1909</v>
      </c>
      <c r="D1285" s="2">
        <v>582.5</v>
      </c>
      <c r="E1285" s="3">
        <v>10981489.640000001</v>
      </c>
      <c r="F1285" s="2" t="s">
        <v>3048</v>
      </c>
      <c r="G1285" s="19">
        <f t="shared" si="97"/>
        <v>582.5</v>
      </c>
    </row>
    <row r="1286" spans="1:8">
      <c r="A1286" s="1" t="s">
        <v>1428</v>
      </c>
      <c r="B1286" s="1" t="s">
        <v>15</v>
      </c>
      <c r="C1286" s="1" t="s">
        <v>1442</v>
      </c>
      <c r="D1286" s="3">
        <v>26500.959999999999</v>
      </c>
      <c r="E1286" s="3">
        <v>11527005.859999999</v>
      </c>
      <c r="F1286" s="1" t="s">
        <v>3048</v>
      </c>
      <c r="G1286" s="19">
        <f t="shared" si="97"/>
        <v>26500.959999999999</v>
      </c>
    </row>
    <row r="1287" spans="1:8">
      <c r="A1287" s="1" t="s">
        <v>1428</v>
      </c>
      <c r="B1287" s="1" t="s">
        <v>15</v>
      </c>
      <c r="C1287" s="1" t="s">
        <v>1443</v>
      </c>
      <c r="D1287" s="3">
        <v>9255.85</v>
      </c>
      <c r="E1287" s="3">
        <v>11536261.710000001</v>
      </c>
      <c r="F1287" s="1" t="s">
        <v>3048</v>
      </c>
      <c r="G1287" s="19">
        <f t="shared" si="97"/>
        <v>9255.85</v>
      </c>
    </row>
    <row r="1288" spans="1:8">
      <c r="A1288" s="1" t="s">
        <v>1428</v>
      </c>
      <c r="B1288" s="1" t="s">
        <v>15</v>
      </c>
      <c r="C1288" s="1" t="s">
        <v>1444</v>
      </c>
      <c r="D1288" s="3">
        <v>4676.6400000000003</v>
      </c>
      <c r="E1288" s="3">
        <v>11540938.35</v>
      </c>
      <c r="F1288" s="1" t="s">
        <v>3048</v>
      </c>
      <c r="G1288" s="19">
        <f t="shared" si="97"/>
        <v>4676.6400000000003</v>
      </c>
    </row>
    <row r="1289" spans="1:8">
      <c r="A1289" s="1" t="s">
        <v>253</v>
      </c>
      <c r="B1289" s="1" t="s">
        <v>333</v>
      </c>
      <c r="C1289" s="1" t="s">
        <v>334</v>
      </c>
      <c r="D1289" s="3">
        <v>1678.98</v>
      </c>
      <c r="E1289" s="3">
        <v>14541234.24</v>
      </c>
      <c r="F1289" s="2" t="s">
        <v>3048</v>
      </c>
      <c r="G1289" s="19">
        <f t="shared" si="97"/>
        <v>1678.98</v>
      </c>
    </row>
    <row r="1290" spans="1:8">
      <c r="A1290" s="1" t="s">
        <v>1428</v>
      </c>
      <c r="B1290" s="1" t="s">
        <v>15</v>
      </c>
      <c r="C1290" s="1" t="s">
        <v>1447</v>
      </c>
      <c r="D1290" s="3">
        <v>4357.92</v>
      </c>
      <c r="E1290" s="3">
        <v>11545531.23</v>
      </c>
      <c r="F1290" s="1" t="s">
        <v>3048</v>
      </c>
      <c r="G1290" s="19">
        <f t="shared" si="97"/>
        <v>4357.92</v>
      </c>
    </row>
    <row r="1291" spans="1:8">
      <c r="A1291" s="1" t="s">
        <v>1428</v>
      </c>
      <c r="B1291" s="1" t="s">
        <v>15</v>
      </c>
      <c r="C1291" s="1" t="s">
        <v>1448</v>
      </c>
      <c r="D1291" s="3">
        <v>3897.2</v>
      </c>
      <c r="E1291" s="3">
        <v>11549428.43</v>
      </c>
      <c r="F1291" s="1" t="s">
        <v>3048</v>
      </c>
      <c r="G1291" s="19">
        <f t="shared" si="97"/>
        <v>3897.2</v>
      </c>
    </row>
    <row r="1292" spans="1:8">
      <c r="A1292" s="1" t="s">
        <v>1428</v>
      </c>
      <c r="B1292" s="1" t="s">
        <v>15</v>
      </c>
      <c r="C1292" s="1" t="s">
        <v>1449</v>
      </c>
      <c r="D1292" s="3">
        <v>5358.65</v>
      </c>
      <c r="E1292" s="3">
        <v>11554787.08</v>
      </c>
      <c r="F1292" s="1" t="s">
        <v>3048</v>
      </c>
      <c r="G1292" s="19">
        <f t="shared" si="97"/>
        <v>5358.65</v>
      </c>
    </row>
    <row r="1293" spans="1:8">
      <c r="A1293" s="1" t="s">
        <v>1428</v>
      </c>
      <c r="B1293" s="1" t="s">
        <v>15</v>
      </c>
      <c r="C1293" s="1" t="s">
        <v>1450</v>
      </c>
      <c r="D1293" s="3">
        <v>25916.38</v>
      </c>
      <c r="E1293" s="3">
        <v>11580703.460000001</v>
      </c>
      <c r="F1293" s="1" t="s">
        <v>3048</v>
      </c>
      <c r="G1293" s="19">
        <f t="shared" si="97"/>
        <v>25916.38</v>
      </c>
    </row>
    <row r="1294" spans="1:8">
      <c r="A1294" s="1" t="s">
        <v>1428</v>
      </c>
      <c r="B1294" s="1" t="s">
        <v>15</v>
      </c>
      <c r="C1294" s="1" t="s">
        <v>1451</v>
      </c>
      <c r="D1294" s="3">
        <v>5358.65</v>
      </c>
      <c r="E1294" s="3">
        <v>11586062.109999999</v>
      </c>
      <c r="F1294" s="1" t="s">
        <v>3048</v>
      </c>
      <c r="G1294" s="19">
        <f t="shared" si="97"/>
        <v>5358.65</v>
      </c>
    </row>
    <row r="1295" spans="1:8">
      <c r="A1295" s="1" t="s">
        <v>1428</v>
      </c>
      <c r="B1295" s="1" t="s">
        <v>15</v>
      </c>
      <c r="C1295" s="1" t="s">
        <v>1452</v>
      </c>
      <c r="D1295" s="3">
        <v>32639.05</v>
      </c>
      <c r="E1295" s="3">
        <v>11618701.16</v>
      </c>
      <c r="F1295" s="1" t="s">
        <v>3048</v>
      </c>
      <c r="G1295" s="19">
        <f t="shared" si="97"/>
        <v>32639.05</v>
      </c>
    </row>
    <row r="1296" spans="1:8">
      <c r="A1296" s="1" t="s">
        <v>1428</v>
      </c>
      <c r="B1296" s="1" t="s">
        <v>1453</v>
      </c>
      <c r="C1296" s="1" t="s">
        <v>1454</v>
      </c>
      <c r="D1296" s="3">
        <v>-303600</v>
      </c>
      <c r="E1296" s="3">
        <v>11315101.16</v>
      </c>
      <c r="G1296" s="19">
        <f>+D1296/1.006</f>
        <v>-301789.26441351889</v>
      </c>
      <c r="H1296" s="19">
        <f>+D1296-G1296</f>
        <v>-1810.7355864811107</v>
      </c>
    </row>
    <row r="1297" spans="1:9">
      <c r="A1297" s="1" t="s">
        <v>1118</v>
      </c>
      <c r="B1297" s="1" t="s">
        <v>1194</v>
      </c>
      <c r="C1297" s="1" t="s">
        <v>1195</v>
      </c>
      <c r="D1297" s="3">
        <v>1277.5899999999999</v>
      </c>
      <c r="E1297" s="3">
        <v>11258776.33</v>
      </c>
      <c r="F1297" s="2" t="s">
        <v>3048</v>
      </c>
      <c r="G1297" s="19">
        <f>+D1297</f>
        <v>1277.5899999999999</v>
      </c>
    </row>
    <row r="1298" spans="1:9">
      <c r="A1298" s="1" t="s">
        <v>1428</v>
      </c>
      <c r="B1298" s="1" t="s">
        <v>1453</v>
      </c>
      <c r="C1298" s="1" t="s">
        <v>1455</v>
      </c>
      <c r="D1298" s="3">
        <v>-449212.33</v>
      </c>
      <c r="E1298" s="3">
        <v>10864067.23</v>
      </c>
      <c r="G1298" s="19">
        <f>+D1298/1.006</f>
        <v>-446533.13121272367</v>
      </c>
      <c r="H1298" s="19">
        <f>+D1298-G1298</f>
        <v>-2679.198787276342</v>
      </c>
    </row>
    <row r="1299" spans="1:9">
      <c r="A1299" s="1" t="s">
        <v>904</v>
      </c>
      <c r="B1299" s="1" t="s">
        <v>908</v>
      </c>
      <c r="C1299" s="1" t="s">
        <v>909</v>
      </c>
      <c r="D1299" s="3">
        <v>4699.2</v>
      </c>
      <c r="E1299" s="3">
        <v>14428410.279999999</v>
      </c>
      <c r="F1299" s="2" t="s">
        <v>3048</v>
      </c>
      <c r="G1299" s="19">
        <f t="shared" ref="G1299:G1300" si="98">+D1299</f>
        <v>4699.2</v>
      </c>
    </row>
    <row r="1300" spans="1:9">
      <c r="A1300" s="1" t="s">
        <v>1039</v>
      </c>
      <c r="B1300" s="1" t="s">
        <v>1047</v>
      </c>
      <c r="C1300" s="1" t="s">
        <v>1048</v>
      </c>
      <c r="D1300" s="3">
        <v>8708.2000000000007</v>
      </c>
      <c r="E1300" s="3">
        <v>14290406.279999999</v>
      </c>
      <c r="F1300" s="2" t="s">
        <v>3048</v>
      </c>
      <c r="G1300" s="19">
        <f t="shared" si="98"/>
        <v>8708.2000000000007</v>
      </c>
    </row>
    <row r="1301" spans="1:9">
      <c r="A1301" s="1" t="s">
        <v>1428</v>
      </c>
      <c r="B1301" s="1" t="s">
        <v>475</v>
      </c>
      <c r="C1301" s="1" t="s">
        <v>1457</v>
      </c>
      <c r="D1301" s="3">
        <v>-22534.41</v>
      </c>
      <c r="E1301" s="3">
        <v>10464605.550000001</v>
      </c>
      <c r="G1301" s="19">
        <f>+D1301/1.006</f>
        <v>-22400.009940357853</v>
      </c>
      <c r="H1301" s="19">
        <f>+D1301-G1301</f>
        <v>-134.40005964214652</v>
      </c>
      <c r="I1301" s="1" t="s">
        <v>2012</v>
      </c>
    </row>
    <row r="1302" spans="1:9">
      <c r="A1302" s="1" t="s">
        <v>1428</v>
      </c>
      <c r="B1302" s="1" t="s">
        <v>15</v>
      </c>
      <c r="C1302" s="1" t="s">
        <v>1458</v>
      </c>
      <c r="D1302" s="3">
        <v>7794.4</v>
      </c>
      <c r="E1302" s="3">
        <v>10472399.949999999</v>
      </c>
      <c r="F1302" s="1" t="s">
        <v>3048</v>
      </c>
      <c r="G1302" s="19">
        <f t="shared" ref="G1302:G1365" si="99">+D1302</f>
        <v>7794.4</v>
      </c>
    </row>
    <row r="1303" spans="1:9">
      <c r="A1303" s="1" t="s">
        <v>1428</v>
      </c>
      <c r="B1303" s="1" t="s">
        <v>15</v>
      </c>
      <c r="C1303" s="1" t="s">
        <v>1459</v>
      </c>
      <c r="D1303" s="3">
        <v>4774.07</v>
      </c>
      <c r="E1303" s="3">
        <v>10477174.02</v>
      </c>
      <c r="F1303" s="1" t="s">
        <v>3048</v>
      </c>
      <c r="G1303" s="19">
        <f t="shared" si="99"/>
        <v>4774.07</v>
      </c>
    </row>
    <row r="1304" spans="1:9">
      <c r="A1304" s="1" t="s">
        <v>1428</v>
      </c>
      <c r="B1304" s="1" t="s">
        <v>15</v>
      </c>
      <c r="C1304" s="1" t="s">
        <v>1460</v>
      </c>
      <c r="D1304" s="3">
        <v>23423.82</v>
      </c>
      <c r="E1304" s="3">
        <v>10500597.84</v>
      </c>
      <c r="F1304" s="1" t="s">
        <v>3048</v>
      </c>
      <c r="G1304" s="19">
        <f t="shared" si="99"/>
        <v>23423.82</v>
      </c>
    </row>
    <row r="1305" spans="1:9">
      <c r="A1305" s="1" t="s">
        <v>636</v>
      </c>
      <c r="B1305" s="1" t="s">
        <v>699</v>
      </c>
      <c r="C1305" s="1" t="s">
        <v>700</v>
      </c>
      <c r="D1305" s="2">
        <v>450.34</v>
      </c>
      <c r="E1305" s="3">
        <v>9701337.7899999991</v>
      </c>
      <c r="F1305" s="2" t="s">
        <v>3048</v>
      </c>
      <c r="G1305" s="19">
        <f t="shared" si="99"/>
        <v>450.34</v>
      </c>
    </row>
    <row r="1306" spans="1:9">
      <c r="A1306" s="1" t="s">
        <v>1428</v>
      </c>
      <c r="B1306" s="1" t="s">
        <v>15</v>
      </c>
      <c r="C1306" s="1" t="s">
        <v>1462</v>
      </c>
      <c r="D1306" s="3">
        <v>18706.560000000001</v>
      </c>
      <c r="E1306" s="3">
        <v>10521830.220000001</v>
      </c>
      <c r="F1306" s="1" t="s">
        <v>3048</v>
      </c>
      <c r="G1306" s="19">
        <f t="shared" si="99"/>
        <v>18706.560000000001</v>
      </c>
    </row>
    <row r="1307" spans="1:9">
      <c r="A1307" s="1" t="s">
        <v>1428</v>
      </c>
      <c r="B1307" s="1" t="s">
        <v>15</v>
      </c>
      <c r="C1307" s="1" t="s">
        <v>1463</v>
      </c>
      <c r="D1307" s="3">
        <v>1889.4</v>
      </c>
      <c r="E1307" s="3">
        <v>10523719.619999999</v>
      </c>
      <c r="F1307" s="1" t="s">
        <v>3048</v>
      </c>
      <c r="G1307" s="19">
        <f t="shared" si="99"/>
        <v>1889.4</v>
      </c>
    </row>
    <row r="1308" spans="1:9">
      <c r="A1308" s="1" t="s">
        <v>1428</v>
      </c>
      <c r="B1308" s="1" t="s">
        <v>15</v>
      </c>
      <c r="C1308" s="1" t="s">
        <v>1464</v>
      </c>
      <c r="D1308" s="3">
        <v>21653.41</v>
      </c>
      <c r="E1308" s="3">
        <v>10545373.029999999</v>
      </c>
      <c r="F1308" s="1" t="s">
        <v>3048</v>
      </c>
      <c r="G1308" s="19">
        <f t="shared" si="99"/>
        <v>21653.41</v>
      </c>
    </row>
    <row r="1309" spans="1:9">
      <c r="A1309" s="1" t="s">
        <v>1118</v>
      </c>
      <c r="B1309" s="1" t="s">
        <v>1188</v>
      </c>
      <c r="C1309" s="1" t="s">
        <v>1189</v>
      </c>
      <c r="D1309" s="2">
        <v>234.96</v>
      </c>
      <c r="E1309" s="3">
        <v>11199977.560000001</v>
      </c>
      <c r="F1309" s="2" t="s">
        <v>3048</v>
      </c>
      <c r="G1309" s="19">
        <f t="shared" si="99"/>
        <v>234.96</v>
      </c>
    </row>
    <row r="1310" spans="1:9">
      <c r="A1310" s="1" t="s">
        <v>1428</v>
      </c>
      <c r="B1310" s="1" t="s">
        <v>15</v>
      </c>
      <c r="C1310" s="1" t="s">
        <v>1466</v>
      </c>
      <c r="D1310" s="3">
        <v>16563.099999999999</v>
      </c>
      <c r="E1310" s="3">
        <v>10564271.039999999</v>
      </c>
      <c r="F1310" s="1" t="s">
        <v>3048</v>
      </c>
      <c r="G1310" s="19">
        <f t="shared" si="99"/>
        <v>16563.099999999999</v>
      </c>
    </row>
    <row r="1311" spans="1:9">
      <c r="A1311" s="1" t="s">
        <v>41</v>
      </c>
      <c r="B1311" s="1" t="s">
        <v>44</v>
      </c>
      <c r="C1311" s="1" t="s">
        <v>45</v>
      </c>
      <c r="D1311" s="3">
        <v>2157.7199999999998</v>
      </c>
      <c r="E1311" s="3">
        <v>11367038.789999999</v>
      </c>
      <c r="F1311" s="2" t="s">
        <v>3048</v>
      </c>
      <c r="G1311" s="19">
        <f t="shared" si="99"/>
        <v>2157.7199999999998</v>
      </c>
    </row>
    <row r="1312" spans="1:9">
      <c r="A1312" s="1" t="s">
        <v>1428</v>
      </c>
      <c r="B1312" s="1" t="s">
        <v>15</v>
      </c>
      <c r="C1312" s="1" t="s">
        <v>1469</v>
      </c>
      <c r="D1312" s="3">
        <v>9069.1200000000008</v>
      </c>
      <c r="E1312" s="3">
        <v>10575836.609999999</v>
      </c>
      <c r="F1312" s="1" t="s">
        <v>3048</v>
      </c>
      <c r="G1312" s="19">
        <f t="shared" si="99"/>
        <v>9069.1200000000008</v>
      </c>
    </row>
    <row r="1313" spans="1:7">
      <c r="A1313" s="1" t="s">
        <v>1428</v>
      </c>
      <c r="B1313" s="1" t="s">
        <v>15</v>
      </c>
      <c r="C1313" s="1" t="s">
        <v>1470</v>
      </c>
      <c r="D1313" s="3">
        <v>13603.68</v>
      </c>
      <c r="E1313" s="3">
        <v>10589440.289999999</v>
      </c>
      <c r="F1313" s="1" t="s">
        <v>3048</v>
      </c>
      <c r="G1313" s="19">
        <f t="shared" si="99"/>
        <v>13603.68</v>
      </c>
    </row>
    <row r="1314" spans="1:7">
      <c r="A1314" s="1" t="s">
        <v>1428</v>
      </c>
      <c r="B1314" s="1" t="s">
        <v>15</v>
      </c>
      <c r="C1314" s="1" t="s">
        <v>1471</v>
      </c>
      <c r="D1314" s="3">
        <v>14029.92</v>
      </c>
      <c r="E1314" s="3">
        <v>10603470.210000001</v>
      </c>
      <c r="F1314" s="1" t="s">
        <v>3048</v>
      </c>
      <c r="G1314" s="19">
        <f t="shared" si="99"/>
        <v>14029.92</v>
      </c>
    </row>
    <row r="1315" spans="1:7">
      <c r="A1315" s="1" t="s">
        <v>41</v>
      </c>
      <c r="B1315" s="1" t="s">
        <v>44</v>
      </c>
      <c r="C1315" s="1" t="s">
        <v>87</v>
      </c>
      <c r="D1315" s="3">
        <v>5110.38</v>
      </c>
      <c r="E1315" s="3">
        <v>10666666.039999999</v>
      </c>
      <c r="F1315" s="2" t="s">
        <v>3048</v>
      </c>
      <c r="G1315" s="19">
        <f t="shared" si="99"/>
        <v>5110.38</v>
      </c>
    </row>
    <row r="1316" spans="1:7">
      <c r="A1316" s="1" t="s">
        <v>1428</v>
      </c>
      <c r="B1316" s="1" t="s">
        <v>15</v>
      </c>
      <c r="C1316" s="1" t="s">
        <v>1474</v>
      </c>
      <c r="D1316" s="3">
        <v>14264.97</v>
      </c>
      <c r="E1316" s="3">
        <v>10619144.939999999</v>
      </c>
      <c r="F1316" s="1" t="s">
        <v>3048</v>
      </c>
      <c r="G1316" s="19">
        <f t="shared" si="99"/>
        <v>14264.97</v>
      </c>
    </row>
    <row r="1317" spans="1:7">
      <c r="A1317" s="1" t="s">
        <v>1428</v>
      </c>
      <c r="B1317" s="1" t="s">
        <v>15</v>
      </c>
      <c r="C1317" s="1" t="s">
        <v>1475</v>
      </c>
      <c r="D1317" s="3">
        <v>9198.2800000000007</v>
      </c>
      <c r="E1317" s="3">
        <v>10628343.220000001</v>
      </c>
      <c r="F1317" s="1" t="s">
        <v>3048</v>
      </c>
      <c r="G1317" s="19">
        <f t="shared" si="99"/>
        <v>9198.2800000000007</v>
      </c>
    </row>
    <row r="1318" spans="1:7">
      <c r="A1318" s="1" t="s">
        <v>1428</v>
      </c>
      <c r="B1318" s="1" t="s">
        <v>15</v>
      </c>
      <c r="C1318" s="1" t="s">
        <v>1476</v>
      </c>
      <c r="D1318" s="3">
        <v>4481.78</v>
      </c>
      <c r="E1318" s="3">
        <v>10632825</v>
      </c>
      <c r="F1318" s="1" t="s">
        <v>3048</v>
      </c>
      <c r="G1318" s="19">
        <f t="shared" si="99"/>
        <v>4481.78</v>
      </c>
    </row>
    <row r="1319" spans="1:7">
      <c r="A1319" s="1" t="s">
        <v>1428</v>
      </c>
      <c r="B1319" s="1" t="s">
        <v>15</v>
      </c>
      <c r="C1319" s="1" t="s">
        <v>1477</v>
      </c>
      <c r="D1319" s="3">
        <v>4676.6400000000003</v>
      </c>
      <c r="E1319" s="3">
        <v>10637501.640000001</v>
      </c>
      <c r="F1319" s="1" t="s">
        <v>3048</v>
      </c>
      <c r="G1319" s="19">
        <f t="shared" si="99"/>
        <v>4676.6400000000003</v>
      </c>
    </row>
    <row r="1320" spans="1:7">
      <c r="A1320" s="1" t="s">
        <v>1428</v>
      </c>
      <c r="B1320" s="1" t="s">
        <v>15</v>
      </c>
      <c r="C1320" s="1" t="s">
        <v>1478</v>
      </c>
      <c r="D1320" s="3">
        <v>2922.9</v>
      </c>
      <c r="E1320" s="3">
        <v>10640424.539999999</v>
      </c>
      <c r="F1320" s="1" t="s">
        <v>3048</v>
      </c>
      <c r="G1320" s="19">
        <f t="shared" si="99"/>
        <v>2922.9</v>
      </c>
    </row>
    <row r="1321" spans="1:7">
      <c r="A1321" s="1" t="s">
        <v>1428</v>
      </c>
      <c r="B1321" s="1" t="s">
        <v>15</v>
      </c>
      <c r="C1321" s="1" t="s">
        <v>1479</v>
      </c>
      <c r="D1321" s="3">
        <v>4676.6400000000003</v>
      </c>
      <c r="E1321" s="3">
        <v>10645101.18</v>
      </c>
      <c r="F1321" s="1" t="s">
        <v>3048</v>
      </c>
      <c r="G1321" s="19">
        <f t="shared" si="99"/>
        <v>4676.6400000000003</v>
      </c>
    </row>
    <row r="1322" spans="1:7">
      <c r="A1322" s="1" t="s">
        <v>1428</v>
      </c>
      <c r="B1322" s="1" t="s">
        <v>15</v>
      </c>
      <c r="C1322" s="1" t="s">
        <v>1480</v>
      </c>
      <c r="D1322" s="3">
        <v>14029.92</v>
      </c>
      <c r="E1322" s="3">
        <v>10659131.1</v>
      </c>
      <c r="F1322" s="1" t="s">
        <v>3048</v>
      </c>
      <c r="G1322" s="19">
        <f t="shared" si="99"/>
        <v>14029.92</v>
      </c>
    </row>
    <row r="1323" spans="1:7">
      <c r="A1323" s="1" t="s">
        <v>1428</v>
      </c>
      <c r="B1323" s="1" t="s">
        <v>15</v>
      </c>
      <c r="C1323" s="1" t="s">
        <v>1481</v>
      </c>
      <c r="D1323" s="3">
        <v>8378.98</v>
      </c>
      <c r="E1323" s="3">
        <v>10667510.08</v>
      </c>
      <c r="F1323" s="1" t="s">
        <v>3048</v>
      </c>
      <c r="G1323" s="19">
        <f t="shared" si="99"/>
        <v>8378.98</v>
      </c>
    </row>
    <row r="1324" spans="1:7">
      <c r="A1324" s="1" t="s">
        <v>1428</v>
      </c>
      <c r="B1324" s="1" t="s">
        <v>15</v>
      </c>
      <c r="C1324" s="1" t="s">
        <v>1482</v>
      </c>
      <c r="D1324" s="3">
        <v>4534.5600000000004</v>
      </c>
      <c r="E1324" s="3">
        <v>10672044.640000001</v>
      </c>
      <c r="F1324" s="1" t="s">
        <v>3048</v>
      </c>
      <c r="G1324" s="19">
        <f t="shared" si="99"/>
        <v>4534.5600000000004</v>
      </c>
    </row>
    <row r="1325" spans="1:7">
      <c r="A1325" s="1" t="s">
        <v>1428</v>
      </c>
      <c r="B1325" s="1" t="s">
        <v>15</v>
      </c>
      <c r="C1325" s="1" t="s">
        <v>1483</v>
      </c>
      <c r="D1325" s="3">
        <v>7557.6</v>
      </c>
      <c r="E1325" s="3">
        <v>10679602.24</v>
      </c>
      <c r="F1325" s="1" t="s">
        <v>3048</v>
      </c>
      <c r="G1325" s="19">
        <f t="shared" si="99"/>
        <v>7557.6</v>
      </c>
    </row>
    <row r="1326" spans="1:7">
      <c r="A1326" s="1" t="s">
        <v>1428</v>
      </c>
      <c r="B1326" s="1" t="s">
        <v>15</v>
      </c>
      <c r="C1326" s="1" t="s">
        <v>1484</v>
      </c>
      <c r="D1326" s="3">
        <v>78126.69</v>
      </c>
      <c r="E1326" s="3">
        <v>10757728.93</v>
      </c>
      <c r="F1326" s="1" t="s">
        <v>3048</v>
      </c>
      <c r="G1326" s="19">
        <f t="shared" si="99"/>
        <v>78126.69</v>
      </c>
    </row>
    <row r="1327" spans="1:7">
      <c r="A1327" s="1" t="s">
        <v>1428</v>
      </c>
      <c r="B1327" s="1" t="s">
        <v>15</v>
      </c>
      <c r="C1327" s="1" t="s">
        <v>1485</v>
      </c>
      <c r="D1327" s="3">
        <v>7794.4</v>
      </c>
      <c r="E1327" s="3">
        <v>10765523.33</v>
      </c>
      <c r="F1327" s="1" t="s">
        <v>3048</v>
      </c>
      <c r="G1327" s="19">
        <f t="shared" si="99"/>
        <v>7794.4</v>
      </c>
    </row>
    <row r="1328" spans="1:7">
      <c r="A1328" s="1" t="s">
        <v>253</v>
      </c>
      <c r="B1328" s="1" t="s">
        <v>44</v>
      </c>
      <c r="C1328" s="1" t="s">
        <v>323</v>
      </c>
      <c r="D1328" s="3">
        <v>1634.93</v>
      </c>
      <c r="E1328" s="3">
        <v>14384743.17</v>
      </c>
      <c r="F1328" s="2" t="s">
        <v>3048</v>
      </c>
      <c r="G1328" s="19">
        <f t="shared" si="99"/>
        <v>1634.93</v>
      </c>
    </row>
    <row r="1329" spans="1:7">
      <c r="A1329" s="1" t="s">
        <v>1428</v>
      </c>
      <c r="B1329" s="1" t="s">
        <v>15</v>
      </c>
      <c r="C1329" s="1" t="s">
        <v>1488</v>
      </c>
      <c r="D1329" s="3">
        <v>4286.92</v>
      </c>
      <c r="E1329" s="3">
        <v>10770201.85</v>
      </c>
      <c r="F1329" s="1" t="s">
        <v>3048</v>
      </c>
      <c r="G1329" s="19">
        <f t="shared" si="99"/>
        <v>4286.92</v>
      </c>
    </row>
    <row r="1330" spans="1:7">
      <c r="A1330" s="1" t="s">
        <v>1428</v>
      </c>
      <c r="B1330" s="1" t="s">
        <v>15</v>
      </c>
      <c r="C1330" s="1" t="s">
        <v>1489</v>
      </c>
      <c r="D1330" s="3">
        <v>4092.06</v>
      </c>
      <c r="E1330" s="3">
        <v>10774293.91</v>
      </c>
      <c r="F1330" s="1" t="s">
        <v>3048</v>
      </c>
      <c r="G1330" s="19">
        <f t="shared" si="99"/>
        <v>4092.06</v>
      </c>
    </row>
    <row r="1331" spans="1:7">
      <c r="A1331" s="1" t="s">
        <v>1428</v>
      </c>
      <c r="B1331" s="1" t="s">
        <v>15</v>
      </c>
      <c r="C1331" s="1" t="s">
        <v>1490</v>
      </c>
      <c r="D1331" s="3">
        <v>8573.84</v>
      </c>
      <c r="E1331" s="3">
        <v>10782867.75</v>
      </c>
      <c r="F1331" s="1" t="s">
        <v>3048</v>
      </c>
      <c r="G1331" s="19">
        <f t="shared" si="99"/>
        <v>8573.84</v>
      </c>
    </row>
    <row r="1332" spans="1:7">
      <c r="A1332" s="1" t="s">
        <v>1428</v>
      </c>
      <c r="B1332" s="1" t="s">
        <v>15</v>
      </c>
      <c r="C1332" s="1" t="s">
        <v>1491</v>
      </c>
      <c r="D1332" s="3">
        <v>4676.6400000000003</v>
      </c>
      <c r="E1332" s="3">
        <v>10787544.390000001</v>
      </c>
      <c r="F1332" s="1" t="s">
        <v>3048</v>
      </c>
      <c r="G1332" s="19">
        <f t="shared" si="99"/>
        <v>4676.6400000000003</v>
      </c>
    </row>
    <row r="1333" spans="1:7">
      <c r="A1333" s="1" t="s">
        <v>1428</v>
      </c>
      <c r="B1333" s="1" t="s">
        <v>15</v>
      </c>
      <c r="C1333" s="1" t="s">
        <v>1492</v>
      </c>
      <c r="D1333" s="3">
        <v>11691.6</v>
      </c>
      <c r="E1333" s="3">
        <v>10799235.99</v>
      </c>
      <c r="F1333" s="1" t="s">
        <v>3048</v>
      </c>
      <c r="G1333" s="19">
        <f t="shared" si="99"/>
        <v>11691.6</v>
      </c>
    </row>
    <row r="1334" spans="1:7">
      <c r="A1334" s="1" t="s">
        <v>360</v>
      </c>
      <c r="B1334" s="1" t="s">
        <v>44</v>
      </c>
      <c r="C1334" s="1" t="s">
        <v>451</v>
      </c>
      <c r="D1334" s="3">
        <v>2907.63</v>
      </c>
      <c r="E1334" s="3">
        <v>16639779.359999999</v>
      </c>
      <c r="F1334" s="2" t="s">
        <v>3048</v>
      </c>
      <c r="G1334" s="19">
        <f t="shared" si="99"/>
        <v>2907.63</v>
      </c>
    </row>
    <row r="1335" spans="1:7">
      <c r="A1335" s="1" t="s">
        <v>1428</v>
      </c>
      <c r="B1335" s="1" t="s">
        <v>15</v>
      </c>
      <c r="C1335" s="1" t="s">
        <v>1495</v>
      </c>
      <c r="D1335" s="3">
        <v>20460.3</v>
      </c>
      <c r="E1335" s="3">
        <v>10820283.689999999</v>
      </c>
      <c r="F1335" s="1" t="s">
        <v>3048</v>
      </c>
      <c r="G1335" s="19">
        <f t="shared" si="99"/>
        <v>20460.3</v>
      </c>
    </row>
    <row r="1336" spans="1:7">
      <c r="A1336" s="1" t="s">
        <v>1428</v>
      </c>
      <c r="B1336" s="1" t="s">
        <v>15</v>
      </c>
      <c r="C1336" s="1" t="s">
        <v>1496</v>
      </c>
      <c r="D1336" s="3">
        <v>36406.79</v>
      </c>
      <c r="E1336" s="3">
        <v>10856690.48</v>
      </c>
      <c r="F1336" s="1" t="s">
        <v>3048</v>
      </c>
      <c r="G1336" s="19">
        <f t="shared" si="99"/>
        <v>36406.79</v>
      </c>
    </row>
    <row r="1337" spans="1:7">
      <c r="A1337" s="1" t="s">
        <v>1428</v>
      </c>
      <c r="B1337" s="1" t="s">
        <v>15</v>
      </c>
      <c r="C1337" s="1" t="s">
        <v>1497</v>
      </c>
      <c r="D1337" s="3">
        <v>17999.22</v>
      </c>
      <c r="E1337" s="3">
        <v>10874689.699999999</v>
      </c>
      <c r="F1337" s="1" t="s">
        <v>3048</v>
      </c>
      <c r="G1337" s="19">
        <f t="shared" si="99"/>
        <v>17999.22</v>
      </c>
    </row>
    <row r="1338" spans="1:7">
      <c r="A1338" s="1" t="s">
        <v>1428</v>
      </c>
      <c r="B1338" s="1" t="s">
        <v>15</v>
      </c>
      <c r="C1338" s="1" t="s">
        <v>1498</v>
      </c>
      <c r="D1338" s="3">
        <v>7891.83</v>
      </c>
      <c r="E1338" s="3">
        <v>10882581.529999999</v>
      </c>
      <c r="F1338" s="1" t="s">
        <v>3048</v>
      </c>
      <c r="G1338" s="19">
        <f t="shared" si="99"/>
        <v>7891.83</v>
      </c>
    </row>
    <row r="1339" spans="1:7">
      <c r="A1339" s="1" t="s">
        <v>1428</v>
      </c>
      <c r="B1339" s="1" t="s">
        <v>15</v>
      </c>
      <c r="C1339" s="1" t="s">
        <v>1499</v>
      </c>
      <c r="D1339" s="3">
        <v>4676.6400000000003</v>
      </c>
      <c r="E1339" s="3">
        <v>10887258.17</v>
      </c>
      <c r="F1339" s="1" t="s">
        <v>3048</v>
      </c>
      <c r="G1339" s="19">
        <f t="shared" si="99"/>
        <v>4676.6400000000003</v>
      </c>
    </row>
    <row r="1340" spans="1:7">
      <c r="A1340" s="1" t="s">
        <v>1428</v>
      </c>
      <c r="B1340" s="1" t="s">
        <v>15</v>
      </c>
      <c r="C1340" s="1" t="s">
        <v>1500</v>
      </c>
      <c r="D1340" s="3">
        <v>7696.97</v>
      </c>
      <c r="E1340" s="3">
        <v>10894955.140000001</v>
      </c>
      <c r="F1340" s="1" t="s">
        <v>3048</v>
      </c>
      <c r="G1340" s="19">
        <f t="shared" si="99"/>
        <v>7696.97</v>
      </c>
    </row>
    <row r="1341" spans="1:7">
      <c r="A1341" s="1" t="s">
        <v>1428</v>
      </c>
      <c r="B1341" s="1" t="s">
        <v>15</v>
      </c>
      <c r="C1341" s="1" t="s">
        <v>1501</v>
      </c>
      <c r="D1341" s="3">
        <v>65180.67</v>
      </c>
      <c r="E1341" s="3">
        <v>10960135.810000001</v>
      </c>
      <c r="F1341" s="1" t="s">
        <v>3048</v>
      </c>
      <c r="G1341" s="19">
        <f t="shared" si="99"/>
        <v>65180.67</v>
      </c>
    </row>
    <row r="1342" spans="1:7">
      <c r="A1342" s="1" t="s">
        <v>1428</v>
      </c>
      <c r="B1342" s="1" t="s">
        <v>15</v>
      </c>
      <c r="C1342" s="1" t="s">
        <v>1502</v>
      </c>
      <c r="D1342" s="3">
        <v>3897.2</v>
      </c>
      <c r="E1342" s="3">
        <v>10964033.01</v>
      </c>
      <c r="F1342" s="1" t="s">
        <v>3048</v>
      </c>
      <c r="G1342" s="19">
        <f t="shared" si="99"/>
        <v>3897.2</v>
      </c>
    </row>
    <row r="1343" spans="1:7">
      <c r="A1343" s="1" t="s">
        <v>1428</v>
      </c>
      <c r="B1343" s="1" t="s">
        <v>15</v>
      </c>
      <c r="C1343" s="1" t="s">
        <v>1503</v>
      </c>
      <c r="D1343" s="3">
        <v>5358.65</v>
      </c>
      <c r="E1343" s="3">
        <v>10969391.66</v>
      </c>
      <c r="F1343" s="1" t="s">
        <v>3048</v>
      </c>
      <c r="G1343" s="19">
        <f t="shared" si="99"/>
        <v>5358.65</v>
      </c>
    </row>
    <row r="1344" spans="1:7">
      <c r="A1344" s="1" t="s">
        <v>1428</v>
      </c>
      <c r="B1344" s="1" t="s">
        <v>15</v>
      </c>
      <c r="C1344" s="1" t="s">
        <v>1504</v>
      </c>
      <c r="D1344" s="3">
        <v>17829.689999999999</v>
      </c>
      <c r="E1344" s="3">
        <v>10987221.35</v>
      </c>
      <c r="F1344" s="1" t="s">
        <v>3048</v>
      </c>
      <c r="G1344" s="19">
        <f t="shared" si="99"/>
        <v>17829.689999999999</v>
      </c>
    </row>
    <row r="1345" spans="1:7">
      <c r="A1345" s="1" t="s">
        <v>1428</v>
      </c>
      <c r="B1345" s="1" t="s">
        <v>15</v>
      </c>
      <c r="C1345" s="1" t="s">
        <v>1505</v>
      </c>
      <c r="D1345" s="3">
        <v>29472.04</v>
      </c>
      <c r="E1345" s="3">
        <v>11016693.390000001</v>
      </c>
      <c r="F1345" s="1" t="s">
        <v>3048</v>
      </c>
      <c r="G1345" s="19">
        <f t="shared" si="99"/>
        <v>29472.04</v>
      </c>
    </row>
    <row r="1346" spans="1:7">
      <c r="A1346" s="1" t="s">
        <v>1428</v>
      </c>
      <c r="B1346" s="1" t="s">
        <v>15</v>
      </c>
      <c r="C1346" s="1" t="s">
        <v>1506</v>
      </c>
      <c r="D1346" s="3">
        <v>14614.5</v>
      </c>
      <c r="E1346" s="3">
        <v>11031307.890000001</v>
      </c>
      <c r="F1346" s="1" t="s">
        <v>3048</v>
      </c>
      <c r="G1346" s="19">
        <f t="shared" si="99"/>
        <v>14614.5</v>
      </c>
    </row>
    <row r="1347" spans="1:7">
      <c r="A1347" s="1" t="s">
        <v>1428</v>
      </c>
      <c r="B1347" s="1" t="s">
        <v>15</v>
      </c>
      <c r="C1347" s="1" t="s">
        <v>1507</v>
      </c>
      <c r="D1347" s="3">
        <v>18894</v>
      </c>
      <c r="E1347" s="3">
        <v>11050201.890000001</v>
      </c>
      <c r="F1347" s="1" t="s">
        <v>3048</v>
      </c>
      <c r="G1347" s="19">
        <f t="shared" si="99"/>
        <v>18894</v>
      </c>
    </row>
    <row r="1348" spans="1:7">
      <c r="A1348" s="1" t="s">
        <v>1428</v>
      </c>
      <c r="B1348" s="1" t="s">
        <v>15</v>
      </c>
      <c r="C1348" s="1" t="s">
        <v>1508</v>
      </c>
      <c r="D1348" s="3">
        <v>7557.6</v>
      </c>
      <c r="E1348" s="3">
        <v>11057759.49</v>
      </c>
      <c r="F1348" s="1" t="s">
        <v>3048</v>
      </c>
      <c r="G1348" s="19">
        <f t="shared" si="99"/>
        <v>7557.6</v>
      </c>
    </row>
    <row r="1349" spans="1:7">
      <c r="A1349" s="1" t="s">
        <v>1428</v>
      </c>
      <c r="B1349" s="1" t="s">
        <v>15</v>
      </c>
      <c r="C1349" s="1" t="s">
        <v>1509</v>
      </c>
      <c r="D1349" s="3">
        <v>23480.63</v>
      </c>
      <c r="E1349" s="3">
        <v>11081240.119999999</v>
      </c>
      <c r="F1349" s="1" t="s">
        <v>3048</v>
      </c>
      <c r="G1349" s="19">
        <f t="shared" si="99"/>
        <v>23480.63</v>
      </c>
    </row>
    <row r="1350" spans="1:7">
      <c r="A1350" s="1" t="s">
        <v>1428</v>
      </c>
      <c r="B1350" s="1" t="s">
        <v>15</v>
      </c>
      <c r="C1350" s="1" t="s">
        <v>1510</v>
      </c>
      <c r="D1350" s="3">
        <v>11691.6</v>
      </c>
      <c r="E1350" s="3">
        <v>11092931.720000001</v>
      </c>
      <c r="F1350" s="1" t="s">
        <v>3048</v>
      </c>
      <c r="G1350" s="19">
        <f t="shared" si="99"/>
        <v>11691.6</v>
      </c>
    </row>
    <row r="1351" spans="1:7">
      <c r="A1351" s="1" t="s">
        <v>1428</v>
      </c>
      <c r="B1351" s="1" t="s">
        <v>15</v>
      </c>
      <c r="C1351" s="1" t="s">
        <v>1511</v>
      </c>
      <c r="D1351" s="3">
        <v>4579.21</v>
      </c>
      <c r="E1351" s="3">
        <v>11097510.93</v>
      </c>
      <c r="F1351" s="1" t="s">
        <v>3048</v>
      </c>
      <c r="G1351" s="19">
        <f t="shared" si="99"/>
        <v>4579.21</v>
      </c>
    </row>
    <row r="1352" spans="1:7">
      <c r="A1352" s="1" t="s">
        <v>1428</v>
      </c>
      <c r="B1352" s="1" t="s">
        <v>15</v>
      </c>
      <c r="C1352" s="1" t="s">
        <v>1512</v>
      </c>
      <c r="D1352" s="3">
        <v>18706.560000000001</v>
      </c>
      <c r="E1352" s="3">
        <v>11116217.49</v>
      </c>
      <c r="F1352" s="1" t="s">
        <v>3048</v>
      </c>
      <c r="G1352" s="19">
        <f t="shared" si="99"/>
        <v>18706.560000000001</v>
      </c>
    </row>
    <row r="1353" spans="1:7">
      <c r="A1353" s="1" t="s">
        <v>360</v>
      </c>
      <c r="B1353" s="1" t="s">
        <v>415</v>
      </c>
      <c r="C1353" s="1" t="s">
        <v>416</v>
      </c>
      <c r="D1353" s="3">
        <v>1370.6</v>
      </c>
      <c r="E1353" s="3">
        <v>16141431.460000001</v>
      </c>
      <c r="F1353" s="2" t="s">
        <v>3048</v>
      </c>
      <c r="G1353" s="19">
        <f t="shared" si="99"/>
        <v>1370.6</v>
      </c>
    </row>
    <row r="1354" spans="1:7">
      <c r="A1354" s="1" t="s">
        <v>1428</v>
      </c>
      <c r="B1354" s="1" t="s">
        <v>15</v>
      </c>
      <c r="C1354" s="1" t="s">
        <v>1515</v>
      </c>
      <c r="D1354" s="3">
        <v>65570.39</v>
      </c>
      <c r="E1354" s="3">
        <v>11183667.560000001</v>
      </c>
      <c r="F1354" s="1" t="s">
        <v>3048</v>
      </c>
      <c r="G1354" s="19">
        <f t="shared" si="99"/>
        <v>65570.39</v>
      </c>
    </row>
    <row r="1355" spans="1:7">
      <c r="A1355" s="1" t="s">
        <v>1428</v>
      </c>
      <c r="B1355" s="1" t="s">
        <v>15</v>
      </c>
      <c r="C1355" s="1" t="s">
        <v>1516</v>
      </c>
      <c r="D1355" s="3">
        <v>48463.11</v>
      </c>
      <c r="E1355" s="3">
        <v>11232130.67</v>
      </c>
      <c r="F1355" s="1" t="s">
        <v>3048</v>
      </c>
      <c r="G1355" s="19">
        <f t="shared" si="99"/>
        <v>48463.11</v>
      </c>
    </row>
    <row r="1356" spans="1:7">
      <c r="A1356" s="1" t="s">
        <v>1428</v>
      </c>
      <c r="B1356" s="1" t="s">
        <v>15</v>
      </c>
      <c r="C1356" s="1" t="s">
        <v>1517</v>
      </c>
      <c r="D1356" s="3">
        <v>28057.59</v>
      </c>
      <c r="E1356" s="3">
        <v>11260188.26</v>
      </c>
      <c r="F1356" s="1" t="s">
        <v>3048</v>
      </c>
      <c r="G1356" s="19">
        <f t="shared" si="99"/>
        <v>28057.59</v>
      </c>
    </row>
    <row r="1357" spans="1:7">
      <c r="A1357" s="1" t="s">
        <v>1428</v>
      </c>
      <c r="B1357" s="1" t="s">
        <v>15</v>
      </c>
      <c r="C1357" s="1" t="s">
        <v>1518</v>
      </c>
      <c r="D1357" s="3">
        <v>13934.88</v>
      </c>
      <c r="E1357" s="3">
        <v>11274123.140000001</v>
      </c>
      <c r="F1357" s="1" t="s">
        <v>3048</v>
      </c>
      <c r="G1357" s="19">
        <f t="shared" si="99"/>
        <v>13934.88</v>
      </c>
    </row>
    <row r="1358" spans="1:7">
      <c r="A1358" s="1" t="s">
        <v>1428</v>
      </c>
      <c r="B1358" s="1" t="s">
        <v>15</v>
      </c>
      <c r="C1358" s="1" t="s">
        <v>1519</v>
      </c>
      <c r="D1358" s="3">
        <v>13445.34</v>
      </c>
      <c r="E1358" s="3">
        <v>11287568.48</v>
      </c>
      <c r="F1358" s="1" t="s">
        <v>3048</v>
      </c>
      <c r="G1358" s="19">
        <f t="shared" si="99"/>
        <v>13445.34</v>
      </c>
    </row>
    <row r="1359" spans="1:7">
      <c r="A1359" s="1" t="s">
        <v>1428</v>
      </c>
      <c r="B1359" s="1" t="s">
        <v>15</v>
      </c>
      <c r="C1359" s="1" t="s">
        <v>1520</v>
      </c>
      <c r="D1359" s="3">
        <v>4676.6400000000003</v>
      </c>
      <c r="E1359" s="3">
        <v>11292245.119999999</v>
      </c>
      <c r="F1359" s="1" t="s">
        <v>3048</v>
      </c>
      <c r="G1359" s="19">
        <f t="shared" si="99"/>
        <v>4676.6400000000003</v>
      </c>
    </row>
    <row r="1360" spans="1:7">
      <c r="A1360" s="1" t="s">
        <v>1428</v>
      </c>
      <c r="B1360" s="1" t="s">
        <v>15</v>
      </c>
      <c r="C1360" s="1" t="s">
        <v>1521</v>
      </c>
      <c r="D1360" s="3">
        <v>15588.8</v>
      </c>
      <c r="E1360" s="3">
        <v>11307833.92</v>
      </c>
      <c r="F1360" s="1" t="s">
        <v>3048</v>
      </c>
      <c r="G1360" s="19">
        <f t="shared" si="99"/>
        <v>15588.8</v>
      </c>
    </row>
    <row r="1361" spans="1:7">
      <c r="A1361" s="1" t="s">
        <v>1428</v>
      </c>
      <c r="B1361" s="1" t="s">
        <v>15</v>
      </c>
      <c r="C1361" s="1" t="s">
        <v>1522</v>
      </c>
      <c r="D1361" s="3">
        <v>19486</v>
      </c>
      <c r="E1361" s="3">
        <v>11327319.92</v>
      </c>
      <c r="F1361" s="1" t="s">
        <v>3048</v>
      </c>
      <c r="G1361" s="19">
        <f t="shared" si="99"/>
        <v>19486</v>
      </c>
    </row>
    <row r="1362" spans="1:7">
      <c r="A1362" s="1" t="s">
        <v>1523</v>
      </c>
      <c r="B1362" s="1" t="s">
        <v>15</v>
      </c>
      <c r="C1362" s="1" t="s">
        <v>1524</v>
      </c>
      <c r="D1362" s="3">
        <v>7014.96</v>
      </c>
      <c r="E1362" s="3">
        <v>11334334.880000001</v>
      </c>
      <c r="F1362" s="1" t="s">
        <v>3048</v>
      </c>
      <c r="G1362" s="19">
        <f t="shared" si="99"/>
        <v>7014.96</v>
      </c>
    </row>
    <row r="1363" spans="1:7">
      <c r="A1363" s="1" t="s">
        <v>1523</v>
      </c>
      <c r="B1363" s="1" t="s">
        <v>15</v>
      </c>
      <c r="C1363" s="1" t="s">
        <v>1525</v>
      </c>
      <c r="D1363" s="3">
        <v>9255.85</v>
      </c>
      <c r="E1363" s="3">
        <v>11343590.73</v>
      </c>
      <c r="F1363" s="1" t="s">
        <v>3048</v>
      </c>
      <c r="G1363" s="19">
        <f t="shared" si="99"/>
        <v>9255.85</v>
      </c>
    </row>
    <row r="1364" spans="1:7">
      <c r="A1364" s="1" t="s">
        <v>1523</v>
      </c>
      <c r="B1364" s="1" t="s">
        <v>15</v>
      </c>
      <c r="C1364" s="1" t="s">
        <v>1526</v>
      </c>
      <c r="D1364" s="3">
        <v>10717.3</v>
      </c>
      <c r="E1364" s="3">
        <v>11354308.029999999</v>
      </c>
      <c r="F1364" s="1" t="s">
        <v>3048</v>
      </c>
      <c r="G1364" s="19">
        <f t="shared" si="99"/>
        <v>10717.3</v>
      </c>
    </row>
    <row r="1365" spans="1:7">
      <c r="A1365" s="1" t="s">
        <v>1523</v>
      </c>
      <c r="B1365" s="1" t="s">
        <v>15</v>
      </c>
      <c r="C1365" s="1" t="s">
        <v>1527</v>
      </c>
      <c r="D1365" s="3">
        <v>7014.96</v>
      </c>
      <c r="E1365" s="3">
        <v>11361322.99</v>
      </c>
      <c r="F1365" s="1" t="s">
        <v>3048</v>
      </c>
      <c r="G1365" s="19">
        <f t="shared" si="99"/>
        <v>7014.96</v>
      </c>
    </row>
    <row r="1366" spans="1:7">
      <c r="A1366" s="1" t="s">
        <v>1523</v>
      </c>
      <c r="B1366" s="1" t="s">
        <v>15</v>
      </c>
      <c r="C1366" s="1" t="s">
        <v>1528</v>
      </c>
      <c r="D1366" s="3">
        <v>34198.14</v>
      </c>
      <c r="E1366" s="3">
        <v>11395521.130000001</v>
      </c>
      <c r="F1366" s="1" t="s">
        <v>3048</v>
      </c>
      <c r="G1366" s="19">
        <f t="shared" ref="G1366:G1429" si="100">+D1366</f>
        <v>34198.14</v>
      </c>
    </row>
    <row r="1367" spans="1:7">
      <c r="A1367" s="1" t="s">
        <v>1523</v>
      </c>
      <c r="B1367" s="1" t="s">
        <v>15</v>
      </c>
      <c r="C1367" s="1" t="s">
        <v>1529</v>
      </c>
      <c r="D1367" s="3">
        <v>4676.6400000000003</v>
      </c>
      <c r="E1367" s="3">
        <v>11400197.77</v>
      </c>
      <c r="F1367" s="1" t="s">
        <v>3048</v>
      </c>
      <c r="G1367" s="19">
        <f t="shared" si="100"/>
        <v>4676.6400000000003</v>
      </c>
    </row>
    <row r="1368" spans="1:7">
      <c r="A1368" s="1" t="s">
        <v>1523</v>
      </c>
      <c r="B1368" s="1" t="s">
        <v>15</v>
      </c>
      <c r="C1368" s="1" t="s">
        <v>1530</v>
      </c>
      <c r="D1368" s="3">
        <v>24357.5</v>
      </c>
      <c r="E1368" s="3">
        <v>11424555.27</v>
      </c>
      <c r="F1368" s="1" t="s">
        <v>3048</v>
      </c>
      <c r="G1368" s="19">
        <f t="shared" si="100"/>
        <v>24357.5</v>
      </c>
    </row>
    <row r="1369" spans="1:7">
      <c r="A1369" s="1" t="s">
        <v>1523</v>
      </c>
      <c r="B1369" s="1" t="s">
        <v>15</v>
      </c>
      <c r="C1369" s="1" t="s">
        <v>1531</v>
      </c>
      <c r="D1369" s="3">
        <v>41661.269999999997</v>
      </c>
      <c r="E1369" s="3">
        <v>11466216.539999999</v>
      </c>
      <c r="F1369" s="1" t="s">
        <v>3048</v>
      </c>
      <c r="G1369" s="19">
        <f t="shared" si="100"/>
        <v>41661.269999999997</v>
      </c>
    </row>
    <row r="1370" spans="1:7">
      <c r="A1370" s="1" t="s">
        <v>1523</v>
      </c>
      <c r="B1370" s="1" t="s">
        <v>15</v>
      </c>
      <c r="C1370" s="1" t="s">
        <v>1532</v>
      </c>
      <c r="D1370" s="3">
        <v>37023.4</v>
      </c>
      <c r="E1370" s="3">
        <v>11503239.939999999</v>
      </c>
      <c r="F1370" s="1" t="s">
        <v>3048</v>
      </c>
      <c r="G1370" s="19">
        <f t="shared" si="100"/>
        <v>37023.4</v>
      </c>
    </row>
    <row r="1371" spans="1:7">
      <c r="A1371" s="1" t="s">
        <v>1523</v>
      </c>
      <c r="B1371" s="1" t="s">
        <v>15</v>
      </c>
      <c r="C1371" s="1" t="s">
        <v>1533</v>
      </c>
      <c r="D1371" s="3">
        <v>139362.65</v>
      </c>
      <c r="E1371" s="3">
        <v>11642602.59</v>
      </c>
      <c r="F1371" s="1" t="s">
        <v>3048</v>
      </c>
      <c r="G1371" s="19">
        <f t="shared" si="100"/>
        <v>139362.65</v>
      </c>
    </row>
    <row r="1372" spans="1:7">
      <c r="A1372" s="1" t="s">
        <v>1523</v>
      </c>
      <c r="B1372" s="1" t="s">
        <v>15</v>
      </c>
      <c r="C1372" s="1" t="s">
        <v>1534</v>
      </c>
      <c r="D1372" s="3">
        <v>81451.48</v>
      </c>
      <c r="E1372" s="3">
        <v>11724054.07</v>
      </c>
      <c r="F1372" s="1" t="s">
        <v>3048</v>
      </c>
      <c r="G1372" s="19">
        <f t="shared" si="100"/>
        <v>81451.48</v>
      </c>
    </row>
    <row r="1373" spans="1:7">
      <c r="A1373" s="1" t="s">
        <v>1523</v>
      </c>
      <c r="B1373" s="1" t="s">
        <v>15</v>
      </c>
      <c r="C1373" s="1" t="s">
        <v>1535</v>
      </c>
      <c r="D1373" s="3">
        <v>27085.54</v>
      </c>
      <c r="E1373" s="3">
        <v>11751139.609999999</v>
      </c>
      <c r="F1373" s="1" t="s">
        <v>3048</v>
      </c>
      <c r="G1373" s="19">
        <f t="shared" si="100"/>
        <v>27085.54</v>
      </c>
    </row>
    <row r="1374" spans="1:7">
      <c r="A1374" s="1" t="s">
        <v>1523</v>
      </c>
      <c r="B1374" s="1" t="s">
        <v>15</v>
      </c>
      <c r="C1374" s="1" t="s">
        <v>1536</v>
      </c>
      <c r="D1374" s="3">
        <v>52807.06</v>
      </c>
      <c r="E1374" s="3">
        <v>11803946.67</v>
      </c>
      <c r="F1374" s="1" t="s">
        <v>3048</v>
      </c>
      <c r="G1374" s="19">
        <f t="shared" si="100"/>
        <v>52807.06</v>
      </c>
    </row>
    <row r="1375" spans="1:7">
      <c r="A1375" s="1" t="s">
        <v>1523</v>
      </c>
      <c r="B1375" s="1" t="s">
        <v>15</v>
      </c>
      <c r="C1375" s="1" t="s">
        <v>1537</v>
      </c>
      <c r="D1375" s="3">
        <v>26403.53</v>
      </c>
      <c r="E1375" s="3">
        <v>11830350.199999999</v>
      </c>
      <c r="F1375" s="1" t="s">
        <v>3048</v>
      </c>
      <c r="G1375" s="19">
        <f t="shared" si="100"/>
        <v>26403.53</v>
      </c>
    </row>
    <row r="1376" spans="1:7">
      <c r="A1376" s="1" t="s">
        <v>1523</v>
      </c>
      <c r="B1376" s="1" t="s">
        <v>15</v>
      </c>
      <c r="C1376" s="1" t="s">
        <v>1538</v>
      </c>
      <c r="D1376" s="3">
        <v>18657.84</v>
      </c>
      <c r="E1376" s="3">
        <v>11849008.039999999</v>
      </c>
      <c r="F1376" s="1" t="s">
        <v>3048</v>
      </c>
      <c r="G1376" s="19">
        <f t="shared" si="100"/>
        <v>18657.84</v>
      </c>
    </row>
    <row r="1377" spans="1:7">
      <c r="A1377" s="1" t="s">
        <v>1523</v>
      </c>
      <c r="B1377" s="1" t="s">
        <v>15</v>
      </c>
      <c r="C1377" s="1" t="s">
        <v>1539</v>
      </c>
      <c r="D1377" s="3">
        <v>15398.61</v>
      </c>
      <c r="E1377" s="3">
        <v>11864406.65</v>
      </c>
      <c r="F1377" s="1" t="s">
        <v>3048</v>
      </c>
      <c r="G1377" s="19">
        <f t="shared" si="100"/>
        <v>15398.61</v>
      </c>
    </row>
    <row r="1378" spans="1:7">
      <c r="A1378" s="1" t="s">
        <v>1523</v>
      </c>
      <c r="B1378" s="1" t="s">
        <v>15</v>
      </c>
      <c r="C1378" s="1" t="s">
        <v>1540</v>
      </c>
      <c r="D1378" s="3">
        <v>8768.7000000000007</v>
      </c>
      <c r="E1378" s="3">
        <v>11873175.35</v>
      </c>
      <c r="F1378" s="1" t="s">
        <v>3048</v>
      </c>
      <c r="G1378" s="19">
        <f t="shared" si="100"/>
        <v>8768.7000000000007</v>
      </c>
    </row>
    <row r="1379" spans="1:7">
      <c r="A1379" s="1" t="s">
        <v>1523</v>
      </c>
      <c r="B1379" s="1" t="s">
        <v>15</v>
      </c>
      <c r="C1379" s="1" t="s">
        <v>1541</v>
      </c>
      <c r="D1379" s="3">
        <v>8768.7000000000007</v>
      </c>
      <c r="E1379" s="3">
        <v>11881944.050000001</v>
      </c>
      <c r="F1379" s="1" t="s">
        <v>3048</v>
      </c>
      <c r="G1379" s="19">
        <f t="shared" si="100"/>
        <v>8768.7000000000007</v>
      </c>
    </row>
    <row r="1380" spans="1:7">
      <c r="A1380" s="1" t="s">
        <v>1286</v>
      </c>
      <c r="B1380" s="1" t="s">
        <v>1328</v>
      </c>
      <c r="C1380" s="1" t="s">
        <v>1329</v>
      </c>
      <c r="D1380" s="3">
        <v>1027.95</v>
      </c>
      <c r="E1380" s="3">
        <v>14311153.99</v>
      </c>
      <c r="F1380" s="2" t="s">
        <v>3048</v>
      </c>
      <c r="G1380" s="19">
        <f t="shared" si="100"/>
        <v>1027.95</v>
      </c>
    </row>
    <row r="1381" spans="1:7">
      <c r="A1381" s="1" t="s">
        <v>1523</v>
      </c>
      <c r="B1381" s="1" t="s">
        <v>15</v>
      </c>
      <c r="C1381" s="1" t="s">
        <v>1544</v>
      </c>
      <c r="D1381" s="3">
        <v>16173.38</v>
      </c>
      <c r="E1381" s="3">
        <v>11898557.98</v>
      </c>
      <c r="F1381" s="1" t="s">
        <v>3048</v>
      </c>
      <c r="G1381" s="19">
        <f t="shared" si="100"/>
        <v>16173.38</v>
      </c>
    </row>
    <row r="1382" spans="1:7">
      <c r="A1382" s="1" t="s">
        <v>1523</v>
      </c>
      <c r="B1382" s="1" t="s">
        <v>15</v>
      </c>
      <c r="C1382" s="1" t="s">
        <v>1545</v>
      </c>
      <c r="D1382" s="3">
        <v>164461.84</v>
      </c>
      <c r="E1382" s="3">
        <v>12063019.82</v>
      </c>
      <c r="F1382" s="1" t="s">
        <v>3048</v>
      </c>
      <c r="G1382" s="19">
        <f t="shared" si="100"/>
        <v>164461.84</v>
      </c>
    </row>
    <row r="1383" spans="1:7">
      <c r="A1383" s="1" t="s">
        <v>1523</v>
      </c>
      <c r="B1383" s="1" t="s">
        <v>15</v>
      </c>
      <c r="C1383" s="1" t="s">
        <v>1546</v>
      </c>
      <c r="D1383" s="3">
        <v>14359.44</v>
      </c>
      <c r="E1383" s="3">
        <v>12077379.26</v>
      </c>
      <c r="F1383" s="1" t="s">
        <v>3048</v>
      </c>
      <c r="G1383" s="19">
        <f t="shared" si="100"/>
        <v>14359.44</v>
      </c>
    </row>
    <row r="1384" spans="1:7">
      <c r="A1384" s="1" t="s">
        <v>1523</v>
      </c>
      <c r="B1384" s="1" t="s">
        <v>15</v>
      </c>
      <c r="C1384" s="1" t="s">
        <v>1547</v>
      </c>
      <c r="D1384" s="3">
        <v>31469.89</v>
      </c>
      <c r="E1384" s="3">
        <v>12108849.15</v>
      </c>
      <c r="F1384" s="1" t="s">
        <v>3048</v>
      </c>
      <c r="G1384" s="19">
        <f t="shared" si="100"/>
        <v>31469.89</v>
      </c>
    </row>
    <row r="1385" spans="1:7">
      <c r="A1385" s="1" t="s">
        <v>761</v>
      </c>
      <c r="B1385" s="1" t="s">
        <v>838</v>
      </c>
      <c r="C1385" s="1" t="s">
        <v>839</v>
      </c>
      <c r="D1385" s="3">
        <v>11894.85</v>
      </c>
      <c r="E1385" s="3">
        <v>13091297.9</v>
      </c>
      <c r="F1385" s="2" t="s">
        <v>3048</v>
      </c>
      <c r="G1385" s="19">
        <f t="shared" si="100"/>
        <v>11894.85</v>
      </c>
    </row>
    <row r="1386" spans="1:7">
      <c r="A1386" s="1" t="s">
        <v>1523</v>
      </c>
      <c r="B1386" s="1" t="s">
        <v>15</v>
      </c>
      <c r="C1386" s="1" t="s">
        <v>1550</v>
      </c>
      <c r="D1386" s="3">
        <v>18706.560000000001</v>
      </c>
      <c r="E1386" s="3">
        <v>12130717.880000001</v>
      </c>
      <c r="F1386" s="1" t="s">
        <v>3048</v>
      </c>
      <c r="G1386" s="19">
        <f t="shared" si="100"/>
        <v>18706.560000000001</v>
      </c>
    </row>
    <row r="1387" spans="1:7">
      <c r="A1387" s="1" t="s">
        <v>1523</v>
      </c>
      <c r="B1387" s="1" t="s">
        <v>15</v>
      </c>
      <c r="C1387" s="1" t="s">
        <v>1551</v>
      </c>
      <c r="D1387" s="3">
        <v>182096.67</v>
      </c>
      <c r="E1387" s="3">
        <v>12312814.550000001</v>
      </c>
      <c r="F1387" s="1" t="s">
        <v>3048</v>
      </c>
      <c r="G1387" s="19">
        <f t="shared" si="100"/>
        <v>182096.67</v>
      </c>
    </row>
    <row r="1388" spans="1:7">
      <c r="A1388" s="1" t="s">
        <v>1523</v>
      </c>
      <c r="B1388" s="1" t="s">
        <v>15</v>
      </c>
      <c r="C1388" s="1" t="s">
        <v>1552</v>
      </c>
      <c r="D1388" s="3">
        <v>14711.93</v>
      </c>
      <c r="E1388" s="3">
        <v>12327526.48</v>
      </c>
      <c r="F1388" s="1" t="s">
        <v>3048</v>
      </c>
      <c r="G1388" s="19">
        <f t="shared" si="100"/>
        <v>14711.93</v>
      </c>
    </row>
    <row r="1389" spans="1:7">
      <c r="A1389" s="1" t="s">
        <v>1523</v>
      </c>
      <c r="B1389" s="1" t="s">
        <v>15</v>
      </c>
      <c r="C1389" s="1" t="s">
        <v>1553</v>
      </c>
      <c r="D1389" s="3">
        <v>11241.93</v>
      </c>
      <c r="E1389" s="3">
        <v>12338768.41</v>
      </c>
      <c r="F1389" s="1" t="s">
        <v>3048</v>
      </c>
      <c r="G1389" s="19">
        <f t="shared" si="100"/>
        <v>11241.93</v>
      </c>
    </row>
    <row r="1390" spans="1:7">
      <c r="A1390" s="1" t="s">
        <v>1523</v>
      </c>
      <c r="B1390" s="1" t="s">
        <v>15</v>
      </c>
      <c r="C1390" s="1" t="s">
        <v>1554</v>
      </c>
      <c r="D1390" s="3">
        <v>18755.27</v>
      </c>
      <c r="E1390" s="3">
        <v>12357523.68</v>
      </c>
      <c r="F1390" s="1" t="s">
        <v>3048</v>
      </c>
      <c r="G1390" s="19">
        <f t="shared" si="100"/>
        <v>18755.27</v>
      </c>
    </row>
    <row r="1391" spans="1:7">
      <c r="A1391" s="1" t="s">
        <v>121</v>
      </c>
      <c r="B1391" s="1" t="s">
        <v>216</v>
      </c>
      <c r="C1391" s="1" t="s">
        <v>217</v>
      </c>
      <c r="D1391" s="3">
        <v>2163.59</v>
      </c>
      <c r="E1391" s="3">
        <v>11977919.26</v>
      </c>
      <c r="F1391" s="2" t="s">
        <v>3048</v>
      </c>
      <c r="G1391" s="19">
        <f t="shared" si="100"/>
        <v>2163.59</v>
      </c>
    </row>
    <row r="1392" spans="1:7">
      <c r="A1392" s="1" t="s">
        <v>1523</v>
      </c>
      <c r="B1392" s="1" t="s">
        <v>15</v>
      </c>
      <c r="C1392" s="1" t="s">
        <v>1557</v>
      </c>
      <c r="D1392" s="3">
        <v>23383.200000000001</v>
      </c>
      <c r="E1392" s="3">
        <v>12382791.449999999</v>
      </c>
      <c r="F1392" s="1" t="s">
        <v>3048</v>
      </c>
      <c r="G1392" s="19">
        <f t="shared" si="100"/>
        <v>23383.200000000001</v>
      </c>
    </row>
    <row r="1393" spans="1:7">
      <c r="A1393" s="1" t="s">
        <v>1523</v>
      </c>
      <c r="B1393" s="1" t="s">
        <v>15</v>
      </c>
      <c r="C1393" s="1" t="s">
        <v>1558</v>
      </c>
      <c r="D1393" s="3">
        <v>7989.26</v>
      </c>
      <c r="E1393" s="3">
        <v>12390780.710000001</v>
      </c>
      <c r="F1393" s="1" t="s">
        <v>3048</v>
      </c>
      <c r="G1393" s="19">
        <f t="shared" si="100"/>
        <v>7989.26</v>
      </c>
    </row>
    <row r="1394" spans="1:7">
      <c r="A1394" s="1" t="s">
        <v>1523</v>
      </c>
      <c r="B1394" s="1" t="s">
        <v>15</v>
      </c>
      <c r="C1394" s="1" t="s">
        <v>1559</v>
      </c>
      <c r="D1394" s="3">
        <v>16075.95</v>
      </c>
      <c r="E1394" s="3">
        <v>12406856.66</v>
      </c>
      <c r="F1394" s="1" t="s">
        <v>3048</v>
      </c>
      <c r="G1394" s="19">
        <f t="shared" si="100"/>
        <v>16075.95</v>
      </c>
    </row>
    <row r="1395" spans="1:7">
      <c r="A1395" s="1" t="s">
        <v>1523</v>
      </c>
      <c r="B1395" s="1" t="s">
        <v>15</v>
      </c>
      <c r="C1395" s="1" t="s">
        <v>1560</v>
      </c>
      <c r="D1395" s="3">
        <v>23239.62</v>
      </c>
      <c r="E1395" s="3">
        <v>12430096.279999999</v>
      </c>
      <c r="F1395" s="1" t="s">
        <v>3048</v>
      </c>
      <c r="G1395" s="19">
        <f t="shared" si="100"/>
        <v>23239.62</v>
      </c>
    </row>
    <row r="1396" spans="1:7">
      <c r="A1396" s="1" t="s">
        <v>1523</v>
      </c>
      <c r="B1396" s="1" t="s">
        <v>15</v>
      </c>
      <c r="C1396" s="1" t="s">
        <v>1561</v>
      </c>
      <c r="D1396" s="3">
        <v>8573.84</v>
      </c>
      <c r="E1396" s="3">
        <v>12438670.119999999</v>
      </c>
      <c r="F1396" s="1" t="s">
        <v>3048</v>
      </c>
      <c r="G1396" s="19">
        <f t="shared" si="100"/>
        <v>8573.84</v>
      </c>
    </row>
    <row r="1397" spans="1:7">
      <c r="A1397" s="1" t="s">
        <v>1523</v>
      </c>
      <c r="B1397" s="1" t="s">
        <v>15</v>
      </c>
      <c r="C1397" s="1" t="s">
        <v>1562</v>
      </c>
      <c r="D1397" s="3">
        <v>14029.92</v>
      </c>
      <c r="E1397" s="3">
        <v>12452700.039999999</v>
      </c>
      <c r="F1397" s="1" t="s">
        <v>3048</v>
      </c>
      <c r="G1397" s="19">
        <f t="shared" si="100"/>
        <v>14029.92</v>
      </c>
    </row>
    <row r="1398" spans="1:7">
      <c r="A1398" s="1" t="s">
        <v>1523</v>
      </c>
      <c r="B1398" s="1" t="s">
        <v>15</v>
      </c>
      <c r="C1398" s="1" t="s">
        <v>1563</v>
      </c>
      <c r="D1398" s="3">
        <v>9353.2800000000007</v>
      </c>
      <c r="E1398" s="3">
        <v>12462053.32</v>
      </c>
      <c r="F1398" s="1" t="s">
        <v>3048</v>
      </c>
      <c r="G1398" s="19">
        <f t="shared" si="100"/>
        <v>9353.2800000000007</v>
      </c>
    </row>
    <row r="1399" spans="1:7">
      <c r="A1399" s="1" t="s">
        <v>1523</v>
      </c>
      <c r="B1399" s="1" t="s">
        <v>15</v>
      </c>
      <c r="C1399" s="1" t="s">
        <v>1564</v>
      </c>
      <c r="D1399" s="3">
        <v>16855.39</v>
      </c>
      <c r="E1399" s="3">
        <v>12478908.710000001</v>
      </c>
      <c r="F1399" s="1" t="s">
        <v>3048</v>
      </c>
      <c r="G1399" s="19">
        <f t="shared" si="100"/>
        <v>16855.39</v>
      </c>
    </row>
    <row r="1400" spans="1:7">
      <c r="A1400" s="1" t="s">
        <v>1523</v>
      </c>
      <c r="B1400" s="1" t="s">
        <v>15</v>
      </c>
      <c r="C1400" s="1" t="s">
        <v>1565</v>
      </c>
      <c r="D1400" s="3">
        <v>7794.4</v>
      </c>
      <c r="E1400" s="3">
        <v>12486703.109999999</v>
      </c>
      <c r="F1400" s="1" t="s">
        <v>3048</v>
      </c>
      <c r="G1400" s="19">
        <f t="shared" si="100"/>
        <v>7794.4</v>
      </c>
    </row>
    <row r="1401" spans="1:7">
      <c r="A1401" s="1" t="s">
        <v>1523</v>
      </c>
      <c r="B1401" s="1" t="s">
        <v>15</v>
      </c>
      <c r="C1401" s="1" t="s">
        <v>1566</v>
      </c>
      <c r="D1401" s="3">
        <v>4676.6400000000003</v>
      </c>
      <c r="E1401" s="3">
        <v>12491379.75</v>
      </c>
      <c r="F1401" s="1" t="s">
        <v>3048</v>
      </c>
      <c r="G1401" s="19">
        <f t="shared" si="100"/>
        <v>4676.6400000000003</v>
      </c>
    </row>
    <row r="1402" spans="1:7">
      <c r="A1402" s="1" t="s">
        <v>1523</v>
      </c>
      <c r="B1402" s="1" t="s">
        <v>15</v>
      </c>
      <c r="C1402" s="1" t="s">
        <v>1567</v>
      </c>
      <c r="D1402" s="3">
        <v>15686.23</v>
      </c>
      <c r="E1402" s="3">
        <v>12507065.98</v>
      </c>
      <c r="F1402" s="1" t="s">
        <v>3048</v>
      </c>
      <c r="G1402" s="19">
        <f t="shared" si="100"/>
        <v>15686.23</v>
      </c>
    </row>
    <row r="1403" spans="1:7">
      <c r="A1403" s="1" t="s">
        <v>1523</v>
      </c>
      <c r="B1403" s="1" t="s">
        <v>15</v>
      </c>
      <c r="C1403" s="1" t="s">
        <v>1568</v>
      </c>
      <c r="D1403" s="3">
        <v>4505.28</v>
      </c>
      <c r="E1403" s="3">
        <v>12511571.26</v>
      </c>
      <c r="F1403" s="1" t="s">
        <v>3048</v>
      </c>
      <c r="G1403" s="19">
        <f t="shared" si="100"/>
        <v>4505.28</v>
      </c>
    </row>
    <row r="1404" spans="1:7">
      <c r="A1404" s="1" t="s">
        <v>1523</v>
      </c>
      <c r="B1404" s="1" t="s">
        <v>15</v>
      </c>
      <c r="C1404" s="1" t="s">
        <v>1569</v>
      </c>
      <c r="D1404" s="3">
        <v>4676.6400000000003</v>
      </c>
      <c r="E1404" s="3">
        <v>12516247.9</v>
      </c>
      <c r="F1404" s="1" t="s">
        <v>3048</v>
      </c>
      <c r="G1404" s="19">
        <f t="shared" si="100"/>
        <v>4676.6400000000003</v>
      </c>
    </row>
    <row r="1405" spans="1:7">
      <c r="A1405" s="1" t="s">
        <v>1523</v>
      </c>
      <c r="B1405" s="1" t="s">
        <v>15</v>
      </c>
      <c r="C1405" s="1" t="s">
        <v>1570</v>
      </c>
      <c r="D1405" s="3">
        <v>4676.6400000000003</v>
      </c>
      <c r="E1405" s="3">
        <v>12520924.539999999</v>
      </c>
      <c r="F1405" s="1" t="s">
        <v>3048</v>
      </c>
      <c r="G1405" s="19">
        <f t="shared" si="100"/>
        <v>4676.6400000000003</v>
      </c>
    </row>
    <row r="1406" spans="1:7">
      <c r="A1406" s="1" t="s">
        <v>1523</v>
      </c>
      <c r="B1406" s="1" t="s">
        <v>15</v>
      </c>
      <c r="C1406" s="1" t="s">
        <v>1571</v>
      </c>
      <c r="D1406" s="3">
        <v>89343.31</v>
      </c>
      <c r="E1406" s="3">
        <v>12610267.85</v>
      </c>
      <c r="F1406" s="1" t="s">
        <v>3048</v>
      </c>
      <c r="G1406" s="19">
        <f t="shared" si="100"/>
        <v>89343.31</v>
      </c>
    </row>
    <row r="1407" spans="1:7">
      <c r="A1407" s="1" t="s">
        <v>1523</v>
      </c>
      <c r="B1407" s="1" t="s">
        <v>15</v>
      </c>
      <c r="C1407" s="1" t="s">
        <v>1572</v>
      </c>
      <c r="D1407" s="3">
        <v>4676.6400000000003</v>
      </c>
      <c r="E1407" s="3">
        <v>12614944.49</v>
      </c>
      <c r="F1407" s="1" t="s">
        <v>3048</v>
      </c>
      <c r="G1407" s="19">
        <f t="shared" si="100"/>
        <v>4676.6400000000003</v>
      </c>
    </row>
    <row r="1408" spans="1:7">
      <c r="A1408" s="1" t="s">
        <v>1523</v>
      </c>
      <c r="B1408" s="1" t="s">
        <v>15</v>
      </c>
      <c r="C1408" s="1" t="s">
        <v>1573</v>
      </c>
      <c r="D1408" s="3">
        <v>8378.98</v>
      </c>
      <c r="E1408" s="3">
        <v>12623323.470000001</v>
      </c>
      <c r="F1408" s="1" t="s">
        <v>3048</v>
      </c>
      <c r="G1408" s="19">
        <f t="shared" si="100"/>
        <v>8378.98</v>
      </c>
    </row>
    <row r="1409" spans="1:7">
      <c r="A1409" s="1" t="s">
        <v>477</v>
      </c>
      <c r="B1409" s="1" t="s">
        <v>546</v>
      </c>
      <c r="C1409" s="1" t="s">
        <v>547</v>
      </c>
      <c r="D1409" s="3">
        <v>3915.02</v>
      </c>
      <c r="E1409" s="3">
        <v>9714720.3800000008</v>
      </c>
      <c r="F1409" s="2" t="s">
        <v>3048</v>
      </c>
      <c r="G1409" s="19">
        <f t="shared" si="100"/>
        <v>3915.02</v>
      </c>
    </row>
    <row r="1410" spans="1:7">
      <c r="A1410" s="1" t="s">
        <v>1523</v>
      </c>
      <c r="B1410" s="1" t="s">
        <v>15</v>
      </c>
      <c r="C1410" s="1" t="s">
        <v>1575</v>
      </c>
      <c r="D1410" s="3">
        <v>4676.6400000000003</v>
      </c>
      <c r="E1410" s="3">
        <v>12628842.050000001</v>
      </c>
      <c r="F1410" s="1" t="s">
        <v>3048</v>
      </c>
      <c r="G1410" s="19">
        <f t="shared" si="100"/>
        <v>4676.6400000000003</v>
      </c>
    </row>
    <row r="1411" spans="1:7">
      <c r="A1411" s="1" t="s">
        <v>1871</v>
      </c>
      <c r="B1411" s="1" t="s">
        <v>1927</v>
      </c>
      <c r="C1411" s="1" t="s">
        <v>1928</v>
      </c>
      <c r="D1411" s="2">
        <v>430.76</v>
      </c>
      <c r="E1411" s="3">
        <v>11297349.810000001</v>
      </c>
      <c r="F1411" s="2" t="s">
        <v>3048</v>
      </c>
      <c r="G1411" s="19">
        <f t="shared" si="100"/>
        <v>430.76</v>
      </c>
    </row>
    <row r="1412" spans="1:7">
      <c r="A1412" s="1" t="s">
        <v>1523</v>
      </c>
      <c r="B1412" s="1" t="s">
        <v>15</v>
      </c>
      <c r="C1412" s="1" t="s">
        <v>1577</v>
      </c>
      <c r="D1412" s="3">
        <v>26984.75</v>
      </c>
      <c r="E1412" s="3">
        <v>12656531.68</v>
      </c>
      <c r="F1412" s="1" t="s">
        <v>3048</v>
      </c>
      <c r="G1412" s="19">
        <f t="shared" si="100"/>
        <v>26984.75</v>
      </c>
    </row>
    <row r="1413" spans="1:7">
      <c r="A1413" s="1" t="s">
        <v>1523</v>
      </c>
      <c r="B1413" s="1" t="s">
        <v>15</v>
      </c>
      <c r="C1413" s="1" t="s">
        <v>1578</v>
      </c>
      <c r="D1413" s="3">
        <v>21921.75</v>
      </c>
      <c r="E1413" s="3">
        <v>12678453.43</v>
      </c>
      <c r="F1413" s="1" t="s">
        <v>3048</v>
      </c>
      <c r="G1413" s="19">
        <f t="shared" si="100"/>
        <v>21921.75</v>
      </c>
    </row>
    <row r="1414" spans="1:7">
      <c r="A1414" s="1" t="s">
        <v>1523</v>
      </c>
      <c r="B1414" s="1" t="s">
        <v>15</v>
      </c>
      <c r="C1414" s="1" t="s">
        <v>1579</v>
      </c>
      <c r="D1414" s="3">
        <v>8018.72</v>
      </c>
      <c r="E1414" s="3">
        <v>12686472.15</v>
      </c>
      <c r="F1414" s="1" t="s">
        <v>3048</v>
      </c>
      <c r="G1414" s="19">
        <f t="shared" si="100"/>
        <v>8018.72</v>
      </c>
    </row>
    <row r="1415" spans="1:7">
      <c r="A1415" s="1" t="s">
        <v>1523</v>
      </c>
      <c r="B1415" s="1" t="s">
        <v>15</v>
      </c>
      <c r="C1415" s="1" t="s">
        <v>1580</v>
      </c>
      <c r="D1415" s="3">
        <v>9667.58</v>
      </c>
      <c r="E1415" s="3">
        <v>12696139.73</v>
      </c>
      <c r="F1415" s="1" t="s">
        <v>3048</v>
      </c>
      <c r="G1415" s="19">
        <f t="shared" si="100"/>
        <v>9667.58</v>
      </c>
    </row>
    <row r="1416" spans="1:7">
      <c r="A1416" s="1" t="s">
        <v>1523</v>
      </c>
      <c r="B1416" s="1" t="s">
        <v>15</v>
      </c>
      <c r="C1416" s="1" t="s">
        <v>1581</v>
      </c>
      <c r="D1416" s="3">
        <v>15393.04</v>
      </c>
      <c r="E1416" s="3">
        <v>12711532.77</v>
      </c>
      <c r="F1416" s="1" t="s">
        <v>3048</v>
      </c>
      <c r="G1416" s="19">
        <f t="shared" si="100"/>
        <v>15393.04</v>
      </c>
    </row>
    <row r="1417" spans="1:7">
      <c r="A1417" s="1" t="s">
        <v>1523</v>
      </c>
      <c r="B1417" s="1" t="s">
        <v>15</v>
      </c>
      <c r="C1417" s="1" t="s">
        <v>1582</v>
      </c>
      <c r="D1417" s="3">
        <v>14079</v>
      </c>
      <c r="E1417" s="3">
        <v>12725611.77</v>
      </c>
      <c r="F1417" s="1" t="s">
        <v>3048</v>
      </c>
      <c r="G1417" s="19">
        <f t="shared" si="100"/>
        <v>14079</v>
      </c>
    </row>
    <row r="1418" spans="1:7">
      <c r="A1418" s="1" t="s">
        <v>1523</v>
      </c>
      <c r="B1418" s="1" t="s">
        <v>15</v>
      </c>
      <c r="C1418" s="1" t="s">
        <v>1583</v>
      </c>
      <c r="D1418" s="3">
        <v>23772.92</v>
      </c>
      <c r="E1418" s="3">
        <v>12749384.689999999</v>
      </c>
      <c r="F1418" s="1" t="s">
        <v>3048</v>
      </c>
      <c r="G1418" s="19">
        <f t="shared" si="100"/>
        <v>23772.92</v>
      </c>
    </row>
    <row r="1419" spans="1:7">
      <c r="A1419" s="1" t="s">
        <v>1523</v>
      </c>
      <c r="B1419" s="1" t="s">
        <v>15</v>
      </c>
      <c r="C1419" s="1" t="s">
        <v>1584</v>
      </c>
      <c r="D1419" s="3">
        <v>10717.3</v>
      </c>
      <c r="E1419" s="3">
        <v>12760101.99</v>
      </c>
      <c r="F1419" s="1" t="s">
        <v>3048</v>
      </c>
      <c r="G1419" s="19">
        <f t="shared" si="100"/>
        <v>10717.3</v>
      </c>
    </row>
    <row r="1420" spans="1:7">
      <c r="A1420" s="1" t="s">
        <v>1523</v>
      </c>
      <c r="B1420" s="1" t="s">
        <v>15</v>
      </c>
      <c r="C1420" s="1" t="s">
        <v>1585</v>
      </c>
      <c r="D1420" s="3">
        <v>17439.97</v>
      </c>
      <c r="E1420" s="3">
        <v>12777541.960000001</v>
      </c>
      <c r="F1420" s="1" t="s">
        <v>3048</v>
      </c>
      <c r="G1420" s="19">
        <f t="shared" si="100"/>
        <v>17439.97</v>
      </c>
    </row>
    <row r="1421" spans="1:7">
      <c r="A1421" s="1" t="s">
        <v>1523</v>
      </c>
      <c r="B1421" s="1" t="s">
        <v>15</v>
      </c>
      <c r="C1421" s="1" t="s">
        <v>1586</v>
      </c>
      <c r="D1421" s="3">
        <v>71513.62</v>
      </c>
      <c r="E1421" s="3">
        <v>12849055.58</v>
      </c>
      <c r="F1421" s="1" t="s">
        <v>3048</v>
      </c>
      <c r="G1421" s="19">
        <f t="shared" si="100"/>
        <v>71513.62</v>
      </c>
    </row>
    <row r="1422" spans="1:7">
      <c r="A1422" s="1" t="s">
        <v>1523</v>
      </c>
      <c r="B1422" s="1" t="s">
        <v>15</v>
      </c>
      <c r="C1422" s="1" t="s">
        <v>1587</v>
      </c>
      <c r="D1422" s="3">
        <v>4384.3500000000004</v>
      </c>
      <c r="E1422" s="3">
        <v>12853439.93</v>
      </c>
      <c r="F1422" s="1" t="s">
        <v>3048</v>
      </c>
      <c r="G1422" s="19">
        <f t="shared" si="100"/>
        <v>4384.3500000000004</v>
      </c>
    </row>
    <row r="1423" spans="1:7">
      <c r="A1423" s="1" t="s">
        <v>1523</v>
      </c>
      <c r="B1423" s="1" t="s">
        <v>15</v>
      </c>
      <c r="C1423" s="1" t="s">
        <v>1588</v>
      </c>
      <c r="D1423" s="3">
        <v>18803.990000000002</v>
      </c>
      <c r="E1423" s="3">
        <v>12872243.92</v>
      </c>
      <c r="F1423" s="1" t="s">
        <v>3048</v>
      </c>
      <c r="G1423" s="19">
        <f t="shared" si="100"/>
        <v>18803.990000000002</v>
      </c>
    </row>
    <row r="1424" spans="1:7">
      <c r="A1424" s="1" t="s">
        <v>1523</v>
      </c>
      <c r="B1424" s="1" t="s">
        <v>15</v>
      </c>
      <c r="C1424" s="1" t="s">
        <v>1589</v>
      </c>
      <c r="D1424" s="3">
        <v>4183.68</v>
      </c>
      <c r="E1424" s="3">
        <v>12876427.6</v>
      </c>
      <c r="F1424" s="1" t="s">
        <v>3048</v>
      </c>
      <c r="G1424" s="19">
        <f t="shared" si="100"/>
        <v>4183.68</v>
      </c>
    </row>
    <row r="1425" spans="1:7">
      <c r="A1425" s="1" t="s">
        <v>1523</v>
      </c>
      <c r="B1425" s="1" t="s">
        <v>15</v>
      </c>
      <c r="C1425" s="1" t="s">
        <v>1590</v>
      </c>
      <c r="D1425" s="3">
        <v>4286.92</v>
      </c>
      <c r="E1425" s="3">
        <v>12880714.52</v>
      </c>
      <c r="F1425" s="1" t="s">
        <v>3048</v>
      </c>
      <c r="G1425" s="19">
        <f t="shared" si="100"/>
        <v>4286.92</v>
      </c>
    </row>
    <row r="1426" spans="1:7">
      <c r="A1426" s="1" t="s">
        <v>1523</v>
      </c>
      <c r="B1426" s="1" t="s">
        <v>15</v>
      </c>
      <c r="C1426" s="1" t="s">
        <v>1591</v>
      </c>
      <c r="D1426" s="3">
        <v>3778.8</v>
      </c>
      <c r="E1426" s="3">
        <v>12884493.32</v>
      </c>
      <c r="F1426" s="1" t="s">
        <v>3048</v>
      </c>
      <c r="G1426" s="19">
        <f t="shared" si="100"/>
        <v>3778.8</v>
      </c>
    </row>
    <row r="1427" spans="1:7">
      <c r="A1427" s="1" t="s">
        <v>1523</v>
      </c>
      <c r="B1427" s="1" t="s">
        <v>15</v>
      </c>
      <c r="C1427" s="1" t="s">
        <v>1592</v>
      </c>
      <c r="D1427" s="3">
        <v>90880.14</v>
      </c>
      <c r="E1427" s="3">
        <v>12975373.460000001</v>
      </c>
      <c r="F1427" s="1" t="s">
        <v>3048</v>
      </c>
      <c r="G1427" s="19">
        <f t="shared" si="100"/>
        <v>90880.14</v>
      </c>
    </row>
    <row r="1428" spans="1:7">
      <c r="A1428" s="1" t="s">
        <v>1523</v>
      </c>
      <c r="B1428" s="1" t="s">
        <v>15</v>
      </c>
      <c r="C1428" s="1" t="s">
        <v>1593</v>
      </c>
      <c r="D1428" s="3">
        <v>8866.1299999999992</v>
      </c>
      <c r="E1428" s="3">
        <v>12984239.59</v>
      </c>
      <c r="F1428" s="1" t="s">
        <v>3048</v>
      </c>
      <c r="G1428" s="19">
        <f t="shared" si="100"/>
        <v>8866.1299999999992</v>
      </c>
    </row>
    <row r="1429" spans="1:7">
      <c r="A1429" s="1" t="s">
        <v>1523</v>
      </c>
      <c r="B1429" s="1" t="s">
        <v>15</v>
      </c>
      <c r="C1429" s="1" t="s">
        <v>1594</v>
      </c>
      <c r="D1429" s="3">
        <v>18706.560000000001</v>
      </c>
      <c r="E1429" s="3">
        <v>13002946.15</v>
      </c>
      <c r="F1429" s="1" t="s">
        <v>3048</v>
      </c>
      <c r="G1429" s="19">
        <f t="shared" si="100"/>
        <v>18706.560000000001</v>
      </c>
    </row>
    <row r="1430" spans="1:7">
      <c r="A1430" s="1" t="s">
        <v>1523</v>
      </c>
      <c r="B1430" s="1" t="s">
        <v>15</v>
      </c>
      <c r="C1430" s="1" t="s">
        <v>1595</v>
      </c>
      <c r="D1430" s="3">
        <v>14809.36</v>
      </c>
      <c r="E1430" s="3">
        <v>13017755.51</v>
      </c>
      <c r="F1430" s="1" t="s">
        <v>3048</v>
      </c>
      <c r="G1430" s="19">
        <f t="shared" ref="G1430:G1441" si="101">+D1430</f>
        <v>14809.36</v>
      </c>
    </row>
    <row r="1431" spans="1:7">
      <c r="A1431" s="1" t="s">
        <v>1523</v>
      </c>
      <c r="B1431" s="1" t="s">
        <v>15</v>
      </c>
      <c r="C1431" s="1" t="s">
        <v>1596</v>
      </c>
      <c r="D1431" s="3">
        <v>4676.6400000000003</v>
      </c>
      <c r="E1431" s="3">
        <v>13022432.15</v>
      </c>
      <c r="F1431" s="1" t="s">
        <v>3048</v>
      </c>
      <c r="G1431" s="19">
        <f t="shared" si="101"/>
        <v>4676.6400000000003</v>
      </c>
    </row>
    <row r="1432" spans="1:7">
      <c r="A1432" s="1" t="s">
        <v>636</v>
      </c>
      <c r="B1432" s="1" t="s">
        <v>680</v>
      </c>
      <c r="C1432" s="1" t="s">
        <v>681</v>
      </c>
      <c r="D1432" s="3">
        <v>1174.8</v>
      </c>
      <c r="E1432" s="3">
        <v>9440852</v>
      </c>
      <c r="F1432" s="2" t="s">
        <v>3048</v>
      </c>
      <c r="G1432" s="19">
        <f t="shared" si="101"/>
        <v>1174.8</v>
      </c>
    </row>
    <row r="1433" spans="1:7">
      <c r="A1433" s="1" t="s">
        <v>1523</v>
      </c>
      <c r="B1433" s="1" t="s">
        <v>15</v>
      </c>
      <c r="C1433" s="1" t="s">
        <v>1599</v>
      </c>
      <c r="D1433" s="3">
        <v>8573.84</v>
      </c>
      <c r="E1433" s="3">
        <v>13031475.91</v>
      </c>
      <c r="F1433" s="1" t="s">
        <v>3048</v>
      </c>
      <c r="G1433" s="19">
        <f t="shared" si="101"/>
        <v>8573.84</v>
      </c>
    </row>
    <row r="1434" spans="1:7">
      <c r="A1434" s="1" t="s">
        <v>1523</v>
      </c>
      <c r="B1434" s="1" t="s">
        <v>15</v>
      </c>
      <c r="C1434" s="1" t="s">
        <v>1600</v>
      </c>
      <c r="D1434" s="3">
        <v>2338.3200000000002</v>
      </c>
      <c r="E1434" s="3">
        <v>13033814.23</v>
      </c>
      <c r="F1434" s="1" t="s">
        <v>3048</v>
      </c>
      <c r="G1434" s="19">
        <f t="shared" si="101"/>
        <v>2338.3200000000002</v>
      </c>
    </row>
    <row r="1435" spans="1:7">
      <c r="A1435" s="1" t="s">
        <v>1523</v>
      </c>
      <c r="B1435" s="1" t="s">
        <v>15</v>
      </c>
      <c r="C1435" s="1" t="s">
        <v>1601</v>
      </c>
      <c r="D1435" s="3">
        <v>26500.959999999999</v>
      </c>
      <c r="E1435" s="3">
        <v>13060315.189999999</v>
      </c>
      <c r="F1435" s="1" t="s">
        <v>3048</v>
      </c>
      <c r="G1435" s="19">
        <f t="shared" si="101"/>
        <v>26500.959999999999</v>
      </c>
    </row>
    <row r="1436" spans="1:7">
      <c r="A1436" s="1" t="s">
        <v>1523</v>
      </c>
      <c r="B1436" s="1" t="s">
        <v>15</v>
      </c>
      <c r="C1436" s="1" t="s">
        <v>1602</v>
      </c>
      <c r="D1436" s="3">
        <v>3897.2</v>
      </c>
      <c r="E1436" s="3">
        <v>13064212.390000001</v>
      </c>
      <c r="F1436" s="1" t="s">
        <v>3048</v>
      </c>
      <c r="G1436" s="19">
        <f t="shared" si="101"/>
        <v>3897.2</v>
      </c>
    </row>
    <row r="1437" spans="1:7">
      <c r="A1437" s="1" t="s">
        <v>1523</v>
      </c>
      <c r="B1437" s="1" t="s">
        <v>15</v>
      </c>
      <c r="C1437" s="1" t="s">
        <v>1603</v>
      </c>
      <c r="D1437" s="3">
        <v>5358.65</v>
      </c>
      <c r="E1437" s="3">
        <v>13069571.039999999</v>
      </c>
      <c r="F1437" s="1" t="s">
        <v>3048</v>
      </c>
      <c r="G1437" s="19">
        <f t="shared" si="101"/>
        <v>5358.65</v>
      </c>
    </row>
    <row r="1438" spans="1:7">
      <c r="A1438" s="1" t="s">
        <v>1523</v>
      </c>
      <c r="B1438" s="1" t="s">
        <v>15</v>
      </c>
      <c r="C1438" s="1" t="s">
        <v>1604</v>
      </c>
      <c r="D1438" s="3">
        <v>20649.2</v>
      </c>
      <c r="E1438" s="3">
        <v>13090220.24</v>
      </c>
      <c r="F1438" s="1" t="s">
        <v>3048</v>
      </c>
      <c r="G1438" s="19">
        <f t="shared" si="101"/>
        <v>20649.2</v>
      </c>
    </row>
    <row r="1439" spans="1:7">
      <c r="A1439" s="1" t="s">
        <v>1523</v>
      </c>
      <c r="B1439" s="1" t="s">
        <v>15</v>
      </c>
      <c r="C1439" s="1" t="s">
        <v>1605</v>
      </c>
      <c r="D1439" s="3">
        <v>12373.61</v>
      </c>
      <c r="E1439" s="3">
        <v>13102593.85</v>
      </c>
      <c r="F1439" s="1" t="s">
        <v>3048</v>
      </c>
      <c r="G1439" s="19">
        <f t="shared" si="101"/>
        <v>12373.61</v>
      </c>
    </row>
    <row r="1440" spans="1:7">
      <c r="A1440" s="1" t="s">
        <v>1523</v>
      </c>
      <c r="B1440" s="1" t="s">
        <v>15</v>
      </c>
      <c r="C1440" s="1" t="s">
        <v>1606</v>
      </c>
      <c r="D1440" s="3">
        <v>51443.040000000001</v>
      </c>
      <c r="E1440" s="3">
        <v>13154036.890000001</v>
      </c>
      <c r="F1440" s="1" t="s">
        <v>3048</v>
      </c>
      <c r="G1440" s="19">
        <f t="shared" si="101"/>
        <v>51443.040000000001</v>
      </c>
    </row>
    <row r="1441" spans="1:8">
      <c r="A1441" s="1" t="s">
        <v>1523</v>
      </c>
      <c r="B1441" s="1" t="s">
        <v>15</v>
      </c>
      <c r="C1441" s="1" t="s">
        <v>1607</v>
      </c>
      <c r="D1441" s="3">
        <v>57483.7</v>
      </c>
      <c r="E1441" s="3">
        <v>13211520.59</v>
      </c>
      <c r="F1441" s="1" t="s">
        <v>3048</v>
      </c>
      <c r="G1441" s="19">
        <f t="shared" si="101"/>
        <v>57483.7</v>
      </c>
    </row>
    <row r="1442" spans="1:8">
      <c r="A1442" s="1" t="s">
        <v>1523</v>
      </c>
      <c r="B1442" s="1" t="s">
        <v>480</v>
      </c>
      <c r="C1442" s="1" t="s">
        <v>1608</v>
      </c>
      <c r="D1442" s="3">
        <v>-193502.69</v>
      </c>
      <c r="E1442" s="3">
        <v>13018017.9</v>
      </c>
      <c r="G1442" s="19">
        <f>+D1442/1.006</f>
        <v>-192348.59840954276</v>
      </c>
      <c r="H1442" s="19">
        <f>+D1442-G1442</f>
        <v>-1154.0915904572466</v>
      </c>
    </row>
    <row r="1443" spans="1:8">
      <c r="A1443" s="1" t="s">
        <v>477</v>
      </c>
      <c r="B1443" s="1" t="s">
        <v>516</v>
      </c>
      <c r="C1443" s="1" t="s">
        <v>517</v>
      </c>
      <c r="D1443" s="3">
        <v>1370.6</v>
      </c>
      <c r="E1443" s="3">
        <v>8933669.3300000001</v>
      </c>
      <c r="F1443" s="2" t="s">
        <v>3048</v>
      </c>
      <c r="G1443" s="19">
        <f>+D1443</f>
        <v>1370.6</v>
      </c>
    </row>
    <row r="1444" spans="1:8">
      <c r="A1444" s="1" t="s">
        <v>1523</v>
      </c>
      <c r="B1444" s="1" t="s">
        <v>1609</v>
      </c>
      <c r="C1444" s="1" t="s">
        <v>1610</v>
      </c>
      <c r="D1444" s="3">
        <v>-136654.79999999999</v>
      </c>
      <c r="E1444" s="3">
        <v>12880202.08</v>
      </c>
      <c r="G1444" s="19">
        <f>+D1444/1.006</f>
        <v>-135839.76143141152</v>
      </c>
      <c r="H1444" s="19">
        <f>+D1444-G1444</f>
        <v>-815.03856858846848</v>
      </c>
    </row>
    <row r="1445" spans="1:8">
      <c r="A1445" s="1" t="s">
        <v>1428</v>
      </c>
      <c r="B1445" s="1" t="s">
        <v>1440</v>
      </c>
      <c r="C1445" s="1" t="s">
        <v>1441</v>
      </c>
      <c r="D1445" s="2">
        <v>195.8</v>
      </c>
      <c r="E1445" s="3">
        <v>11500504.9</v>
      </c>
      <c r="F1445" s="2" t="s">
        <v>3048</v>
      </c>
      <c r="G1445" s="19">
        <f t="shared" ref="G1445:G1477" si="102">+D1445</f>
        <v>195.8</v>
      </c>
    </row>
    <row r="1446" spans="1:8">
      <c r="A1446" s="1" t="s">
        <v>1523</v>
      </c>
      <c r="B1446" s="1" t="s">
        <v>15</v>
      </c>
      <c r="C1446" s="1" t="s">
        <v>1611</v>
      </c>
      <c r="D1446" s="3">
        <v>12764.96</v>
      </c>
      <c r="E1446" s="3">
        <v>12892147.109999999</v>
      </c>
      <c r="F1446" s="1" t="s">
        <v>3048</v>
      </c>
      <c r="G1446" s="19">
        <f t="shared" si="102"/>
        <v>12764.96</v>
      </c>
    </row>
    <row r="1447" spans="1:8">
      <c r="A1447" s="1" t="s">
        <v>1523</v>
      </c>
      <c r="B1447" s="1" t="s">
        <v>15</v>
      </c>
      <c r="C1447" s="1" t="s">
        <v>1612</v>
      </c>
      <c r="D1447" s="3">
        <v>9353.2800000000007</v>
      </c>
      <c r="E1447" s="3">
        <v>12901500.390000001</v>
      </c>
      <c r="F1447" s="1" t="s">
        <v>3048</v>
      </c>
      <c r="G1447" s="19">
        <f t="shared" si="102"/>
        <v>9353.2800000000007</v>
      </c>
    </row>
    <row r="1448" spans="1:8">
      <c r="A1448" s="1" t="s">
        <v>904</v>
      </c>
      <c r="B1448" s="1" t="s">
        <v>935</v>
      </c>
      <c r="C1448" s="1" t="s">
        <v>936</v>
      </c>
      <c r="D1448" s="3">
        <v>1262.9100000000001</v>
      </c>
      <c r="E1448" s="3">
        <v>14911266.26</v>
      </c>
      <c r="F1448" s="2" t="s">
        <v>3048</v>
      </c>
      <c r="G1448" s="19">
        <f t="shared" si="102"/>
        <v>1262.9100000000001</v>
      </c>
    </row>
    <row r="1449" spans="1:8">
      <c r="A1449" s="1" t="s">
        <v>1523</v>
      </c>
      <c r="B1449" s="1" t="s">
        <v>15</v>
      </c>
      <c r="C1449" s="1" t="s">
        <v>1615</v>
      </c>
      <c r="D1449" s="3">
        <v>4676.6400000000003</v>
      </c>
      <c r="E1449" s="3">
        <v>12907586.789999999</v>
      </c>
      <c r="F1449" s="1" t="s">
        <v>3048</v>
      </c>
      <c r="G1449" s="19">
        <f t="shared" si="102"/>
        <v>4676.6400000000003</v>
      </c>
    </row>
    <row r="1450" spans="1:8">
      <c r="A1450" s="1" t="s">
        <v>1523</v>
      </c>
      <c r="B1450" s="1" t="s">
        <v>15</v>
      </c>
      <c r="C1450" s="1" t="s">
        <v>1616</v>
      </c>
      <c r="D1450" s="3">
        <v>11399.31</v>
      </c>
      <c r="E1450" s="3">
        <v>12918986.1</v>
      </c>
      <c r="F1450" s="1" t="s">
        <v>3048</v>
      </c>
      <c r="G1450" s="19">
        <f t="shared" si="102"/>
        <v>11399.31</v>
      </c>
    </row>
    <row r="1451" spans="1:8">
      <c r="A1451" s="1" t="s">
        <v>1286</v>
      </c>
      <c r="B1451" s="1" t="s">
        <v>1352</v>
      </c>
      <c r="C1451" s="1" t="s">
        <v>1353</v>
      </c>
      <c r="D1451" s="2">
        <v>234.96</v>
      </c>
      <c r="E1451" s="3">
        <v>14746828.49</v>
      </c>
      <c r="F1451" s="2" t="s">
        <v>3048</v>
      </c>
      <c r="G1451" s="19">
        <f t="shared" si="102"/>
        <v>234.96</v>
      </c>
    </row>
    <row r="1452" spans="1:8">
      <c r="A1452" s="1" t="s">
        <v>1523</v>
      </c>
      <c r="B1452" s="1" t="s">
        <v>15</v>
      </c>
      <c r="C1452" s="1" t="s">
        <v>1618</v>
      </c>
      <c r="D1452" s="3">
        <v>9353.2800000000007</v>
      </c>
      <c r="E1452" s="3">
        <v>12928912.09</v>
      </c>
      <c r="F1452" s="1" t="s">
        <v>3048</v>
      </c>
      <c r="G1452" s="19">
        <f t="shared" si="102"/>
        <v>9353.2800000000007</v>
      </c>
    </row>
    <row r="1453" spans="1:8">
      <c r="A1453" s="1" t="s">
        <v>1523</v>
      </c>
      <c r="B1453" s="1" t="s">
        <v>15</v>
      </c>
      <c r="C1453" s="1" t="s">
        <v>1619</v>
      </c>
      <c r="D1453" s="3">
        <v>9353.2800000000007</v>
      </c>
      <c r="E1453" s="3">
        <v>12938265.369999999</v>
      </c>
      <c r="F1453" s="1" t="s">
        <v>3048</v>
      </c>
      <c r="G1453" s="19">
        <f t="shared" si="102"/>
        <v>9353.2800000000007</v>
      </c>
    </row>
    <row r="1454" spans="1:8">
      <c r="A1454" s="1" t="s">
        <v>1523</v>
      </c>
      <c r="B1454" s="1" t="s">
        <v>15</v>
      </c>
      <c r="C1454" s="1" t="s">
        <v>1620</v>
      </c>
      <c r="D1454" s="3">
        <v>20216.580000000002</v>
      </c>
      <c r="E1454" s="3">
        <v>12958481.949999999</v>
      </c>
      <c r="F1454" s="1" t="s">
        <v>3048</v>
      </c>
      <c r="G1454" s="19">
        <f t="shared" si="102"/>
        <v>20216.580000000002</v>
      </c>
    </row>
    <row r="1455" spans="1:8">
      <c r="A1455" s="1" t="s">
        <v>1523</v>
      </c>
      <c r="B1455" s="1" t="s">
        <v>15</v>
      </c>
      <c r="C1455" s="1" t="s">
        <v>1621</v>
      </c>
      <c r="D1455" s="3">
        <v>41797.47</v>
      </c>
      <c r="E1455" s="3">
        <v>13000279.42</v>
      </c>
      <c r="F1455" s="1" t="s">
        <v>3048</v>
      </c>
      <c r="G1455" s="19">
        <f t="shared" si="102"/>
        <v>41797.47</v>
      </c>
    </row>
    <row r="1456" spans="1:8">
      <c r="A1456" s="1" t="s">
        <v>1523</v>
      </c>
      <c r="B1456" s="1" t="s">
        <v>15</v>
      </c>
      <c r="C1456" s="1" t="s">
        <v>1622</v>
      </c>
      <c r="D1456" s="3">
        <v>4676.6400000000003</v>
      </c>
      <c r="E1456" s="3">
        <v>13004956.060000001</v>
      </c>
      <c r="F1456" s="1" t="s">
        <v>3048</v>
      </c>
      <c r="G1456" s="19">
        <f t="shared" si="102"/>
        <v>4676.6400000000003</v>
      </c>
    </row>
    <row r="1457" spans="1:7">
      <c r="A1457" s="1" t="s">
        <v>1523</v>
      </c>
      <c r="B1457" s="1" t="s">
        <v>15</v>
      </c>
      <c r="C1457" s="1" t="s">
        <v>1623</v>
      </c>
      <c r="D1457" s="3">
        <v>89337.68</v>
      </c>
      <c r="E1457" s="3">
        <v>13094293.74</v>
      </c>
      <c r="F1457" s="1" t="s">
        <v>3048</v>
      </c>
      <c r="G1457" s="19">
        <f t="shared" si="102"/>
        <v>89337.68</v>
      </c>
    </row>
    <row r="1458" spans="1:7">
      <c r="A1458" s="1" t="s">
        <v>1523</v>
      </c>
      <c r="B1458" s="1" t="s">
        <v>15</v>
      </c>
      <c r="C1458" s="1" t="s">
        <v>1624</v>
      </c>
      <c r="D1458" s="3">
        <v>4534.5600000000004</v>
      </c>
      <c r="E1458" s="3">
        <v>13098828.300000001</v>
      </c>
      <c r="F1458" s="1" t="s">
        <v>3048</v>
      </c>
      <c r="G1458" s="19">
        <f t="shared" si="102"/>
        <v>4534.5600000000004</v>
      </c>
    </row>
    <row r="1459" spans="1:7">
      <c r="A1459" s="1" t="s">
        <v>1523</v>
      </c>
      <c r="B1459" s="1" t="s">
        <v>15</v>
      </c>
      <c r="C1459" s="1" t="s">
        <v>1625</v>
      </c>
      <c r="D1459" s="3">
        <v>9548.14</v>
      </c>
      <c r="E1459" s="3">
        <v>13108376.439999999</v>
      </c>
      <c r="F1459" s="1" t="s">
        <v>3048</v>
      </c>
      <c r="G1459" s="19">
        <f t="shared" si="102"/>
        <v>9548.14</v>
      </c>
    </row>
    <row r="1460" spans="1:7">
      <c r="A1460" s="1" t="s">
        <v>1523</v>
      </c>
      <c r="B1460" s="1" t="s">
        <v>15</v>
      </c>
      <c r="C1460" s="1" t="s">
        <v>1626</v>
      </c>
      <c r="D1460" s="3">
        <v>8768.7000000000007</v>
      </c>
      <c r="E1460" s="3">
        <v>13117145.140000001</v>
      </c>
      <c r="F1460" s="1" t="s">
        <v>3048</v>
      </c>
      <c r="G1460" s="19">
        <f t="shared" si="102"/>
        <v>8768.7000000000007</v>
      </c>
    </row>
    <row r="1461" spans="1:7">
      <c r="A1461" s="1" t="s">
        <v>1523</v>
      </c>
      <c r="B1461" s="1" t="s">
        <v>15</v>
      </c>
      <c r="C1461" s="1" t="s">
        <v>1627</v>
      </c>
      <c r="D1461" s="3">
        <v>16910.13</v>
      </c>
      <c r="E1461" s="3">
        <v>13134055.27</v>
      </c>
      <c r="F1461" s="1" t="s">
        <v>3048</v>
      </c>
      <c r="G1461" s="19">
        <f t="shared" si="102"/>
        <v>16910.13</v>
      </c>
    </row>
    <row r="1462" spans="1:7">
      <c r="A1462" s="1" t="s">
        <v>1523</v>
      </c>
      <c r="B1462" s="1" t="s">
        <v>15</v>
      </c>
      <c r="C1462" s="1" t="s">
        <v>1628</v>
      </c>
      <c r="D1462" s="3">
        <v>34764.959999999999</v>
      </c>
      <c r="E1462" s="3">
        <v>13168820.23</v>
      </c>
      <c r="F1462" s="1" t="s">
        <v>3048</v>
      </c>
      <c r="G1462" s="19">
        <f t="shared" si="102"/>
        <v>34764.959999999999</v>
      </c>
    </row>
    <row r="1463" spans="1:7">
      <c r="A1463" s="1" t="s">
        <v>1523</v>
      </c>
      <c r="B1463" s="1" t="s">
        <v>15</v>
      </c>
      <c r="C1463" s="1" t="s">
        <v>1629</v>
      </c>
      <c r="D1463" s="3">
        <v>4129.84</v>
      </c>
      <c r="E1463" s="3">
        <v>13172950.07</v>
      </c>
      <c r="F1463" s="1" t="s">
        <v>3048</v>
      </c>
      <c r="G1463" s="19">
        <f t="shared" si="102"/>
        <v>4129.84</v>
      </c>
    </row>
    <row r="1464" spans="1:7">
      <c r="A1464" s="1" t="s">
        <v>1630</v>
      </c>
      <c r="B1464" s="1" t="s">
        <v>15</v>
      </c>
      <c r="C1464" s="1" t="s">
        <v>1631</v>
      </c>
      <c r="D1464" s="3">
        <v>58360.57</v>
      </c>
      <c r="E1464" s="3">
        <v>13231310.640000001</v>
      </c>
      <c r="F1464" s="1" t="s">
        <v>3048</v>
      </c>
      <c r="G1464" s="19">
        <f t="shared" si="102"/>
        <v>58360.57</v>
      </c>
    </row>
    <row r="1465" spans="1:7">
      <c r="A1465" s="1" t="s">
        <v>1630</v>
      </c>
      <c r="B1465" s="1" t="s">
        <v>15</v>
      </c>
      <c r="C1465" s="1" t="s">
        <v>1632</v>
      </c>
      <c r="D1465" s="3">
        <v>4912.4399999999996</v>
      </c>
      <c r="E1465" s="3">
        <v>13236223.08</v>
      </c>
      <c r="F1465" s="1" t="s">
        <v>3048</v>
      </c>
      <c r="G1465" s="19">
        <f t="shared" si="102"/>
        <v>4912.4399999999996</v>
      </c>
    </row>
    <row r="1466" spans="1:7">
      <c r="A1466" s="1" t="s">
        <v>1630</v>
      </c>
      <c r="B1466" s="1" t="s">
        <v>15</v>
      </c>
      <c r="C1466" s="1" t="s">
        <v>1633</v>
      </c>
      <c r="D1466" s="3">
        <v>98501.73</v>
      </c>
      <c r="E1466" s="3">
        <v>13334724.810000001</v>
      </c>
      <c r="F1466" s="1" t="s">
        <v>3048</v>
      </c>
      <c r="G1466" s="19">
        <f t="shared" si="102"/>
        <v>98501.73</v>
      </c>
    </row>
    <row r="1467" spans="1:7">
      <c r="A1467" s="1" t="s">
        <v>1630</v>
      </c>
      <c r="B1467" s="1" t="s">
        <v>15</v>
      </c>
      <c r="C1467" s="1" t="s">
        <v>1634</v>
      </c>
      <c r="D1467" s="3">
        <v>9450.7099999999991</v>
      </c>
      <c r="E1467" s="3">
        <v>13344175.52</v>
      </c>
      <c r="F1467" s="1" t="s">
        <v>3048</v>
      </c>
      <c r="G1467" s="19">
        <f t="shared" si="102"/>
        <v>9450.7099999999991</v>
      </c>
    </row>
    <row r="1468" spans="1:7">
      <c r="A1468" s="1" t="s">
        <v>1630</v>
      </c>
      <c r="B1468" s="1" t="s">
        <v>15</v>
      </c>
      <c r="C1468" s="1" t="s">
        <v>1635</v>
      </c>
      <c r="D1468" s="3">
        <v>45031.839999999997</v>
      </c>
      <c r="E1468" s="3">
        <v>13389207.359999999</v>
      </c>
      <c r="F1468" s="1" t="s">
        <v>3048</v>
      </c>
      <c r="G1468" s="19">
        <f t="shared" si="102"/>
        <v>45031.839999999997</v>
      </c>
    </row>
    <row r="1469" spans="1:7">
      <c r="A1469" s="1" t="s">
        <v>1630</v>
      </c>
      <c r="B1469" s="1" t="s">
        <v>15</v>
      </c>
      <c r="C1469" s="1" t="s">
        <v>1636</v>
      </c>
      <c r="D1469" s="3">
        <v>42382.05</v>
      </c>
      <c r="E1469" s="3">
        <v>13431589.41</v>
      </c>
      <c r="F1469" s="1" t="s">
        <v>3048</v>
      </c>
      <c r="G1469" s="19">
        <f t="shared" si="102"/>
        <v>42382.05</v>
      </c>
    </row>
    <row r="1470" spans="1:7">
      <c r="A1470" s="1" t="s">
        <v>1630</v>
      </c>
      <c r="B1470" s="1" t="s">
        <v>15</v>
      </c>
      <c r="C1470" s="1" t="s">
        <v>1637</v>
      </c>
      <c r="D1470" s="3">
        <v>47740.7</v>
      </c>
      <c r="E1470" s="3">
        <v>13479330.109999999</v>
      </c>
      <c r="F1470" s="1" t="s">
        <v>3048</v>
      </c>
      <c r="G1470" s="19">
        <f t="shared" si="102"/>
        <v>47740.7</v>
      </c>
    </row>
    <row r="1471" spans="1:7">
      <c r="A1471" s="1" t="s">
        <v>761</v>
      </c>
      <c r="B1471" s="1" t="s">
        <v>850</v>
      </c>
      <c r="C1471" s="1" t="s">
        <v>851</v>
      </c>
      <c r="D1471" s="2">
        <v>469.92</v>
      </c>
      <c r="E1471" s="3">
        <v>13221820.34</v>
      </c>
      <c r="F1471" s="2" t="s">
        <v>3048</v>
      </c>
      <c r="G1471" s="19">
        <f t="shared" si="102"/>
        <v>469.92</v>
      </c>
    </row>
    <row r="1472" spans="1:7">
      <c r="A1472" s="1" t="s">
        <v>1630</v>
      </c>
      <c r="B1472" s="1" t="s">
        <v>15</v>
      </c>
      <c r="C1472" s="1" t="s">
        <v>1639</v>
      </c>
      <c r="D1472" s="3">
        <v>17732.259999999998</v>
      </c>
      <c r="E1472" s="3">
        <v>13501859.470000001</v>
      </c>
      <c r="F1472" s="1" t="s">
        <v>3048</v>
      </c>
      <c r="G1472" s="19">
        <f t="shared" si="102"/>
        <v>17732.259999999998</v>
      </c>
    </row>
    <row r="1473" spans="1:8">
      <c r="A1473" s="1" t="s">
        <v>1630</v>
      </c>
      <c r="B1473" s="1" t="s">
        <v>15</v>
      </c>
      <c r="C1473" s="1" t="s">
        <v>1640</v>
      </c>
      <c r="D1473" s="3">
        <v>8124.42</v>
      </c>
      <c r="E1473" s="3">
        <v>13509983.890000001</v>
      </c>
      <c r="F1473" s="1" t="s">
        <v>3048</v>
      </c>
      <c r="G1473" s="19">
        <f t="shared" si="102"/>
        <v>8124.42</v>
      </c>
    </row>
    <row r="1474" spans="1:8">
      <c r="A1474" s="1" t="s">
        <v>1630</v>
      </c>
      <c r="B1474" s="1" t="s">
        <v>15</v>
      </c>
      <c r="C1474" s="1" t="s">
        <v>1641</v>
      </c>
      <c r="D1474" s="3">
        <v>45986.96</v>
      </c>
      <c r="E1474" s="3">
        <v>13555970.85</v>
      </c>
      <c r="F1474" s="1" t="s">
        <v>3048</v>
      </c>
      <c r="G1474" s="19">
        <f t="shared" si="102"/>
        <v>45986.96</v>
      </c>
    </row>
    <row r="1475" spans="1:8">
      <c r="A1475" s="1" t="s">
        <v>1630</v>
      </c>
      <c r="B1475" s="1" t="s">
        <v>15</v>
      </c>
      <c r="C1475" s="1" t="s">
        <v>1642</v>
      </c>
      <c r="D1475" s="3">
        <v>18706.560000000001</v>
      </c>
      <c r="E1475" s="3">
        <v>13574677.41</v>
      </c>
      <c r="F1475" s="1" t="s">
        <v>3048</v>
      </c>
      <c r="G1475" s="19">
        <f t="shared" si="102"/>
        <v>18706.560000000001</v>
      </c>
    </row>
    <row r="1476" spans="1:8">
      <c r="A1476" s="1" t="s">
        <v>1630</v>
      </c>
      <c r="B1476" s="1" t="s">
        <v>15</v>
      </c>
      <c r="C1476" s="1" t="s">
        <v>1643</v>
      </c>
      <c r="D1476" s="3">
        <v>28352.13</v>
      </c>
      <c r="E1476" s="3">
        <v>13603029.539999999</v>
      </c>
      <c r="F1476" s="1" t="s">
        <v>3048</v>
      </c>
      <c r="G1476" s="19">
        <f t="shared" si="102"/>
        <v>28352.13</v>
      </c>
    </row>
    <row r="1477" spans="1:8">
      <c r="A1477" s="1" t="s">
        <v>1871</v>
      </c>
      <c r="B1477" s="1" t="s">
        <v>850</v>
      </c>
      <c r="C1477" s="1" t="s">
        <v>1965</v>
      </c>
      <c r="D1477" s="2">
        <v>939.84</v>
      </c>
      <c r="E1477" s="3">
        <v>9787518.9900000002</v>
      </c>
      <c r="F1477" s="2" t="s">
        <v>3048</v>
      </c>
      <c r="G1477" s="19">
        <f t="shared" si="102"/>
        <v>939.84</v>
      </c>
    </row>
    <row r="1478" spans="1:8">
      <c r="A1478" s="1" t="s">
        <v>1630</v>
      </c>
      <c r="B1478" s="1" t="s">
        <v>49</v>
      </c>
      <c r="C1478" s="1" t="s">
        <v>1646</v>
      </c>
      <c r="D1478" s="3">
        <v>-65698.570000000007</v>
      </c>
      <c r="E1478" s="3">
        <v>13540179.859999999</v>
      </c>
      <c r="G1478" s="19">
        <f>+D1478/1.006</f>
        <v>-65306.729622266408</v>
      </c>
      <c r="H1478" s="19">
        <f>+D1478-G1478</f>
        <v>-391.84037773359887</v>
      </c>
    </row>
    <row r="1479" spans="1:8">
      <c r="A1479" s="1" t="s">
        <v>636</v>
      </c>
      <c r="B1479" s="1" t="s">
        <v>663</v>
      </c>
      <c r="C1479" s="1" t="s">
        <v>664</v>
      </c>
      <c r="D1479" s="2">
        <v>234.96</v>
      </c>
      <c r="E1479" s="3">
        <v>9126124.6699999999</v>
      </c>
      <c r="F1479" s="2" t="s">
        <v>3048</v>
      </c>
      <c r="G1479" s="19">
        <f>+D1479</f>
        <v>234.96</v>
      </c>
    </row>
    <row r="1480" spans="1:8">
      <c r="A1480" s="1" t="s">
        <v>1630</v>
      </c>
      <c r="B1480" s="1" t="s">
        <v>482</v>
      </c>
      <c r="C1480" s="1" t="s">
        <v>1647</v>
      </c>
      <c r="D1480" s="3">
        <v>-117019.17</v>
      </c>
      <c r="E1480" s="3">
        <v>13422766.5</v>
      </c>
      <c r="G1480" s="19">
        <f>+D1480/1.006</f>
        <v>-116321.24254473161</v>
      </c>
      <c r="H1480" s="19">
        <f>+D1480-G1480</f>
        <v>-697.92745526839281</v>
      </c>
    </row>
    <row r="1481" spans="1:8">
      <c r="A1481" s="1" t="s">
        <v>1793</v>
      </c>
      <c r="B1481" s="1" t="s">
        <v>1864</v>
      </c>
      <c r="C1481" s="1" t="s">
        <v>1865</v>
      </c>
      <c r="D1481" s="3">
        <v>1042.6300000000001</v>
      </c>
      <c r="E1481" s="3">
        <v>10197505.939999999</v>
      </c>
      <c r="F1481" s="2" t="s">
        <v>3048</v>
      </c>
      <c r="G1481" s="19">
        <f>+D1481</f>
        <v>1042.6300000000001</v>
      </c>
    </row>
    <row r="1482" spans="1:8">
      <c r="A1482" s="1" t="s">
        <v>1630</v>
      </c>
      <c r="B1482" s="1" t="s">
        <v>557</v>
      </c>
      <c r="C1482" s="1" t="s">
        <v>1648</v>
      </c>
      <c r="D1482" s="3">
        <v>-74435.95</v>
      </c>
      <c r="E1482" s="3">
        <v>13347628.43</v>
      </c>
      <c r="G1482" s="19">
        <f t="shared" ref="G1482:G1483" si="103">+D1482/1.006</f>
        <v>-73991.99801192843</v>
      </c>
      <c r="H1482" s="19">
        <f t="shared" ref="H1482:H1483" si="104">+D1482-G1482</f>
        <v>-443.95198807156703</v>
      </c>
    </row>
    <row r="1483" spans="1:8">
      <c r="A1483" s="1" t="s">
        <v>1630</v>
      </c>
      <c r="B1483" s="1" t="s">
        <v>557</v>
      </c>
      <c r="C1483" s="1" t="s">
        <v>1649</v>
      </c>
      <c r="D1483" s="3">
        <v>-150807.45000000001</v>
      </c>
      <c r="E1483" s="3">
        <v>13196820.98</v>
      </c>
      <c r="G1483" s="19">
        <f t="shared" si="103"/>
        <v>-149908.00198807157</v>
      </c>
      <c r="H1483" s="19">
        <f t="shared" si="104"/>
        <v>-899.4480119284417</v>
      </c>
    </row>
    <row r="1484" spans="1:8">
      <c r="A1484" s="1" t="s">
        <v>1630</v>
      </c>
      <c r="B1484" s="1" t="s">
        <v>15</v>
      </c>
      <c r="C1484" s="1" t="s">
        <v>1650</v>
      </c>
      <c r="D1484" s="3">
        <v>4335.63</v>
      </c>
      <c r="E1484" s="3">
        <v>13201156.609999999</v>
      </c>
      <c r="F1484" s="1" t="s">
        <v>3048</v>
      </c>
      <c r="G1484" s="19">
        <f t="shared" ref="G1484:G1547" si="105">+D1484</f>
        <v>4335.63</v>
      </c>
    </row>
    <row r="1485" spans="1:8">
      <c r="A1485" s="1" t="s">
        <v>121</v>
      </c>
      <c r="B1485" s="1" t="s">
        <v>174</v>
      </c>
      <c r="C1485" s="1" t="s">
        <v>175</v>
      </c>
      <c r="D1485" s="2">
        <v>469.92</v>
      </c>
      <c r="E1485" s="3">
        <v>12217832.5</v>
      </c>
      <c r="F1485" s="2" t="s">
        <v>3048</v>
      </c>
      <c r="G1485" s="19">
        <f t="shared" si="105"/>
        <v>469.92</v>
      </c>
    </row>
    <row r="1486" spans="1:8">
      <c r="A1486" s="1" t="s">
        <v>1630</v>
      </c>
      <c r="B1486" s="1" t="s">
        <v>15</v>
      </c>
      <c r="C1486" s="1" t="s">
        <v>1653</v>
      </c>
      <c r="D1486" s="3">
        <v>23578.06</v>
      </c>
      <c r="E1486" s="3">
        <v>13224952.01</v>
      </c>
      <c r="F1486" s="1" t="s">
        <v>3048</v>
      </c>
      <c r="G1486" s="19">
        <f t="shared" si="105"/>
        <v>23578.06</v>
      </c>
    </row>
    <row r="1487" spans="1:8">
      <c r="A1487" s="1" t="s">
        <v>1630</v>
      </c>
      <c r="B1487" s="1" t="s">
        <v>15</v>
      </c>
      <c r="C1487" s="1" t="s">
        <v>1654</v>
      </c>
      <c r="D1487" s="3">
        <v>11301.88</v>
      </c>
      <c r="E1487" s="3">
        <v>13236253.890000001</v>
      </c>
      <c r="F1487" s="1" t="s">
        <v>3048</v>
      </c>
      <c r="G1487" s="19">
        <f t="shared" si="105"/>
        <v>11301.88</v>
      </c>
    </row>
    <row r="1488" spans="1:8">
      <c r="A1488" s="1" t="s">
        <v>1630</v>
      </c>
      <c r="B1488" s="1" t="s">
        <v>15</v>
      </c>
      <c r="C1488" s="1" t="s">
        <v>1655</v>
      </c>
      <c r="D1488" s="3">
        <v>14029.92</v>
      </c>
      <c r="E1488" s="3">
        <v>13250283.810000001</v>
      </c>
      <c r="F1488" s="1" t="s">
        <v>3048</v>
      </c>
      <c r="G1488" s="19">
        <f t="shared" si="105"/>
        <v>14029.92</v>
      </c>
    </row>
    <row r="1489" spans="1:7">
      <c r="A1489" s="1" t="s">
        <v>1871</v>
      </c>
      <c r="B1489" s="1" t="s">
        <v>174</v>
      </c>
      <c r="C1489" s="1" t="s">
        <v>1924</v>
      </c>
      <c r="D1489" s="2">
        <v>234.96</v>
      </c>
      <c r="E1489" s="3">
        <v>11133431.51</v>
      </c>
      <c r="F1489" s="2" t="s">
        <v>3048</v>
      </c>
      <c r="G1489" s="19">
        <f t="shared" si="105"/>
        <v>234.96</v>
      </c>
    </row>
    <row r="1490" spans="1:7">
      <c r="A1490" s="1" t="s">
        <v>1630</v>
      </c>
      <c r="B1490" s="1" t="s">
        <v>15</v>
      </c>
      <c r="C1490" s="1" t="s">
        <v>1657</v>
      </c>
      <c r="D1490" s="3">
        <v>4774.07</v>
      </c>
      <c r="E1490" s="3">
        <v>13255762.76</v>
      </c>
      <c r="F1490" s="1" t="s">
        <v>3048</v>
      </c>
      <c r="G1490" s="19">
        <f t="shared" si="105"/>
        <v>4774.07</v>
      </c>
    </row>
    <row r="1491" spans="1:7">
      <c r="A1491" s="1" t="s">
        <v>1630</v>
      </c>
      <c r="B1491" s="1" t="s">
        <v>15</v>
      </c>
      <c r="C1491" s="1" t="s">
        <v>1658</v>
      </c>
      <c r="D1491" s="3">
        <v>18138.240000000002</v>
      </c>
      <c r="E1491" s="3">
        <v>13273901</v>
      </c>
      <c r="F1491" s="1" t="s">
        <v>3048</v>
      </c>
      <c r="G1491" s="19">
        <f t="shared" si="105"/>
        <v>18138.240000000002</v>
      </c>
    </row>
    <row r="1492" spans="1:7">
      <c r="A1492" s="1" t="s">
        <v>1630</v>
      </c>
      <c r="B1492" s="1" t="s">
        <v>15</v>
      </c>
      <c r="C1492" s="1" t="s">
        <v>1659</v>
      </c>
      <c r="D1492" s="3">
        <v>15004.22</v>
      </c>
      <c r="E1492" s="3">
        <v>13288905.220000001</v>
      </c>
      <c r="F1492" s="1" t="s">
        <v>3048</v>
      </c>
      <c r="G1492" s="19">
        <f t="shared" si="105"/>
        <v>15004.22</v>
      </c>
    </row>
    <row r="1493" spans="1:7">
      <c r="A1493" s="1" t="s">
        <v>1630</v>
      </c>
      <c r="B1493" s="1" t="s">
        <v>15</v>
      </c>
      <c r="C1493" s="1" t="s">
        <v>1660</v>
      </c>
      <c r="D1493" s="3">
        <v>18138.240000000002</v>
      </c>
      <c r="E1493" s="3">
        <v>13307043.460000001</v>
      </c>
      <c r="F1493" s="1" t="s">
        <v>3048</v>
      </c>
      <c r="G1493" s="19">
        <f t="shared" si="105"/>
        <v>18138.240000000002</v>
      </c>
    </row>
    <row r="1494" spans="1:7">
      <c r="A1494" s="1" t="s">
        <v>1630</v>
      </c>
      <c r="B1494" s="1" t="s">
        <v>15</v>
      </c>
      <c r="C1494" s="1" t="s">
        <v>1661</v>
      </c>
      <c r="D1494" s="3">
        <v>4676.6400000000003</v>
      </c>
      <c r="E1494" s="3">
        <v>13311720.1</v>
      </c>
      <c r="F1494" s="1" t="s">
        <v>3048</v>
      </c>
      <c r="G1494" s="19">
        <f t="shared" si="105"/>
        <v>4676.6400000000003</v>
      </c>
    </row>
    <row r="1495" spans="1:7">
      <c r="A1495" s="1" t="s">
        <v>1630</v>
      </c>
      <c r="B1495" s="1" t="s">
        <v>15</v>
      </c>
      <c r="C1495" s="1" t="s">
        <v>1662</v>
      </c>
      <c r="D1495" s="3">
        <v>8184.12</v>
      </c>
      <c r="E1495" s="3">
        <v>13319904.220000001</v>
      </c>
      <c r="F1495" s="1" t="s">
        <v>3048</v>
      </c>
      <c r="G1495" s="19">
        <f t="shared" si="105"/>
        <v>8184.12</v>
      </c>
    </row>
    <row r="1496" spans="1:7">
      <c r="A1496" s="1" t="s">
        <v>1630</v>
      </c>
      <c r="B1496" s="1" t="s">
        <v>15</v>
      </c>
      <c r="C1496" s="1" t="s">
        <v>1663</v>
      </c>
      <c r="D1496" s="3">
        <v>7935.48</v>
      </c>
      <c r="E1496" s="3">
        <v>13327839.699999999</v>
      </c>
      <c r="F1496" s="1" t="s">
        <v>3048</v>
      </c>
      <c r="G1496" s="19">
        <f t="shared" si="105"/>
        <v>7935.48</v>
      </c>
    </row>
    <row r="1497" spans="1:7">
      <c r="A1497" s="1" t="s">
        <v>1630</v>
      </c>
      <c r="B1497" s="1" t="s">
        <v>15</v>
      </c>
      <c r="C1497" s="1" t="s">
        <v>1664</v>
      </c>
      <c r="D1497" s="3">
        <v>33229.14</v>
      </c>
      <c r="E1497" s="3">
        <v>13361068.84</v>
      </c>
      <c r="F1497" s="1" t="s">
        <v>3048</v>
      </c>
      <c r="G1497" s="19">
        <f t="shared" si="105"/>
        <v>33229.14</v>
      </c>
    </row>
    <row r="1498" spans="1:7">
      <c r="A1498" s="1" t="s">
        <v>1630</v>
      </c>
      <c r="B1498" s="1" t="s">
        <v>15</v>
      </c>
      <c r="C1498" s="1" t="s">
        <v>1665</v>
      </c>
      <c r="D1498" s="3">
        <v>4774.07</v>
      </c>
      <c r="E1498" s="3">
        <v>13365842.91</v>
      </c>
      <c r="F1498" s="1" t="s">
        <v>3048</v>
      </c>
      <c r="G1498" s="19">
        <f t="shared" si="105"/>
        <v>4774.07</v>
      </c>
    </row>
    <row r="1499" spans="1:7">
      <c r="A1499" s="1" t="s">
        <v>1630</v>
      </c>
      <c r="B1499" s="1" t="s">
        <v>15</v>
      </c>
      <c r="C1499" s="1" t="s">
        <v>1666</v>
      </c>
      <c r="D1499" s="3">
        <v>25034.55</v>
      </c>
      <c r="E1499" s="3">
        <v>13390877.460000001</v>
      </c>
      <c r="F1499" s="1" t="s">
        <v>3048</v>
      </c>
      <c r="G1499" s="19">
        <f t="shared" si="105"/>
        <v>25034.55</v>
      </c>
    </row>
    <row r="1500" spans="1:7">
      <c r="A1500" s="1" t="s">
        <v>1630</v>
      </c>
      <c r="B1500" s="1" t="s">
        <v>15</v>
      </c>
      <c r="C1500" s="1" t="s">
        <v>1667</v>
      </c>
      <c r="D1500" s="3">
        <v>8573.84</v>
      </c>
      <c r="E1500" s="3">
        <v>13399451.300000001</v>
      </c>
      <c r="F1500" s="1" t="s">
        <v>3048</v>
      </c>
      <c r="G1500" s="19">
        <f t="shared" si="105"/>
        <v>8573.84</v>
      </c>
    </row>
    <row r="1501" spans="1:7">
      <c r="A1501" s="1" t="s">
        <v>1630</v>
      </c>
      <c r="B1501" s="1" t="s">
        <v>15</v>
      </c>
      <c r="C1501" s="1" t="s">
        <v>1668</v>
      </c>
      <c r="D1501" s="3">
        <v>4357.92</v>
      </c>
      <c r="E1501" s="3">
        <v>13403809.220000001</v>
      </c>
      <c r="F1501" s="1" t="s">
        <v>3048</v>
      </c>
      <c r="G1501" s="19">
        <f t="shared" si="105"/>
        <v>4357.92</v>
      </c>
    </row>
    <row r="1502" spans="1:7">
      <c r="A1502" s="1" t="s">
        <v>1630</v>
      </c>
      <c r="B1502" s="1" t="s">
        <v>15</v>
      </c>
      <c r="C1502" s="1" t="s">
        <v>1669</v>
      </c>
      <c r="D1502" s="3">
        <v>35048.370000000003</v>
      </c>
      <c r="E1502" s="3">
        <v>13438857.59</v>
      </c>
      <c r="F1502" s="1" t="s">
        <v>3048</v>
      </c>
      <c r="G1502" s="19">
        <f t="shared" si="105"/>
        <v>35048.370000000003</v>
      </c>
    </row>
    <row r="1503" spans="1:7">
      <c r="A1503" s="1" t="s">
        <v>1630</v>
      </c>
      <c r="B1503" s="1" t="s">
        <v>15</v>
      </c>
      <c r="C1503" s="1" t="s">
        <v>1670</v>
      </c>
      <c r="D1503" s="3">
        <v>4345.62</v>
      </c>
      <c r="E1503" s="3">
        <v>13443203.210000001</v>
      </c>
      <c r="F1503" s="1" t="s">
        <v>3048</v>
      </c>
      <c r="G1503" s="19">
        <f t="shared" si="105"/>
        <v>4345.62</v>
      </c>
    </row>
    <row r="1504" spans="1:7">
      <c r="A1504" s="1" t="s">
        <v>1630</v>
      </c>
      <c r="B1504" s="1" t="s">
        <v>15</v>
      </c>
      <c r="C1504" s="1" t="s">
        <v>1671</v>
      </c>
      <c r="D1504" s="3">
        <v>11301.88</v>
      </c>
      <c r="E1504" s="3">
        <v>13454505.09</v>
      </c>
      <c r="F1504" s="1" t="s">
        <v>3048</v>
      </c>
      <c r="G1504" s="19">
        <f t="shared" si="105"/>
        <v>11301.88</v>
      </c>
    </row>
    <row r="1505" spans="1:7">
      <c r="A1505" s="1" t="s">
        <v>1630</v>
      </c>
      <c r="B1505" s="1" t="s">
        <v>15</v>
      </c>
      <c r="C1505" s="1" t="s">
        <v>1672</v>
      </c>
      <c r="D1505" s="3">
        <v>87249.19</v>
      </c>
      <c r="E1505" s="3">
        <v>13541754.279999999</v>
      </c>
      <c r="F1505" s="1" t="s">
        <v>3048</v>
      </c>
      <c r="G1505" s="19">
        <f t="shared" si="105"/>
        <v>87249.19</v>
      </c>
    </row>
    <row r="1506" spans="1:7">
      <c r="A1506" s="1" t="s">
        <v>1630</v>
      </c>
      <c r="B1506" s="1" t="s">
        <v>15</v>
      </c>
      <c r="C1506" s="1" t="s">
        <v>1673</v>
      </c>
      <c r="D1506" s="3">
        <v>18773.38</v>
      </c>
      <c r="E1506" s="3">
        <v>13560527.66</v>
      </c>
      <c r="F1506" s="1" t="s">
        <v>3048</v>
      </c>
      <c r="G1506" s="19">
        <f t="shared" si="105"/>
        <v>18773.38</v>
      </c>
    </row>
    <row r="1507" spans="1:7">
      <c r="A1507" s="1" t="s">
        <v>1630</v>
      </c>
      <c r="B1507" s="1" t="s">
        <v>15</v>
      </c>
      <c r="C1507" s="1" t="s">
        <v>1674</v>
      </c>
      <c r="D1507" s="3">
        <v>37120.83</v>
      </c>
      <c r="E1507" s="3">
        <v>13597648.49</v>
      </c>
      <c r="F1507" s="1" t="s">
        <v>3048</v>
      </c>
      <c r="G1507" s="19">
        <f t="shared" si="105"/>
        <v>37120.83</v>
      </c>
    </row>
    <row r="1508" spans="1:7">
      <c r="A1508" s="1" t="s">
        <v>1630</v>
      </c>
      <c r="B1508" s="1" t="s">
        <v>15</v>
      </c>
      <c r="C1508" s="1" t="s">
        <v>1675</v>
      </c>
      <c r="D1508" s="3">
        <v>9353.2800000000007</v>
      </c>
      <c r="E1508" s="3">
        <v>13607001.77</v>
      </c>
      <c r="F1508" s="1" t="s">
        <v>3048</v>
      </c>
      <c r="G1508" s="19">
        <f t="shared" si="105"/>
        <v>9353.2800000000007</v>
      </c>
    </row>
    <row r="1509" spans="1:7">
      <c r="A1509" s="1" t="s">
        <v>1630</v>
      </c>
      <c r="B1509" s="1" t="s">
        <v>15</v>
      </c>
      <c r="C1509" s="1" t="s">
        <v>1676</v>
      </c>
      <c r="D1509" s="3">
        <v>80964.33</v>
      </c>
      <c r="E1509" s="3">
        <v>13687966.1</v>
      </c>
      <c r="F1509" s="1" t="s">
        <v>3048</v>
      </c>
      <c r="G1509" s="19">
        <f t="shared" si="105"/>
        <v>80964.33</v>
      </c>
    </row>
    <row r="1510" spans="1:7">
      <c r="A1510" s="1" t="s">
        <v>904</v>
      </c>
      <c r="B1510" s="1" t="s">
        <v>930</v>
      </c>
      <c r="C1510" s="1" t="s">
        <v>931</v>
      </c>
      <c r="D1510" s="2">
        <v>411.18</v>
      </c>
      <c r="E1510" s="3">
        <v>14789976.52</v>
      </c>
      <c r="F1510" s="2" t="s">
        <v>3048</v>
      </c>
      <c r="G1510" s="19">
        <f t="shared" si="105"/>
        <v>411.18</v>
      </c>
    </row>
    <row r="1511" spans="1:7">
      <c r="A1511" s="1" t="s">
        <v>1630</v>
      </c>
      <c r="B1511" s="1" t="s">
        <v>15</v>
      </c>
      <c r="C1511" s="1" t="s">
        <v>1679</v>
      </c>
      <c r="D1511" s="3">
        <v>40141.160000000003</v>
      </c>
      <c r="E1511" s="3">
        <v>13732175</v>
      </c>
      <c r="F1511" s="1" t="s">
        <v>3048</v>
      </c>
      <c r="G1511" s="19">
        <f t="shared" si="105"/>
        <v>40141.160000000003</v>
      </c>
    </row>
    <row r="1512" spans="1:7">
      <c r="A1512" s="1" t="s">
        <v>761</v>
      </c>
      <c r="B1512" s="1" t="s">
        <v>887</v>
      </c>
      <c r="C1512" s="1" t="s">
        <v>888</v>
      </c>
      <c r="D1512" s="3">
        <v>2095.06</v>
      </c>
      <c r="E1512" s="3">
        <v>13942902.619999999</v>
      </c>
      <c r="F1512" s="2" t="s">
        <v>3048</v>
      </c>
      <c r="G1512" s="19">
        <f t="shared" si="105"/>
        <v>2095.06</v>
      </c>
    </row>
    <row r="1513" spans="1:7">
      <c r="A1513" s="1" t="s">
        <v>1630</v>
      </c>
      <c r="B1513" s="1" t="s">
        <v>15</v>
      </c>
      <c r="C1513" s="1" t="s">
        <v>1682</v>
      </c>
      <c r="D1513" s="3">
        <v>37315.69</v>
      </c>
      <c r="E1513" s="3">
        <v>13771507.43</v>
      </c>
      <c r="F1513" s="1" t="s">
        <v>3048</v>
      </c>
      <c r="G1513" s="19">
        <f t="shared" si="105"/>
        <v>37315.69</v>
      </c>
    </row>
    <row r="1514" spans="1:7">
      <c r="A1514" s="1" t="s">
        <v>1630</v>
      </c>
      <c r="B1514" s="1" t="s">
        <v>15</v>
      </c>
      <c r="C1514" s="1" t="s">
        <v>1683</v>
      </c>
      <c r="D1514" s="3">
        <v>26695.82</v>
      </c>
      <c r="E1514" s="3">
        <v>13798203.25</v>
      </c>
      <c r="F1514" s="1" t="s">
        <v>3048</v>
      </c>
      <c r="G1514" s="19">
        <f t="shared" si="105"/>
        <v>26695.82</v>
      </c>
    </row>
    <row r="1515" spans="1:7">
      <c r="A1515" s="1" t="s">
        <v>1630</v>
      </c>
      <c r="B1515" s="1" t="s">
        <v>15</v>
      </c>
      <c r="C1515" s="1" t="s">
        <v>1684</v>
      </c>
      <c r="D1515" s="3">
        <v>30472.71</v>
      </c>
      <c r="E1515" s="3">
        <v>13828675.960000001</v>
      </c>
      <c r="F1515" s="1" t="s">
        <v>3048</v>
      </c>
      <c r="G1515" s="19">
        <f t="shared" si="105"/>
        <v>30472.71</v>
      </c>
    </row>
    <row r="1516" spans="1:7">
      <c r="A1516" s="1" t="s">
        <v>1630</v>
      </c>
      <c r="B1516" s="1" t="s">
        <v>15</v>
      </c>
      <c r="C1516" s="1" t="s">
        <v>1685</v>
      </c>
      <c r="D1516" s="3">
        <v>17147.68</v>
      </c>
      <c r="E1516" s="3">
        <v>13845823.640000001</v>
      </c>
      <c r="F1516" s="1" t="s">
        <v>3048</v>
      </c>
      <c r="G1516" s="19">
        <f t="shared" si="105"/>
        <v>17147.68</v>
      </c>
    </row>
    <row r="1517" spans="1:7">
      <c r="A1517" s="1" t="s">
        <v>1630</v>
      </c>
      <c r="B1517" s="1" t="s">
        <v>15</v>
      </c>
      <c r="C1517" s="1" t="s">
        <v>1686</v>
      </c>
      <c r="D1517" s="3">
        <v>37510.550000000003</v>
      </c>
      <c r="E1517" s="3">
        <v>13883334.189999999</v>
      </c>
      <c r="F1517" s="1" t="s">
        <v>3048</v>
      </c>
      <c r="G1517" s="19">
        <f t="shared" si="105"/>
        <v>37510.550000000003</v>
      </c>
    </row>
    <row r="1518" spans="1:7">
      <c r="A1518" s="1" t="s">
        <v>1630</v>
      </c>
      <c r="B1518" s="1" t="s">
        <v>15</v>
      </c>
      <c r="C1518" s="1" t="s">
        <v>1687</v>
      </c>
      <c r="D1518" s="3">
        <v>10035.290000000001</v>
      </c>
      <c r="E1518" s="3">
        <v>13893369.48</v>
      </c>
      <c r="F1518" s="1" t="s">
        <v>3048</v>
      </c>
      <c r="G1518" s="19">
        <f t="shared" si="105"/>
        <v>10035.290000000001</v>
      </c>
    </row>
    <row r="1519" spans="1:7">
      <c r="A1519" s="1" t="s">
        <v>1630</v>
      </c>
      <c r="B1519" s="1" t="s">
        <v>15</v>
      </c>
      <c r="C1519" s="1" t="s">
        <v>1688</v>
      </c>
      <c r="D1519" s="3">
        <v>17665.89</v>
      </c>
      <c r="E1519" s="3">
        <v>13911035.369999999</v>
      </c>
      <c r="F1519" s="1" t="s">
        <v>3048</v>
      </c>
      <c r="G1519" s="19">
        <f t="shared" si="105"/>
        <v>17665.89</v>
      </c>
    </row>
    <row r="1520" spans="1:7">
      <c r="A1520" s="1" t="s">
        <v>1630</v>
      </c>
      <c r="B1520" s="1" t="s">
        <v>15</v>
      </c>
      <c r="C1520" s="1" t="s">
        <v>1689</v>
      </c>
      <c r="D1520" s="3">
        <v>42966.63</v>
      </c>
      <c r="E1520" s="3">
        <v>13954002</v>
      </c>
      <c r="F1520" s="1" t="s">
        <v>3048</v>
      </c>
      <c r="G1520" s="19">
        <f t="shared" si="105"/>
        <v>42966.63</v>
      </c>
    </row>
    <row r="1521" spans="1:7">
      <c r="A1521" s="1" t="s">
        <v>1630</v>
      </c>
      <c r="B1521" s="1" t="s">
        <v>15</v>
      </c>
      <c r="C1521" s="1" t="s">
        <v>1690</v>
      </c>
      <c r="D1521" s="3">
        <v>46573.71</v>
      </c>
      <c r="E1521" s="3">
        <v>14000575.710000001</v>
      </c>
      <c r="F1521" s="1" t="s">
        <v>3048</v>
      </c>
      <c r="G1521" s="19">
        <f t="shared" si="105"/>
        <v>46573.71</v>
      </c>
    </row>
    <row r="1522" spans="1:7">
      <c r="A1522" s="1" t="s">
        <v>1630</v>
      </c>
      <c r="B1522" s="1" t="s">
        <v>15</v>
      </c>
      <c r="C1522" s="1" t="s">
        <v>1691</v>
      </c>
      <c r="D1522" s="3">
        <v>44778.78</v>
      </c>
      <c r="E1522" s="3">
        <v>14045354.49</v>
      </c>
      <c r="F1522" s="1" t="s">
        <v>3048</v>
      </c>
      <c r="G1522" s="19">
        <f t="shared" si="105"/>
        <v>44778.78</v>
      </c>
    </row>
    <row r="1523" spans="1:7">
      <c r="A1523" s="1" t="s">
        <v>1630</v>
      </c>
      <c r="B1523" s="1" t="s">
        <v>15</v>
      </c>
      <c r="C1523" s="1" t="s">
        <v>1692</v>
      </c>
      <c r="D1523" s="3">
        <v>38484.85</v>
      </c>
      <c r="E1523" s="3">
        <v>14083839.34</v>
      </c>
      <c r="F1523" s="1" t="s">
        <v>3048</v>
      </c>
      <c r="G1523" s="19">
        <f t="shared" si="105"/>
        <v>38484.85</v>
      </c>
    </row>
    <row r="1524" spans="1:7">
      <c r="A1524" s="1" t="s">
        <v>1693</v>
      </c>
      <c r="B1524" s="1" t="s">
        <v>15</v>
      </c>
      <c r="C1524" s="1" t="s">
        <v>1694</v>
      </c>
      <c r="D1524" s="3">
        <v>14029.92</v>
      </c>
      <c r="E1524" s="3">
        <v>14097869.26</v>
      </c>
      <c r="F1524" s="1" t="s">
        <v>3048</v>
      </c>
      <c r="G1524" s="19">
        <f t="shared" si="105"/>
        <v>14029.92</v>
      </c>
    </row>
    <row r="1525" spans="1:7">
      <c r="A1525" s="1" t="s">
        <v>1693</v>
      </c>
      <c r="B1525" s="1" t="s">
        <v>15</v>
      </c>
      <c r="C1525" s="1" t="s">
        <v>1695</v>
      </c>
      <c r="D1525" s="3">
        <v>4092.06</v>
      </c>
      <c r="E1525" s="3">
        <v>14101961.32</v>
      </c>
      <c r="F1525" s="1" t="s">
        <v>3048</v>
      </c>
      <c r="G1525" s="19">
        <f t="shared" si="105"/>
        <v>4092.06</v>
      </c>
    </row>
    <row r="1526" spans="1:7">
      <c r="A1526" s="1" t="s">
        <v>1693</v>
      </c>
      <c r="B1526" s="1" t="s">
        <v>15</v>
      </c>
      <c r="C1526" s="1" t="s">
        <v>1696</v>
      </c>
      <c r="D1526" s="3">
        <v>48032.99</v>
      </c>
      <c r="E1526" s="3">
        <v>14149994.310000001</v>
      </c>
      <c r="F1526" s="1" t="s">
        <v>3048</v>
      </c>
      <c r="G1526" s="19">
        <f t="shared" si="105"/>
        <v>48032.99</v>
      </c>
    </row>
    <row r="1527" spans="1:7">
      <c r="A1527" s="1" t="s">
        <v>14</v>
      </c>
      <c r="B1527" s="1" t="s">
        <v>27</v>
      </c>
      <c r="C1527" s="1" t="s">
        <v>28</v>
      </c>
      <c r="D1527" s="3">
        <v>2584.56</v>
      </c>
      <c r="E1527" s="3">
        <v>11062535.699999999</v>
      </c>
      <c r="F1527" s="2" t="s">
        <v>3048</v>
      </c>
      <c r="G1527" s="19">
        <f t="shared" si="105"/>
        <v>2584.56</v>
      </c>
    </row>
    <row r="1528" spans="1:7">
      <c r="A1528" s="1" t="s">
        <v>1693</v>
      </c>
      <c r="B1528" s="1" t="s">
        <v>15</v>
      </c>
      <c r="C1528" s="1" t="s">
        <v>1699</v>
      </c>
      <c r="D1528" s="3">
        <v>44330.65</v>
      </c>
      <c r="E1528" s="3">
        <v>14199151.43</v>
      </c>
      <c r="F1528" s="1" t="s">
        <v>3048</v>
      </c>
      <c r="G1528" s="19">
        <f t="shared" si="105"/>
        <v>44330.65</v>
      </c>
    </row>
    <row r="1529" spans="1:7">
      <c r="A1529" s="1" t="s">
        <v>1693</v>
      </c>
      <c r="B1529" s="1" t="s">
        <v>15</v>
      </c>
      <c r="C1529" s="1" t="s">
        <v>1700</v>
      </c>
      <c r="D1529" s="3">
        <v>44622.94</v>
      </c>
      <c r="E1529" s="3">
        <v>14243774.369999999</v>
      </c>
      <c r="F1529" s="1" t="s">
        <v>3048</v>
      </c>
      <c r="G1529" s="19">
        <f t="shared" si="105"/>
        <v>44622.94</v>
      </c>
    </row>
    <row r="1530" spans="1:7">
      <c r="A1530" s="1" t="s">
        <v>1693</v>
      </c>
      <c r="B1530" s="1" t="s">
        <v>15</v>
      </c>
      <c r="C1530" s="1" t="s">
        <v>1701</v>
      </c>
      <c r="D1530" s="3">
        <v>5845.8</v>
      </c>
      <c r="E1530" s="3">
        <v>14249620.17</v>
      </c>
      <c r="F1530" s="1" t="s">
        <v>3048</v>
      </c>
      <c r="G1530" s="19">
        <f t="shared" si="105"/>
        <v>5845.8</v>
      </c>
    </row>
    <row r="1531" spans="1:7">
      <c r="A1531" s="1" t="s">
        <v>1693</v>
      </c>
      <c r="B1531" s="1" t="s">
        <v>15</v>
      </c>
      <c r="C1531" s="1" t="s">
        <v>1702</v>
      </c>
      <c r="D1531" s="3">
        <v>11714.28</v>
      </c>
      <c r="E1531" s="3">
        <v>14261334.449999999</v>
      </c>
      <c r="F1531" s="1" t="s">
        <v>3048</v>
      </c>
      <c r="G1531" s="19">
        <f t="shared" si="105"/>
        <v>11714.28</v>
      </c>
    </row>
    <row r="1532" spans="1:7">
      <c r="A1532" s="1" t="s">
        <v>1693</v>
      </c>
      <c r="B1532" s="1" t="s">
        <v>15</v>
      </c>
      <c r="C1532" s="1" t="s">
        <v>1703</v>
      </c>
      <c r="D1532" s="3">
        <v>8573.84</v>
      </c>
      <c r="E1532" s="3">
        <v>14269908.289999999</v>
      </c>
      <c r="F1532" s="1" t="s">
        <v>3048</v>
      </c>
      <c r="G1532" s="19">
        <f t="shared" si="105"/>
        <v>8573.84</v>
      </c>
    </row>
    <row r="1533" spans="1:7">
      <c r="A1533" s="1" t="s">
        <v>1693</v>
      </c>
      <c r="B1533" s="1" t="s">
        <v>15</v>
      </c>
      <c r="C1533" s="1" t="s">
        <v>1704</v>
      </c>
      <c r="D1533" s="3">
        <v>8573.84</v>
      </c>
      <c r="E1533" s="3">
        <v>14278482.130000001</v>
      </c>
      <c r="F1533" s="1" t="s">
        <v>3048</v>
      </c>
      <c r="G1533" s="19">
        <f t="shared" si="105"/>
        <v>8573.84</v>
      </c>
    </row>
    <row r="1534" spans="1:7">
      <c r="A1534" s="1" t="s">
        <v>1693</v>
      </c>
      <c r="B1534" s="1" t="s">
        <v>15</v>
      </c>
      <c r="C1534" s="1" t="s">
        <v>1705</v>
      </c>
      <c r="D1534" s="3">
        <v>32931.339999999997</v>
      </c>
      <c r="E1534" s="3">
        <v>14311413.470000001</v>
      </c>
      <c r="F1534" s="1" t="s">
        <v>3048</v>
      </c>
      <c r="G1534" s="19">
        <f t="shared" si="105"/>
        <v>32931.339999999997</v>
      </c>
    </row>
    <row r="1535" spans="1:7">
      <c r="A1535" s="1" t="s">
        <v>1693</v>
      </c>
      <c r="B1535" s="1" t="s">
        <v>15</v>
      </c>
      <c r="C1535" s="1" t="s">
        <v>1706</v>
      </c>
      <c r="D1535" s="3">
        <v>4357.92</v>
      </c>
      <c r="E1535" s="3">
        <v>14315771.390000001</v>
      </c>
      <c r="F1535" s="1" t="s">
        <v>3048</v>
      </c>
      <c r="G1535" s="19">
        <f t="shared" si="105"/>
        <v>4357.92</v>
      </c>
    </row>
    <row r="1536" spans="1:7">
      <c r="A1536" s="1" t="s">
        <v>1693</v>
      </c>
      <c r="B1536" s="1" t="s">
        <v>15</v>
      </c>
      <c r="C1536" s="1" t="s">
        <v>1707</v>
      </c>
      <c r="D1536" s="3">
        <v>4774.07</v>
      </c>
      <c r="E1536" s="3">
        <v>14320545.460000001</v>
      </c>
      <c r="F1536" s="1" t="s">
        <v>3048</v>
      </c>
      <c r="G1536" s="19">
        <f t="shared" si="105"/>
        <v>4774.07</v>
      </c>
    </row>
    <row r="1537" spans="1:7">
      <c r="A1537" s="1" t="s">
        <v>1693</v>
      </c>
      <c r="B1537" s="1" t="s">
        <v>15</v>
      </c>
      <c r="C1537" s="1" t="s">
        <v>1708</v>
      </c>
      <c r="D1537" s="3">
        <v>26354.81</v>
      </c>
      <c r="E1537" s="3">
        <v>14346900.27</v>
      </c>
      <c r="F1537" s="1" t="s">
        <v>3048</v>
      </c>
      <c r="G1537" s="19">
        <f t="shared" si="105"/>
        <v>26354.81</v>
      </c>
    </row>
    <row r="1538" spans="1:7">
      <c r="A1538" s="1" t="s">
        <v>1693</v>
      </c>
      <c r="B1538" s="1" t="s">
        <v>15</v>
      </c>
      <c r="C1538" s="1" t="s">
        <v>1709</v>
      </c>
      <c r="D1538" s="3">
        <v>25330.41</v>
      </c>
      <c r="E1538" s="3">
        <v>14372230.68</v>
      </c>
      <c r="F1538" s="1" t="s">
        <v>3048</v>
      </c>
      <c r="G1538" s="19">
        <f t="shared" si="105"/>
        <v>25330.41</v>
      </c>
    </row>
    <row r="1539" spans="1:7">
      <c r="A1539" s="1" t="s">
        <v>1693</v>
      </c>
      <c r="B1539" s="1" t="s">
        <v>15</v>
      </c>
      <c r="C1539" s="1" t="s">
        <v>1710</v>
      </c>
      <c r="D1539" s="3">
        <v>14127.35</v>
      </c>
      <c r="E1539" s="3">
        <v>14386358.029999999</v>
      </c>
      <c r="F1539" s="1" t="s">
        <v>3048</v>
      </c>
      <c r="G1539" s="19">
        <f t="shared" si="105"/>
        <v>14127.35</v>
      </c>
    </row>
    <row r="1540" spans="1:7">
      <c r="A1540" s="1" t="s">
        <v>1693</v>
      </c>
      <c r="B1540" s="1" t="s">
        <v>15</v>
      </c>
      <c r="C1540" s="1" t="s">
        <v>1711</v>
      </c>
      <c r="D1540" s="3">
        <v>15493.08</v>
      </c>
      <c r="E1540" s="3">
        <v>14401851.109999999</v>
      </c>
      <c r="F1540" s="1" t="s">
        <v>3048</v>
      </c>
      <c r="G1540" s="19">
        <f t="shared" si="105"/>
        <v>15493.08</v>
      </c>
    </row>
    <row r="1541" spans="1:7">
      <c r="A1541" s="1" t="s">
        <v>1693</v>
      </c>
      <c r="B1541" s="1" t="s">
        <v>15</v>
      </c>
      <c r="C1541" s="1" t="s">
        <v>1712</v>
      </c>
      <c r="D1541" s="3">
        <v>57089.8</v>
      </c>
      <c r="E1541" s="3">
        <v>14458940.91</v>
      </c>
      <c r="F1541" s="1" t="s">
        <v>3048</v>
      </c>
      <c r="G1541" s="19">
        <f t="shared" si="105"/>
        <v>57089.8</v>
      </c>
    </row>
    <row r="1542" spans="1:7">
      <c r="A1542" s="1" t="s">
        <v>1693</v>
      </c>
      <c r="B1542" s="1" t="s">
        <v>15</v>
      </c>
      <c r="C1542" s="1" t="s">
        <v>1713</v>
      </c>
      <c r="D1542" s="3">
        <v>59516.1</v>
      </c>
      <c r="E1542" s="3">
        <v>14518457.01</v>
      </c>
      <c r="F1542" s="1" t="s">
        <v>3048</v>
      </c>
      <c r="G1542" s="19">
        <f t="shared" si="105"/>
        <v>59516.1</v>
      </c>
    </row>
    <row r="1543" spans="1:7">
      <c r="A1543" s="1" t="s">
        <v>1693</v>
      </c>
      <c r="B1543" s="1" t="s">
        <v>15</v>
      </c>
      <c r="C1543" s="1" t="s">
        <v>1714</v>
      </c>
      <c r="D1543" s="3">
        <v>80379.75</v>
      </c>
      <c r="E1543" s="3">
        <v>14598836.76</v>
      </c>
      <c r="F1543" s="1" t="s">
        <v>3048</v>
      </c>
      <c r="G1543" s="19">
        <f t="shared" si="105"/>
        <v>80379.75</v>
      </c>
    </row>
    <row r="1544" spans="1:7">
      <c r="A1544" s="1" t="s">
        <v>1693</v>
      </c>
      <c r="B1544" s="1" t="s">
        <v>15</v>
      </c>
      <c r="C1544" s="1" t="s">
        <v>1715</v>
      </c>
      <c r="D1544" s="3">
        <v>17760.36</v>
      </c>
      <c r="E1544" s="3">
        <v>14616597.119999999</v>
      </c>
      <c r="F1544" s="1" t="s">
        <v>3048</v>
      </c>
      <c r="G1544" s="19">
        <f t="shared" si="105"/>
        <v>17760.36</v>
      </c>
    </row>
    <row r="1545" spans="1:7">
      <c r="A1545" s="1" t="s">
        <v>1693</v>
      </c>
      <c r="B1545" s="1" t="s">
        <v>15</v>
      </c>
      <c r="C1545" s="1" t="s">
        <v>1716</v>
      </c>
      <c r="D1545" s="3">
        <v>32321.18</v>
      </c>
      <c r="E1545" s="3">
        <v>14648918.300000001</v>
      </c>
      <c r="F1545" s="1" t="s">
        <v>3048</v>
      </c>
      <c r="G1545" s="19">
        <f t="shared" si="105"/>
        <v>32321.18</v>
      </c>
    </row>
    <row r="1546" spans="1:7">
      <c r="A1546" s="1" t="s">
        <v>1693</v>
      </c>
      <c r="B1546" s="1" t="s">
        <v>15</v>
      </c>
      <c r="C1546" s="1" t="s">
        <v>1717</v>
      </c>
      <c r="D1546" s="3">
        <v>13055.62</v>
      </c>
      <c r="E1546" s="3">
        <v>14661973.92</v>
      </c>
      <c r="F1546" s="1" t="s">
        <v>3048</v>
      </c>
      <c r="G1546" s="19">
        <f t="shared" si="105"/>
        <v>13055.62</v>
      </c>
    </row>
    <row r="1547" spans="1:7">
      <c r="A1547" s="1" t="s">
        <v>1693</v>
      </c>
      <c r="B1547" s="1" t="s">
        <v>15</v>
      </c>
      <c r="C1547" s="1" t="s">
        <v>1718</v>
      </c>
      <c r="D1547" s="3">
        <v>35951.67</v>
      </c>
      <c r="E1547" s="3">
        <v>14697925.59</v>
      </c>
      <c r="F1547" s="1" t="s">
        <v>3048</v>
      </c>
      <c r="G1547" s="19">
        <f t="shared" si="105"/>
        <v>35951.67</v>
      </c>
    </row>
    <row r="1548" spans="1:7">
      <c r="A1548" s="1" t="s">
        <v>1428</v>
      </c>
      <c r="B1548" s="1" t="s">
        <v>27</v>
      </c>
      <c r="C1548" s="1" t="s">
        <v>1465</v>
      </c>
      <c r="D1548" s="3">
        <v>2334.91</v>
      </c>
      <c r="E1548" s="3">
        <v>10547707.939999999</v>
      </c>
      <c r="F1548" s="2" t="s">
        <v>3048</v>
      </c>
      <c r="G1548" s="19">
        <f t="shared" ref="G1548:G1581" si="106">+D1548</f>
        <v>2334.91</v>
      </c>
    </row>
    <row r="1549" spans="1:7">
      <c r="A1549" s="1" t="s">
        <v>1693</v>
      </c>
      <c r="B1549" s="1" t="s">
        <v>15</v>
      </c>
      <c r="C1549" s="1" t="s">
        <v>1721</v>
      </c>
      <c r="D1549" s="3">
        <v>64693.52</v>
      </c>
      <c r="E1549" s="3">
        <v>14764425.359999999</v>
      </c>
      <c r="F1549" s="1" t="s">
        <v>3048</v>
      </c>
      <c r="G1549" s="19">
        <f t="shared" si="106"/>
        <v>64693.52</v>
      </c>
    </row>
    <row r="1550" spans="1:7">
      <c r="A1550" s="1" t="s">
        <v>1693</v>
      </c>
      <c r="B1550" s="1" t="s">
        <v>15</v>
      </c>
      <c r="C1550" s="1" t="s">
        <v>1722</v>
      </c>
      <c r="D1550" s="3">
        <v>96455.7</v>
      </c>
      <c r="E1550" s="3">
        <v>14860881.060000001</v>
      </c>
      <c r="F1550" s="1" t="s">
        <v>3048</v>
      </c>
      <c r="G1550" s="19">
        <f t="shared" si="106"/>
        <v>96455.7</v>
      </c>
    </row>
    <row r="1551" spans="1:7">
      <c r="A1551" s="1" t="s">
        <v>1693</v>
      </c>
      <c r="B1551" s="1" t="s">
        <v>15</v>
      </c>
      <c r="C1551" s="1" t="s">
        <v>1723</v>
      </c>
      <c r="D1551" s="3">
        <v>65472.959999999999</v>
      </c>
      <c r="E1551" s="3">
        <v>14926354.02</v>
      </c>
      <c r="F1551" s="1" t="s">
        <v>3048</v>
      </c>
      <c r="G1551" s="19">
        <f t="shared" si="106"/>
        <v>65472.959999999999</v>
      </c>
    </row>
    <row r="1552" spans="1:7">
      <c r="A1552" s="1" t="s">
        <v>1693</v>
      </c>
      <c r="B1552" s="1" t="s">
        <v>15</v>
      </c>
      <c r="C1552" s="1" t="s">
        <v>1724</v>
      </c>
      <c r="D1552" s="3">
        <v>75995.399999999994</v>
      </c>
      <c r="E1552" s="3">
        <v>15002349.42</v>
      </c>
      <c r="F1552" s="1" t="s">
        <v>3048</v>
      </c>
      <c r="G1552" s="19">
        <f t="shared" si="106"/>
        <v>75995.399999999994</v>
      </c>
    </row>
    <row r="1553" spans="1:7">
      <c r="A1553" s="1" t="s">
        <v>761</v>
      </c>
      <c r="B1553" s="1" t="s">
        <v>874</v>
      </c>
      <c r="C1553" s="1" t="s">
        <v>875</v>
      </c>
      <c r="D1553" s="2">
        <v>244.75</v>
      </c>
      <c r="E1553" s="3">
        <v>13675359.74</v>
      </c>
      <c r="F1553" s="2" t="s">
        <v>3048</v>
      </c>
      <c r="G1553" s="19">
        <f t="shared" si="106"/>
        <v>244.75</v>
      </c>
    </row>
    <row r="1554" spans="1:7">
      <c r="A1554" s="1" t="s">
        <v>1693</v>
      </c>
      <c r="B1554" s="1" t="s">
        <v>15</v>
      </c>
      <c r="C1554" s="1" t="s">
        <v>1726</v>
      </c>
      <c r="D1554" s="3">
        <v>24454.93</v>
      </c>
      <c r="E1554" s="3">
        <v>15030622.449999999</v>
      </c>
      <c r="F1554" s="1" t="s">
        <v>3048</v>
      </c>
      <c r="G1554" s="19">
        <f t="shared" si="106"/>
        <v>24454.93</v>
      </c>
    </row>
    <row r="1555" spans="1:7">
      <c r="A1555" s="1" t="s">
        <v>1693</v>
      </c>
      <c r="B1555" s="1" t="s">
        <v>15</v>
      </c>
      <c r="C1555" s="1" t="s">
        <v>1727</v>
      </c>
      <c r="D1555" s="3">
        <v>63734.58</v>
      </c>
      <c r="E1555" s="3">
        <v>15094357.029999999</v>
      </c>
      <c r="F1555" s="1" t="s">
        <v>3048</v>
      </c>
      <c r="G1555" s="19">
        <f t="shared" si="106"/>
        <v>63734.58</v>
      </c>
    </row>
    <row r="1556" spans="1:7">
      <c r="A1556" s="1" t="s">
        <v>1693</v>
      </c>
      <c r="B1556" s="1" t="s">
        <v>15</v>
      </c>
      <c r="C1556" s="1" t="s">
        <v>1728</v>
      </c>
      <c r="D1556" s="3">
        <v>37997.699999999997</v>
      </c>
      <c r="E1556" s="3">
        <v>15132354.73</v>
      </c>
      <c r="F1556" s="1" t="s">
        <v>3048</v>
      </c>
      <c r="G1556" s="19">
        <f t="shared" si="106"/>
        <v>37997.699999999997</v>
      </c>
    </row>
    <row r="1557" spans="1:7">
      <c r="A1557" s="1" t="s">
        <v>1693</v>
      </c>
      <c r="B1557" s="1" t="s">
        <v>15</v>
      </c>
      <c r="C1557" s="1" t="s">
        <v>1729</v>
      </c>
      <c r="D1557" s="3">
        <v>40492.339999999997</v>
      </c>
      <c r="E1557" s="3">
        <v>15172847.07</v>
      </c>
      <c r="F1557" s="1" t="s">
        <v>3048</v>
      </c>
      <c r="G1557" s="19">
        <f t="shared" si="106"/>
        <v>40492.339999999997</v>
      </c>
    </row>
    <row r="1558" spans="1:7">
      <c r="A1558" s="1" t="s">
        <v>1693</v>
      </c>
      <c r="B1558" s="1" t="s">
        <v>15</v>
      </c>
      <c r="C1558" s="1" t="s">
        <v>1730</v>
      </c>
      <c r="D1558" s="3">
        <v>46290.3</v>
      </c>
      <c r="E1558" s="3">
        <v>15219137.369999999</v>
      </c>
      <c r="F1558" s="1" t="s">
        <v>3048</v>
      </c>
      <c r="G1558" s="19">
        <f t="shared" si="106"/>
        <v>46290.3</v>
      </c>
    </row>
    <row r="1559" spans="1:7">
      <c r="A1559" s="1" t="s">
        <v>1693</v>
      </c>
      <c r="B1559" s="1" t="s">
        <v>15</v>
      </c>
      <c r="C1559" s="1" t="s">
        <v>1731</v>
      </c>
      <c r="D1559" s="3">
        <v>39069.43</v>
      </c>
      <c r="E1559" s="3">
        <v>15258206.800000001</v>
      </c>
      <c r="F1559" s="1" t="s">
        <v>3048</v>
      </c>
      <c r="G1559" s="19">
        <f t="shared" si="106"/>
        <v>39069.43</v>
      </c>
    </row>
    <row r="1560" spans="1:7">
      <c r="A1560" s="1" t="s">
        <v>360</v>
      </c>
      <c r="B1560" s="1" t="s">
        <v>393</v>
      </c>
      <c r="C1560" s="1" t="s">
        <v>394</v>
      </c>
      <c r="D1560" s="3">
        <v>1253.1199999999999</v>
      </c>
      <c r="E1560" s="3">
        <v>15643491.42</v>
      </c>
      <c r="F1560" s="2" t="s">
        <v>3048</v>
      </c>
      <c r="G1560" s="19">
        <f t="shared" si="106"/>
        <v>1253.1199999999999</v>
      </c>
    </row>
    <row r="1561" spans="1:7">
      <c r="A1561" s="1" t="s">
        <v>1693</v>
      </c>
      <c r="B1561" s="1" t="s">
        <v>15</v>
      </c>
      <c r="C1561" s="1" t="s">
        <v>1734</v>
      </c>
      <c r="D1561" s="3">
        <v>59822.02</v>
      </c>
      <c r="E1561" s="3">
        <v>15319991.710000001</v>
      </c>
      <c r="F1561" s="1" t="s">
        <v>3048</v>
      </c>
      <c r="G1561" s="19">
        <f t="shared" si="106"/>
        <v>59822.02</v>
      </c>
    </row>
    <row r="1562" spans="1:7">
      <c r="A1562" s="1" t="s">
        <v>1693</v>
      </c>
      <c r="B1562" s="1" t="s">
        <v>15</v>
      </c>
      <c r="C1562" s="1" t="s">
        <v>1735</v>
      </c>
      <c r="D1562" s="3">
        <v>28741.85</v>
      </c>
      <c r="E1562" s="3">
        <v>15348733.560000001</v>
      </c>
      <c r="F1562" s="1" t="s">
        <v>3048</v>
      </c>
      <c r="G1562" s="19">
        <f t="shared" si="106"/>
        <v>28741.85</v>
      </c>
    </row>
    <row r="1563" spans="1:7">
      <c r="A1563" s="1" t="s">
        <v>1693</v>
      </c>
      <c r="B1563" s="1" t="s">
        <v>15</v>
      </c>
      <c r="C1563" s="1" t="s">
        <v>1736</v>
      </c>
      <c r="D1563" s="3">
        <v>67547.759999999995</v>
      </c>
      <c r="E1563" s="3">
        <v>15416281.32</v>
      </c>
      <c r="F1563" s="1" t="s">
        <v>3048</v>
      </c>
      <c r="G1563" s="19">
        <f t="shared" si="106"/>
        <v>67547.759999999995</v>
      </c>
    </row>
    <row r="1564" spans="1:7">
      <c r="A1564" s="1" t="s">
        <v>1693</v>
      </c>
      <c r="B1564" s="1" t="s">
        <v>15</v>
      </c>
      <c r="C1564" s="1" t="s">
        <v>1737</v>
      </c>
      <c r="D1564" s="3">
        <v>32998.57</v>
      </c>
      <c r="E1564" s="3">
        <v>15449279.890000001</v>
      </c>
      <c r="F1564" s="1" t="s">
        <v>3048</v>
      </c>
      <c r="G1564" s="19">
        <f t="shared" si="106"/>
        <v>32998.57</v>
      </c>
    </row>
    <row r="1565" spans="1:7">
      <c r="A1565" s="1" t="s">
        <v>1693</v>
      </c>
      <c r="B1565" s="1" t="s">
        <v>15</v>
      </c>
      <c r="C1565" s="1" t="s">
        <v>1738</v>
      </c>
      <c r="D1565" s="3">
        <v>29911.01</v>
      </c>
      <c r="E1565" s="3">
        <v>15479190.9</v>
      </c>
      <c r="F1565" s="1" t="s">
        <v>3048</v>
      </c>
      <c r="G1565" s="19">
        <f t="shared" si="106"/>
        <v>29911.01</v>
      </c>
    </row>
    <row r="1566" spans="1:7">
      <c r="A1566" s="1" t="s">
        <v>1693</v>
      </c>
      <c r="B1566" s="1" t="s">
        <v>15</v>
      </c>
      <c r="C1566" s="1" t="s">
        <v>1739</v>
      </c>
      <c r="D1566" s="3">
        <v>14264.97</v>
      </c>
      <c r="E1566" s="3">
        <v>15493455.869999999</v>
      </c>
      <c r="F1566" s="1" t="s">
        <v>3048</v>
      </c>
      <c r="G1566" s="19">
        <f t="shared" si="106"/>
        <v>14264.97</v>
      </c>
    </row>
    <row r="1567" spans="1:7">
      <c r="A1567" s="1" t="s">
        <v>1693</v>
      </c>
      <c r="B1567" s="1" t="s">
        <v>15</v>
      </c>
      <c r="C1567" s="1" t="s">
        <v>1740</v>
      </c>
      <c r="D1567" s="3">
        <v>29813.58</v>
      </c>
      <c r="E1567" s="3">
        <v>15523269.449999999</v>
      </c>
      <c r="F1567" s="1" t="s">
        <v>3048</v>
      </c>
      <c r="G1567" s="19">
        <f t="shared" si="106"/>
        <v>29813.58</v>
      </c>
    </row>
    <row r="1568" spans="1:7">
      <c r="A1568" s="1" t="s">
        <v>1693</v>
      </c>
      <c r="B1568" s="1" t="s">
        <v>15</v>
      </c>
      <c r="C1568" s="1" t="s">
        <v>1741</v>
      </c>
      <c r="D1568" s="3">
        <v>32684.400000000001</v>
      </c>
      <c r="E1568" s="3">
        <v>15555953.85</v>
      </c>
      <c r="F1568" s="1" t="s">
        <v>3048</v>
      </c>
      <c r="G1568" s="19">
        <f t="shared" si="106"/>
        <v>32684.400000000001</v>
      </c>
    </row>
    <row r="1569" spans="1:8">
      <c r="A1569" s="1" t="s">
        <v>1742</v>
      </c>
      <c r="B1569" s="1" t="s">
        <v>15</v>
      </c>
      <c r="C1569" s="1" t="s">
        <v>1743</v>
      </c>
      <c r="D1569" s="3">
        <v>188661.62</v>
      </c>
      <c r="E1569" s="3">
        <v>15744615.470000001</v>
      </c>
      <c r="F1569" s="1" t="s">
        <v>3048</v>
      </c>
      <c r="G1569" s="19">
        <f t="shared" si="106"/>
        <v>188661.62</v>
      </c>
    </row>
    <row r="1570" spans="1:8">
      <c r="A1570" s="1" t="s">
        <v>1742</v>
      </c>
      <c r="B1570" s="1" t="s">
        <v>15</v>
      </c>
      <c r="C1570" s="1" t="s">
        <v>1744</v>
      </c>
      <c r="D1570" s="3">
        <v>41377.86</v>
      </c>
      <c r="E1570" s="3">
        <v>15785993.33</v>
      </c>
      <c r="F1570" s="1" t="s">
        <v>3048</v>
      </c>
      <c r="G1570" s="19">
        <f t="shared" si="106"/>
        <v>41377.86</v>
      </c>
    </row>
    <row r="1571" spans="1:8">
      <c r="A1571" s="1" t="s">
        <v>1742</v>
      </c>
      <c r="B1571" s="1" t="s">
        <v>15</v>
      </c>
      <c r="C1571" s="1" t="s">
        <v>1745</v>
      </c>
      <c r="D1571" s="3">
        <v>73267.360000000001</v>
      </c>
      <c r="E1571" s="3">
        <v>15859260.689999999</v>
      </c>
      <c r="F1571" s="1" t="s">
        <v>3048</v>
      </c>
      <c r="G1571" s="19">
        <f t="shared" si="106"/>
        <v>73267.360000000001</v>
      </c>
    </row>
    <row r="1572" spans="1:8">
      <c r="A1572" s="1" t="s">
        <v>636</v>
      </c>
      <c r="B1572" s="1" t="s">
        <v>393</v>
      </c>
      <c r="C1572" s="1" t="s">
        <v>758</v>
      </c>
      <c r="D1572" s="2">
        <v>841.94</v>
      </c>
      <c r="E1572" s="3">
        <v>11078888.24</v>
      </c>
      <c r="F1572" s="2" t="s">
        <v>3048</v>
      </c>
      <c r="G1572" s="19">
        <f t="shared" si="106"/>
        <v>841.94</v>
      </c>
    </row>
    <row r="1573" spans="1:8">
      <c r="A1573" s="1" t="s">
        <v>1742</v>
      </c>
      <c r="B1573" s="1" t="s">
        <v>15</v>
      </c>
      <c r="C1573" s="1" t="s">
        <v>1748</v>
      </c>
      <c r="D1573" s="3">
        <v>45848.95</v>
      </c>
      <c r="E1573" s="3">
        <v>15908790.68</v>
      </c>
      <c r="F1573" s="1" t="s">
        <v>3048</v>
      </c>
      <c r="G1573" s="19">
        <f t="shared" si="106"/>
        <v>45848.95</v>
      </c>
    </row>
    <row r="1574" spans="1:8">
      <c r="A1574" s="1" t="s">
        <v>1742</v>
      </c>
      <c r="B1574" s="1" t="s">
        <v>15</v>
      </c>
      <c r="C1574" s="1" t="s">
        <v>1749</v>
      </c>
      <c r="D1574" s="3">
        <v>4092.06</v>
      </c>
      <c r="E1574" s="3">
        <v>15912882.74</v>
      </c>
      <c r="F1574" s="1" t="s">
        <v>3048</v>
      </c>
      <c r="G1574" s="19">
        <f t="shared" si="106"/>
        <v>4092.06</v>
      </c>
    </row>
    <row r="1575" spans="1:8">
      <c r="A1575" s="1" t="s">
        <v>14</v>
      </c>
      <c r="B1575" s="1" t="s">
        <v>30</v>
      </c>
      <c r="C1575" s="1" t="s">
        <v>31</v>
      </c>
      <c r="D1575" s="2">
        <v>636.35</v>
      </c>
      <c r="E1575" s="3">
        <v>11075837.949999999</v>
      </c>
      <c r="F1575" s="2" t="s">
        <v>3048</v>
      </c>
      <c r="G1575" s="19">
        <f t="shared" si="106"/>
        <v>636.35</v>
      </c>
    </row>
    <row r="1576" spans="1:8">
      <c r="A1576" s="1" t="s">
        <v>1742</v>
      </c>
      <c r="B1576" s="1" t="s">
        <v>15</v>
      </c>
      <c r="C1576" s="1" t="s">
        <v>1752</v>
      </c>
      <c r="D1576" s="3">
        <v>9158.42</v>
      </c>
      <c r="E1576" s="3">
        <v>15922452.34</v>
      </c>
      <c r="F1576" s="1" t="s">
        <v>3048</v>
      </c>
      <c r="G1576" s="19">
        <f t="shared" si="106"/>
        <v>9158.42</v>
      </c>
    </row>
    <row r="1577" spans="1:8">
      <c r="A1577" s="1" t="s">
        <v>1742</v>
      </c>
      <c r="B1577" s="1" t="s">
        <v>15</v>
      </c>
      <c r="C1577" s="1" t="s">
        <v>1753</v>
      </c>
      <c r="D1577" s="3">
        <v>28059.84</v>
      </c>
      <c r="E1577" s="3">
        <v>15950512.18</v>
      </c>
      <c r="F1577" s="1" t="s">
        <v>3048</v>
      </c>
      <c r="G1577" s="19">
        <f t="shared" si="106"/>
        <v>28059.84</v>
      </c>
    </row>
    <row r="1578" spans="1:8">
      <c r="A1578" s="1" t="s">
        <v>1742</v>
      </c>
      <c r="B1578" s="1" t="s">
        <v>15</v>
      </c>
      <c r="C1578" s="1" t="s">
        <v>1754</v>
      </c>
      <c r="D1578" s="3">
        <v>9353.2800000000007</v>
      </c>
      <c r="E1578" s="3">
        <v>15959865.460000001</v>
      </c>
      <c r="F1578" s="1" t="s">
        <v>3048</v>
      </c>
      <c r="G1578" s="19">
        <f t="shared" si="106"/>
        <v>9353.2800000000007</v>
      </c>
    </row>
    <row r="1579" spans="1:8">
      <c r="A1579" s="1" t="s">
        <v>1742</v>
      </c>
      <c r="B1579" s="1" t="s">
        <v>15</v>
      </c>
      <c r="C1579" s="1" t="s">
        <v>1755</v>
      </c>
      <c r="D1579" s="3">
        <v>90902.19</v>
      </c>
      <c r="E1579" s="3">
        <v>16050767.65</v>
      </c>
      <c r="F1579" s="1" t="s">
        <v>3048</v>
      </c>
      <c r="G1579" s="19">
        <f t="shared" si="106"/>
        <v>90902.19</v>
      </c>
    </row>
    <row r="1580" spans="1:8">
      <c r="A1580" s="1" t="s">
        <v>1742</v>
      </c>
      <c r="B1580" s="1" t="s">
        <v>15</v>
      </c>
      <c r="C1580" s="1" t="s">
        <v>1756</v>
      </c>
      <c r="D1580" s="3">
        <v>19486</v>
      </c>
      <c r="E1580" s="3">
        <v>16070253.65</v>
      </c>
      <c r="F1580" s="1" t="s">
        <v>3048</v>
      </c>
      <c r="G1580" s="19">
        <f t="shared" si="106"/>
        <v>19486</v>
      </c>
    </row>
    <row r="1581" spans="1:8">
      <c r="A1581" s="1" t="s">
        <v>1742</v>
      </c>
      <c r="B1581" s="1" t="s">
        <v>15</v>
      </c>
      <c r="C1581" s="1" t="s">
        <v>1757</v>
      </c>
      <c r="D1581" s="3">
        <v>16331.64</v>
      </c>
      <c r="E1581" s="3">
        <v>16086585.289999999</v>
      </c>
      <c r="F1581" s="1" t="s">
        <v>3048</v>
      </c>
      <c r="G1581" s="19">
        <f t="shared" si="106"/>
        <v>16331.64</v>
      </c>
    </row>
    <row r="1582" spans="1:8">
      <c r="A1582" s="1" t="s">
        <v>1742</v>
      </c>
      <c r="B1582" s="1" t="s">
        <v>55</v>
      </c>
      <c r="C1582" s="1" t="s">
        <v>1758</v>
      </c>
      <c r="D1582" s="3">
        <v>-76912.600000000006</v>
      </c>
      <c r="E1582" s="3">
        <v>16009672.689999999</v>
      </c>
      <c r="G1582" s="19">
        <f>+D1582/1.006</f>
        <v>-76453.876739562635</v>
      </c>
      <c r="H1582" s="19">
        <f>+D1582-G1582</f>
        <v>-458.72326043737121</v>
      </c>
    </row>
    <row r="1583" spans="1:8">
      <c r="A1583" s="1" t="s">
        <v>761</v>
      </c>
      <c r="B1583" s="1" t="s">
        <v>780</v>
      </c>
      <c r="C1583" s="1" t="s">
        <v>781</v>
      </c>
      <c r="D1583" s="3">
        <v>1997.16</v>
      </c>
      <c r="E1583" s="3">
        <v>11637911.460000001</v>
      </c>
      <c r="F1583" s="2" t="s">
        <v>3048</v>
      </c>
      <c r="G1583" s="19">
        <f>+D1583</f>
        <v>1997.16</v>
      </c>
    </row>
    <row r="1584" spans="1:8">
      <c r="A1584" s="1" t="s">
        <v>1742</v>
      </c>
      <c r="B1584" s="1" t="s">
        <v>55</v>
      </c>
      <c r="C1584" s="1" t="s">
        <v>1759</v>
      </c>
      <c r="D1584" s="3">
        <v>-105644.22</v>
      </c>
      <c r="E1584" s="3">
        <v>15903566.99</v>
      </c>
      <c r="G1584" s="19">
        <f>+D1584/1.006</f>
        <v>-105014.1351888668</v>
      </c>
      <c r="H1584" s="19">
        <f>+D1584-G1584</f>
        <v>-630.08481113320158</v>
      </c>
    </row>
    <row r="1585" spans="1:8">
      <c r="A1585" s="1" t="s">
        <v>41</v>
      </c>
      <c r="B1585" s="1" t="s">
        <v>71</v>
      </c>
      <c r="C1585" s="1" t="s">
        <v>72</v>
      </c>
      <c r="D1585" s="3">
        <v>1894.36</v>
      </c>
      <c r="E1585" s="3">
        <v>10513659.369999999</v>
      </c>
      <c r="F1585" s="2" t="s">
        <v>3048</v>
      </c>
      <c r="G1585" s="19">
        <f>+D1585</f>
        <v>1894.36</v>
      </c>
    </row>
    <row r="1586" spans="1:8">
      <c r="A1586" s="1" t="s">
        <v>1742</v>
      </c>
      <c r="B1586" s="1" t="s">
        <v>55</v>
      </c>
      <c r="C1586" s="1" t="s">
        <v>1760</v>
      </c>
      <c r="D1586" s="3">
        <v>-254327</v>
      </c>
      <c r="E1586" s="3">
        <v>15648606.119999999</v>
      </c>
      <c r="G1586" s="19">
        <f>+D1586/1.006</f>
        <v>-252810.13916500992</v>
      </c>
      <c r="H1586" s="19">
        <f>+D1586-G1586</f>
        <v>-1516.8608349900751</v>
      </c>
    </row>
    <row r="1587" spans="1:8">
      <c r="A1587" s="1" t="s">
        <v>360</v>
      </c>
      <c r="B1587" s="1" t="s">
        <v>382</v>
      </c>
      <c r="C1587" s="1" t="s">
        <v>383</v>
      </c>
      <c r="D1587" s="3">
        <v>4190.12</v>
      </c>
      <c r="E1587" s="3">
        <v>15514251.689999999</v>
      </c>
      <c r="F1587" s="2" t="s">
        <v>3048</v>
      </c>
      <c r="G1587" s="19">
        <f>+D1587</f>
        <v>4190.12</v>
      </c>
    </row>
    <row r="1588" spans="1:8">
      <c r="A1588" s="1" t="s">
        <v>1742</v>
      </c>
      <c r="B1588" s="1" t="s">
        <v>1761</v>
      </c>
      <c r="C1588" s="1" t="s">
        <v>1762</v>
      </c>
      <c r="D1588" s="3">
        <v>-25668</v>
      </c>
      <c r="E1588" s="3">
        <v>15621412.16</v>
      </c>
      <c r="G1588" s="19">
        <f>+D1588/1.006</f>
        <v>-25514.910536779324</v>
      </c>
      <c r="H1588" s="19">
        <f>+D1588-G1588</f>
        <v>-153.08946322067641</v>
      </c>
    </row>
    <row r="1589" spans="1:8">
      <c r="A1589" s="1" t="s">
        <v>1630</v>
      </c>
      <c r="B1589" s="1" t="s">
        <v>1680</v>
      </c>
      <c r="C1589" s="1" t="s">
        <v>1681</v>
      </c>
      <c r="D1589" s="3">
        <v>2016.74</v>
      </c>
      <c r="E1589" s="3">
        <v>13734191.74</v>
      </c>
      <c r="F1589" s="2" t="s">
        <v>3048</v>
      </c>
      <c r="G1589" s="19">
        <f>+D1589</f>
        <v>2016.74</v>
      </c>
    </row>
    <row r="1590" spans="1:8">
      <c r="A1590" s="1" t="s">
        <v>1742</v>
      </c>
      <c r="B1590" s="1" t="s">
        <v>1609</v>
      </c>
      <c r="C1590" s="1" t="s">
        <v>1763</v>
      </c>
      <c r="D1590" s="3">
        <v>-138198.41</v>
      </c>
      <c r="E1590" s="3">
        <v>15483059.74</v>
      </c>
      <c r="G1590" s="19">
        <f>+D1590/1.006</f>
        <v>-137374.16500994036</v>
      </c>
      <c r="H1590" s="19">
        <f>+D1590-G1590</f>
        <v>-824.24499005964026</v>
      </c>
    </row>
    <row r="1591" spans="1:8">
      <c r="A1591" s="1" t="s">
        <v>121</v>
      </c>
      <c r="B1591" s="1" t="s">
        <v>245</v>
      </c>
      <c r="C1591" s="1" t="s">
        <v>246</v>
      </c>
      <c r="D1591" s="3">
        <v>3681.04</v>
      </c>
      <c r="E1591" s="3">
        <v>12694489.75</v>
      </c>
      <c r="F1591" s="2" t="s">
        <v>3048</v>
      </c>
      <c r="G1591" s="19">
        <f>+D1591</f>
        <v>3681.04</v>
      </c>
    </row>
    <row r="1592" spans="1:8">
      <c r="A1592" s="1" t="s">
        <v>1764</v>
      </c>
      <c r="B1592" s="1" t="s">
        <v>566</v>
      </c>
      <c r="C1592" s="1" t="s">
        <v>1765</v>
      </c>
      <c r="D1592" s="3">
        <v>-891316</v>
      </c>
      <c r="E1592" s="3">
        <v>14590914.550000001</v>
      </c>
      <c r="G1592" s="19">
        <f t="shared" ref="G1592:G1595" si="107">+D1592/1.006</f>
        <v>-886000</v>
      </c>
      <c r="H1592" s="19">
        <f t="shared" ref="H1592:H1595" si="108">+D1592-G1592</f>
        <v>-5316</v>
      </c>
    </row>
    <row r="1593" spans="1:8">
      <c r="A1593" s="1" t="s">
        <v>1764</v>
      </c>
      <c r="B1593" s="1" t="s">
        <v>566</v>
      </c>
      <c r="C1593" s="1" t="s">
        <v>1766</v>
      </c>
      <c r="D1593" s="3">
        <v>-728344</v>
      </c>
      <c r="E1593" s="3">
        <v>13862570.550000001</v>
      </c>
      <c r="G1593" s="19">
        <f t="shared" si="107"/>
        <v>-724000</v>
      </c>
      <c r="H1593" s="19">
        <f t="shared" si="108"/>
        <v>-4344</v>
      </c>
    </row>
    <row r="1594" spans="1:8">
      <c r="A1594" s="1" t="s">
        <v>1764</v>
      </c>
      <c r="B1594" s="1" t="s">
        <v>465</v>
      </c>
      <c r="C1594" s="1" t="s">
        <v>1767</v>
      </c>
      <c r="D1594" s="3">
        <v>-1502661.19</v>
      </c>
      <c r="E1594" s="3">
        <v>12359909.359999999</v>
      </c>
      <c r="G1594" s="19">
        <f t="shared" si="107"/>
        <v>-1493698.9960238568</v>
      </c>
      <c r="H1594" s="19">
        <f t="shared" si="108"/>
        <v>-8962.1939761431422</v>
      </c>
    </row>
    <row r="1595" spans="1:8">
      <c r="A1595" s="1" t="s">
        <v>1768</v>
      </c>
      <c r="B1595" s="1" t="s">
        <v>1769</v>
      </c>
      <c r="C1595" s="1" t="s">
        <v>1770</v>
      </c>
      <c r="D1595" s="3">
        <v>-195300</v>
      </c>
      <c r="E1595" s="3">
        <v>12164609.359999999</v>
      </c>
      <c r="G1595" s="19">
        <f t="shared" si="107"/>
        <v>-194135.1888667992</v>
      </c>
      <c r="H1595" s="19">
        <f t="shared" si="108"/>
        <v>-1164.8111332007975</v>
      </c>
    </row>
    <row r="1596" spans="1:8">
      <c r="A1596" s="1" t="s">
        <v>1523</v>
      </c>
      <c r="B1596" s="1" t="s">
        <v>1613</v>
      </c>
      <c r="C1596" s="1" t="s">
        <v>1614</v>
      </c>
      <c r="D1596" s="3">
        <v>1409.76</v>
      </c>
      <c r="E1596" s="3">
        <v>12902910.15</v>
      </c>
      <c r="F1596" s="2" t="s">
        <v>3048</v>
      </c>
      <c r="G1596" s="19">
        <f>+D1596</f>
        <v>1409.76</v>
      </c>
    </row>
    <row r="1597" spans="1:8">
      <c r="A1597" s="1" t="s">
        <v>1768</v>
      </c>
      <c r="B1597" s="1" t="s">
        <v>1388</v>
      </c>
      <c r="C1597" s="1" t="s">
        <v>1771</v>
      </c>
      <c r="D1597" s="3">
        <v>-123536.8</v>
      </c>
      <c r="E1597" s="3">
        <v>12039900.76</v>
      </c>
      <c r="G1597" s="19">
        <f t="shared" ref="G1597:G1600" si="109">+D1597/1.006</f>
        <v>-122800</v>
      </c>
      <c r="H1597" s="19">
        <f t="shared" ref="H1597:H1600" si="110">+D1597-G1597</f>
        <v>-736.80000000000291</v>
      </c>
    </row>
    <row r="1598" spans="1:8">
      <c r="A1598" s="1" t="s">
        <v>1768</v>
      </c>
      <c r="B1598" s="1" t="s">
        <v>564</v>
      </c>
      <c r="C1598" s="1" t="s">
        <v>1772</v>
      </c>
      <c r="D1598" s="3">
        <v>-127570.86</v>
      </c>
      <c r="E1598" s="3">
        <v>11912329.9</v>
      </c>
      <c r="G1598" s="19">
        <f t="shared" si="109"/>
        <v>-126810</v>
      </c>
      <c r="H1598" s="19">
        <f t="shared" si="110"/>
        <v>-760.86000000000058</v>
      </c>
    </row>
    <row r="1599" spans="1:8">
      <c r="A1599" s="1" t="s">
        <v>1768</v>
      </c>
      <c r="B1599" s="1" t="s">
        <v>1388</v>
      </c>
      <c r="C1599" s="1" t="s">
        <v>1773</v>
      </c>
      <c r="D1599" s="3">
        <v>-148027.37</v>
      </c>
      <c r="E1599" s="3">
        <v>11764302.529999999</v>
      </c>
      <c r="G1599" s="19">
        <f t="shared" si="109"/>
        <v>-147144.50298210734</v>
      </c>
      <c r="H1599" s="19">
        <f t="shared" si="110"/>
        <v>-882.86701789265499</v>
      </c>
    </row>
    <row r="1600" spans="1:8">
      <c r="A1600" s="1" t="s">
        <v>1768</v>
      </c>
      <c r="B1600" s="1" t="s">
        <v>1774</v>
      </c>
      <c r="C1600" s="1" t="s">
        <v>1775</v>
      </c>
      <c r="D1600" s="3">
        <v>-200000</v>
      </c>
      <c r="E1600" s="3">
        <v>11564302.529999999</v>
      </c>
      <c r="G1600" s="19">
        <f t="shared" si="109"/>
        <v>-198807.15705765408</v>
      </c>
      <c r="H1600" s="19">
        <f t="shared" si="110"/>
        <v>-1192.8429423459165</v>
      </c>
    </row>
    <row r="1601" spans="1:7">
      <c r="A1601" s="1" t="s">
        <v>253</v>
      </c>
      <c r="B1601" s="1" t="s">
        <v>260</v>
      </c>
      <c r="C1601" s="1" t="s">
        <v>261</v>
      </c>
      <c r="D1601" s="3">
        <v>1958</v>
      </c>
      <c r="E1601" s="3">
        <v>13147566.029999999</v>
      </c>
      <c r="F1601" s="2" t="s">
        <v>3048</v>
      </c>
      <c r="G1601" s="19">
        <f t="shared" ref="G1601:G1620" si="111">+D1601</f>
        <v>1958</v>
      </c>
    </row>
    <row r="1602" spans="1:7">
      <c r="A1602" s="1" t="s">
        <v>1768</v>
      </c>
      <c r="B1602" s="1" t="s">
        <v>15</v>
      </c>
      <c r="C1602" s="1" t="s">
        <v>1776</v>
      </c>
      <c r="D1602" s="3">
        <v>44622.94</v>
      </c>
      <c r="E1602" s="3">
        <v>11607725.470000001</v>
      </c>
      <c r="F1602" s="1" t="s">
        <v>3048</v>
      </c>
      <c r="G1602" s="19">
        <f t="shared" si="111"/>
        <v>44622.94</v>
      </c>
    </row>
    <row r="1603" spans="1:7">
      <c r="A1603" s="1" t="s">
        <v>761</v>
      </c>
      <c r="B1603" s="1" t="s">
        <v>853</v>
      </c>
      <c r="C1603" s="1" t="s">
        <v>854</v>
      </c>
      <c r="D1603" s="3">
        <v>1299.1300000000001</v>
      </c>
      <c r="E1603" s="3">
        <v>13247224.210000001</v>
      </c>
      <c r="F1603" s="2" t="s">
        <v>3048</v>
      </c>
      <c r="G1603" s="19">
        <f t="shared" si="111"/>
        <v>1299.1300000000001</v>
      </c>
    </row>
    <row r="1604" spans="1:7">
      <c r="A1604" s="1" t="s">
        <v>1768</v>
      </c>
      <c r="B1604" s="1" t="s">
        <v>15</v>
      </c>
      <c r="C1604" s="1" t="s">
        <v>1779</v>
      </c>
      <c r="D1604" s="3">
        <v>11611.44</v>
      </c>
      <c r="E1604" s="3">
        <v>11623820.73</v>
      </c>
      <c r="F1604" s="1" t="s">
        <v>3048</v>
      </c>
      <c r="G1604" s="19">
        <f t="shared" si="111"/>
        <v>11611.44</v>
      </c>
    </row>
    <row r="1605" spans="1:7">
      <c r="A1605" s="1" t="s">
        <v>1768</v>
      </c>
      <c r="B1605" s="1" t="s">
        <v>15</v>
      </c>
      <c r="C1605" s="1" t="s">
        <v>1780</v>
      </c>
      <c r="D1605" s="3">
        <v>8184.12</v>
      </c>
      <c r="E1605" s="3">
        <v>11632004.85</v>
      </c>
      <c r="F1605" s="1" t="s">
        <v>3048</v>
      </c>
      <c r="G1605" s="19">
        <f t="shared" si="111"/>
        <v>8184.12</v>
      </c>
    </row>
    <row r="1606" spans="1:7">
      <c r="A1606" s="1" t="s">
        <v>636</v>
      </c>
      <c r="B1606" s="1" t="s">
        <v>714</v>
      </c>
      <c r="C1606" s="1" t="s">
        <v>715</v>
      </c>
      <c r="D1606" s="2">
        <v>411.18</v>
      </c>
      <c r="E1606" s="3">
        <v>9856630.2899999991</v>
      </c>
      <c r="F1606" s="2" t="s">
        <v>3048</v>
      </c>
      <c r="G1606" s="19">
        <f t="shared" si="111"/>
        <v>411.18</v>
      </c>
    </row>
    <row r="1607" spans="1:7">
      <c r="A1607" s="1" t="s">
        <v>1768</v>
      </c>
      <c r="B1607" s="1" t="s">
        <v>15</v>
      </c>
      <c r="C1607" s="1" t="s">
        <v>1783</v>
      </c>
      <c r="D1607" s="3">
        <v>33319.03</v>
      </c>
      <c r="E1607" s="3">
        <v>11665735.060000001</v>
      </c>
      <c r="F1607" s="1" t="s">
        <v>3048</v>
      </c>
      <c r="G1607" s="19">
        <f t="shared" si="111"/>
        <v>33319.03</v>
      </c>
    </row>
    <row r="1608" spans="1:7">
      <c r="A1608" s="1" t="s">
        <v>1768</v>
      </c>
      <c r="B1608" s="1" t="s">
        <v>15</v>
      </c>
      <c r="C1608" s="1" t="s">
        <v>1784</v>
      </c>
      <c r="D1608" s="3">
        <v>58099.05</v>
      </c>
      <c r="E1608" s="3">
        <v>11723834.109999999</v>
      </c>
      <c r="F1608" s="1" t="s">
        <v>3048</v>
      </c>
      <c r="G1608" s="19">
        <f t="shared" si="111"/>
        <v>58099.05</v>
      </c>
    </row>
    <row r="1609" spans="1:7">
      <c r="A1609" s="1" t="s">
        <v>1768</v>
      </c>
      <c r="B1609" s="1" t="s">
        <v>15</v>
      </c>
      <c r="C1609" s="1" t="s">
        <v>1785</v>
      </c>
      <c r="D1609" s="3">
        <v>49007.29</v>
      </c>
      <c r="E1609" s="3">
        <v>11772841.4</v>
      </c>
      <c r="F1609" s="1" t="s">
        <v>3048</v>
      </c>
      <c r="G1609" s="19">
        <f t="shared" si="111"/>
        <v>49007.29</v>
      </c>
    </row>
    <row r="1610" spans="1:7">
      <c r="A1610" s="1" t="s">
        <v>1768</v>
      </c>
      <c r="B1610" s="1" t="s">
        <v>15</v>
      </c>
      <c r="C1610" s="1" t="s">
        <v>1786</v>
      </c>
      <c r="D1610" s="3">
        <v>35071.879999999997</v>
      </c>
      <c r="E1610" s="3">
        <v>11807913.279999999</v>
      </c>
      <c r="F1610" s="1" t="s">
        <v>3048</v>
      </c>
      <c r="G1610" s="19">
        <f t="shared" si="111"/>
        <v>35071.879999999997</v>
      </c>
    </row>
    <row r="1611" spans="1:7">
      <c r="A1611" s="1" t="s">
        <v>1768</v>
      </c>
      <c r="B1611" s="1" t="s">
        <v>15</v>
      </c>
      <c r="C1611" s="1" t="s">
        <v>1787</v>
      </c>
      <c r="D1611" s="3">
        <v>22524.52</v>
      </c>
      <c r="E1611" s="3">
        <v>11830437.800000001</v>
      </c>
      <c r="F1611" s="1" t="s">
        <v>3048</v>
      </c>
      <c r="G1611" s="19">
        <f t="shared" si="111"/>
        <v>22524.52</v>
      </c>
    </row>
    <row r="1612" spans="1:7">
      <c r="A1612" s="1" t="s">
        <v>1768</v>
      </c>
      <c r="B1612" s="1" t="s">
        <v>15</v>
      </c>
      <c r="C1612" s="1" t="s">
        <v>1788</v>
      </c>
      <c r="D1612" s="3">
        <v>35071.879999999997</v>
      </c>
      <c r="E1612" s="3">
        <v>11865509.68</v>
      </c>
      <c r="F1612" s="1" t="s">
        <v>3048</v>
      </c>
      <c r="G1612" s="19">
        <f t="shared" si="111"/>
        <v>35071.879999999997</v>
      </c>
    </row>
    <row r="1613" spans="1:7">
      <c r="A1613" s="1" t="s">
        <v>1768</v>
      </c>
      <c r="B1613" s="1" t="s">
        <v>15</v>
      </c>
      <c r="C1613" s="1" t="s">
        <v>1789</v>
      </c>
      <c r="D1613" s="3">
        <v>40920.6</v>
      </c>
      <c r="E1613" s="3">
        <v>11906430.279999999</v>
      </c>
      <c r="F1613" s="1" t="s">
        <v>3048</v>
      </c>
      <c r="G1613" s="19">
        <f t="shared" si="111"/>
        <v>40920.6</v>
      </c>
    </row>
    <row r="1614" spans="1:7">
      <c r="A1614" s="1" t="s">
        <v>1768</v>
      </c>
      <c r="B1614" s="1" t="s">
        <v>15</v>
      </c>
      <c r="C1614" s="1" t="s">
        <v>1790</v>
      </c>
      <c r="D1614" s="3">
        <v>47046.06</v>
      </c>
      <c r="E1614" s="3">
        <v>11953476.34</v>
      </c>
      <c r="F1614" s="1" t="s">
        <v>3048</v>
      </c>
      <c r="G1614" s="19">
        <f t="shared" si="111"/>
        <v>47046.06</v>
      </c>
    </row>
    <row r="1615" spans="1:7">
      <c r="A1615" s="1" t="s">
        <v>1768</v>
      </c>
      <c r="B1615" s="1" t="s">
        <v>15</v>
      </c>
      <c r="C1615" s="1" t="s">
        <v>1791</v>
      </c>
      <c r="D1615" s="3">
        <v>105414.39</v>
      </c>
      <c r="E1615" s="3">
        <v>12058890.73</v>
      </c>
      <c r="F1615" s="1" t="s">
        <v>3048</v>
      </c>
      <c r="G1615" s="19">
        <f t="shared" si="111"/>
        <v>105414.39</v>
      </c>
    </row>
    <row r="1616" spans="1:7">
      <c r="A1616" s="1" t="s">
        <v>1768</v>
      </c>
      <c r="B1616" s="1" t="s">
        <v>15</v>
      </c>
      <c r="C1616" s="1" t="s">
        <v>1792</v>
      </c>
      <c r="D1616" s="3">
        <v>47253.55</v>
      </c>
      <c r="E1616" s="3">
        <v>12106144.279999999</v>
      </c>
      <c r="F1616" s="1" t="s">
        <v>3048</v>
      </c>
      <c r="G1616" s="19">
        <f t="shared" si="111"/>
        <v>47253.55</v>
      </c>
    </row>
    <row r="1617" spans="1:8">
      <c r="A1617" s="1" t="s">
        <v>1793</v>
      </c>
      <c r="B1617" s="1" t="s">
        <v>15</v>
      </c>
      <c r="C1617" s="1" t="s">
        <v>1794</v>
      </c>
      <c r="D1617" s="3">
        <v>21787.78</v>
      </c>
      <c r="E1617" s="3">
        <v>12127932.060000001</v>
      </c>
      <c r="F1617" s="1" t="s">
        <v>3048</v>
      </c>
      <c r="G1617" s="19">
        <f t="shared" si="111"/>
        <v>21787.78</v>
      </c>
    </row>
    <row r="1618" spans="1:8">
      <c r="A1618" s="1" t="s">
        <v>1793</v>
      </c>
      <c r="B1618" s="1" t="s">
        <v>15</v>
      </c>
      <c r="C1618" s="1" t="s">
        <v>1795</v>
      </c>
      <c r="D1618" s="3">
        <v>21787.78</v>
      </c>
      <c r="E1618" s="3">
        <v>12149719.84</v>
      </c>
      <c r="F1618" s="1" t="s">
        <v>3048</v>
      </c>
      <c r="G1618" s="19">
        <f t="shared" si="111"/>
        <v>21787.78</v>
      </c>
    </row>
    <row r="1619" spans="1:8">
      <c r="A1619" s="1" t="s">
        <v>1793</v>
      </c>
      <c r="B1619" s="1" t="s">
        <v>15</v>
      </c>
      <c r="C1619" s="1" t="s">
        <v>1796</v>
      </c>
      <c r="D1619" s="3">
        <v>21434.6</v>
      </c>
      <c r="E1619" s="3">
        <v>12171154.439999999</v>
      </c>
      <c r="F1619" s="1" t="s">
        <v>3048</v>
      </c>
      <c r="G1619" s="19">
        <f t="shared" si="111"/>
        <v>21434.6</v>
      </c>
    </row>
    <row r="1620" spans="1:8">
      <c r="A1620" s="1" t="s">
        <v>1793</v>
      </c>
      <c r="B1620" s="1" t="s">
        <v>15</v>
      </c>
      <c r="C1620" s="1" t="s">
        <v>1797</v>
      </c>
      <c r="D1620" s="3">
        <v>18702.740000000002</v>
      </c>
      <c r="E1620" s="3">
        <v>12189857.18</v>
      </c>
      <c r="F1620" s="1" t="s">
        <v>3048</v>
      </c>
      <c r="G1620" s="19">
        <f t="shared" si="111"/>
        <v>18702.740000000002</v>
      </c>
    </row>
    <row r="1621" spans="1:8">
      <c r="A1621" s="1" t="s">
        <v>1793</v>
      </c>
      <c r="B1621" s="1" t="s">
        <v>471</v>
      </c>
      <c r="C1621" s="1" t="s">
        <v>1798</v>
      </c>
      <c r="D1621" s="3">
        <v>-1035227.6</v>
      </c>
      <c r="E1621" s="3">
        <v>11154629.58</v>
      </c>
      <c r="G1621" s="19">
        <f>+D1621/1.006</f>
        <v>-1029053.2803180914</v>
      </c>
      <c r="H1621" s="19">
        <f>+D1621-G1621</f>
        <v>-6174.3196819085861</v>
      </c>
    </row>
    <row r="1622" spans="1:8">
      <c r="A1622" s="1" t="s">
        <v>360</v>
      </c>
      <c r="B1622" s="1" t="s">
        <v>455</v>
      </c>
      <c r="C1622" s="1" t="s">
        <v>456</v>
      </c>
      <c r="D1622" s="3">
        <v>1713.25</v>
      </c>
      <c r="E1622" s="3">
        <v>16696047.449999999</v>
      </c>
      <c r="F1622" s="2" t="s">
        <v>3048</v>
      </c>
      <c r="G1622" s="19">
        <f>+D1622</f>
        <v>1713.25</v>
      </c>
    </row>
    <row r="1623" spans="1:8">
      <c r="A1623" s="1" t="s">
        <v>1793</v>
      </c>
      <c r="B1623" s="1" t="s">
        <v>1799</v>
      </c>
      <c r="C1623" s="1" t="s">
        <v>1800</v>
      </c>
      <c r="D1623" s="3">
        <v>-1201400</v>
      </c>
      <c r="E1623" s="3">
        <v>9947018.2100000009</v>
      </c>
      <c r="G1623" s="19">
        <f>+D1623/1.006</f>
        <v>-1194234.5924453281</v>
      </c>
      <c r="H1623" s="19">
        <f>+D1623-G1623</f>
        <v>-7165.4075546718668</v>
      </c>
    </row>
    <row r="1624" spans="1:8">
      <c r="A1624" s="1" t="s">
        <v>548</v>
      </c>
      <c r="B1624" s="1" t="s">
        <v>574</v>
      </c>
      <c r="C1624" s="1" t="s">
        <v>575</v>
      </c>
      <c r="D1624" s="3">
        <v>1605.56</v>
      </c>
      <c r="E1624" s="3">
        <v>7608635.1600000001</v>
      </c>
      <c r="F1624" s="2" t="s">
        <v>3048</v>
      </c>
      <c r="G1624" s="19">
        <f t="shared" ref="G1624:G1633" si="112">+D1624</f>
        <v>1605.56</v>
      </c>
    </row>
    <row r="1625" spans="1:8">
      <c r="A1625" s="1" t="s">
        <v>1793</v>
      </c>
      <c r="B1625" s="1" t="s">
        <v>15</v>
      </c>
      <c r="C1625" s="1" t="s">
        <v>1801</v>
      </c>
      <c r="D1625" s="3">
        <v>4062.21</v>
      </c>
      <c r="E1625" s="3">
        <v>9943872.0199999996</v>
      </c>
      <c r="F1625" s="1" t="s">
        <v>3048</v>
      </c>
      <c r="G1625" s="19">
        <f t="shared" si="112"/>
        <v>4062.21</v>
      </c>
    </row>
    <row r="1626" spans="1:8">
      <c r="A1626" s="1" t="s">
        <v>1793</v>
      </c>
      <c r="B1626" s="1" t="s">
        <v>15</v>
      </c>
      <c r="C1626" s="1" t="s">
        <v>1802</v>
      </c>
      <c r="D1626" s="3">
        <v>16368.24</v>
      </c>
      <c r="E1626" s="3">
        <v>9960240.2599999998</v>
      </c>
      <c r="F1626" s="1" t="s">
        <v>3048</v>
      </c>
      <c r="G1626" s="19">
        <f t="shared" si="112"/>
        <v>16368.24</v>
      </c>
    </row>
    <row r="1627" spans="1:8">
      <c r="A1627" s="1" t="s">
        <v>1793</v>
      </c>
      <c r="B1627" s="1" t="s">
        <v>15</v>
      </c>
      <c r="C1627" s="1" t="s">
        <v>1803</v>
      </c>
      <c r="D1627" s="3">
        <v>3897.2</v>
      </c>
      <c r="E1627" s="3">
        <v>9964137.4600000009</v>
      </c>
      <c r="F1627" s="1" t="s">
        <v>3048</v>
      </c>
      <c r="G1627" s="19">
        <f t="shared" si="112"/>
        <v>3897.2</v>
      </c>
    </row>
    <row r="1628" spans="1:8">
      <c r="A1628" s="1" t="s">
        <v>636</v>
      </c>
      <c r="B1628" s="1" t="s">
        <v>704</v>
      </c>
      <c r="C1628" s="1" t="s">
        <v>705</v>
      </c>
      <c r="D1628" s="3">
        <v>4464.24</v>
      </c>
      <c r="E1628" s="3">
        <v>9784074.5500000007</v>
      </c>
      <c r="F1628" s="2" t="s">
        <v>3048</v>
      </c>
      <c r="G1628" s="19">
        <f t="shared" si="112"/>
        <v>4464.24</v>
      </c>
    </row>
    <row r="1629" spans="1:8">
      <c r="A1629" s="1" t="s">
        <v>1793</v>
      </c>
      <c r="B1629" s="1" t="s">
        <v>15</v>
      </c>
      <c r="C1629" s="1" t="s">
        <v>1806</v>
      </c>
      <c r="D1629" s="3">
        <v>25239.62</v>
      </c>
      <c r="E1629" s="3">
        <v>9989572.8800000008</v>
      </c>
      <c r="F1629" s="1" t="s">
        <v>3048</v>
      </c>
      <c r="G1629" s="19">
        <f t="shared" si="112"/>
        <v>25239.62</v>
      </c>
    </row>
    <row r="1630" spans="1:8">
      <c r="A1630" s="1" t="s">
        <v>14</v>
      </c>
      <c r="B1630" s="1" t="s">
        <v>21</v>
      </c>
      <c r="C1630" s="1" t="s">
        <v>22</v>
      </c>
      <c r="D1630" s="3">
        <v>2216.46</v>
      </c>
      <c r="E1630" s="3">
        <v>10964934.42</v>
      </c>
      <c r="F1630" s="2" t="s">
        <v>3048</v>
      </c>
      <c r="G1630" s="19">
        <f t="shared" si="112"/>
        <v>2216.46</v>
      </c>
    </row>
    <row r="1631" spans="1:8">
      <c r="A1631" s="1" t="s">
        <v>1793</v>
      </c>
      <c r="B1631" s="1" t="s">
        <v>15</v>
      </c>
      <c r="C1631" s="1" t="s">
        <v>1808</v>
      </c>
      <c r="D1631" s="3">
        <v>45499.81</v>
      </c>
      <c r="E1631" s="3">
        <v>10036433.5</v>
      </c>
      <c r="F1631" s="1" t="s">
        <v>3048</v>
      </c>
      <c r="G1631" s="19">
        <f t="shared" si="112"/>
        <v>45499.81</v>
      </c>
    </row>
    <row r="1632" spans="1:8">
      <c r="A1632" s="1" t="s">
        <v>1793</v>
      </c>
      <c r="B1632" s="1" t="s">
        <v>15</v>
      </c>
      <c r="C1632" s="1" t="s">
        <v>1809</v>
      </c>
      <c r="D1632" s="3">
        <v>7263.2</v>
      </c>
      <c r="E1632" s="3">
        <v>10043696.699999999</v>
      </c>
      <c r="F1632" s="1" t="s">
        <v>3048</v>
      </c>
      <c r="G1632" s="19">
        <f t="shared" si="112"/>
        <v>7263.2</v>
      </c>
    </row>
    <row r="1633" spans="1:8">
      <c r="A1633" s="1" t="s">
        <v>1793</v>
      </c>
      <c r="B1633" s="1" t="s">
        <v>15</v>
      </c>
      <c r="C1633" s="1" t="s">
        <v>1810</v>
      </c>
      <c r="D1633" s="3">
        <v>39556.58</v>
      </c>
      <c r="E1633" s="3">
        <v>10083253.279999999</v>
      </c>
      <c r="F1633" s="1" t="s">
        <v>3048</v>
      </c>
      <c r="G1633" s="19">
        <f t="shared" si="112"/>
        <v>39556.58</v>
      </c>
    </row>
    <row r="1634" spans="1:8">
      <c r="A1634" s="1" t="s">
        <v>1793</v>
      </c>
      <c r="B1634" s="1" t="s">
        <v>1009</v>
      </c>
      <c r="C1634" s="1" t="s">
        <v>1811</v>
      </c>
      <c r="D1634" s="3">
        <v>-551528.92000000004</v>
      </c>
      <c r="E1634" s="3">
        <v>9531724.3599999994</v>
      </c>
      <c r="G1634" s="19">
        <f>+D1634/1.006</f>
        <v>-548239.4831013917</v>
      </c>
      <c r="H1634" s="19">
        <f>+D1634-G1634</f>
        <v>-3289.4368986083427</v>
      </c>
    </row>
    <row r="1635" spans="1:8">
      <c r="A1635" s="1" t="s">
        <v>1013</v>
      </c>
      <c r="B1635" s="1" t="s">
        <v>1034</v>
      </c>
      <c r="C1635" s="1" t="s">
        <v>1035</v>
      </c>
      <c r="D1635" s="3">
        <v>3293.36</v>
      </c>
      <c r="E1635" s="3">
        <v>14080518.109999999</v>
      </c>
      <c r="F1635" s="2" t="s">
        <v>3048</v>
      </c>
      <c r="G1635" s="19">
        <f t="shared" ref="G1635:G1698" si="113">+D1635</f>
        <v>3293.36</v>
      </c>
    </row>
    <row r="1636" spans="1:8">
      <c r="A1636" s="1" t="s">
        <v>1793</v>
      </c>
      <c r="B1636" s="1" t="s">
        <v>15</v>
      </c>
      <c r="C1636" s="1" t="s">
        <v>1812</v>
      </c>
      <c r="D1636" s="3">
        <v>8715.84</v>
      </c>
      <c r="E1636" s="3">
        <v>9537131.0299999993</v>
      </c>
      <c r="F1636" s="1" t="s">
        <v>3048</v>
      </c>
      <c r="G1636" s="19">
        <f t="shared" si="113"/>
        <v>8715.84</v>
      </c>
    </row>
    <row r="1637" spans="1:8">
      <c r="A1637" s="1" t="s">
        <v>1793</v>
      </c>
      <c r="B1637" s="1" t="s">
        <v>15</v>
      </c>
      <c r="C1637" s="1" t="s">
        <v>1813</v>
      </c>
      <c r="D1637" s="3">
        <v>5358.65</v>
      </c>
      <c r="E1637" s="3">
        <v>9542489.6799999997</v>
      </c>
      <c r="F1637" s="1" t="s">
        <v>3048</v>
      </c>
      <c r="G1637" s="19">
        <f t="shared" si="113"/>
        <v>5358.65</v>
      </c>
    </row>
    <row r="1638" spans="1:8">
      <c r="A1638" s="1" t="s">
        <v>360</v>
      </c>
      <c r="B1638" s="1" t="s">
        <v>448</v>
      </c>
      <c r="C1638" s="1" t="s">
        <v>449</v>
      </c>
      <c r="D1638" s="2">
        <v>469.92</v>
      </c>
      <c r="E1638" s="3">
        <v>16608131.039999999</v>
      </c>
      <c r="F1638" s="2" t="s">
        <v>3048</v>
      </c>
      <c r="G1638" s="19">
        <f t="shared" si="113"/>
        <v>469.92</v>
      </c>
    </row>
    <row r="1639" spans="1:8">
      <c r="A1639" s="1" t="s">
        <v>1793</v>
      </c>
      <c r="B1639" s="1" t="s">
        <v>15</v>
      </c>
      <c r="C1639" s="1" t="s">
        <v>1816</v>
      </c>
      <c r="D1639" s="3">
        <v>19973.150000000001</v>
      </c>
      <c r="E1639" s="3">
        <v>9562732.0500000007</v>
      </c>
      <c r="F1639" s="1" t="s">
        <v>3048</v>
      </c>
      <c r="G1639" s="19">
        <f t="shared" si="113"/>
        <v>19973.150000000001</v>
      </c>
    </row>
    <row r="1640" spans="1:8">
      <c r="A1640" s="1" t="s">
        <v>1793</v>
      </c>
      <c r="B1640" s="1" t="s">
        <v>15</v>
      </c>
      <c r="C1640" s="1" t="s">
        <v>1817</v>
      </c>
      <c r="D1640" s="3">
        <v>4676.6400000000003</v>
      </c>
      <c r="E1640" s="3">
        <v>9567408.6899999995</v>
      </c>
      <c r="F1640" s="1" t="s">
        <v>3048</v>
      </c>
      <c r="G1640" s="19">
        <f t="shared" si="113"/>
        <v>4676.6400000000003</v>
      </c>
    </row>
    <row r="1641" spans="1:8">
      <c r="A1641" s="1" t="s">
        <v>1793</v>
      </c>
      <c r="B1641" s="1" t="s">
        <v>15</v>
      </c>
      <c r="C1641" s="1" t="s">
        <v>1818</v>
      </c>
      <c r="D1641" s="3">
        <v>3897.2</v>
      </c>
      <c r="E1641" s="3">
        <v>9571305.8900000006</v>
      </c>
      <c r="F1641" s="1" t="s">
        <v>3048</v>
      </c>
      <c r="G1641" s="19">
        <f t="shared" si="113"/>
        <v>3897.2</v>
      </c>
    </row>
    <row r="1642" spans="1:8">
      <c r="A1642" s="1" t="s">
        <v>1793</v>
      </c>
      <c r="B1642" s="1" t="s">
        <v>15</v>
      </c>
      <c r="C1642" s="1" t="s">
        <v>1819</v>
      </c>
      <c r="D1642" s="3">
        <v>3778.8</v>
      </c>
      <c r="E1642" s="3">
        <v>9575084.6899999995</v>
      </c>
      <c r="F1642" s="1" t="s">
        <v>3048</v>
      </c>
      <c r="G1642" s="19">
        <f t="shared" si="113"/>
        <v>3778.8</v>
      </c>
    </row>
    <row r="1643" spans="1:8">
      <c r="A1643" s="1" t="s">
        <v>1793</v>
      </c>
      <c r="B1643" s="1" t="s">
        <v>15</v>
      </c>
      <c r="C1643" s="1" t="s">
        <v>1820</v>
      </c>
      <c r="D1643" s="3">
        <v>4676.6400000000003</v>
      </c>
      <c r="E1643" s="3">
        <v>9579761.3300000001</v>
      </c>
      <c r="F1643" s="1" t="s">
        <v>3048</v>
      </c>
      <c r="G1643" s="19">
        <f t="shared" si="113"/>
        <v>4676.6400000000003</v>
      </c>
    </row>
    <row r="1644" spans="1:8">
      <c r="A1644" s="1" t="s">
        <v>1793</v>
      </c>
      <c r="B1644" s="1" t="s">
        <v>448</v>
      </c>
      <c r="C1644" s="1" t="s">
        <v>1821</v>
      </c>
      <c r="D1644" s="2">
        <v>234.96</v>
      </c>
      <c r="E1644" s="3">
        <v>9579996.2899999991</v>
      </c>
      <c r="F1644" s="2" t="s">
        <v>3048</v>
      </c>
      <c r="G1644" s="19">
        <f t="shared" si="113"/>
        <v>234.96</v>
      </c>
    </row>
    <row r="1645" spans="1:8">
      <c r="A1645" s="1" t="s">
        <v>1793</v>
      </c>
      <c r="B1645" s="1" t="s">
        <v>15</v>
      </c>
      <c r="C1645" s="1" t="s">
        <v>1822</v>
      </c>
      <c r="D1645" s="3">
        <v>2338.3200000000002</v>
      </c>
      <c r="E1645" s="3">
        <v>9582334.6099999994</v>
      </c>
      <c r="F1645" s="1" t="s">
        <v>3048</v>
      </c>
      <c r="G1645" s="19">
        <f t="shared" si="113"/>
        <v>2338.3200000000002</v>
      </c>
    </row>
    <row r="1646" spans="1:8">
      <c r="A1646" s="1" t="s">
        <v>1793</v>
      </c>
      <c r="B1646" s="1" t="s">
        <v>448</v>
      </c>
      <c r="C1646" s="1" t="s">
        <v>1823</v>
      </c>
      <c r="D1646" s="2">
        <v>117.48</v>
      </c>
      <c r="E1646" s="3">
        <v>9582452.0899999999</v>
      </c>
      <c r="F1646" s="2" t="s">
        <v>3048</v>
      </c>
      <c r="G1646" s="19">
        <f t="shared" si="113"/>
        <v>117.48</v>
      </c>
    </row>
    <row r="1647" spans="1:8">
      <c r="A1647" s="1" t="s">
        <v>1793</v>
      </c>
      <c r="B1647" s="1" t="s">
        <v>15</v>
      </c>
      <c r="C1647" s="1" t="s">
        <v>1824</v>
      </c>
      <c r="D1647" s="3">
        <v>12847.92</v>
      </c>
      <c r="E1647" s="3">
        <v>9595300.0099999998</v>
      </c>
      <c r="F1647" s="1" t="s">
        <v>3048</v>
      </c>
      <c r="G1647" s="19">
        <f t="shared" si="113"/>
        <v>12847.92</v>
      </c>
    </row>
    <row r="1648" spans="1:8">
      <c r="A1648" s="1" t="s">
        <v>1793</v>
      </c>
      <c r="B1648" s="1" t="s">
        <v>15</v>
      </c>
      <c r="C1648" s="1" t="s">
        <v>1825</v>
      </c>
      <c r="D1648" s="3">
        <v>4092.06</v>
      </c>
      <c r="E1648" s="3">
        <v>9599392.0700000003</v>
      </c>
      <c r="F1648" s="1" t="s">
        <v>3048</v>
      </c>
      <c r="G1648" s="19">
        <f t="shared" si="113"/>
        <v>4092.06</v>
      </c>
    </row>
    <row r="1649" spans="1:7">
      <c r="A1649" s="1" t="s">
        <v>1793</v>
      </c>
      <c r="B1649" s="1" t="s">
        <v>15</v>
      </c>
      <c r="C1649" s="1" t="s">
        <v>1826</v>
      </c>
      <c r="D1649" s="3">
        <v>10391.700000000001</v>
      </c>
      <c r="E1649" s="3">
        <v>9609783.7699999996</v>
      </c>
      <c r="F1649" s="1" t="s">
        <v>3048</v>
      </c>
      <c r="G1649" s="19">
        <f t="shared" si="113"/>
        <v>10391.700000000001</v>
      </c>
    </row>
    <row r="1650" spans="1:7">
      <c r="A1650" s="1" t="s">
        <v>1793</v>
      </c>
      <c r="B1650" s="1" t="s">
        <v>15</v>
      </c>
      <c r="C1650" s="1" t="s">
        <v>1827</v>
      </c>
      <c r="D1650" s="3">
        <v>4993.45</v>
      </c>
      <c r="E1650" s="3">
        <v>9614777.2200000007</v>
      </c>
      <c r="F1650" s="1" t="s">
        <v>3048</v>
      </c>
      <c r="G1650" s="19">
        <f t="shared" si="113"/>
        <v>4993.45</v>
      </c>
    </row>
    <row r="1651" spans="1:7">
      <c r="A1651" s="1" t="s">
        <v>1793</v>
      </c>
      <c r="B1651" s="1" t="s">
        <v>15</v>
      </c>
      <c r="C1651" s="1" t="s">
        <v>1828</v>
      </c>
      <c r="D1651" s="3">
        <v>4676.6400000000003</v>
      </c>
      <c r="E1651" s="3">
        <v>9619453.8599999994</v>
      </c>
      <c r="F1651" s="1" t="s">
        <v>3048</v>
      </c>
      <c r="G1651" s="19">
        <f t="shared" si="113"/>
        <v>4676.6400000000003</v>
      </c>
    </row>
    <row r="1652" spans="1:7">
      <c r="A1652" s="1" t="s">
        <v>1793</v>
      </c>
      <c r="B1652" s="1" t="s">
        <v>448</v>
      </c>
      <c r="C1652" s="1" t="s">
        <v>1834</v>
      </c>
      <c r="D1652" s="2">
        <v>234.96</v>
      </c>
      <c r="E1652" s="3">
        <v>9676584.8200000003</v>
      </c>
      <c r="F1652" s="2" t="s">
        <v>3048</v>
      </c>
      <c r="G1652" s="19">
        <f t="shared" si="113"/>
        <v>234.96</v>
      </c>
    </row>
    <row r="1653" spans="1:7">
      <c r="A1653" s="1" t="s">
        <v>1793</v>
      </c>
      <c r="B1653" s="1" t="s">
        <v>15</v>
      </c>
      <c r="C1653" s="1" t="s">
        <v>1831</v>
      </c>
      <c r="D1653" s="3">
        <v>43175.6</v>
      </c>
      <c r="E1653" s="3">
        <v>9663099.3800000008</v>
      </c>
      <c r="F1653" s="1" t="s">
        <v>3048</v>
      </c>
      <c r="G1653" s="19">
        <f t="shared" si="113"/>
        <v>43175.6</v>
      </c>
    </row>
    <row r="1654" spans="1:7">
      <c r="A1654" s="1" t="s">
        <v>1793</v>
      </c>
      <c r="B1654" s="1" t="s">
        <v>15</v>
      </c>
      <c r="C1654" s="1" t="s">
        <v>1832</v>
      </c>
      <c r="D1654" s="3">
        <v>8573.84</v>
      </c>
      <c r="E1654" s="3">
        <v>9671673.2200000007</v>
      </c>
      <c r="F1654" s="1" t="s">
        <v>3048</v>
      </c>
      <c r="G1654" s="19">
        <f t="shared" si="113"/>
        <v>8573.84</v>
      </c>
    </row>
    <row r="1655" spans="1:7">
      <c r="A1655" s="1" t="s">
        <v>1793</v>
      </c>
      <c r="B1655" s="1" t="s">
        <v>15</v>
      </c>
      <c r="C1655" s="1" t="s">
        <v>1833</v>
      </c>
      <c r="D1655" s="3">
        <v>4676.6400000000003</v>
      </c>
      <c r="E1655" s="3">
        <v>9676349.8599999994</v>
      </c>
      <c r="F1655" s="1" t="s">
        <v>3048</v>
      </c>
      <c r="G1655" s="19">
        <f t="shared" si="113"/>
        <v>4676.6400000000003</v>
      </c>
    </row>
    <row r="1656" spans="1:7">
      <c r="A1656" s="1" t="s">
        <v>904</v>
      </c>
      <c r="B1656" s="1" t="s">
        <v>985</v>
      </c>
      <c r="C1656" s="1" t="s">
        <v>986</v>
      </c>
      <c r="D1656" s="3">
        <v>6020.85</v>
      </c>
      <c r="E1656" s="3">
        <v>16173689.550000001</v>
      </c>
      <c r="F1656" s="2" t="s">
        <v>3048</v>
      </c>
      <c r="G1656" s="19">
        <f t="shared" si="113"/>
        <v>6020.85</v>
      </c>
    </row>
    <row r="1657" spans="1:7">
      <c r="A1657" s="1" t="s">
        <v>1793</v>
      </c>
      <c r="B1657" s="1" t="s">
        <v>15</v>
      </c>
      <c r="C1657" s="1" t="s">
        <v>1835</v>
      </c>
      <c r="D1657" s="3">
        <v>4481.78</v>
      </c>
      <c r="E1657" s="3">
        <v>9681066.5999999996</v>
      </c>
      <c r="F1657" s="1" t="s">
        <v>3048</v>
      </c>
      <c r="G1657" s="19">
        <f t="shared" si="113"/>
        <v>4481.78</v>
      </c>
    </row>
    <row r="1658" spans="1:7">
      <c r="A1658" s="1" t="s">
        <v>1793</v>
      </c>
      <c r="B1658" s="1" t="s">
        <v>15</v>
      </c>
      <c r="C1658" s="1" t="s">
        <v>1836</v>
      </c>
      <c r="D1658" s="3">
        <v>25039.51</v>
      </c>
      <c r="E1658" s="3">
        <v>9706106.1099999994</v>
      </c>
      <c r="F1658" s="1" t="s">
        <v>3048</v>
      </c>
      <c r="G1658" s="19">
        <f t="shared" si="113"/>
        <v>25039.51</v>
      </c>
    </row>
    <row r="1659" spans="1:7">
      <c r="A1659" s="1" t="s">
        <v>1793</v>
      </c>
      <c r="B1659" s="1" t="s">
        <v>15</v>
      </c>
      <c r="C1659" s="1" t="s">
        <v>1837</v>
      </c>
      <c r="D1659" s="3">
        <v>33579.19</v>
      </c>
      <c r="E1659" s="3">
        <v>9739685.3000000007</v>
      </c>
      <c r="F1659" s="1" t="s">
        <v>3048</v>
      </c>
      <c r="G1659" s="19">
        <f t="shared" si="113"/>
        <v>33579.19</v>
      </c>
    </row>
    <row r="1660" spans="1:7">
      <c r="A1660" s="1" t="s">
        <v>1793</v>
      </c>
      <c r="B1660" s="1" t="s">
        <v>15</v>
      </c>
      <c r="C1660" s="1" t="s">
        <v>1838</v>
      </c>
      <c r="D1660" s="3">
        <v>27864.98</v>
      </c>
      <c r="E1660" s="3">
        <v>9767550.2799999993</v>
      </c>
      <c r="F1660" s="1" t="s">
        <v>3048</v>
      </c>
      <c r="G1660" s="19">
        <f t="shared" si="113"/>
        <v>27864.98</v>
      </c>
    </row>
    <row r="1661" spans="1:7">
      <c r="A1661" s="1" t="s">
        <v>1793</v>
      </c>
      <c r="B1661" s="1" t="s">
        <v>15</v>
      </c>
      <c r="C1661" s="1" t="s">
        <v>1839</v>
      </c>
      <c r="D1661" s="3">
        <v>4579.21</v>
      </c>
      <c r="E1661" s="3">
        <v>9772129.4900000002</v>
      </c>
      <c r="F1661" s="1" t="s">
        <v>3048</v>
      </c>
      <c r="G1661" s="19">
        <f t="shared" si="113"/>
        <v>4579.21</v>
      </c>
    </row>
    <row r="1662" spans="1:7">
      <c r="A1662" s="1" t="s">
        <v>1793</v>
      </c>
      <c r="B1662" s="1" t="s">
        <v>15</v>
      </c>
      <c r="C1662" s="1" t="s">
        <v>1840</v>
      </c>
      <c r="D1662" s="3">
        <v>19388.57</v>
      </c>
      <c r="E1662" s="3">
        <v>9791518.0600000005</v>
      </c>
      <c r="F1662" s="1" t="s">
        <v>3048</v>
      </c>
      <c r="G1662" s="19">
        <f t="shared" si="113"/>
        <v>19388.57</v>
      </c>
    </row>
    <row r="1663" spans="1:7">
      <c r="A1663" s="1" t="s">
        <v>1793</v>
      </c>
      <c r="B1663" s="1" t="s">
        <v>15</v>
      </c>
      <c r="C1663" s="1" t="s">
        <v>1841</v>
      </c>
      <c r="D1663" s="3">
        <v>18706.560000000001</v>
      </c>
      <c r="E1663" s="3">
        <v>9810224.6199999992</v>
      </c>
      <c r="F1663" s="1" t="s">
        <v>3048</v>
      </c>
      <c r="G1663" s="19">
        <f t="shared" si="113"/>
        <v>18706.560000000001</v>
      </c>
    </row>
    <row r="1664" spans="1:7">
      <c r="A1664" s="1" t="s">
        <v>1793</v>
      </c>
      <c r="B1664" s="1" t="s">
        <v>15</v>
      </c>
      <c r="C1664" s="1" t="s">
        <v>1842</v>
      </c>
      <c r="D1664" s="3">
        <v>7794.4</v>
      </c>
      <c r="E1664" s="3">
        <v>9818019.0199999996</v>
      </c>
      <c r="F1664" s="1" t="s">
        <v>3048</v>
      </c>
      <c r="G1664" s="19">
        <f t="shared" si="113"/>
        <v>7794.4</v>
      </c>
    </row>
    <row r="1665" spans="1:7">
      <c r="A1665" s="1" t="s">
        <v>1793</v>
      </c>
      <c r="B1665" s="1" t="s">
        <v>15</v>
      </c>
      <c r="C1665" s="1" t="s">
        <v>1843</v>
      </c>
      <c r="D1665" s="3">
        <v>30579.32</v>
      </c>
      <c r="E1665" s="3">
        <v>9848598.3399999999</v>
      </c>
      <c r="F1665" s="1" t="s">
        <v>3048</v>
      </c>
      <c r="G1665" s="19">
        <f t="shared" si="113"/>
        <v>30579.32</v>
      </c>
    </row>
    <row r="1666" spans="1:7">
      <c r="A1666" s="1" t="s">
        <v>1793</v>
      </c>
      <c r="B1666" s="1" t="s">
        <v>15</v>
      </c>
      <c r="C1666" s="1" t="s">
        <v>1844</v>
      </c>
      <c r="D1666" s="3">
        <v>9353.2800000000007</v>
      </c>
      <c r="E1666" s="3">
        <v>9857951.6199999992</v>
      </c>
      <c r="F1666" s="1" t="s">
        <v>3048</v>
      </c>
      <c r="G1666" s="19">
        <f t="shared" si="113"/>
        <v>9353.2800000000007</v>
      </c>
    </row>
    <row r="1667" spans="1:7">
      <c r="A1667" s="1" t="s">
        <v>1793</v>
      </c>
      <c r="B1667" s="1" t="s">
        <v>15</v>
      </c>
      <c r="C1667" s="1" t="s">
        <v>1845</v>
      </c>
      <c r="D1667" s="3">
        <v>29131.57</v>
      </c>
      <c r="E1667" s="3">
        <v>9887083.1899999995</v>
      </c>
      <c r="F1667" s="1" t="s">
        <v>3048</v>
      </c>
      <c r="G1667" s="19">
        <f t="shared" si="113"/>
        <v>29131.57</v>
      </c>
    </row>
    <row r="1668" spans="1:7">
      <c r="A1668" s="1" t="s">
        <v>1793</v>
      </c>
      <c r="B1668" s="1" t="s">
        <v>15</v>
      </c>
      <c r="C1668" s="1" t="s">
        <v>1846</v>
      </c>
      <c r="D1668" s="3">
        <v>16075.95</v>
      </c>
      <c r="E1668" s="3">
        <v>9903159.1400000006</v>
      </c>
      <c r="F1668" s="1" t="s">
        <v>3048</v>
      </c>
      <c r="G1668" s="19">
        <f t="shared" si="113"/>
        <v>16075.95</v>
      </c>
    </row>
    <row r="1669" spans="1:7">
      <c r="A1669" s="1" t="s">
        <v>1793</v>
      </c>
      <c r="B1669" s="1" t="s">
        <v>15</v>
      </c>
      <c r="C1669" s="1" t="s">
        <v>1847</v>
      </c>
      <c r="D1669" s="3">
        <v>26111.24</v>
      </c>
      <c r="E1669" s="3">
        <v>9929270.3800000008</v>
      </c>
      <c r="F1669" s="1" t="s">
        <v>3048</v>
      </c>
      <c r="G1669" s="19">
        <f t="shared" si="113"/>
        <v>26111.24</v>
      </c>
    </row>
    <row r="1670" spans="1:7">
      <c r="A1670" s="1" t="s">
        <v>1793</v>
      </c>
      <c r="B1670" s="1" t="s">
        <v>15</v>
      </c>
      <c r="C1670" s="1" t="s">
        <v>1848</v>
      </c>
      <c r="D1670" s="3">
        <v>47058.69</v>
      </c>
      <c r="E1670" s="3">
        <v>9976329.0700000003</v>
      </c>
      <c r="F1670" s="1" t="s">
        <v>3048</v>
      </c>
      <c r="G1670" s="19">
        <f t="shared" si="113"/>
        <v>47058.69</v>
      </c>
    </row>
    <row r="1671" spans="1:7">
      <c r="A1671" s="1" t="s">
        <v>1793</v>
      </c>
      <c r="B1671" s="1" t="s">
        <v>15</v>
      </c>
      <c r="C1671" s="1" t="s">
        <v>1849</v>
      </c>
      <c r="D1671" s="3">
        <v>9010.56</v>
      </c>
      <c r="E1671" s="3">
        <v>9985339.6300000008</v>
      </c>
      <c r="F1671" s="1" t="s">
        <v>3048</v>
      </c>
      <c r="G1671" s="19">
        <f t="shared" si="113"/>
        <v>9010.56</v>
      </c>
    </row>
    <row r="1672" spans="1:7">
      <c r="A1672" s="1" t="s">
        <v>1793</v>
      </c>
      <c r="B1672" s="1" t="s">
        <v>15</v>
      </c>
      <c r="C1672" s="1" t="s">
        <v>1850</v>
      </c>
      <c r="D1672" s="3">
        <v>7989.26</v>
      </c>
      <c r="E1672" s="3">
        <v>9993328.8900000006</v>
      </c>
      <c r="F1672" s="1" t="s">
        <v>3048</v>
      </c>
      <c r="G1672" s="19">
        <f t="shared" si="113"/>
        <v>7989.26</v>
      </c>
    </row>
    <row r="1673" spans="1:7">
      <c r="A1673" s="1" t="s">
        <v>1793</v>
      </c>
      <c r="B1673" s="1" t="s">
        <v>15</v>
      </c>
      <c r="C1673" s="1" t="s">
        <v>1851</v>
      </c>
      <c r="D1673" s="3">
        <v>24357.5</v>
      </c>
      <c r="E1673" s="3">
        <v>10017686.390000001</v>
      </c>
      <c r="F1673" s="1" t="s">
        <v>3048</v>
      </c>
      <c r="G1673" s="19">
        <f t="shared" si="113"/>
        <v>24357.5</v>
      </c>
    </row>
    <row r="1674" spans="1:7">
      <c r="A1674" s="1" t="s">
        <v>1793</v>
      </c>
      <c r="B1674" s="1" t="s">
        <v>15</v>
      </c>
      <c r="C1674" s="1" t="s">
        <v>1852</v>
      </c>
      <c r="D1674" s="3">
        <v>9353.2800000000007</v>
      </c>
      <c r="E1674" s="3">
        <v>10027039.67</v>
      </c>
      <c r="F1674" s="1" t="s">
        <v>3048</v>
      </c>
      <c r="G1674" s="19">
        <f t="shared" si="113"/>
        <v>9353.2800000000007</v>
      </c>
    </row>
    <row r="1675" spans="1:7">
      <c r="A1675" s="1" t="s">
        <v>1793</v>
      </c>
      <c r="B1675" s="1" t="s">
        <v>15</v>
      </c>
      <c r="C1675" s="1" t="s">
        <v>1853</v>
      </c>
      <c r="D1675" s="3">
        <v>41998.18</v>
      </c>
      <c r="E1675" s="3">
        <v>10069037.85</v>
      </c>
      <c r="F1675" s="1" t="s">
        <v>3048</v>
      </c>
      <c r="G1675" s="19">
        <f t="shared" si="113"/>
        <v>41998.18</v>
      </c>
    </row>
    <row r="1676" spans="1:7">
      <c r="A1676" s="1" t="s">
        <v>1793</v>
      </c>
      <c r="B1676" s="1" t="s">
        <v>15</v>
      </c>
      <c r="C1676" s="1" t="s">
        <v>1854</v>
      </c>
      <c r="D1676" s="3">
        <v>8866.1299999999992</v>
      </c>
      <c r="E1676" s="3">
        <v>10077903.98</v>
      </c>
      <c r="F1676" s="1" t="s">
        <v>3048</v>
      </c>
      <c r="G1676" s="19">
        <f t="shared" si="113"/>
        <v>8866.1299999999992</v>
      </c>
    </row>
    <row r="1677" spans="1:7">
      <c r="A1677" s="1" t="s">
        <v>1793</v>
      </c>
      <c r="B1677" s="1" t="s">
        <v>15</v>
      </c>
      <c r="C1677" s="1" t="s">
        <v>1855</v>
      </c>
      <c r="D1677" s="3">
        <v>8691.24</v>
      </c>
      <c r="E1677" s="3">
        <v>10086595.220000001</v>
      </c>
      <c r="F1677" s="1" t="s">
        <v>3048</v>
      </c>
      <c r="G1677" s="19">
        <f t="shared" si="113"/>
        <v>8691.24</v>
      </c>
    </row>
    <row r="1678" spans="1:7">
      <c r="A1678" s="1" t="s">
        <v>1793</v>
      </c>
      <c r="B1678" s="1" t="s">
        <v>15</v>
      </c>
      <c r="C1678" s="1" t="s">
        <v>1856</v>
      </c>
      <c r="D1678" s="3">
        <v>40449.86</v>
      </c>
      <c r="E1678" s="3">
        <v>10127045.08</v>
      </c>
      <c r="F1678" s="1" t="s">
        <v>3048</v>
      </c>
      <c r="G1678" s="19">
        <f t="shared" si="113"/>
        <v>40449.86</v>
      </c>
    </row>
    <row r="1679" spans="1:7">
      <c r="A1679" s="1" t="s">
        <v>1793</v>
      </c>
      <c r="B1679" s="1" t="s">
        <v>15</v>
      </c>
      <c r="C1679" s="1" t="s">
        <v>1857</v>
      </c>
      <c r="D1679" s="3">
        <v>3897.2</v>
      </c>
      <c r="E1679" s="3">
        <v>10130942.279999999</v>
      </c>
      <c r="F1679" s="1" t="s">
        <v>3048</v>
      </c>
      <c r="G1679" s="19">
        <f t="shared" si="113"/>
        <v>3897.2</v>
      </c>
    </row>
    <row r="1680" spans="1:7">
      <c r="A1680" s="1" t="s">
        <v>477</v>
      </c>
      <c r="B1680" s="1" t="s">
        <v>504</v>
      </c>
      <c r="C1680" s="1" t="s">
        <v>505</v>
      </c>
      <c r="D1680" s="2">
        <v>489.5</v>
      </c>
      <c r="E1680" s="3">
        <v>8811728.0099999998</v>
      </c>
      <c r="F1680" s="2" t="s">
        <v>3048</v>
      </c>
      <c r="G1680" s="19">
        <f t="shared" si="113"/>
        <v>489.5</v>
      </c>
    </row>
    <row r="1681" spans="1:7">
      <c r="A1681" s="1" t="s">
        <v>1793</v>
      </c>
      <c r="B1681" s="1" t="s">
        <v>15</v>
      </c>
      <c r="C1681" s="1" t="s">
        <v>1860</v>
      </c>
      <c r="D1681" s="3">
        <v>4286.92</v>
      </c>
      <c r="E1681" s="3">
        <v>10135425</v>
      </c>
      <c r="F1681" s="1" t="s">
        <v>3048</v>
      </c>
      <c r="G1681" s="19">
        <f t="shared" si="113"/>
        <v>4286.92</v>
      </c>
    </row>
    <row r="1682" spans="1:7">
      <c r="A1682" s="1" t="s">
        <v>1793</v>
      </c>
      <c r="B1682" s="1" t="s">
        <v>15</v>
      </c>
      <c r="C1682" s="1" t="s">
        <v>1861</v>
      </c>
      <c r="D1682" s="3">
        <v>7989.26</v>
      </c>
      <c r="E1682" s="3">
        <v>10143414.26</v>
      </c>
      <c r="F1682" s="1" t="s">
        <v>3048</v>
      </c>
      <c r="G1682" s="19">
        <f t="shared" si="113"/>
        <v>7989.26</v>
      </c>
    </row>
    <row r="1683" spans="1:7">
      <c r="A1683" s="1" t="s">
        <v>1793</v>
      </c>
      <c r="B1683" s="1" t="s">
        <v>15</v>
      </c>
      <c r="C1683" s="1" t="s">
        <v>1862</v>
      </c>
      <c r="D1683" s="3">
        <v>33710.78</v>
      </c>
      <c r="E1683" s="3">
        <v>10177125.039999999</v>
      </c>
      <c r="F1683" s="1" t="s">
        <v>3048</v>
      </c>
      <c r="G1683" s="19">
        <f t="shared" si="113"/>
        <v>33710.78</v>
      </c>
    </row>
    <row r="1684" spans="1:7">
      <c r="A1684" s="1" t="s">
        <v>1793</v>
      </c>
      <c r="B1684" s="1" t="s">
        <v>15</v>
      </c>
      <c r="C1684" s="1" t="s">
        <v>1863</v>
      </c>
      <c r="D1684" s="3">
        <v>19338.27</v>
      </c>
      <c r="E1684" s="3">
        <v>10196463.310000001</v>
      </c>
      <c r="F1684" s="1" t="s">
        <v>3048</v>
      </c>
      <c r="G1684" s="19">
        <f t="shared" si="113"/>
        <v>19338.27</v>
      </c>
    </row>
    <row r="1685" spans="1:7">
      <c r="A1685" s="1" t="s">
        <v>1428</v>
      </c>
      <c r="B1685" s="1" t="s">
        <v>1472</v>
      </c>
      <c r="C1685" s="1" t="s">
        <v>1473</v>
      </c>
      <c r="D1685" s="3">
        <v>1409.76</v>
      </c>
      <c r="E1685" s="3">
        <v>10604879.970000001</v>
      </c>
      <c r="F1685" s="2" t="s">
        <v>3048</v>
      </c>
      <c r="G1685" s="19">
        <f t="shared" si="113"/>
        <v>1409.76</v>
      </c>
    </row>
    <row r="1686" spans="1:7">
      <c r="A1686" s="1" t="s">
        <v>1793</v>
      </c>
      <c r="B1686" s="1" t="s">
        <v>15</v>
      </c>
      <c r="C1686" s="1" t="s">
        <v>1866</v>
      </c>
      <c r="D1686" s="3">
        <v>4676.6400000000003</v>
      </c>
      <c r="E1686" s="3">
        <v>10202182.58</v>
      </c>
      <c r="F1686" s="1" t="s">
        <v>3048</v>
      </c>
      <c r="G1686" s="19">
        <f t="shared" si="113"/>
        <v>4676.6400000000003</v>
      </c>
    </row>
    <row r="1687" spans="1:7">
      <c r="A1687" s="1" t="s">
        <v>477</v>
      </c>
      <c r="B1687" s="1" t="s">
        <v>543</v>
      </c>
      <c r="C1687" s="1" t="s">
        <v>544</v>
      </c>
      <c r="D1687" s="3">
        <v>4787.3100000000004</v>
      </c>
      <c r="E1687" s="3">
        <v>9671837.2599999998</v>
      </c>
      <c r="F1687" s="2" t="s">
        <v>3048</v>
      </c>
      <c r="G1687" s="19">
        <f t="shared" si="113"/>
        <v>4787.3100000000004</v>
      </c>
    </row>
    <row r="1688" spans="1:7">
      <c r="A1688" s="1" t="s">
        <v>1793</v>
      </c>
      <c r="B1688" s="1" t="s">
        <v>15</v>
      </c>
      <c r="C1688" s="1" t="s">
        <v>1868</v>
      </c>
      <c r="D1688" s="3">
        <v>83794.89</v>
      </c>
      <c r="E1688" s="3">
        <v>10286447.390000001</v>
      </c>
      <c r="F1688" s="1" t="s">
        <v>3048</v>
      </c>
      <c r="G1688" s="19">
        <f t="shared" si="113"/>
        <v>83794.89</v>
      </c>
    </row>
    <row r="1689" spans="1:7">
      <c r="A1689" s="1" t="s">
        <v>1793</v>
      </c>
      <c r="B1689" s="1" t="s">
        <v>15</v>
      </c>
      <c r="C1689" s="1" t="s">
        <v>1869</v>
      </c>
      <c r="D1689" s="3">
        <v>5447.4</v>
      </c>
      <c r="E1689" s="3">
        <v>10291894.789999999</v>
      </c>
      <c r="F1689" s="1" t="s">
        <v>3048</v>
      </c>
      <c r="G1689" s="19">
        <f t="shared" si="113"/>
        <v>5447.4</v>
      </c>
    </row>
    <row r="1690" spans="1:7">
      <c r="A1690" s="1" t="s">
        <v>1793</v>
      </c>
      <c r="B1690" s="1" t="s">
        <v>15</v>
      </c>
      <c r="C1690" s="1" t="s">
        <v>1870</v>
      </c>
      <c r="D1690" s="3">
        <v>9069.1200000000008</v>
      </c>
      <c r="E1690" s="3">
        <v>10300963.91</v>
      </c>
      <c r="F1690" s="1" t="s">
        <v>3048</v>
      </c>
      <c r="G1690" s="19">
        <f t="shared" si="113"/>
        <v>9069.1200000000008</v>
      </c>
    </row>
    <row r="1691" spans="1:7">
      <c r="A1691" s="1" t="s">
        <v>1871</v>
      </c>
      <c r="B1691" s="1" t="s">
        <v>15</v>
      </c>
      <c r="C1691" s="1" t="s">
        <v>1872</v>
      </c>
      <c r="D1691" s="3">
        <v>47350.98</v>
      </c>
      <c r="E1691" s="3">
        <v>10348314.890000001</v>
      </c>
      <c r="F1691" s="1" t="s">
        <v>3048</v>
      </c>
      <c r="G1691" s="19">
        <f t="shared" si="113"/>
        <v>47350.98</v>
      </c>
    </row>
    <row r="1692" spans="1:7">
      <c r="A1692" s="1" t="s">
        <v>1871</v>
      </c>
      <c r="B1692" s="1" t="s">
        <v>15</v>
      </c>
      <c r="C1692" s="1" t="s">
        <v>1873</v>
      </c>
      <c r="D1692" s="3">
        <v>15296.51</v>
      </c>
      <c r="E1692" s="3">
        <v>10363611.4</v>
      </c>
      <c r="F1692" s="1" t="s">
        <v>3048</v>
      </c>
      <c r="G1692" s="19">
        <f t="shared" si="113"/>
        <v>15296.51</v>
      </c>
    </row>
    <row r="1693" spans="1:7">
      <c r="A1693" s="1" t="s">
        <v>1871</v>
      </c>
      <c r="B1693" s="1" t="s">
        <v>15</v>
      </c>
      <c r="C1693" s="1" t="s">
        <v>1874</v>
      </c>
      <c r="D1693" s="3">
        <v>4676.6400000000003</v>
      </c>
      <c r="E1693" s="3">
        <v>10368288.039999999</v>
      </c>
      <c r="F1693" s="1" t="s">
        <v>3048</v>
      </c>
      <c r="G1693" s="19">
        <f t="shared" si="113"/>
        <v>4676.6400000000003</v>
      </c>
    </row>
    <row r="1694" spans="1:7">
      <c r="A1694" s="1" t="s">
        <v>1871</v>
      </c>
      <c r="B1694" s="1" t="s">
        <v>15</v>
      </c>
      <c r="C1694" s="1" t="s">
        <v>1875</v>
      </c>
      <c r="D1694" s="3">
        <v>3897.2</v>
      </c>
      <c r="E1694" s="3">
        <v>10372185.24</v>
      </c>
      <c r="F1694" s="1" t="s">
        <v>3048</v>
      </c>
      <c r="G1694" s="19">
        <f t="shared" si="113"/>
        <v>3897.2</v>
      </c>
    </row>
    <row r="1695" spans="1:7">
      <c r="A1695" s="1" t="s">
        <v>1871</v>
      </c>
      <c r="B1695" s="1" t="s">
        <v>15</v>
      </c>
      <c r="C1695" s="1" t="s">
        <v>1876</v>
      </c>
      <c r="D1695" s="3">
        <v>31865.47</v>
      </c>
      <c r="E1695" s="3">
        <v>10404050.710000001</v>
      </c>
      <c r="F1695" s="1" t="s">
        <v>3048</v>
      </c>
      <c r="G1695" s="19">
        <f t="shared" si="113"/>
        <v>31865.47</v>
      </c>
    </row>
    <row r="1696" spans="1:7">
      <c r="A1696" s="1" t="s">
        <v>1871</v>
      </c>
      <c r="B1696" s="1" t="s">
        <v>15</v>
      </c>
      <c r="C1696" s="1" t="s">
        <v>1877</v>
      </c>
      <c r="D1696" s="3">
        <v>33126.199999999997</v>
      </c>
      <c r="E1696" s="3">
        <v>10437176.91</v>
      </c>
      <c r="F1696" s="1" t="s">
        <v>3048</v>
      </c>
      <c r="G1696" s="19">
        <f t="shared" si="113"/>
        <v>33126.199999999997</v>
      </c>
    </row>
    <row r="1697" spans="1:7">
      <c r="A1697" s="1" t="s">
        <v>1871</v>
      </c>
      <c r="B1697" s="1" t="s">
        <v>15</v>
      </c>
      <c r="C1697" s="1" t="s">
        <v>1878</v>
      </c>
      <c r="D1697" s="3">
        <v>10324.6</v>
      </c>
      <c r="E1697" s="3">
        <v>10447501.51</v>
      </c>
      <c r="F1697" s="1" t="s">
        <v>3048</v>
      </c>
      <c r="G1697" s="19">
        <f t="shared" si="113"/>
        <v>10324.6</v>
      </c>
    </row>
    <row r="1698" spans="1:7">
      <c r="A1698" s="1" t="s">
        <v>1871</v>
      </c>
      <c r="B1698" s="1" t="s">
        <v>15</v>
      </c>
      <c r="C1698" s="1" t="s">
        <v>1879</v>
      </c>
      <c r="D1698" s="3">
        <v>48812.43</v>
      </c>
      <c r="E1698" s="3">
        <v>10496313.939999999</v>
      </c>
      <c r="F1698" s="1" t="s">
        <v>3048</v>
      </c>
      <c r="G1698" s="19">
        <f t="shared" si="113"/>
        <v>48812.43</v>
      </c>
    </row>
    <row r="1699" spans="1:7">
      <c r="A1699" s="1" t="s">
        <v>1871</v>
      </c>
      <c r="B1699" s="1" t="s">
        <v>15</v>
      </c>
      <c r="C1699" s="1" t="s">
        <v>1880</v>
      </c>
      <c r="D1699" s="3">
        <v>8502.2999999999993</v>
      </c>
      <c r="E1699" s="3">
        <v>10504816.24</v>
      </c>
      <c r="F1699" s="1" t="s">
        <v>3048</v>
      </c>
      <c r="G1699" s="19">
        <f t="shared" ref="G1699:G1757" si="114">+D1699</f>
        <v>8502.2999999999993</v>
      </c>
    </row>
    <row r="1700" spans="1:7">
      <c r="A1700" s="1" t="s">
        <v>1871</v>
      </c>
      <c r="B1700" s="1" t="s">
        <v>15</v>
      </c>
      <c r="C1700" s="1" t="s">
        <v>1881</v>
      </c>
      <c r="D1700" s="3">
        <v>11984.28</v>
      </c>
      <c r="E1700" s="3">
        <v>10516800.52</v>
      </c>
      <c r="F1700" s="1" t="s">
        <v>3048</v>
      </c>
      <c r="G1700" s="19">
        <f t="shared" si="114"/>
        <v>11984.28</v>
      </c>
    </row>
    <row r="1701" spans="1:7">
      <c r="A1701" s="1" t="s">
        <v>1871</v>
      </c>
      <c r="B1701" s="1" t="s">
        <v>15</v>
      </c>
      <c r="C1701" s="1" t="s">
        <v>1882</v>
      </c>
      <c r="D1701" s="3">
        <v>13445.34</v>
      </c>
      <c r="E1701" s="3">
        <v>10530245.859999999</v>
      </c>
      <c r="F1701" s="1" t="s">
        <v>3048</v>
      </c>
      <c r="G1701" s="19">
        <f t="shared" si="114"/>
        <v>13445.34</v>
      </c>
    </row>
    <row r="1702" spans="1:7">
      <c r="A1702" s="1" t="s">
        <v>1871</v>
      </c>
      <c r="B1702" s="1" t="s">
        <v>15</v>
      </c>
      <c r="C1702" s="1" t="s">
        <v>1883</v>
      </c>
      <c r="D1702" s="3">
        <v>10717.3</v>
      </c>
      <c r="E1702" s="3">
        <v>10540963.16</v>
      </c>
      <c r="F1702" s="1" t="s">
        <v>3048</v>
      </c>
      <c r="G1702" s="19">
        <f t="shared" si="114"/>
        <v>10717.3</v>
      </c>
    </row>
    <row r="1703" spans="1:7">
      <c r="A1703" s="1" t="s">
        <v>1871</v>
      </c>
      <c r="B1703" s="1" t="s">
        <v>15</v>
      </c>
      <c r="C1703" s="1" t="s">
        <v>1884</v>
      </c>
      <c r="D1703" s="3">
        <v>31930.86</v>
      </c>
      <c r="E1703" s="3">
        <v>10572894.02</v>
      </c>
      <c r="F1703" s="1" t="s">
        <v>3048</v>
      </c>
      <c r="G1703" s="19">
        <f t="shared" si="114"/>
        <v>31930.86</v>
      </c>
    </row>
    <row r="1704" spans="1:7">
      <c r="A1704" s="1" t="s">
        <v>1871</v>
      </c>
      <c r="B1704" s="1" t="s">
        <v>15</v>
      </c>
      <c r="C1704" s="1" t="s">
        <v>1885</v>
      </c>
      <c r="D1704" s="3">
        <v>30105.87</v>
      </c>
      <c r="E1704" s="3">
        <v>10602999.890000001</v>
      </c>
      <c r="F1704" s="1" t="s">
        <v>3048</v>
      </c>
      <c r="G1704" s="19">
        <f t="shared" si="114"/>
        <v>30105.87</v>
      </c>
    </row>
    <row r="1705" spans="1:7">
      <c r="A1705" s="1" t="s">
        <v>1871</v>
      </c>
      <c r="B1705" s="1" t="s">
        <v>15</v>
      </c>
      <c r="C1705" s="1" t="s">
        <v>1886</v>
      </c>
      <c r="D1705" s="3">
        <v>62842.35</v>
      </c>
      <c r="E1705" s="3">
        <v>10665842.24</v>
      </c>
      <c r="F1705" s="1" t="s">
        <v>3048</v>
      </c>
      <c r="G1705" s="19">
        <f t="shared" si="114"/>
        <v>62842.35</v>
      </c>
    </row>
    <row r="1706" spans="1:7">
      <c r="A1706" s="1" t="s">
        <v>1286</v>
      </c>
      <c r="B1706" s="1" t="s">
        <v>1362</v>
      </c>
      <c r="C1706" s="1" t="s">
        <v>1363</v>
      </c>
      <c r="D1706" s="3">
        <v>3974.74</v>
      </c>
      <c r="E1706" s="3">
        <v>14893795.289999999</v>
      </c>
      <c r="F1706" s="2" t="s">
        <v>3048</v>
      </c>
      <c r="G1706" s="19">
        <f t="shared" si="114"/>
        <v>3974.74</v>
      </c>
    </row>
    <row r="1707" spans="1:7">
      <c r="A1707" s="1" t="s">
        <v>1871</v>
      </c>
      <c r="B1707" s="1" t="s">
        <v>15</v>
      </c>
      <c r="C1707" s="1" t="s">
        <v>1888</v>
      </c>
      <c r="D1707" s="3">
        <v>18138.240000000002</v>
      </c>
      <c r="E1707" s="3">
        <v>10687137.75</v>
      </c>
      <c r="F1707" s="1" t="s">
        <v>3048</v>
      </c>
      <c r="G1707" s="19">
        <f t="shared" si="114"/>
        <v>18138.240000000002</v>
      </c>
    </row>
    <row r="1708" spans="1:7">
      <c r="A1708" s="1" t="s">
        <v>1871</v>
      </c>
      <c r="B1708" s="1" t="s">
        <v>15</v>
      </c>
      <c r="C1708" s="1" t="s">
        <v>1889</v>
      </c>
      <c r="D1708" s="3">
        <v>50955.89</v>
      </c>
      <c r="E1708" s="3">
        <v>10738093.640000001</v>
      </c>
      <c r="F1708" s="1" t="s">
        <v>3048</v>
      </c>
      <c r="G1708" s="19">
        <f t="shared" si="114"/>
        <v>50955.89</v>
      </c>
    </row>
    <row r="1709" spans="1:7">
      <c r="A1709" s="1" t="s">
        <v>1871</v>
      </c>
      <c r="B1709" s="1" t="s">
        <v>15</v>
      </c>
      <c r="C1709" s="1" t="s">
        <v>1890</v>
      </c>
      <c r="D1709" s="3">
        <v>8768.7000000000007</v>
      </c>
      <c r="E1709" s="3">
        <v>10746862.34</v>
      </c>
      <c r="F1709" s="1" t="s">
        <v>3048</v>
      </c>
      <c r="G1709" s="19">
        <f t="shared" si="114"/>
        <v>8768.7000000000007</v>
      </c>
    </row>
    <row r="1710" spans="1:7">
      <c r="A1710" s="1" t="s">
        <v>1871</v>
      </c>
      <c r="B1710" s="1" t="s">
        <v>15</v>
      </c>
      <c r="C1710" s="1" t="s">
        <v>1891</v>
      </c>
      <c r="D1710" s="3">
        <v>49202.15</v>
      </c>
      <c r="E1710" s="3">
        <v>10796064.49</v>
      </c>
      <c r="F1710" s="1" t="s">
        <v>3048</v>
      </c>
      <c r="G1710" s="19">
        <f t="shared" si="114"/>
        <v>49202.15</v>
      </c>
    </row>
    <row r="1711" spans="1:7">
      <c r="A1711" s="1" t="s">
        <v>1871</v>
      </c>
      <c r="B1711" s="1" t="s">
        <v>15</v>
      </c>
      <c r="C1711" s="1" t="s">
        <v>1892</v>
      </c>
      <c r="D1711" s="3">
        <v>9353.2800000000007</v>
      </c>
      <c r="E1711" s="3">
        <v>10805417.77</v>
      </c>
      <c r="F1711" s="1" t="s">
        <v>3048</v>
      </c>
      <c r="G1711" s="19">
        <f t="shared" si="114"/>
        <v>9353.2800000000007</v>
      </c>
    </row>
    <row r="1712" spans="1:7">
      <c r="A1712" s="1" t="s">
        <v>253</v>
      </c>
      <c r="B1712" s="1" t="s">
        <v>298</v>
      </c>
      <c r="C1712" s="1" t="s">
        <v>299</v>
      </c>
      <c r="D1712" s="2">
        <v>239.85</v>
      </c>
      <c r="E1712" s="3">
        <v>13843119.77</v>
      </c>
      <c r="F1712" s="2" t="s">
        <v>3048</v>
      </c>
      <c r="G1712" s="19">
        <f t="shared" si="114"/>
        <v>239.85</v>
      </c>
    </row>
    <row r="1713" spans="1:7">
      <c r="A1713" s="1" t="s">
        <v>1871</v>
      </c>
      <c r="B1713" s="1" t="s">
        <v>15</v>
      </c>
      <c r="C1713" s="1" t="s">
        <v>1894</v>
      </c>
      <c r="D1713" s="3">
        <v>9353.2800000000007</v>
      </c>
      <c r="E1713" s="3">
        <v>10815710.890000001</v>
      </c>
      <c r="F1713" s="1" t="s">
        <v>3048</v>
      </c>
      <c r="G1713" s="19">
        <f t="shared" si="114"/>
        <v>9353.2800000000007</v>
      </c>
    </row>
    <row r="1714" spans="1:7">
      <c r="A1714" s="1" t="s">
        <v>1871</v>
      </c>
      <c r="B1714" s="1" t="s">
        <v>15</v>
      </c>
      <c r="C1714" s="1" t="s">
        <v>1895</v>
      </c>
      <c r="D1714" s="3">
        <v>30398.16</v>
      </c>
      <c r="E1714" s="3">
        <v>10846109.050000001</v>
      </c>
      <c r="F1714" s="1" t="s">
        <v>3048</v>
      </c>
      <c r="G1714" s="19">
        <f t="shared" si="114"/>
        <v>30398.16</v>
      </c>
    </row>
    <row r="1715" spans="1:7">
      <c r="A1715" s="1" t="s">
        <v>1871</v>
      </c>
      <c r="B1715" s="1" t="s">
        <v>15</v>
      </c>
      <c r="C1715" s="1" t="s">
        <v>1896</v>
      </c>
      <c r="D1715" s="3">
        <v>16075.95</v>
      </c>
      <c r="E1715" s="3">
        <v>10862185</v>
      </c>
      <c r="F1715" s="1" t="s">
        <v>3048</v>
      </c>
      <c r="G1715" s="19">
        <f t="shared" si="114"/>
        <v>16075.95</v>
      </c>
    </row>
    <row r="1716" spans="1:7">
      <c r="A1716" s="1" t="s">
        <v>1871</v>
      </c>
      <c r="B1716" s="1" t="s">
        <v>15</v>
      </c>
      <c r="C1716" s="1" t="s">
        <v>1897</v>
      </c>
      <c r="D1716" s="3">
        <v>40141.160000000003</v>
      </c>
      <c r="E1716" s="3">
        <v>10902326.16</v>
      </c>
      <c r="F1716" s="1" t="s">
        <v>3048</v>
      </c>
      <c r="G1716" s="19">
        <f t="shared" si="114"/>
        <v>40141.160000000003</v>
      </c>
    </row>
    <row r="1717" spans="1:7">
      <c r="A1717" s="1" t="s">
        <v>1871</v>
      </c>
      <c r="B1717" s="1" t="s">
        <v>15</v>
      </c>
      <c r="C1717" s="1" t="s">
        <v>1898</v>
      </c>
      <c r="D1717" s="3">
        <v>3942.12</v>
      </c>
      <c r="E1717" s="3">
        <v>10906268.279999999</v>
      </c>
      <c r="F1717" s="1" t="s">
        <v>3048</v>
      </c>
      <c r="G1717" s="19">
        <f t="shared" si="114"/>
        <v>3942.12</v>
      </c>
    </row>
    <row r="1718" spans="1:7">
      <c r="A1718" s="1" t="s">
        <v>1871</v>
      </c>
      <c r="B1718" s="1" t="s">
        <v>15</v>
      </c>
      <c r="C1718" s="1" t="s">
        <v>1899</v>
      </c>
      <c r="D1718" s="3">
        <v>9010.56</v>
      </c>
      <c r="E1718" s="3">
        <v>10915278.84</v>
      </c>
      <c r="F1718" s="1" t="s">
        <v>3048</v>
      </c>
      <c r="G1718" s="19">
        <f t="shared" si="114"/>
        <v>9010.56</v>
      </c>
    </row>
    <row r="1719" spans="1:7">
      <c r="A1719" s="1" t="s">
        <v>1871</v>
      </c>
      <c r="B1719" s="1" t="s">
        <v>15</v>
      </c>
      <c r="C1719" s="1" t="s">
        <v>1900</v>
      </c>
      <c r="D1719" s="3">
        <v>13737.63</v>
      </c>
      <c r="E1719" s="3">
        <v>10929016.470000001</v>
      </c>
      <c r="F1719" s="1" t="s">
        <v>3048</v>
      </c>
      <c r="G1719" s="19">
        <f t="shared" si="114"/>
        <v>13737.63</v>
      </c>
    </row>
    <row r="1720" spans="1:7">
      <c r="A1720" s="1" t="s">
        <v>1871</v>
      </c>
      <c r="B1720" s="1" t="s">
        <v>15</v>
      </c>
      <c r="C1720" s="1" t="s">
        <v>1901</v>
      </c>
      <c r="D1720" s="3">
        <v>13542.77</v>
      </c>
      <c r="E1720" s="3">
        <v>10942559.24</v>
      </c>
      <c r="F1720" s="1" t="s">
        <v>3048</v>
      </c>
      <c r="G1720" s="19">
        <f t="shared" si="114"/>
        <v>13542.77</v>
      </c>
    </row>
    <row r="1721" spans="1:7">
      <c r="A1721" s="1" t="s">
        <v>761</v>
      </c>
      <c r="B1721" s="1" t="s">
        <v>877</v>
      </c>
      <c r="C1721" s="1" t="s">
        <v>878</v>
      </c>
      <c r="D1721" s="3">
        <v>3406.92</v>
      </c>
      <c r="E1721" s="3">
        <v>13712672.300000001</v>
      </c>
      <c r="F1721" s="2" t="s">
        <v>3048</v>
      </c>
      <c r="G1721" s="19">
        <f t="shared" si="114"/>
        <v>3406.92</v>
      </c>
    </row>
    <row r="1722" spans="1:7">
      <c r="A1722" s="1" t="s">
        <v>1871</v>
      </c>
      <c r="B1722" s="1" t="s">
        <v>15</v>
      </c>
      <c r="C1722" s="1" t="s">
        <v>1903</v>
      </c>
      <c r="D1722" s="3">
        <v>15978.52</v>
      </c>
      <c r="E1722" s="3">
        <v>10959898.57</v>
      </c>
      <c r="F1722" s="1" t="s">
        <v>3048</v>
      </c>
      <c r="G1722" s="19">
        <f t="shared" si="114"/>
        <v>15978.52</v>
      </c>
    </row>
    <row r="1723" spans="1:7">
      <c r="A1723" s="1" t="s">
        <v>1213</v>
      </c>
      <c r="B1723" s="1" t="s">
        <v>1229</v>
      </c>
      <c r="C1723" s="1" t="s">
        <v>1230</v>
      </c>
      <c r="D1723" s="3">
        <v>1199.27</v>
      </c>
      <c r="E1723" s="3">
        <v>12153843.26</v>
      </c>
      <c r="F1723" s="2" t="s">
        <v>3048</v>
      </c>
      <c r="G1723" s="19">
        <f t="shared" si="114"/>
        <v>1199.27</v>
      </c>
    </row>
    <row r="1724" spans="1:7">
      <c r="A1724" s="1" t="s">
        <v>1871</v>
      </c>
      <c r="B1724" s="1" t="s">
        <v>15</v>
      </c>
      <c r="C1724" s="1" t="s">
        <v>1905</v>
      </c>
      <c r="D1724" s="3">
        <v>4129.84</v>
      </c>
      <c r="E1724" s="3">
        <v>10964831.189999999</v>
      </c>
      <c r="F1724" s="1" t="s">
        <v>3048</v>
      </c>
      <c r="G1724" s="19">
        <f t="shared" si="114"/>
        <v>4129.84</v>
      </c>
    </row>
    <row r="1725" spans="1:7">
      <c r="A1725" s="1" t="s">
        <v>1871</v>
      </c>
      <c r="B1725" s="1" t="s">
        <v>15</v>
      </c>
      <c r="C1725" s="1" t="s">
        <v>1906</v>
      </c>
      <c r="D1725" s="3">
        <v>4481.78</v>
      </c>
      <c r="E1725" s="3">
        <v>10969312.970000001</v>
      </c>
      <c r="F1725" s="1" t="s">
        <v>3048</v>
      </c>
      <c r="G1725" s="19">
        <f t="shared" si="114"/>
        <v>4481.78</v>
      </c>
    </row>
    <row r="1726" spans="1:7">
      <c r="A1726" s="1" t="s">
        <v>1871</v>
      </c>
      <c r="B1726" s="1" t="s">
        <v>15</v>
      </c>
      <c r="C1726" s="1" t="s">
        <v>1907</v>
      </c>
      <c r="D1726" s="3">
        <v>11594.17</v>
      </c>
      <c r="E1726" s="3">
        <v>10980907.140000001</v>
      </c>
      <c r="F1726" s="1" t="s">
        <v>3048</v>
      </c>
      <c r="G1726" s="19">
        <f t="shared" si="114"/>
        <v>11594.17</v>
      </c>
    </row>
    <row r="1727" spans="1:7">
      <c r="A1727" s="1" t="s">
        <v>904</v>
      </c>
      <c r="B1727" s="1" t="s">
        <v>988</v>
      </c>
      <c r="C1727" s="1" t="s">
        <v>989</v>
      </c>
      <c r="D1727" s="3">
        <v>2819.52</v>
      </c>
      <c r="E1727" s="3">
        <v>16204568.91</v>
      </c>
      <c r="F1727" s="2" t="s">
        <v>3048</v>
      </c>
      <c r="G1727" s="19">
        <f t="shared" si="114"/>
        <v>2819.52</v>
      </c>
    </row>
    <row r="1728" spans="1:7">
      <c r="A1728" s="1" t="s">
        <v>1871</v>
      </c>
      <c r="B1728" s="1" t="s">
        <v>15</v>
      </c>
      <c r="C1728" s="1" t="s">
        <v>1910</v>
      </c>
      <c r="D1728" s="3">
        <v>9548.14</v>
      </c>
      <c r="E1728" s="3">
        <v>10991037.779999999</v>
      </c>
      <c r="F1728" s="1" t="s">
        <v>3048</v>
      </c>
      <c r="G1728" s="19">
        <f t="shared" si="114"/>
        <v>9548.14</v>
      </c>
    </row>
    <row r="1729" spans="1:7">
      <c r="A1729" s="1" t="s">
        <v>1871</v>
      </c>
      <c r="B1729" s="1" t="s">
        <v>15</v>
      </c>
      <c r="C1729" s="1" t="s">
        <v>1911</v>
      </c>
      <c r="D1729" s="3">
        <v>15588.8</v>
      </c>
      <c r="E1729" s="3">
        <v>11006626.58</v>
      </c>
      <c r="F1729" s="1" t="s">
        <v>3048</v>
      </c>
      <c r="G1729" s="19">
        <f t="shared" si="114"/>
        <v>15588.8</v>
      </c>
    </row>
    <row r="1730" spans="1:7">
      <c r="A1730" s="1" t="s">
        <v>1871</v>
      </c>
      <c r="B1730" s="1" t="s">
        <v>15</v>
      </c>
      <c r="C1730" s="1" t="s">
        <v>1912</v>
      </c>
      <c r="D1730" s="3">
        <v>4505.28</v>
      </c>
      <c r="E1730" s="3">
        <v>11011131.859999999</v>
      </c>
      <c r="F1730" s="1" t="s">
        <v>3048</v>
      </c>
      <c r="G1730" s="19">
        <f t="shared" si="114"/>
        <v>4505.28</v>
      </c>
    </row>
    <row r="1731" spans="1:7">
      <c r="A1731" s="1" t="s">
        <v>1871</v>
      </c>
      <c r="B1731" s="1" t="s">
        <v>15</v>
      </c>
      <c r="C1731" s="1" t="s">
        <v>1913</v>
      </c>
      <c r="D1731" s="3">
        <v>4676.6400000000003</v>
      </c>
      <c r="E1731" s="3">
        <v>11015808.5</v>
      </c>
      <c r="F1731" s="1" t="s">
        <v>3048</v>
      </c>
      <c r="G1731" s="19">
        <f t="shared" si="114"/>
        <v>4676.6400000000003</v>
      </c>
    </row>
    <row r="1732" spans="1:7">
      <c r="A1732" s="1" t="s">
        <v>1871</v>
      </c>
      <c r="B1732" s="1" t="s">
        <v>15</v>
      </c>
      <c r="C1732" s="1" t="s">
        <v>1914</v>
      </c>
      <c r="D1732" s="3">
        <v>25429.23</v>
      </c>
      <c r="E1732" s="3">
        <v>11041237.73</v>
      </c>
      <c r="F1732" s="1" t="s">
        <v>3048</v>
      </c>
      <c r="G1732" s="19">
        <f t="shared" si="114"/>
        <v>25429.23</v>
      </c>
    </row>
    <row r="1733" spans="1:7">
      <c r="A1733" s="1" t="s">
        <v>1523</v>
      </c>
      <c r="B1733" s="1" t="s">
        <v>988</v>
      </c>
      <c r="C1733" s="1" t="s">
        <v>1576</v>
      </c>
      <c r="D1733" s="2">
        <v>704.88</v>
      </c>
      <c r="E1733" s="3">
        <v>12629546.93</v>
      </c>
      <c r="F1733" s="2" t="s">
        <v>3048</v>
      </c>
      <c r="G1733" s="19">
        <f t="shared" si="114"/>
        <v>704.88</v>
      </c>
    </row>
    <row r="1734" spans="1:7">
      <c r="A1734" s="1" t="s">
        <v>1871</v>
      </c>
      <c r="B1734" s="1" t="s">
        <v>15</v>
      </c>
      <c r="C1734" s="1" t="s">
        <v>1917</v>
      </c>
      <c r="D1734" s="3">
        <v>4505.28</v>
      </c>
      <c r="E1734" s="3">
        <v>11048298.199999999</v>
      </c>
      <c r="F1734" s="1" t="s">
        <v>3048</v>
      </c>
      <c r="G1734" s="19">
        <f t="shared" si="114"/>
        <v>4505.28</v>
      </c>
    </row>
    <row r="1735" spans="1:7">
      <c r="A1735" s="1" t="s">
        <v>1871</v>
      </c>
      <c r="B1735" s="1" t="s">
        <v>15</v>
      </c>
      <c r="C1735" s="1" t="s">
        <v>1918</v>
      </c>
      <c r="D1735" s="3">
        <v>16075.95</v>
      </c>
      <c r="E1735" s="3">
        <v>11064374.15</v>
      </c>
      <c r="F1735" s="1" t="s">
        <v>3048</v>
      </c>
      <c r="G1735" s="19">
        <f t="shared" si="114"/>
        <v>16075.95</v>
      </c>
    </row>
    <row r="1736" spans="1:7">
      <c r="A1736" s="1" t="s">
        <v>1630</v>
      </c>
      <c r="B1736" s="1" t="s">
        <v>988</v>
      </c>
      <c r="C1736" s="1" t="s">
        <v>1638</v>
      </c>
      <c r="D1736" s="3">
        <v>4797.1000000000004</v>
      </c>
      <c r="E1736" s="3">
        <v>13484127.210000001</v>
      </c>
      <c r="F1736" s="2" t="s">
        <v>3048</v>
      </c>
      <c r="G1736" s="19">
        <f t="shared" si="114"/>
        <v>4797.1000000000004</v>
      </c>
    </row>
    <row r="1737" spans="1:7">
      <c r="A1737" s="1" t="s">
        <v>1871</v>
      </c>
      <c r="B1737" s="1" t="s">
        <v>15</v>
      </c>
      <c r="C1737" s="1" t="s">
        <v>1921</v>
      </c>
      <c r="D1737" s="3">
        <v>23188.34</v>
      </c>
      <c r="E1737" s="3">
        <v>11088370.16</v>
      </c>
      <c r="F1737" s="1" t="s">
        <v>3048</v>
      </c>
      <c r="G1737" s="19">
        <f t="shared" si="114"/>
        <v>23188.34</v>
      </c>
    </row>
    <row r="1738" spans="1:7">
      <c r="A1738" s="1" t="s">
        <v>1871</v>
      </c>
      <c r="B1738" s="1" t="s">
        <v>15</v>
      </c>
      <c r="C1738" s="1" t="s">
        <v>1922</v>
      </c>
      <c r="D1738" s="3">
        <v>40149.75</v>
      </c>
      <c r="E1738" s="3">
        <v>11128519.91</v>
      </c>
      <c r="F1738" s="1" t="s">
        <v>3048</v>
      </c>
      <c r="G1738" s="19">
        <f t="shared" si="114"/>
        <v>40149.75</v>
      </c>
    </row>
    <row r="1739" spans="1:7">
      <c r="A1739" s="1" t="s">
        <v>1871</v>
      </c>
      <c r="B1739" s="1" t="s">
        <v>15</v>
      </c>
      <c r="C1739" s="1" t="s">
        <v>1923</v>
      </c>
      <c r="D1739" s="3">
        <v>4676.6400000000003</v>
      </c>
      <c r="E1739" s="3">
        <v>11133196.550000001</v>
      </c>
      <c r="F1739" s="1" t="s">
        <v>3048</v>
      </c>
      <c r="G1739" s="19">
        <f t="shared" si="114"/>
        <v>4676.6400000000003</v>
      </c>
    </row>
    <row r="1740" spans="1:7">
      <c r="A1740" s="1" t="s">
        <v>1693</v>
      </c>
      <c r="B1740" s="1" t="s">
        <v>988</v>
      </c>
      <c r="C1740" s="1" t="s">
        <v>1725</v>
      </c>
      <c r="D1740" s="3">
        <v>3818.1</v>
      </c>
      <c r="E1740" s="3">
        <v>15006167.52</v>
      </c>
      <c r="F1740" s="2" t="s">
        <v>3048</v>
      </c>
      <c r="G1740" s="19">
        <f t="shared" si="114"/>
        <v>3818.1</v>
      </c>
    </row>
    <row r="1741" spans="1:7">
      <c r="A1741" s="1" t="s">
        <v>1871</v>
      </c>
      <c r="B1741" s="1" t="s">
        <v>15</v>
      </c>
      <c r="C1741" s="1" t="s">
        <v>1925</v>
      </c>
      <c r="D1741" s="3">
        <v>154913.70000000001</v>
      </c>
      <c r="E1741" s="3">
        <v>11288345.210000001</v>
      </c>
      <c r="F1741" s="1" t="s">
        <v>3048</v>
      </c>
      <c r="G1741" s="19">
        <f t="shared" si="114"/>
        <v>154913.70000000001</v>
      </c>
    </row>
    <row r="1742" spans="1:7">
      <c r="A1742" s="1" t="s">
        <v>1871</v>
      </c>
      <c r="B1742" s="1" t="s">
        <v>15</v>
      </c>
      <c r="C1742" s="1" t="s">
        <v>1926</v>
      </c>
      <c r="D1742" s="3">
        <v>8573.84</v>
      </c>
      <c r="E1742" s="3">
        <v>11296919.050000001</v>
      </c>
      <c r="F1742" s="1" t="s">
        <v>3048</v>
      </c>
      <c r="G1742" s="19">
        <f t="shared" si="114"/>
        <v>8573.84</v>
      </c>
    </row>
    <row r="1743" spans="1:7">
      <c r="A1743" s="1" t="s">
        <v>1871</v>
      </c>
      <c r="B1743" s="1" t="s">
        <v>1971</v>
      </c>
      <c r="C1743" s="1" t="s">
        <v>1972</v>
      </c>
      <c r="D1743" s="3">
        <v>1948.21</v>
      </c>
      <c r="E1743" s="3">
        <v>9905954.5199999996</v>
      </c>
      <c r="F1743" s="2" t="s">
        <v>3048</v>
      </c>
      <c r="G1743" s="19">
        <f t="shared" si="114"/>
        <v>1948.21</v>
      </c>
    </row>
    <row r="1744" spans="1:7">
      <c r="A1744" s="1" t="s">
        <v>1871</v>
      </c>
      <c r="B1744" s="1" t="s">
        <v>15</v>
      </c>
      <c r="C1744" s="1" t="s">
        <v>1929</v>
      </c>
      <c r="D1744" s="3">
        <v>26111.24</v>
      </c>
      <c r="E1744" s="3">
        <v>11323461.050000001</v>
      </c>
      <c r="F1744" s="1" t="s">
        <v>3048</v>
      </c>
      <c r="G1744" s="19">
        <f t="shared" si="114"/>
        <v>26111.24</v>
      </c>
    </row>
    <row r="1745" spans="1:9">
      <c r="A1745" s="1" t="s">
        <v>1871</v>
      </c>
      <c r="B1745" s="1" t="s">
        <v>15</v>
      </c>
      <c r="C1745" s="1" t="s">
        <v>1930</v>
      </c>
      <c r="D1745" s="3">
        <v>7794.4</v>
      </c>
      <c r="E1745" s="3">
        <v>11331255.449999999</v>
      </c>
      <c r="F1745" s="1" t="s">
        <v>3048</v>
      </c>
      <c r="G1745" s="19">
        <f t="shared" si="114"/>
        <v>7794.4</v>
      </c>
    </row>
    <row r="1746" spans="1:9">
      <c r="A1746" s="1" t="s">
        <v>1523</v>
      </c>
      <c r="B1746" s="1" t="s">
        <v>1597</v>
      </c>
      <c r="C1746" s="1" t="s">
        <v>1598</v>
      </c>
      <c r="D1746" s="2">
        <v>469.92</v>
      </c>
      <c r="E1746" s="3">
        <v>13022902.07</v>
      </c>
      <c r="F1746" s="2" t="s">
        <v>3048</v>
      </c>
      <c r="G1746" s="19">
        <f t="shared" si="114"/>
        <v>469.92</v>
      </c>
    </row>
    <row r="1747" spans="1:9">
      <c r="A1747" s="1" t="s">
        <v>1871</v>
      </c>
      <c r="B1747" s="1" t="s">
        <v>15</v>
      </c>
      <c r="C1747" s="1" t="s">
        <v>1933</v>
      </c>
      <c r="D1747" s="3">
        <v>22311.47</v>
      </c>
      <c r="E1747" s="3">
        <v>11353958.52</v>
      </c>
      <c r="F1747" s="1" t="s">
        <v>3048</v>
      </c>
      <c r="G1747" s="19">
        <f t="shared" si="114"/>
        <v>22311.47</v>
      </c>
    </row>
    <row r="1748" spans="1:9">
      <c r="A1748" s="1" t="s">
        <v>1871</v>
      </c>
      <c r="B1748" s="1" t="s">
        <v>15</v>
      </c>
      <c r="C1748" s="1" t="s">
        <v>1934</v>
      </c>
      <c r="D1748" s="3">
        <v>44038.36</v>
      </c>
      <c r="E1748" s="3">
        <v>11397996.880000001</v>
      </c>
      <c r="F1748" s="1" t="s">
        <v>3048</v>
      </c>
      <c r="G1748" s="19">
        <f t="shared" si="114"/>
        <v>44038.36</v>
      </c>
    </row>
    <row r="1749" spans="1:9">
      <c r="A1749" s="1" t="s">
        <v>1871</v>
      </c>
      <c r="B1749" s="1" t="s">
        <v>15</v>
      </c>
      <c r="C1749" s="1" t="s">
        <v>1935</v>
      </c>
      <c r="D1749" s="3">
        <v>9069.1200000000008</v>
      </c>
      <c r="E1749" s="3">
        <v>11407066</v>
      </c>
      <c r="F1749" s="1" t="s">
        <v>3048</v>
      </c>
      <c r="G1749" s="19">
        <f t="shared" si="114"/>
        <v>9069.1200000000008</v>
      </c>
    </row>
    <row r="1750" spans="1:9">
      <c r="A1750" s="1" t="s">
        <v>1871</v>
      </c>
      <c r="B1750" s="1" t="s">
        <v>15</v>
      </c>
      <c r="C1750" s="1" t="s">
        <v>1936</v>
      </c>
      <c r="D1750" s="3">
        <v>4534.5600000000004</v>
      </c>
      <c r="E1750" s="3">
        <v>11411600.560000001</v>
      </c>
      <c r="F1750" s="1" t="s">
        <v>3048</v>
      </c>
      <c r="G1750" s="19">
        <f t="shared" si="114"/>
        <v>4534.5600000000004</v>
      </c>
    </row>
    <row r="1751" spans="1:9">
      <c r="A1751" s="1" t="s">
        <v>1871</v>
      </c>
      <c r="B1751" s="1" t="s">
        <v>15</v>
      </c>
      <c r="C1751" s="1" t="s">
        <v>1937</v>
      </c>
      <c r="D1751" s="3">
        <v>4092.06</v>
      </c>
      <c r="E1751" s="3">
        <v>11415692.619999999</v>
      </c>
      <c r="F1751" s="1" t="s">
        <v>3048</v>
      </c>
      <c r="G1751" s="19">
        <f t="shared" si="114"/>
        <v>4092.06</v>
      </c>
    </row>
    <row r="1752" spans="1:9">
      <c r="A1752" s="1" t="s">
        <v>1213</v>
      </c>
      <c r="B1752" s="1" t="s">
        <v>1274</v>
      </c>
      <c r="C1752" s="1" t="s">
        <v>1275</v>
      </c>
      <c r="D1752" s="2">
        <v>881.1</v>
      </c>
      <c r="E1752" s="3">
        <v>13146683.810000001</v>
      </c>
      <c r="F1752" s="2" t="s">
        <v>3048</v>
      </c>
      <c r="G1752" s="19">
        <f t="shared" si="114"/>
        <v>881.1</v>
      </c>
    </row>
    <row r="1753" spans="1:9">
      <c r="A1753" s="1" t="s">
        <v>1871</v>
      </c>
      <c r="B1753" s="1" t="s">
        <v>15</v>
      </c>
      <c r="C1753" s="1" t="s">
        <v>1940</v>
      </c>
      <c r="D1753" s="3">
        <v>13835.06</v>
      </c>
      <c r="E1753" s="3">
        <v>11430144.449999999</v>
      </c>
      <c r="F1753" s="1" t="s">
        <v>3048</v>
      </c>
      <c r="G1753" s="19">
        <f t="shared" si="114"/>
        <v>13835.06</v>
      </c>
    </row>
    <row r="1754" spans="1:9">
      <c r="A1754" s="1" t="s">
        <v>1871</v>
      </c>
      <c r="B1754" s="1" t="s">
        <v>15</v>
      </c>
      <c r="C1754" s="1" t="s">
        <v>1941</v>
      </c>
      <c r="D1754" s="3">
        <v>24162.639999999999</v>
      </c>
      <c r="E1754" s="3">
        <v>11454307.09</v>
      </c>
      <c r="F1754" s="1" t="s">
        <v>3048</v>
      </c>
      <c r="G1754" s="19">
        <f t="shared" si="114"/>
        <v>24162.639999999999</v>
      </c>
    </row>
    <row r="1755" spans="1:9">
      <c r="A1755" s="1" t="s">
        <v>1871</v>
      </c>
      <c r="B1755" s="1" t="s">
        <v>15</v>
      </c>
      <c r="C1755" s="1" t="s">
        <v>1942</v>
      </c>
      <c r="D1755" s="3">
        <v>4481.78</v>
      </c>
      <c r="E1755" s="3">
        <v>11458788.869999999</v>
      </c>
      <c r="F1755" s="1" t="s">
        <v>3048</v>
      </c>
      <c r="G1755" s="19">
        <f t="shared" si="114"/>
        <v>4481.78</v>
      </c>
    </row>
    <row r="1756" spans="1:9">
      <c r="A1756" s="1" t="s">
        <v>1871</v>
      </c>
      <c r="B1756" s="1" t="s">
        <v>15</v>
      </c>
      <c r="C1756" s="1" t="s">
        <v>1943</v>
      </c>
      <c r="D1756" s="3">
        <v>4676.6400000000003</v>
      </c>
      <c r="E1756" s="3">
        <v>11463465.51</v>
      </c>
      <c r="F1756" s="1" t="s">
        <v>3048</v>
      </c>
      <c r="G1756" s="19">
        <f t="shared" si="114"/>
        <v>4676.6400000000003</v>
      </c>
    </row>
    <row r="1757" spans="1:9">
      <c r="A1757" s="1" t="s">
        <v>1871</v>
      </c>
      <c r="B1757" s="1" t="s">
        <v>15</v>
      </c>
      <c r="C1757" s="1" t="s">
        <v>1944</v>
      </c>
      <c r="D1757" s="3">
        <v>25331.8</v>
      </c>
      <c r="E1757" s="3">
        <v>11488797.310000001</v>
      </c>
      <c r="F1757" s="1" t="s">
        <v>3048</v>
      </c>
      <c r="G1757" s="19">
        <f t="shared" si="114"/>
        <v>25331.8</v>
      </c>
    </row>
    <row r="1758" spans="1:9">
      <c r="A1758" s="1" t="s">
        <v>1871</v>
      </c>
      <c r="B1758" s="1" t="s">
        <v>475</v>
      </c>
      <c r="C1758" s="1" t="s">
        <v>1945</v>
      </c>
      <c r="D1758" s="3">
        <v>-45068.82</v>
      </c>
      <c r="E1758" s="3">
        <v>11443728.49</v>
      </c>
      <c r="G1758" s="19">
        <f t="shared" ref="G1758:G1759" si="115">+D1758/1.006</f>
        <v>-44800.019880715707</v>
      </c>
      <c r="H1758" s="19">
        <f t="shared" ref="H1758:H1759" si="116">+D1758-G1758</f>
        <v>-268.80011928429303</v>
      </c>
      <c r="I1758" s="1" t="s">
        <v>2011</v>
      </c>
    </row>
    <row r="1759" spans="1:9">
      <c r="A1759" s="1" t="s">
        <v>1871</v>
      </c>
      <c r="B1759" s="1" t="s">
        <v>55</v>
      </c>
      <c r="C1759" s="1" t="s">
        <v>1946</v>
      </c>
      <c r="D1759" s="3">
        <v>-70981.84</v>
      </c>
      <c r="E1759" s="3">
        <v>11372746.65</v>
      </c>
      <c r="G1759" s="19">
        <f t="shared" si="115"/>
        <v>-70558.489065606351</v>
      </c>
      <c r="H1759" s="19">
        <f t="shared" si="116"/>
        <v>-423.35093439364573</v>
      </c>
    </row>
    <row r="1760" spans="1:9">
      <c r="A1760" s="1" t="s">
        <v>1286</v>
      </c>
      <c r="B1760" s="1" t="s">
        <v>1274</v>
      </c>
      <c r="C1760" s="1" t="s">
        <v>1310</v>
      </c>
      <c r="D1760" s="2">
        <v>920.26</v>
      </c>
      <c r="E1760" s="3">
        <v>13893399.17</v>
      </c>
      <c r="F1760" s="2" t="s">
        <v>3048</v>
      </c>
      <c r="G1760" s="19">
        <f>+D1760</f>
        <v>920.26</v>
      </c>
    </row>
    <row r="1761" spans="1:8">
      <c r="A1761" s="1" t="s">
        <v>1871</v>
      </c>
      <c r="B1761" s="1" t="s">
        <v>55</v>
      </c>
      <c r="C1761" s="1" t="s">
        <v>1947</v>
      </c>
      <c r="D1761" s="3">
        <v>-124724.4</v>
      </c>
      <c r="E1761" s="3">
        <v>11247596.359999999</v>
      </c>
      <c r="G1761" s="19">
        <f>+D1761/1.006</f>
        <v>-123980.51689860834</v>
      </c>
      <c r="H1761" s="19">
        <f>+D1761-G1761</f>
        <v>-743.88310139164969</v>
      </c>
    </row>
    <row r="1762" spans="1:8">
      <c r="A1762" s="1" t="s">
        <v>121</v>
      </c>
      <c r="B1762" s="1" t="s">
        <v>179</v>
      </c>
      <c r="C1762" s="1" t="s">
        <v>180</v>
      </c>
      <c r="D1762" s="2">
        <v>685.3</v>
      </c>
      <c r="E1762" s="3">
        <v>12274748.84</v>
      </c>
      <c r="F1762" s="2" t="s">
        <v>3048</v>
      </c>
      <c r="G1762" s="19">
        <f>+D1762</f>
        <v>685.3</v>
      </c>
    </row>
    <row r="1763" spans="1:8">
      <c r="A1763" s="1" t="s">
        <v>1871</v>
      </c>
      <c r="B1763" s="1" t="s">
        <v>55</v>
      </c>
      <c r="C1763" s="1" t="s">
        <v>1948</v>
      </c>
      <c r="D1763" s="3">
        <v>-202073.56</v>
      </c>
      <c r="E1763" s="3">
        <v>11044774.449999999</v>
      </c>
      <c r="G1763" s="19">
        <f>+D1763/1.006</f>
        <v>-200868.34990059643</v>
      </c>
      <c r="H1763" s="19">
        <f>+D1763-G1763</f>
        <v>-1205.2100994035718</v>
      </c>
    </row>
    <row r="1764" spans="1:8">
      <c r="A1764" s="1" t="s">
        <v>1871</v>
      </c>
      <c r="B1764" s="1" t="s">
        <v>1931</v>
      </c>
      <c r="C1764" s="1" t="s">
        <v>1932</v>
      </c>
      <c r="D1764" s="2">
        <v>391.6</v>
      </c>
      <c r="E1764" s="3">
        <v>11331647.050000001</v>
      </c>
      <c r="F1764" s="2" t="s">
        <v>3048</v>
      </c>
      <c r="G1764" s="19">
        <f>+D1764</f>
        <v>391.6</v>
      </c>
    </row>
    <row r="1765" spans="1:8">
      <c r="A1765" s="1" t="s">
        <v>1871</v>
      </c>
      <c r="B1765" s="1" t="s">
        <v>1949</v>
      </c>
      <c r="C1765" s="1" t="s">
        <v>1950</v>
      </c>
      <c r="D1765" s="3">
        <v>-39334.620000000003</v>
      </c>
      <c r="E1765" s="3">
        <v>11004227.390000001</v>
      </c>
      <c r="G1765" s="19">
        <f t="shared" ref="G1765:G1767" si="117">+D1765/1.006</f>
        <v>-39100.019880715707</v>
      </c>
      <c r="H1765" s="19">
        <f t="shared" ref="H1765:H1767" si="118">+D1765-G1765</f>
        <v>-234.60011928429594</v>
      </c>
    </row>
    <row r="1766" spans="1:8">
      <c r="A1766" s="1" t="s">
        <v>1871</v>
      </c>
      <c r="B1766" s="1" t="s">
        <v>1949</v>
      </c>
      <c r="C1766" s="1" t="s">
        <v>1951</v>
      </c>
      <c r="D1766" s="3">
        <v>-116897.2</v>
      </c>
      <c r="E1766" s="3">
        <v>10887330.189999999</v>
      </c>
      <c r="G1766" s="19">
        <f t="shared" si="117"/>
        <v>-116200</v>
      </c>
      <c r="H1766" s="19">
        <f t="shared" si="118"/>
        <v>-697.19999999999709</v>
      </c>
    </row>
    <row r="1767" spans="1:8">
      <c r="A1767" s="1" t="s">
        <v>1871</v>
      </c>
      <c r="B1767" s="1" t="s">
        <v>1952</v>
      </c>
      <c r="C1767" s="1" t="s">
        <v>1953</v>
      </c>
      <c r="D1767" s="3">
        <v>-1167650</v>
      </c>
      <c r="E1767" s="3">
        <v>9719680.1899999995</v>
      </c>
      <c r="G1767" s="19">
        <f t="shared" si="117"/>
        <v>-1160685.8846918489</v>
      </c>
      <c r="H1767" s="19">
        <f t="shared" si="118"/>
        <v>-6964.1153081511147</v>
      </c>
    </row>
    <row r="1768" spans="1:8">
      <c r="A1768" s="1" t="s">
        <v>1871</v>
      </c>
      <c r="B1768" s="1" t="s">
        <v>1919</v>
      </c>
      <c r="C1768" s="1" t="s">
        <v>1920</v>
      </c>
      <c r="D1768" s="2">
        <v>807.67</v>
      </c>
      <c r="E1768" s="3">
        <v>11065181.82</v>
      </c>
      <c r="F1768" s="2" t="s">
        <v>3048</v>
      </c>
      <c r="G1768" s="19">
        <f t="shared" ref="G1768:G1806" si="119">+D1768</f>
        <v>807.67</v>
      </c>
    </row>
    <row r="1769" spans="1:8">
      <c r="A1769" s="1" t="s">
        <v>1871</v>
      </c>
      <c r="B1769" s="1" t="s">
        <v>15</v>
      </c>
      <c r="C1769" s="1" t="s">
        <v>1954</v>
      </c>
      <c r="D1769" s="3">
        <v>9353.2800000000007</v>
      </c>
      <c r="E1769" s="3">
        <v>9722027.5700000003</v>
      </c>
      <c r="F1769" s="1" t="s">
        <v>3048</v>
      </c>
      <c r="G1769" s="19">
        <f t="shared" si="119"/>
        <v>9353.2800000000007</v>
      </c>
    </row>
    <row r="1770" spans="1:8">
      <c r="A1770" s="1" t="s">
        <v>41</v>
      </c>
      <c r="B1770" s="1" t="s">
        <v>111</v>
      </c>
      <c r="C1770" s="1" t="s">
        <v>112</v>
      </c>
      <c r="D1770" s="2">
        <v>489.5</v>
      </c>
      <c r="E1770" s="3">
        <v>10956420.73</v>
      </c>
      <c r="F1770" s="2" t="s">
        <v>3048</v>
      </c>
      <c r="G1770" s="19">
        <f t="shared" si="119"/>
        <v>489.5</v>
      </c>
    </row>
    <row r="1771" spans="1:8">
      <c r="A1771" s="1" t="s">
        <v>1871</v>
      </c>
      <c r="B1771" s="1" t="s">
        <v>15</v>
      </c>
      <c r="C1771" s="1" t="s">
        <v>1957</v>
      </c>
      <c r="D1771" s="3">
        <v>9353.2800000000007</v>
      </c>
      <c r="E1771" s="3">
        <v>9731850.7699999996</v>
      </c>
      <c r="F1771" s="1" t="s">
        <v>3048</v>
      </c>
      <c r="G1771" s="19">
        <f t="shared" si="119"/>
        <v>9353.2800000000007</v>
      </c>
    </row>
    <row r="1772" spans="1:8">
      <c r="A1772" s="1" t="s">
        <v>1871</v>
      </c>
      <c r="B1772" s="1" t="s">
        <v>15</v>
      </c>
      <c r="C1772" s="1" t="s">
        <v>1958</v>
      </c>
      <c r="D1772" s="3">
        <v>8573.84</v>
      </c>
      <c r="E1772" s="3">
        <v>9740424.6099999994</v>
      </c>
      <c r="F1772" s="1" t="s">
        <v>3048</v>
      </c>
      <c r="G1772" s="19">
        <f t="shared" si="119"/>
        <v>8573.84</v>
      </c>
    </row>
    <row r="1773" spans="1:8">
      <c r="A1773" s="1" t="s">
        <v>1871</v>
      </c>
      <c r="B1773" s="1" t="s">
        <v>15</v>
      </c>
      <c r="C1773" s="1" t="s">
        <v>1959</v>
      </c>
      <c r="D1773" s="3">
        <v>11496.74</v>
      </c>
      <c r="E1773" s="3">
        <v>9751921.3499999996</v>
      </c>
      <c r="F1773" s="1" t="s">
        <v>3048</v>
      </c>
      <c r="G1773" s="19">
        <f t="shared" si="119"/>
        <v>11496.74</v>
      </c>
    </row>
    <row r="1774" spans="1:8">
      <c r="A1774" s="1" t="s">
        <v>1871</v>
      </c>
      <c r="B1774" s="1" t="s">
        <v>15</v>
      </c>
      <c r="C1774" s="1" t="s">
        <v>1960</v>
      </c>
      <c r="D1774" s="3">
        <v>3967.74</v>
      </c>
      <c r="E1774" s="3">
        <v>9755889.0899999999</v>
      </c>
      <c r="F1774" s="1" t="s">
        <v>3048</v>
      </c>
      <c r="G1774" s="19">
        <f t="shared" si="119"/>
        <v>3967.74</v>
      </c>
    </row>
    <row r="1775" spans="1:8">
      <c r="A1775" s="1" t="s">
        <v>1871</v>
      </c>
      <c r="B1775" s="1" t="s">
        <v>15</v>
      </c>
      <c r="C1775" s="1" t="s">
        <v>1961</v>
      </c>
      <c r="D1775" s="3">
        <v>19388.57</v>
      </c>
      <c r="E1775" s="3">
        <v>9775277.6600000001</v>
      </c>
      <c r="F1775" s="1" t="s">
        <v>3048</v>
      </c>
      <c r="G1775" s="19">
        <f t="shared" si="119"/>
        <v>19388.57</v>
      </c>
    </row>
    <row r="1776" spans="1:8">
      <c r="A1776" s="1" t="s">
        <v>477</v>
      </c>
      <c r="B1776" s="1" t="s">
        <v>509</v>
      </c>
      <c r="C1776" s="1" t="s">
        <v>510</v>
      </c>
      <c r="D1776" s="2">
        <v>186.01</v>
      </c>
      <c r="E1776" s="3">
        <v>8878471.5099999998</v>
      </c>
      <c r="F1776" s="2" t="s">
        <v>3048</v>
      </c>
      <c r="G1776" s="19">
        <f t="shared" si="119"/>
        <v>186.01</v>
      </c>
    </row>
    <row r="1777" spans="1:7">
      <c r="A1777" s="1" t="s">
        <v>1871</v>
      </c>
      <c r="B1777" s="1" t="s">
        <v>15</v>
      </c>
      <c r="C1777" s="1" t="s">
        <v>1964</v>
      </c>
      <c r="D1777" s="3">
        <v>9353.2800000000007</v>
      </c>
      <c r="E1777" s="3">
        <v>9786579.1500000004</v>
      </c>
      <c r="F1777" s="1" t="s">
        <v>3048</v>
      </c>
      <c r="G1777" s="19">
        <f t="shared" si="119"/>
        <v>9353.2800000000007</v>
      </c>
    </row>
    <row r="1778" spans="1:7">
      <c r="A1778" s="1" t="s">
        <v>121</v>
      </c>
      <c r="B1778" s="1" t="s">
        <v>234</v>
      </c>
      <c r="C1778" s="1" t="s">
        <v>235</v>
      </c>
      <c r="D1778" s="3">
        <v>1448.92</v>
      </c>
      <c r="E1778" s="3">
        <v>12348672.939999999</v>
      </c>
      <c r="F1778" s="2" t="s">
        <v>3048</v>
      </c>
      <c r="G1778" s="19">
        <f t="shared" si="119"/>
        <v>1448.92</v>
      </c>
    </row>
    <row r="1779" spans="1:7">
      <c r="A1779" s="1" t="s">
        <v>1871</v>
      </c>
      <c r="B1779" s="1" t="s">
        <v>15</v>
      </c>
      <c r="C1779" s="1" t="s">
        <v>1966</v>
      </c>
      <c r="D1779" s="3">
        <v>9069.1200000000008</v>
      </c>
      <c r="E1779" s="3">
        <v>9796588.1099999994</v>
      </c>
      <c r="F1779" s="1" t="s">
        <v>3048</v>
      </c>
      <c r="G1779" s="19">
        <f t="shared" si="119"/>
        <v>9069.1200000000008</v>
      </c>
    </row>
    <row r="1780" spans="1:7">
      <c r="A1780" s="1" t="s">
        <v>1871</v>
      </c>
      <c r="B1780" s="1" t="s">
        <v>15</v>
      </c>
      <c r="C1780" s="1" t="s">
        <v>1967</v>
      </c>
      <c r="D1780" s="3">
        <v>9353.2800000000007</v>
      </c>
      <c r="E1780" s="3">
        <v>9805941.3900000006</v>
      </c>
      <c r="F1780" s="1" t="s">
        <v>3048</v>
      </c>
      <c r="G1780" s="19">
        <f t="shared" si="119"/>
        <v>9353.2800000000007</v>
      </c>
    </row>
    <row r="1781" spans="1:7">
      <c r="A1781" s="1" t="s">
        <v>1871</v>
      </c>
      <c r="B1781" s="1" t="s">
        <v>15</v>
      </c>
      <c r="C1781" s="1" t="s">
        <v>1968</v>
      </c>
      <c r="D1781" s="3">
        <v>9353.2800000000007</v>
      </c>
      <c r="E1781" s="3">
        <v>9815294.6699999999</v>
      </c>
      <c r="F1781" s="1" t="s">
        <v>3048</v>
      </c>
      <c r="G1781" s="19">
        <f t="shared" si="119"/>
        <v>9353.2800000000007</v>
      </c>
    </row>
    <row r="1782" spans="1:7">
      <c r="A1782" s="1" t="s">
        <v>1871</v>
      </c>
      <c r="B1782" s="1" t="s">
        <v>15</v>
      </c>
      <c r="C1782" s="1" t="s">
        <v>1969</v>
      </c>
      <c r="D1782" s="3">
        <v>49934.5</v>
      </c>
      <c r="E1782" s="3">
        <v>9865229.1699999999</v>
      </c>
      <c r="F1782" s="1" t="s">
        <v>3048</v>
      </c>
      <c r="G1782" s="19">
        <f t="shared" si="119"/>
        <v>49934.5</v>
      </c>
    </row>
    <row r="1783" spans="1:7">
      <c r="A1783" s="1" t="s">
        <v>1871</v>
      </c>
      <c r="B1783" s="1" t="s">
        <v>15</v>
      </c>
      <c r="C1783" s="1" t="s">
        <v>1970</v>
      </c>
      <c r="D1783" s="3">
        <v>38777.14</v>
      </c>
      <c r="E1783" s="3">
        <v>9904006.3100000005</v>
      </c>
      <c r="F1783" s="1" t="s">
        <v>3048</v>
      </c>
      <c r="G1783" s="19">
        <f t="shared" si="119"/>
        <v>38777.14</v>
      </c>
    </row>
    <row r="1784" spans="1:7">
      <c r="A1784" s="1" t="s">
        <v>41</v>
      </c>
      <c r="B1784" s="1" t="s">
        <v>97</v>
      </c>
      <c r="C1784" s="1" t="s">
        <v>98</v>
      </c>
      <c r="D1784" s="3">
        <v>3661.46</v>
      </c>
      <c r="E1784" s="3">
        <v>10761027.58</v>
      </c>
      <c r="F1784" s="2" t="s">
        <v>3048</v>
      </c>
      <c r="G1784" s="19">
        <f t="shared" si="119"/>
        <v>3661.46</v>
      </c>
    </row>
    <row r="1785" spans="1:7">
      <c r="A1785" s="1" t="s">
        <v>1871</v>
      </c>
      <c r="B1785" s="1" t="s">
        <v>15</v>
      </c>
      <c r="C1785" s="1" t="s">
        <v>1973</v>
      </c>
      <c r="D1785" s="3">
        <v>39312.07</v>
      </c>
      <c r="E1785" s="3">
        <v>9945266.5899999999</v>
      </c>
      <c r="F1785" s="1" t="s">
        <v>3048</v>
      </c>
      <c r="G1785" s="19">
        <f t="shared" si="119"/>
        <v>39312.07</v>
      </c>
    </row>
    <row r="1786" spans="1:7">
      <c r="A1786" s="1" t="s">
        <v>1871</v>
      </c>
      <c r="B1786" s="1" t="s">
        <v>15</v>
      </c>
      <c r="C1786" s="1" t="s">
        <v>1974</v>
      </c>
      <c r="D1786" s="3">
        <v>32346.76</v>
      </c>
      <c r="E1786" s="3">
        <v>9977613.3499999996</v>
      </c>
      <c r="F1786" s="1" t="s">
        <v>3048</v>
      </c>
      <c r="G1786" s="19">
        <f t="shared" si="119"/>
        <v>32346.76</v>
      </c>
    </row>
    <row r="1787" spans="1:7">
      <c r="A1787" s="1" t="s">
        <v>1871</v>
      </c>
      <c r="B1787" s="1" t="s">
        <v>15</v>
      </c>
      <c r="C1787" s="1" t="s">
        <v>1975</v>
      </c>
      <c r="D1787" s="3">
        <v>47545.84</v>
      </c>
      <c r="E1787" s="3">
        <v>10025159.189999999</v>
      </c>
      <c r="F1787" s="1" t="s">
        <v>3048</v>
      </c>
      <c r="G1787" s="19">
        <f t="shared" si="119"/>
        <v>47545.84</v>
      </c>
    </row>
    <row r="1788" spans="1:7">
      <c r="A1788" s="1" t="s">
        <v>1871</v>
      </c>
      <c r="B1788" s="1" t="s">
        <v>15</v>
      </c>
      <c r="C1788" s="1" t="s">
        <v>1976</v>
      </c>
      <c r="D1788" s="3">
        <v>5573.73</v>
      </c>
      <c r="E1788" s="3">
        <v>10030732.92</v>
      </c>
      <c r="F1788" s="1" t="s">
        <v>3048</v>
      </c>
      <c r="G1788" s="19">
        <f t="shared" si="119"/>
        <v>5573.73</v>
      </c>
    </row>
    <row r="1789" spans="1:7">
      <c r="A1789" s="1" t="s">
        <v>1871</v>
      </c>
      <c r="B1789" s="1" t="s">
        <v>15</v>
      </c>
      <c r="C1789" s="1" t="s">
        <v>1977</v>
      </c>
      <c r="D1789" s="3">
        <v>27207.360000000001</v>
      </c>
      <c r="E1789" s="3">
        <v>10057940.279999999</v>
      </c>
      <c r="F1789" s="1" t="s">
        <v>3048</v>
      </c>
      <c r="G1789" s="19">
        <f t="shared" si="119"/>
        <v>27207.360000000001</v>
      </c>
    </row>
    <row r="1790" spans="1:7">
      <c r="A1790" s="1" t="s">
        <v>1871</v>
      </c>
      <c r="B1790" s="1" t="s">
        <v>15</v>
      </c>
      <c r="C1790" s="1" t="s">
        <v>1978</v>
      </c>
      <c r="D1790" s="3">
        <v>28449.56</v>
      </c>
      <c r="E1790" s="3">
        <v>10086389.84</v>
      </c>
      <c r="F1790" s="1" t="s">
        <v>3048</v>
      </c>
      <c r="G1790" s="19">
        <f t="shared" si="119"/>
        <v>28449.56</v>
      </c>
    </row>
    <row r="1791" spans="1:7">
      <c r="A1791" s="1" t="s">
        <v>1871</v>
      </c>
      <c r="B1791" s="1" t="s">
        <v>15</v>
      </c>
      <c r="C1791" s="1" t="s">
        <v>1979</v>
      </c>
      <c r="D1791" s="3">
        <v>10477.44</v>
      </c>
      <c r="E1791" s="3">
        <v>10096867.279999999</v>
      </c>
      <c r="F1791" s="1" t="s">
        <v>3048</v>
      </c>
      <c r="G1791" s="19">
        <f t="shared" si="119"/>
        <v>10477.44</v>
      </c>
    </row>
    <row r="1792" spans="1:7">
      <c r="A1792" s="1" t="s">
        <v>1871</v>
      </c>
      <c r="B1792" s="1" t="s">
        <v>15</v>
      </c>
      <c r="C1792" s="1" t="s">
        <v>1980</v>
      </c>
      <c r="D1792" s="3">
        <v>18959.72</v>
      </c>
      <c r="E1792" s="3">
        <v>10115827</v>
      </c>
      <c r="F1792" s="1" t="s">
        <v>3048</v>
      </c>
      <c r="G1792" s="19">
        <f t="shared" si="119"/>
        <v>18959.72</v>
      </c>
    </row>
    <row r="1793" spans="1:8">
      <c r="A1793" s="1" t="s">
        <v>1871</v>
      </c>
      <c r="B1793" s="1" t="s">
        <v>15</v>
      </c>
      <c r="C1793" s="1" t="s">
        <v>1981</v>
      </c>
      <c r="D1793" s="3">
        <v>54887.07</v>
      </c>
      <c r="E1793" s="3">
        <v>10170714.07</v>
      </c>
      <c r="F1793" s="1" t="s">
        <v>3048</v>
      </c>
      <c r="G1793" s="19">
        <f t="shared" si="119"/>
        <v>54887.07</v>
      </c>
    </row>
    <row r="1794" spans="1:8">
      <c r="A1794" s="1" t="s">
        <v>1871</v>
      </c>
      <c r="B1794" s="1" t="s">
        <v>15</v>
      </c>
      <c r="C1794" s="1" t="s">
        <v>1982</v>
      </c>
      <c r="D1794" s="3">
        <v>44778.78</v>
      </c>
      <c r="E1794" s="3">
        <v>10215492.85</v>
      </c>
      <c r="F1794" s="1" t="s">
        <v>3048</v>
      </c>
      <c r="G1794" s="19">
        <f t="shared" si="119"/>
        <v>44778.78</v>
      </c>
    </row>
    <row r="1795" spans="1:8">
      <c r="A1795" s="1" t="s">
        <v>1871</v>
      </c>
      <c r="B1795" s="1" t="s">
        <v>15</v>
      </c>
      <c r="C1795" s="1" t="s">
        <v>1983</v>
      </c>
      <c r="D1795" s="3">
        <v>4676.6400000000003</v>
      </c>
      <c r="E1795" s="3">
        <v>10220169.49</v>
      </c>
      <c r="F1795" s="1" t="s">
        <v>3048</v>
      </c>
      <c r="G1795" s="19">
        <f t="shared" si="119"/>
        <v>4676.6400000000003</v>
      </c>
    </row>
    <row r="1796" spans="1:8">
      <c r="A1796" s="1" t="s">
        <v>1871</v>
      </c>
      <c r="B1796" s="1" t="s">
        <v>15</v>
      </c>
      <c r="C1796" s="1" t="s">
        <v>1984</v>
      </c>
      <c r="D1796" s="3">
        <v>62939.78</v>
      </c>
      <c r="E1796" s="3">
        <v>10283109.27</v>
      </c>
      <c r="F1796" s="1" t="s">
        <v>3048</v>
      </c>
      <c r="G1796" s="19">
        <f t="shared" si="119"/>
        <v>62939.78</v>
      </c>
    </row>
    <row r="1797" spans="1:8">
      <c r="A1797" s="1" t="s">
        <v>1871</v>
      </c>
      <c r="B1797" s="1" t="s">
        <v>15</v>
      </c>
      <c r="C1797" s="1" t="s">
        <v>1985</v>
      </c>
      <c r="D1797" s="3">
        <v>8963.56</v>
      </c>
      <c r="E1797" s="3">
        <v>10292072.83</v>
      </c>
      <c r="F1797" s="1" t="s">
        <v>3048</v>
      </c>
      <c r="G1797" s="19">
        <f t="shared" si="119"/>
        <v>8963.56</v>
      </c>
    </row>
    <row r="1798" spans="1:8">
      <c r="A1798" s="1" t="s">
        <v>1871</v>
      </c>
      <c r="B1798" s="1" t="s">
        <v>15</v>
      </c>
      <c r="C1798" s="1" t="s">
        <v>1986</v>
      </c>
      <c r="D1798" s="3">
        <v>42762.09</v>
      </c>
      <c r="E1798" s="3">
        <v>10334834.92</v>
      </c>
      <c r="F1798" s="1" t="s">
        <v>3048</v>
      </c>
      <c r="G1798" s="19">
        <f t="shared" si="119"/>
        <v>42762.09</v>
      </c>
    </row>
    <row r="1799" spans="1:8">
      <c r="A1799" s="1" t="s">
        <v>1871</v>
      </c>
      <c r="B1799" s="1" t="s">
        <v>15</v>
      </c>
      <c r="C1799" s="1" t="s">
        <v>1987</v>
      </c>
      <c r="D1799" s="3">
        <v>13932.49</v>
      </c>
      <c r="E1799" s="3">
        <v>10348767.41</v>
      </c>
      <c r="F1799" s="1" t="s">
        <v>3048</v>
      </c>
      <c r="G1799" s="19">
        <f t="shared" si="119"/>
        <v>13932.49</v>
      </c>
    </row>
    <row r="1800" spans="1:8">
      <c r="A1800" s="1" t="s">
        <v>1871</v>
      </c>
      <c r="B1800" s="1" t="s">
        <v>15</v>
      </c>
      <c r="C1800" s="1" t="s">
        <v>1988</v>
      </c>
      <c r="D1800" s="3">
        <v>53747.68</v>
      </c>
      <c r="E1800" s="3">
        <v>10402515.09</v>
      </c>
      <c r="F1800" s="1" t="s">
        <v>3048</v>
      </c>
      <c r="G1800" s="19">
        <f t="shared" si="119"/>
        <v>53747.68</v>
      </c>
    </row>
    <row r="1801" spans="1:8">
      <c r="A1801" s="1" t="s">
        <v>1871</v>
      </c>
      <c r="B1801" s="1" t="s">
        <v>15</v>
      </c>
      <c r="C1801" s="1" t="s">
        <v>1989</v>
      </c>
      <c r="D1801" s="3">
        <v>8866.1299999999992</v>
      </c>
      <c r="E1801" s="3">
        <v>10411381.220000001</v>
      </c>
      <c r="F1801" s="1" t="s">
        <v>3048</v>
      </c>
      <c r="G1801" s="19">
        <f t="shared" si="119"/>
        <v>8866.1299999999992</v>
      </c>
    </row>
    <row r="1802" spans="1:8">
      <c r="A1802" s="1" t="s">
        <v>1871</v>
      </c>
      <c r="B1802" s="1" t="s">
        <v>15</v>
      </c>
      <c r="C1802" s="1" t="s">
        <v>1990</v>
      </c>
      <c r="D1802" s="3">
        <v>32444.19</v>
      </c>
      <c r="E1802" s="3">
        <v>10443825.41</v>
      </c>
      <c r="F1802" s="1" t="s">
        <v>3048</v>
      </c>
      <c r="G1802" s="19">
        <f t="shared" si="119"/>
        <v>32444.19</v>
      </c>
    </row>
    <row r="1803" spans="1:8">
      <c r="A1803" s="1" t="s">
        <v>1871</v>
      </c>
      <c r="B1803" s="1" t="s">
        <v>15</v>
      </c>
      <c r="C1803" s="1" t="s">
        <v>1991</v>
      </c>
      <c r="D1803" s="3">
        <v>34490.22</v>
      </c>
      <c r="E1803" s="3">
        <v>10478315.630000001</v>
      </c>
      <c r="F1803" s="1" t="s">
        <v>3048</v>
      </c>
      <c r="G1803" s="19">
        <f t="shared" si="119"/>
        <v>34490.22</v>
      </c>
    </row>
    <row r="1804" spans="1:8">
      <c r="A1804" s="1" t="s">
        <v>1871</v>
      </c>
      <c r="B1804" s="1" t="s">
        <v>15</v>
      </c>
      <c r="C1804" s="1" t="s">
        <v>1992</v>
      </c>
      <c r="D1804" s="3">
        <v>12665.9</v>
      </c>
      <c r="E1804" s="3">
        <v>10490981.529999999</v>
      </c>
      <c r="F1804" s="1" t="s">
        <v>3048</v>
      </c>
      <c r="G1804" s="19">
        <f t="shared" si="119"/>
        <v>12665.9</v>
      </c>
    </row>
    <row r="1805" spans="1:8">
      <c r="A1805" s="1" t="s">
        <v>1871</v>
      </c>
      <c r="B1805" s="1" t="s">
        <v>15</v>
      </c>
      <c r="C1805" s="1" t="s">
        <v>1993</v>
      </c>
      <c r="D1805" s="3">
        <v>57379.28</v>
      </c>
      <c r="E1805" s="3">
        <v>10548360.810000001</v>
      </c>
      <c r="F1805" s="1" t="s">
        <v>3048</v>
      </c>
      <c r="G1805" s="19">
        <f t="shared" si="119"/>
        <v>57379.28</v>
      </c>
    </row>
    <row r="1806" spans="1:8">
      <c r="A1806" s="1" t="s">
        <v>1871</v>
      </c>
      <c r="B1806" s="1" t="s">
        <v>15</v>
      </c>
      <c r="C1806" s="1" t="s">
        <v>1994</v>
      </c>
      <c r="D1806" s="3">
        <v>80184.89</v>
      </c>
      <c r="E1806" s="3">
        <v>10628545.699999999</v>
      </c>
      <c r="F1806" s="1" t="s">
        <v>3048</v>
      </c>
      <c r="G1806" s="19">
        <f t="shared" si="119"/>
        <v>80184.89</v>
      </c>
    </row>
    <row r="1808" spans="1:8">
      <c r="C1808" s="1" t="s">
        <v>3041</v>
      </c>
      <c r="D1808" s="59">
        <f>SUM(D5:D1807)</f>
        <v>-254062.81000000436</v>
      </c>
      <c r="E1808" s="19"/>
      <c r="F1808" s="19"/>
      <c r="G1808" s="59">
        <f>SUM(G5:G1807)</f>
        <v>-42396.101491056426</v>
      </c>
      <c r="H1808" s="59">
        <f>SUBTOTAL(9,H5:H1807)</f>
        <v>-211666.70850894687</v>
      </c>
    </row>
    <row r="1809" spans="3:8">
      <c r="C1809" s="1" t="s">
        <v>3042</v>
      </c>
      <c r="D1809" s="60" t="str">
        <f>+A2</f>
        <v>10.882.608,51</v>
      </c>
      <c r="E1809" s="19"/>
      <c r="F1809" s="19"/>
      <c r="G1809" s="60" t="str">
        <f>+A2</f>
        <v>10.882.608,51</v>
      </c>
    </row>
    <row r="1810" spans="3:8">
      <c r="C1810" s="1" t="s">
        <v>3043</v>
      </c>
      <c r="D1810" s="61">
        <f>+D1808+D1809</f>
        <v>10628545.699999996</v>
      </c>
      <c r="E1810" s="19"/>
      <c r="F1810" s="19"/>
      <c r="G1810" s="61">
        <f>+G1808+G1809</f>
        <v>10840212.408508943</v>
      </c>
    </row>
    <row r="1811" spans="3:8">
      <c r="D1811" s="19"/>
      <c r="E1811" s="19"/>
      <c r="F1811" s="19"/>
      <c r="G1811" s="59">
        <f>+G1810-D1810</f>
        <v>211666.70850894786</v>
      </c>
      <c r="H1811" s="19" t="s">
        <v>3044</v>
      </c>
    </row>
    <row r="1812" spans="3:8">
      <c r="D1812" s="19"/>
      <c r="E1812" s="19"/>
      <c r="F1812" s="19"/>
      <c r="G1812" s="59">
        <f>+IDC!H1771</f>
        <v>212381.39199999944</v>
      </c>
      <c r="H1812" s="19" t="s">
        <v>3045</v>
      </c>
    </row>
    <row r="1813" spans="3:8">
      <c r="D1813" s="19"/>
      <c r="E1813" s="19"/>
      <c r="F1813" s="19"/>
      <c r="G1813" s="62">
        <f>+G1811-G1812</f>
        <v>-714.6834910515754</v>
      </c>
      <c r="H1813" s="20" t="s">
        <v>3046</v>
      </c>
    </row>
    <row r="1814" spans="3:8">
      <c r="D1814" s="19"/>
      <c r="E1814" s="19"/>
      <c r="F1814" s="19"/>
      <c r="G1814" s="62">
        <f>+G1813/0.006</f>
        <v>-119113.91517526256</v>
      </c>
      <c r="H1814" s="20" t="s">
        <v>3047</v>
      </c>
    </row>
  </sheetData>
  <autoFilter ref="A4:I1806">
    <sortState ref="A10:I1784">
      <sortCondition ref="B4:B18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M214"/>
  <sheetViews>
    <sheetView zoomScale="90" zoomScaleNormal="90" workbookViewId="0">
      <selection activeCell="E11" sqref="E11"/>
    </sheetView>
  </sheetViews>
  <sheetFormatPr baseColWidth="10" defaultRowHeight="15"/>
  <cols>
    <col min="1" max="1" width="51" customWidth="1"/>
    <col min="2" max="2" width="16.42578125" style="19" customWidth="1"/>
    <col min="3" max="3" width="14.85546875" style="19" bestFit="1" customWidth="1"/>
    <col min="4" max="4" width="12.140625" style="19" bestFit="1" customWidth="1"/>
    <col min="5" max="5" width="15" style="19" customWidth="1"/>
    <col min="6" max="6" width="13.42578125" style="19" customWidth="1"/>
    <col min="7" max="7" width="15.42578125" style="19" bestFit="1" customWidth="1"/>
    <col min="8" max="8" width="14.85546875" style="19" bestFit="1" customWidth="1"/>
    <col min="9" max="9" width="5" style="19" customWidth="1"/>
    <col min="10" max="10" width="13.140625" bestFit="1" customWidth="1"/>
    <col min="11" max="11" width="19.5703125" bestFit="1" customWidth="1"/>
    <col min="12" max="12" width="14.85546875" bestFit="1" customWidth="1"/>
  </cols>
  <sheetData>
    <row r="3" spans="1:13">
      <c r="A3" s="4" t="s">
        <v>3182</v>
      </c>
      <c r="B3" s="98" t="s">
        <v>3181</v>
      </c>
    </row>
    <row r="4" spans="1:13">
      <c r="A4" s="4" t="s">
        <v>1995</v>
      </c>
      <c r="B4" s="19" t="s">
        <v>3068</v>
      </c>
      <c r="C4" s="19" t="s">
        <v>3065</v>
      </c>
      <c r="D4" s="19" t="s">
        <v>3062</v>
      </c>
      <c r="E4" s="19" t="s">
        <v>3066</v>
      </c>
      <c r="F4" s="19" t="s">
        <v>3067</v>
      </c>
      <c r="G4" s="19" t="s">
        <v>3069</v>
      </c>
      <c r="H4" s="19" t="s">
        <v>1996</v>
      </c>
      <c r="L4" s="19"/>
    </row>
    <row r="5" spans="1:13">
      <c r="A5" s="12" t="s">
        <v>53</v>
      </c>
      <c r="B5" s="20"/>
      <c r="C5" s="20"/>
      <c r="D5" s="20"/>
      <c r="E5" s="20">
        <v>-1156101.3900000001</v>
      </c>
      <c r="F5" s="20"/>
      <c r="G5" s="20"/>
      <c r="H5" s="20">
        <v>-1156101.3900000001</v>
      </c>
      <c r="I5" s="19" t="s">
        <v>3185</v>
      </c>
      <c r="L5" s="19"/>
    </row>
    <row r="6" spans="1:13">
      <c r="A6" s="13" t="s">
        <v>773</v>
      </c>
      <c r="B6" s="21"/>
      <c r="C6" s="21"/>
      <c r="D6" s="21"/>
      <c r="E6" s="21">
        <v>-29870.467196819085</v>
      </c>
      <c r="F6" s="21"/>
      <c r="G6" s="21"/>
      <c r="H6" s="21">
        <v>-29870.467196819085</v>
      </c>
    </row>
    <row r="7" spans="1:13">
      <c r="A7" s="13" t="s">
        <v>1061</v>
      </c>
      <c r="B7" s="21"/>
      <c r="C7" s="21"/>
      <c r="D7" s="21"/>
      <c r="E7" s="21"/>
      <c r="F7" s="21">
        <v>246921</v>
      </c>
      <c r="G7" s="21"/>
      <c r="H7" s="21">
        <v>246921</v>
      </c>
      <c r="I7" s="19" t="s">
        <v>3185</v>
      </c>
    </row>
    <row r="8" spans="1:13">
      <c r="A8" s="13" t="s">
        <v>1385</v>
      </c>
      <c r="B8" s="21"/>
      <c r="C8" s="21"/>
      <c r="D8" s="21"/>
      <c r="E8" s="21"/>
      <c r="F8" s="21">
        <v>698961.08</v>
      </c>
      <c r="G8" s="21"/>
      <c r="H8" s="21">
        <v>698961.08</v>
      </c>
      <c r="I8" s="19" t="s">
        <v>3185</v>
      </c>
      <c r="J8" s="6" t="s">
        <v>2008</v>
      </c>
      <c r="K8" s="36" t="s">
        <v>1998</v>
      </c>
      <c r="L8" s="22">
        <f>SUM(H10:H11,H42:H213)</f>
        <v>36859803</v>
      </c>
      <c r="M8" t="s">
        <v>3184</v>
      </c>
    </row>
    <row r="9" spans="1:13">
      <c r="A9" s="13" t="s">
        <v>51</v>
      </c>
      <c r="B9" s="21"/>
      <c r="C9" s="21"/>
      <c r="D9" s="21">
        <v>-106666.96000000002</v>
      </c>
      <c r="E9" s="21"/>
      <c r="F9" s="21"/>
      <c r="G9" s="21"/>
      <c r="H9" s="21">
        <v>-106666.96000000002</v>
      </c>
      <c r="J9" s="7" t="s">
        <v>2015</v>
      </c>
      <c r="K9" s="36" t="s">
        <v>1999</v>
      </c>
      <c r="L9" s="23">
        <f>SUM(H8,H12,H13,H15:H37,H39:H41)</f>
        <v>-31612497.589483101</v>
      </c>
      <c r="M9" t="s">
        <v>3184</v>
      </c>
    </row>
    <row r="10" spans="1:13">
      <c r="A10" s="11" t="s">
        <v>15</v>
      </c>
      <c r="B10" s="22"/>
      <c r="C10" s="22">
        <v>36647384</v>
      </c>
      <c r="D10" s="22"/>
      <c r="E10" s="22"/>
      <c r="F10" s="22"/>
      <c r="G10" s="22"/>
      <c r="H10" s="22">
        <v>36647384</v>
      </c>
      <c r="J10" s="8"/>
      <c r="K10" s="36" t="s">
        <v>2000</v>
      </c>
      <c r="L10" s="19"/>
    </row>
    <row r="11" spans="1:13">
      <c r="A11" s="11" t="s">
        <v>136</v>
      </c>
      <c r="B11" s="22"/>
      <c r="C11" s="22">
        <v>-170000</v>
      </c>
      <c r="D11" s="22"/>
      <c r="E11" s="22"/>
      <c r="F11" s="22"/>
      <c r="G11" s="22"/>
      <c r="H11" s="22">
        <v>-170000</v>
      </c>
      <c r="J11" s="9"/>
      <c r="K11" s="36" t="s">
        <v>3183</v>
      </c>
      <c r="L11" s="24">
        <f>+GETPIVOTDATA("MOV TOTAL",$A$3,"TRANSACTION_TYPE","Pago de servicios ARCA")</f>
        <v>-2632600.7852882706</v>
      </c>
      <c r="M11" t="s">
        <v>3184</v>
      </c>
    </row>
    <row r="12" spans="1:13">
      <c r="A12" s="14" t="s">
        <v>484</v>
      </c>
      <c r="B12" s="23"/>
      <c r="C12" s="23"/>
      <c r="D12" s="23"/>
      <c r="E12" s="23">
        <v>-1256978.17</v>
      </c>
      <c r="F12" s="23"/>
      <c r="G12" s="23"/>
      <c r="H12" s="23">
        <v>-1256978.17</v>
      </c>
      <c r="I12" s="19" t="s">
        <v>3185</v>
      </c>
      <c r="J12" s="10"/>
      <c r="K12" s="36" t="s">
        <v>2002</v>
      </c>
      <c r="L12" s="19"/>
    </row>
    <row r="13" spans="1:13">
      <c r="A13" s="14" t="s">
        <v>469</v>
      </c>
      <c r="B13" s="23"/>
      <c r="C13" s="23"/>
      <c r="D13" s="23"/>
      <c r="E13" s="23">
        <v>-952861.53</v>
      </c>
      <c r="F13" s="23"/>
      <c r="G13" s="23"/>
      <c r="H13" s="23">
        <v>-952861.53</v>
      </c>
      <c r="I13" s="19" t="s">
        <v>3185</v>
      </c>
      <c r="J13" s="17" t="s">
        <v>2015</v>
      </c>
      <c r="K13" s="36" t="s">
        <v>2003</v>
      </c>
      <c r="L13" s="19"/>
    </row>
    <row r="14" spans="1:13">
      <c r="A14" s="15" t="s">
        <v>478</v>
      </c>
      <c r="B14" s="24">
        <v>-2632600.7852882706</v>
      </c>
      <c r="C14" s="24"/>
      <c r="D14" s="24"/>
      <c r="E14" s="24"/>
      <c r="F14" s="24"/>
      <c r="G14" s="24"/>
      <c r="H14" s="24">
        <v>-2632600.7852882706</v>
      </c>
      <c r="I14" s="19" t="s">
        <v>3185</v>
      </c>
      <c r="J14" s="18" t="s">
        <v>2016</v>
      </c>
      <c r="K14" s="36" t="s">
        <v>2004</v>
      </c>
      <c r="L14" s="29">
        <f>+GETPIVOTDATA("MOV TOTAL",$A$3,"TRANSACTION_TYPE","Transferencia enviada SUCESION LAPORTA FRANCISCO AN")</f>
        <v>-199666.29</v>
      </c>
      <c r="M14" t="s">
        <v>3184</v>
      </c>
    </row>
    <row r="15" spans="1:13">
      <c r="A15" s="14" t="s">
        <v>475</v>
      </c>
      <c r="B15" s="23"/>
      <c r="C15" s="23"/>
      <c r="D15" s="23"/>
      <c r="E15" s="23">
        <v>-110400.00994035785</v>
      </c>
      <c r="F15" s="23"/>
      <c r="G15" s="23"/>
      <c r="H15" s="23">
        <v>-110400.00994035785</v>
      </c>
      <c r="I15" s="19" t="s">
        <v>3185</v>
      </c>
    </row>
    <row r="16" spans="1:13">
      <c r="A16" s="14" t="s">
        <v>1799</v>
      </c>
      <c r="B16" s="23"/>
      <c r="C16" s="23"/>
      <c r="D16" s="23"/>
      <c r="E16" s="23">
        <v>-1201400</v>
      </c>
      <c r="F16" s="23"/>
      <c r="G16" s="23"/>
      <c r="H16" s="23">
        <v>-1201400</v>
      </c>
      <c r="I16" s="19" t="s">
        <v>3185</v>
      </c>
    </row>
    <row r="17" spans="1:9">
      <c r="A17" s="14" t="s">
        <v>471</v>
      </c>
      <c r="B17" s="23"/>
      <c r="C17" s="23"/>
      <c r="D17" s="23"/>
      <c r="E17" s="23">
        <v>-3648174.1999999997</v>
      </c>
      <c r="F17" s="23"/>
      <c r="G17" s="23"/>
      <c r="H17" s="23">
        <v>-3648174.1999999997</v>
      </c>
      <c r="I17" s="19" t="s">
        <v>3185</v>
      </c>
    </row>
    <row r="18" spans="1:9">
      <c r="A18" s="14" t="s">
        <v>1009</v>
      </c>
      <c r="B18" s="23"/>
      <c r="C18" s="23"/>
      <c r="D18" s="23"/>
      <c r="E18" s="23">
        <v>-1062148.75</v>
      </c>
      <c r="F18" s="23"/>
      <c r="G18" s="23"/>
      <c r="H18" s="23">
        <v>-1062148.75</v>
      </c>
      <c r="I18" s="19" t="s">
        <v>3185</v>
      </c>
    </row>
    <row r="19" spans="1:9">
      <c r="A19" s="14" t="s">
        <v>1769</v>
      </c>
      <c r="B19" s="23"/>
      <c r="C19" s="23"/>
      <c r="D19" s="23"/>
      <c r="E19" s="23">
        <v>-195300</v>
      </c>
      <c r="F19" s="23"/>
      <c r="G19" s="23"/>
      <c r="H19" s="23">
        <v>-195300</v>
      </c>
      <c r="I19" s="19" t="s">
        <v>3185</v>
      </c>
    </row>
    <row r="20" spans="1:9">
      <c r="A20" s="14" t="s">
        <v>480</v>
      </c>
      <c r="B20" s="23"/>
      <c r="C20" s="23"/>
      <c r="D20" s="23"/>
      <c r="E20" s="23">
        <v>-291947</v>
      </c>
      <c r="F20" s="23"/>
      <c r="G20" s="23"/>
      <c r="H20" s="23">
        <v>-291947</v>
      </c>
      <c r="I20" s="19" t="s">
        <v>3185</v>
      </c>
    </row>
    <row r="21" spans="1:9">
      <c r="A21" s="16" t="s">
        <v>566</v>
      </c>
      <c r="B21" s="25"/>
      <c r="C21" s="25"/>
      <c r="D21" s="25"/>
      <c r="E21" s="25"/>
      <c r="F21" s="25"/>
      <c r="G21" s="25">
        <v>-5062000</v>
      </c>
      <c r="H21" s="25">
        <v>-5062000</v>
      </c>
      <c r="I21" s="19" t="s">
        <v>3185</v>
      </c>
    </row>
    <row r="22" spans="1:9">
      <c r="A22" s="14" t="s">
        <v>1453</v>
      </c>
      <c r="B22" s="23"/>
      <c r="C22" s="23"/>
      <c r="D22" s="23"/>
      <c r="E22" s="23">
        <v>-752812.33000000007</v>
      </c>
      <c r="F22" s="23"/>
      <c r="G22" s="23"/>
      <c r="H22" s="23">
        <v>-752812.33000000007</v>
      </c>
      <c r="I22" s="19" t="s">
        <v>3185</v>
      </c>
    </row>
    <row r="23" spans="1:9">
      <c r="A23" s="14" t="s">
        <v>568</v>
      </c>
      <c r="B23" s="23"/>
      <c r="C23" s="23"/>
      <c r="D23" s="23"/>
      <c r="E23" s="23">
        <v>-1574854.8409542744</v>
      </c>
      <c r="F23" s="23"/>
      <c r="G23" s="23"/>
      <c r="H23" s="23">
        <v>-1574854.8409542744</v>
      </c>
      <c r="I23" s="19" t="s">
        <v>3185</v>
      </c>
    </row>
    <row r="24" spans="1:9">
      <c r="A24" s="14" t="s">
        <v>1388</v>
      </c>
      <c r="B24" s="23"/>
      <c r="C24" s="23"/>
      <c r="D24" s="23"/>
      <c r="E24" s="23">
        <v>-437569.00596421468</v>
      </c>
      <c r="F24" s="23"/>
      <c r="G24" s="23"/>
      <c r="H24" s="23">
        <v>-437569.00596421468</v>
      </c>
      <c r="I24" s="19" t="s">
        <v>3185</v>
      </c>
    </row>
    <row r="25" spans="1:9">
      <c r="A25" s="14" t="s">
        <v>49</v>
      </c>
      <c r="B25" s="23"/>
      <c r="C25" s="23"/>
      <c r="D25" s="23"/>
      <c r="E25" s="23">
        <v>-827759.91999999993</v>
      </c>
      <c r="F25" s="23"/>
      <c r="G25" s="23"/>
      <c r="H25" s="23">
        <v>-827759.91999999993</v>
      </c>
      <c r="I25" s="19" t="s">
        <v>3185</v>
      </c>
    </row>
    <row r="26" spans="1:9">
      <c r="A26" s="14" t="s">
        <v>465</v>
      </c>
      <c r="B26" s="23"/>
      <c r="C26" s="23"/>
      <c r="D26" s="23"/>
      <c r="E26" s="23">
        <v>-5025323.996023857</v>
      </c>
      <c r="F26" s="23"/>
      <c r="G26" s="23"/>
      <c r="H26" s="23">
        <v>-5025323.996023857</v>
      </c>
      <c r="I26" s="19" t="s">
        <v>3185</v>
      </c>
    </row>
    <row r="27" spans="1:9">
      <c r="A27" s="14" t="s">
        <v>55</v>
      </c>
      <c r="B27" s="23"/>
      <c r="C27" s="23"/>
      <c r="D27" s="23"/>
      <c r="E27" s="23">
        <v>-2186142.8199999998</v>
      </c>
      <c r="F27" s="23"/>
      <c r="G27" s="23"/>
      <c r="H27" s="23">
        <v>-2186142.8199999998</v>
      </c>
      <c r="I27" s="19" t="s">
        <v>3185</v>
      </c>
    </row>
    <row r="28" spans="1:9">
      <c r="A28" s="14" t="s">
        <v>1397</v>
      </c>
      <c r="B28" s="23"/>
      <c r="C28" s="23"/>
      <c r="D28" s="23"/>
      <c r="E28" s="23">
        <v>-575000</v>
      </c>
      <c r="F28" s="23"/>
      <c r="G28" s="23"/>
      <c r="H28" s="23">
        <v>-575000</v>
      </c>
      <c r="I28" s="19" t="s">
        <v>3185</v>
      </c>
    </row>
    <row r="29" spans="1:9">
      <c r="A29" s="14" t="s">
        <v>1949</v>
      </c>
      <c r="B29" s="23"/>
      <c r="C29" s="23"/>
      <c r="D29" s="23"/>
      <c r="E29" s="23">
        <v>-155300.0198807157</v>
      </c>
      <c r="F29" s="23"/>
      <c r="G29" s="23"/>
      <c r="H29" s="23">
        <v>-155300.0198807157</v>
      </c>
      <c r="I29" s="19" t="s">
        <v>3185</v>
      </c>
    </row>
    <row r="30" spans="1:9">
      <c r="A30" s="14" t="s">
        <v>473</v>
      </c>
      <c r="B30" s="23"/>
      <c r="C30" s="23"/>
      <c r="D30" s="23"/>
      <c r="E30" s="23">
        <v>-1281400.02</v>
      </c>
      <c r="F30" s="23"/>
      <c r="G30" s="23"/>
      <c r="H30" s="23">
        <v>-1281400.02</v>
      </c>
      <c r="I30" s="19" t="s">
        <v>3185</v>
      </c>
    </row>
    <row r="31" spans="1:9">
      <c r="A31" s="14" t="s">
        <v>1761</v>
      </c>
      <c r="B31" s="23"/>
      <c r="C31" s="23"/>
      <c r="D31" s="23"/>
      <c r="E31" s="23">
        <v>-25668</v>
      </c>
      <c r="F31" s="23"/>
      <c r="G31" s="23"/>
      <c r="H31" s="23">
        <v>-25668</v>
      </c>
      <c r="I31" s="19" t="s">
        <v>3185</v>
      </c>
    </row>
    <row r="32" spans="1:9">
      <c r="A32" s="14" t="s">
        <v>557</v>
      </c>
      <c r="B32" s="23"/>
      <c r="C32" s="23"/>
      <c r="D32" s="23"/>
      <c r="E32" s="23">
        <v>-1014382.6043737575</v>
      </c>
      <c r="F32" s="23"/>
      <c r="G32" s="23"/>
      <c r="H32" s="23">
        <v>-1014382.6043737575</v>
      </c>
      <c r="I32" s="19" t="s">
        <v>3185</v>
      </c>
    </row>
    <row r="33" spans="1:9">
      <c r="A33" s="14" t="s">
        <v>570</v>
      </c>
      <c r="B33" s="23"/>
      <c r="C33" s="23"/>
      <c r="D33" s="23"/>
      <c r="E33" s="23">
        <v>-375842.94234592444</v>
      </c>
      <c r="F33" s="23"/>
      <c r="G33" s="23"/>
      <c r="H33" s="23">
        <v>-375842.94234592444</v>
      </c>
      <c r="I33" s="19" t="s">
        <v>3185</v>
      </c>
    </row>
    <row r="34" spans="1:9">
      <c r="A34" s="14" t="s">
        <v>1404</v>
      </c>
      <c r="B34" s="23"/>
      <c r="C34" s="23"/>
      <c r="D34" s="23"/>
      <c r="E34" s="23">
        <v>-328257</v>
      </c>
      <c r="F34" s="23"/>
      <c r="G34" s="23"/>
      <c r="H34" s="23">
        <v>-328257</v>
      </c>
      <c r="I34" s="19" t="s">
        <v>3185</v>
      </c>
    </row>
    <row r="35" spans="1:9">
      <c r="A35" s="14" t="s">
        <v>564</v>
      </c>
      <c r="B35" s="23"/>
      <c r="C35" s="23"/>
      <c r="D35" s="23"/>
      <c r="E35" s="23">
        <v>-478665</v>
      </c>
      <c r="F35" s="23"/>
      <c r="G35" s="23"/>
      <c r="H35" s="23">
        <v>-478665</v>
      </c>
      <c r="I35" s="19" t="s">
        <v>3185</v>
      </c>
    </row>
    <row r="36" spans="1:9">
      <c r="A36" s="14" t="s">
        <v>1609</v>
      </c>
      <c r="B36" s="23"/>
      <c r="C36" s="23"/>
      <c r="D36" s="23"/>
      <c r="E36" s="23">
        <v>-274853.20999999996</v>
      </c>
      <c r="F36" s="23"/>
      <c r="G36" s="23"/>
      <c r="H36" s="23">
        <v>-274853.20999999996</v>
      </c>
      <c r="I36" s="19" t="s">
        <v>3185</v>
      </c>
    </row>
    <row r="37" spans="1:9">
      <c r="A37" s="14" t="s">
        <v>482</v>
      </c>
      <c r="B37" s="23"/>
      <c r="C37" s="23"/>
      <c r="D37" s="23"/>
      <c r="E37" s="23">
        <v>-246159.3</v>
      </c>
      <c r="F37" s="23"/>
      <c r="G37" s="23"/>
      <c r="H37" s="23">
        <v>-246159.3</v>
      </c>
      <c r="I37" s="19" t="s">
        <v>3185</v>
      </c>
    </row>
    <row r="38" spans="1:9">
      <c r="A38" s="28" t="s">
        <v>1059</v>
      </c>
      <c r="B38" s="29"/>
      <c r="C38" s="29"/>
      <c r="D38" s="29"/>
      <c r="E38" s="29">
        <v>-199666.29</v>
      </c>
      <c r="F38" s="29"/>
      <c r="G38" s="29"/>
      <c r="H38" s="29">
        <v>-199666.29</v>
      </c>
      <c r="I38" s="19" t="s">
        <v>3185</v>
      </c>
    </row>
    <row r="39" spans="1:9">
      <c r="A39" s="14" t="s">
        <v>1952</v>
      </c>
      <c r="B39" s="23"/>
      <c r="C39" s="23"/>
      <c r="D39" s="23"/>
      <c r="E39" s="23">
        <v>-1167650</v>
      </c>
      <c r="F39" s="23"/>
      <c r="G39" s="23"/>
      <c r="H39" s="23">
        <v>-1167650</v>
      </c>
      <c r="I39" s="19" t="s">
        <v>3185</v>
      </c>
    </row>
    <row r="40" spans="1:9">
      <c r="A40" s="14" t="s">
        <v>467</v>
      </c>
      <c r="B40" s="23"/>
      <c r="C40" s="23"/>
      <c r="D40" s="23"/>
      <c r="E40" s="23">
        <v>-1049664</v>
      </c>
      <c r="F40" s="23"/>
      <c r="G40" s="23"/>
      <c r="H40" s="23">
        <v>-1049664</v>
      </c>
      <c r="I40" s="19" t="s">
        <v>3185</v>
      </c>
    </row>
    <row r="41" spans="1:9">
      <c r="A41" s="14" t="s">
        <v>187</v>
      </c>
      <c r="B41" s="23"/>
      <c r="C41" s="23"/>
      <c r="D41" s="23"/>
      <c r="E41" s="23">
        <v>-752944</v>
      </c>
      <c r="F41" s="23"/>
      <c r="G41" s="23"/>
      <c r="H41" s="23">
        <v>-752944</v>
      </c>
      <c r="I41" s="19" t="s">
        <v>3185</v>
      </c>
    </row>
    <row r="42" spans="1:9">
      <c r="A42" s="11" t="s">
        <v>625</v>
      </c>
      <c r="B42" s="22"/>
      <c r="C42" s="22">
        <v>930.00000000000011</v>
      </c>
      <c r="D42" s="22"/>
      <c r="E42" s="22"/>
      <c r="F42" s="22"/>
      <c r="G42" s="22"/>
      <c r="H42" s="22">
        <v>930.00000000000011</v>
      </c>
    </row>
    <row r="43" spans="1:9">
      <c r="A43" s="11" t="s">
        <v>1493</v>
      </c>
      <c r="B43" s="22"/>
      <c r="C43" s="22">
        <v>600</v>
      </c>
      <c r="D43" s="22"/>
      <c r="E43" s="22"/>
      <c r="F43" s="22"/>
      <c r="G43" s="22"/>
      <c r="H43" s="22">
        <v>600</v>
      </c>
    </row>
    <row r="44" spans="1:9">
      <c r="A44" s="11" t="s">
        <v>1555</v>
      </c>
      <c r="B44" s="22"/>
      <c r="C44" s="22">
        <v>1925</v>
      </c>
      <c r="D44" s="22"/>
      <c r="E44" s="22"/>
      <c r="F44" s="22"/>
      <c r="G44" s="22"/>
      <c r="H44" s="22">
        <v>1925</v>
      </c>
    </row>
    <row r="45" spans="1:9">
      <c r="A45" s="11" t="s">
        <v>914</v>
      </c>
      <c r="B45" s="22"/>
      <c r="C45" s="22">
        <v>4700</v>
      </c>
      <c r="D45" s="22"/>
      <c r="E45" s="22"/>
      <c r="F45" s="22"/>
      <c r="G45" s="22"/>
      <c r="H45" s="22">
        <v>4700</v>
      </c>
    </row>
    <row r="46" spans="1:9">
      <c r="A46" s="11" t="s">
        <v>196</v>
      </c>
      <c r="B46" s="22"/>
      <c r="C46" s="22">
        <v>1995</v>
      </c>
      <c r="D46" s="22"/>
      <c r="E46" s="22"/>
      <c r="F46" s="22"/>
      <c r="G46" s="22"/>
      <c r="H46" s="22">
        <v>1995</v>
      </c>
    </row>
    <row r="47" spans="1:9">
      <c r="A47" s="11" t="s">
        <v>1781</v>
      </c>
      <c r="B47" s="22"/>
      <c r="C47" s="22">
        <v>420</v>
      </c>
      <c r="D47" s="22"/>
      <c r="E47" s="22"/>
      <c r="F47" s="22"/>
      <c r="G47" s="22"/>
      <c r="H47" s="22">
        <v>420</v>
      </c>
    </row>
    <row r="48" spans="1:9">
      <c r="A48" s="11" t="s">
        <v>1079</v>
      </c>
      <c r="B48" s="22"/>
      <c r="C48" s="22">
        <v>915</v>
      </c>
      <c r="D48" s="22"/>
      <c r="E48" s="22"/>
      <c r="F48" s="22"/>
      <c r="G48" s="22"/>
      <c r="H48" s="22">
        <v>915</v>
      </c>
    </row>
    <row r="49" spans="1:8">
      <c r="A49" s="11" t="s">
        <v>856</v>
      </c>
      <c r="B49" s="22"/>
      <c r="C49" s="22">
        <v>1235</v>
      </c>
      <c r="D49" s="22"/>
      <c r="E49" s="22"/>
      <c r="F49" s="22"/>
      <c r="G49" s="22"/>
      <c r="H49" s="22">
        <v>1235</v>
      </c>
    </row>
    <row r="50" spans="1:8">
      <c r="A50" s="11" t="s">
        <v>238</v>
      </c>
      <c r="B50" s="22"/>
      <c r="C50" s="22">
        <v>2045</v>
      </c>
      <c r="D50" s="22"/>
      <c r="E50" s="22"/>
      <c r="F50" s="22"/>
      <c r="G50" s="22"/>
      <c r="H50" s="22">
        <v>2045</v>
      </c>
    </row>
    <row r="51" spans="1:8">
      <c r="A51" s="11" t="s">
        <v>1026</v>
      </c>
      <c r="B51" s="22"/>
      <c r="C51" s="22">
        <v>2398.9999999999995</v>
      </c>
      <c r="D51" s="22"/>
      <c r="E51" s="22"/>
      <c r="F51" s="22"/>
      <c r="G51" s="22"/>
      <c r="H51" s="22">
        <v>2398.9999999999995</v>
      </c>
    </row>
    <row r="52" spans="1:8">
      <c r="A52" s="11" t="s">
        <v>654</v>
      </c>
      <c r="B52" s="22"/>
      <c r="C52" s="22">
        <v>480</v>
      </c>
      <c r="D52" s="22"/>
      <c r="E52" s="22"/>
      <c r="F52" s="22"/>
      <c r="G52" s="22"/>
      <c r="H52" s="22">
        <v>480</v>
      </c>
    </row>
    <row r="53" spans="1:8">
      <c r="A53" s="11" t="s">
        <v>807</v>
      </c>
      <c r="B53" s="22"/>
      <c r="C53" s="22">
        <v>1000</v>
      </c>
      <c r="D53" s="22"/>
      <c r="E53" s="22"/>
      <c r="F53" s="22"/>
      <c r="G53" s="22"/>
      <c r="H53" s="22">
        <v>1000</v>
      </c>
    </row>
    <row r="54" spans="1:8">
      <c r="A54" s="11" t="s">
        <v>919</v>
      </c>
      <c r="B54" s="22"/>
      <c r="C54" s="22">
        <v>3289.9999999999995</v>
      </c>
      <c r="D54" s="22"/>
      <c r="E54" s="22"/>
      <c r="F54" s="22"/>
      <c r="G54" s="22"/>
      <c r="H54" s="22">
        <v>3289.9999999999995</v>
      </c>
    </row>
    <row r="55" spans="1:8">
      <c r="A55" s="11" t="s">
        <v>411</v>
      </c>
      <c r="B55" s="22"/>
      <c r="C55" s="22">
        <v>1445.0000000000002</v>
      </c>
      <c r="D55" s="22"/>
      <c r="E55" s="22"/>
      <c r="F55" s="22"/>
      <c r="G55" s="22"/>
      <c r="H55" s="22">
        <v>1445.0000000000002</v>
      </c>
    </row>
    <row r="56" spans="1:8">
      <c r="A56" s="11" t="s">
        <v>1746</v>
      </c>
      <c r="B56" s="22"/>
      <c r="C56" s="22">
        <v>3760</v>
      </c>
      <c r="D56" s="22"/>
      <c r="E56" s="22"/>
      <c r="F56" s="22"/>
      <c r="G56" s="22"/>
      <c r="H56" s="22">
        <v>3760</v>
      </c>
    </row>
    <row r="57" spans="1:8">
      <c r="A57" s="11" t="s">
        <v>329</v>
      </c>
      <c r="B57" s="22"/>
      <c r="C57" s="22">
        <v>915</v>
      </c>
      <c r="D57" s="22"/>
      <c r="E57" s="22"/>
      <c r="F57" s="22"/>
      <c r="G57" s="22"/>
      <c r="H57" s="22">
        <v>915</v>
      </c>
    </row>
    <row r="58" spans="1:8">
      <c r="A58" s="11" t="s">
        <v>62</v>
      </c>
      <c r="B58" s="22"/>
      <c r="C58" s="22">
        <v>2144.9999999999995</v>
      </c>
      <c r="D58" s="22"/>
      <c r="E58" s="22"/>
      <c r="F58" s="22"/>
      <c r="G58" s="22"/>
      <c r="H58" s="22">
        <v>2144.9999999999995</v>
      </c>
    </row>
    <row r="59" spans="1:8">
      <c r="A59" s="11" t="s">
        <v>593</v>
      </c>
      <c r="B59" s="22"/>
      <c r="C59" s="22">
        <v>2770</v>
      </c>
      <c r="D59" s="22"/>
      <c r="E59" s="22"/>
      <c r="F59" s="22"/>
      <c r="G59" s="22"/>
      <c r="H59" s="22">
        <v>2770</v>
      </c>
    </row>
    <row r="60" spans="1:8">
      <c r="A60" s="11" t="s">
        <v>1111</v>
      </c>
      <c r="B60" s="22"/>
      <c r="C60" s="22">
        <v>6005</v>
      </c>
      <c r="D60" s="22"/>
      <c r="E60" s="22"/>
      <c r="F60" s="22"/>
      <c r="G60" s="22"/>
      <c r="H60" s="22">
        <v>6005</v>
      </c>
    </row>
    <row r="61" spans="1:8">
      <c r="A61" s="11" t="s">
        <v>158</v>
      </c>
      <c r="B61" s="22"/>
      <c r="C61" s="22">
        <v>2300</v>
      </c>
      <c r="D61" s="22"/>
      <c r="E61" s="22"/>
      <c r="F61" s="22"/>
      <c r="G61" s="22"/>
      <c r="H61" s="22">
        <v>2300</v>
      </c>
    </row>
    <row r="62" spans="1:8">
      <c r="A62" s="11" t="s">
        <v>961</v>
      </c>
      <c r="B62" s="22"/>
      <c r="C62" s="22">
        <v>500</v>
      </c>
      <c r="D62" s="22"/>
      <c r="E62" s="22"/>
      <c r="F62" s="22"/>
      <c r="G62" s="22"/>
      <c r="H62" s="22">
        <v>500</v>
      </c>
    </row>
    <row r="63" spans="1:8">
      <c r="A63" s="11" t="s">
        <v>1955</v>
      </c>
      <c r="B63" s="22"/>
      <c r="C63" s="22">
        <v>480</v>
      </c>
      <c r="D63" s="22"/>
      <c r="E63" s="22"/>
      <c r="F63" s="22"/>
      <c r="G63" s="22"/>
      <c r="H63" s="22">
        <v>480</v>
      </c>
    </row>
    <row r="64" spans="1:8">
      <c r="A64" s="11" t="s">
        <v>998</v>
      </c>
      <c r="B64" s="22"/>
      <c r="C64" s="22">
        <v>250</v>
      </c>
      <c r="D64" s="22"/>
      <c r="E64" s="22"/>
      <c r="F64" s="22"/>
      <c r="G64" s="22"/>
      <c r="H64" s="22">
        <v>250</v>
      </c>
    </row>
    <row r="65" spans="1:8">
      <c r="A65" s="11" t="s">
        <v>165</v>
      </c>
      <c r="B65" s="22"/>
      <c r="C65" s="22">
        <v>360</v>
      </c>
      <c r="D65" s="22"/>
      <c r="E65" s="22"/>
      <c r="F65" s="22"/>
      <c r="G65" s="22"/>
      <c r="H65" s="22">
        <v>360</v>
      </c>
    </row>
    <row r="66" spans="1:8">
      <c r="A66" s="11" t="s">
        <v>1804</v>
      </c>
      <c r="B66" s="22"/>
      <c r="C66" s="22">
        <v>200</v>
      </c>
      <c r="D66" s="22"/>
      <c r="E66" s="22"/>
      <c r="F66" s="22"/>
      <c r="G66" s="22"/>
      <c r="H66" s="22">
        <v>200</v>
      </c>
    </row>
    <row r="67" spans="1:8">
      <c r="A67" s="11" t="s">
        <v>142</v>
      </c>
      <c r="B67" s="22"/>
      <c r="C67" s="22">
        <v>2990</v>
      </c>
      <c r="D67" s="22"/>
      <c r="E67" s="22"/>
      <c r="F67" s="22"/>
      <c r="G67" s="22"/>
      <c r="H67" s="22">
        <v>2990</v>
      </c>
    </row>
    <row r="68" spans="1:8">
      <c r="A68" s="11" t="s">
        <v>1312</v>
      </c>
      <c r="B68" s="22"/>
      <c r="C68" s="22">
        <v>1710</v>
      </c>
      <c r="D68" s="22"/>
      <c r="E68" s="22"/>
      <c r="F68" s="22"/>
      <c r="G68" s="22"/>
      <c r="H68" s="22">
        <v>1710</v>
      </c>
    </row>
    <row r="69" spans="1:8">
      <c r="A69" s="11" t="s">
        <v>1677</v>
      </c>
      <c r="B69" s="22"/>
      <c r="C69" s="22">
        <v>4155</v>
      </c>
      <c r="D69" s="22"/>
      <c r="E69" s="22"/>
      <c r="F69" s="22"/>
      <c r="G69" s="22"/>
      <c r="H69" s="22">
        <v>4155</v>
      </c>
    </row>
    <row r="70" spans="1:8">
      <c r="A70" s="11" t="s">
        <v>499</v>
      </c>
      <c r="B70" s="22"/>
      <c r="C70" s="22">
        <v>1545</v>
      </c>
      <c r="D70" s="22"/>
      <c r="E70" s="22"/>
      <c r="F70" s="22"/>
      <c r="G70" s="22"/>
      <c r="H70" s="22">
        <v>1545</v>
      </c>
    </row>
    <row r="71" spans="1:8">
      <c r="A71" s="11" t="s">
        <v>1548</v>
      </c>
      <c r="B71" s="22"/>
      <c r="C71" s="22">
        <v>3230</v>
      </c>
      <c r="D71" s="22"/>
      <c r="E71" s="22"/>
      <c r="F71" s="22"/>
      <c r="G71" s="22"/>
      <c r="H71" s="22">
        <v>3230</v>
      </c>
    </row>
    <row r="72" spans="1:8">
      <c r="A72" s="11" t="s">
        <v>1239</v>
      </c>
      <c r="B72" s="22"/>
      <c r="C72" s="22">
        <v>2440</v>
      </c>
      <c r="D72" s="22"/>
      <c r="E72" s="22"/>
      <c r="F72" s="22"/>
      <c r="G72" s="22"/>
      <c r="H72" s="22">
        <v>2440</v>
      </c>
    </row>
    <row r="73" spans="1:8">
      <c r="A73" s="11" t="s">
        <v>1644</v>
      </c>
      <c r="B73" s="22"/>
      <c r="C73" s="22">
        <v>2910</v>
      </c>
      <c r="D73" s="22"/>
      <c r="E73" s="22"/>
      <c r="F73" s="22"/>
      <c r="G73" s="22"/>
      <c r="H73" s="22">
        <v>2910</v>
      </c>
    </row>
    <row r="74" spans="1:8">
      <c r="A74" s="11" t="s">
        <v>1542</v>
      </c>
      <c r="B74" s="22"/>
      <c r="C74" s="22">
        <v>450</v>
      </c>
      <c r="D74" s="22"/>
      <c r="E74" s="22"/>
      <c r="F74" s="22"/>
      <c r="G74" s="22"/>
      <c r="H74" s="22">
        <v>450</v>
      </c>
    </row>
    <row r="75" spans="1:8">
      <c r="A75" s="11" t="s">
        <v>290</v>
      </c>
      <c r="B75" s="22"/>
      <c r="C75" s="22">
        <v>2904.9999999999995</v>
      </c>
      <c r="D75" s="22"/>
      <c r="E75" s="22"/>
      <c r="F75" s="22"/>
      <c r="G75" s="22"/>
      <c r="H75" s="22">
        <v>2904.9999999999995</v>
      </c>
    </row>
    <row r="76" spans="1:8">
      <c r="A76" s="11" t="s">
        <v>1962</v>
      </c>
      <c r="B76" s="22"/>
      <c r="C76" s="22">
        <v>1990</v>
      </c>
      <c r="D76" s="22"/>
      <c r="E76" s="22"/>
      <c r="F76" s="22"/>
      <c r="G76" s="22"/>
      <c r="H76" s="22">
        <v>1990</v>
      </c>
    </row>
    <row r="77" spans="1:8">
      <c r="A77" s="11" t="s">
        <v>373</v>
      </c>
      <c r="B77" s="22"/>
      <c r="C77" s="22">
        <v>2175.0000000000005</v>
      </c>
      <c r="D77" s="22"/>
      <c r="E77" s="22"/>
      <c r="F77" s="22"/>
      <c r="G77" s="22"/>
      <c r="H77" s="22">
        <v>2175.0000000000005</v>
      </c>
    </row>
    <row r="78" spans="1:8">
      <c r="A78" s="11" t="s">
        <v>841</v>
      </c>
      <c r="B78" s="22"/>
      <c r="C78" s="22">
        <v>1710</v>
      </c>
      <c r="D78" s="22"/>
      <c r="E78" s="22"/>
      <c r="F78" s="22"/>
      <c r="G78" s="22"/>
      <c r="H78" s="22">
        <v>1710</v>
      </c>
    </row>
    <row r="79" spans="1:8">
      <c r="A79" s="11" t="s">
        <v>866</v>
      </c>
      <c r="B79" s="22"/>
      <c r="C79" s="22">
        <v>9210</v>
      </c>
      <c r="D79" s="22"/>
      <c r="E79" s="22"/>
      <c r="F79" s="22"/>
      <c r="G79" s="22"/>
      <c r="H79" s="22">
        <v>9210</v>
      </c>
    </row>
    <row r="80" spans="1:8">
      <c r="A80" s="11" t="s">
        <v>1269</v>
      </c>
      <c r="B80" s="22"/>
      <c r="C80" s="22">
        <v>3240</v>
      </c>
      <c r="D80" s="22"/>
      <c r="E80" s="22"/>
      <c r="F80" s="22"/>
      <c r="G80" s="22"/>
      <c r="H80" s="22">
        <v>3240</v>
      </c>
    </row>
    <row r="81" spans="1:8">
      <c r="A81" s="11" t="s">
        <v>307</v>
      </c>
      <c r="B81" s="22"/>
      <c r="C81" s="22">
        <v>2940</v>
      </c>
      <c r="D81" s="22"/>
      <c r="E81" s="22"/>
      <c r="F81" s="22"/>
      <c r="G81" s="22"/>
      <c r="H81" s="22">
        <v>2940</v>
      </c>
    </row>
    <row r="82" spans="1:8">
      <c r="A82" s="11" t="s">
        <v>532</v>
      </c>
      <c r="B82" s="22"/>
      <c r="C82" s="22">
        <v>1839</v>
      </c>
      <c r="D82" s="22"/>
      <c r="E82" s="22"/>
      <c r="F82" s="22"/>
      <c r="G82" s="22"/>
      <c r="H82" s="22">
        <v>1839</v>
      </c>
    </row>
    <row r="83" spans="1:8">
      <c r="A83" s="11" t="s">
        <v>1301</v>
      </c>
      <c r="B83" s="22"/>
      <c r="C83" s="22">
        <v>970</v>
      </c>
      <c r="D83" s="22"/>
      <c r="E83" s="22"/>
      <c r="F83" s="22"/>
      <c r="G83" s="22"/>
      <c r="H83" s="22">
        <v>970</v>
      </c>
    </row>
    <row r="84" spans="1:8">
      <c r="A84" s="11" t="s">
        <v>294</v>
      </c>
      <c r="B84" s="22"/>
      <c r="C84" s="22">
        <v>430</v>
      </c>
      <c r="D84" s="22"/>
      <c r="E84" s="22"/>
      <c r="F84" s="22"/>
      <c r="G84" s="22"/>
      <c r="H84" s="22">
        <v>430</v>
      </c>
    </row>
    <row r="85" spans="1:8">
      <c r="A85" s="11" t="s">
        <v>620</v>
      </c>
      <c r="B85" s="22"/>
      <c r="C85" s="22">
        <v>720</v>
      </c>
      <c r="D85" s="22"/>
      <c r="E85" s="22"/>
      <c r="F85" s="22"/>
      <c r="G85" s="22"/>
      <c r="H85" s="22">
        <v>720</v>
      </c>
    </row>
    <row r="86" spans="1:8">
      <c r="A86" s="11" t="s">
        <v>1750</v>
      </c>
      <c r="B86" s="22"/>
      <c r="C86" s="22">
        <v>420</v>
      </c>
      <c r="D86" s="22"/>
      <c r="E86" s="22"/>
      <c r="F86" s="22"/>
      <c r="G86" s="22"/>
      <c r="H86" s="22">
        <v>420</v>
      </c>
    </row>
    <row r="87" spans="1:8">
      <c r="A87" s="11" t="s">
        <v>950</v>
      </c>
      <c r="B87" s="22"/>
      <c r="C87" s="22">
        <v>5609.9999999999991</v>
      </c>
      <c r="D87" s="22"/>
      <c r="E87" s="22"/>
      <c r="F87" s="22"/>
      <c r="G87" s="22"/>
      <c r="H87" s="22">
        <v>5609.9999999999991</v>
      </c>
    </row>
    <row r="88" spans="1:8">
      <c r="A88" s="11" t="s">
        <v>65</v>
      </c>
      <c r="B88" s="22"/>
      <c r="C88" s="22">
        <v>1330</v>
      </c>
      <c r="D88" s="22"/>
      <c r="E88" s="22"/>
      <c r="F88" s="22"/>
      <c r="G88" s="22"/>
      <c r="H88" s="22">
        <v>1330</v>
      </c>
    </row>
    <row r="89" spans="1:8">
      <c r="A89" s="11" t="s">
        <v>1777</v>
      </c>
      <c r="B89" s="22"/>
      <c r="C89" s="22">
        <v>4579.9999999999991</v>
      </c>
      <c r="D89" s="22"/>
      <c r="E89" s="22"/>
      <c r="F89" s="22"/>
      <c r="G89" s="22"/>
      <c r="H89" s="22">
        <v>4579.9999999999991</v>
      </c>
    </row>
    <row r="90" spans="1:8">
      <c r="A90" s="11" t="s">
        <v>224</v>
      </c>
      <c r="B90" s="22"/>
      <c r="C90" s="22">
        <v>3404.9999999999995</v>
      </c>
      <c r="D90" s="22"/>
      <c r="E90" s="22"/>
      <c r="F90" s="22"/>
      <c r="G90" s="22"/>
      <c r="H90" s="22">
        <v>3404.9999999999995</v>
      </c>
    </row>
    <row r="91" spans="1:8">
      <c r="A91" s="11" t="s">
        <v>211</v>
      </c>
      <c r="B91" s="22"/>
      <c r="C91" s="22">
        <v>3450</v>
      </c>
      <c r="D91" s="22"/>
      <c r="E91" s="22"/>
      <c r="F91" s="22"/>
      <c r="G91" s="22"/>
      <c r="H91" s="22">
        <v>3450</v>
      </c>
    </row>
    <row r="92" spans="1:8">
      <c r="A92" s="11" t="s">
        <v>339</v>
      </c>
      <c r="B92" s="22"/>
      <c r="C92" s="22">
        <v>1900</v>
      </c>
      <c r="D92" s="22"/>
      <c r="E92" s="22"/>
      <c r="F92" s="22"/>
      <c r="G92" s="22"/>
      <c r="H92" s="22">
        <v>1900</v>
      </c>
    </row>
    <row r="93" spans="1:8">
      <c r="A93" s="11" t="s">
        <v>801</v>
      </c>
      <c r="B93" s="22"/>
      <c r="C93" s="22">
        <v>210</v>
      </c>
      <c r="D93" s="22"/>
      <c r="E93" s="22"/>
      <c r="F93" s="22"/>
      <c r="G93" s="22"/>
      <c r="H93" s="22">
        <v>210</v>
      </c>
    </row>
    <row r="94" spans="1:8">
      <c r="A94" s="11" t="s">
        <v>1246</v>
      </c>
      <c r="B94" s="22"/>
      <c r="C94" s="22">
        <v>2900</v>
      </c>
      <c r="D94" s="22"/>
      <c r="E94" s="22"/>
      <c r="F94" s="22"/>
      <c r="G94" s="22"/>
      <c r="H94" s="22">
        <v>2900</v>
      </c>
    </row>
    <row r="95" spans="1:8">
      <c r="A95" s="11" t="s">
        <v>1199</v>
      </c>
      <c r="B95" s="22"/>
      <c r="C95" s="22">
        <v>275</v>
      </c>
      <c r="D95" s="22"/>
      <c r="E95" s="22"/>
      <c r="F95" s="22"/>
      <c r="G95" s="22"/>
      <c r="H95" s="22">
        <v>275</v>
      </c>
    </row>
    <row r="96" spans="1:8">
      <c r="A96" s="11" t="s">
        <v>202</v>
      </c>
      <c r="B96" s="22"/>
      <c r="C96" s="22">
        <v>480</v>
      </c>
      <c r="D96" s="22"/>
      <c r="E96" s="22"/>
      <c r="F96" s="22"/>
      <c r="G96" s="22"/>
      <c r="H96" s="22">
        <v>480</v>
      </c>
    </row>
    <row r="97" spans="1:8">
      <c r="A97" s="11" t="s">
        <v>1814</v>
      </c>
      <c r="B97" s="22"/>
      <c r="C97" s="22">
        <v>1664.9999999999998</v>
      </c>
      <c r="D97" s="22"/>
      <c r="E97" s="22"/>
      <c r="F97" s="22"/>
      <c r="G97" s="22"/>
      <c r="H97" s="22">
        <v>1664.9999999999998</v>
      </c>
    </row>
    <row r="98" spans="1:8">
      <c r="A98" s="11" t="s">
        <v>279</v>
      </c>
      <c r="B98" s="22"/>
      <c r="C98" s="22">
        <v>1920</v>
      </c>
      <c r="D98" s="22"/>
      <c r="E98" s="22"/>
      <c r="F98" s="22"/>
      <c r="G98" s="22"/>
      <c r="H98" s="22">
        <v>1920</v>
      </c>
    </row>
    <row r="99" spans="1:8">
      <c r="A99" s="11" t="s">
        <v>285</v>
      </c>
      <c r="B99" s="22"/>
      <c r="C99" s="22">
        <v>1295</v>
      </c>
      <c r="D99" s="22"/>
      <c r="E99" s="22"/>
      <c r="F99" s="22"/>
      <c r="G99" s="22"/>
      <c r="H99" s="22">
        <v>1295</v>
      </c>
    </row>
    <row r="100" spans="1:8">
      <c r="A100" s="11" t="s">
        <v>689</v>
      </c>
      <c r="B100" s="22"/>
      <c r="C100" s="22">
        <v>2520</v>
      </c>
      <c r="D100" s="22"/>
      <c r="E100" s="22"/>
      <c r="F100" s="22"/>
      <c r="G100" s="22"/>
      <c r="H100" s="22">
        <v>2520</v>
      </c>
    </row>
    <row r="101" spans="1:8">
      <c r="A101" s="11" t="s">
        <v>1858</v>
      </c>
      <c r="B101" s="22"/>
      <c r="C101" s="22">
        <v>200</v>
      </c>
      <c r="D101" s="22"/>
      <c r="E101" s="22"/>
      <c r="F101" s="22"/>
      <c r="G101" s="22"/>
      <c r="H101" s="22">
        <v>200</v>
      </c>
    </row>
    <row r="102" spans="1:8">
      <c r="A102" s="11" t="s">
        <v>1295</v>
      </c>
      <c r="B102" s="22"/>
      <c r="C102" s="22">
        <v>785</v>
      </c>
      <c r="D102" s="22"/>
      <c r="E102" s="22"/>
      <c r="F102" s="22"/>
      <c r="G102" s="22"/>
      <c r="H102" s="22">
        <v>785</v>
      </c>
    </row>
    <row r="103" spans="1:8">
      <c r="A103" s="11" t="s">
        <v>1467</v>
      </c>
      <c r="B103" s="22"/>
      <c r="C103" s="22">
        <v>2550</v>
      </c>
      <c r="D103" s="22"/>
      <c r="E103" s="22"/>
      <c r="F103" s="22"/>
      <c r="G103" s="22"/>
      <c r="H103" s="22">
        <v>2550</v>
      </c>
    </row>
    <row r="104" spans="1:8">
      <c r="A104" s="11" t="s">
        <v>1223</v>
      </c>
      <c r="B104" s="22"/>
      <c r="C104" s="22">
        <v>1510</v>
      </c>
      <c r="D104" s="22"/>
      <c r="E104" s="22"/>
      <c r="F104" s="22"/>
      <c r="G104" s="22"/>
      <c r="H104" s="22">
        <v>1510</v>
      </c>
    </row>
    <row r="105" spans="1:8">
      <c r="A105" s="11" t="s">
        <v>862</v>
      </c>
      <c r="B105" s="22"/>
      <c r="C105" s="22">
        <v>5250</v>
      </c>
      <c r="D105" s="22"/>
      <c r="E105" s="22"/>
      <c r="F105" s="22"/>
      <c r="G105" s="22"/>
      <c r="H105" s="22">
        <v>5250</v>
      </c>
    </row>
    <row r="106" spans="1:8">
      <c r="A106" s="11" t="s">
        <v>1938</v>
      </c>
      <c r="B106" s="22"/>
      <c r="C106" s="22">
        <v>630</v>
      </c>
      <c r="D106" s="22"/>
      <c r="E106" s="22"/>
      <c r="F106" s="22"/>
      <c r="G106" s="22"/>
      <c r="H106" s="22">
        <v>630</v>
      </c>
    </row>
    <row r="107" spans="1:8">
      <c r="A107" s="11" t="s">
        <v>1243</v>
      </c>
      <c r="B107" s="22"/>
      <c r="C107" s="22">
        <v>1600</v>
      </c>
      <c r="D107" s="22"/>
      <c r="E107" s="22"/>
      <c r="F107" s="22"/>
      <c r="G107" s="22"/>
      <c r="H107" s="22">
        <v>1600</v>
      </c>
    </row>
    <row r="108" spans="1:8">
      <c r="A108" s="11" t="s">
        <v>75</v>
      </c>
      <c r="B108" s="22"/>
      <c r="C108" s="22">
        <v>1515</v>
      </c>
      <c r="D108" s="22"/>
      <c r="E108" s="22"/>
      <c r="F108" s="22"/>
      <c r="G108" s="22"/>
      <c r="H108" s="22">
        <v>1515</v>
      </c>
    </row>
    <row r="109" spans="1:8">
      <c r="A109" s="11" t="s">
        <v>1084</v>
      </c>
      <c r="B109" s="22"/>
      <c r="C109" s="22">
        <v>480</v>
      </c>
      <c r="D109" s="22"/>
      <c r="E109" s="22"/>
      <c r="F109" s="22"/>
      <c r="G109" s="22"/>
      <c r="H109" s="22">
        <v>480</v>
      </c>
    </row>
    <row r="110" spans="1:8">
      <c r="A110" s="11" t="s">
        <v>1732</v>
      </c>
      <c r="B110" s="22"/>
      <c r="C110" s="22">
        <v>2005</v>
      </c>
      <c r="D110" s="22"/>
      <c r="E110" s="22"/>
      <c r="F110" s="22"/>
      <c r="G110" s="22"/>
      <c r="H110" s="22">
        <v>2005</v>
      </c>
    </row>
    <row r="111" spans="1:8">
      <c r="A111" s="11" t="s">
        <v>1432</v>
      </c>
      <c r="B111" s="22"/>
      <c r="C111" s="22">
        <v>1199</v>
      </c>
      <c r="D111" s="22"/>
      <c r="E111" s="22"/>
      <c r="F111" s="22"/>
      <c r="G111" s="22"/>
      <c r="H111" s="22">
        <v>1199</v>
      </c>
    </row>
    <row r="112" spans="1:8">
      <c r="A112" s="11" t="s">
        <v>529</v>
      </c>
      <c r="B112" s="22"/>
      <c r="C112" s="22">
        <v>3719</v>
      </c>
      <c r="D112" s="22"/>
      <c r="E112" s="22"/>
      <c r="F112" s="22"/>
      <c r="G112" s="22"/>
      <c r="H112" s="22">
        <v>3719</v>
      </c>
    </row>
    <row r="113" spans="1:8">
      <c r="A113" s="11" t="s">
        <v>629</v>
      </c>
      <c r="B113" s="22"/>
      <c r="C113" s="22">
        <v>1440</v>
      </c>
      <c r="D113" s="22"/>
      <c r="E113" s="22"/>
      <c r="F113" s="22"/>
      <c r="G113" s="22"/>
      <c r="H113" s="22">
        <v>1440</v>
      </c>
    </row>
    <row r="114" spans="1:8">
      <c r="A114" s="11" t="s">
        <v>192</v>
      </c>
      <c r="B114" s="22"/>
      <c r="C114" s="22">
        <v>7385</v>
      </c>
      <c r="D114" s="22"/>
      <c r="E114" s="22"/>
      <c r="F114" s="22"/>
      <c r="G114" s="22"/>
      <c r="H114" s="22">
        <v>7385</v>
      </c>
    </row>
    <row r="115" spans="1:8">
      <c r="A115" s="11" t="s">
        <v>794</v>
      </c>
      <c r="B115" s="22"/>
      <c r="C115" s="22">
        <v>6620</v>
      </c>
      <c r="D115" s="22"/>
      <c r="E115" s="22"/>
      <c r="F115" s="22"/>
      <c r="G115" s="22"/>
      <c r="H115" s="22">
        <v>6620</v>
      </c>
    </row>
    <row r="116" spans="1:8">
      <c r="A116" s="11" t="s">
        <v>1719</v>
      </c>
      <c r="B116" s="22"/>
      <c r="C116" s="22">
        <v>1845</v>
      </c>
      <c r="D116" s="22"/>
      <c r="E116" s="22"/>
      <c r="F116" s="22"/>
      <c r="G116" s="22"/>
      <c r="H116" s="22">
        <v>1845</v>
      </c>
    </row>
    <row r="117" spans="1:8">
      <c r="A117" s="11" t="s">
        <v>538</v>
      </c>
      <c r="B117" s="22"/>
      <c r="C117" s="22">
        <v>2855</v>
      </c>
      <c r="D117" s="22"/>
      <c r="E117" s="22"/>
      <c r="F117" s="22"/>
      <c r="G117" s="22"/>
      <c r="H117" s="22">
        <v>2855</v>
      </c>
    </row>
    <row r="118" spans="1:8">
      <c r="A118" s="11" t="s">
        <v>134</v>
      </c>
      <c r="B118" s="22"/>
      <c r="C118" s="22">
        <v>600</v>
      </c>
      <c r="D118" s="22"/>
      <c r="E118" s="22"/>
      <c r="F118" s="22"/>
      <c r="G118" s="22"/>
      <c r="H118" s="22">
        <v>600</v>
      </c>
    </row>
    <row r="119" spans="1:8">
      <c r="A119" s="11" t="s">
        <v>1437</v>
      </c>
      <c r="B119" s="22"/>
      <c r="C119" s="22">
        <v>395</v>
      </c>
      <c r="D119" s="22"/>
      <c r="E119" s="22"/>
      <c r="F119" s="22"/>
      <c r="G119" s="22"/>
      <c r="H119" s="22">
        <v>395</v>
      </c>
    </row>
    <row r="120" spans="1:8">
      <c r="A120" s="11" t="s">
        <v>1181</v>
      </c>
      <c r="B120" s="22"/>
      <c r="C120" s="22">
        <v>480</v>
      </c>
      <c r="D120" s="22"/>
      <c r="E120" s="22"/>
      <c r="F120" s="22"/>
      <c r="G120" s="22"/>
      <c r="H120" s="22">
        <v>480</v>
      </c>
    </row>
    <row r="121" spans="1:8">
      <c r="A121" s="11" t="s">
        <v>1176</v>
      </c>
      <c r="B121" s="22"/>
      <c r="C121" s="22">
        <v>600</v>
      </c>
      <c r="D121" s="22"/>
      <c r="E121" s="22"/>
      <c r="F121" s="22"/>
      <c r="G121" s="22"/>
      <c r="H121" s="22">
        <v>600</v>
      </c>
    </row>
    <row r="122" spans="1:8">
      <c r="A122" s="11" t="s">
        <v>1412</v>
      </c>
      <c r="B122" s="22"/>
      <c r="C122" s="22">
        <v>480</v>
      </c>
      <c r="D122" s="22"/>
      <c r="E122" s="22"/>
      <c r="F122" s="22"/>
      <c r="G122" s="22"/>
      <c r="H122" s="22">
        <v>480</v>
      </c>
    </row>
    <row r="123" spans="1:8">
      <c r="A123" s="11" t="s">
        <v>1037</v>
      </c>
      <c r="B123" s="22"/>
      <c r="C123" s="22">
        <v>2769</v>
      </c>
      <c r="D123" s="22"/>
      <c r="E123" s="22"/>
      <c r="F123" s="22"/>
      <c r="G123" s="22"/>
      <c r="H123" s="22">
        <v>2769</v>
      </c>
    </row>
    <row r="124" spans="1:8">
      <c r="A124" s="11" t="s">
        <v>1829</v>
      </c>
      <c r="B124" s="22"/>
      <c r="C124" s="22">
        <v>480</v>
      </c>
      <c r="D124" s="22"/>
      <c r="E124" s="22"/>
      <c r="F124" s="22"/>
      <c r="G124" s="22"/>
      <c r="H124" s="22">
        <v>480</v>
      </c>
    </row>
    <row r="125" spans="1:8">
      <c r="A125" s="11" t="s">
        <v>598</v>
      </c>
      <c r="B125" s="22"/>
      <c r="C125" s="22">
        <v>4230</v>
      </c>
      <c r="D125" s="22"/>
      <c r="E125" s="22"/>
      <c r="F125" s="22"/>
      <c r="G125" s="22"/>
      <c r="H125" s="22">
        <v>4230</v>
      </c>
    </row>
    <row r="126" spans="1:8">
      <c r="A126" s="11" t="s">
        <v>1347</v>
      </c>
      <c r="B126" s="22"/>
      <c r="C126" s="22">
        <v>544.99999999999989</v>
      </c>
      <c r="D126" s="22"/>
      <c r="E126" s="22"/>
      <c r="F126" s="22"/>
      <c r="G126" s="22"/>
      <c r="H126" s="22">
        <v>544.99999999999989</v>
      </c>
    </row>
    <row r="127" spans="1:8">
      <c r="A127" s="11" t="s">
        <v>1340</v>
      </c>
      <c r="B127" s="22"/>
      <c r="C127" s="22">
        <v>1025</v>
      </c>
      <c r="D127" s="22"/>
      <c r="E127" s="22"/>
      <c r="F127" s="22"/>
      <c r="G127" s="22"/>
      <c r="H127" s="22">
        <v>1025</v>
      </c>
    </row>
    <row r="128" spans="1:8">
      <c r="A128" s="11" t="s">
        <v>1513</v>
      </c>
      <c r="B128" s="22"/>
      <c r="C128" s="22">
        <v>1920</v>
      </c>
      <c r="D128" s="22"/>
      <c r="E128" s="22"/>
      <c r="F128" s="22"/>
      <c r="G128" s="22"/>
      <c r="H128" s="22">
        <v>1920</v>
      </c>
    </row>
    <row r="129" spans="1:8">
      <c r="A129" s="11" t="s">
        <v>320</v>
      </c>
      <c r="B129" s="22"/>
      <c r="C129" s="22">
        <v>10180</v>
      </c>
      <c r="D129" s="22"/>
      <c r="E129" s="22"/>
      <c r="F129" s="22"/>
      <c r="G129" s="22"/>
      <c r="H129" s="22">
        <v>10180</v>
      </c>
    </row>
    <row r="130" spans="1:8">
      <c r="A130" s="11" t="s">
        <v>1263</v>
      </c>
      <c r="B130" s="22"/>
      <c r="C130" s="22">
        <v>3300</v>
      </c>
      <c r="D130" s="22"/>
      <c r="E130" s="22"/>
      <c r="F130" s="22"/>
      <c r="G130" s="22"/>
      <c r="H130" s="22">
        <v>3300</v>
      </c>
    </row>
    <row r="131" spans="1:8">
      <c r="A131" s="11" t="s">
        <v>1651</v>
      </c>
      <c r="B131" s="22"/>
      <c r="C131" s="22">
        <v>222.00000000000003</v>
      </c>
      <c r="D131" s="22"/>
      <c r="E131" s="22"/>
      <c r="F131" s="22"/>
      <c r="G131" s="22"/>
      <c r="H131" s="22">
        <v>222.00000000000003</v>
      </c>
    </row>
    <row r="132" spans="1:8">
      <c r="A132" s="11" t="s">
        <v>438</v>
      </c>
      <c r="B132" s="22"/>
      <c r="C132" s="22">
        <v>2580</v>
      </c>
      <c r="D132" s="22"/>
      <c r="E132" s="22"/>
      <c r="F132" s="22"/>
      <c r="G132" s="22"/>
      <c r="H132" s="22">
        <v>2580</v>
      </c>
    </row>
    <row r="133" spans="1:8">
      <c r="A133" s="11" t="s">
        <v>390</v>
      </c>
      <c r="B133" s="22"/>
      <c r="C133" s="22">
        <v>880</v>
      </c>
      <c r="D133" s="22"/>
      <c r="E133" s="22"/>
      <c r="F133" s="22"/>
      <c r="G133" s="22"/>
      <c r="H133" s="22">
        <v>880</v>
      </c>
    </row>
    <row r="134" spans="1:8">
      <c r="A134" s="11" t="s">
        <v>1915</v>
      </c>
      <c r="B134" s="22"/>
      <c r="C134" s="22">
        <v>2610</v>
      </c>
      <c r="D134" s="22"/>
      <c r="E134" s="22"/>
      <c r="F134" s="22"/>
      <c r="G134" s="22"/>
      <c r="H134" s="22">
        <v>2610</v>
      </c>
    </row>
    <row r="135" spans="1:8">
      <c r="A135" s="11" t="s">
        <v>151</v>
      </c>
      <c r="B135" s="22"/>
      <c r="C135" s="22">
        <v>3535.0000000000005</v>
      </c>
      <c r="D135" s="22"/>
      <c r="E135" s="22"/>
      <c r="F135" s="22"/>
      <c r="G135" s="22"/>
      <c r="H135" s="22">
        <v>3535.0000000000005</v>
      </c>
    </row>
    <row r="136" spans="1:8">
      <c r="A136" s="11" t="s">
        <v>1445</v>
      </c>
      <c r="B136" s="22"/>
      <c r="C136" s="22">
        <v>240</v>
      </c>
      <c r="D136" s="22"/>
      <c r="E136" s="22"/>
      <c r="F136" s="22"/>
      <c r="G136" s="22"/>
      <c r="H136" s="22">
        <v>240</v>
      </c>
    </row>
    <row r="137" spans="1:8">
      <c r="A137" s="11" t="s">
        <v>1108</v>
      </c>
      <c r="B137" s="22"/>
      <c r="C137" s="22">
        <v>1235</v>
      </c>
      <c r="D137" s="22"/>
      <c r="E137" s="22"/>
      <c r="F137" s="22"/>
      <c r="G137" s="22"/>
      <c r="H137" s="22">
        <v>1235</v>
      </c>
    </row>
    <row r="138" spans="1:8">
      <c r="A138" s="11" t="s">
        <v>378</v>
      </c>
      <c r="B138" s="22"/>
      <c r="C138" s="22">
        <v>5809.9999999999991</v>
      </c>
      <c r="D138" s="22"/>
      <c r="E138" s="22"/>
      <c r="F138" s="22"/>
      <c r="G138" s="22"/>
      <c r="H138" s="22">
        <v>5809.9999999999991</v>
      </c>
    </row>
    <row r="139" spans="1:8">
      <c r="A139" s="11" t="s">
        <v>367</v>
      </c>
      <c r="B139" s="22"/>
      <c r="C139" s="22">
        <v>250</v>
      </c>
      <c r="D139" s="22"/>
      <c r="E139" s="22"/>
      <c r="F139" s="22"/>
      <c r="G139" s="22"/>
      <c r="H139" s="22">
        <v>250</v>
      </c>
    </row>
    <row r="140" spans="1:8">
      <c r="A140" s="11" t="s">
        <v>398</v>
      </c>
      <c r="B140" s="22"/>
      <c r="C140" s="22">
        <v>4925</v>
      </c>
      <c r="D140" s="22"/>
      <c r="E140" s="22"/>
      <c r="F140" s="22"/>
      <c r="G140" s="22"/>
      <c r="H140" s="22">
        <v>4925</v>
      </c>
    </row>
    <row r="141" spans="1:8">
      <c r="A141" s="11" t="s">
        <v>495</v>
      </c>
      <c r="B141" s="22"/>
      <c r="C141" s="22">
        <v>150</v>
      </c>
      <c r="D141" s="22"/>
      <c r="E141" s="22"/>
      <c r="F141" s="22"/>
      <c r="G141" s="22"/>
      <c r="H141" s="22">
        <v>150</v>
      </c>
    </row>
    <row r="142" spans="1:8">
      <c r="A142" s="11" t="s">
        <v>1486</v>
      </c>
      <c r="B142" s="22"/>
      <c r="C142" s="22">
        <v>1220</v>
      </c>
      <c r="D142" s="22"/>
      <c r="E142" s="22"/>
      <c r="F142" s="22"/>
      <c r="G142" s="22"/>
      <c r="H142" s="22">
        <v>1220</v>
      </c>
    </row>
    <row r="143" spans="1:8">
      <c r="A143" s="11" t="s">
        <v>1697</v>
      </c>
      <c r="B143" s="22"/>
      <c r="C143" s="22">
        <v>4930</v>
      </c>
      <c r="D143" s="22"/>
      <c r="E143" s="22"/>
      <c r="F143" s="22"/>
      <c r="G143" s="22"/>
      <c r="H143" s="22">
        <v>4930</v>
      </c>
    </row>
    <row r="144" spans="1:8">
      <c r="A144" s="11" t="s">
        <v>1382</v>
      </c>
      <c r="B144" s="22"/>
      <c r="C144" s="22">
        <v>1839.9999999999998</v>
      </c>
      <c r="D144" s="22"/>
      <c r="E144" s="22"/>
      <c r="F144" s="22"/>
      <c r="G144" s="22"/>
      <c r="H144" s="22">
        <v>1839.9999999999998</v>
      </c>
    </row>
    <row r="145" spans="1:8">
      <c r="A145" s="11" t="s">
        <v>723</v>
      </c>
      <c r="B145" s="22"/>
      <c r="C145" s="22">
        <v>214.99999999999997</v>
      </c>
      <c r="D145" s="22"/>
      <c r="E145" s="22"/>
      <c r="F145" s="22"/>
      <c r="G145" s="22"/>
      <c r="H145" s="22">
        <v>214.99999999999997</v>
      </c>
    </row>
    <row r="146" spans="1:8">
      <c r="A146" s="11" t="s">
        <v>1043</v>
      </c>
      <c r="B146" s="22"/>
      <c r="C146" s="22">
        <v>1199</v>
      </c>
      <c r="D146" s="22"/>
      <c r="E146" s="22"/>
      <c r="F146" s="22"/>
      <c r="G146" s="22"/>
      <c r="H146" s="22">
        <v>1199</v>
      </c>
    </row>
    <row r="147" spans="1:8">
      <c r="A147" s="11" t="s">
        <v>1124</v>
      </c>
      <c r="B147" s="22"/>
      <c r="C147" s="22">
        <v>2420</v>
      </c>
      <c r="D147" s="22"/>
      <c r="E147" s="22"/>
      <c r="F147" s="22"/>
      <c r="G147" s="22"/>
      <c r="H147" s="22">
        <v>2420</v>
      </c>
    </row>
    <row r="148" spans="1:8">
      <c r="A148" s="11" t="s">
        <v>658</v>
      </c>
      <c r="B148" s="22"/>
      <c r="C148" s="22">
        <v>5385</v>
      </c>
      <c r="D148" s="22"/>
      <c r="E148" s="22"/>
      <c r="F148" s="22"/>
      <c r="G148" s="22"/>
      <c r="H148" s="22">
        <v>5385</v>
      </c>
    </row>
    <row r="149" spans="1:8">
      <c r="A149" s="11" t="s">
        <v>1003</v>
      </c>
      <c r="B149" s="22"/>
      <c r="C149" s="22">
        <v>930.00000000000011</v>
      </c>
      <c r="D149" s="22"/>
      <c r="E149" s="22"/>
      <c r="F149" s="22"/>
      <c r="G149" s="22"/>
      <c r="H149" s="22">
        <v>930.00000000000011</v>
      </c>
    </row>
    <row r="150" spans="1:8">
      <c r="A150" s="11" t="s">
        <v>1422</v>
      </c>
      <c r="B150" s="22"/>
      <c r="C150" s="22">
        <v>470</v>
      </c>
      <c r="D150" s="22"/>
      <c r="E150" s="22"/>
      <c r="F150" s="22"/>
      <c r="G150" s="22"/>
      <c r="H150" s="22">
        <v>470</v>
      </c>
    </row>
    <row r="151" spans="1:8">
      <c r="A151" s="11" t="s">
        <v>1908</v>
      </c>
      <c r="B151" s="22"/>
      <c r="C151" s="22">
        <v>595</v>
      </c>
      <c r="D151" s="22"/>
      <c r="E151" s="22"/>
      <c r="F151" s="22"/>
      <c r="G151" s="22"/>
      <c r="H151" s="22">
        <v>595</v>
      </c>
    </row>
    <row r="152" spans="1:8">
      <c r="A152" s="11" t="s">
        <v>333</v>
      </c>
      <c r="B152" s="22"/>
      <c r="C152" s="22">
        <v>1715</v>
      </c>
      <c r="D152" s="22"/>
      <c r="E152" s="22"/>
      <c r="F152" s="22"/>
      <c r="G152" s="22"/>
      <c r="H152" s="22">
        <v>1715</v>
      </c>
    </row>
    <row r="153" spans="1:8">
      <c r="A153" s="11" t="s">
        <v>1194</v>
      </c>
      <c r="B153" s="22"/>
      <c r="C153" s="22">
        <v>1304.9999999999998</v>
      </c>
      <c r="D153" s="22"/>
      <c r="E153" s="22"/>
      <c r="F153" s="22"/>
      <c r="G153" s="22"/>
      <c r="H153" s="22">
        <v>1304.9999999999998</v>
      </c>
    </row>
    <row r="154" spans="1:8">
      <c r="A154" s="11" t="s">
        <v>908</v>
      </c>
      <c r="B154" s="22"/>
      <c r="C154" s="22">
        <v>4800</v>
      </c>
      <c r="D154" s="22"/>
      <c r="E154" s="22"/>
      <c r="F154" s="22"/>
      <c r="G154" s="22"/>
      <c r="H154" s="22">
        <v>4800</v>
      </c>
    </row>
    <row r="155" spans="1:8">
      <c r="A155" s="11" t="s">
        <v>1047</v>
      </c>
      <c r="B155" s="22"/>
      <c r="C155" s="22">
        <v>8895.0000000000018</v>
      </c>
      <c r="D155" s="22"/>
      <c r="E155" s="22"/>
      <c r="F155" s="22"/>
      <c r="G155" s="22"/>
      <c r="H155" s="22">
        <v>8895.0000000000018</v>
      </c>
    </row>
    <row r="156" spans="1:8">
      <c r="A156" s="11" t="s">
        <v>699</v>
      </c>
      <c r="B156" s="22"/>
      <c r="C156" s="22">
        <v>459.99999999999994</v>
      </c>
      <c r="D156" s="22"/>
      <c r="E156" s="22"/>
      <c r="F156" s="22"/>
      <c r="G156" s="22"/>
      <c r="H156" s="22">
        <v>459.99999999999994</v>
      </c>
    </row>
    <row r="157" spans="1:8">
      <c r="A157" s="11" t="s">
        <v>1188</v>
      </c>
      <c r="B157" s="22"/>
      <c r="C157" s="22">
        <v>240</v>
      </c>
      <c r="D157" s="22"/>
      <c r="E157" s="22"/>
      <c r="F157" s="22"/>
      <c r="G157" s="22"/>
      <c r="H157" s="22">
        <v>240</v>
      </c>
    </row>
    <row r="158" spans="1:8">
      <c r="A158" s="11" t="s">
        <v>44</v>
      </c>
      <c r="B158" s="22"/>
      <c r="C158" s="22">
        <v>12064</v>
      </c>
      <c r="D158" s="22"/>
      <c r="E158" s="22"/>
      <c r="F158" s="22"/>
      <c r="G158" s="22"/>
      <c r="H158" s="22">
        <v>12064</v>
      </c>
    </row>
    <row r="159" spans="1:8">
      <c r="A159" s="11" t="s">
        <v>415</v>
      </c>
      <c r="B159" s="22"/>
      <c r="C159" s="22">
        <v>1400</v>
      </c>
      <c r="D159" s="22"/>
      <c r="E159" s="22"/>
      <c r="F159" s="22"/>
      <c r="G159" s="22"/>
      <c r="H159" s="22">
        <v>1400</v>
      </c>
    </row>
    <row r="160" spans="1:8">
      <c r="A160" s="11" t="s">
        <v>1328</v>
      </c>
      <c r="B160" s="22"/>
      <c r="C160" s="22">
        <v>1050</v>
      </c>
      <c r="D160" s="22"/>
      <c r="E160" s="22"/>
      <c r="F160" s="22"/>
      <c r="G160" s="22"/>
      <c r="H160" s="22">
        <v>1050</v>
      </c>
    </row>
    <row r="161" spans="1:8">
      <c r="A161" s="11" t="s">
        <v>838</v>
      </c>
      <c r="B161" s="22"/>
      <c r="C161" s="22">
        <v>12150</v>
      </c>
      <c r="D161" s="22"/>
      <c r="E161" s="22"/>
      <c r="F161" s="22"/>
      <c r="G161" s="22"/>
      <c r="H161" s="22">
        <v>12150</v>
      </c>
    </row>
    <row r="162" spans="1:8">
      <c r="A162" s="11" t="s">
        <v>216</v>
      </c>
      <c r="B162" s="22"/>
      <c r="C162" s="22">
        <v>2210.0000000000005</v>
      </c>
      <c r="D162" s="22"/>
      <c r="E162" s="22"/>
      <c r="F162" s="22"/>
      <c r="G162" s="22"/>
      <c r="H162" s="22">
        <v>2210.0000000000005</v>
      </c>
    </row>
    <row r="163" spans="1:8">
      <c r="A163" s="11" t="s">
        <v>546</v>
      </c>
      <c r="B163" s="22"/>
      <c r="C163" s="22">
        <v>3998.9999999999995</v>
      </c>
      <c r="D163" s="22"/>
      <c r="E163" s="22"/>
      <c r="F163" s="22"/>
      <c r="G163" s="22"/>
      <c r="H163" s="22">
        <v>3998.9999999999995</v>
      </c>
    </row>
    <row r="164" spans="1:8">
      <c r="A164" s="11" t="s">
        <v>1927</v>
      </c>
      <c r="B164" s="22"/>
      <c r="C164" s="22">
        <v>440</v>
      </c>
      <c r="D164" s="22"/>
      <c r="E164" s="22"/>
      <c r="F164" s="22"/>
      <c r="G164" s="22"/>
      <c r="H164" s="22">
        <v>440</v>
      </c>
    </row>
    <row r="165" spans="1:8">
      <c r="A165" s="11" t="s">
        <v>680</v>
      </c>
      <c r="B165" s="22"/>
      <c r="C165" s="22">
        <v>1200</v>
      </c>
      <c r="D165" s="22"/>
      <c r="E165" s="22"/>
      <c r="F165" s="22"/>
      <c r="G165" s="22"/>
      <c r="H165" s="22">
        <v>1200</v>
      </c>
    </row>
    <row r="166" spans="1:8">
      <c r="A166" s="11" t="s">
        <v>516</v>
      </c>
      <c r="B166" s="22"/>
      <c r="C166" s="22">
        <v>1400</v>
      </c>
      <c r="D166" s="22"/>
      <c r="E166" s="22"/>
      <c r="F166" s="22"/>
      <c r="G166" s="22"/>
      <c r="H166" s="22">
        <v>1400</v>
      </c>
    </row>
    <row r="167" spans="1:8">
      <c r="A167" s="11" t="s">
        <v>1440</v>
      </c>
      <c r="B167" s="22"/>
      <c r="C167" s="22">
        <v>200</v>
      </c>
      <c r="D167" s="22"/>
      <c r="E167" s="22"/>
      <c r="F167" s="22"/>
      <c r="G167" s="22"/>
      <c r="H167" s="22">
        <v>200</v>
      </c>
    </row>
    <row r="168" spans="1:8">
      <c r="A168" s="11" t="s">
        <v>935</v>
      </c>
      <c r="B168" s="22"/>
      <c r="C168" s="22">
        <v>1290</v>
      </c>
      <c r="D168" s="22"/>
      <c r="E168" s="22"/>
      <c r="F168" s="22"/>
      <c r="G168" s="22"/>
      <c r="H168" s="22">
        <v>1290</v>
      </c>
    </row>
    <row r="169" spans="1:8">
      <c r="A169" s="11" t="s">
        <v>1352</v>
      </c>
      <c r="B169" s="22"/>
      <c r="C169" s="22">
        <v>240</v>
      </c>
      <c r="D169" s="22"/>
      <c r="E169" s="22"/>
      <c r="F169" s="22"/>
      <c r="G169" s="22"/>
      <c r="H169" s="22">
        <v>240</v>
      </c>
    </row>
    <row r="170" spans="1:8">
      <c r="A170" s="11" t="s">
        <v>850</v>
      </c>
      <c r="B170" s="22"/>
      <c r="C170" s="22">
        <v>1440</v>
      </c>
      <c r="D170" s="22"/>
      <c r="E170" s="22"/>
      <c r="F170" s="22"/>
      <c r="G170" s="22"/>
      <c r="H170" s="22">
        <v>1440</v>
      </c>
    </row>
    <row r="171" spans="1:8">
      <c r="A171" s="11" t="s">
        <v>663</v>
      </c>
      <c r="B171" s="22"/>
      <c r="C171" s="22">
        <v>240</v>
      </c>
      <c r="D171" s="22"/>
      <c r="E171" s="22"/>
      <c r="F171" s="22"/>
      <c r="G171" s="22"/>
      <c r="H171" s="22">
        <v>240</v>
      </c>
    </row>
    <row r="172" spans="1:8">
      <c r="A172" s="11" t="s">
        <v>1864</v>
      </c>
      <c r="B172" s="22"/>
      <c r="C172" s="22">
        <v>1065.0000000000002</v>
      </c>
      <c r="D172" s="22"/>
      <c r="E172" s="22"/>
      <c r="F172" s="22"/>
      <c r="G172" s="22"/>
      <c r="H172" s="22">
        <v>1065.0000000000002</v>
      </c>
    </row>
    <row r="173" spans="1:8">
      <c r="A173" s="11" t="s">
        <v>174</v>
      </c>
      <c r="B173" s="22"/>
      <c r="C173" s="22">
        <v>720</v>
      </c>
      <c r="D173" s="22"/>
      <c r="E173" s="22"/>
      <c r="F173" s="22"/>
      <c r="G173" s="22"/>
      <c r="H173" s="22">
        <v>720</v>
      </c>
    </row>
    <row r="174" spans="1:8">
      <c r="A174" s="11" t="s">
        <v>930</v>
      </c>
      <c r="B174" s="22"/>
      <c r="C174" s="22">
        <v>420</v>
      </c>
      <c r="D174" s="22"/>
      <c r="E174" s="22"/>
      <c r="F174" s="22"/>
      <c r="G174" s="22"/>
      <c r="H174" s="22">
        <v>420</v>
      </c>
    </row>
    <row r="175" spans="1:8">
      <c r="A175" s="11" t="s">
        <v>887</v>
      </c>
      <c r="B175" s="22"/>
      <c r="C175" s="22">
        <v>2140</v>
      </c>
      <c r="D175" s="22"/>
      <c r="E175" s="22"/>
      <c r="F175" s="22"/>
      <c r="G175" s="22"/>
      <c r="H175" s="22">
        <v>2140</v>
      </c>
    </row>
    <row r="176" spans="1:8">
      <c r="A176" s="11" t="s">
        <v>27</v>
      </c>
      <c r="B176" s="22"/>
      <c r="C176" s="22">
        <v>5025</v>
      </c>
      <c r="D176" s="22"/>
      <c r="E176" s="22"/>
      <c r="F176" s="22"/>
      <c r="G176" s="22"/>
      <c r="H176" s="22">
        <v>5025</v>
      </c>
    </row>
    <row r="177" spans="1:8">
      <c r="A177" s="11" t="s">
        <v>874</v>
      </c>
      <c r="B177" s="22"/>
      <c r="C177" s="22">
        <v>250</v>
      </c>
      <c r="D177" s="22"/>
      <c r="E177" s="22"/>
      <c r="F177" s="22"/>
      <c r="G177" s="22"/>
      <c r="H177" s="22">
        <v>250</v>
      </c>
    </row>
    <row r="178" spans="1:8">
      <c r="A178" s="11" t="s">
        <v>393</v>
      </c>
      <c r="B178" s="22"/>
      <c r="C178" s="22">
        <v>2140</v>
      </c>
      <c r="D178" s="22"/>
      <c r="E178" s="22"/>
      <c r="F178" s="22"/>
      <c r="G178" s="22"/>
      <c r="H178" s="22">
        <v>2140</v>
      </c>
    </row>
    <row r="179" spans="1:8">
      <c r="A179" s="11" t="s">
        <v>30</v>
      </c>
      <c r="B179" s="22"/>
      <c r="C179" s="22">
        <v>650</v>
      </c>
      <c r="D179" s="22"/>
      <c r="E179" s="22"/>
      <c r="F179" s="22"/>
      <c r="G179" s="22"/>
      <c r="H179" s="22">
        <v>650</v>
      </c>
    </row>
    <row r="180" spans="1:8">
      <c r="A180" s="11" t="s">
        <v>780</v>
      </c>
      <c r="B180" s="22"/>
      <c r="C180" s="22">
        <v>2040</v>
      </c>
      <c r="D180" s="22"/>
      <c r="E180" s="22"/>
      <c r="F180" s="22"/>
      <c r="G180" s="22"/>
      <c r="H180" s="22">
        <v>2040</v>
      </c>
    </row>
    <row r="181" spans="1:8">
      <c r="A181" s="11" t="s">
        <v>71</v>
      </c>
      <c r="B181" s="22"/>
      <c r="C181" s="22">
        <v>1934.9999999999998</v>
      </c>
      <c r="D181" s="22"/>
      <c r="E181" s="22"/>
      <c r="F181" s="22"/>
      <c r="G181" s="22"/>
      <c r="H181" s="22">
        <v>1934.9999999999998</v>
      </c>
    </row>
    <row r="182" spans="1:8">
      <c r="A182" s="11" t="s">
        <v>382</v>
      </c>
      <c r="B182" s="22"/>
      <c r="C182" s="22">
        <v>4280</v>
      </c>
      <c r="D182" s="22"/>
      <c r="E182" s="22"/>
      <c r="F182" s="22"/>
      <c r="G182" s="22"/>
      <c r="H182" s="22">
        <v>4280</v>
      </c>
    </row>
    <row r="183" spans="1:8">
      <c r="A183" s="11" t="s">
        <v>1680</v>
      </c>
      <c r="B183" s="22"/>
      <c r="C183" s="22">
        <v>2060</v>
      </c>
      <c r="D183" s="22"/>
      <c r="E183" s="22"/>
      <c r="F183" s="22"/>
      <c r="G183" s="22"/>
      <c r="H183" s="22">
        <v>2060</v>
      </c>
    </row>
    <row r="184" spans="1:8">
      <c r="A184" s="11" t="s">
        <v>245</v>
      </c>
      <c r="B184" s="22"/>
      <c r="C184" s="22">
        <v>3760</v>
      </c>
      <c r="D184" s="22"/>
      <c r="E184" s="22"/>
      <c r="F184" s="22"/>
      <c r="G184" s="22"/>
      <c r="H184" s="22">
        <v>3760</v>
      </c>
    </row>
    <row r="185" spans="1:8">
      <c r="A185" s="11" t="s">
        <v>1613</v>
      </c>
      <c r="B185" s="22"/>
      <c r="C185" s="22">
        <v>1440</v>
      </c>
      <c r="D185" s="22"/>
      <c r="E185" s="22"/>
      <c r="F185" s="22"/>
      <c r="G185" s="22"/>
      <c r="H185" s="22">
        <v>1440</v>
      </c>
    </row>
    <row r="186" spans="1:8">
      <c r="A186" s="11" t="s">
        <v>260</v>
      </c>
      <c r="B186" s="22"/>
      <c r="C186" s="22">
        <v>2000</v>
      </c>
      <c r="D186" s="22"/>
      <c r="E186" s="22"/>
      <c r="F186" s="22"/>
      <c r="G186" s="22"/>
      <c r="H186" s="22">
        <v>2000</v>
      </c>
    </row>
    <row r="187" spans="1:8">
      <c r="A187" s="11" t="s">
        <v>853</v>
      </c>
      <c r="B187" s="22"/>
      <c r="C187" s="22">
        <v>1327.0000000000002</v>
      </c>
      <c r="D187" s="22"/>
      <c r="E187" s="22"/>
      <c r="F187" s="22"/>
      <c r="G187" s="22"/>
      <c r="H187" s="22">
        <v>1327.0000000000002</v>
      </c>
    </row>
    <row r="188" spans="1:8">
      <c r="A188" s="11" t="s">
        <v>714</v>
      </c>
      <c r="B188" s="22"/>
      <c r="C188" s="22">
        <v>420</v>
      </c>
      <c r="D188" s="22"/>
      <c r="E188" s="22"/>
      <c r="F188" s="22"/>
      <c r="G188" s="22"/>
      <c r="H188" s="22">
        <v>420</v>
      </c>
    </row>
    <row r="189" spans="1:8">
      <c r="A189" s="11" t="s">
        <v>455</v>
      </c>
      <c r="B189" s="22"/>
      <c r="C189" s="22">
        <v>1750</v>
      </c>
      <c r="D189" s="22"/>
      <c r="E189" s="22"/>
      <c r="F189" s="22"/>
      <c r="G189" s="22"/>
      <c r="H189" s="22">
        <v>1750</v>
      </c>
    </row>
    <row r="190" spans="1:8">
      <c r="A190" s="11" t="s">
        <v>574</v>
      </c>
      <c r="B190" s="22"/>
      <c r="C190" s="22">
        <v>1639.9999999999998</v>
      </c>
      <c r="D190" s="22"/>
      <c r="E190" s="22"/>
      <c r="F190" s="22"/>
      <c r="G190" s="22"/>
      <c r="H190" s="22">
        <v>1639.9999999999998</v>
      </c>
    </row>
    <row r="191" spans="1:8">
      <c r="A191" s="11" t="s">
        <v>704</v>
      </c>
      <c r="B191" s="22"/>
      <c r="C191" s="22">
        <v>4559.9999999999991</v>
      </c>
      <c r="D191" s="22"/>
      <c r="E191" s="22"/>
      <c r="F191" s="22"/>
      <c r="G191" s="22"/>
      <c r="H191" s="22">
        <v>4559.9999999999991</v>
      </c>
    </row>
    <row r="192" spans="1:8">
      <c r="A192" s="11" t="s">
        <v>21</v>
      </c>
      <c r="B192" s="22"/>
      <c r="C192" s="22">
        <v>2264</v>
      </c>
      <c r="D192" s="22"/>
      <c r="E192" s="22"/>
      <c r="F192" s="22"/>
      <c r="G192" s="22"/>
      <c r="H192" s="22">
        <v>2264</v>
      </c>
    </row>
    <row r="193" spans="1:8">
      <c r="A193" s="11" t="s">
        <v>1034</v>
      </c>
      <c r="B193" s="22"/>
      <c r="C193" s="22">
        <v>3364</v>
      </c>
      <c r="D193" s="22"/>
      <c r="E193" s="22"/>
      <c r="F193" s="22"/>
      <c r="G193" s="22"/>
      <c r="H193" s="22">
        <v>3364</v>
      </c>
    </row>
    <row r="194" spans="1:8">
      <c r="A194" s="11" t="s">
        <v>448</v>
      </c>
      <c r="B194" s="22"/>
      <c r="C194" s="22">
        <v>1080</v>
      </c>
      <c r="D194" s="22"/>
      <c r="E194" s="22"/>
      <c r="F194" s="22"/>
      <c r="G194" s="22"/>
      <c r="H194" s="22">
        <v>1080</v>
      </c>
    </row>
    <row r="195" spans="1:8">
      <c r="A195" s="11" t="s">
        <v>985</v>
      </c>
      <c r="B195" s="22"/>
      <c r="C195" s="22">
        <v>6150</v>
      </c>
      <c r="D195" s="22"/>
      <c r="E195" s="22"/>
      <c r="F195" s="22"/>
      <c r="G195" s="22"/>
      <c r="H195" s="22">
        <v>6150</v>
      </c>
    </row>
    <row r="196" spans="1:8">
      <c r="A196" s="11" t="s">
        <v>504</v>
      </c>
      <c r="B196" s="22"/>
      <c r="C196" s="22">
        <v>500</v>
      </c>
      <c r="D196" s="22"/>
      <c r="E196" s="22"/>
      <c r="F196" s="22"/>
      <c r="G196" s="22"/>
      <c r="H196" s="22">
        <v>500</v>
      </c>
    </row>
    <row r="197" spans="1:8">
      <c r="A197" s="11" t="s">
        <v>1472</v>
      </c>
      <c r="B197" s="22"/>
      <c r="C197" s="22">
        <v>1440</v>
      </c>
      <c r="D197" s="22"/>
      <c r="E197" s="22"/>
      <c r="F197" s="22"/>
      <c r="G197" s="22"/>
      <c r="H197" s="22">
        <v>1440</v>
      </c>
    </row>
    <row r="198" spans="1:8">
      <c r="A198" s="11" t="s">
        <v>543</v>
      </c>
      <c r="B198" s="22"/>
      <c r="C198" s="22">
        <v>4890.0000000000009</v>
      </c>
      <c r="D198" s="22"/>
      <c r="E198" s="22"/>
      <c r="F198" s="22"/>
      <c r="G198" s="22"/>
      <c r="H198" s="22">
        <v>4890.0000000000009</v>
      </c>
    </row>
    <row r="199" spans="1:8">
      <c r="A199" s="11" t="s">
        <v>1362</v>
      </c>
      <c r="B199" s="22"/>
      <c r="C199" s="22">
        <v>4060</v>
      </c>
      <c r="D199" s="22"/>
      <c r="E199" s="22"/>
      <c r="F199" s="22"/>
      <c r="G199" s="22"/>
      <c r="H199" s="22">
        <v>4060</v>
      </c>
    </row>
    <row r="200" spans="1:8">
      <c r="A200" s="11" t="s">
        <v>298</v>
      </c>
      <c r="B200" s="22"/>
      <c r="C200" s="22">
        <v>245</v>
      </c>
      <c r="D200" s="22"/>
      <c r="E200" s="22"/>
      <c r="F200" s="22"/>
      <c r="G200" s="22"/>
      <c r="H200" s="22">
        <v>245</v>
      </c>
    </row>
    <row r="201" spans="1:8">
      <c r="A201" s="11" t="s">
        <v>877</v>
      </c>
      <c r="B201" s="22"/>
      <c r="C201" s="22">
        <v>3480</v>
      </c>
      <c r="D201" s="22"/>
      <c r="E201" s="22"/>
      <c r="F201" s="22"/>
      <c r="G201" s="22"/>
      <c r="H201" s="22">
        <v>3480</v>
      </c>
    </row>
    <row r="202" spans="1:8">
      <c r="A202" s="11" t="s">
        <v>1229</v>
      </c>
      <c r="B202" s="22"/>
      <c r="C202" s="22">
        <v>1225</v>
      </c>
      <c r="D202" s="22"/>
      <c r="E202" s="22"/>
      <c r="F202" s="22"/>
      <c r="G202" s="22"/>
      <c r="H202" s="22">
        <v>1225</v>
      </c>
    </row>
    <row r="203" spans="1:8">
      <c r="A203" s="11" t="s">
        <v>988</v>
      </c>
      <c r="B203" s="22"/>
      <c r="C203" s="22">
        <v>12400</v>
      </c>
      <c r="D203" s="22"/>
      <c r="E203" s="22"/>
      <c r="F203" s="22"/>
      <c r="G203" s="22"/>
      <c r="H203" s="22">
        <v>12400</v>
      </c>
    </row>
    <row r="204" spans="1:8">
      <c r="A204" s="11" t="s">
        <v>1971</v>
      </c>
      <c r="B204" s="22"/>
      <c r="C204" s="22">
        <v>1990</v>
      </c>
      <c r="D204" s="22"/>
      <c r="E204" s="22"/>
      <c r="F204" s="22"/>
      <c r="G204" s="22"/>
      <c r="H204" s="22">
        <v>1990</v>
      </c>
    </row>
    <row r="205" spans="1:8">
      <c r="A205" s="11" t="s">
        <v>1597</v>
      </c>
      <c r="B205" s="22"/>
      <c r="C205" s="22">
        <v>480</v>
      </c>
      <c r="D205" s="22"/>
      <c r="E205" s="22"/>
      <c r="F205" s="22"/>
      <c r="G205" s="22"/>
      <c r="H205" s="22">
        <v>480</v>
      </c>
    </row>
    <row r="206" spans="1:8">
      <c r="A206" s="11" t="s">
        <v>1274</v>
      </c>
      <c r="B206" s="22"/>
      <c r="C206" s="22">
        <v>1840</v>
      </c>
      <c r="D206" s="22"/>
      <c r="E206" s="22"/>
      <c r="F206" s="22"/>
      <c r="G206" s="22"/>
      <c r="H206" s="22">
        <v>1840</v>
      </c>
    </row>
    <row r="207" spans="1:8">
      <c r="A207" s="11" t="s">
        <v>179</v>
      </c>
      <c r="B207" s="22"/>
      <c r="C207" s="22">
        <v>700</v>
      </c>
      <c r="D207" s="22"/>
      <c r="E207" s="22"/>
      <c r="F207" s="22"/>
      <c r="G207" s="22"/>
      <c r="H207" s="22">
        <v>700</v>
      </c>
    </row>
    <row r="208" spans="1:8">
      <c r="A208" s="11" t="s">
        <v>1931</v>
      </c>
      <c r="B208" s="22"/>
      <c r="C208" s="22">
        <v>400</v>
      </c>
      <c r="D208" s="22"/>
      <c r="E208" s="22"/>
      <c r="F208" s="22"/>
      <c r="G208" s="22"/>
      <c r="H208" s="22">
        <v>400</v>
      </c>
    </row>
    <row r="209" spans="1:8">
      <c r="A209" s="11" t="s">
        <v>1919</v>
      </c>
      <c r="B209" s="22"/>
      <c r="C209" s="22">
        <v>825</v>
      </c>
      <c r="D209" s="22"/>
      <c r="E209" s="22"/>
      <c r="F209" s="22"/>
      <c r="G209" s="22"/>
      <c r="H209" s="22">
        <v>825</v>
      </c>
    </row>
    <row r="210" spans="1:8">
      <c r="A210" s="11" t="s">
        <v>111</v>
      </c>
      <c r="B210" s="22"/>
      <c r="C210" s="22">
        <v>500</v>
      </c>
      <c r="D210" s="22"/>
      <c r="E210" s="22"/>
      <c r="F210" s="22"/>
      <c r="G210" s="22"/>
      <c r="H210" s="22">
        <v>500</v>
      </c>
    </row>
    <row r="211" spans="1:8">
      <c r="A211" s="11" t="s">
        <v>509</v>
      </c>
      <c r="B211" s="22"/>
      <c r="C211" s="22">
        <v>189.99999999999997</v>
      </c>
      <c r="D211" s="22"/>
      <c r="E211" s="22"/>
      <c r="F211" s="22"/>
      <c r="G211" s="22"/>
      <c r="H211" s="22">
        <v>189.99999999999997</v>
      </c>
    </row>
    <row r="212" spans="1:8">
      <c r="A212" s="11" t="s">
        <v>234</v>
      </c>
      <c r="B212" s="22"/>
      <c r="C212" s="22">
        <v>1480.0000000000002</v>
      </c>
      <c r="D212" s="22"/>
      <c r="E212" s="22"/>
      <c r="F212" s="22"/>
      <c r="G212" s="22"/>
      <c r="H212" s="22">
        <v>1480.0000000000002</v>
      </c>
    </row>
    <row r="213" spans="1:8">
      <c r="A213" s="11" t="s">
        <v>97</v>
      </c>
      <c r="B213" s="22"/>
      <c r="C213" s="22">
        <v>3740</v>
      </c>
      <c r="D213" s="22"/>
      <c r="E213" s="22"/>
      <c r="F213" s="22"/>
      <c r="G213" s="22"/>
      <c r="H213" s="22">
        <v>3740</v>
      </c>
    </row>
    <row r="214" spans="1:8">
      <c r="A214" s="5" t="s">
        <v>1996</v>
      </c>
      <c r="B214" s="19">
        <v>-2632600.7852882706</v>
      </c>
      <c r="C214" s="19">
        <v>36859803</v>
      </c>
      <c r="D214" s="19">
        <v>-106666.96000000002</v>
      </c>
      <c r="E214" s="19">
        <v>-28635096.816679921</v>
      </c>
      <c r="F214" s="19">
        <v>945882.08</v>
      </c>
      <c r="G214" s="19">
        <v>-5062000</v>
      </c>
      <c r="H214" s="19">
        <v>1369320.5180318095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3"/>
  <sheetViews>
    <sheetView topLeftCell="A25" workbookViewId="0">
      <selection activeCell="C10" sqref="C10"/>
    </sheetView>
  </sheetViews>
  <sheetFormatPr baseColWidth="10" defaultRowHeight="15"/>
  <cols>
    <col min="1" max="1" width="44.140625" customWidth="1"/>
    <col min="2" max="2" width="18.5703125" style="19" customWidth="1"/>
    <col min="4" max="4" width="48" bestFit="1" customWidth="1"/>
    <col min="6" max="6" width="13.140625" bestFit="1" customWidth="1"/>
    <col min="7" max="7" width="30.7109375" bestFit="1" customWidth="1"/>
    <col min="8" max="8" width="14.140625" bestFit="1" customWidth="1"/>
  </cols>
  <sheetData>
    <row r="3" spans="1:8">
      <c r="A3" s="4" t="s">
        <v>1995</v>
      </c>
      <c r="B3" s="19" t="s">
        <v>1997</v>
      </c>
    </row>
    <row r="4" spans="1:8">
      <c r="A4" s="12" t="s">
        <v>53</v>
      </c>
      <c r="B4" s="20">
        <v>-1163037.99</v>
      </c>
      <c r="C4" t="s">
        <v>2006</v>
      </c>
      <c r="F4" s="6" t="s">
        <v>2008</v>
      </c>
      <c r="G4" s="1" t="s">
        <v>1998</v>
      </c>
      <c r="H4" s="27">
        <f>SUM(B41:B212,B9,B10)</f>
        <v>35342055.610000134</v>
      </c>
    </row>
    <row r="5" spans="1:8">
      <c r="A5" s="13" t="s">
        <v>773</v>
      </c>
      <c r="B5" s="21">
        <v>-30049.69</v>
      </c>
      <c r="C5" t="s">
        <v>2006</v>
      </c>
      <c r="D5" s="1" t="s">
        <v>2009</v>
      </c>
      <c r="F5" s="7" t="s">
        <v>2015</v>
      </c>
      <c r="G5" s="1" t="s">
        <v>1999</v>
      </c>
      <c r="H5" s="26">
        <f>SUM(B11,B15:B36,B38:B40)-110400-253900.45</f>
        <v>-31696041.209999997</v>
      </c>
    </row>
    <row r="6" spans="1:8">
      <c r="A6" s="13" t="s">
        <v>1061</v>
      </c>
      <c r="B6" s="21">
        <v>248402.52</v>
      </c>
      <c r="C6" t="s">
        <v>2006</v>
      </c>
      <c r="D6" t="s">
        <v>2005</v>
      </c>
      <c r="F6" s="8"/>
      <c r="G6" s="1" t="s">
        <v>2000</v>
      </c>
    </row>
    <row r="7" spans="1:8">
      <c r="A7" s="13" t="s">
        <v>1385</v>
      </c>
      <c r="B7" s="21">
        <v>698961.08</v>
      </c>
      <c r="C7" t="s">
        <v>2006</v>
      </c>
      <c r="F7" s="9"/>
      <c r="G7" s="1" t="s">
        <v>2001</v>
      </c>
      <c r="H7" s="9">
        <f>+GETPIVOTDATA("TRANSACTION_NET_AMOUNT",$A$3,"TRANSACTION_TYPE","Pago de servicios ARCA")</f>
        <v>-2648396.39</v>
      </c>
    </row>
    <row r="8" spans="1:8">
      <c r="A8" s="13" t="s">
        <v>51</v>
      </c>
      <c r="B8" s="21">
        <v>-106666.95999999999</v>
      </c>
      <c r="C8" t="s">
        <v>2006</v>
      </c>
      <c r="D8" s="1" t="s">
        <v>2007</v>
      </c>
      <c r="F8" s="10"/>
      <c r="G8" s="1" t="s">
        <v>2002</v>
      </c>
    </row>
    <row r="9" spans="1:8">
      <c r="A9" s="11" t="s">
        <v>15</v>
      </c>
      <c r="B9" s="22">
        <v>35129239.52000013</v>
      </c>
      <c r="C9" s="1" t="s">
        <v>2006</v>
      </c>
      <c r="F9" s="17" t="s">
        <v>2015</v>
      </c>
      <c r="G9" s="1" t="s">
        <v>2003</v>
      </c>
    </row>
    <row r="10" spans="1:8">
      <c r="A10" s="11" t="s">
        <v>136</v>
      </c>
      <c r="B10" s="22">
        <v>-161571.91</v>
      </c>
      <c r="C10" s="1" t="s">
        <v>2006</v>
      </c>
      <c r="F10" s="18" t="s">
        <v>2016</v>
      </c>
      <c r="G10" s="1" t="s">
        <v>2004</v>
      </c>
      <c r="H10" s="18"/>
    </row>
    <row r="11" spans="1:8">
      <c r="A11" s="14" t="s">
        <v>484</v>
      </c>
      <c r="B11" s="23">
        <v>-1256978.17</v>
      </c>
      <c r="C11" t="s">
        <v>2006</v>
      </c>
    </row>
    <row r="12" spans="1:8">
      <c r="A12" s="14" t="s">
        <v>469</v>
      </c>
      <c r="B12" s="23">
        <v>-952861.53</v>
      </c>
      <c r="C12" t="s">
        <v>2006</v>
      </c>
      <c r="D12" t="s">
        <v>2025</v>
      </c>
    </row>
    <row r="13" spans="1:8">
      <c r="A13" s="15" t="s">
        <v>478</v>
      </c>
      <c r="B13" s="24">
        <v>-2648396.39</v>
      </c>
      <c r="C13" t="s">
        <v>2006</v>
      </c>
    </row>
    <row r="14" spans="1:8">
      <c r="A14" s="13" t="s">
        <v>475</v>
      </c>
      <c r="B14" s="21">
        <v>-111062.41</v>
      </c>
      <c r="C14" t="s">
        <v>2006</v>
      </c>
      <c r="D14" s="1" t="s">
        <v>2013</v>
      </c>
    </row>
    <row r="15" spans="1:8">
      <c r="A15" s="14" t="s">
        <v>1799</v>
      </c>
      <c r="B15" s="23">
        <v>-1201400</v>
      </c>
      <c r="C15" t="s">
        <v>2006</v>
      </c>
    </row>
    <row r="16" spans="1:8">
      <c r="A16" s="14" t="s">
        <v>471</v>
      </c>
      <c r="B16" s="23">
        <v>-3648174.1999999997</v>
      </c>
      <c r="C16" t="s">
        <v>2006</v>
      </c>
    </row>
    <row r="17" spans="1:4">
      <c r="A17" s="14" t="s">
        <v>1009</v>
      </c>
      <c r="B17" s="23">
        <v>-1062148.75</v>
      </c>
      <c r="C17" t="s">
        <v>2006</v>
      </c>
    </row>
    <row r="18" spans="1:4">
      <c r="A18" s="14" t="s">
        <v>1769</v>
      </c>
      <c r="B18" s="23">
        <v>-195300</v>
      </c>
      <c r="C18" t="s">
        <v>2006</v>
      </c>
    </row>
    <row r="19" spans="1:4">
      <c r="A19" s="14" t="s">
        <v>480</v>
      </c>
      <c r="B19" s="23">
        <v>-291947</v>
      </c>
      <c r="C19" t="s">
        <v>2006</v>
      </c>
    </row>
    <row r="20" spans="1:4">
      <c r="A20" s="16" t="s">
        <v>566</v>
      </c>
      <c r="B20" s="25">
        <v>-5091172</v>
      </c>
      <c r="C20" t="s">
        <v>2006</v>
      </c>
      <c r="D20" s="1" t="s">
        <v>2010</v>
      </c>
    </row>
    <row r="21" spans="1:4">
      <c r="A21" s="14" t="s">
        <v>1453</v>
      </c>
      <c r="B21" s="23">
        <v>-752812.33000000007</v>
      </c>
      <c r="C21" t="s">
        <v>2006</v>
      </c>
    </row>
    <row r="22" spans="1:4">
      <c r="A22" s="14" t="s">
        <v>568</v>
      </c>
      <c r="B22" s="23">
        <v>-1584303.97</v>
      </c>
      <c r="C22" t="s">
        <v>2006</v>
      </c>
    </row>
    <row r="23" spans="1:4">
      <c r="A23" s="14" t="s">
        <v>1388</v>
      </c>
      <c r="B23" s="23">
        <v>-440194.42000000004</v>
      </c>
      <c r="C23" t="s">
        <v>2006</v>
      </c>
    </row>
    <row r="24" spans="1:4">
      <c r="A24" s="14" t="s">
        <v>49</v>
      </c>
      <c r="B24" s="23">
        <v>-827759.91999999993</v>
      </c>
      <c r="C24" t="s">
        <v>2006</v>
      </c>
    </row>
    <row r="25" spans="1:4">
      <c r="A25" s="14" t="s">
        <v>465</v>
      </c>
      <c r="B25" s="23">
        <v>-5055475.9399999995</v>
      </c>
      <c r="C25" t="s">
        <v>2006</v>
      </c>
    </row>
    <row r="26" spans="1:4">
      <c r="A26" s="14" t="s">
        <v>55</v>
      </c>
      <c r="B26" s="23">
        <v>-2186142.8199999998</v>
      </c>
      <c r="C26" t="s">
        <v>2006</v>
      </c>
    </row>
    <row r="27" spans="1:4">
      <c r="A27" s="14" t="s">
        <v>1397</v>
      </c>
      <c r="B27" s="23">
        <v>-575000</v>
      </c>
      <c r="C27" t="s">
        <v>2006</v>
      </c>
    </row>
    <row r="28" spans="1:4">
      <c r="A28" s="14" t="s">
        <v>1949</v>
      </c>
      <c r="B28" s="23">
        <v>-156231.82</v>
      </c>
      <c r="C28" t="s">
        <v>2006</v>
      </c>
    </row>
    <row r="29" spans="1:4">
      <c r="A29" s="14" t="s">
        <v>473</v>
      </c>
      <c r="B29" s="23">
        <v>-1281400.02</v>
      </c>
      <c r="C29" t="s">
        <v>2006</v>
      </c>
    </row>
    <row r="30" spans="1:4">
      <c r="A30" s="14" t="s">
        <v>1761</v>
      </c>
      <c r="B30" s="23">
        <v>-25668</v>
      </c>
      <c r="C30" t="s">
        <v>2006</v>
      </c>
    </row>
    <row r="31" spans="1:4">
      <c r="A31" s="14" t="s">
        <v>557</v>
      </c>
      <c r="B31" s="23">
        <v>-1020468.8999999999</v>
      </c>
      <c r="C31" t="s">
        <v>2006</v>
      </c>
    </row>
    <row r="32" spans="1:4">
      <c r="A32" s="14" t="s">
        <v>570</v>
      </c>
      <c r="B32" s="23">
        <v>-378098</v>
      </c>
      <c r="C32" t="s">
        <v>2006</v>
      </c>
    </row>
    <row r="33" spans="1:4">
      <c r="A33" s="14" t="s">
        <v>1404</v>
      </c>
      <c r="B33" s="23">
        <v>-328257</v>
      </c>
      <c r="C33" t="s">
        <v>2006</v>
      </c>
    </row>
    <row r="34" spans="1:4">
      <c r="A34" s="14" t="s">
        <v>564</v>
      </c>
      <c r="B34" s="23">
        <v>-481536.99</v>
      </c>
      <c r="C34" t="s">
        <v>2006</v>
      </c>
    </row>
    <row r="35" spans="1:4">
      <c r="A35" s="14" t="s">
        <v>1609</v>
      </c>
      <c r="B35" s="23">
        <v>-274853.20999999996</v>
      </c>
      <c r="C35" t="s">
        <v>2006</v>
      </c>
    </row>
    <row r="36" spans="1:4">
      <c r="A36" s="14" t="s">
        <v>482</v>
      </c>
      <c r="B36" s="23">
        <v>-246159.3</v>
      </c>
      <c r="C36" t="s">
        <v>2006</v>
      </c>
    </row>
    <row r="37" spans="1:4">
      <c r="A37" s="28" t="s">
        <v>1059</v>
      </c>
      <c r="B37" s="29">
        <v>-199666.29</v>
      </c>
      <c r="C37" t="s">
        <v>2006</v>
      </c>
      <c r="D37" t="s">
        <v>2014</v>
      </c>
    </row>
    <row r="38" spans="1:4">
      <c r="A38" s="14" t="s">
        <v>1952</v>
      </c>
      <c r="B38" s="23">
        <v>-1167650</v>
      </c>
      <c r="C38" t="s">
        <v>2006</v>
      </c>
    </row>
    <row r="39" spans="1:4">
      <c r="A39" s="14" t="s">
        <v>467</v>
      </c>
      <c r="B39" s="23">
        <v>-1049664</v>
      </c>
      <c r="C39" t="s">
        <v>2006</v>
      </c>
    </row>
    <row r="40" spans="1:4">
      <c r="A40" s="14" t="s">
        <v>187</v>
      </c>
      <c r="B40" s="23">
        <v>-752944</v>
      </c>
      <c r="C40" t="s">
        <v>2006</v>
      </c>
    </row>
    <row r="41" spans="1:4">
      <c r="A41" s="11" t="s">
        <v>625</v>
      </c>
      <c r="B41" s="22">
        <v>910.47</v>
      </c>
      <c r="C41" s="1" t="s">
        <v>2006</v>
      </c>
    </row>
    <row r="42" spans="1:4">
      <c r="A42" s="11" t="s">
        <v>1493</v>
      </c>
      <c r="B42" s="22">
        <v>587.4</v>
      </c>
      <c r="C42" s="1" t="s">
        <v>2006</v>
      </c>
    </row>
    <row r="43" spans="1:4">
      <c r="A43" s="11" t="s">
        <v>1555</v>
      </c>
      <c r="B43" s="22">
        <v>1884.57</v>
      </c>
      <c r="C43" s="1" t="s">
        <v>2006</v>
      </c>
    </row>
    <row r="44" spans="1:4">
      <c r="A44" s="11" t="s">
        <v>914</v>
      </c>
      <c r="B44" s="22">
        <v>4601.3</v>
      </c>
      <c r="C44" s="1" t="s">
        <v>2006</v>
      </c>
    </row>
    <row r="45" spans="1:4">
      <c r="A45" s="11" t="s">
        <v>196</v>
      </c>
      <c r="B45" s="22">
        <v>1953.1</v>
      </c>
      <c r="C45" s="1" t="s">
        <v>2006</v>
      </c>
    </row>
    <row r="46" spans="1:4">
      <c r="A46" s="11" t="s">
        <v>1781</v>
      </c>
      <c r="B46" s="22">
        <v>411.18</v>
      </c>
      <c r="C46" s="1" t="s">
        <v>2006</v>
      </c>
    </row>
    <row r="47" spans="1:4">
      <c r="A47" s="11" t="s">
        <v>1079</v>
      </c>
      <c r="B47" s="22">
        <v>895.78</v>
      </c>
      <c r="C47" s="1" t="s">
        <v>2006</v>
      </c>
    </row>
    <row r="48" spans="1:4">
      <c r="A48" s="11" t="s">
        <v>856</v>
      </c>
      <c r="B48" s="22">
        <v>1209.06</v>
      </c>
      <c r="C48" s="1" t="s">
        <v>2006</v>
      </c>
    </row>
    <row r="49" spans="1:3">
      <c r="A49" s="11" t="s">
        <v>238</v>
      </c>
      <c r="B49" s="22">
        <v>2002.05</v>
      </c>
      <c r="C49" s="1" t="s">
        <v>2006</v>
      </c>
    </row>
    <row r="50" spans="1:3">
      <c r="A50" s="11" t="s">
        <v>1026</v>
      </c>
      <c r="B50" s="22">
        <v>2348.62</v>
      </c>
      <c r="C50" s="1" t="s">
        <v>2006</v>
      </c>
    </row>
    <row r="51" spans="1:3">
      <c r="A51" s="11" t="s">
        <v>654</v>
      </c>
      <c r="B51" s="22">
        <v>469.92</v>
      </c>
      <c r="C51" s="1" t="s">
        <v>2006</v>
      </c>
    </row>
    <row r="52" spans="1:3">
      <c r="A52" s="11" t="s">
        <v>807</v>
      </c>
      <c r="B52" s="22">
        <v>979</v>
      </c>
      <c r="C52" s="1" t="s">
        <v>2006</v>
      </c>
    </row>
    <row r="53" spans="1:3">
      <c r="A53" s="11" t="s">
        <v>919</v>
      </c>
      <c r="B53" s="22">
        <v>3220.91</v>
      </c>
      <c r="C53" s="1" t="s">
        <v>2006</v>
      </c>
    </row>
    <row r="54" spans="1:3">
      <c r="A54" s="11" t="s">
        <v>411</v>
      </c>
      <c r="B54" s="22">
        <v>1414.65</v>
      </c>
      <c r="C54" s="1" t="s">
        <v>2006</v>
      </c>
    </row>
    <row r="55" spans="1:3">
      <c r="A55" s="11" t="s">
        <v>1746</v>
      </c>
      <c r="B55" s="22">
        <v>3681.04</v>
      </c>
      <c r="C55" s="1" t="s">
        <v>2006</v>
      </c>
    </row>
    <row r="56" spans="1:3">
      <c r="A56" s="11" t="s">
        <v>329</v>
      </c>
      <c r="B56" s="22">
        <v>895.78</v>
      </c>
      <c r="C56" s="1" t="s">
        <v>2006</v>
      </c>
    </row>
    <row r="57" spans="1:3">
      <c r="A57" s="11" t="s">
        <v>62</v>
      </c>
      <c r="B57" s="22">
        <v>2099.9499999999998</v>
      </c>
      <c r="C57" s="1" t="s">
        <v>2006</v>
      </c>
    </row>
    <row r="58" spans="1:3">
      <c r="A58" s="11" t="s">
        <v>593</v>
      </c>
      <c r="B58" s="22">
        <v>2711.83</v>
      </c>
      <c r="C58" s="1" t="s">
        <v>2006</v>
      </c>
    </row>
    <row r="59" spans="1:3">
      <c r="A59" s="11" t="s">
        <v>1111</v>
      </c>
      <c r="B59" s="22">
        <v>5878.89</v>
      </c>
      <c r="C59" s="1" t="s">
        <v>2006</v>
      </c>
    </row>
    <row r="60" spans="1:3">
      <c r="A60" s="11" t="s">
        <v>158</v>
      </c>
      <c r="B60" s="22">
        <v>2251.7000000000003</v>
      </c>
      <c r="C60" s="1" t="s">
        <v>2006</v>
      </c>
    </row>
    <row r="61" spans="1:3">
      <c r="A61" s="11" t="s">
        <v>961</v>
      </c>
      <c r="B61" s="22">
        <v>489.5</v>
      </c>
      <c r="C61" s="1" t="s">
        <v>2006</v>
      </c>
    </row>
    <row r="62" spans="1:3">
      <c r="A62" s="11" t="s">
        <v>1955</v>
      </c>
      <c r="B62" s="22">
        <v>469.92</v>
      </c>
      <c r="C62" s="1" t="s">
        <v>2006</v>
      </c>
    </row>
    <row r="63" spans="1:3">
      <c r="A63" s="11" t="s">
        <v>998</v>
      </c>
      <c r="B63" s="22">
        <v>244.75</v>
      </c>
      <c r="C63" s="1" t="s">
        <v>2006</v>
      </c>
    </row>
    <row r="64" spans="1:3">
      <c r="A64" s="11" t="s">
        <v>165</v>
      </c>
      <c r="B64" s="22">
        <v>352.44</v>
      </c>
      <c r="C64" s="1" t="s">
        <v>2006</v>
      </c>
    </row>
    <row r="65" spans="1:3">
      <c r="A65" s="11" t="s">
        <v>1804</v>
      </c>
      <c r="B65" s="22">
        <v>195.8</v>
      </c>
      <c r="C65" s="1" t="s">
        <v>2006</v>
      </c>
    </row>
    <row r="66" spans="1:3">
      <c r="A66" s="11" t="s">
        <v>142</v>
      </c>
      <c r="B66" s="22">
        <v>2927.21</v>
      </c>
      <c r="C66" s="1" t="s">
        <v>2006</v>
      </c>
    </row>
    <row r="67" spans="1:3">
      <c r="A67" s="11" t="s">
        <v>1312</v>
      </c>
      <c r="B67" s="22">
        <v>1674.09</v>
      </c>
      <c r="C67" s="1" t="s">
        <v>2006</v>
      </c>
    </row>
    <row r="68" spans="1:3">
      <c r="A68" s="11" t="s">
        <v>1677</v>
      </c>
      <c r="B68" s="22">
        <v>4067.74</v>
      </c>
      <c r="C68" s="1" t="s">
        <v>2006</v>
      </c>
    </row>
    <row r="69" spans="1:3">
      <c r="A69" s="11" t="s">
        <v>499</v>
      </c>
      <c r="B69" s="22">
        <v>1512.5500000000002</v>
      </c>
      <c r="C69" s="1" t="s">
        <v>2006</v>
      </c>
    </row>
    <row r="70" spans="1:3">
      <c r="A70" s="11" t="s">
        <v>1548</v>
      </c>
      <c r="B70" s="22">
        <v>3162.17</v>
      </c>
      <c r="C70" s="1" t="s">
        <v>2006</v>
      </c>
    </row>
    <row r="71" spans="1:3">
      <c r="A71" s="11" t="s">
        <v>1239</v>
      </c>
      <c r="B71" s="22">
        <v>2388.7600000000002</v>
      </c>
      <c r="C71" s="1" t="s">
        <v>2006</v>
      </c>
    </row>
    <row r="72" spans="1:3">
      <c r="A72" s="11" t="s">
        <v>1644</v>
      </c>
      <c r="B72" s="22">
        <v>2848.89</v>
      </c>
      <c r="C72" s="1" t="s">
        <v>2006</v>
      </c>
    </row>
    <row r="73" spans="1:3">
      <c r="A73" s="11" t="s">
        <v>1542</v>
      </c>
      <c r="B73" s="22">
        <v>440.55</v>
      </c>
      <c r="C73" s="1" t="s">
        <v>2006</v>
      </c>
    </row>
    <row r="74" spans="1:3">
      <c r="A74" s="11" t="s">
        <v>290</v>
      </c>
      <c r="B74" s="22">
        <v>2843.99</v>
      </c>
      <c r="C74" s="1" t="s">
        <v>2006</v>
      </c>
    </row>
    <row r="75" spans="1:3">
      <c r="A75" s="11" t="s">
        <v>1962</v>
      </c>
      <c r="B75" s="22">
        <v>1948.21</v>
      </c>
      <c r="C75" s="1" t="s">
        <v>2006</v>
      </c>
    </row>
    <row r="76" spans="1:3">
      <c r="A76" s="11" t="s">
        <v>373</v>
      </c>
      <c r="B76" s="22">
        <v>2129.3200000000002</v>
      </c>
      <c r="C76" s="1" t="s">
        <v>2006</v>
      </c>
    </row>
    <row r="77" spans="1:3">
      <c r="A77" s="11" t="s">
        <v>841</v>
      </c>
      <c r="B77" s="22">
        <v>1674.09</v>
      </c>
      <c r="C77" s="1" t="s">
        <v>2006</v>
      </c>
    </row>
    <row r="78" spans="1:3">
      <c r="A78" s="11" t="s">
        <v>866</v>
      </c>
      <c r="B78" s="22">
        <v>9016.59</v>
      </c>
      <c r="C78" s="1" t="s">
        <v>2006</v>
      </c>
    </row>
    <row r="79" spans="1:3">
      <c r="A79" s="11" t="s">
        <v>1269</v>
      </c>
      <c r="B79" s="22">
        <v>3171.96</v>
      </c>
      <c r="C79" s="1" t="s">
        <v>2006</v>
      </c>
    </row>
    <row r="80" spans="1:3">
      <c r="A80" s="11" t="s">
        <v>307</v>
      </c>
      <c r="B80" s="22">
        <v>2878.26</v>
      </c>
      <c r="C80" s="1" t="s">
        <v>2006</v>
      </c>
    </row>
    <row r="81" spans="1:3">
      <c r="A81" s="11" t="s">
        <v>532</v>
      </c>
      <c r="B81" s="22">
        <v>1800.38</v>
      </c>
      <c r="C81" s="1" t="s">
        <v>2006</v>
      </c>
    </row>
    <row r="82" spans="1:3">
      <c r="A82" s="11" t="s">
        <v>1301</v>
      </c>
      <c r="B82" s="22">
        <v>949.63</v>
      </c>
      <c r="C82" s="1" t="s">
        <v>2006</v>
      </c>
    </row>
    <row r="83" spans="1:3">
      <c r="A83" s="11" t="s">
        <v>294</v>
      </c>
      <c r="B83" s="22">
        <v>420.97</v>
      </c>
      <c r="C83" s="1" t="s">
        <v>2006</v>
      </c>
    </row>
    <row r="84" spans="1:3">
      <c r="A84" s="11" t="s">
        <v>620</v>
      </c>
      <c r="B84" s="22">
        <v>704.88</v>
      </c>
      <c r="C84" s="1" t="s">
        <v>2006</v>
      </c>
    </row>
    <row r="85" spans="1:3">
      <c r="A85" s="11" t="s">
        <v>1750</v>
      </c>
      <c r="B85" s="22">
        <v>411.18</v>
      </c>
      <c r="C85" s="1" t="s">
        <v>2006</v>
      </c>
    </row>
    <row r="86" spans="1:3">
      <c r="A86" s="11" t="s">
        <v>950</v>
      </c>
      <c r="B86" s="22">
        <v>5492.19</v>
      </c>
      <c r="C86" s="1" t="s">
        <v>2006</v>
      </c>
    </row>
    <row r="87" spans="1:3">
      <c r="A87" s="11" t="s">
        <v>65</v>
      </c>
      <c r="B87" s="22">
        <v>1302.07</v>
      </c>
      <c r="C87" s="1" t="s">
        <v>2006</v>
      </c>
    </row>
    <row r="88" spans="1:3">
      <c r="A88" s="11" t="s">
        <v>1777</v>
      </c>
      <c r="B88" s="22">
        <v>4483.82</v>
      </c>
      <c r="C88" s="1" t="s">
        <v>2006</v>
      </c>
    </row>
    <row r="89" spans="1:3">
      <c r="A89" s="11" t="s">
        <v>224</v>
      </c>
      <c r="B89" s="22">
        <v>3333.49</v>
      </c>
      <c r="C89" s="1" t="s">
        <v>2006</v>
      </c>
    </row>
    <row r="90" spans="1:3">
      <c r="A90" s="11" t="s">
        <v>211</v>
      </c>
      <c r="B90" s="22">
        <v>3377.55</v>
      </c>
      <c r="C90" s="1" t="s">
        <v>2006</v>
      </c>
    </row>
    <row r="91" spans="1:3">
      <c r="A91" s="11" t="s">
        <v>339</v>
      </c>
      <c r="B91" s="22">
        <v>1860.1</v>
      </c>
      <c r="C91" s="1" t="s">
        <v>2006</v>
      </c>
    </row>
    <row r="92" spans="1:3">
      <c r="A92" s="11" t="s">
        <v>801</v>
      </c>
      <c r="B92" s="22">
        <v>205.59</v>
      </c>
      <c r="C92" s="1" t="s">
        <v>2006</v>
      </c>
    </row>
    <row r="93" spans="1:3">
      <c r="A93" s="11" t="s">
        <v>1246</v>
      </c>
      <c r="B93" s="22">
        <v>2839.1</v>
      </c>
      <c r="C93" s="1" t="s">
        <v>2006</v>
      </c>
    </row>
    <row r="94" spans="1:3">
      <c r="A94" s="11" t="s">
        <v>1199</v>
      </c>
      <c r="B94" s="22">
        <v>269.22000000000003</v>
      </c>
      <c r="C94" s="1" t="s">
        <v>2006</v>
      </c>
    </row>
    <row r="95" spans="1:3">
      <c r="A95" s="11" t="s">
        <v>202</v>
      </c>
      <c r="B95" s="22">
        <v>469.92</v>
      </c>
      <c r="C95" s="1" t="s">
        <v>2006</v>
      </c>
    </row>
    <row r="96" spans="1:3">
      <c r="A96" s="11" t="s">
        <v>1814</v>
      </c>
      <c r="B96" s="22">
        <v>1630.03</v>
      </c>
      <c r="C96" s="1" t="s">
        <v>2006</v>
      </c>
    </row>
    <row r="97" spans="1:3">
      <c r="A97" s="11" t="s">
        <v>279</v>
      </c>
      <c r="B97" s="22">
        <v>1879.68</v>
      </c>
      <c r="C97" s="1" t="s">
        <v>2006</v>
      </c>
    </row>
    <row r="98" spans="1:3">
      <c r="A98" s="11" t="s">
        <v>285</v>
      </c>
      <c r="B98" s="22">
        <v>1267.8</v>
      </c>
      <c r="C98" s="1" t="s">
        <v>2006</v>
      </c>
    </row>
    <row r="99" spans="1:3">
      <c r="A99" s="11" t="s">
        <v>689</v>
      </c>
      <c r="B99" s="22">
        <v>2467.08</v>
      </c>
      <c r="C99" s="1" t="s">
        <v>2006</v>
      </c>
    </row>
    <row r="100" spans="1:3">
      <c r="A100" s="11" t="s">
        <v>1858</v>
      </c>
      <c r="B100" s="22">
        <v>195.8</v>
      </c>
      <c r="C100" s="1" t="s">
        <v>2006</v>
      </c>
    </row>
    <row r="101" spans="1:3">
      <c r="A101" s="11" t="s">
        <v>1295</v>
      </c>
      <c r="B101" s="22">
        <v>768.51</v>
      </c>
      <c r="C101" s="1" t="s">
        <v>2006</v>
      </c>
    </row>
    <row r="102" spans="1:3">
      <c r="A102" s="11" t="s">
        <v>1467</v>
      </c>
      <c r="B102" s="22">
        <v>2496.4499999999998</v>
      </c>
      <c r="C102" s="1" t="s">
        <v>2006</v>
      </c>
    </row>
    <row r="103" spans="1:3">
      <c r="A103" s="11" t="s">
        <v>1223</v>
      </c>
      <c r="B103" s="22">
        <v>1478.29</v>
      </c>
      <c r="C103" s="1" t="s">
        <v>2006</v>
      </c>
    </row>
    <row r="104" spans="1:3">
      <c r="A104" s="11" t="s">
        <v>862</v>
      </c>
      <c r="B104" s="22">
        <v>5139.75</v>
      </c>
      <c r="C104" s="1" t="s">
        <v>2006</v>
      </c>
    </row>
    <row r="105" spans="1:3">
      <c r="A105" s="11" t="s">
        <v>1938</v>
      </c>
      <c r="B105" s="22">
        <v>616.77</v>
      </c>
      <c r="C105" s="1" t="s">
        <v>2006</v>
      </c>
    </row>
    <row r="106" spans="1:3">
      <c r="A106" s="11" t="s">
        <v>1243</v>
      </c>
      <c r="B106" s="22">
        <v>1566.4</v>
      </c>
      <c r="C106" s="1" t="s">
        <v>2006</v>
      </c>
    </row>
    <row r="107" spans="1:3">
      <c r="A107" s="11" t="s">
        <v>75</v>
      </c>
      <c r="B107" s="22">
        <v>1483.18</v>
      </c>
      <c r="C107" s="1" t="s">
        <v>2006</v>
      </c>
    </row>
    <row r="108" spans="1:3">
      <c r="A108" s="11" t="s">
        <v>1084</v>
      </c>
      <c r="B108" s="22">
        <v>469.92</v>
      </c>
      <c r="C108" s="1" t="s">
        <v>2006</v>
      </c>
    </row>
    <row r="109" spans="1:3">
      <c r="A109" s="11" t="s">
        <v>1732</v>
      </c>
      <c r="B109" s="22">
        <v>1962.89</v>
      </c>
      <c r="C109" s="1" t="s">
        <v>2006</v>
      </c>
    </row>
    <row r="110" spans="1:3">
      <c r="A110" s="11" t="s">
        <v>1432</v>
      </c>
      <c r="B110" s="22">
        <v>1173.82</v>
      </c>
      <c r="C110" s="1" t="s">
        <v>2006</v>
      </c>
    </row>
    <row r="111" spans="1:3">
      <c r="A111" s="11" t="s">
        <v>529</v>
      </c>
      <c r="B111" s="22">
        <v>3640.9</v>
      </c>
      <c r="C111" s="1" t="s">
        <v>2006</v>
      </c>
    </row>
    <row r="112" spans="1:3">
      <c r="A112" s="11" t="s">
        <v>629</v>
      </c>
      <c r="B112" s="22">
        <v>1409.76</v>
      </c>
      <c r="C112" s="1" t="s">
        <v>2006</v>
      </c>
    </row>
    <row r="113" spans="1:3">
      <c r="A113" s="11" t="s">
        <v>192</v>
      </c>
      <c r="B113" s="22">
        <v>7229.91</v>
      </c>
      <c r="C113" s="1" t="s">
        <v>2006</v>
      </c>
    </row>
    <row r="114" spans="1:3">
      <c r="A114" s="11" t="s">
        <v>794</v>
      </c>
      <c r="B114" s="22">
        <v>6480.98</v>
      </c>
      <c r="C114" s="1" t="s">
        <v>2006</v>
      </c>
    </row>
    <row r="115" spans="1:3">
      <c r="A115" s="11" t="s">
        <v>1719</v>
      </c>
      <c r="B115" s="22">
        <v>1806.25</v>
      </c>
      <c r="C115" s="1" t="s">
        <v>2006</v>
      </c>
    </row>
    <row r="116" spans="1:3">
      <c r="A116" s="11" t="s">
        <v>538</v>
      </c>
      <c r="B116" s="22">
        <v>2795.04</v>
      </c>
      <c r="C116" s="1" t="s">
        <v>2006</v>
      </c>
    </row>
    <row r="117" spans="1:3">
      <c r="A117" s="11" t="s">
        <v>134</v>
      </c>
      <c r="B117" s="22">
        <v>587.4</v>
      </c>
      <c r="C117" s="1" t="s">
        <v>2006</v>
      </c>
    </row>
    <row r="118" spans="1:3">
      <c r="A118" s="11" t="s">
        <v>1437</v>
      </c>
      <c r="B118" s="22">
        <v>386.7</v>
      </c>
      <c r="C118" s="1" t="s">
        <v>2006</v>
      </c>
    </row>
    <row r="119" spans="1:3">
      <c r="A119" s="11" t="s">
        <v>1181</v>
      </c>
      <c r="B119" s="22">
        <v>469.92</v>
      </c>
      <c r="C119" s="1" t="s">
        <v>2006</v>
      </c>
    </row>
    <row r="120" spans="1:3">
      <c r="A120" s="11" t="s">
        <v>1176</v>
      </c>
      <c r="B120" s="22">
        <v>587.4</v>
      </c>
      <c r="C120" s="1" t="s">
        <v>2006</v>
      </c>
    </row>
    <row r="121" spans="1:3">
      <c r="A121" s="11" t="s">
        <v>1412</v>
      </c>
      <c r="B121" s="22">
        <v>469.92</v>
      </c>
      <c r="C121" s="1" t="s">
        <v>2006</v>
      </c>
    </row>
    <row r="122" spans="1:3">
      <c r="A122" s="11" t="s">
        <v>1037</v>
      </c>
      <c r="B122" s="22">
        <v>2710.85</v>
      </c>
      <c r="C122" s="1" t="s">
        <v>2006</v>
      </c>
    </row>
    <row r="123" spans="1:3">
      <c r="A123" s="11" t="s">
        <v>1829</v>
      </c>
      <c r="B123" s="22">
        <v>469.92</v>
      </c>
      <c r="C123" s="1" t="s">
        <v>2006</v>
      </c>
    </row>
    <row r="124" spans="1:3">
      <c r="A124" s="11" t="s">
        <v>598</v>
      </c>
      <c r="B124" s="22">
        <v>4141.17</v>
      </c>
      <c r="C124" s="1" t="s">
        <v>2006</v>
      </c>
    </row>
    <row r="125" spans="1:3">
      <c r="A125" s="11" t="s">
        <v>1347</v>
      </c>
      <c r="B125" s="22">
        <v>533.54999999999995</v>
      </c>
      <c r="C125" s="1" t="s">
        <v>2006</v>
      </c>
    </row>
    <row r="126" spans="1:3">
      <c r="A126" s="11" t="s">
        <v>1340</v>
      </c>
      <c r="B126" s="22">
        <v>1003.47</v>
      </c>
      <c r="C126" s="1" t="s">
        <v>2006</v>
      </c>
    </row>
    <row r="127" spans="1:3">
      <c r="A127" s="11" t="s">
        <v>1513</v>
      </c>
      <c r="B127" s="22">
        <v>1879.68</v>
      </c>
      <c r="C127" s="1" t="s">
        <v>2006</v>
      </c>
    </row>
    <row r="128" spans="1:3">
      <c r="A128" s="11" t="s">
        <v>320</v>
      </c>
      <c r="B128" s="22">
        <v>9966.2199999999993</v>
      </c>
      <c r="C128" s="1" t="s">
        <v>2006</v>
      </c>
    </row>
    <row r="129" spans="1:3">
      <c r="A129" s="11" t="s">
        <v>1263</v>
      </c>
      <c r="B129" s="22">
        <v>3230.7</v>
      </c>
      <c r="C129" s="1" t="s">
        <v>2006</v>
      </c>
    </row>
    <row r="130" spans="1:3">
      <c r="A130" s="11" t="s">
        <v>1651</v>
      </c>
      <c r="B130" s="22">
        <v>217.34</v>
      </c>
      <c r="C130" s="1" t="s">
        <v>2006</v>
      </c>
    </row>
    <row r="131" spans="1:3">
      <c r="A131" s="11" t="s">
        <v>438</v>
      </c>
      <c r="B131" s="22">
        <v>2525.8200000000002</v>
      </c>
      <c r="C131" s="1" t="s">
        <v>2006</v>
      </c>
    </row>
    <row r="132" spans="1:3">
      <c r="A132" s="11" t="s">
        <v>390</v>
      </c>
      <c r="B132" s="22">
        <v>861.52</v>
      </c>
      <c r="C132" s="1" t="s">
        <v>2006</v>
      </c>
    </row>
    <row r="133" spans="1:3">
      <c r="A133" s="11" t="s">
        <v>1915</v>
      </c>
      <c r="B133" s="22">
        <v>2555.19</v>
      </c>
      <c r="C133" s="1" t="s">
        <v>2006</v>
      </c>
    </row>
    <row r="134" spans="1:3">
      <c r="A134" s="11" t="s">
        <v>151</v>
      </c>
      <c r="B134" s="22">
        <v>3460.76</v>
      </c>
      <c r="C134" s="1" t="s">
        <v>2006</v>
      </c>
    </row>
    <row r="135" spans="1:3">
      <c r="A135" s="11" t="s">
        <v>1445</v>
      </c>
      <c r="B135" s="22">
        <v>234.96</v>
      </c>
      <c r="C135" s="1" t="s">
        <v>2006</v>
      </c>
    </row>
    <row r="136" spans="1:3">
      <c r="A136" s="11" t="s">
        <v>1108</v>
      </c>
      <c r="B136" s="22">
        <v>1209.06</v>
      </c>
      <c r="C136" s="1" t="s">
        <v>2006</v>
      </c>
    </row>
    <row r="137" spans="1:3">
      <c r="A137" s="11" t="s">
        <v>378</v>
      </c>
      <c r="B137" s="22">
        <v>5687.99</v>
      </c>
      <c r="C137" s="1" t="s">
        <v>2006</v>
      </c>
    </row>
    <row r="138" spans="1:3">
      <c r="A138" s="11" t="s">
        <v>367</v>
      </c>
      <c r="B138" s="22">
        <v>244.75</v>
      </c>
      <c r="C138" s="1" t="s">
        <v>2006</v>
      </c>
    </row>
    <row r="139" spans="1:3">
      <c r="A139" s="11" t="s">
        <v>398</v>
      </c>
      <c r="B139" s="22">
        <v>4821.57</v>
      </c>
      <c r="C139" s="1" t="s">
        <v>2006</v>
      </c>
    </row>
    <row r="140" spans="1:3">
      <c r="A140" s="11" t="s">
        <v>495</v>
      </c>
      <c r="B140" s="22">
        <v>146.85</v>
      </c>
      <c r="C140" s="1" t="s">
        <v>2006</v>
      </c>
    </row>
    <row r="141" spans="1:3">
      <c r="A141" s="11" t="s">
        <v>1486</v>
      </c>
      <c r="B141" s="22">
        <v>1194.3800000000001</v>
      </c>
      <c r="C141" s="1" t="s">
        <v>2006</v>
      </c>
    </row>
    <row r="142" spans="1:3">
      <c r="A142" s="11" t="s">
        <v>1697</v>
      </c>
      <c r="B142" s="22">
        <v>4826.47</v>
      </c>
      <c r="C142" s="1" t="s">
        <v>2006</v>
      </c>
    </row>
    <row r="143" spans="1:3">
      <c r="A143" s="11" t="s">
        <v>1382</v>
      </c>
      <c r="B143" s="22">
        <v>1801.36</v>
      </c>
      <c r="C143" s="1" t="s">
        <v>2006</v>
      </c>
    </row>
    <row r="144" spans="1:3">
      <c r="A144" s="11" t="s">
        <v>723</v>
      </c>
      <c r="B144" s="22">
        <v>210.48</v>
      </c>
      <c r="C144" s="1" t="s">
        <v>2006</v>
      </c>
    </row>
    <row r="145" spans="1:3">
      <c r="A145" s="11" t="s">
        <v>1043</v>
      </c>
      <c r="B145" s="22">
        <v>1173.82</v>
      </c>
      <c r="C145" s="1" t="s">
        <v>2006</v>
      </c>
    </row>
    <row r="146" spans="1:3">
      <c r="A146" s="11" t="s">
        <v>1124</v>
      </c>
      <c r="B146" s="22">
        <v>2369.1799999999998</v>
      </c>
      <c r="C146" s="1" t="s">
        <v>2006</v>
      </c>
    </row>
    <row r="147" spans="1:3">
      <c r="A147" s="11" t="s">
        <v>658</v>
      </c>
      <c r="B147" s="22">
        <v>5271.91</v>
      </c>
      <c r="C147" s="1" t="s">
        <v>2006</v>
      </c>
    </row>
    <row r="148" spans="1:3">
      <c r="A148" s="11" t="s">
        <v>1003</v>
      </c>
      <c r="B148" s="22">
        <v>910.47</v>
      </c>
      <c r="C148" s="1" t="s">
        <v>2006</v>
      </c>
    </row>
    <row r="149" spans="1:3">
      <c r="A149" s="11" t="s">
        <v>1422</v>
      </c>
      <c r="B149" s="22">
        <v>460.13</v>
      </c>
      <c r="C149" s="1" t="s">
        <v>2006</v>
      </c>
    </row>
    <row r="150" spans="1:3">
      <c r="A150" s="11" t="s">
        <v>1908</v>
      </c>
      <c r="B150" s="22">
        <v>582.5</v>
      </c>
      <c r="C150" s="1" t="s">
        <v>2006</v>
      </c>
    </row>
    <row r="151" spans="1:3">
      <c r="A151" s="11" t="s">
        <v>333</v>
      </c>
      <c r="B151" s="22">
        <v>1678.98</v>
      </c>
      <c r="C151" s="1" t="s">
        <v>2006</v>
      </c>
    </row>
    <row r="152" spans="1:3">
      <c r="A152" s="11" t="s">
        <v>1194</v>
      </c>
      <c r="B152" s="22">
        <v>1277.5899999999999</v>
      </c>
      <c r="C152" s="1" t="s">
        <v>2006</v>
      </c>
    </row>
    <row r="153" spans="1:3">
      <c r="A153" s="11" t="s">
        <v>908</v>
      </c>
      <c r="B153" s="22">
        <v>4699.2</v>
      </c>
      <c r="C153" s="1" t="s">
        <v>2006</v>
      </c>
    </row>
    <row r="154" spans="1:3">
      <c r="A154" s="11" t="s">
        <v>1047</v>
      </c>
      <c r="B154" s="22">
        <v>8708.2000000000007</v>
      </c>
      <c r="C154" s="1" t="s">
        <v>2006</v>
      </c>
    </row>
    <row r="155" spans="1:3">
      <c r="A155" s="11" t="s">
        <v>699</v>
      </c>
      <c r="B155" s="22">
        <v>450.34</v>
      </c>
      <c r="C155" s="1" t="s">
        <v>2006</v>
      </c>
    </row>
    <row r="156" spans="1:3">
      <c r="A156" s="11" t="s">
        <v>1188</v>
      </c>
      <c r="B156" s="22">
        <v>234.96</v>
      </c>
      <c r="C156" s="1" t="s">
        <v>2006</v>
      </c>
    </row>
    <row r="157" spans="1:3">
      <c r="A157" s="11" t="s">
        <v>44</v>
      </c>
      <c r="B157" s="22">
        <v>11810.66</v>
      </c>
      <c r="C157" s="1" t="s">
        <v>2006</v>
      </c>
    </row>
    <row r="158" spans="1:3">
      <c r="A158" s="11" t="s">
        <v>415</v>
      </c>
      <c r="B158" s="22">
        <v>1370.6</v>
      </c>
      <c r="C158" s="1" t="s">
        <v>2006</v>
      </c>
    </row>
    <row r="159" spans="1:3">
      <c r="A159" s="11" t="s">
        <v>1328</v>
      </c>
      <c r="B159" s="22">
        <v>1027.95</v>
      </c>
      <c r="C159" s="1" t="s">
        <v>2006</v>
      </c>
    </row>
    <row r="160" spans="1:3">
      <c r="A160" s="11" t="s">
        <v>838</v>
      </c>
      <c r="B160" s="22">
        <v>11894.85</v>
      </c>
      <c r="C160" s="1" t="s">
        <v>2006</v>
      </c>
    </row>
    <row r="161" spans="1:3">
      <c r="A161" s="11" t="s">
        <v>216</v>
      </c>
      <c r="B161" s="22">
        <v>2163.59</v>
      </c>
      <c r="C161" s="1" t="s">
        <v>2006</v>
      </c>
    </row>
    <row r="162" spans="1:3">
      <c r="A162" s="11" t="s">
        <v>546</v>
      </c>
      <c r="B162" s="22">
        <v>3915.02</v>
      </c>
      <c r="C162" s="1" t="s">
        <v>2006</v>
      </c>
    </row>
    <row r="163" spans="1:3">
      <c r="A163" s="11" t="s">
        <v>1927</v>
      </c>
      <c r="B163" s="22">
        <v>430.76</v>
      </c>
      <c r="C163" s="1" t="s">
        <v>2006</v>
      </c>
    </row>
    <row r="164" spans="1:3">
      <c r="A164" s="11" t="s">
        <v>680</v>
      </c>
      <c r="B164" s="22">
        <v>1174.8</v>
      </c>
      <c r="C164" s="1" t="s">
        <v>2006</v>
      </c>
    </row>
    <row r="165" spans="1:3">
      <c r="A165" s="11" t="s">
        <v>516</v>
      </c>
      <c r="B165" s="22">
        <v>1370.6</v>
      </c>
      <c r="C165" s="1" t="s">
        <v>2006</v>
      </c>
    </row>
    <row r="166" spans="1:3">
      <c r="A166" s="11" t="s">
        <v>1440</v>
      </c>
      <c r="B166" s="22">
        <v>195.8</v>
      </c>
      <c r="C166" s="1" t="s">
        <v>2006</v>
      </c>
    </row>
    <row r="167" spans="1:3">
      <c r="A167" s="11" t="s">
        <v>935</v>
      </c>
      <c r="B167" s="22">
        <v>1262.9100000000001</v>
      </c>
      <c r="C167" s="1" t="s">
        <v>2006</v>
      </c>
    </row>
    <row r="168" spans="1:3">
      <c r="A168" s="11" t="s">
        <v>1352</v>
      </c>
      <c r="B168" s="22">
        <v>234.96</v>
      </c>
      <c r="C168" s="1" t="s">
        <v>2006</v>
      </c>
    </row>
    <row r="169" spans="1:3">
      <c r="A169" s="11" t="s">
        <v>850</v>
      </c>
      <c r="B169" s="22">
        <v>1409.76</v>
      </c>
      <c r="C169" s="1" t="s">
        <v>2006</v>
      </c>
    </row>
    <row r="170" spans="1:3">
      <c r="A170" s="11" t="s">
        <v>663</v>
      </c>
      <c r="B170" s="22">
        <v>234.96</v>
      </c>
      <c r="C170" s="1" t="s">
        <v>2006</v>
      </c>
    </row>
    <row r="171" spans="1:3">
      <c r="A171" s="11" t="s">
        <v>1864</v>
      </c>
      <c r="B171" s="22">
        <v>1042.6300000000001</v>
      </c>
      <c r="C171" s="1" t="s">
        <v>2006</v>
      </c>
    </row>
    <row r="172" spans="1:3">
      <c r="A172" s="11" t="s">
        <v>174</v>
      </c>
      <c r="B172" s="22">
        <v>704.88</v>
      </c>
      <c r="C172" s="1" t="s">
        <v>2006</v>
      </c>
    </row>
    <row r="173" spans="1:3">
      <c r="A173" s="11" t="s">
        <v>930</v>
      </c>
      <c r="B173" s="22">
        <v>411.18</v>
      </c>
      <c r="C173" s="1" t="s">
        <v>2006</v>
      </c>
    </row>
    <row r="174" spans="1:3">
      <c r="A174" s="11" t="s">
        <v>887</v>
      </c>
      <c r="B174" s="22">
        <v>2095.06</v>
      </c>
      <c r="C174" s="1" t="s">
        <v>2006</v>
      </c>
    </row>
    <row r="175" spans="1:3">
      <c r="A175" s="11" t="s">
        <v>27</v>
      </c>
      <c r="B175" s="22">
        <v>4919.4699999999993</v>
      </c>
      <c r="C175" s="1" t="s">
        <v>2006</v>
      </c>
    </row>
    <row r="176" spans="1:3">
      <c r="A176" s="11" t="s">
        <v>874</v>
      </c>
      <c r="B176" s="22">
        <v>244.75</v>
      </c>
      <c r="C176" s="1" t="s">
        <v>2006</v>
      </c>
    </row>
    <row r="177" spans="1:3">
      <c r="A177" s="11" t="s">
        <v>393</v>
      </c>
      <c r="B177" s="22">
        <v>2095.06</v>
      </c>
      <c r="C177" s="1" t="s">
        <v>2006</v>
      </c>
    </row>
    <row r="178" spans="1:3">
      <c r="A178" s="11" t="s">
        <v>30</v>
      </c>
      <c r="B178" s="22">
        <v>636.35</v>
      </c>
      <c r="C178" s="1" t="s">
        <v>2006</v>
      </c>
    </row>
    <row r="179" spans="1:3">
      <c r="A179" s="11" t="s">
        <v>780</v>
      </c>
      <c r="B179" s="22">
        <v>1997.16</v>
      </c>
      <c r="C179" s="1" t="s">
        <v>2006</v>
      </c>
    </row>
    <row r="180" spans="1:3">
      <c r="A180" s="11" t="s">
        <v>71</v>
      </c>
      <c r="B180" s="22">
        <v>1894.36</v>
      </c>
      <c r="C180" s="1" t="s">
        <v>2006</v>
      </c>
    </row>
    <row r="181" spans="1:3">
      <c r="A181" s="11" t="s">
        <v>382</v>
      </c>
      <c r="B181" s="22">
        <v>4190.12</v>
      </c>
      <c r="C181" s="1" t="s">
        <v>2006</v>
      </c>
    </row>
    <row r="182" spans="1:3">
      <c r="A182" s="11" t="s">
        <v>1680</v>
      </c>
      <c r="B182" s="22">
        <v>2016.74</v>
      </c>
      <c r="C182" s="1" t="s">
        <v>2006</v>
      </c>
    </row>
    <row r="183" spans="1:3">
      <c r="A183" s="11" t="s">
        <v>245</v>
      </c>
      <c r="B183" s="22">
        <v>3681.04</v>
      </c>
      <c r="C183" s="1" t="s">
        <v>2006</v>
      </c>
    </row>
    <row r="184" spans="1:3">
      <c r="A184" s="11" t="s">
        <v>1613</v>
      </c>
      <c r="B184" s="22">
        <v>1409.76</v>
      </c>
      <c r="C184" s="1" t="s">
        <v>2006</v>
      </c>
    </row>
    <row r="185" spans="1:3">
      <c r="A185" s="11" t="s">
        <v>260</v>
      </c>
      <c r="B185" s="22">
        <v>1958</v>
      </c>
      <c r="C185" s="1" t="s">
        <v>2006</v>
      </c>
    </row>
    <row r="186" spans="1:3">
      <c r="A186" s="11" t="s">
        <v>853</v>
      </c>
      <c r="B186" s="22">
        <v>1299.1300000000001</v>
      </c>
      <c r="C186" s="1" t="s">
        <v>2006</v>
      </c>
    </row>
    <row r="187" spans="1:3">
      <c r="A187" s="11" t="s">
        <v>714</v>
      </c>
      <c r="B187" s="22">
        <v>411.18</v>
      </c>
      <c r="C187" s="1" t="s">
        <v>2006</v>
      </c>
    </row>
    <row r="188" spans="1:3">
      <c r="A188" s="11" t="s">
        <v>455</v>
      </c>
      <c r="B188" s="22">
        <v>1713.25</v>
      </c>
      <c r="C188" s="1" t="s">
        <v>2006</v>
      </c>
    </row>
    <row r="189" spans="1:3">
      <c r="A189" s="11" t="s">
        <v>574</v>
      </c>
      <c r="B189" s="22">
        <v>1605.56</v>
      </c>
      <c r="C189" s="1" t="s">
        <v>2006</v>
      </c>
    </row>
    <row r="190" spans="1:3">
      <c r="A190" s="11" t="s">
        <v>704</v>
      </c>
      <c r="B190" s="22">
        <v>4464.24</v>
      </c>
      <c r="C190" s="1" t="s">
        <v>2006</v>
      </c>
    </row>
    <row r="191" spans="1:3">
      <c r="A191" s="11" t="s">
        <v>21</v>
      </c>
      <c r="B191" s="22">
        <v>2216.46</v>
      </c>
      <c r="C191" s="1" t="s">
        <v>2006</v>
      </c>
    </row>
    <row r="192" spans="1:3">
      <c r="A192" s="11" t="s">
        <v>1034</v>
      </c>
      <c r="B192" s="22">
        <v>3293.36</v>
      </c>
      <c r="C192" s="1" t="s">
        <v>2006</v>
      </c>
    </row>
    <row r="193" spans="1:3">
      <c r="A193" s="11" t="s">
        <v>448</v>
      </c>
      <c r="B193" s="22">
        <v>1057.32</v>
      </c>
      <c r="C193" s="1" t="s">
        <v>2006</v>
      </c>
    </row>
    <row r="194" spans="1:3">
      <c r="A194" s="11" t="s">
        <v>985</v>
      </c>
      <c r="B194" s="22">
        <v>6020.85</v>
      </c>
      <c r="C194" s="1" t="s">
        <v>2006</v>
      </c>
    </row>
    <row r="195" spans="1:3">
      <c r="A195" s="11" t="s">
        <v>504</v>
      </c>
      <c r="B195" s="22">
        <v>489.5</v>
      </c>
      <c r="C195" s="1" t="s">
        <v>2006</v>
      </c>
    </row>
    <row r="196" spans="1:3">
      <c r="A196" s="11" t="s">
        <v>1472</v>
      </c>
      <c r="B196" s="22">
        <v>1409.76</v>
      </c>
      <c r="C196" s="1" t="s">
        <v>2006</v>
      </c>
    </row>
    <row r="197" spans="1:3">
      <c r="A197" s="11" t="s">
        <v>543</v>
      </c>
      <c r="B197" s="22">
        <v>4787.3100000000004</v>
      </c>
      <c r="C197" s="1" t="s">
        <v>2006</v>
      </c>
    </row>
    <row r="198" spans="1:3">
      <c r="A198" s="11" t="s">
        <v>1362</v>
      </c>
      <c r="B198" s="22">
        <v>3974.74</v>
      </c>
      <c r="C198" s="1" t="s">
        <v>2006</v>
      </c>
    </row>
    <row r="199" spans="1:3">
      <c r="A199" s="11" t="s">
        <v>298</v>
      </c>
      <c r="B199" s="22">
        <v>239.85</v>
      </c>
      <c r="C199" s="1" t="s">
        <v>2006</v>
      </c>
    </row>
    <row r="200" spans="1:3">
      <c r="A200" s="11" t="s">
        <v>877</v>
      </c>
      <c r="B200" s="22">
        <v>3406.92</v>
      </c>
      <c r="C200" s="1" t="s">
        <v>2006</v>
      </c>
    </row>
    <row r="201" spans="1:3">
      <c r="A201" s="11" t="s">
        <v>1229</v>
      </c>
      <c r="B201" s="22">
        <v>1199.27</v>
      </c>
      <c r="C201" s="1" t="s">
        <v>2006</v>
      </c>
    </row>
    <row r="202" spans="1:3">
      <c r="A202" s="11" t="s">
        <v>988</v>
      </c>
      <c r="B202" s="22">
        <v>12139.6</v>
      </c>
      <c r="C202" s="1" t="s">
        <v>2006</v>
      </c>
    </row>
    <row r="203" spans="1:3">
      <c r="A203" s="11" t="s">
        <v>1971</v>
      </c>
      <c r="B203" s="22">
        <v>1948.21</v>
      </c>
      <c r="C203" s="1" t="s">
        <v>2006</v>
      </c>
    </row>
    <row r="204" spans="1:3">
      <c r="A204" s="11" t="s">
        <v>1597</v>
      </c>
      <c r="B204" s="22">
        <v>469.92</v>
      </c>
      <c r="C204" s="1" t="s">
        <v>2006</v>
      </c>
    </row>
    <row r="205" spans="1:3">
      <c r="A205" s="11" t="s">
        <v>1274</v>
      </c>
      <c r="B205" s="22">
        <v>1801.3600000000001</v>
      </c>
      <c r="C205" s="1" t="s">
        <v>2006</v>
      </c>
    </row>
    <row r="206" spans="1:3">
      <c r="A206" s="11" t="s">
        <v>179</v>
      </c>
      <c r="B206" s="22">
        <v>685.3</v>
      </c>
      <c r="C206" s="1" t="s">
        <v>2006</v>
      </c>
    </row>
    <row r="207" spans="1:3">
      <c r="A207" s="11" t="s">
        <v>1931</v>
      </c>
      <c r="B207" s="22">
        <v>391.6</v>
      </c>
      <c r="C207" s="1" t="s">
        <v>2006</v>
      </c>
    </row>
    <row r="208" spans="1:3">
      <c r="A208" s="11" t="s">
        <v>1919</v>
      </c>
      <c r="B208" s="22">
        <v>807.67</v>
      </c>
      <c r="C208" s="1" t="s">
        <v>2006</v>
      </c>
    </row>
    <row r="209" spans="1:3">
      <c r="A209" s="11" t="s">
        <v>111</v>
      </c>
      <c r="B209" s="22">
        <v>489.5</v>
      </c>
      <c r="C209" s="1" t="s">
        <v>2006</v>
      </c>
    </row>
    <row r="210" spans="1:3">
      <c r="A210" s="11" t="s">
        <v>509</v>
      </c>
      <c r="B210" s="22">
        <v>186.01</v>
      </c>
      <c r="C210" s="1" t="s">
        <v>2006</v>
      </c>
    </row>
    <row r="211" spans="1:3">
      <c r="A211" s="11" t="s">
        <v>234</v>
      </c>
      <c r="B211" s="22">
        <v>1448.92</v>
      </c>
      <c r="C211" s="1" t="s">
        <v>2006</v>
      </c>
    </row>
    <row r="212" spans="1:3">
      <c r="A212" s="11" t="s">
        <v>97</v>
      </c>
      <c r="B212" s="22">
        <v>3661.46</v>
      </c>
      <c r="C212" s="1" t="s">
        <v>2006</v>
      </c>
    </row>
    <row r="213" spans="1:3">
      <c r="A213" s="5" t="s">
        <v>1996</v>
      </c>
      <c r="B213" s="19">
        <v>-254062.80999986769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23"/>
  <sheetViews>
    <sheetView topLeftCell="A193" zoomScale="85" zoomScaleNormal="85" workbookViewId="0">
      <selection activeCell="B1496" sqref="B1496"/>
    </sheetView>
  </sheetViews>
  <sheetFormatPr baseColWidth="10" defaultColWidth="9.140625" defaultRowHeight="15"/>
  <cols>
    <col min="1" max="1" width="32.7109375" style="1" customWidth="1"/>
    <col min="2" max="2" width="23" style="1" customWidth="1"/>
    <col min="3" max="3" width="14.42578125" style="1" bestFit="1" customWidth="1"/>
    <col min="4" max="4" width="23.42578125" style="1" bestFit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9" t="s">
        <v>2339</v>
      </c>
      <c r="B1" s="100"/>
      <c r="C1" s="100"/>
      <c r="D1" s="100"/>
      <c r="E1" s="100"/>
      <c r="F1" s="100"/>
      <c r="G1" s="100"/>
      <c r="H1" s="100"/>
    </row>
    <row r="2" spans="1:8">
      <c r="A2" s="37"/>
      <c r="B2" s="38"/>
    </row>
    <row r="3" spans="1:8">
      <c r="A3" s="37" t="s">
        <v>2027</v>
      </c>
      <c r="B3" s="38" t="s">
        <v>2028</v>
      </c>
    </row>
    <row r="4" spans="1:8">
      <c r="A4" s="37" t="s">
        <v>2029</v>
      </c>
      <c r="B4" s="38" t="s">
        <v>2340</v>
      </c>
    </row>
    <row r="5" spans="1:8">
      <c r="A5" s="37" t="s">
        <v>2031</v>
      </c>
      <c r="B5" s="38" t="s">
        <v>2032</v>
      </c>
    </row>
    <row r="6" spans="1:8">
      <c r="A6" s="37" t="s">
        <v>2033</v>
      </c>
      <c r="B6" s="38" t="s">
        <v>2034</v>
      </c>
    </row>
    <row r="8" spans="1:8">
      <c r="A8" s="39" t="s">
        <v>2035</v>
      </c>
      <c r="B8" s="46" t="s">
        <v>2036</v>
      </c>
    </row>
    <row r="9" spans="1:8">
      <c r="A9" s="1" t="s">
        <v>2037</v>
      </c>
      <c r="B9" s="47" t="s">
        <v>2341</v>
      </c>
    </row>
    <row r="10" spans="1:8">
      <c r="A10" s="1" t="s">
        <v>2342</v>
      </c>
      <c r="B10" s="47" t="s">
        <v>2343</v>
      </c>
    </row>
    <row r="11" spans="1:8">
      <c r="A11" s="1" t="s">
        <v>2344</v>
      </c>
      <c r="B11" s="47" t="s">
        <v>2345</v>
      </c>
    </row>
    <row r="12" spans="1:8">
      <c r="A12" s="1" t="s">
        <v>2346</v>
      </c>
      <c r="B12" s="47" t="s">
        <v>2347</v>
      </c>
    </row>
    <row r="13" spans="1:8">
      <c r="A13" s="1" t="s">
        <v>2039</v>
      </c>
      <c r="B13" s="47" t="s">
        <v>2348</v>
      </c>
    </row>
    <row r="14" spans="1:8">
      <c r="A14" s="1" t="s">
        <v>2041</v>
      </c>
      <c r="B14" s="47" t="s">
        <v>2349</v>
      </c>
    </row>
    <row r="16" spans="1:8">
      <c r="A16" s="101" t="s">
        <v>2350</v>
      </c>
      <c r="B16" s="101"/>
      <c r="C16" s="101"/>
      <c r="D16" s="101"/>
    </row>
    <row r="17" spans="1:8">
      <c r="A17" s="42" t="s">
        <v>2054</v>
      </c>
      <c r="B17" s="42"/>
      <c r="C17" s="42"/>
      <c r="D17" s="42"/>
      <c r="E17" s="42"/>
      <c r="F17" s="42"/>
      <c r="G17" s="42"/>
      <c r="H17" s="42"/>
    </row>
    <row r="19" spans="1:8">
      <c r="A19" s="102" t="s">
        <v>2045</v>
      </c>
      <c r="B19" s="102"/>
      <c r="C19" s="102"/>
      <c r="D19" s="102"/>
      <c r="E19" s="103" t="s">
        <v>2046</v>
      </c>
      <c r="F19" s="103"/>
      <c r="G19" s="103"/>
      <c r="H19" s="103"/>
    </row>
    <row r="20" spans="1:8">
      <c r="A20" s="76" t="s">
        <v>2050</v>
      </c>
      <c r="B20" s="48" t="s">
        <v>2048</v>
      </c>
      <c r="C20" s="48" t="s">
        <v>2049</v>
      </c>
      <c r="D20" s="48" t="s">
        <v>2351</v>
      </c>
      <c r="E20" s="48" t="s">
        <v>2051</v>
      </c>
      <c r="F20" s="48" t="s">
        <v>2052</v>
      </c>
      <c r="G20" s="48" t="s">
        <v>2037</v>
      </c>
      <c r="H20" s="48" t="s">
        <v>2039</v>
      </c>
    </row>
    <row r="21" spans="1:8">
      <c r="A21" s="71">
        <v>128275829832</v>
      </c>
      <c r="B21" s="44" t="s">
        <v>2056</v>
      </c>
      <c r="C21" s="1" t="s">
        <v>2352</v>
      </c>
      <c r="D21" s="49">
        <v>2264</v>
      </c>
      <c r="E21" s="44" t="s">
        <v>2056</v>
      </c>
      <c r="F21" s="38" t="s">
        <v>2353</v>
      </c>
      <c r="G21" s="45">
        <v>2264</v>
      </c>
      <c r="H21" s="45">
        <v>33.96</v>
      </c>
    </row>
    <row r="22" spans="1:8">
      <c r="A22" s="71">
        <v>128287834208</v>
      </c>
      <c r="B22" s="44" t="s">
        <v>2056</v>
      </c>
      <c r="C22" s="1" t="s">
        <v>2352</v>
      </c>
      <c r="D22" s="49">
        <v>2204</v>
      </c>
      <c r="E22" s="44" t="s">
        <v>2060</v>
      </c>
      <c r="F22" s="38" t="s">
        <v>2353</v>
      </c>
      <c r="G22" s="45">
        <v>2204</v>
      </c>
      <c r="H22" s="45">
        <v>33.06</v>
      </c>
    </row>
    <row r="23" spans="1:8">
      <c r="A23" s="71">
        <v>128281517156</v>
      </c>
      <c r="B23" s="44" t="s">
        <v>2056</v>
      </c>
      <c r="C23" s="1" t="s">
        <v>2352</v>
      </c>
      <c r="D23" s="49">
        <v>2640</v>
      </c>
      <c r="E23" s="44" t="s">
        <v>2056</v>
      </c>
      <c r="F23" s="38" t="s">
        <v>2353</v>
      </c>
      <c r="G23" s="45">
        <v>2640</v>
      </c>
      <c r="H23" s="45">
        <v>39.6</v>
      </c>
    </row>
    <row r="24" spans="1:8">
      <c r="A24" s="71">
        <v>128281760842</v>
      </c>
      <c r="B24" s="44" t="s">
        <v>2056</v>
      </c>
      <c r="C24" s="1" t="s">
        <v>2352</v>
      </c>
      <c r="D24" s="49">
        <v>650</v>
      </c>
      <c r="E24" s="44" t="s">
        <v>2056</v>
      </c>
      <c r="F24" s="38" t="s">
        <v>2353</v>
      </c>
      <c r="G24" s="45">
        <v>650</v>
      </c>
      <c r="H24" s="45">
        <v>9.75</v>
      </c>
    </row>
    <row r="25" spans="1:8">
      <c r="A25" s="71">
        <v>127834303877</v>
      </c>
      <c r="B25" s="44" t="s">
        <v>2060</v>
      </c>
      <c r="C25" s="1" t="s">
        <v>2352</v>
      </c>
      <c r="D25" s="49">
        <v>2145</v>
      </c>
      <c r="E25" s="44" t="s">
        <v>2060</v>
      </c>
      <c r="F25" s="38" t="s">
        <v>2353</v>
      </c>
      <c r="G25" s="45">
        <v>2145</v>
      </c>
      <c r="H25" s="45">
        <v>32.18</v>
      </c>
    </row>
    <row r="26" spans="1:8">
      <c r="A26" s="71">
        <v>128402325040</v>
      </c>
      <c r="B26" s="44" t="s">
        <v>2060</v>
      </c>
      <c r="C26" s="1" t="s">
        <v>2352</v>
      </c>
      <c r="D26" s="49">
        <v>1330</v>
      </c>
      <c r="E26" s="44" t="s">
        <v>2060</v>
      </c>
      <c r="F26" s="38" t="s">
        <v>2353</v>
      </c>
      <c r="G26" s="45">
        <v>1330</v>
      </c>
      <c r="H26" s="45">
        <v>19.95</v>
      </c>
    </row>
    <row r="27" spans="1:8">
      <c r="A27" s="71">
        <v>128414396282</v>
      </c>
      <c r="B27" s="44" t="s">
        <v>2060</v>
      </c>
      <c r="C27" s="1" t="s">
        <v>2352</v>
      </c>
      <c r="D27" s="49">
        <v>5220</v>
      </c>
      <c r="E27" s="44" t="s">
        <v>2060</v>
      </c>
      <c r="F27" s="38" t="s">
        <v>2353</v>
      </c>
      <c r="G27" s="45">
        <v>5220</v>
      </c>
      <c r="H27" s="45">
        <v>78.3</v>
      </c>
    </row>
    <row r="28" spans="1:8">
      <c r="A28" s="71">
        <v>128410134666</v>
      </c>
      <c r="B28" s="44" t="s">
        <v>2060</v>
      </c>
      <c r="C28" s="1" t="s">
        <v>2352</v>
      </c>
      <c r="D28" s="49">
        <v>1935</v>
      </c>
      <c r="E28" s="44" t="s">
        <v>2060</v>
      </c>
      <c r="F28" s="38" t="s">
        <v>2353</v>
      </c>
      <c r="G28" s="45">
        <v>1935</v>
      </c>
      <c r="H28" s="45">
        <v>29.03</v>
      </c>
    </row>
    <row r="29" spans="1:8">
      <c r="A29" s="71">
        <v>127853669293</v>
      </c>
      <c r="B29" s="44" t="s">
        <v>2060</v>
      </c>
      <c r="C29" s="1" t="s">
        <v>2352</v>
      </c>
      <c r="D29" s="49">
        <v>500</v>
      </c>
      <c r="E29" s="44" t="s">
        <v>2060</v>
      </c>
      <c r="F29" s="38" t="s">
        <v>2353</v>
      </c>
      <c r="G29" s="45">
        <v>500</v>
      </c>
      <c r="H29" s="45">
        <v>7.5</v>
      </c>
    </row>
    <row r="30" spans="1:8">
      <c r="A30" s="71">
        <v>128411521730</v>
      </c>
      <c r="B30" s="44" t="s">
        <v>2060</v>
      </c>
      <c r="C30" s="1" t="s">
        <v>2352</v>
      </c>
      <c r="D30" s="49">
        <v>480</v>
      </c>
      <c r="E30" s="44" t="s">
        <v>2060</v>
      </c>
      <c r="F30" s="38" t="s">
        <v>2353</v>
      </c>
      <c r="G30" s="45">
        <v>480</v>
      </c>
      <c r="H30" s="45">
        <v>7.2</v>
      </c>
    </row>
    <row r="31" spans="1:8">
      <c r="A31" s="71">
        <v>128422276166</v>
      </c>
      <c r="B31" s="44" t="s">
        <v>2060</v>
      </c>
      <c r="C31" s="1" t="s">
        <v>2352</v>
      </c>
      <c r="D31" s="49">
        <v>600</v>
      </c>
      <c r="E31" s="44" t="s">
        <v>2071</v>
      </c>
      <c r="F31" s="38" t="s">
        <v>2353</v>
      </c>
      <c r="G31" s="45">
        <v>600</v>
      </c>
      <c r="H31" s="45">
        <v>9</v>
      </c>
    </row>
    <row r="32" spans="1:8">
      <c r="A32" s="71">
        <v>128423104492</v>
      </c>
      <c r="B32" s="44" t="s">
        <v>2060</v>
      </c>
      <c r="C32" s="1" t="s">
        <v>2352</v>
      </c>
      <c r="D32" s="49">
        <v>2990</v>
      </c>
      <c r="E32" s="44" t="s">
        <v>2071</v>
      </c>
      <c r="F32" s="38" t="s">
        <v>2353</v>
      </c>
      <c r="G32" s="45">
        <v>2990</v>
      </c>
      <c r="H32" s="45">
        <v>44.85</v>
      </c>
    </row>
    <row r="33" spans="1:8">
      <c r="A33" s="71">
        <v>127858708227</v>
      </c>
      <c r="B33" s="44" t="s">
        <v>2071</v>
      </c>
      <c r="C33" s="1" t="s">
        <v>2352</v>
      </c>
      <c r="D33" s="49">
        <v>1035</v>
      </c>
      <c r="E33" s="44" t="s">
        <v>2071</v>
      </c>
      <c r="F33" s="38" t="s">
        <v>2353</v>
      </c>
      <c r="G33" s="45">
        <v>1035</v>
      </c>
      <c r="H33" s="45">
        <v>15.53</v>
      </c>
    </row>
    <row r="34" spans="1:8">
      <c r="A34" s="71">
        <v>128417023642</v>
      </c>
      <c r="B34" s="44" t="s">
        <v>2060</v>
      </c>
      <c r="C34" s="1" t="s">
        <v>2352</v>
      </c>
      <c r="D34" s="49">
        <v>3740</v>
      </c>
      <c r="E34" s="44" t="s">
        <v>2060</v>
      </c>
      <c r="F34" s="38" t="s">
        <v>2353</v>
      </c>
      <c r="G34" s="45">
        <v>3740</v>
      </c>
      <c r="H34" s="45">
        <v>56.1</v>
      </c>
    </row>
    <row r="35" spans="1:8">
      <c r="A35" s="71">
        <v>128426232602</v>
      </c>
      <c r="B35" s="44" t="s">
        <v>2071</v>
      </c>
      <c r="C35" s="1" t="s">
        <v>2352</v>
      </c>
      <c r="D35" s="49">
        <v>480</v>
      </c>
      <c r="E35" s="44" t="s">
        <v>2071</v>
      </c>
      <c r="F35" s="38" t="s">
        <v>2353</v>
      </c>
      <c r="G35" s="45">
        <v>480</v>
      </c>
      <c r="H35" s="45">
        <v>7.2</v>
      </c>
    </row>
    <row r="36" spans="1:8">
      <c r="A36" s="71">
        <v>127857497901</v>
      </c>
      <c r="B36" s="44" t="s">
        <v>2060</v>
      </c>
      <c r="C36" s="1" t="s">
        <v>2352</v>
      </c>
      <c r="D36" s="49">
        <v>3535</v>
      </c>
      <c r="E36" s="44" t="s">
        <v>2071</v>
      </c>
      <c r="F36" s="38" t="s">
        <v>2353</v>
      </c>
      <c r="G36" s="45">
        <v>3535</v>
      </c>
      <c r="H36" s="45">
        <v>53.03</v>
      </c>
    </row>
    <row r="37" spans="1:8">
      <c r="A37" s="71">
        <v>127858371983</v>
      </c>
      <c r="B37" s="44" t="s">
        <v>2071</v>
      </c>
      <c r="C37" s="1" t="s">
        <v>2352</v>
      </c>
      <c r="D37" s="49">
        <v>480</v>
      </c>
      <c r="E37" s="44" t="s">
        <v>2071</v>
      </c>
      <c r="F37" s="38" t="s">
        <v>2353</v>
      </c>
      <c r="G37" s="45">
        <v>480</v>
      </c>
      <c r="H37" s="45">
        <v>7.2</v>
      </c>
    </row>
    <row r="38" spans="1:8">
      <c r="A38" s="71">
        <v>127859153755</v>
      </c>
      <c r="B38" s="44" t="s">
        <v>2071</v>
      </c>
      <c r="C38" s="1" t="s">
        <v>2352</v>
      </c>
      <c r="D38" s="49">
        <v>360</v>
      </c>
      <c r="E38" s="44" t="s">
        <v>2071</v>
      </c>
      <c r="F38" s="38" t="s">
        <v>2353</v>
      </c>
      <c r="G38" s="45">
        <v>360</v>
      </c>
      <c r="H38" s="45">
        <v>5.4</v>
      </c>
    </row>
    <row r="39" spans="1:8">
      <c r="A39" s="71">
        <v>128426752832</v>
      </c>
      <c r="B39" s="44" t="s">
        <v>2071</v>
      </c>
      <c r="C39" s="1" t="s">
        <v>2352</v>
      </c>
      <c r="D39" s="49">
        <v>700</v>
      </c>
      <c r="E39" s="44" t="s">
        <v>2071</v>
      </c>
      <c r="F39" s="38" t="s">
        <v>2353</v>
      </c>
      <c r="G39" s="45">
        <v>700</v>
      </c>
      <c r="H39" s="45">
        <v>10.5</v>
      </c>
    </row>
    <row r="40" spans="1:8">
      <c r="A40" s="71">
        <v>128546254534</v>
      </c>
      <c r="B40" s="44" t="s">
        <v>2071</v>
      </c>
      <c r="C40" s="1" t="s">
        <v>2352</v>
      </c>
      <c r="D40" s="49">
        <v>480</v>
      </c>
      <c r="E40" s="44" t="s">
        <v>2071</v>
      </c>
      <c r="F40" s="38" t="s">
        <v>2353</v>
      </c>
      <c r="G40" s="45">
        <v>480</v>
      </c>
      <c r="H40" s="45">
        <v>7.2</v>
      </c>
    </row>
    <row r="41" spans="1:8">
      <c r="A41" s="71">
        <v>127974511167</v>
      </c>
      <c r="B41" s="44" t="s">
        <v>2071</v>
      </c>
      <c r="C41" s="1" t="s">
        <v>2352</v>
      </c>
      <c r="D41" s="49">
        <v>2125</v>
      </c>
      <c r="E41" s="44" t="s">
        <v>2071</v>
      </c>
      <c r="F41" s="38" t="s">
        <v>2353</v>
      </c>
      <c r="G41" s="45">
        <v>2125</v>
      </c>
      <c r="H41" s="45">
        <v>31.88</v>
      </c>
    </row>
    <row r="42" spans="1:8">
      <c r="A42" s="71">
        <v>128542794370</v>
      </c>
      <c r="B42" s="44" t="s">
        <v>2071</v>
      </c>
      <c r="C42" s="1" t="s">
        <v>2352</v>
      </c>
      <c r="D42" s="49">
        <v>1995</v>
      </c>
      <c r="E42" s="44" t="s">
        <v>2071</v>
      </c>
      <c r="F42" s="38" t="s">
        <v>2353</v>
      </c>
      <c r="G42" s="45">
        <v>1995</v>
      </c>
      <c r="H42" s="45">
        <v>29.93</v>
      </c>
    </row>
    <row r="43" spans="1:8">
      <c r="A43" s="71">
        <v>127996301839</v>
      </c>
      <c r="B43" s="44" t="s">
        <v>2071</v>
      </c>
      <c r="C43" s="1" t="s">
        <v>2352</v>
      </c>
      <c r="D43" s="49">
        <v>3405</v>
      </c>
      <c r="E43" s="44" t="s">
        <v>2071</v>
      </c>
      <c r="F43" s="38" t="s">
        <v>2353</v>
      </c>
      <c r="G43" s="45">
        <v>3405</v>
      </c>
      <c r="H43" s="45">
        <v>51.08</v>
      </c>
    </row>
    <row r="44" spans="1:8">
      <c r="A44" s="71">
        <v>128565546884</v>
      </c>
      <c r="B44" s="44" t="s">
        <v>2071</v>
      </c>
      <c r="C44" s="1" t="s">
        <v>2352</v>
      </c>
      <c r="D44" s="49">
        <v>2045</v>
      </c>
      <c r="E44" s="44" t="s">
        <v>2071</v>
      </c>
      <c r="F44" s="38" t="s">
        <v>2353</v>
      </c>
      <c r="G44" s="45">
        <v>2045</v>
      </c>
      <c r="H44" s="45">
        <v>30.68</v>
      </c>
    </row>
    <row r="45" spans="1:8">
      <c r="A45" s="71">
        <v>128557902440</v>
      </c>
      <c r="B45" s="44" t="s">
        <v>2071</v>
      </c>
      <c r="C45" s="1" t="s">
        <v>2352</v>
      </c>
      <c r="D45" s="49">
        <v>3450</v>
      </c>
      <c r="E45" s="44" t="s">
        <v>2071</v>
      </c>
      <c r="F45" s="38" t="s">
        <v>2353</v>
      </c>
      <c r="G45" s="45">
        <v>3450</v>
      </c>
      <c r="H45" s="45">
        <v>51.75</v>
      </c>
    </row>
    <row r="46" spans="1:8">
      <c r="A46" s="71">
        <v>127991620827</v>
      </c>
      <c r="B46" s="44" t="s">
        <v>2071</v>
      </c>
      <c r="C46" s="1" t="s">
        <v>2352</v>
      </c>
      <c r="D46" s="49">
        <v>2210</v>
      </c>
      <c r="E46" s="44" t="s">
        <v>2071</v>
      </c>
      <c r="F46" s="38" t="s">
        <v>2353</v>
      </c>
      <c r="G46" s="45">
        <v>2210</v>
      </c>
      <c r="H46" s="45">
        <v>33.15</v>
      </c>
    </row>
    <row r="47" spans="1:8">
      <c r="A47" s="71">
        <v>128573422760</v>
      </c>
      <c r="B47" s="44" t="s">
        <v>2089</v>
      </c>
      <c r="C47" s="1" t="s">
        <v>2352</v>
      </c>
      <c r="D47" s="49">
        <v>960</v>
      </c>
      <c r="E47" s="44" t="s">
        <v>2089</v>
      </c>
      <c r="F47" s="38" t="s">
        <v>2353</v>
      </c>
      <c r="G47" s="45">
        <v>960</v>
      </c>
      <c r="H47" s="45">
        <v>14.4</v>
      </c>
    </row>
    <row r="48" spans="1:8">
      <c r="A48" s="71">
        <v>127997962901</v>
      </c>
      <c r="B48" s="44" t="s">
        <v>2071</v>
      </c>
      <c r="C48" s="1" t="s">
        <v>2352</v>
      </c>
      <c r="D48" s="49">
        <v>1480</v>
      </c>
      <c r="E48" s="44" t="s">
        <v>2071</v>
      </c>
      <c r="F48" s="38" t="s">
        <v>2353</v>
      </c>
      <c r="G48" s="45">
        <v>1480</v>
      </c>
      <c r="H48" s="45">
        <v>22.2</v>
      </c>
    </row>
    <row r="49" spans="1:8">
      <c r="A49" s="71">
        <v>128007519843</v>
      </c>
      <c r="B49" s="44" t="s">
        <v>2089</v>
      </c>
      <c r="C49" s="1" t="s">
        <v>2352</v>
      </c>
      <c r="D49" s="49">
        <v>1295</v>
      </c>
      <c r="E49" s="44" t="s">
        <v>2089</v>
      </c>
      <c r="F49" s="38" t="s">
        <v>2353</v>
      </c>
      <c r="G49" s="45">
        <v>1295</v>
      </c>
      <c r="H49" s="45">
        <v>19.43</v>
      </c>
    </row>
    <row r="50" spans="1:8">
      <c r="A50" s="71">
        <v>128574803388</v>
      </c>
      <c r="B50" s="44" t="s">
        <v>2089</v>
      </c>
      <c r="C50" s="1" t="s">
        <v>2352</v>
      </c>
      <c r="D50" s="49">
        <v>960</v>
      </c>
      <c r="E50" s="44" t="s">
        <v>2089</v>
      </c>
      <c r="F50" s="38" t="s">
        <v>2353</v>
      </c>
      <c r="G50" s="45">
        <v>960</v>
      </c>
      <c r="H50" s="45">
        <v>14.4</v>
      </c>
    </row>
    <row r="51" spans="1:8">
      <c r="A51" s="71">
        <v>127998900895</v>
      </c>
      <c r="B51" s="44" t="s">
        <v>2071</v>
      </c>
      <c r="C51" s="1" t="s">
        <v>2352</v>
      </c>
      <c r="D51" s="49">
        <v>3760</v>
      </c>
      <c r="E51" s="44" t="s">
        <v>2071</v>
      </c>
      <c r="F51" s="38" t="s">
        <v>2353</v>
      </c>
      <c r="G51" s="45">
        <v>3760</v>
      </c>
      <c r="H51" s="45">
        <v>56.4</v>
      </c>
    </row>
    <row r="52" spans="1:8">
      <c r="A52" s="71">
        <v>128008101027</v>
      </c>
      <c r="B52" s="44" t="s">
        <v>2089</v>
      </c>
      <c r="C52" s="1" t="s">
        <v>2352</v>
      </c>
      <c r="D52" s="49">
        <v>2905</v>
      </c>
      <c r="E52" s="44" t="s">
        <v>2089</v>
      </c>
      <c r="F52" s="38" t="s">
        <v>2353</v>
      </c>
      <c r="G52" s="45">
        <v>2905</v>
      </c>
      <c r="H52" s="45">
        <v>43.58</v>
      </c>
    </row>
    <row r="53" spans="1:8">
      <c r="A53" s="71">
        <v>128568561564</v>
      </c>
      <c r="B53" s="44" t="s">
        <v>2071</v>
      </c>
      <c r="C53" s="1" t="s">
        <v>2352</v>
      </c>
      <c r="D53" s="49">
        <v>2000</v>
      </c>
      <c r="E53" s="44" t="s">
        <v>2089</v>
      </c>
      <c r="F53" s="38" t="s">
        <v>2353</v>
      </c>
      <c r="G53" s="45">
        <v>2000</v>
      </c>
      <c r="H53" s="45">
        <v>30</v>
      </c>
    </row>
    <row r="54" spans="1:8">
      <c r="A54" s="71">
        <v>128667988688</v>
      </c>
      <c r="B54" s="44" t="s">
        <v>2089</v>
      </c>
      <c r="C54" s="1" t="s">
        <v>2352</v>
      </c>
      <c r="D54" s="49">
        <v>245</v>
      </c>
      <c r="E54" s="44" t="s">
        <v>2089</v>
      </c>
      <c r="F54" s="38" t="s">
        <v>2353</v>
      </c>
      <c r="G54" s="45">
        <v>245</v>
      </c>
      <c r="H54" s="45">
        <v>3.68</v>
      </c>
    </row>
    <row r="55" spans="1:8">
      <c r="A55" s="71">
        <v>128662203164</v>
      </c>
      <c r="B55" s="44" t="s">
        <v>2089</v>
      </c>
      <c r="C55" s="1" t="s">
        <v>2352</v>
      </c>
      <c r="D55" s="49">
        <v>430</v>
      </c>
      <c r="E55" s="44" t="s">
        <v>2089</v>
      </c>
      <c r="F55" s="38" t="s">
        <v>2353</v>
      </c>
      <c r="G55" s="45">
        <v>430</v>
      </c>
      <c r="H55" s="45">
        <v>6.45</v>
      </c>
    </row>
    <row r="56" spans="1:8">
      <c r="A56" s="71">
        <v>128674686368</v>
      </c>
      <c r="B56" s="44" t="s">
        <v>2089</v>
      </c>
      <c r="C56" s="1" t="s">
        <v>2352</v>
      </c>
      <c r="D56" s="49">
        <v>1470</v>
      </c>
      <c r="E56" s="44" t="s">
        <v>2089</v>
      </c>
      <c r="F56" s="38" t="s">
        <v>2353</v>
      </c>
      <c r="G56" s="45">
        <v>1470</v>
      </c>
      <c r="H56" s="45">
        <v>22.05</v>
      </c>
    </row>
    <row r="57" spans="1:8">
      <c r="A57" s="71">
        <v>128687148252</v>
      </c>
      <c r="B57" s="44" t="s">
        <v>2089</v>
      </c>
      <c r="C57" s="1" t="s">
        <v>2352</v>
      </c>
      <c r="D57" s="49">
        <v>1900</v>
      </c>
      <c r="E57" s="44" t="s">
        <v>2089</v>
      </c>
      <c r="F57" s="38" t="s">
        <v>2353</v>
      </c>
      <c r="G57" s="45">
        <v>1900</v>
      </c>
      <c r="H57" s="45">
        <v>28.5</v>
      </c>
    </row>
    <row r="58" spans="1:8">
      <c r="A58" s="71">
        <v>128682541576</v>
      </c>
      <c r="B58" s="44" t="s">
        <v>2089</v>
      </c>
      <c r="C58" s="1" t="s">
        <v>2352</v>
      </c>
      <c r="D58" s="49">
        <v>10180</v>
      </c>
      <c r="E58" s="44" t="s">
        <v>2089</v>
      </c>
      <c r="F58" s="38" t="s">
        <v>2353</v>
      </c>
      <c r="G58" s="45">
        <v>10180</v>
      </c>
      <c r="H58" s="45">
        <v>152.69999999999999</v>
      </c>
    </row>
    <row r="59" spans="1:8">
      <c r="A59" s="71">
        <v>128125627213</v>
      </c>
      <c r="B59" s="44" t="s">
        <v>2089</v>
      </c>
      <c r="C59" s="1" t="s">
        <v>2352</v>
      </c>
      <c r="D59" s="49">
        <v>250</v>
      </c>
      <c r="E59" s="44" t="s">
        <v>2101</v>
      </c>
      <c r="F59" s="38" t="s">
        <v>2353</v>
      </c>
      <c r="G59" s="45">
        <v>250</v>
      </c>
      <c r="H59" s="45">
        <v>3.75</v>
      </c>
    </row>
    <row r="60" spans="1:8">
      <c r="A60" s="71">
        <v>128683261902</v>
      </c>
      <c r="B60" s="44" t="s">
        <v>2089</v>
      </c>
      <c r="C60" s="1" t="s">
        <v>2352</v>
      </c>
      <c r="D60" s="49">
        <v>1670</v>
      </c>
      <c r="E60" s="44" t="s">
        <v>2089</v>
      </c>
      <c r="F60" s="38" t="s">
        <v>2353</v>
      </c>
      <c r="G60" s="45">
        <v>1670</v>
      </c>
      <c r="H60" s="45">
        <v>25.05</v>
      </c>
    </row>
    <row r="61" spans="1:8">
      <c r="A61" s="71">
        <v>128115764455</v>
      </c>
      <c r="B61" s="44" t="s">
        <v>2089</v>
      </c>
      <c r="C61" s="1" t="s">
        <v>2352</v>
      </c>
      <c r="D61" s="49">
        <v>1470</v>
      </c>
      <c r="E61" s="44" t="s">
        <v>2089</v>
      </c>
      <c r="F61" s="38" t="s">
        <v>2353</v>
      </c>
      <c r="G61" s="45">
        <v>1470</v>
      </c>
      <c r="H61" s="45">
        <v>22.05</v>
      </c>
    </row>
    <row r="62" spans="1:8">
      <c r="A62" s="71">
        <v>128694203212</v>
      </c>
      <c r="B62" s="44" t="s">
        <v>2089</v>
      </c>
      <c r="C62" s="1" t="s">
        <v>2352</v>
      </c>
      <c r="D62" s="49">
        <v>2175</v>
      </c>
      <c r="E62" s="44" t="s">
        <v>2101</v>
      </c>
      <c r="F62" s="38" t="s">
        <v>2353</v>
      </c>
      <c r="G62" s="45">
        <v>2175</v>
      </c>
      <c r="H62" s="45">
        <v>32.630000000000003</v>
      </c>
    </row>
    <row r="63" spans="1:8">
      <c r="A63" s="71">
        <v>128683933752</v>
      </c>
      <c r="B63" s="44" t="s">
        <v>2089</v>
      </c>
      <c r="C63" s="1" t="s">
        <v>2352</v>
      </c>
      <c r="D63" s="49">
        <v>915</v>
      </c>
      <c r="E63" s="44" t="s">
        <v>2089</v>
      </c>
      <c r="F63" s="38" t="s">
        <v>2353</v>
      </c>
      <c r="G63" s="45">
        <v>915</v>
      </c>
      <c r="H63" s="45">
        <v>13.73</v>
      </c>
    </row>
    <row r="64" spans="1:8">
      <c r="A64" s="71">
        <v>128127278911</v>
      </c>
      <c r="B64" s="44" t="s">
        <v>2089</v>
      </c>
      <c r="C64" s="1" t="s">
        <v>2352</v>
      </c>
      <c r="D64" s="49">
        <v>4280</v>
      </c>
      <c r="E64" s="44" t="s">
        <v>2101</v>
      </c>
      <c r="F64" s="38" t="s">
        <v>2353</v>
      </c>
      <c r="G64" s="45">
        <v>4280</v>
      </c>
      <c r="H64" s="45">
        <v>64.2</v>
      </c>
    </row>
    <row r="65" spans="1:8">
      <c r="A65" s="71">
        <v>128684580182</v>
      </c>
      <c r="B65" s="44" t="s">
        <v>2089</v>
      </c>
      <c r="C65" s="1" t="s">
        <v>2352</v>
      </c>
      <c r="D65" s="49">
        <v>1715</v>
      </c>
      <c r="E65" s="44" t="s">
        <v>2089</v>
      </c>
      <c r="F65" s="38" t="s">
        <v>2353</v>
      </c>
      <c r="G65" s="45">
        <v>1715</v>
      </c>
      <c r="H65" s="45">
        <v>25.73</v>
      </c>
    </row>
    <row r="66" spans="1:8">
      <c r="A66" s="71">
        <v>128695902536</v>
      </c>
      <c r="B66" s="44" t="s">
        <v>2101</v>
      </c>
      <c r="C66" s="1" t="s">
        <v>2352</v>
      </c>
      <c r="D66" s="49">
        <v>880</v>
      </c>
      <c r="E66" s="44" t="s">
        <v>2101</v>
      </c>
      <c r="F66" s="38" t="s">
        <v>2353</v>
      </c>
      <c r="G66" s="45">
        <v>880</v>
      </c>
      <c r="H66" s="45">
        <v>13.2</v>
      </c>
    </row>
    <row r="67" spans="1:8">
      <c r="A67" s="71">
        <v>128696457632</v>
      </c>
      <c r="B67" s="44" t="s">
        <v>2101</v>
      </c>
      <c r="C67" s="1" t="s">
        <v>2352</v>
      </c>
      <c r="D67" s="49">
        <v>4925</v>
      </c>
      <c r="E67" s="44" t="s">
        <v>2101</v>
      </c>
      <c r="F67" s="38" t="s">
        <v>2353</v>
      </c>
      <c r="G67" s="45">
        <v>4925</v>
      </c>
      <c r="H67" s="45">
        <v>73.88</v>
      </c>
    </row>
    <row r="68" spans="1:8">
      <c r="A68" s="71">
        <v>128697662950</v>
      </c>
      <c r="B68" s="44" t="s">
        <v>2101</v>
      </c>
      <c r="C68" s="1" t="s">
        <v>2352</v>
      </c>
      <c r="D68" s="49">
        <v>1445</v>
      </c>
      <c r="E68" s="44" t="s">
        <v>2101</v>
      </c>
      <c r="F68" s="38" t="s">
        <v>2353</v>
      </c>
      <c r="G68" s="45">
        <v>1445</v>
      </c>
      <c r="H68" s="45">
        <v>21.68</v>
      </c>
    </row>
    <row r="69" spans="1:8">
      <c r="A69" s="71">
        <v>128694389708</v>
      </c>
      <c r="B69" s="44" t="s">
        <v>2089</v>
      </c>
      <c r="C69" s="1" t="s">
        <v>2352</v>
      </c>
      <c r="D69" s="49">
        <v>5810</v>
      </c>
      <c r="E69" s="44" t="s">
        <v>2101</v>
      </c>
      <c r="F69" s="38" t="s">
        <v>2353</v>
      </c>
      <c r="G69" s="45">
        <v>5810</v>
      </c>
      <c r="H69" s="45">
        <v>87.15</v>
      </c>
    </row>
    <row r="70" spans="1:8">
      <c r="A70" s="71">
        <v>128128469831</v>
      </c>
      <c r="B70" s="44" t="s">
        <v>2101</v>
      </c>
      <c r="C70" s="1" t="s">
        <v>2352</v>
      </c>
      <c r="D70" s="49">
        <v>1280</v>
      </c>
      <c r="E70" s="44" t="s">
        <v>2101</v>
      </c>
      <c r="F70" s="38" t="s">
        <v>2353</v>
      </c>
      <c r="G70" s="45">
        <v>1280</v>
      </c>
      <c r="H70" s="45">
        <v>19.2</v>
      </c>
    </row>
    <row r="71" spans="1:8">
      <c r="A71" s="71">
        <v>128698035700</v>
      </c>
      <c r="B71" s="44" t="s">
        <v>2101</v>
      </c>
      <c r="C71" s="1" t="s">
        <v>2352</v>
      </c>
      <c r="D71" s="49">
        <v>1400</v>
      </c>
      <c r="E71" s="44" t="s">
        <v>2101</v>
      </c>
      <c r="F71" s="38" t="s">
        <v>2353</v>
      </c>
      <c r="G71" s="45">
        <v>1400</v>
      </c>
      <c r="H71" s="45">
        <v>21</v>
      </c>
    </row>
    <row r="72" spans="1:8">
      <c r="A72" s="71">
        <v>128777177860</v>
      </c>
      <c r="B72" s="44" t="s">
        <v>2101</v>
      </c>
      <c r="C72" s="1" t="s">
        <v>2352</v>
      </c>
      <c r="D72" s="49">
        <v>2580</v>
      </c>
      <c r="E72" s="44" t="s">
        <v>2101</v>
      </c>
      <c r="F72" s="38" t="s">
        <v>2353</v>
      </c>
      <c r="G72" s="45">
        <v>2580</v>
      </c>
      <c r="H72" s="45">
        <v>38.700000000000003</v>
      </c>
    </row>
    <row r="73" spans="1:8">
      <c r="A73" s="71">
        <v>128213125083</v>
      </c>
      <c r="B73" s="44" t="s">
        <v>2101</v>
      </c>
      <c r="C73" s="1" t="s">
        <v>2352</v>
      </c>
      <c r="D73" s="49">
        <v>480</v>
      </c>
      <c r="E73" s="44" t="s">
        <v>2101</v>
      </c>
      <c r="F73" s="38" t="s">
        <v>2353</v>
      </c>
      <c r="G73" s="45">
        <v>480</v>
      </c>
      <c r="H73" s="45">
        <v>7.2</v>
      </c>
    </row>
    <row r="74" spans="1:8">
      <c r="A74" s="71">
        <v>128213740763</v>
      </c>
      <c r="B74" s="44" t="s">
        <v>2101</v>
      </c>
      <c r="C74" s="1" t="s">
        <v>2352</v>
      </c>
      <c r="D74" s="49">
        <v>2970</v>
      </c>
      <c r="E74" s="44" t="s">
        <v>2101</v>
      </c>
      <c r="F74" s="38" t="s">
        <v>2353</v>
      </c>
      <c r="G74" s="45">
        <v>2970</v>
      </c>
      <c r="H74" s="45">
        <v>44.55</v>
      </c>
    </row>
    <row r="75" spans="1:8">
      <c r="A75" s="71">
        <v>128783575336</v>
      </c>
      <c r="B75" s="44" t="s">
        <v>2101</v>
      </c>
      <c r="C75" s="1" t="s">
        <v>2352</v>
      </c>
      <c r="D75" s="49">
        <v>1750</v>
      </c>
      <c r="E75" s="44" t="s">
        <v>2101</v>
      </c>
      <c r="F75" s="38" t="s">
        <v>2353</v>
      </c>
      <c r="G75" s="45">
        <v>1750</v>
      </c>
      <c r="H75" s="45">
        <v>26.25</v>
      </c>
    </row>
    <row r="76" spans="1:8">
      <c r="A76" s="71">
        <v>128630547191</v>
      </c>
      <c r="B76" s="44" t="s">
        <v>2123</v>
      </c>
      <c r="C76" s="1" t="s">
        <v>2352</v>
      </c>
      <c r="D76" s="49">
        <v>500</v>
      </c>
      <c r="E76" s="44" t="s">
        <v>2123</v>
      </c>
      <c r="F76" s="38" t="s">
        <v>2353</v>
      </c>
      <c r="G76" s="45">
        <v>500</v>
      </c>
      <c r="H76" s="45">
        <v>7.5</v>
      </c>
    </row>
    <row r="77" spans="1:8">
      <c r="A77" s="71">
        <v>128624750885</v>
      </c>
      <c r="B77" s="44" t="s">
        <v>2123</v>
      </c>
      <c r="C77" s="1" t="s">
        <v>2352</v>
      </c>
      <c r="D77" s="49">
        <v>150</v>
      </c>
      <c r="E77" s="44" t="s">
        <v>2123</v>
      </c>
      <c r="F77" s="38" t="s">
        <v>2353</v>
      </c>
      <c r="G77" s="45">
        <v>150</v>
      </c>
      <c r="H77" s="45">
        <v>2.25</v>
      </c>
    </row>
    <row r="78" spans="1:8">
      <c r="A78" s="71">
        <v>129199375094</v>
      </c>
      <c r="B78" s="44" t="s">
        <v>2123</v>
      </c>
      <c r="C78" s="1" t="s">
        <v>2352</v>
      </c>
      <c r="D78" s="49">
        <v>240</v>
      </c>
      <c r="E78" s="44" t="s">
        <v>2123</v>
      </c>
      <c r="F78" s="38" t="s">
        <v>2353</v>
      </c>
      <c r="G78" s="45">
        <v>240</v>
      </c>
      <c r="H78" s="45">
        <v>3.6</v>
      </c>
    </row>
    <row r="79" spans="1:8">
      <c r="A79" s="71">
        <v>128631129561</v>
      </c>
      <c r="B79" s="44" t="s">
        <v>2123</v>
      </c>
      <c r="C79" s="1" t="s">
        <v>2352</v>
      </c>
      <c r="D79" s="49">
        <v>190</v>
      </c>
      <c r="E79" s="44" t="s">
        <v>2123</v>
      </c>
      <c r="F79" s="38" t="s">
        <v>2353</v>
      </c>
      <c r="G79" s="45">
        <v>190</v>
      </c>
      <c r="H79" s="45">
        <v>2.85</v>
      </c>
    </row>
    <row r="80" spans="1:8">
      <c r="A80" s="71">
        <v>128634472533</v>
      </c>
      <c r="B80" s="44" t="s">
        <v>2123</v>
      </c>
      <c r="C80" s="1" t="s">
        <v>2352</v>
      </c>
      <c r="D80" s="49">
        <v>1400</v>
      </c>
      <c r="E80" s="44" t="s">
        <v>2123</v>
      </c>
      <c r="F80" s="38" t="s">
        <v>2353</v>
      </c>
      <c r="G80" s="45">
        <v>1400</v>
      </c>
      <c r="H80" s="45">
        <v>21</v>
      </c>
    </row>
    <row r="81" spans="1:8">
      <c r="A81" s="71">
        <v>129215473972</v>
      </c>
      <c r="B81" s="44" t="s">
        <v>2123</v>
      </c>
      <c r="C81" s="1" t="s">
        <v>2352</v>
      </c>
      <c r="D81" s="49">
        <v>4890</v>
      </c>
      <c r="E81" s="44" t="s">
        <v>2123</v>
      </c>
      <c r="F81" s="38" t="s">
        <v>2353</v>
      </c>
      <c r="G81" s="45">
        <v>4890</v>
      </c>
      <c r="H81" s="45">
        <v>73.349999999999994</v>
      </c>
    </row>
    <row r="82" spans="1:8">
      <c r="A82" s="71">
        <v>129211186642</v>
      </c>
      <c r="B82" s="44" t="s">
        <v>2123</v>
      </c>
      <c r="C82" s="1" t="s">
        <v>2352</v>
      </c>
      <c r="D82" s="49">
        <v>3719</v>
      </c>
      <c r="E82" s="44" t="s">
        <v>2123</v>
      </c>
      <c r="F82" s="38" t="s">
        <v>2353</v>
      </c>
      <c r="G82" s="45">
        <v>3719</v>
      </c>
      <c r="H82" s="45">
        <v>55.79</v>
      </c>
    </row>
    <row r="83" spans="1:8">
      <c r="A83" s="71">
        <v>129211364496</v>
      </c>
      <c r="B83" s="44" t="s">
        <v>2123</v>
      </c>
      <c r="C83" s="1" t="s">
        <v>2352</v>
      </c>
      <c r="D83" s="49">
        <v>1839</v>
      </c>
      <c r="E83" s="44" t="s">
        <v>2123</v>
      </c>
      <c r="F83" s="38" t="s">
        <v>2353</v>
      </c>
      <c r="G83" s="45">
        <v>1839</v>
      </c>
      <c r="H83" s="45">
        <v>27.59</v>
      </c>
    </row>
    <row r="84" spans="1:8">
      <c r="A84" s="71">
        <v>129214683158</v>
      </c>
      <c r="B84" s="44" t="s">
        <v>2123</v>
      </c>
      <c r="C84" s="1" t="s">
        <v>2352</v>
      </c>
      <c r="D84" s="49">
        <v>2855</v>
      </c>
      <c r="E84" s="44" t="s">
        <v>2123</v>
      </c>
      <c r="F84" s="38" t="s">
        <v>2353</v>
      </c>
      <c r="G84" s="45">
        <v>2855</v>
      </c>
      <c r="H84" s="45">
        <v>42.83</v>
      </c>
    </row>
    <row r="85" spans="1:8">
      <c r="A85" s="71">
        <v>128644903387</v>
      </c>
      <c r="B85" s="44" t="s">
        <v>2123</v>
      </c>
      <c r="C85" s="1" t="s">
        <v>2352</v>
      </c>
      <c r="D85" s="49">
        <v>3999</v>
      </c>
      <c r="E85" s="44" t="s">
        <v>2123</v>
      </c>
      <c r="F85" s="38" t="s">
        <v>2353</v>
      </c>
      <c r="G85" s="45">
        <v>3999</v>
      </c>
      <c r="H85" s="45">
        <v>59.99</v>
      </c>
    </row>
    <row r="86" spans="1:8">
      <c r="A86" s="71">
        <v>129331802456</v>
      </c>
      <c r="B86" s="44" t="s">
        <v>2131</v>
      </c>
      <c r="C86" s="1" t="s">
        <v>2352</v>
      </c>
      <c r="D86" s="49">
        <v>1640</v>
      </c>
      <c r="E86" s="44" t="s">
        <v>2131</v>
      </c>
      <c r="F86" s="38" t="s">
        <v>2353</v>
      </c>
      <c r="G86" s="45">
        <v>1640</v>
      </c>
      <c r="H86" s="45">
        <v>24.6</v>
      </c>
    </row>
    <row r="87" spans="1:8">
      <c r="A87" s="71">
        <v>128775620005</v>
      </c>
      <c r="B87" s="44" t="s">
        <v>2131</v>
      </c>
      <c r="C87" s="1" t="s">
        <v>2352</v>
      </c>
      <c r="D87" s="49">
        <v>2770</v>
      </c>
      <c r="E87" s="44" t="s">
        <v>2131</v>
      </c>
      <c r="F87" s="38" t="s">
        <v>2353</v>
      </c>
      <c r="G87" s="45">
        <v>2770</v>
      </c>
      <c r="H87" s="45">
        <v>41.55</v>
      </c>
    </row>
    <row r="88" spans="1:8">
      <c r="A88" s="71">
        <v>128776800907</v>
      </c>
      <c r="B88" s="44" t="s">
        <v>2131</v>
      </c>
      <c r="C88" s="1" t="s">
        <v>2352</v>
      </c>
      <c r="D88" s="49">
        <v>450</v>
      </c>
      <c r="E88" s="44" t="s">
        <v>2131</v>
      </c>
      <c r="F88" s="38" t="s">
        <v>2353</v>
      </c>
      <c r="G88" s="45">
        <v>450</v>
      </c>
      <c r="H88" s="45">
        <v>6.75</v>
      </c>
    </row>
    <row r="89" spans="1:8">
      <c r="A89" s="71">
        <v>129355026808</v>
      </c>
      <c r="B89" s="44" t="s">
        <v>2131</v>
      </c>
      <c r="C89" s="1" t="s">
        <v>2352</v>
      </c>
      <c r="D89" s="49">
        <v>930</v>
      </c>
      <c r="E89" s="44" t="s">
        <v>2131</v>
      </c>
      <c r="F89" s="38" t="s">
        <v>2353</v>
      </c>
      <c r="G89" s="45">
        <v>930</v>
      </c>
      <c r="H89" s="45">
        <v>13.95</v>
      </c>
    </row>
    <row r="90" spans="1:8">
      <c r="A90" s="71">
        <v>129360677968</v>
      </c>
      <c r="B90" s="44" t="s">
        <v>2147</v>
      </c>
      <c r="C90" s="1" t="s">
        <v>2352</v>
      </c>
      <c r="D90" s="49">
        <v>2160</v>
      </c>
      <c r="E90" s="44" t="s">
        <v>2147</v>
      </c>
      <c r="F90" s="38" t="s">
        <v>2353</v>
      </c>
      <c r="G90" s="45">
        <v>2160</v>
      </c>
      <c r="H90" s="45">
        <v>32.4</v>
      </c>
    </row>
    <row r="91" spans="1:8">
      <c r="A91" s="71">
        <v>128789297363</v>
      </c>
      <c r="B91" s="44" t="s">
        <v>2147</v>
      </c>
      <c r="C91" s="1" t="s">
        <v>2352</v>
      </c>
      <c r="D91" s="49">
        <v>240</v>
      </c>
      <c r="E91" s="44" t="s">
        <v>2147</v>
      </c>
      <c r="F91" s="38" t="s">
        <v>2353</v>
      </c>
      <c r="G91" s="45">
        <v>240</v>
      </c>
      <c r="H91" s="45">
        <v>3.6</v>
      </c>
    </row>
    <row r="92" spans="1:8">
      <c r="A92" s="71">
        <v>129354544482</v>
      </c>
      <c r="B92" s="44" t="s">
        <v>2131</v>
      </c>
      <c r="C92" s="1" t="s">
        <v>2352</v>
      </c>
      <c r="D92" s="49">
        <v>720</v>
      </c>
      <c r="E92" s="44" t="s">
        <v>2131</v>
      </c>
      <c r="F92" s="38" t="s">
        <v>2353</v>
      </c>
      <c r="G92" s="45">
        <v>720</v>
      </c>
      <c r="H92" s="45">
        <v>10.8</v>
      </c>
    </row>
    <row r="93" spans="1:8">
      <c r="A93" s="71">
        <v>128792036011</v>
      </c>
      <c r="B93" s="44" t="s">
        <v>2147</v>
      </c>
      <c r="C93" s="1" t="s">
        <v>2352</v>
      </c>
      <c r="D93" s="49">
        <v>460</v>
      </c>
      <c r="E93" s="44" t="s">
        <v>2147</v>
      </c>
      <c r="F93" s="38" t="s">
        <v>2353</v>
      </c>
      <c r="G93" s="45">
        <v>460</v>
      </c>
      <c r="H93" s="45">
        <v>6.9</v>
      </c>
    </row>
    <row r="94" spans="1:8">
      <c r="A94" s="71">
        <v>128783650099</v>
      </c>
      <c r="B94" s="44" t="s">
        <v>2131</v>
      </c>
      <c r="C94" s="1" t="s">
        <v>2352</v>
      </c>
      <c r="D94" s="49">
        <v>1440</v>
      </c>
      <c r="E94" s="44" t="s">
        <v>2131</v>
      </c>
      <c r="F94" s="38" t="s">
        <v>2353</v>
      </c>
      <c r="G94" s="45">
        <v>1440</v>
      </c>
      <c r="H94" s="45">
        <v>21.6</v>
      </c>
    </row>
    <row r="95" spans="1:8">
      <c r="A95" s="71">
        <v>128792386801</v>
      </c>
      <c r="B95" s="44" t="s">
        <v>2147</v>
      </c>
      <c r="C95" s="1" t="s">
        <v>2352</v>
      </c>
      <c r="D95" s="49">
        <v>4560</v>
      </c>
      <c r="E95" s="44" t="s">
        <v>2147</v>
      </c>
      <c r="F95" s="38" t="s">
        <v>2353</v>
      </c>
      <c r="G95" s="45">
        <v>4560</v>
      </c>
      <c r="H95" s="45">
        <v>68.400000000000006</v>
      </c>
    </row>
    <row r="96" spans="1:8">
      <c r="A96" s="71">
        <v>128789062463</v>
      </c>
      <c r="B96" s="44" t="s">
        <v>2131</v>
      </c>
      <c r="C96" s="1" t="s">
        <v>2352</v>
      </c>
      <c r="D96" s="49">
        <v>480</v>
      </c>
      <c r="E96" s="44" t="s">
        <v>2147</v>
      </c>
      <c r="F96" s="38" t="s">
        <v>2353</v>
      </c>
      <c r="G96" s="45">
        <v>480</v>
      </c>
      <c r="H96" s="45">
        <v>7.2</v>
      </c>
    </row>
    <row r="97" spans="1:8">
      <c r="A97" s="71">
        <v>128790713267</v>
      </c>
      <c r="B97" s="44" t="s">
        <v>2147</v>
      </c>
      <c r="C97" s="1" t="s">
        <v>2352</v>
      </c>
      <c r="D97" s="49">
        <v>1200</v>
      </c>
      <c r="E97" s="44" t="s">
        <v>2147</v>
      </c>
      <c r="F97" s="38" t="s">
        <v>2353</v>
      </c>
      <c r="G97" s="45">
        <v>1200</v>
      </c>
      <c r="H97" s="45">
        <v>18</v>
      </c>
    </row>
    <row r="98" spans="1:8">
      <c r="A98" s="71">
        <v>129363038238</v>
      </c>
      <c r="B98" s="44" t="s">
        <v>2147</v>
      </c>
      <c r="C98" s="1" t="s">
        <v>2352</v>
      </c>
      <c r="D98" s="49">
        <v>2520</v>
      </c>
      <c r="E98" s="44" t="s">
        <v>2147</v>
      </c>
      <c r="F98" s="38" t="s">
        <v>2353</v>
      </c>
      <c r="G98" s="45">
        <v>2520</v>
      </c>
      <c r="H98" s="45">
        <v>37.799999999999997</v>
      </c>
    </row>
    <row r="99" spans="1:8">
      <c r="A99" s="71">
        <v>128893710093</v>
      </c>
      <c r="B99" s="44" t="s">
        <v>2147</v>
      </c>
      <c r="C99" s="1" t="s">
        <v>2352</v>
      </c>
      <c r="D99" s="49">
        <v>1290</v>
      </c>
      <c r="E99" s="44" t="s">
        <v>2147</v>
      </c>
      <c r="F99" s="38" t="s">
        <v>2353</v>
      </c>
      <c r="G99" s="45">
        <v>1290</v>
      </c>
      <c r="H99" s="45">
        <v>19.350000000000001</v>
      </c>
    </row>
    <row r="100" spans="1:8">
      <c r="A100" s="71">
        <v>129462536948</v>
      </c>
      <c r="B100" s="44" t="s">
        <v>2147</v>
      </c>
      <c r="C100" s="1" t="s">
        <v>2352</v>
      </c>
      <c r="D100" s="49">
        <v>420</v>
      </c>
      <c r="E100" s="44" t="s">
        <v>2147</v>
      </c>
      <c r="F100" s="38" t="s">
        <v>2353</v>
      </c>
      <c r="G100" s="45">
        <v>420</v>
      </c>
      <c r="H100" s="45">
        <v>6.3</v>
      </c>
    </row>
    <row r="101" spans="1:8">
      <c r="A101" s="71">
        <v>129475789772</v>
      </c>
      <c r="B101" s="44" t="s">
        <v>2147</v>
      </c>
      <c r="C101" s="1" t="s">
        <v>2352</v>
      </c>
      <c r="D101" s="49">
        <v>215</v>
      </c>
      <c r="E101" s="44" t="s">
        <v>2147</v>
      </c>
      <c r="F101" s="38" t="s">
        <v>2353</v>
      </c>
      <c r="G101" s="45">
        <v>215</v>
      </c>
      <c r="H101" s="45">
        <v>3.23</v>
      </c>
    </row>
    <row r="102" spans="1:8">
      <c r="A102" s="71">
        <v>128920403673</v>
      </c>
      <c r="B102" s="44" t="s">
        <v>2147</v>
      </c>
      <c r="C102" s="1" t="s">
        <v>2352</v>
      </c>
      <c r="D102" s="49">
        <v>860</v>
      </c>
      <c r="E102" s="44" t="s">
        <v>2147</v>
      </c>
      <c r="F102" s="38" t="s">
        <v>2353</v>
      </c>
      <c r="G102" s="45">
        <v>860</v>
      </c>
      <c r="H102" s="45">
        <v>12.9</v>
      </c>
    </row>
    <row r="103" spans="1:8">
      <c r="A103" s="71">
        <v>129496220702</v>
      </c>
      <c r="B103" s="44" t="s">
        <v>2147</v>
      </c>
      <c r="C103" s="1" t="s">
        <v>2352</v>
      </c>
      <c r="D103" s="49">
        <v>2040</v>
      </c>
      <c r="E103" s="44" t="s">
        <v>2161</v>
      </c>
      <c r="F103" s="38" t="s">
        <v>2353</v>
      </c>
      <c r="G103" s="45">
        <v>2040</v>
      </c>
      <c r="H103" s="45">
        <v>30.6</v>
      </c>
    </row>
    <row r="104" spans="1:8">
      <c r="A104" s="71">
        <v>128926832933</v>
      </c>
      <c r="B104" s="44" t="s">
        <v>2161</v>
      </c>
      <c r="C104" s="1" t="s">
        <v>2352</v>
      </c>
      <c r="D104" s="49">
        <v>1000</v>
      </c>
      <c r="E104" s="44" t="s">
        <v>2161</v>
      </c>
      <c r="F104" s="38" t="s">
        <v>2353</v>
      </c>
      <c r="G104" s="45">
        <v>1000</v>
      </c>
      <c r="H104" s="45">
        <v>15</v>
      </c>
    </row>
    <row r="105" spans="1:8">
      <c r="A105" s="71">
        <v>129498298984</v>
      </c>
      <c r="B105" s="44" t="s">
        <v>2161</v>
      </c>
      <c r="C105" s="1" t="s">
        <v>2352</v>
      </c>
      <c r="D105" s="49">
        <v>6620</v>
      </c>
      <c r="E105" s="44" t="s">
        <v>2161</v>
      </c>
      <c r="F105" s="38" t="s">
        <v>2353</v>
      </c>
      <c r="G105" s="45">
        <v>6620</v>
      </c>
      <c r="H105" s="45">
        <v>99.3</v>
      </c>
    </row>
    <row r="106" spans="1:8">
      <c r="A106" s="71">
        <v>128926303123</v>
      </c>
      <c r="B106" s="44" t="s">
        <v>2161</v>
      </c>
      <c r="C106" s="1" t="s">
        <v>2352</v>
      </c>
      <c r="D106" s="49">
        <v>210</v>
      </c>
      <c r="E106" s="44" t="s">
        <v>2161</v>
      </c>
      <c r="F106" s="38" t="s">
        <v>2353</v>
      </c>
      <c r="G106" s="45">
        <v>210</v>
      </c>
      <c r="H106" s="45">
        <v>3.15</v>
      </c>
    </row>
    <row r="107" spans="1:8">
      <c r="A107" s="71">
        <v>129599239718</v>
      </c>
      <c r="B107" s="44" t="s">
        <v>2161</v>
      </c>
      <c r="C107" s="1" t="s">
        <v>2352</v>
      </c>
      <c r="D107" s="49">
        <v>12150</v>
      </c>
      <c r="E107" s="44" t="s">
        <v>2161</v>
      </c>
      <c r="F107" s="38" t="s">
        <v>2353</v>
      </c>
      <c r="G107" s="45">
        <v>12150</v>
      </c>
      <c r="H107" s="45">
        <v>182.25</v>
      </c>
    </row>
    <row r="108" spans="1:8">
      <c r="A108" s="71">
        <v>129026510653</v>
      </c>
      <c r="B108" s="44" t="s">
        <v>2161</v>
      </c>
      <c r="C108" s="1" t="s">
        <v>2352</v>
      </c>
      <c r="D108" s="49">
        <v>1710</v>
      </c>
      <c r="E108" s="44" t="s">
        <v>2161</v>
      </c>
      <c r="F108" s="38" t="s">
        <v>2353</v>
      </c>
      <c r="G108" s="45">
        <v>1710</v>
      </c>
      <c r="H108" s="45">
        <v>25.65</v>
      </c>
    </row>
    <row r="109" spans="1:8">
      <c r="A109" s="71">
        <v>129608793634</v>
      </c>
      <c r="B109" s="44" t="s">
        <v>2161</v>
      </c>
      <c r="C109" s="1" t="s">
        <v>2352</v>
      </c>
      <c r="D109" s="49">
        <v>250</v>
      </c>
      <c r="E109" s="44" t="s">
        <v>2161</v>
      </c>
      <c r="F109" s="38" t="s">
        <v>2353</v>
      </c>
      <c r="G109" s="45">
        <v>250</v>
      </c>
      <c r="H109" s="45">
        <v>3.75</v>
      </c>
    </row>
    <row r="110" spans="1:8">
      <c r="A110" s="71">
        <v>129609093236</v>
      </c>
      <c r="B110" s="44" t="s">
        <v>2161</v>
      </c>
      <c r="C110" s="1" t="s">
        <v>2352</v>
      </c>
      <c r="D110" s="49">
        <v>3480</v>
      </c>
      <c r="E110" s="44" t="s">
        <v>2161</v>
      </c>
      <c r="F110" s="38" t="s">
        <v>2353</v>
      </c>
      <c r="G110" s="45">
        <v>3480</v>
      </c>
      <c r="H110" s="45">
        <v>52.2</v>
      </c>
    </row>
    <row r="111" spans="1:8">
      <c r="A111" s="71">
        <v>129611119996</v>
      </c>
      <c r="B111" s="44" t="s">
        <v>2161</v>
      </c>
      <c r="C111" s="1" t="s">
        <v>2352</v>
      </c>
      <c r="D111" s="49">
        <v>2140</v>
      </c>
      <c r="E111" s="44" t="s">
        <v>2161</v>
      </c>
      <c r="F111" s="38" t="s">
        <v>2353</v>
      </c>
      <c r="G111" s="45">
        <v>2140</v>
      </c>
      <c r="H111" s="45">
        <v>32.1</v>
      </c>
    </row>
    <row r="112" spans="1:8">
      <c r="A112" s="71">
        <v>129602059464</v>
      </c>
      <c r="B112" s="44" t="s">
        <v>2161</v>
      </c>
      <c r="C112" s="1" t="s">
        <v>2352</v>
      </c>
      <c r="D112" s="49">
        <v>480</v>
      </c>
      <c r="E112" s="44" t="s">
        <v>2161</v>
      </c>
      <c r="F112" s="38" t="s">
        <v>2353</v>
      </c>
      <c r="G112" s="45">
        <v>480</v>
      </c>
      <c r="H112" s="45">
        <v>7.2</v>
      </c>
    </row>
    <row r="113" spans="1:8">
      <c r="A113" s="71">
        <v>129603670366</v>
      </c>
      <c r="B113" s="44" t="s">
        <v>2161</v>
      </c>
      <c r="C113" s="1" t="s">
        <v>2352</v>
      </c>
      <c r="D113" s="49">
        <v>1327</v>
      </c>
      <c r="E113" s="44" t="s">
        <v>2161</v>
      </c>
      <c r="F113" s="38" t="s">
        <v>2353</v>
      </c>
      <c r="G113" s="45">
        <v>1327</v>
      </c>
      <c r="H113" s="45">
        <v>19.91</v>
      </c>
    </row>
    <row r="114" spans="1:8">
      <c r="A114" s="71">
        <v>129030721859</v>
      </c>
      <c r="B114" s="44" t="s">
        <v>2161</v>
      </c>
      <c r="C114" s="1" t="s">
        <v>2352</v>
      </c>
      <c r="D114" s="49">
        <v>1235</v>
      </c>
      <c r="E114" s="44" t="s">
        <v>2161</v>
      </c>
      <c r="F114" s="38" t="s">
        <v>2353</v>
      </c>
      <c r="G114" s="45">
        <v>1235</v>
      </c>
      <c r="H114" s="45">
        <v>18.53</v>
      </c>
    </row>
    <row r="115" spans="1:8">
      <c r="A115" s="71">
        <v>129044011245</v>
      </c>
      <c r="B115" s="44" t="s">
        <v>2161</v>
      </c>
      <c r="C115" s="1" t="s">
        <v>2352</v>
      </c>
      <c r="D115" s="49">
        <v>1290</v>
      </c>
      <c r="E115" s="44" t="s">
        <v>2174</v>
      </c>
      <c r="F115" s="38" t="s">
        <v>2353</v>
      </c>
      <c r="G115" s="45">
        <v>1290</v>
      </c>
      <c r="H115" s="45">
        <v>19.350000000000001</v>
      </c>
    </row>
    <row r="116" spans="1:8">
      <c r="A116" s="71">
        <v>129033517789</v>
      </c>
      <c r="B116" s="44" t="s">
        <v>2161</v>
      </c>
      <c r="C116" s="1" t="s">
        <v>2352</v>
      </c>
      <c r="D116" s="49">
        <v>5250</v>
      </c>
      <c r="E116" s="44" t="s">
        <v>2161</v>
      </c>
      <c r="F116" s="38" t="s">
        <v>2353</v>
      </c>
      <c r="G116" s="45">
        <v>5250</v>
      </c>
      <c r="H116" s="45">
        <v>78.75</v>
      </c>
    </row>
    <row r="117" spans="1:8">
      <c r="A117" s="71">
        <v>129607130142</v>
      </c>
      <c r="B117" s="44" t="s">
        <v>2161</v>
      </c>
      <c r="C117" s="1" t="s">
        <v>2352</v>
      </c>
      <c r="D117" s="49">
        <v>9210</v>
      </c>
      <c r="E117" s="44" t="s">
        <v>2161</v>
      </c>
      <c r="F117" s="38" t="s">
        <v>2353</v>
      </c>
      <c r="G117" s="45">
        <v>9210</v>
      </c>
      <c r="H117" s="45">
        <v>138.15</v>
      </c>
    </row>
    <row r="118" spans="1:8">
      <c r="A118" s="71">
        <v>129045547407</v>
      </c>
      <c r="B118" s="44" t="s">
        <v>2174</v>
      </c>
      <c r="C118" s="1" t="s">
        <v>2352</v>
      </c>
      <c r="D118" s="49">
        <v>5610</v>
      </c>
      <c r="E118" s="44" t="s">
        <v>2174</v>
      </c>
      <c r="F118" s="38" t="s">
        <v>2353</v>
      </c>
      <c r="G118" s="45">
        <v>5610</v>
      </c>
      <c r="H118" s="45">
        <v>84.15</v>
      </c>
    </row>
    <row r="119" spans="1:8">
      <c r="A119" s="71">
        <v>129041249333</v>
      </c>
      <c r="B119" s="44" t="s">
        <v>2161</v>
      </c>
      <c r="C119" s="1" t="s">
        <v>2352</v>
      </c>
      <c r="D119" s="49">
        <v>4800</v>
      </c>
      <c r="E119" s="44" t="s">
        <v>2174</v>
      </c>
      <c r="F119" s="38" t="s">
        <v>2353</v>
      </c>
      <c r="G119" s="45">
        <v>4800</v>
      </c>
      <c r="H119" s="45">
        <v>72</v>
      </c>
    </row>
    <row r="120" spans="1:8">
      <c r="A120" s="71">
        <v>129041627863</v>
      </c>
      <c r="B120" s="44" t="s">
        <v>2161</v>
      </c>
      <c r="C120" s="1" t="s">
        <v>2352</v>
      </c>
      <c r="D120" s="49">
        <v>4700</v>
      </c>
      <c r="E120" s="44" t="s">
        <v>2174</v>
      </c>
      <c r="F120" s="38" t="s">
        <v>2353</v>
      </c>
      <c r="G120" s="45">
        <v>4700</v>
      </c>
      <c r="H120" s="45">
        <v>70.5</v>
      </c>
    </row>
    <row r="121" spans="1:8">
      <c r="A121" s="71">
        <v>129042018715</v>
      </c>
      <c r="B121" s="44" t="s">
        <v>2161</v>
      </c>
      <c r="C121" s="1" t="s">
        <v>2352</v>
      </c>
      <c r="D121" s="49">
        <v>3290</v>
      </c>
      <c r="E121" s="44" t="s">
        <v>2174</v>
      </c>
      <c r="F121" s="38" t="s">
        <v>2353</v>
      </c>
      <c r="G121" s="45">
        <v>3290</v>
      </c>
      <c r="H121" s="45">
        <v>49.35</v>
      </c>
    </row>
    <row r="122" spans="1:8">
      <c r="A122" s="71">
        <v>129616337706</v>
      </c>
      <c r="B122" s="44" t="s">
        <v>2161</v>
      </c>
      <c r="C122" s="1" t="s">
        <v>2352</v>
      </c>
      <c r="D122" s="49">
        <v>420</v>
      </c>
      <c r="E122" s="44" t="s">
        <v>2174</v>
      </c>
      <c r="F122" s="38" t="s">
        <v>2353</v>
      </c>
      <c r="G122" s="45">
        <v>420</v>
      </c>
      <c r="H122" s="45">
        <v>6.3</v>
      </c>
    </row>
    <row r="123" spans="1:8">
      <c r="A123" s="71">
        <v>129044329247</v>
      </c>
      <c r="B123" s="44" t="s">
        <v>2174</v>
      </c>
      <c r="C123" s="1" t="s">
        <v>2352</v>
      </c>
      <c r="D123" s="49">
        <v>3780</v>
      </c>
      <c r="E123" s="44" t="s">
        <v>2174</v>
      </c>
      <c r="F123" s="38" t="s">
        <v>2353</v>
      </c>
      <c r="G123" s="45">
        <v>3780</v>
      </c>
      <c r="H123" s="45">
        <v>56.7</v>
      </c>
    </row>
    <row r="124" spans="1:8">
      <c r="A124" s="71">
        <v>129620763756</v>
      </c>
      <c r="B124" s="44" t="s">
        <v>2174</v>
      </c>
      <c r="C124" s="1" t="s">
        <v>2352</v>
      </c>
      <c r="D124" s="49">
        <v>500</v>
      </c>
      <c r="E124" s="44" t="s">
        <v>2174</v>
      </c>
      <c r="F124" s="38" t="s">
        <v>2353</v>
      </c>
      <c r="G124" s="45">
        <v>500</v>
      </c>
      <c r="H124" s="45">
        <v>7.5</v>
      </c>
    </row>
    <row r="125" spans="1:8">
      <c r="A125" s="71">
        <v>129132696737</v>
      </c>
      <c r="B125" s="44" t="s">
        <v>2174</v>
      </c>
      <c r="C125" s="1" t="s">
        <v>2352</v>
      </c>
      <c r="D125" s="49">
        <v>250</v>
      </c>
      <c r="E125" s="44" t="s">
        <v>2174</v>
      </c>
      <c r="F125" s="38" t="s">
        <v>2353</v>
      </c>
      <c r="G125" s="45">
        <v>250</v>
      </c>
      <c r="H125" s="45">
        <v>3.75</v>
      </c>
    </row>
    <row r="126" spans="1:8">
      <c r="A126" s="71">
        <v>129131291041</v>
      </c>
      <c r="B126" s="44" t="s">
        <v>2174</v>
      </c>
      <c r="C126" s="1" t="s">
        <v>2352</v>
      </c>
      <c r="D126" s="49">
        <v>6150</v>
      </c>
      <c r="E126" s="44" t="s">
        <v>2174</v>
      </c>
      <c r="F126" s="38" t="s">
        <v>2353</v>
      </c>
      <c r="G126" s="45">
        <v>6150</v>
      </c>
      <c r="H126" s="45">
        <v>92.25</v>
      </c>
    </row>
    <row r="127" spans="1:8">
      <c r="A127" s="71">
        <v>129704501978</v>
      </c>
      <c r="B127" s="44" t="s">
        <v>2174</v>
      </c>
      <c r="C127" s="1" t="s">
        <v>2352</v>
      </c>
      <c r="D127" s="49">
        <v>2880</v>
      </c>
      <c r="E127" s="44" t="s">
        <v>2174</v>
      </c>
      <c r="F127" s="38" t="s">
        <v>2353</v>
      </c>
      <c r="G127" s="45">
        <v>2880</v>
      </c>
      <c r="H127" s="45">
        <v>43.2</v>
      </c>
    </row>
    <row r="128" spans="1:8">
      <c r="A128" s="71">
        <v>129709073862</v>
      </c>
      <c r="B128" s="44" t="s">
        <v>2188</v>
      </c>
      <c r="C128" s="1" t="s">
        <v>2352</v>
      </c>
      <c r="D128" s="49">
        <v>930</v>
      </c>
      <c r="E128" s="44" t="s">
        <v>2188</v>
      </c>
      <c r="F128" s="38" t="s">
        <v>2353</v>
      </c>
      <c r="G128" s="45">
        <v>930</v>
      </c>
      <c r="H128" s="45">
        <v>13.95</v>
      </c>
    </row>
    <row r="129" spans="1:8">
      <c r="A129" s="71">
        <v>129524992737</v>
      </c>
      <c r="B129" s="44" t="s">
        <v>2196</v>
      </c>
      <c r="C129" s="1" t="s">
        <v>2352</v>
      </c>
      <c r="D129" s="49">
        <v>2399</v>
      </c>
      <c r="E129" s="44" t="s">
        <v>2196</v>
      </c>
      <c r="F129" s="38" t="s">
        <v>2353</v>
      </c>
      <c r="G129" s="45">
        <v>2399</v>
      </c>
      <c r="H129" s="45">
        <v>35.99</v>
      </c>
    </row>
    <row r="130" spans="1:8">
      <c r="A130" s="71">
        <v>129528646145</v>
      </c>
      <c r="B130" s="44" t="s">
        <v>2196</v>
      </c>
      <c r="C130" s="1" t="s">
        <v>2352</v>
      </c>
      <c r="D130" s="49">
        <v>3364</v>
      </c>
      <c r="E130" s="44" t="s">
        <v>2196</v>
      </c>
      <c r="F130" s="38" t="s">
        <v>2353</v>
      </c>
      <c r="G130" s="45">
        <v>3364</v>
      </c>
      <c r="H130" s="45">
        <v>50.46</v>
      </c>
    </row>
    <row r="131" spans="1:8">
      <c r="A131" s="71">
        <v>130104581222</v>
      </c>
      <c r="B131" s="44" t="s">
        <v>2196</v>
      </c>
      <c r="C131" s="1" t="s">
        <v>2352</v>
      </c>
      <c r="D131" s="49">
        <v>2769</v>
      </c>
      <c r="E131" s="44" t="s">
        <v>2196</v>
      </c>
      <c r="F131" s="38" t="s">
        <v>2353</v>
      </c>
      <c r="G131" s="45">
        <v>2769</v>
      </c>
      <c r="H131" s="45">
        <v>41.54</v>
      </c>
    </row>
    <row r="132" spans="1:8">
      <c r="A132" s="71">
        <v>129530476693</v>
      </c>
      <c r="B132" s="44" t="s">
        <v>2196</v>
      </c>
      <c r="C132" s="1" t="s">
        <v>2352</v>
      </c>
      <c r="D132" s="49">
        <v>1199</v>
      </c>
      <c r="E132" s="44" t="s">
        <v>2197</v>
      </c>
      <c r="F132" s="38" t="s">
        <v>2353</v>
      </c>
      <c r="G132" s="45">
        <v>1199</v>
      </c>
      <c r="H132" s="45">
        <v>17.989999999999998</v>
      </c>
    </row>
    <row r="133" spans="1:8">
      <c r="A133" s="71">
        <v>129530882263</v>
      </c>
      <c r="B133" s="44" t="s">
        <v>2196</v>
      </c>
      <c r="C133" s="1" t="s">
        <v>2352</v>
      </c>
      <c r="D133" s="49">
        <v>8895</v>
      </c>
      <c r="E133" s="44" t="s">
        <v>2197</v>
      </c>
      <c r="F133" s="38" t="s">
        <v>2353</v>
      </c>
      <c r="G133" s="45">
        <v>8895</v>
      </c>
      <c r="H133" s="45">
        <v>133.43</v>
      </c>
    </row>
    <row r="134" spans="1:8">
      <c r="A134" s="71">
        <v>130235248998</v>
      </c>
      <c r="B134" s="44" t="s">
        <v>2197</v>
      </c>
      <c r="C134" s="1" t="s">
        <v>2352</v>
      </c>
      <c r="D134" s="49">
        <v>915</v>
      </c>
      <c r="E134" s="44" t="s">
        <v>2197</v>
      </c>
      <c r="F134" s="38" t="s">
        <v>2353</v>
      </c>
      <c r="G134" s="45">
        <v>915</v>
      </c>
      <c r="H134" s="45">
        <v>13.73</v>
      </c>
    </row>
    <row r="135" spans="1:8">
      <c r="A135" s="71">
        <v>130235811274</v>
      </c>
      <c r="B135" s="44" t="s">
        <v>2197</v>
      </c>
      <c r="C135" s="1" t="s">
        <v>2352</v>
      </c>
      <c r="D135" s="49">
        <v>480</v>
      </c>
      <c r="E135" s="44" t="s">
        <v>2197</v>
      </c>
      <c r="F135" s="38" t="s">
        <v>2353</v>
      </c>
      <c r="G135" s="45">
        <v>480</v>
      </c>
      <c r="H135" s="45">
        <v>7.2</v>
      </c>
    </row>
    <row r="136" spans="1:8">
      <c r="A136" s="71">
        <v>130240793762</v>
      </c>
      <c r="B136" s="44" t="s">
        <v>2197</v>
      </c>
      <c r="C136" s="1" t="s">
        <v>2352</v>
      </c>
      <c r="D136" s="49">
        <v>6005</v>
      </c>
      <c r="E136" s="44" t="s">
        <v>2197</v>
      </c>
      <c r="F136" s="38" t="s">
        <v>2353</v>
      </c>
      <c r="G136" s="45">
        <v>6005</v>
      </c>
      <c r="H136" s="45">
        <v>90.08</v>
      </c>
    </row>
    <row r="137" spans="1:8">
      <c r="A137" s="71">
        <v>129665744315</v>
      </c>
      <c r="B137" s="44" t="s">
        <v>2197</v>
      </c>
      <c r="C137" s="1" t="s">
        <v>2352</v>
      </c>
      <c r="D137" s="49">
        <v>2420</v>
      </c>
      <c r="E137" s="44" t="s">
        <v>2215</v>
      </c>
      <c r="F137" s="38" t="s">
        <v>2353</v>
      </c>
      <c r="G137" s="45">
        <v>2420</v>
      </c>
      <c r="H137" s="45">
        <v>36.299999999999997</v>
      </c>
    </row>
    <row r="138" spans="1:8">
      <c r="A138" s="71">
        <v>129663813559</v>
      </c>
      <c r="B138" s="44" t="s">
        <v>2197</v>
      </c>
      <c r="C138" s="1" t="s">
        <v>2352</v>
      </c>
      <c r="D138" s="49">
        <v>755</v>
      </c>
      <c r="E138" s="44" t="s">
        <v>2197</v>
      </c>
      <c r="F138" s="38" t="s">
        <v>2353</v>
      </c>
      <c r="G138" s="45">
        <v>755</v>
      </c>
      <c r="H138" s="45">
        <v>11.33</v>
      </c>
    </row>
    <row r="139" spans="1:8">
      <c r="A139" s="71">
        <v>130250135054</v>
      </c>
      <c r="B139" s="44" t="s">
        <v>2215</v>
      </c>
      <c r="C139" s="1" t="s">
        <v>2352</v>
      </c>
      <c r="D139" s="49">
        <v>600</v>
      </c>
      <c r="E139" s="44" t="s">
        <v>2215</v>
      </c>
      <c r="F139" s="38" t="s">
        <v>2353</v>
      </c>
      <c r="G139" s="45">
        <v>600</v>
      </c>
      <c r="H139" s="45">
        <v>9</v>
      </c>
    </row>
    <row r="140" spans="1:8">
      <c r="A140" s="71">
        <v>130353760104</v>
      </c>
      <c r="B140" s="44" t="s">
        <v>2215</v>
      </c>
      <c r="C140" s="1" t="s">
        <v>2352</v>
      </c>
      <c r="D140" s="49">
        <v>480</v>
      </c>
      <c r="E140" s="44" t="s">
        <v>2215</v>
      </c>
      <c r="F140" s="38" t="s">
        <v>2353</v>
      </c>
      <c r="G140" s="45">
        <v>480</v>
      </c>
      <c r="H140" s="45">
        <v>7.2</v>
      </c>
    </row>
    <row r="141" spans="1:8">
      <c r="A141" s="71">
        <v>130361845382</v>
      </c>
      <c r="B141" s="44" t="s">
        <v>2215</v>
      </c>
      <c r="C141" s="1" t="s">
        <v>2352</v>
      </c>
      <c r="D141" s="49">
        <v>240</v>
      </c>
      <c r="E141" s="44" t="s">
        <v>2215</v>
      </c>
      <c r="F141" s="38" t="s">
        <v>2353</v>
      </c>
      <c r="G141" s="45">
        <v>240</v>
      </c>
      <c r="H141" s="45">
        <v>3.6</v>
      </c>
    </row>
    <row r="142" spans="1:8">
      <c r="A142" s="71">
        <v>130364682784</v>
      </c>
      <c r="B142" s="44" t="s">
        <v>2215</v>
      </c>
      <c r="C142" s="1" t="s">
        <v>2352</v>
      </c>
      <c r="D142" s="49">
        <v>1305</v>
      </c>
      <c r="E142" s="44" t="s">
        <v>2215</v>
      </c>
      <c r="F142" s="38" t="s">
        <v>2353</v>
      </c>
      <c r="G142" s="45">
        <v>1305</v>
      </c>
      <c r="H142" s="45">
        <v>19.579999999999998</v>
      </c>
    </row>
    <row r="143" spans="1:8">
      <c r="A143" s="71">
        <v>129793044845</v>
      </c>
      <c r="B143" s="44" t="s">
        <v>2215</v>
      </c>
      <c r="C143" s="1" t="s">
        <v>2352</v>
      </c>
      <c r="D143" s="49">
        <v>275</v>
      </c>
      <c r="E143" s="44" t="s">
        <v>2215</v>
      </c>
      <c r="F143" s="38" t="s">
        <v>2353</v>
      </c>
      <c r="G143" s="45">
        <v>275</v>
      </c>
      <c r="H143" s="45">
        <v>4.13</v>
      </c>
    </row>
    <row r="144" spans="1:8">
      <c r="A144" s="71">
        <v>130388477312</v>
      </c>
      <c r="B144" s="44" t="s">
        <v>2224</v>
      </c>
      <c r="C144" s="1" t="s">
        <v>2352</v>
      </c>
      <c r="D144" s="49">
        <v>1225</v>
      </c>
      <c r="E144" s="44" t="s">
        <v>2224</v>
      </c>
      <c r="F144" s="38" t="s">
        <v>2353</v>
      </c>
      <c r="G144" s="45">
        <v>1225</v>
      </c>
      <c r="H144" s="45">
        <v>18.38</v>
      </c>
    </row>
    <row r="145" spans="1:8">
      <c r="A145" s="71">
        <v>129809613779</v>
      </c>
      <c r="B145" s="44" t="s">
        <v>2224</v>
      </c>
      <c r="C145" s="1" t="s">
        <v>2352</v>
      </c>
      <c r="D145" s="49">
        <v>1510</v>
      </c>
      <c r="E145" s="44" t="s">
        <v>2224</v>
      </c>
      <c r="F145" s="38" t="s">
        <v>2353</v>
      </c>
      <c r="G145" s="45">
        <v>1510</v>
      </c>
      <c r="H145" s="45">
        <v>22.65</v>
      </c>
    </row>
    <row r="146" spans="1:8">
      <c r="A146" s="71">
        <v>130495143130</v>
      </c>
      <c r="B146" s="44" t="s">
        <v>2224</v>
      </c>
      <c r="C146" s="1" t="s">
        <v>2352</v>
      </c>
      <c r="D146" s="49">
        <v>2900</v>
      </c>
      <c r="E146" s="44" t="s">
        <v>2224</v>
      </c>
      <c r="F146" s="38" t="s">
        <v>2353</v>
      </c>
      <c r="G146" s="45">
        <v>2900</v>
      </c>
      <c r="H146" s="45">
        <v>43.5</v>
      </c>
    </row>
    <row r="147" spans="1:8">
      <c r="A147" s="71">
        <v>130501601308</v>
      </c>
      <c r="B147" s="44" t="s">
        <v>2224</v>
      </c>
      <c r="C147" s="1" t="s">
        <v>2352</v>
      </c>
      <c r="D147" s="49">
        <v>3300</v>
      </c>
      <c r="E147" s="44" t="s">
        <v>2224</v>
      </c>
      <c r="F147" s="38" t="s">
        <v>2353</v>
      </c>
      <c r="G147" s="45">
        <v>3300</v>
      </c>
      <c r="H147" s="45">
        <v>49.5</v>
      </c>
    </row>
    <row r="148" spans="1:8">
      <c r="A148" s="71">
        <v>129924599633</v>
      </c>
      <c r="B148" s="44" t="s">
        <v>2224</v>
      </c>
      <c r="C148" s="1" t="s">
        <v>2352</v>
      </c>
      <c r="D148" s="49">
        <v>900</v>
      </c>
      <c r="E148" s="44" t="s">
        <v>2224</v>
      </c>
      <c r="F148" s="38" t="s">
        <v>2353</v>
      </c>
      <c r="G148" s="45">
        <v>900</v>
      </c>
      <c r="H148" s="45">
        <v>13.5</v>
      </c>
    </row>
    <row r="149" spans="1:8">
      <c r="A149" s="71">
        <v>130505259044</v>
      </c>
      <c r="B149" s="44" t="s">
        <v>2224</v>
      </c>
      <c r="C149" s="1" t="s">
        <v>2352</v>
      </c>
      <c r="D149" s="49">
        <v>785</v>
      </c>
      <c r="E149" s="44" t="s">
        <v>2230</v>
      </c>
      <c r="F149" s="38" t="s">
        <v>2353</v>
      </c>
      <c r="G149" s="45">
        <v>785</v>
      </c>
      <c r="H149" s="45">
        <v>11.78</v>
      </c>
    </row>
    <row r="150" spans="1:8">
      <c r="A150" s="71">
        <v>130505561424</v>
      </c>
      <c r="B150" s="44" t="s">
        <v>2224</v>
      </c>
      <c r="C150" s="1" t="s">
        <v>2352</v>
      </c>
      <c r="D150" s="49">
        <v>970</v>
      </c>
      <c r="E150" s="44" t="s">
        <v>2230</v>
      </c>
      <c r="F150" s="38" t="s">
        <v>2353</v>
      </c>
      <c r="G150" s="45">
        <v>970</v>
      </c>
      <c r="H150" s="45">
        <v>14.55</v>
      </c>
    </row>
    <row r="151" spans="1:8">
      <c r="A151" s="71">
        <v>129915570871</v>
      </c>
      <c r="B151" s="44" t="s">
        <v>2224</v>
      </c>
      <c r="C151" s="1" t="s">
        <v>2352</v>
      </c>
      <c r="D151" s="49">
        <v>2440</v>
      </c>
      <c r="E151" s="44" t="s">
        <v>2224</v>
      </c>
      <c r="F151" s="38" t="s">
        <v>2353</v>
      </c>
      <c r="G151" s="45">
        <v>2440</v>
      </c>
      <c r="H151" s="45">
        <v>36.6</v>
      </c>
    </row>
    <row r="152" spans="1:8">
      <c r="A152" s="71">
        <v>129915894155</v>
      </c>
      <c r="B152" s="44" t="s">
        <v>2224</v>
      </c>
      <c r="C152" s="1" t="s">
        <v>2352</v>
      </c>
      <c r="D152" s="49">
        <v>1600</v>
      </c>
      <c r="E152" s="44" t="s">
        <v>2224</v>
      </c>
      <c r="F152" s="38" t="s">
        <v>2353</v>
      </c>
      <c r="G152" s="45">
        <v>1600</v>
      </c>
      <c r="H152" s="45">
        <v>24</v>
      </c>
    </row>
    <row r="153" spans="1:8">
      <c r="A153" s="71">
        <v>129928888001</v>
      </c>
      <c r="B153" s="44" t="s">
        <v>2230</v>
      </c>
      <c r="C153" s="1" t="s">
        <v>2352</v>
      </c>
      <c r="D153" s="49">
        <v>940</v>
      </c>
      <c r="E153" s="44" t="s">
        <v>2230</v>
      </c>
      <c r="F153" s="38" t="s">
        <v>2353</v>
      </c>
      <c r="G153" s="45">
        <v>940</v>
      </c>
      <c r="H153" s="45">
        <v>14.1</v>
      </c>
    </row>
    <row r="154" spans="1:8">
      <c r="A154" s="71">
        <v>130509841798</v>
      </c>
      <c r="B154" s="44" t="s">
        <v>2230</v>
      </c>
      <c r="C154" s="1" t="s">
        <v>2352</v>
      </c>
      <c r="D154" s="49">
        <v>1050</v>
      </c>
      <c r="E154" s="44" t="s">
        <v>2230</v>
      </c>
      <c r="F154" s="38" t="s">
        <v>2353</v>
      </c>
      <c r="G154" s="45">
        <v>1050</v>
      </c>
      <c r="H154" s="45">
        <v>15.75</v>
      </c>
    </row>
    <row r="155" spans="1:8">
      <c r="A155" s="71">
        <v>130511170496</v>
      </c>
      <c r="B155" s="44" t="s">
        <v>2230</v>
      </c>
      <c r="C155" s="1" t="s">
        <v>2352</v>
      </c>
      <c r="D155" s="49">
        <v>545</v>
      </c>
      <c r="E155" s="44" t="s">
        <v>2230</v>
      </c>
      <c r="F155" s="38" t="s">
        <v>2353</v>
      </c>
      <c r="G155" s="45">
        <v>545</v>
      </c>
      <c r="H155" s="45">
        <v>8.18</v>
      </c>
    </row>
    <row r="156" spans="1:8">
      <c r="A156" s="71">
        <v>129924012099</v>
      </c>
      <c r="B156" s="44" t="s">
        <v>2224</v>
      </c>
      <c r="C156" s="1" t="s">
        <v>2352</v>
      </c>
      <c r="D156" s="49">
        <v>3240</v>
      </c>
      <c r="E156" s="44" t="s">
        <v>2224</v>
      </c>
      <c r="F156" s="38" t="s">
        <v>2353</v>
      </c>
      <c r="G156" s="45">
        <v>3240</v>
      </c>
      <c r="H156" s="45">
        <v>48.6</v>
      </c>
    </row>
    <row r="157" spans="1:8">
      <c r="A157" s="71">
        <v>130507377794</v>
      </c>
      <c r="B157" s="44" t="s">
        <v>2230</v>
      </c>
      <c r="C157" s="1" t="s">
        <v>2352</v>
      </c>
      <c r="D157" s="49">
        <v>1710</v>
      </c>
      <c r="E157" s="44" t="s">
        <v>2230</v>
      </c>
      <c r="F157" s="38" t="s">
        <v>2353</v>
      </c>
      <c r="G157" s="45">
        <v>1710</v>
      </c>
      <c r="H157" s="45">
        <v>25.65</v>
      </c>
    </row>
    <row r="158" spans="1:8">
      <c r="A158" s="71">
        <v>129932531979</v>
      </c>
      <c r="B158" s="44" t="s">
        <v>2230</v>
      </c>
      <c r="C158" s="1" t="s">
        <v>2352</v>
      </c>
      <c r="D158" s="49">
        <v>1025</v>
      </c>
      <c r="E158" s="44" t="s">
        <v>2230</v>
      </c>
      <c r="F158" s="38" t="s">
        <v>2353</v>
      </c>
      <c r="G158" s="45">
        <v>1025</v>
      </c>
      <c r="H158" s="45">
        <v>15.38</v>
      </c>
    </row>
    <row r="159" spans="1:8">
      <c r="A159" s="71">
        <v>130006028927</v>
      </c>
      <c r="B159" s="44" t="s">
        <v>2230</v>
      </c>
      <c r="C159" s="1" t="s">
        <v>2352</v>
      </c>
      <c r="D159" s="49">
        <v>4060</v>
      </c>
      <c r="E159" s="44" t="s">
        <v>2230</v>
      </c>
      <c r="F159" s="38" t="s">
        <v>2353</v>
      </c>
      <c r="G159" s="45">
        <v>4060</v>
      </c>
      <c r="H159" s="45">
        <v>60.9</v>
      </c>
    </row>
    <row r="160" spans="1:8">
      <c r="A160" s="71">
        <v>130001228715</v>
      </c>
      <c r="B160" s="44" t="s">
        <v>2230</v>
      </c>
      <c r="C160" s="1" t="s">
        <v>2352</v>
      </c>
      <c r="D160" s="49">
        <v>240</v>
      </c>
      <c r="E160" s="44" t="s">
        <v>2230</v>
      </c>
      <c r="F160" s="38" t="s">
        <v>2353</v>
      </c>
      <c r="G160" s="45">
        <v>240</v>
      </c>
      <c r="H160" s="45">
        <v>3.6</v>
      </c>
    </row>
    <row r="161" spans="1:8">
      <c r="A161" s="71">
        <v>130017719079</v>
      </c>
      <c r="B161" s="44" t="s">
        <v>2230</v>
      </c>
      <c r="C161" s="1" t="s">
        <v>2352</v>
      </c>
      <c r="D161" s="49">
        <v>1840</v>
      </c>
      <c r="E161" s="44" t="s">
        <v>2243</v>
      </c>
      <c r="F161" s="38" t="s">
        <v>2353</v>
      </c>
      <c r="G161" s="45">
        <v>1840</v>
      </c>
      <c r="H161" s="45">
        <v>27.6</v>
      </c>
    </row>
    <row r="162" spans="1:8">
      <c r="A162" s="71">
        <v>130367507575</v>
      </c>
      <c r="B162" s="44" t="s">
        <v>2255</v>
      </c>
      <c r="C162" s="1" t="s">
        <v>2352</v>
      </c>
      <c r="D162" s="49">
        <v>480</v>
      </c>
      <c r="E162" s="44" t="s">
        <v>2255</v>
      </c>
      <c r="F162" s="38" t="s">
        <v>2353</v>
      </c>
      <c r="G162" s="45">
        <v>480</v>
      </c>
      <c r="H162" s="45">
        <v>7.2</v>
      </c>
    </row>
    <row r="163" spans="1:8">
      <c r="A163" s="71">
        <v>130965241174</v>
      </c>
      <c r="B163" s="44" t="s">
        <v>2255</v>
      </c>
      <c r="C163" s="1" t="s">
        <v>2352</v>
      </c>
      <c r="D163" s="49">
        <v>1199</v>
      </c>
      <c r="E163" s="44" t="s">
        <v>2258</v>
      </c>
      <c r="F163" s="38" t="s">
        <v>2353</v>
      </c>
      <c r="G163" s="45">
        <v>1199</v>
      </c>
      <c r="H163" s="45">
        <v>17.989999999999998</v>
      </c>
    </row>
    <row r="164" spans="1:8">
      <c r="A164" s="71">
        <v>130968218136</v>
      </c>
      <c r="B164" s="44" t="s">
        <v>2258</v>
      </c>
      <c r="C164" s="1" t="s">
        <v>2352</v>
      </c>
      <c r="D164" s="49">
        <v>200</v>
      </c>
      <c r="E164" s="44" t="s">
        <v>2258</v>
      </c>
      <c r="F164" s="38" t="s">
        <v>2353</v>
      </c>
      <c r="G164" s="45">
        <v>200</v>
      </c>
      <c r="H164" s="45">
        <v>3</v>
      </c>
    </row>
    <row r="165" spans="1:8">
      <c r="A165" s="71">
        <v>130384388377</v>
      </c>
      <c r="B165" s="44" t="s">
        <v>2258</v>
      </c>
      <c r="C165" s="1" t="s">
        <v>2352</v>
      </c>
      <c r="D165" s="49">
        <v>240</v>
      </c>
      <c r="E165" s="44" t="s">
        <v>2258</v>
      </c>
      <c r="F165" s="38" t="s">
        <v>2353</v>
      </c>
      <c r="G165" s="45">
        <v>240</v>
      </c>
      <c r="H165" s="45">
        <v>3.6</v>
      </c>
    </row>
    <row r="166" spans="1:8">
      <c r="A166" s="71">
        <v>130378434449</v>
      </c>
      <c r="B166" s="44" t="s">
        <v>2255</v>
      </c>
      <c r="C166" s="1" t="s">
        <v>2352</v>
      </c>
      <c r="D166" s="49">
        <v>470</v>
      </c>
      <c r="E166" s="44" t="s">
        <v>2255</v>
      </c>
      <c r="F166" s="38" t="s">
        <v>2353</v>
      </c>
      <c r="G166" s="45">
        <v>470</v>
      </c>
      <c r="H166" s="45">
        <v>7.05</v>
      </c>
    </row>
    <row r="167" spans="1:8">
      <c r="A167" s="71">
        <v>130384192759</v>
      </c>
      <c r="B167" s="44" t="s">
        <v>2258</v>
      </c>
      <c r="C167" s="1" t="s">
        <v>2352</v>
      </c>
      <c r="D167" s="49">
        <v>395</v>
      </c>
      <c r="E167" s="44" t="s">
        <v>2258</v>
      </c>
      <c r="F167" s="38" t="s">
        <v>2353</v>
      </c>
      <c r="G167" s="45">
        <v>395</v>
      </c>
      <c r="H167" s="45">
        <v>5.93</v>
      </c>
    </row>
    <row r="168" spans="1:8">
      <c r="A168" s="71">
        <v>130491895093</v>
      </c>
      <c r="B168" s="44" t="s">
        <v>2258</v>
      </c>
      <c r="C168" s="1" t="s">
        <v>2352</v>
      </c>
      <c r="D168" s="49">
        <v>2385</v>
      </c>
      <c r="E168" s="44" t="s">
        <v>2258</v>
      </c>
      <c r="F168" s="38" t="s">
        <v>2353</v>
      </c>
      <c r="G168" s="45">
        <v>2385</v>
      </c>
      <c r="H168" s="45">
        <v>35.78</v>
      </c>
    </row>
    <row r="169" spans="1:8">
      <c r="A169" s="71">
        <v>131080543782</v>
      </c>
      <c r="B169" s="44" t="s">
        <v>2258</v>
      </c>
      <c r="C169" s="1" t="s">
        <v>2352</v>
      </c>
      <c r="D169" s="49">
        <v>1440</v>
      </c>
      <c r="E169" s="44" t="s">
        <v>2258</v>
      </c>
      <c r="F169" s="38" t="s">
        <v>2353</v>
      </c>
      <c r="G169" s="45">
        <v>1440</v>
      </c>
      <c r="H169" s="45">
        <v>21.6</v>
      </c>
    </row>
    <row r="170" spans="1:8">
      <c r="A170" s="71">
        <v>130498159109</v>
      </c>
      <c r="B170" s="44" t="s">
        <v>2258</v>
      </c>
      <c r="C170" s="1" t="s">
        <v>2352</v>
      </c>
      <c r="D170" s="49">
        <v>400</v>
      </c>
      <c r="E170" s="44" t="s">
        <v>2258</v>
      </c>
      <c r="F170" s="38" t="s">
        <v>2353</v>
      </c>
      <c r="G170" s="45">
        <v>400</v>
      </c>
      <c r="H170" s="45">
        <v>6</v>
      </c>
    </row>
    <row r="171" spans="1:8">
      <c r="A171" s="71">
        <v>130487394525</v>
      </c>
      <c r="B171" s="44" t="s">
        <v>2258</v>
      </c>
      <c r="C171" s="1" t="s">
        <v>2352</v>
      </c>
      <c r="D171" s="49">
        <v>2580</v>
      </c>
      <c r="E171" s="44" t="s">
        <v>2258</v>
      </c>
      <c r="F171" s="38" t="s">
        <v>2353</v>
      </c>
      <c r="G171" s="45">
        <v>2580</v>
      </c>
      <c r="H171" s="45">
        <v>38.700000000000003</v>
      </c>
    </row>
    <row r="172" spans="1:8">
      <c r="A172" s="71">
        <v>131078727208</v>
      </c>
      <c r="B172" s="44" t="s">
        <v>2258</v>
      </c>
      <c r="C172" s="1" t="s">
        <v>2352</v>
      </c>
      <c r="D172" s="49">
        <v>2550</v>
      </c>
      <c r="E172" s="44" t="s">
        <v>2258</v>
      </c>
      <c r="F172" s="38" t="s">
        <v>2353</v>
      </c>
      <c r="G172" s="45">
        <v>2550</v>
      </c>
      <c r="H172" s="45">
        <v>38.25</v>
      </c>
    </row>
    <row r="173" spans="1:8">
      <c r="A173" s="71">
        <v>130499718765</v>
      </c>
      <c r="B173" s="44" t="s">
        <v>2258</v>
      </c>
      <c r="C173" s="1" t="s">
        <v>2352</v>
      </c>
      <c r="D173" s="49">
        <v>600</v>
      </c>
      <c r="E173" s="44" t="s">
        <v>2258</v>
      </c>
      <c r="F173" s="38" t="s">
        <v>2353</v>
      </c>
      <c r="G173" s="45">
        <v>600</v>
      </c>
      <c r="H173" s="45">
        <v>9</v>
      </c>
    </row>
    <row r="174" spans="1:8">
      <c r="A174" s="71">
        <v>130510892843</v>
      </c>
      <c r="B174" s="44" t="s">
        <v>2271</v>
      </c>
      <c r="C174" s="1" t="s">
        <v>2352</v>
      </c>
      <c r="D174" s="49">
        <v>860</v>
      </c>
      <c r="E174" s="44" t="s">
        <v>2271</v>
      </c>
      <c r="F174" s="38" t="s">
        <v>2353</v>
      </c>
      <c r="G174" s="45">
        <v>860</v>
      </c>
      <c r="H174" s="45">
        <v>12.9</v>
      </c>
    </row>
    <row r="175" spans="1:8">
      <c r="A175" s="71">
        <v>130510701953</v>
      </c>
      <c r="B175" s="44" t="s">
        <v>2271</v>
      </c>
      <c r="C175" s="1" t="s">
        <v>2352</v>
      </c>
      <c r="D175" s="49">
        <v>720</v>
      </c>
      <c r="E175" s="44" t="s">
        <v>2271</v>
      </c>
      <c r="F175" s="38" t="s">
        <v>2353</v>
      </c>
      <c r="G175" s="45">
        <v>720</v>
      </c>
      <c r="H175" s="45">
        <v>10.8</v>
      </c>
    </row>
    <row r="176" spans="1:8">
      <c r="A176" s="71">
        <v>131090844954</v>
      </c>
      <c r="B176" s="44" t="s">
        <v>2258</v>
      </c>
      <c r="C176" s="1" t="s">
        <v>2352</v>
      </c>
      <c r="D176" s="49">
        <v>1920</v>
      </c>
      <c r="E176" s="44" t="s">
        <v>2258</v>
      </c>
      <c r="F176" s="38" t="s">
        <v>2353</v>
      </c>
      <c r="G176" s="45">
        <v>1920</v>
      </c>
      <c r="H176" s="45">
        <v>28.8</v>
      </c>
    </row>
    <row r="177" spans="1:8">
      <c r="A177" s="71">
        <v>130508136391</v>
      </c>
      <c r="B177" s="44" t="s">
        <v>2258</v>
      </c>
      <c r="C177" s="1" t="s">
        <v>2352</v>
      </c>
      <c r="D177" s="49">
        <v>450</v>
      </c>
      <c r="E177" s="44" t="s">
        <v>2271</v>
      </c>
      <c r="F177" s="38" t="s">
        <v>2353</v>
      </c>
      <c r="G177" s="45">
        <v>450</v>
      </c>
      <c r="H177" s="45">
        <v>6.75</v>
      </c>
    </row>
    <row r="178" spans="1:8">
      <c r="A178" s="71">
        <v>130508600809</v>
      </c>
      <c r="B178" s="44" t="s">
        <v>2258</v>
      </c>
      <c r="C178" s="1" t="s">
        <v>2352</v>
      </c>
      <c r="D178" s="49">
        <v>3230</v>
      </c>
      <c r="E178" s="44" t="s">
        <v>2271</v>
      </c>
      <c r="F178" s="38" t="s">
        <v>2353</v>
      </c>
      <c r="G178" s="45">
        <v>3230</v>
      </c>
      <c r="H178" s="45">
        <v>48.45</v>
      </c>
    </row>
    <row r="179" spans="1:8">
      <c r="A179" s="71">
        <v>131095516238</v>
      </c>
      <c r="B179" s="44" t="s">
        <v>2271</v>
      </c>
      <c r="C179" s="1" t="s">
        <v>2352</v>
      </c>
      <c r="D179" s="49">
        <v>1925</v>
      </c>
      <c r="E179" s="44" t="s">
        <v>2271</v>
      </c>
      <c r="F179" s="38" t="s">
        <v>2353</v>
      </c>
      <c r="G179" s="45">
        <v>1925</v>
      </c>
      <c r="H179" s="45">
        <v>28.88</v>
      </c>
    </row>
    <row r="180" spans="1:8">
      <c r="A180" s="71">
        <v>130512480681</v>
      </c>
      <c r="B180" s="44" t="s">
        <v>2271</v>
      </c>
      <c r="C180" s="1" t="s">
        <v>2352</v>
      </c>
      <c r="D180" s="49">
        <v>480</v>
      </c>
      <c r="E180" s="44" t="s">
        <v>2271</v>
      </c>
      <c r="F180" s="38" t="s">
        <v>2353</v>
      </c>
      <c r="G180" s="45">
        <v>480</v>
      </c>
      <c r="H180" s="45">
        <v>7.2</v>
      </c>
    </row>
    <row r="181" spans="1:8">
      <c r="A181" s="71">
        <v>130617378717</v>
      </c>
      <c r="B181" s="44" t="s">
        <v>2271</v>
      </c>
      <c r="C181" s="1" t="s">
        <v>2352</v>
      </c>
      <c r="D181" s="49">
        <v>1440</v>
      </c>
      <c r="E181" s="44" t="s">
        <v>2271</v>
      </c>
      <c r="F181" s="38" t="s">
        <v>2353</v>
      </c>
      <c r="G181" s="45">
        <v>1440</v>
      </c>
      <c r="H181" s="45">
        <v>21.6</v>
      </c>
    </row>
    <row r="182" spans="1:8">
      <c r="A182" s="71">
        <v>131207877872</v>
      </c>
      <c r="B182" s="44" t="s">
        <v>2271</v>
      </c>
      <c r="C182" s="1" t="s">
        <v>2352</v>
      </c>
      <c r="D182" s="49">
        <v>585</v>
      </c>
      <c r="E182" s="44" t="s">
        <v>2271</v>
      </c>
      <c r="F182" s="38" t="s">
        <v>2353</v>
      </c>
      <c r="G182" s="45">
        <v>585</v>
      </c>
      <c r="H182" s="45">
        <v>8.7799999999999994</v>
      </c>
    </row>
    <row r="183" spans="1:8">
      <c r="A183" s="71">
        <v>130640843819</v>
      </c>
      <c r="B183" s="44" t="s">
        <v>2282</v>
      </c>
      <c r="C183" s="1" t="s">
        <v>2352</v>
      </c>
      <c r="D183" s="49">
        <v>4900</v>
      </c>
      <c r="E183" s="44" t="s">
        <v>2282</v>
      </c>
      <c r="F183" s="38" t="s">
        <v>2353</v>
      </c>
      <c r="G183" s="45">
        <v>4900</v>
      </c>
      <c r="H183" s="45">
        <v>73.5</v>
      </c>
    </row>
    <row r="184" spans="1:8">
      <c r="A184" s="71">
        <v>130642851035</v>
      </c>
      <c r="B184" s="44" t="s">
        <v>2282</v>
      </c>
      <c r="C184" s="1" t="s">
        <v>2352</v>
      </c>
      <c r="D184" s="49">
        <v>2910</v>
      </c>
      <c r="E184" s="44" t="s">
        <v>2282</v>
      </c>
      <c r="F184" s="38" t="s">
        <v>2353</v>
      </c>
      <c r="G184" s="45">
        <v>2910</v>
      </c>
      <c r="H184" s="45">
        <v>43.65</v>
      </c>
    </row>
    <row r="185" spans="1:8">
      <c r="A185" s="71">
        <v>130725169621</v>
      </c>
      <c r="B185" s="44" t="s">
        <v>2282</v>
      </c>
      <c r="C185" s="1" t="s">
        <v>2352</v>
      </c>
      <c r="D185" s="49">
        <v>720</v>
      </c>
      <c r="E185" s="44" t="s">
        <v>2282</v>
      </c>
      <c r="F185" s="38" t="s">
        <v>2353</v>
      </c>
      <c r="G185" s="45">
        <v>720</v>
      </c>
      <c r="H185" s="45">
        <v>10.8</v>
      </c>
    </row>
    <row r="186" spans="1:8">
      <c r="A186" s="71">
        <v>130719190771</v>
      </c>
      <c r="B186" s="44" t="s">
        <v>2282</v>
      </c>
      <c r="C186" s="1" t="s">
        <v>2352</v>
      </c>
      <c r="D186" s="49">
        <v>222</v>
      </c>
      <c r="E186" s="44" t="s">
        <v>2282</v>
      </c>
      <c r="F186" s="38" t="s">
        <v>2353</v>
      </c>
      <c r="G186" s="45">
        <v>222</v>
      </c>
      <c r="H186" s="45">
        <v>3.33</v>
      </c>
    </row>
    <row r="187" spans="1:8">
      <c r="A187" s="71">
        <v>130741586205</v>
      </c>
      <c r="B187" s="44" t="s">
        <v>2282</v>
      </c>
      <c r="C187" s="1" t="s">
        <v>2352</v>
      </c>
      <c r="D187" s="49">
        <v>4155</v>
      </c>
      <c r="E187" s="44" t="s">
        <v>2282</v>
      </c>
      <c r="F187" s="38" t="s">
        <v>2353</v>
      </c>
      <c r="G187" s="45">
        <v>4155</v>
      </c>
      <c r="H187" s="45">
        <v>62.33</v>
      </c>
    </row>
    <row r="188" spans="1:8">
      <c r="A188" s="71">
        <v>130747324947</v>
      </c>
      <c r="B188" s="44" t="s">
        <v>2282</v>
      </c>
      <c r="C188" s="1" t="s">
        <v>2352</v>
      </c>
      <c r="D188" s="49">
        <v>4930</v>
      </c>
      <c r="E188" s="44" t="s">
        <v>2290</v>
      </c>
      <c r="F188" s="38" t="s">
        <v>2353</v>
      </c>
      <c r="G188" s="45">
        <v>4930</v>
      </c>
      <c r="H188" s="45">
        <v>73.95</v>
      </c>
    </row>
    <row r="189" spans="1:8">
      <c r="A189" s="71">
        <v>130743033185</v>
      </c>
      <c r="B189" s="44" t="s">
        <v>2282</v>
      </c>
      <c r="C189" s="1" t="s">
        <v>2352</v>
      </c>
      <c r="D189" s="49">
        <v>2060</v>
      </c>
      <c r="E189" s="44" t="s">
        <v>2282</v>
      </c>
      <c r="F189" s="38" t="s">
        <v>2353</v>
      </c>
      <c r="G189" s="45">
        <v>2060</v>
      </c>
      <c r="H189" s="45">
        <v>30.9</v>
      </c>
    </row>
    <row r="190" spans="1:8">
      <c r="A190" s="71">
        <v>131415785166</v>
      </c>
      <c r="B190" s="44" t="s">
        <v>2290</v>
      </c>
      <c r="C190" s="1" t="s">
        <v>2352</v>
      </c>
      <c r="D190" s="49">
        <v>1845</v>
      </c>
      <c r="E190" s="44" t="s">
        <v>2290</v>
      </c>
      <c r="F190" s="38" t="s">
        <v>2353</v>
      </c>
      <c r="G190" s="45">
        <v>1845</v>
      </c>
      <c r="H190" s="45">
        <v>27.68</v>
      </c>
    </row>
    <row r="191" spans="1:8">
      <c r="A191" s="71">
        <v>130833937323</v>
      </c>
      <c r="B191" s="44" t="s">
        <v>2290</v>
      </c>
      <c r="C191" s="1" t="s">
        <v>2352</v>
      </c>
      <c r="D191" s="49">
        <v>3760</v>
      </c>
      <c r="E191" s="44" t="s">
        <v>2295</v>
      </c>
      <c r="F191" s="38" t="s">
        <v>2353</v>
      </c>
      <c r="G191" s="45">
        <v>3760</v>
      </c>
      <c r="H191" s="45">
        <v>56.4</v>
      </c>
    </row>
    <row r="192" spans="1:8">
      <c r="A192" s="71">
        <v>130829417965</v>
      </c>
      <c r="B192" s="44" t="s">
        <v>2290</v>
      </c>
      <c r="C192" s="1" t="s">
        <v>2352</v>
      </c>
      <c r="D192" s="49">
        <v>3900</v>
      </c>
      <c r="E192" s="44" t="s">
        <v>2290</v>
      </c>
      <c r="F192" s="38" t="s">
        <v>2353</v>
      </c>
      <c r="G192" s="45">
        <v>3900</v>
      </c>
      <c r="H192" s="45">
        <v>58.5</v>
      </c>
    </row>
    <row r="193" spans="1:8">
      <c r="A193" s="71">
        <v>130832024389</v>
      </c>
      <c r="B193" s="44" t="s">
        <v>2290</v>
      </c>
      <c r="C193" s="1" t="s">
        <v>2352</v>
      </c>
      <c r="D193" s="49">
        <v>2005</v>
      </c>
      <c r="E193" s="44" t="s">
        <v>2290</v>
      </c>
      <c r="F193" s="38" t="s">
        <v>2353</v>
      </c>
      <c r="G193" s="45">
        <v>2005</v>
      </c>
      <c r="H193" s="45">
        <v>30.08</v>
      </c>
    </row>
    <row r="194" spans="1:8">
      <c r="A194" s="71">
        <v>130835087415</v>
      </c>
      <c r="B194" s="44" t="s">
        <v>2290</v>
      </c>
      <c r="C194" s="1" t="s">
        <v>2352</v>
      </c>
      <c r="D194" s="49">
        <v>420</v>
      </c>
      <c r="E194" s="44" t="s">
        <v>2295</v>
      </c>
      <c r="F194" s="38" t="s">
        <v>2353</v>
      </c>
      <c r="G194" s="45">
        <v>420</v>
      </c>
      <c r="H194" s="45">
        <v>6.3</v>
      </c>
    </row>
    <row r="195" spans="1:8">
      <c r="A195" s="71">
        <v>131769443928</v>
      </c>
      <c r="B195" s="44" t="s">
        <v>2303</v>
      </c>
      <c r="C195" s="1" t="s">
        <v>2352</v>
      </c>
      <c r="D195" s="49">
        <v>4580</v>
      </c>
      <c r="E195" s="44" t="s">
        <v>2303</v>
      </c>
      <c r="F195" s="38" t="s">
        <v>2353</v>
      </c>
      <c r="G195" s="45">
        <v>4580</v>
      </c>
      <c r="H195" s="45">
        <v>68.7</v>
      </c>
    </row>
    <row r="196" spans="1:8">
      <c r="A196" s="71">
        <v>131180187819</v>
      </c>
      <c r="B196" s="44" t="s">
        <v>2303</v>
      </c>
      <c r="C196" s="1" t="s">
        <v>2352</v>
      </c>
      <c r="D196" s="49">
        <v>420</v>
      </c>
      <c r="E196" s="44" t="s">
        <v>2303</v>
      </c>
      <c r="F196" s="38" t="s">
        <v>2353</v>
      </c>
      <c r="G196" s="45">
        <v>420</v>
      </c>
      <c r="H196" s="45">
        <v>6.3</v>
      </c>
    </row>
    <row r="197" spans="1:8">
      <c r="A197" s="71">
        <v>131293868791</v>
      </c>
      <c r="B197" s="44" t="s">
        <v>2308</v>
      </c>
      <c r="C197" s="1" t="s">
        <v>2352</v>
      </c>
      <c r="D197" s="49">
        <v>200</v>
      </c>
      <c r="E197" s="44" t="s">
        <v>2308</v>
      </c>
      <c r="F197" s="38" t="s">
        <v>2353</v>
      </c>
      <c r="G197" s="45">
        <v>200</v>
      </c>
      <c r="H197" s="45">
        <v>3</v>
      </c>
    </row>
    <row r="198" spans="1:8">
      <c r="A198" s="71">
        <v>131890471796</v>
      </c>
      <c r="B198" s="44" t="s">
        <v>2308</v>
      </c>
      <c r="C198" s="1" t="s">
        <v>2352</v>
      </c>
      <c r="D198" s="49">
        <v>1390</v>
      </c>
      <c r="E198" s="44" t="s">
        <v>2308</v>
      </c>
      <c r="F198" s="38" t="s">
        <v>2353</v>
      </c>
      <c r="G198" s="45">
        <v>1390</v>
      </c>
      <c r="H198" s="45">
        <v>20.85</v>
      </c>
    </row>
    <row r="199" spans="1:8">
      <c r="A199" s="71">
        <v>131307866811</v>
      </c>
      <c r="B199" s="44" t="s">
        <v>2308</v>
      </c>
      <c r="C199" s="1" t="s">
        <v>2352</v>
      </c>
      <c r="D199" s="49">
        <v>480</v>
      </c>
      <c r="E199" s="44" t="s">
        <v>2308</v>
      </c>
      <c r="F199" s="38" t="s">
        <v>2353</v>
      </c>
      <c r="G199" s="45">
        <v>480</v>
      </c>
      <c r="H199" s="45">
        <v>7.2</v>
      </c>
    </row>
    <row r="200" spans="1:8">
      <c r="A200" s="71">
        <v>131905932386</v>
      </c>
      <c r="B200" s="44" t="s">
        <v>2308</v>
      </c>
      <c r="C200" s="1" t="s">
        <v>2352</v>
      </c>
      <c r="D200" s="49">
        <v>240</v>
      </c>
      <c r="E200" s="44" t="s">
        <v>2308</v>
      </c>
      <c r="F200" s="38" t="s">
        <v>2353</v>
      </c>
      <c r="G200" s="45">
        <v>240</v>
      </c>
      <c r="H200" s="45">
        <v>3.6</v>
      </c>
    </row>
    <row r="201" spans="1:8">
      <c r="A201" s="71">
        <v>131910726814</v>
      </c>
      <c r="B201" s="44" t="s">
        <v>2308</v>
      </c>
      <c r="C201" s="1" t="s">
        <v>2352</v>
      </c>
      <c r="D201" s="49">
        <v>1065</v>
      </c>
      <c r="E201" s="44" t="s">
        <v>2308</v>
      </c>
      <c r="F201" s="38" t="s">
        <v>2353</v>
      </c>
      <c r="G201" s="45">
        <v>1065</v>
      </c>
      <c r="H201" s="45">
        <v>15.98</v>
      </c>
    </row>
    <row r="202" spans="1:8">
      <c r="A202" s="71">
        <v>131313734591</v>
      </c>
      <c r="B202" s="44" t="s">
        <v>2308</v>
      </c>
      <c r="C202" s="1" t="s">
        <v>2352</v>
      </c>
      <c r="D202" s="49">
        <v>480</v>
      </c>
      <c r="E202" s="44" t="s">
        <v>2308</v>
      </c>
      <c r="F202" s="38" t="s">
        <v>2353</v>
      </c>
      <c r="G202" s="45">
        <v>480</v>
      </c>
      <c r="H202" s="45">
        <v>7.2</v>
      </c>
    </row>
    <row r="203" spans="1:8">
      <c r="A203" s="71">
        <v>131901914752</v>
      </c>
      <c r="B203" s="44" t="s">
        <v>2308</v>
      </c>
      <c r="C203" s="1" t="s">
        <v>2352</v>
      </c>
      <c r="D203" s="49">
        <v>275</v>
      </c>
      <c r="E203" s="44" t="s">
        <v>2308</v>
      </c>
      <c r="F203" s="38" t="s">
        <v>2353</v>
      </c>
      <c r="G203" s="45">
        <v>275</v>
      </c>
      <c r="H203" s="45">
        <v>4.13</v>
      </c>
    </row>
    <row r="204" spans="1:8">
      <c r="A204" s="71">
        <v>131913722710</v>
      </c>
      <c r="B204" s="44" t="s">
        <v>2308</v>
      </c>
      <c r="C204" s="1" t="s">
        <v>2352</v>
      </c>
      <c r="D204" s="49">
        <v>3225</v>
      </c>
      <c r="E204" s="44" t="s">
        <v>2316</v>
      </c>
      <c r="F204" s="38" t="s">
        <v>2353</v>
      </c>
      <c r="G204" s="45">
        <v>3225</v>
      </c>
      <c r="H204" s="45">
        <v>48.38</v>
      </c>
    </row>
    <row r="205" spans="1:8">
      <c r="A205" s="71">
        <v>131306274905</v>
      </c>
      <c r="B205" s="44" t="s">
        <v>2308</v>
      </c>
      <c r="C205" s="1" t="s">
        <v>2352</v>
      </c>
      <c r="D205" s="49">
        <v>240</v>
      </c>
      <c r="E205" s="44" t="s">
        <v>2308</v>
      </c>
      <c r="F205" s="38" t="s">
        <v>2353</v>
      </c>
      <c r="G205" s="45">
        <v>240</v>
      </c>
      <c r="H205" s="45">
        <v>3.6</v>
      </c>
    </row>
    <row r="206" spans="1:8">
      <c r="A206" s="71">
        <v>131306413635</v>
      </c>
      <c r="B206" s="44" t="s">
        <v>2308</v>
      </c>
      <c r="C206" s="1" t="s">
        <v>2352</v>
      </c>
      <c r="D206" s="49">
        <v>120</v>
      </c>
      <c r="E206" s="44" t="s">
        <v>2308</v>
      </c>
      <c r="F206" s="38" t="s">
        <v>2353</v>
      </c>
      <c r="G206" s="45">
        <v>120</v>
      </c>
      <c r="H206" s="45">
        <v>1.8</v>
      </c>
    </row>
    <row r="207" spans="1:8">
      <c r="A207" s="71">
        <v>131914675008</v>
      </c>
      <c r="B207" s="44" t="s">
        <v>2316</v>
      </c>
      <c r="C207" s="1" t="s">
        <v>2352</v>
      </c>
      <c r="D207" s="49">
        <v>960</v>
      </c>
      <c r="E207" s="44" t="s">
        <v>2316</v>
      </c>
      <c r="F207" s="38" t="s">
        <v>2353</v>
      </c>
      <c r="G207" s="45">
        <v>960</v>
      </c>
      <c r="H207" s="45">
        <v>14.4</v>
      </c>
    </row>
    <row r="208" spans="1:8">
      <c r="A208" s="71">
        <v>131915191964</v>
      </c>
      <c r="B208" s="44" t="s">
        <v>2316</v>
      </c>
      <c r="C208" s="1" t="s">
        <v>2352</v>
      </c>
      <c r="D208" s="49">
        <v>1390</v>
      </c>
      <c r="E208" s="44" t="s">
        <v>2316</v>
      </c>
      <c r="F208" s="38" t="s">
        <v>2353</v>
      </c>
      <c r="G208" s="45">
        <v>1390</v>
      </c>
      <c r="H208" s="45">
        <v>20.85</v>
      </c>
    </row>
    <row r="209" spans="1:8">
      <c r="A209" s="71">
        <v>131915273768</v>
      </c>
      <c r="B209" s="44" t="s">
        <v>2316</v>
      </c>
      <c r="C209" s="1" t="s">
        <v>2352</v>
      </c>
      <c r="D209" s="49">
        <v>820</v>
      </c>
      <c r="E209" s="44" t="s">
        <v>2316</v>
      </c>
      <c r="F209" s="38" t="s">
        <v>2353</v>
      </c>
      <c r="G209" s="45">
        <v>820</v>
      </c>
      <c r="H209" s="45">
        <v>12.3</v>
      </c>
    </row>
    <row r="210" spans="1:8">
      <c r="A210" s="71">
        <v>131319123549</v>
      </c>
      <c r="B210" s="44" t="s">
        <v>2316</v>
      </c>
      <c r="C210" s="1" t="s">
        <v>2352</v>
      </c>
      <c r="D210" s="49">
        <v>595</v>
      </c>
      <c r="E210" s="44" t="s">
        <v>2316</v>
      </c>
      <c r="F210" s="38" t="s">
        <v>2353</v>
      </c>
      <c r="G210" s="45">
        <v>595</v>
      </c>
      <c r="H210" s="45">
        <v>8.93</v>
      </c>
    </row>
    <row r="211" spans="1:8">
      <c r="A211" s="71">
        <v>131320260817</v>
      </c>
      <c r="B211" s="44" t="s">
        <v>2316</v>
      </c>
      <c r="C211" s="1" t="s">
        <v>2352</v>
      </c>
      <c r="D211" s="49">
        <v>240</v>
      </c>
      <c r="E211" s="44" t="s">
        <v>2316</v>
      </c>
      <c r="F211" s="38" t="s">
        <v>2353</v>
      </c>
      <c r="G211" s="45">
        <v>240</v>
      </c>
      <c r="H211" s="45">
        <v>3.6</v>
      </c>
    </row>
    <row r="212" spans="1:8">
      <c r="A212" s="71">
        <v>131917132592</v>
      </c>
      <c r="B212" s="44" t="s">
        <v>2316</v>
      </c>
      <c r="C212" s="1" t="s">
        <v>2352</v>
      </c>
      <c r="D212" s="49">
        <v>440</v>
      </c>
      <c r="E212" s="44" t="s">
        <v>2316</v>
      </c>
      <c r="F212" s="38" t="s">
        <v>2353</v>
      </c>
      <c r="G212" s="45">
        <v>440</v>
      </c>
      <c r="H212" s="45">
        <v>6.6</v>
      </c>
    </row>
    <row r="213" spans="1:8">
      <c r="A213" s="71">
        <v>131917606846</v>
      </c>
      <c r="B213" s="44" t="s">
        <v>2316</v>
      </c>
      <c r="C213" s="1" t="s">
        <v>2352</v>
      </c>
      <c r="D213" s="49">
        <v>630</v>
      </c>
      <c r="E213" s="44" t="s">
        <v>2316</v>
      </c>
      <c r="F213" s="38" t="s">
        <v>2353</v>
      </c>
      <c r="G213" s="45">
        <v>630</v>
      </c>
      <c r="H213" s="45">
        <v>9.4499999999999993</v>
      </c>
    </row>
    <row r="214" spans="1:8">
      <c r="A214" s="71">
        <v>131909574080</v>
      </c>
      <c r="B214" s="44" t="s">
        <v>2308</v>
      </c>
      <c r="C214" s="1" t="s">
        <v>2352</v>
      </c>
      <c r="D214" s="49">
        <v>200</v>
      </c>
      <c r="E214" s="44" t="s">
        <v>2308</v>
      </c>
      <c r="F214" s="38" t="s">
        <v>2353</v>
      </c>
      <c r="G214" s="45">
        <v>200</v>
      </c>
      <c r="H214" s="45">
        <v>3</v>
      </c>
    </row>
    <row r="215" spans="1:8">
      <c r="A215" s="71">
        <v>131319469609</v>
      </c>
      <c r="B215" s="44" t="s">
        <v>2316</v>
      </c>
      <c r="C215" s="1" t="s">
        <v>2352</v>
      </c>
      <c r="D215" s="49">
        <v>2610</v>
      </c>
      <c r="E215" s="44" t="s">
        <v>2316</v>
      </c>
      <c r="F215" s="38" t="s">
        <v>2353</v>
      </c>
      <c r="G215" s="45">
        <v>2610</v>
      </c>
      <c r="H215" s="45">
        <v>39.15</v>
      </c>
    </row>
    <row r="216" spans="1:8">
      <c r="A216" s="71">
        <v>131916458918</v>
      </c>
      <c r="B216" s="44" t="s">
        <v>2316</v>
      </c>
      <c r="C216" s="1" t="s">
        <v>2352</v>
      </c>
      <c r="D216" s="49">
        <v>825</v>
      </c>
      <c r="E216" s="44" t="s">
        <v>2316</v>
      </c>
      <c r="F216" s="38" t="s">
        <v>2353</v>
      </c>
      <c r="G216" s="45">
        <v>825</v>
      </c>
      <c r="H216" s="45">
        <v>12.38</v>
      </c>
    </row>
    <row r="217" spans="1:8">
      <c r="A217" s="71">
        <v>131320680825</v>
      </c>
      <c r="B217" s="44" t="s">
        <v>2316</v>
      </c>
      <c r="C217" s="1" t="s">
        <v>2352</v>
      </c>
      <c r="D217" s="49">
        <v>400</v>
      </c>
      <c r="E217" s="44" t="s">
        <v>2316</v>
      </c>
      <c r="F217" s="38" t="s">
        <v>2353</v>
      </c>
      <c r="G217" s="45">
        <v>400</v>
      </c>
      <c r="H217" s="45">
        <v>6</v>
      </c>
    </row>
    <row r="218" spans="1:8">
      <c r="A218" s="71">
        <v>132033306284</v>
      </c>
      <c r="B218" s="44" t="s">
        <v>2316</v>
      </c>
      <c r="C218" s="1" t="s">
        <v>2352</v>
      </c>
      <c r="D218" s="49">
        <v>1990</v>
      </c>
      <c r="E218" s="44" t="s">
        <v>2316</v>
      </c>
      <c r="F218" s="38" t="s">
        <v>2353</v>
      </c>
      <c r="G218" s="45">
        <v>1990</v>
      </c>
      <c r="H218" s="45">
        <v>29.85</v>
      </c>
    </row>
    <row r="219" spans="1:8">
      <c r="A219" s="71">
        <v>131437083607</v>
      </c>
      <c r="B219" s="44" t="s">
        <v>2316</v>
      </c>
      <c r="C219" s="1" t="s">
        <v>2352</v>
      </c>
      <c r="D219" s="49">
        <v>960</v>
      </c>
      <c r="E219" s="44" t="s">
        <v>2316</v>
      </c>
      <c r="F219" s="38" t="s">
        <v>2353</v>
      </c>
      <c r="G219" s="45">
        <v>960</v>
      </c>
      <c r="H219" s="45">
        <v>14.4</v>
      </c>
    </row>
    <row r="220" spans="1:8">
      <c r="A220" s="71">
        <v>132038062836</v>
      </c>
      <c r="B220" s="44" t="s">
        <v>2316</v>
      </c>
      <c r="C220" s="1" t="s">
        <v>2352</v>
      </c>
      <c r="D220" s="49">
        <v>1990</v>
      </c>
      <c r="E220" s="44" t="s">
        <v>2316</v>
      </c>
      <c r="F220" s="38" t="s">
        <v>2353</v>
      </c>
      <c r="G220" s="45">
        <v>1990</v>
      </c>
      <c r="H220" s="45">
        <v>29.85</v>
      </c>
    </row>
    <row r="221" spans="1:8">
      <c r="A221" s="71">
        <v>131426410673</v>
      </c>
      <c r="B221" s="44" t="s">
        <v>2316</v>
      </c>
      <c r="C221" s="1" t="s">
        <v>2352</v>
      </c>
      <c r="D221" s="49">
        <v>480</v>
      </c>
      <c r="E221" s="44" t="s">
        <v>2316</v>
      </c>
      <c r="F221" s="38" t="s">
        <v>2353</v>
      </c>
      <c r="G221" s="45">
        <v>480</v>
      </c>
      <c r="H221" s="45">
        <v>7.2</v>
      </c>
    </row>
    <row r="222" spans="1:8">
      <c r="A222" s="71"/>
      <c r="B222" s="44"/>
      <c r="D222" s="49"/>
      <c r="E222" s="44"/>
      <c r="F222" s="38"/>
      <c r="G222" s="45"/>
      <c r="H222" s="45"/>
    </row>
    <row r="223" spans="1:8">
      <c r="G223" s="66">
        <f>SUM(G21:G222)</f>
        <v>382419</v>
      </c>
      <c r="H223" s="66">
        <f>SUM(H21:H222)</f>
        <v>5736.5300000000016</v>
      </c>
    </row>
  </sheetData>
  <autoFilter ref="A20:H20"/>
  <mergeCells count="4">
    <mergeCell ref="A1:H1"/>
    <mergeCell ref="A16:D16"/>
    <mergeCell ref="A19:D19"/>
    <mergeCell ref="E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4746"/>
  <sheetViews>
    <sheetView zoomScale="85" zoomScaleNormal="85" workbookViewId="0">
      <pane xSplit="1" ySplit="15" topLeftCell="B1448" activePane="bottomRight" state="frozen"/>
      <selection activeCell="B1496" sqref="B1496"/>
      <selection pane="topRight" activeCell="B1496" sqref="B1496"/>
      <selection pane="bottomLeft" activeCell="B1496" sqref="B1496"/>
      <selection pane="bottomRight" activeCell="B1496" sqref="B1496"/>
    </sheetView>
  </sheetViews>
  <sheetFormatPr baseColWidth="10" defaultColWidth="9.140625" defaultRowHeight="15"/>
  <cols>
    <col min="1" max="1" width="45" style="1" customWidth="1"/>
    <col min="2" max="2" width="23" style="1" customWidth="1"/>
    <col min="3" max="3" width="11.425781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9" t="s">
        <v>2354</v>
      </c>
      <c r="B1" s="100"/>
      <c r="C1" s="100"/>
      <c r="D1" s="100"/>
      <c r="E1" s="100"/>
      <c r="F1" s="100"/>
      <c r="G1" s="100"/>
      <c r="H1" s="100"/>
    </row>
    <row r="2" spans="1:8">
      <c r="A2" s="37"/>
      <c r="B2" s="38"/>
    </row>
    <row r="3" spans="1:8">
      <c r="A3" s="37" t="s">
        <v>2027</v>
      </c>
      <c r="B3" s="38" t="s">
        <v>2028</v>
      </c>
    </row>
    <row r="4" spans="1:8">
      <c r="A4" s="37" t="s">
        <v>2029</v>
      </c>
      <c r="B4" s="38" t="s">
        <v>2355</v>
      </c>
    </row>
    <row r="5" spans="1:8">
      <c r="A5" s="37" t="s">
        <v>2031</v>
      </c>
      <c r="B5" s="38" t="s">
        <v>2032</v>
      </c>
    </row>
    <row r="6" spans="1:8">
      <c r="A6" s="37" t="s">
        <v>2033</v>
      </c>
      <c r="B6" s="38" t="s">
        <v>2356</v>
      </c>
    </row>
    <row r="8" spans="1:8">
      <c r="A8" s="39" t="s">
        <v>2035</v>
      </c>
      <c r="B8" s="40" t="s">
        <v>2036</v>
      </c>
    </row>
    <row r="9" spans="1:8">
      <c r="A9" s="1" t="s">
        <v>2037</v>
      </c>
      <c r="B9" s="38" t="s">
        <v>2357</v>
      </c>
    </row>
    <row r="10" spans="1:8">
      <c r="A10" s="1" t="s">
        <v>2039</v>
      </c>
      <c r="B10" s="38" t="s">
        <v>2358</v>
      </c>
    </row>
    <row r="11" spans="1:8">
      <c r="A11" s="1" t="s">
        <v>2041</v>
      </c>
      <c r="B11" s="38" t="s">
        <v>2359</v>
      </c>
    </row>
    <row r="12" spans="1:8">
      <c r="A12" s="42" t="s">
        <v>2053</v>
      </c>
      <c r="B12" s="42"/>
      <c r="C12" s="42"/>
      <c r="D12" s="42" t="s">
        <v>2054</v>
      </c>
      <c r="E12" s="43"/>
      <c r="F12" s="43"/>
      <c r="G12" s="43"/>
      <c r="H12" s="43"/>
    </row>
    <row r="14" spans="1:8">
      <c r="A14" s="102" t="s">
        <v>2045</v>
      </c>
      <c r="B14" s="102"/>
      <c r="C14" s="102"/>
      <c r="D14" s="102"/>
      <c r="E14" s="103" t="s">
        <v>2046</v>
      </c>
      <c r="F14" s="103"/>
      <c r="G14" s="103"/>
      <c r="H14" s="103"/>
    </row>
    <row r="15" spans="1:8">
      <c r="A15" s="77" t="s">
        <v>2050</v>
      </c>
      <c r="B15" s="41" t="s">
        <v>2047</v>
      </c>
      <c r="C15" s="41" t="s">
        <v>2048</v>
      </c>
      <c r="D15" s="41" t="s">
        <v>2049</v>
      </c>
      <c r="E15" s="41" t="s">
        <v>2051</v>
      </c>
      <c r="F15" s="41" t="s">
        <v>2052</v>
      </c>
      <c r="G15" s="41" t="s">
        <v>2037</v>
      </c>
      <c r="H15" s="41" t="s">
        <v>2039</v>
      </c>
    </row>
    <row r="16" spans="1:8">
      <c r="A16" s="78">
        <v>127694553001</v>
      </c>
      <c r="B16" s="1" t="s">
        <v>2055</v>
      </c>
      <c r="C16" s="44" t="s">
        <v>2056</v>
      </c>
      <c r="D16" s="1" t="s">
        <v>2360</v>
      </c>
      <c r="E16" s="44" t="s">
        <v>2056</v>
      </c>
      <c r="F16" s="38" t="s">
        <v>2361</v>
      </c>
      <c r="G16" s="45">
        <v>9000</v>
      </c>
      <c r="H16" s="45">
        <v>90</v>
      </c>
    </row>
    <row r="17" spans="1:8">
      <c r="A17" s="78">
        <v>127706300651</v>
      </c>
      <c r="B17" s="1" t="s">
        <v>8</v>
      </c>
      <c r="C17" s="44" t="s">
        <v>2056</v>
      </c>
      <c r="D17" s="1" t="s">
        <v>2360</v>
      </c>
      <c r="E17" s="44" t="s">
        <v>2056</v>
      </c>
      <c r="F17" s="38" t="s">
        <v>2361</v>
      </c>
      <c r="G17" s="45">
        <v>8000</v>
      </c>
      <c r="H17" s="45">
        <v>80</v>
      </c>
    </row>
    <row r="18" spans="1:8">
      <c r="A18" s="78">
        <v>127707346037</v>
      </c>
      <c r="B18" s="1" t="s">
        <v>8</v>
      </c>
      <c r="C18" s="44" t="s">
        <v>2056</v>
      </c>
      <c r="D18" s="1" t="s">
        <v>2360</v>
      </c>
      <c r="E18" s="44" t="s">
        <v>2056</v>
      </c>
      <c r="F18" s="38" t="s">
        <v>2361</v>
      </c>
      <c r="G18" s="45">
        <v>9000</v>
      </c>
      <c r="H18" s="45">
        <v>90</v>
      </c>
    </row>
    <row r="19" spans="1:8">
      <c r="A19" s="78">
        <v>128274716662</v>
      </c>
      <c r="B19" s="1" t="s">
        <v>8</v>
      </c>
      <c r="C19" s="44" t="s">
        <v>2056</v>
      </c>
      <c r="D19" s="1" t="s">
        <v>2360</v>
      </c>
      <c r="E19" s="44" t="s">
        <v>2056</v>
      </c>
      <c r="F19" s="38" t="s">
        <v>2361</v>
      </c>
      <c r="G19" s="45">
        <v>11200</v>
      </c>
      <c r="H19" s="45">
        <v>112</v>
      </c>
    </row>
    <row r="20" spans="1:8">
      <c r="A20" s="78">
        <v>128275855374</v>
      </c>
      <c r="B20" s="1" t="s">
        <v>8</v>
      </c>
      <c r="C20" s="44" t="s">
        <v>2056</v>
      </c>
      <c r="D20" s="1" t="s">
        <v>2360</v>
      </c>
      <c r="E20" s="44" t="s">
        <v>2056</v>
      </c>
      <c r="F20" s="38" t="s">
        <v>2361</v>
      </c>
      <c r="G20" s="45">
        <v>45296</v>
      </c>
      <c r="H20" s="45">
        <v>452.96</v>
      </c>
    </row>
    <row r="21" spans="1:8">
      <c r="A21" s="78">
        <v>127715107443</v>
      </c>
      <c r="B21" s="1" t="s">
        <v>8</v>
      </c>
      <c r="C21" s="44" t="s">
        <v>2056</v>
      </c>
      <c r="D21" s="1" t="s">
        <v>2360</v>
      </c>
      <c r="E21" s="44" t="s">
        <v>2056</v>
      </c>
      <c r="F21" s="38" t="s">
        <v>2361</v>
      </c>
      <c r="G21" s="45">
        <v>30898</v>
      </c>
      <c r="H21" s="45">
        <v>308.98</v>
      </c>
    </row>
    <row r="22" spans="1:8">
      <c r="A22" s="78">
        <v>128281806306</v>
      </c>
      <c r="B22" s="1" t="s">
        <v>8</v>
      </c>
      <c r="C22" s="44" t="s">
        <v>2056</v>
      </c>
      <c r="D22" s="1" t="s">
        <v>2360</v>
      </c>
      <c r="E22" s="44" t="s">
        <v>2056</v>
      </c>
      <c r="F22" s="38" t="s">
        <v>2361</v>
      </c>
      <c r="G22" s="45">
        <v>13000</v>
      </c>
      <c r="H22" s="45">
        <v>130</v>
      </c>
    </row>
    <row r="23" spans="1:8">
      <c r="A23" s="78">
        <v>127719431701</v>
      </c>
      <c r="B23" s="1" t="s">
        <v>8</v>
      </c>
      <c r="C23" s="44" t="s">
        <v>2056</v>
      </c>
      <c r="D23" s="1" t="s">
        <v>2360</v>
      </c>
      <c r="E23" s="44" t="s">
        <v>2056</v>
      </c>
      <c r="F23" s="38" t="s">
        <v>2361</v>
      </c>
      <c r="G23" s="45">
        <v>19998</v>
      </c>
      <c r="H23" s="45">
        <v>199.98</v>
      </c>
    </row>
    <row r="24" spans="1:8">
      <c r="A24" s="78">
        <v>127719758089</v>
      </c>
      <c r="B24" s="1" t="s">
        <v>8</v>
      </c>
      <c r="C24" s="44" t="s">
        <v>2056</v>
      </c>
      <c r="D24" s="1" t="s">
        <v>2360</v>
      </c>
      <c r="E24" s="44" t="s">
        <v>2056</v>
      </c>
      <c r="F24" s="38" t="s">
        <v>2361</v>
      </c>
      <c r="G24" s="45">
        <v>75397</v>
      </c>
      <c r="H24" s="45">
        <v>753.97</v>
      </c>
    </row>
    <row r="25" spans="1:8">
      <c r="A25" s="78">
        <v>128285683510</v>
      </c>
      <c r="B25" s="1" t="s">
        <v>8</v>
      </c>
      <c r="C25" s="44" t="s">
        <v>2056</v>
      </c>
      <c r="D25" s="1" t="s">
        <v>2360</v>
      </c>
      <c r="E25" s="44" t="s">
        <v>2056</v>
      </c>
      <c r="F25" s="38" t="s">
        <v>2361</v>
      </c>
      <c r="G25" s="45">
        <v>40000</v>
      </c>
      <c r="H25" s="45">
        <v>400</v>
      </c>
    </row>
    <row r="26" spans="1:8">
      <c r="A26" s="78">
        <v>128286715036</v>
      </c>
      <c r="B26" s="1" t="s">
        <v>8</v>
      </c>
      <c r="C26" s="44" t="s">
        <v>2056</v>
      </c>
      <c r="D26" s="1" t="s">
        <v>2360</v>
      </c>
      <c r="E26" s="44" t="s">
        <v>2056</v>
      </c>
      <c r="F26" s="38" t="s">
        <v>2361</v>
      </c>
      <c r="G26" s="45">
        <v>17500</v>
      </c>
      <c r="H26" s="45">
        <v>175</v>
      </c>
    </row>
    <row r="27" spans="1:8">
      <c r="A27" s="78">
        <v>127713602167</v>
      </c>
      <c r="B27" s="1" t="s">
        <v>8</v>
      </c>
      <c r="C27" s="44" t="s">
        <v>2056</v>
      </c>
      <c r="D27" s="1" t="s">
        <v>2360</v>
      </c>
      <c r="E27" s="44" t="s">
        <v>2056</v>
      </c>
      <c r="F27" s="38" t="s">
        <v>2361</v>
      </c>
      <c r="G27" s="45">
        <v>500</v>
      </c>
      <c r="H27" s="45">
        <v>5</v>
      </c>
    </row>
    <row r="28" spans="1:8">
      <c r="A28" s="78">
        <v>128287489024</v>
      </c>
      <c r="B28" s="1" t="s">
        <v>8</v>
      </c>
      <c r="C28" s="44" t="s">
        <v>2056</v>
      </c>
      <c r="D28" s="1" t="s">
        <v>2360</v>
      </c>
      <c r="E28" s="44" t="s">
        <v>2060</v>
      </c>
      <c r="F28" s="38" t="s">
        <v>2361</v>
      </c>
      <c r="G28" s="45">
        <v>9900</v>
      </c>
      <c r="H28" s="45">
        <v>99</v>
      </c>
    </row>
    <row r="29" spans="1:8">
      <c r="A29" s="78">
        <v>127722493817</v>
      </c>
      <c r="B29" s="1" t="s">
        <v>2055</v>
      </c>
      <c r="C29" s="44" t="s">
        <v>2056</v>
      </c>
      <c r="D29" s="1" t="s">
        <v>2360</v>
      </c>
      <c r="E29" s="44" t="s">
        <v>2060</v>
      </c>
      <c r="F29" s="38" t="s">
        <v>2361</v>
      </c>
      <c r="G29" s="45">
        <v>34900</v>
      </c>
      <c r="H29" s="45">
        <v>349</v>
      </c>
    </row>
    <row r="30" spans="1:8">
      <c r="A30" s="78">
        <v>128288249068</v>
      </c>
      <c r="B30" s="1" t="s">
        <v>8</v>
      </c>
      <c r="C30" s="44" t="s">
        <v>2056</v>
      </c>
      <c r="D30" s="1" t="s">
        <v>2360</v>
      </c>
      <c r="E30" s="44" t="s">
        <v>2060</v>
      </c>
      <c r="F30" s="38" t="s">
        <v>2361</v>
      </c>
      <c r="G30" s="45">
        <v>34300</v>
      </c>
      <c r="H30" s="45">
        <v>343</v>
      </c>
    </row>
    <row r="31" spans="1:8">
      <c r="A31" s="78">
        <v>127715769581</v>
      </c>
      <c r="B31" s="1" t="s">
        <v>8</v>
      </c>
      <c r="C31" s="44" t="s">
        <v>2056</v>
      </c>
      <c r="D31" s="1" t="s">
        <v>2360</v>
      </c>
      <c r="E31" s="44" t="s">
        <v>2056</v>
      </c>
      <c r="F31" s="38" t="s">
        <v>2361</v>
      </c>
      <c r="G31" s="45">
        <v>39996</v>
      </c>
      <c r="H31" s="45">
        <v>399.96</v>
      </c>
    </row>
    <row r="32" spans="1:8">
      <c r="A32" s="78">
        <v>128281546618</v>
      </c>
      <c r="B32" s="1" t="s">
        <v>8</v>
      </c>
      <c r="C32" s="44" t="s">
        <v>2056</v>
      </c>
      <c r="D32" s="1" t="s">
        <v>2360</v>
      </c>
      <c r="E32" s="44" t="s">
        <v>2056</v>
      </c>
      <c r="F32" s="38" t="s">
        <v>2361</v>
      </c>
      <c r="G32" s="45">
        <v>26400</v>
      </c>
      <c r="H32" s="45">
        <v>264</v>
      </c>
    </row>
    <row r="33" spans="1:8">
      <c r="A33" s="78">
        <v>127724766231</v>
      </c>
      <c r="B33" s="1" t="s">
        <v>8</v>
      </c>
      <c r="C33" s="44" t="s">
        <v>2060</v>
      </c>
      <c r="D33" s="1" t="s">
        <v>2360</v>
      </c>
      <c r="E33" s="44" t="s">
        <v>2060</v>
      </c>
      <c r="F33" s="38" t="s">
        <v>2361</v>
      </c>
      <c r="G33" s="45">
        <v>4500</v>
      </c>
      <c r="H33" s="45">
        <v>45</v>
      </c>
    </row>
    <row r="34" spans="1:8">
      <c r="A34" s="78">
        <v>128282615258</v>
      </c>
      <c r="B34" s="1" t="s">
        <v>2055</v>
      </c>
      <c r="C34" s="44" t="s">
        <v>2056</v>
      </c>
      <c r="D34" s="1" t="s">
        <v>2360</v>
      </c>
      <c r="E34" s="44" t="s">
        <v>2056</v>
      </c>
      <c r="F34" s="38" t="s">
        <v>2361</v>
      </c>
      <c r="G34" s="45">
        <v>21399</v>
      </c>
      <c r="H34" s="45">
        <v>213.99</v>
      </c>
    </row>
    <row r="35" spans="1:8">
      <c r="A35" s="78">
        <v>127717828761</v>
      </c>
      <c r="B35" s="1" t="s">
        <v>2055</v>
      </c>
      <c r="C35" s="44" t="s">
        <v>2056</v>
      </c>
      <c r="D35" s="1" t="s">
        <v>2360</v>
      </c>
      <c r="E35" s="44" t="s">
        <v>2056</v>
      </c>
      <c r="F35" s="38" t="s">
        <v>2361</v>
      </c>
      <c r="G35" s="45">
        <v>32998</v>
      </c>
      <c r="H35" s="45">
        <v>329.98</v>
      </c>
    </row>
    <row r="36" spans="1:8">
      <c r="A36" s="78">
        <v>127719464653</v>
      </c>
      <c r="B36" s="1" t="s">
        <v>8</v>
      </c>
      <c r="C36" s="44" t="s">
        <v>2056</v>
      </c>
      <c r="D36" s="1" t="s">
        <v>2360</v>
      </c>
      <c r="E36" s="44" t="s">
        <v>2056</v>
      </c>
      <c r="F36" s="38" t="s">
        <v>2361</v>
      </c>
      <c r="G36" s="45">
        <v>13600</v>
      </c>
      <c r="H36" s="45">
        <v>136</v>
      </c>
    </row>
    <row r="37" spans="1:8">
      <c r="A37" s="78">
        <v>128285003346</v>
      </c>
      <c r="B37" s="1" t="s">
        <v>8</v>
      </c>
      <c r="C37" s="44" t="s">
        <v>2056</v>
      </c>
      <c r="D37" s="1" t="s">
        <v>2360</v>
      </c>
      <c r="E37" s="44" t="s">
        <v>2056</v>
      </c>
      <c r="F37" s="38" t="s">
        <v>2361</v>
      </c>
      <c r="G37" s="45">
        <v>25400</v>
      </c>
      <c r="H37" s="45">
        <v>254</v>
      </c>
    </row>
    <row r="38" spans="1:8">
      <c r="A38" s="78">
        <v>127720557799</v>
      </c>
      <c r="B38" s="1" t="s">
        <v>8</v>
      </c>
      <c r="C38" s="44" t="s">
        <v>2056</v>
      </c>
      <c r="D38" s="1" t="s">
        <v>2360</v>
      </c>
      <c r="E38" s="44" t="s">
        <v>2056</v>
      </c>
      <c r="F38" s="38" t="s">
        <v>2361</v>
      </c>
      <c r="G38" s="45">
        <v>29997</v>
      </c>
      <c r="H38" s="45">
        <v>299.97000000000003</v>
      </c>
    </row>
    <row r="39" spans="1:8">
      <c r="A39" s="78">
        <v>128287673862</v>
      </c>
      <c r="B39" s="1" t="s">
        <v>8</v>
      </c>
      <c r="C39" s="44" t="s">
        <v>2056</v>
      </c>
      <c r="D39" s="1" t="s">
        <v>2360</v>
      </c>
      <c r="E39" s="44" t="s">
        <v>2060</v>
      </c>
      <c r="F39" s="38" t="s">
        <v>2361</v>
      </c>
      <c r="G39" s="45">
        <v>14699</v>
      </c>
      <c r="H39" s="45">
        <v>146.99</v>
      </c>
    </row>
    <row r="40" spans="1:8">
      <c r="A40" s="78">
        <v>128398739964</v>
      </c>
      <c r="B40" s="1" t="s">
        <v>8</v>
      </c>
      <c r="C40" s="44" t="s">
        <v>2060</v>
      </c>
      <c r="D40" s="1" t="s">
        <v>2360</v>
      </c>
      <c r="E40" s="44" t="s">
        <v>2060</v>
      </c>
      <c r="F40" s="38" t="s">
        <v>2361</v>
      </c>
      <c r="G40" s="45">
        <v>9600</v>
      </c>
      <c r="H40" s="45">
        <v>96</v>
      </c>
    </row>
    <row r="41" spans="1:8">
      <c r="A41" s="78">
        <v>128402388274</v>
      </c>
      <c r="B41" s="1" t="s">
        <v>8</v>
      </c>
      <c r="C41" s="44" t="s">
        <v>2060</v>
      </c>
      <c r="D41" s="1" t="s">
        <v>2360</v>
      </c>
      <c r="E41" s="44" t="s">
        <v>2060</v>
      </c>
      <c r="F41" s="38" t="s">
        <v>2361</v>
      </c>
      <c r="G41" s="45">
        <v>13300</v>
      </c>
      <c r="H41" s="45">
        <v>133</v>
      </c>
    </row>
    <row r="42" spans="1:8">
      <c r="A42" s="78">
        <v>127836305261</v>
      </c>
      <c r="B42" s="1" t="s">
        <v>2055</v>
      </c>
      <c r="C42" s="44" t="s">
        <v>2060</v>
      </c>
      <c r="D42" s="1" t="s">
        <v>2360</v>
      </c>
      <c r="E42" s="44" t="s">
        <v>2060</v>
      </c>
      <c r="F42" s="38" t="s">
        <v>2361</v>
      </c>
      <c r="G42" s="45">
        <v>32600</v>
      </c>
      <c r="H42" s="45">
        <v>326</v>
      </c>
    </row>
    <row r="43" spans="1:8">
      <c r="A43" s="78">
        <v>127826757701</v>
      </c>
      <c r="B43" s="1" t="s">
        <v>8</v>
      </c>
      <c r="C43" s="44" t="s">
        <v>2060</v>
      </c>
      <c r="D43" s="1" t="s">
        <v>2360</v>
      </c>
      <c r="E43" s="44" t="s">
        <v>2060</v>
      </c>
      <c r="F43" s="38" t="s">
        <v>2361</v>
      </c>
      <c r="G43" s="45">
        <v>9800</v>
      </c>
      <c r="H43" s="45">
        <v>98</v>
      </c>
    </row>
    <row r="44" spans="1:8">
      <c r="A44" s="78">
        <v>128408853332</v>
      </c>
      <c r="B44" s="1" t="s">
        <v>2055</v>
      </c>
      <c r="C44" s="44" t="s">
        <v>2060</v>
      </c>
      <c r="D44" s="1" t="s">
        <v>2360</v>
      </c>
      <c r="E44" s="44" t="s">
        <v>2060</v>
      </c>
      <c r="F44" s="38" t="s">
        <v>2361</v>
      </c>
      <c r="G44" s="45">
        <v>4800</v>
      </c>
      <c r="H44" s="45">
        <v>48</v>
      </c>
    </row>
    <row r="45" spans="1:8">
      <c r="A45" s="78">
        <v>127834309851</v>
      </c>
      <c r="B45" s="1" t="s">
        <v>8</v>
      </c>
      <c r="C45" s="44" t="s">
        <v>2060</v>
      </c>
      <c r="D45" s="1" t="s">
        <v>2360</v>
      </c>
      <c r="E45" s="44" t="s">
        <v>2060</v>
      </c>
      <c r="F45" s="38" t="s">
        <v>2361</v>
      </c>
      <c r="G45" s="45">
        <v>14300</v>
      </c>
      <c r="H45" s="45">
        <v>143</v>
      </c>
    </row>
    <row r="46" spans="1:8">
      <c r="A46" s="78">
        <v>127845412065</v>
      </c>
      <c r="B46" s="1" t="s">
        <v>8</v>
      </c>
      <c r="C46" s="44" t="s">
        <v>2060</v>
      </c>
      <c r="D46" s="1" t="s">
        <v>2360</v>
      </c>
      <c r="E46" s="44" t="s">
        <v>2060</v>
      </c>
      <c r="F46" s="38" t="s">
        <v>2361</v>
      </c>
      <c r="G46" s="45">
        <v>4800</v>
      </c>
      <c r="H46" s="45">
        <v>48</v>
      </c>
    </row>
    <row r="47" spans="1:8">
      <c r="A47" s="78">
        <v>127846108405</v>
      </c>
      <c r="B47" s="1" t="s">
        <v>2055</v>
      </c>
      <c r="C47" s="44" t="s">
        <v>2060</v>
      </c>
      <c r="D47" s="1" t="s">
        <v>2360</v>
      </c>
      <c r="E47" s="44" t="s">
        <v>2060</v>
      </c>
      <c r="F47" s="38" t="s">
        <v>2361</v>
      </c>
      <c r="G47" s="45">
        <v>4200</v>
      </c>
      <c r="H47" s="45">
        <v>42</v>
      </c>
    </row>
    <row r="48" spans="1:8">
      <c r="A48" s="78">
        <v>127846250789</v>
      </c>
      <c r="B48" s="1" t="s">
        <v>2055</v>
      </c>
      <c r="C48" s="44" t="s">
        <v>2060</v>
      </c>
      <c r="D48" s="1" t="s">
        <v>2360</v>
      </c>
      <c r="E48" s="44" t="s">
        <v>2060</v>
      </c>
      <c r="F48" s="38" t="s">
        <v>2361</v>
      </c>
      <c r="G48" s="45">
        <v>4200</v>
      </c>
      <c r="H48" s="45">
        <v>42</v>
      </c>
    </row>
    <row r="49" spans="1:8">
      <c r="A49" s="78">
        <v>128412427806</v>
      </c>
      <c r="B49" s="1" t="s">
        <v>2055</v>
      </c>
      <c r="C49" s="44" t="s">
        <v>2060</v>
      </c>
      <c r="D49" s="1" t="s">
        <v>2360</v>
      </c>
      <c r="E49" s="44" t="s">
        <v>2060</v>
      </c>
      <c r="F49" s="38" t="s">
        <v>2361</v>
      </c>
      <c r="G49" s="45">
        <v>27000</v>
      </c>
      <c r="H49" s="45">
        <v>270</v>
      </c>
    </row>
    <row r="50" spans="1:8">
      <c r="A50" s="78">
        <v>128413285526</v>
      </c>
      <c r="B50" s="1" t="s">
        <v>2055</v>
      </c>
      <c r="C50" s="44" t="s">
        <v>2060</v>
      </c>
      <c r="D50" s="1" t="s">
        <v>2360</v>
      </c>
      <c r="E50" s="44" t="s">
        <v>2060</v>
      </c>
      <c r="F50" s="38" t="s">
        <v>2361</v>
      </c>
      <c r="G50" s="45">
        <v>4800</v>
      </c>
      <c r="H50" s="45">
        <v>48</v>
      </c>
    </row>
    <row r="51" spans="1:8">
      <c r="A51" s="78">
        <v>127847143045</v>
      </c>
      <c r="B51" s="1" t="s">
        <v>8</v>
      </c>
      <c r="C51" s="44" t="s">
        <v>2060</v>
      </c>
      <c r="D51" s="1" t="s">
        <v>2360</v>
      </c>
      <c r="E51" s="44" t="s">
        <v>2060</v>
      </c>
      <c r="F51" s="38" t="s">
        <v>2361</v>
      </c>
      <c r="G51" s="45">
        <v>4800</v>
      </c>
      <c r="H51" s="45">
        <v>48</v>
      </c>
    </row>
    <row r="52" spans="1:8">
      <c r="A52" s="78">
        <v>127848195943</v>
      </c>
      <c r="B52" s="1" t="s">
        <v>8</v>
      </c>
      <c r="C52" s="44" t="s">
        <v>2060</v>
      </c>
      <c r="D52" s="1" t="s">
        <v>2360</v>
      </c>
      <c r="E52" s="44" t="s">
        <v>2060</v>
      </c>
      <c r="F52" s="38" t="s">
        <v>2361</v>
      </c>
      <c r="G52" s="45">
        <v>34800</v>
      </c>
      <c r="H52" s="45">
        <v>348</v>
      </c>
    </row>
    <row r="53" spans="1:8">
      <c r="A53" s="78">
        <v>127848730441</v>
      </c>
      <c r="B53" s="1" t="s">
        <v>8</v>
      </c>
      <c r="C53" s="44" t="s">
        <v>2060</v>
      </c>
      <c r="D53" s="1" t="s">
        <v>2360</v>
      </c>
      <c r="E53" s="44" t="s">
        <v>2060</v>
      </c>
      <c r="F53" s="38" t="s">
        <v>2361</v>
      </c>
      <c r="G53" s="45">
        <v>9000</v>
      </c>
      <c r="H53" s="45">
        <v>90</v>
      </c>
    </row>
    <row r="54" spans="1:8">
      <c r="A54" s="78">
        <v>127850602909</v>
      </c>
      <c r="B54" s="1" t="s">
        <v>8</v>
      </c>
      <c r="C54" s="44" t="s">
        <v>2060</v>
      </c>
      <c r="D54" s="1" t="s">
        <v>2360</v>
      </c>
      <c r="E54" s="44" t="s">
        <v>2060</v>
      </c>
      <c r="F54" s="38" t="s">
        <v>2361</v>
      </c>
      <c r="G54" s="45">
        <v>4000</v>
      </c>
      <c r="H54" s="45">
        <v>40</v>
      </c>
    </row>
    <row r="55" spans="1:8">
      <c r="A55" s="78">
        <v>128408491342</v>
      </c>
      <c r="B55" s="1" t="s">
        <v>8</v>
      </c>
      <c r="C55" s="44" t="s">
        <v>2060</v>
      </c>
      <c r="D55" s="1" t="s">
        <v>2360</v>
      </c>
      <c r="E55" s="44" t="s">
        <v>2060</v>
      </c>
      <c r="F55" s="38" t="s">
        <v>2361</v>
      </c>
      <c r="G55" s="45">
        <v>4800</v>
      </c>
      <c r="H55" s="45">
        <v>48</v>
      </c>
    </row>
    <row r="56" spans="1:8">
      <c r="A56" s="78">
        <v>128417090472</v>
      </c>
      <c r="B56" s="1" t="s">
        <v>8</v>
      </c>
      <c r="C56" s="44" t="s">
        <v>2060</v>
      </c>
      <c r="D56" s="1" t="s">
        <v>2360</v>
      </c>
      <c r="E56" s="44" t="s">
        <v>2060</v>
      </c>
      <c r="F56" s="38" t="s">
        <v>2361</v>
      </c>
      <c r="G56" s="45">
        <v>37400</v>
      </c>
      <c r="H56" s="45">
        <v>374</v>
      </c>
    </row>
    <row r="57" spans="1:8">
      <c r="A57" s="78">
        <v>127851297553</v>
      </c>
      <c r="B57" s="1" t="s">
        <v>2055</v>
      </c>
      <c r="C57" s="44" t="s">
        <v>2060</v>
      </c>
      <c r="D57" s="1" t="s">
        <v>2360</v>
      </c>
      <c r="E57" s="44" t="s">
        <v>2060</v>
      </c>
      <c r="F57" s="38" t="s">
        <v>2361</v>
      </c>
      <c r="G57" s="45">
        <v>4200</v>
      </c>
      <c r="H57" s="45">
        <v>42</v>
      </c>
    </row>
    <row r="58" spans="1:8">
      <c r="A58" s="78">
        <v>127851529137</v>
      </c>
      <c r="B58" s="1" t="s">
        <v>8</v>
      </c>
      <c r="C58" s="44" t="s">
        <v>2060</v>
      </c>
      <c r="D58" s="1" t="s">
        <v>2360</v>
      </c>
      <c r="E58" s="44" t="s">
        <v>2060</v>
      </c>
      <c r="F58" s="38" t="s">
        <v>2361</v>
      </c>
      <c r="G58" s="45">
        <v>10000</v>
      </c>
      <c r="H58" s="45">
        <v>100</v>
      </c>
    </row>
    <row r="59" spans="1:8">
      <c r="A59" s="78">
        <v>127843829541</v>
      </c>
      <c r="B59" s="1" t="s">
        <v>8</v>
      </c>
      <c r="C59" s="44" t="s">
        <v>2060</v>
      </c>
      <c r="D59" s="1" t="s">
        <v>2360</v>
      </c>
      <c r="E59" s="44" t="s">
        <v>2060</v>
      </c>
      <c r="F59" s="38" t="s">
        <v>2361</v>
      </c>
      <c r="G59" s="45">
        <v>38700</v>
      </c>
      <c r="H59" s="45">
        <v>387</v>
      </c>
    </row>
    <row r="60" spans="1:8">
      <c r="A60" s="78">
        <v>127852662327</v>
      </c>
      <c r="B60" s="1" t="s">
        <v>8</v>
      </c>
      <c r="C60" s="44" t="s">
        <v>2060</v>
      </c>
      <c r="D60" s="1" t="s">
        <v>2360</v>
      </c>
      <c r="E60" s="44" t="s">
        <v>2060</v>
      </c>
      <c r="F60" s="38" t="s">
        <v>2361</v>
      </c>
      <c r="G60" s="45">
        <v>30700</v>
      </c>
      <c r="H60" s="45">
        <v>307</v>
      </c>
    </row>
    <row r="61" spans="1:8">
      <c r="A61" s="78">
        <v>128418794938</v>
      </c>
      <c r="B61" s="1" t="s">
        <v>8</v>
      </c>
      <c r="C61" s="44" t="s">
        <v>2060</v>
      </c>
      <c r="D61" s="1" t="s">
        <v>2360</v>
      </c>
      <c r="E61" s="44" t="s">
        <v>2060</v>
      </c>
      <c r="F61" s="38" t="s">
        <v>2361</v>
      </c>
      <c r="G61" s="45">
        <v>4000</v>
      </c>
      <c r="H61" s="45">
        <v>40</v>
      </c>
    </row>
    <row r="62" spans="1:8">
      <c r="A62" s="78">
        <v>128419350310</v>
      </c>
      <c r="B62" s="1" t="s">
        <v>8</v>
      </c>
      <c r="C62" s="44" t="s">
        <v>2060</v>
      </c>
      <c r="D62" s="1" t="s">
        <v>2360</v>
      </c>
      <c r="E62" s="44" t="s">
        <v>2060</v>
      </c>
      <c r="F62" s="38" t="s">
        <v>2361</v>
      </c>
      <c r="G62" s="45">
        <v>96300</v>
      </c>
      <c r="H62" s="45">
        <v>963</v>
      </c>
    </row>
    <row r="63" spans="1:8">
      <c r="A63" s="78">
        <v>127845010923</v>
      </c>
      <c r="B63" s="1" t="s">
        <v>8</v>
      </c>
      <c r="C63" s="44" t="s">
        <v>2060</v>
      </c>
      <c r="D63" s="1" t="s">
        <v>2360</v>
      </c>
      <c r="E63" s="44" t="s">
        <v>2060</v>
      </c>
      <c r="F63" s="38" t="s">
        <v>2361</v>
      </c>
      <c r="G63" s="45">
        <v>9000</v>
      </c>
      <c r="H63" s="45">
        <v>90</v>
      </c>
    </row>
    <row r="64" spans="1:8">
      <c r="A64" s="78">
        <v>128419431770</v>
      </c>
      <c r="B64" s="1" t="s">
        <v>8</v>
      </c>
      <c r="C64" s="44" t="s">
        <v>2060</v>
      </c>
      <c r="D64" s="1" t="s">
        <v>2360</v>
      </c>
      <c r="E64" s="44" t="s">
        <v>2060</v>
      </c>
      <c r="F64" s="38" t="s">
        <v>2361</v>
      </c>
      <c r="G64" s="45">
        <v>24400</v>
      </c>
      <c r="H64" s="45">
        <v>244</v>
      </c>
    </row>
    <row r="65" spans="1:8">
      <c r="A65" s="78">
        <v>127853704713</v>
      </c>
      <c r="B65" s="1" t="s">
        <v>8</v>
      </c>
      <c r="C65" s="44" t="s">
        <v>2060</v>
      </c>
      <c r="D65" s="1" t="s">
        <v>2360</v>
      </c>
      <c r="E65" s="44" t="s">
        <v>2060</v>
      </c>
      <c r="F65" s="38" t="s">
        <v>2361</v>
      </c>
      <c r="G65" s="45">
        <v>10000</v>
      </c>
      <c r="H65" s="45">
        <v>100</v>
      </c>
    </row>
    <row r="66" spans="1:8">
      <c r="A66" s="78">
        <v>127845621093</v>
      </c>
      <c r="B66" s="1" t="s">
        <v>8</v>
      </c>
      <c r="C66" s="44" t="s">
        <v>2060</v>
      </c>
      <c r="D66" s="1" t="s">
        <v>2360</v>
      </c>
      <c r="E66" s="44" t="s">
        <v>2060</v>
      </c>
      <c r="F66" s="38" t="s">
        <v>2361</v>
      </c>
      <c r="G66" s="45">
        <v>4400</v>
      </c>
      <c r="H66" s="45">
        <v>44</v>
      </c>
    </row>
    <row r="67" spans="1:8">
      <c r="A67" s="78">
        <v>127853815447</v>
      </c>
      <c r="B67" s="1" t="s">
        <v>8</v>
      </c>
      <c r="C67" s="44" t="s">
        <v>2060</v>
      </c>
      <c r="D67" s="1" t="s">
        <v>2360</v>
      </c>
      <c r="E67" s="44" t="s">
        <v>2060</v>
      </c>
      <c r="F67" s="38" t="s">
        <v>2361</v>
      </c>
      <c r="G67" s="45">
        <v>18600</v>
      </c>
      <c r="H67" s="45">
        <v>186</v>
      </c>
    </row>
    <row r="68" spans="1:8">
      <c r="A68" s="78">
        <v>128420232980</v>
      </c>
      <c r="B68" s="1" t="s">
        <v>2055</v>
      </c>
      <c r="C68" s="44" t="s">
        <v>2060</v>
      </c>
      <c r="D68" s="1" t="s">
        <v>2360</v>
      </c>
      <c r="E68" s="44" t="s">
        <v>2060</v>
      </c>
      <c r="F68" s="38" t="s">
        <v>2361</v>
      </c>
      <c r="G68" s="45">
        <v>44100</v>
      </c>
      <c r="H68" s="45">
        <v>441</v>
      </c>
    </row>
    <row r="69" spans="1:8">
      <c r="A69" s="78">
        <v>127854278121</v>
      </c>
      <c r="B69" s="1" t="s">
        <v>8</v>
      </c>
      <c r="C69" s="44" t="s">
        <v>2060</v>
      </c>
      <c r="D69" s="1" t="s">
        <v>2360</v>
      </c>
      <c r="E69" s="44" t="s">
        <v>2060</v>
      </c>
      <c r="F69" s="38" t="s">
        <v>2361</v>
      </c>
      <c r="G69" s="45">
        <v>6300</v>
      </c>
      <c r="H69" s="45">
        <v>63</v>
      </c>
    </row>
    <row r="70" spans="1:8">
      <c r="A70" s="78">
        <v>128420454022</v>
      </c>
      <c r="B70" s="1" t="s">
        <v>8</v>
      </c>
      <c r="C70" s="44" t="s">
        <v>2060</v>
      </c>
      <c r="D70" s="1" t="s">
        <v>2360</v>
      </c>
      <c r="E70" s="44" t="s">
        <v>2060</v>
      </c>
      <c r="F70" s="38" t="s">
        <v>2361</v>
      </c>
      <c r="G70" s="45">
        <v>10000</v>
      </c>
      <c r="H70" s="45">
        <v>100</v>
      </c>
    </row>
    <row r="71" spans="1:8">
      <c r="A71" s="78">
        <v>128420793726</v>
      </c>
      <c r="B71" s="1" t="s">
        <v>8</v>
      </c>
      <c r="C71" s="44" t="s">
        <v>2060</v>
      </c>
      <c r="D71" s="1" t="s">
        <v>2360</v>
      </c>
      <c r="E71" s="44" t="s">
        <v>2060</v>
      </c>
      <c r="F71" s="38" t="s">
        <v>2361</v>
      </c>
      <c r="G71" s="45">
        <v>7300</v>
      </c>
      <c r="H71" s="45">
        <v>73</v>
      </c>
    </row>
    <row r="72" spans="1:8">
      <c r="A72" s="78">
        <v>127854922579</v>
      </c>
      <c r="B72" s="1" t="s">
        <v>8</v>
      </c>
      <c r="C72" s="44" t="s">
        <v>2060</v>
      </c>
      <c r="D72" s="1" t="s">
        <v>2360</v>
      </c>
      <c r="E72" s="44" t="s">
        <v>2071</v>
      </c>
      <c r="F72" s="38" t="s">
        <v>2361</v>
      </c>
      <c r="G72" s="45">
        <v>32600</v>
      </c>
      <c r="H72" s="45">
        <v>326</v>
      </c>
    </row>
    <row r="73" spans="1:8">
      <c r="A73" s="78">
        <v>128421266626</v>
      </c>
      <c r="B73" s="1" t="s">
        <v>8</v>
      </c>
      <c r="C73" s="44" t="s">
        <v>2060</v>
      </c>
      <c r="D73" s="1" t="s">
        <v>2360</v>
      </c>
      <c r="E73" s="44" t="s">
        <v>2071</v>
      </c>
      <c r="F73" s="38" t="s">
        <v>2361</v>
      </c>
      <c r="G73" s="45">
        <v>4300</v>
      </c>
      <c r="H73" s="45">
        <v>43</v>
      </c>
    </row>
    <row r="74" spans="1:8">
      <c r="A74" s="78">
        <v>128421434434</v>
      </c>
      <c r="B74" s="1" t="s">
        <v>8</v>
      </c>
      <c r="C74" s="44" t="s">
        <v>2060</v>
      </c>
      <c r="D74" s="1" t="s">
        <v>2360</v>
      </c>
      <c r="E74" s="44" t="s">
        <v>2071</v>
      </c>
      <c r="F74" s="38" t="s">
        <v>2361</v>
      </c>
      <c r="G74" s="45">
        <v>9600</v>
      </c>
      <c r="H74" s="45">
        <v>96</v>
      </c>
    </row>
    <row r="75" spans="1:8">
      <c r="A75" s="78">
        <v>128421490336</v>
      </c>
      <c r="B75" s="1" t="s">
        <v>8</v>
      </c>
      <c r="C75" s="44" t="s">
        <v>2060</v>
      </c>
      <c r="D75" s="1" t="s">
        <v>2360</v>
      </c>
      <c r="E75" s="44" t="s">
        <v>2071</v>
      </c>
      <c r="F75" s="38" t="s">
        <v>2361</v>
      </c>
      <c r="G75" s="45">
        <v>13600</v>
      </c>
      <c r="H75" s="45">
        <v>136</v>
      </c>
    </row>
    <row r="76" spans="1:8">
      <c r="A76" s="78">
        <v>127847014705</v>
      </c>
      <c r="B76" s="1" t="s">
        <v>8</v>
      </c>
      <c r="C76" s="44" t="s">
        <v>2060</v>
      </c>
      <c r="D76" s="1" t="s">
        <v>2360</v>
      </c>
      <c r="E76" s="44" t="s">
        <v>2060</v>
      </c>
      <c r="F76" s="38" t="s">
        <v>2361</v>
      </c>
      <c r="G76" s="45">
        <v>14700</v>
      </c>
      <c r="H76" s="45">
        <v>147</v>
      </c>
    </row>
    <row r="77" spans="1:8">
      <c r="A77" s="78">
        <v>127855461023</v>
      </c>
      <c r="B77" s="1" t="s">
        <v>2055</v>
      </c>
      <c r="C77" s="44" t="s">
        <v>2060</v>
      </c>
      <c r="D77" s="1" t="s">
        <v>2360</v>
      </c>
      <c r="E77" s="44" t="s">
        <v>2071</v>
      </c>
      <c r="F77" s="38" t="s">
        <v>2361</v>
      </c>
      <c r="G77" s="45">
        <v>16100</v>
      </c>
      <c r="H77" s="45">
        <v>161</v>
      </c>
    </row>
    <row r="78" spans="1:8">
      <c r="A78" s="78">
        <v>128413748622</v>
      </c>
      <c r="B78" s="1" t="s">
        <v>8</v>
      </c>
      <c r="C78" s="44" t="s">
        <v>2060</v>
      </c>
      <c r="D78" s="1" t="s">
        <v>2360</v>
      </c>
      <c r="E78" s="44" t="s">
        <v>2060</v>
      </c>
      <c r="F78" s="38" t="s">
        <v>2361</v>
      </c>
      <c r="G78" s="45">
        <v>10000</v>
      </c>
      <c r="H78" s="45">
        <v>100</v>
      </c>
    </row>
    <row r="79" spans="1:8">
      <c r="A79" s="78">
        <v>128422197004</v>
      </c>
      <c r="B79" s="1" t="s">
        <v>8</v>
      </c>
      <c r="C79" s="44" t="s">
        <v>2060</v>
      </c>
      <c r="D79" s="1" t="s">
        <v>2360</v>
      </c>
      <c r="E79" s="44" t="s">
        <v>2071</v>
      </c>
      <c r="F79" s="38" t="s">
        <v>2361</v>
      </c>
      <c r="G79" s="45">
        <v>4000</v>
      </c>
      <c r="H79" s="45">
        <v>40</v>
      </c>
    </row>
    <row r="80" spans="1:8">
      <c r="A80" s="78">
        <v>128421075828</v>
      </c>
      <c r="B80" s="1" t="s">
        <v>2055</v>
      </c>
      <c r="C80" s="44" t="s">
        <v>2060</v>
      </c>
      <c r="D80" s="1" t="s">
        <v>2073</v>
      </c>
      <c r="E80" s="44" t="s">
        <v>2071</v>
      </c>
      <c r="F80" s="38" t="s">
        <v>2361</v>
      </c>
      <c r="G80" s="45">
        <v>-113700</v>
      </c>
      <c r="H80" s="45">
        <v>-1137</v>
      </c>
    </row>
    <row r="81" spans="1:8">
      <c r="A81" s="78">
        <v>127856064757</v>
      </c>
      <c r="B81" s="1" t="s">
        <v>2055</v>
      </c>
      <c r="C81" s="44" t="s">
        <v>2060</v>
      </c>
      <c r="D81" s="1" t="s">
        <v>2360</v>
      </c>
      <c r="E81" s="44" t="s">
        <v>2071</v>
      </c>
      <c r="F81" s="38" t="s">
        <v>2361</v>
      </c>
      <c r="G81" s="45">
        <v>36600</v>
      </c>
      <c r="H81" s="45">
        <v>366</v>
      </c>
    </row>
    <row r="82" spans="1:8">
      <c r="A82" s="78">
        <v>127856418189</v>
      </c>
      <c r="B82" s="1" t="s">
        <v>8</v>
      </c>
      <c r="C82" s="44" t="s">
        <v>2060</v>
      </c>
      <c r="D82" s="1" t="s">
        <v>2360</v>
      </c>
      <c r="E82" s="44" t="s">
        <v>2071</v>
      </c>
      <c r="F82" s="38" t="s">
        <v>2361</v>
      </c>
      <c r="G82" s="45">
        <v>7000</v>
      </c>
      <c r="H82" s="45">
        <v>70</v>
      </c>
    </row>
    <row r="83" spans="1:8">
      <c r="A83" s="78">
        <v>127847979869</v>
      </c>
      <c r="B83" s="1" t="s">
        <v>8</v>
      </c>
      <c r="C83" s="44" t="s">
        <v>2060</v>
      </c>
      <c r="D83" s="1" t="s">
        <v>2360</v>
      </c>
      <c r="E83" s="44" t="s">
        <v>2060</v>
      </c>
      <c r="F83" s="38" t="s">
        <v>2361</v>
      </c>
      <c r="G83" s="45">
        <v>32200</v>
      </c>
      <c r="H83" s="45">
        <v>322</v>
      </c>
    </row>
    <row r="84" spans="1:8">
      <c r="A84" s="78">
        <v>128414602122</v>
      </c>
      <c r="B84" s="1" t="s">
        <v>2055</v>
      </c>
      <c r="C84" s="44" t="s">
        <v>2060</v>
      </c>
      <c r="D84" s="1" t="s">
        <v>2360</v>
      </c>
      <c r="E84" s="44" t="s">
        <v>2060</v>
      </c>
      <c r="F84" s="38" t="s">
        <v>2361</v>
      </c>
      <c r="G84" s="45">
        <v>6200</v>
      </c>
      <c r="H84" s="45">
        <v>62</v>
      </c>
    </row>
    <row r="85" spans="1:8">
      <c r="A85" s="78">
        <v>128423208738</v>
      </c>
      <c r="B85" s="1" t="s">
        <v>2055</v>
      </c>
      <c r="C85" s="44" t="s">
        <v>2060</v>
      </c>
      <c r="D85" s="1" t="s">
        <v>2360</v>
      </c>
      <c r="E85" s="44" t="s">
        <v>2071</v>
      </c>
      <c r="F85" s="38" t="s">
        <v>2361</v>
      </c>
      <c r="G85" s="45">
        <v>4800</v>
      </c>
      <c r="H85" s="45">
        <v>48</v>
      </c>
    </row>
    <row r="86" spans="1:8">
      <c r="A86" s="78">
        <v>128423356546</v>
      </c>
      <c r="B86" s="1" t="s">
        <v>8</v>
      </c>
      <c r="C86" s="44" t="s">
        <v>2060</v>
      </c>
      <c r="D86" s="1" t="s">
        <v>2360</v>
      </c>
      <c r="E86" s="44" t="s">
        <v>2071</v>
      </c>
      <c r="F86" s="38" t="s">
        <v>2361</v>
      </c>
      <c r="G86" s="45">
        <v>13000</v>
      </c>
      <c r="H86" s="45">
        <v>130</v>
      </c>
    </row>
    <row r="87" spans="1:8">
      <c r="A87" s="78">
        <v>127857063969</v>
      </c>
      <c r="B87" s="1" t="s">
        <v>8</v>
      </c>
      <c r="C87" s="44" t="s">
        <v>2060</v>
      </c>
      <c r="D87" s="1" t="s">
        <v>2360</v>
      </c>
      <c r="E87" s="44" t="s">
        <v>2071</v>
      </c>
      <c r="F87" s="38" t="s">
        <v>2361</v>
      </c>
      <c r="G87" s="45">
        <v>10300</v>
      </c>
      <c r="H87" s="45">
        <v>103</v>
      </c>
    </row>
    <row r="88" spans="1:8">
      <c r="A88" s="78">
        <v>128423642872</v>
      </c>
      <c r="B88" s="1" t="s">
        <v>8</v>
      </c>
      <c r="C88" s="44" t="s">
        <v>2060</v>
      </c>
      <c r="D88" s="1" t="s">
        <v>2360</v>
      </c>
      <c r="E88" s="44" t="s">
        <v>2071</v>
      </c>
      <c r="F88" s="38" t="s">
        <v>2361</v>
      </c>
      <c r="G88" s="45">
        <v>52600</v>
      </c>
      <c r="H88" s="45">
        <v>526</v>
      </c>
    </row>
    <row r="89" spans="1:8">
      <c r="A89" s="78">
        <v>127849129705</v>
      </c>
      <c r="B89" s="1" t="s">
        <v>8</v>
      </c>
      <c r="C89" s="44" t="s">
        <v>2060</v>
      </c>
      <c r="D89" s="1" t="s">
        <v>2360</v>
      </c>
      <c r="E89" s="44" t="s">
        <v>2060</v>
      </c>
      <c r="F89" s="38" t="s">
        <v>2361</v>
      </c>
      <c r="G89" s="45">
        <v>4800</v>
      </c>
      <c r="H89" s="45">
        <v>48</v>
      </c>
    </row>
    <row r="90" spans="1:8">
      <c r="A90" s="78">
        <v>127857712847</v>
      </c>
      <c r="B90" s="1" t="s">
        <v>8</v>
      </c>
      <c r="C90" s="44" t="s">
        <v>2060</v>
      </c>
      <c r="D90" s="1" t="s">
        <v>2360</v>
      </c>
      <c r="E90" s="44" t="s">
        <v>2071</v>
      </c>
      <c r="F90" s="38" t="s">
        <v>2361</v>
      </c>
      <c r="G90" s="45">
        <v>4800</v>
      </c>
      <c r="H90" s="45">
        <v>48</v>
      </c>
    </row>
    <row r="91" spans="1:8">
      <c r="A91" s="78">
        <v>128415782272</v>
      </c>
      <c r="B91" s="1" t="s">
        <v>8</v>
      </c>
      <c r="C91" s="44" t="s">
        <v>2060</v>
      </c>
      <c r="D91" s="1" t="s">
        <v>2360</v>
      </c>
      <c r="E91" s="44" t="s">
        <v>2060</v>
      </c>
      <c r="F91" s="38" t="s">
        <v>2361</v>
      </c>
      <c r="G91" s="45">
        <v>4000</v>
      </c>
      <c r="H91" s="45">
        <v>40</v>
      </c>
    </row>
    <row r="92" spans="1:8">
      <c r="A92" s="78">
        <v>127857973671</v>
      </c>
      <c r="B92" s="1" t="s">
        <v>8</v>
      </c>
      <c r="C92" s="44" t="s">
        <v>2071</v>
      </c>
      <c r="D92" s="1" t="s">
        <v>2360</v>
      </c>
      <c r="E92" s="44" t="s">
        <v>2071</v>
      </c>
      <c r="F92" s="38" t="s">
        <v>2361</v>
      </c>
      <c r="G92" s="45">
        <v>10000</v>
      </c>
      <c r="H92" s="45">
        <v>100</v>
      </c>
    </row>
    <row r="93" spans="1:8">
      <c r="A93" s="78">
        <v>127858454489</v>
      </c>
      <c r="B93" s="1" t="s">
        <v>8</v>
      </c>
      <c r="C93" s="44" t="s">
        <v>2071</v>
      </c>
      <c r="D93" s="1" t="s">
        <v>2360</v>
      </c>
      <c r="E93" s="44" t="s">
        <v>2071</v>
      </c>
      <c r="F93" s="38" t="s">
        <v>2361</v>
      </c>
      <c r="G93" s="45">
        <v>4800</v>
      </c>
      <c r="H93" s="45">
        <v>48</v>
      </c>
    </row>
    <row r="94" spans="1:8">
      <c r="A94" s="78">
        <v>127850379377</v>
      </c>
      <c r="B94" s="1" t="s">
        <v>8</v>
      </c>
      <c r="C94" s="44" t="s">
        <v>2060</v>
      </c>
      <c r="D94" s="1" t="s">
        <v>2360</v>
      </c>
      <c r="E94" s="44" t="s">
        <v>2060</v>
      </c>
      <c r="F94" s="38" t="s">
        <v>2361</v>
      </c>
      <c r="G94" s="45">
        <v>11600</v>
      </c>
      <c r="H94" s="45">
        <v>116</v>
      </c>
    </row>
    <row r="95" spans="1:8">
      <c r="A95" s="78">
        <v>128424874738</v>
      </c>
      <c r="B95" s="1" t="s">
        <v>8</v>
      </c>
      <c r="C95" s="44" t="s">
        <v>2071</v>
      </c>
      <c r="D95" s="1" t="s">
        <v>2360</v>
      </c>
      <c r="E95" s="44" t="s">
        <v>2071</v>
      </c>
      <c r="F95" s="38" t="s">
        <v>2361</v>
      </c>
      <c r="G95" s="45">
        <v>20700</v>
      </c>
      <c r="H95" s="45">
        <v>207</v>
      </c>
    </row>
    <row r="96" spans="1:8">
      <c r="A96" s="78">
        <v>127850717607</v>
      </c>
      <c r="B96" s="1" t="s">
        <v>2055</v>
      </c>
      <c r="C96" s="44" t="s">
        <v>2060</v>
      </c>
      <c r="D96" s="1" t="s">
        <v>2360</v>
      </c>
      <c r="E96" s="44" t="s">
        <v>2060</v>
      </c>
      <c r="F96" s="38" t="s">
        <v>2361</v>
      </c>
      <c r="G96" s="45">
        <v>11900</v>
      </c>
      <c r="H96" s="45">
        <v>119</v>
      </c>
    </row>
    <row r="97" spans="1:8">
      <c r="A97" s="78">
        <v>128416983560</v>
      </c>
      <c r="B97" s="1" t="s">
        <v>8</v>
      </c>
      <c r="C97" s="44" t="s">
        <v>2060</v>
      </c>
      <c r="D97" s="1" t="s">
        <v>2360</v>
      </c>
      <c r="E97" s="44" t="s">
        <v>2060</v>
      </c>
      <c r="F97" s="38" t="s">
        <v>2361</v>
      </c>
      <c r="G97" s="45">
        <v>7600</v>
      </c>
      <c r="H97" s="45">
        <v>76</v>
      </c>
    </row>
    <row r="98" spans="1:8">
      <c r="A98" s="78">
        <v>128417478168</v>
      </c>
      <c r="B98" s="1" t="s">
        <v>8</v>
      </c>
      <c r="C98" s="44" t="s">
        <v>2060</v>
      </c>
      <c r="D98" s="1" t="s">
        <v>2360</v>
      </c>
      <c r="E98" s="44" t="s">
        <v>2060</v>
      </c>
      <c r="F98" s="38" t="s">
        <v>2361</v>
      </c>
      <c r="G98" s="45">
        <v>4500</v>
      </c>
      <c r="H98" s="45">
        <v>45</v>
      </c>
    </row>
    <row r="99" spans="1:8">
      <c r="A99" s="78">
        <v>128425421186</v>
      </c>
      <c r="B99" s="1" t="s">
        <v>8</v>
      </c>
      <c r="C99" s="44" t="s">
        <v>2071</v>
      </c>
      <c r="D99" s="1" t="s">
        <v>2360</v>
      </c>
      <c r="E99" s="44" t="s">
        <v>2071</v>
      </c>
      <c r="F99" s="38" t="s">
        <v>2361</v>
      </c>
      <c r="G99" s="45">
        <v>2400</v>
      </c>
      <c r="H99" s="45">
        <v>24</v>
      </c>
    </row>
    <row r="100" spans="1:8">
      <c r="A100" s="78">
        <v>128425586550</v>
      </c>
      <c r="B100" s="1" t="s">
        <v>2055</v>
      </c>
      <c r="C100" s="44" t="s">
        <v>2071</v>
      </c>
      <c r="D100" s="1" t="s">
        <v>2360</v>
      </c>
      <c r="E100" s="44" t="s">
        <v>2071</v>
      </c>
      <c r="F100" s="38" t="s">
        <v>2361</v>
      </c>
      <c r="G100" s="45">
        <v>34700</v>
      </c>
      <c r="H100" s="45">
        <v>347</v>
      </c>
    </row>
    <row r="101" spans="1:8">
      <c r="A101" s="78">
        <v>127859588493</v>
      </c>
      <c r="B101" s="1" t="s">
        <v>8</v>
      </c>
      <c r="C101" s="44" t="s">
        <v>2071</v>
      </c>
      <c r="D101" s="1" t="s">
        <v>2360</v>
      </c>
      <c r="E101" s="44" t="s">
        <v>2071</v>
      </c>
      <c r="F101" s="38" t="s">
        <v>2361</v>
      </c>
      <c r="G101" s="45">
        <v>160500</v>
      </c>
      <c r="H101" s="45">
        <v>1605</v>
      </c>
    </row>
    <row r="102" spans="1:8">
      <c r="A102" s="78">
        <v>127852042311</v>
      </c>
      <c r="B102" s="1" t="s">
        <v>8</v>
      </c>
      <c r="C102" s="44" t="s">
        <v>2060</v>
      </c>
      <c r="D102" s="1" t="s">
        <v>2360</v>
      </c>
      <c r="E102" s="44" t="s">
        <v>2060</v>
      </c>
      <c r="F102" s="38" t="s">
        <v>2361</v>
      </c>
      <c r="G102" s="45">
        <v>2400</v>
      </c>
      <c r="H102" s="45">
        <v>24</v>
      </c>
    </row>
    <row r="103" spans="1:8">
      <c r="A103" s="78">
        <v>128425855926</v>
      </c>
      <c r="B103" s="1" t="s">
        <v>2055</v>
      </c>
      <c r="C103" s="44" t="s">
        <v>2071</v>
      </c>
      <c r="D103" s="1" t="s">
        <v>2360</v>
      </c>
      <c r="E103" s="44" t="s">
        <v>2071</v>
      </c>
      <c r="F103" s="38" t="s">
        <v>2361</v>
      </c>
      <c r="G103" s="45">
        <v>4500</v>
      </c>
      <c r="H103" s="45">
        <v>45</v>
      </c>
    </row>
    <row r="104" spans="1:8">
      <c r="A104" s="78">
        <v>127859910765</v>
      </c>
      <c r="B104" s="1" t="s">
        <v>8</v>
      </c>
      <c r="C104" s="44" t="s">
        <v>2071</v>
      </c>
      <c r="D104" s="1" t="s">
        <v>2360</v>
      </c>
      <c r="E104" s="44" t="s">
        <v>2071</v>
      </c>
      <c r="F104" s="38" t="s">
        <v>2361</v>
      </c>
      <c r="G104" s="45">
        <v>4500</v>
      </c>
      <c r="H104" s="45">
        <v>45</v>
      </c>
    </row>
    <row r="105" spans="1:8">
      <c r="A105" s="78">
        <v>127852972373</v>
      </c>
      <c r="B105" s="1" t="s">
        <v>8</v>
      </c>
      <c r="C105" s="44" t="s">
        <v>2060</v>
      </c>
      <c r="D105" s="1" t="s">
        <v>2360</v>
      </c>
      <c r="E105" s="44" t="s">
        <v>2060</v>
      </c>
      <c r="F105" s="38" t="s">
        <v>2361</v>
      </c>
      <c r="G105" s="45">
        <v>4800</v>
      </c>
      <c r="H105" s="45">
        <v>48</v>
      </c>
    </row>
    <row r="106" spans="1:8">
      <c r="A106" s="78">
        <v>128419226662</v>
      </c>
      <c r="B106" s="1" t="s">
        <v>2055</v>
      </c>
      <c r="C106" s="44" t="s">
        <v>2060</v>
      </c>
      <c r="D106" s="1" t="s">
        <v>2360</v>
      </c>
      <c r="E106" s="44" t="s">
        <v>2060</v>
      </c>
      <c r="F106" s="38" t="s">
        <v>2361</v>
      </c>
      <c r="G106" s="45">
        <v>4200</v>
      </c>
      <c r="H106" s="45">
        <v>42</v>
      </c>
    </row>
    <row r="107" spans="1:8">
      <c r="A107" s="78">
        <v>127860445179</v>
      </c>
      <c r="B107" s="1" t="s">
        <v>8</v>
      </c>
      <c r="C107" s="44" t="s">
        <v>2071</v>
      </c>
      <c r="D107" s="1" t="s">
        <v>2360</v>
      </c>
      <c r="E107" s="44" t="s">
        <v>2071</v>
      </c>
      <c r="F107" s="38" t="s">
        <v>2361</v>
      </c>
      <c r="G107" s="45">
        <v>23400</v>
      </c>
      <c r="H107" s="45">
        <v>234</v>
      </c>
    </row>
    <row r="108" spans="1:8">
      <c r="A108" s="78">
        <v>128419732970</v>
      </c>
      <c r="B108" s="1" t="s">
        <v>8</v>
      </c>
      <c r="C108" s="44" t="s">
        <v>2060</v>
      </c>
      <c r="D108" s="1" t="s">
        <v>2360</v>
      </c>
      <c r="E108" s="44" t="s">
        <v>2060</v>
      </c>
      <c r="F108" s="38" t="s">
        <v>2361</v>
      </c>
      <c r="G108" s="45">
        <v>4800</v>
      </c>
      <c r="H108" s="45">
        <v>48</v>
      </c>
    </row>
    <row r="109" spans="1:8">
      <c r="A109" s="78">
        <v>128426737424</v>
      </c>
      <c r="B109" s="1" t="s">
        <v>8</v>
      </c>
      <c r="C109" s="44" t="s">
        <v>2071</v>
      </c>
      <c r="D109" s="1" t="s">
        <v>2360</v>
      </c>
      <c r="E109" s="44" t="s">
        <v>2071</v>
      </c>
      <c r="F109" s="38" t="s">
        <v>2361</v>
      </c>
      <c r="G109" s="45">
        <v>10000</v>
      </c>
      <c r="H109" s="45">
        <v>100</v>
      </c>
    </row>
    <row r="110" spans="1:8">
      <c r="A110" s="78">
        <v>127854076319</v>
      </c>
      <c r="B110" s="1" t="s">
        <v>8</v>
      </c>
      <c r="C110" s="44" t="s">
        <v>2060</v>
      </c>
      <c r="D110" s="1" t="s">
        <v>2360</v>
      </c>
      <c r="E110" s="44" t="s">
        <v>2060</v>
      </c>
      <c r="F110" s="38" t="s">
        <v>2361</v>
      </c>
      <c r="G110" s="45">
        <v>6300</v>
      </c>
      <c r="H110" s="45">
        <v>63</v>
      </c>
    </row>
    <row r="111" spans="1:8">
      <c r="A111" s="78">
        <v>127860773495</v>
      </c>
      <c r="B111" s="1" t="s">
        <v>8</v>
      </c>
      <c r="C111" s="44" t="s">
        <v>2071</v>
      </c>
      <c r="D111" s="1" t="s">
        <v>2360</v>
      </c>
      <c r="E111" s="44" t="s">
        <v>2071</v>
      </c>
      <c r="F111" s="38" t="s">
        <v>2361</v>
      </c>
      <c r="G111" s="45">
        <v>4200</v>
      </c>
      <c r="H111" s="45">
        <v>42</v>
      </c>
    </row>
    <row r="112" spans="1:8">
      <c r="A112" s="78">
        <v>128420407042</v>
      </c>
      <c r="B112" s="1" t="s">
        <v>2055</v>
      </c>
      <c r="C112" s="44" t="s">
        <v>2060</v>
      </c>
      <c r="D112" s="1" t="s">
        <v>2360</v>
      </c>
      <c r="E112" s="44" t="s">
        <v>2060</v>
      </c>
      <c r="F112" s="38" t="s">
        <v>2361</v>
      </c>
      <c r="G112" s="45">
        <v>224100</v>
      </c>
      <c r="H112" s="45">
        <v>2241</v>
      </c>
    </row>
    <row r="113" spans="1:8">
      <c r="A113" s="78">
        <v>127854437157</v>
      </c>
      <c r="B113" s="1" t="s">
        <v>8</v>
      </c>
      <c r="C113" s="44" t="s">
        <v>2060</v>
      </c>
      <c r="D113" s="1" t="s">
        <v>2360</v>
      </c>
      <c r="E113" s="44" t="s">
        <v>2060</v>
      </c>
      <c r="F113" s="38" t="s">
        <v>2361</v>
      </c>
      <c r="G113" s="45">
        <v>47600</v>
      </c>
      <c r="H113" s="45">
        <v>476</v>
      </c>
    </row>
    <row r="114" spans="1:8">
      <c r="A114" s="78">
        <v>128427183126</v>
      </c>
      <c r="B114" s="1" t="s">
        <v>8</v>
      </c>
      <c r="C114" s="44" t="s">
        <v>2071</v>
      </c>
      <c r="D114" s="1" t="s">
        <v>2360</v>
      </c>
      <c r="E114" s="44" t="s">
        <v>2071</v>
      </c>
      <c r="F114" s="38" t="s">
        <v>2361</v>
      </c>
      <c r="G114" s="45">
        <v>39000</v>
      </c>
      <c r="H114" s="45">
        <v>390</v>
      </c>
    </row>
    <row r="115" spans="1:8">
      <c r="A115" s="78">
        <v>128427296372</v>
      </c>
      <c r="B115" s="1" t="s">
        <v>8</v>
      </c>
      <c r="C115" s="44" t="s">
        <v>2071</v>
      </c>
      <c r="D115" s="1" t="s">
        <v>2360</v>
      </c>
      <c r="E115" s="44" t="s">
        <v>2071</v>
      </c>
      <c r="F115" s="38" t="s">
        <v>2361</v>
      </c>
      <c r="G115" s="45">
        <v>28000</v>
      </c>
      <c r="H115" s="45">
        <v>280</v>
      </c>
    </row>
    <row r="116" spans="1:8">
      <c r="A116" s="78">
        <v>127854884711</v>
      </c>
      <c r="B116" s="1" t="s">
        <v>8</v>
      </c>
      <c r="C116" s="44" t="s">
        <v>2060</v>
      </c>
      <c r="D116" s="1" t="s">
        <v>2360</v>
      </c>
      <c r="E116" s="44" t="s">
        <v>2071</v>
      </c>
      <c r="F116" s="38" t="s">
        <v>2361</v>
      </c>
      <c r="G116" s="45">
        <v>5000</v>
      </c>
      <c r="H116" s="45">
        <v>50</v>
      </c>
    </row>
    <row r="117" spans="1:8">
      <c r="A117" s="78">
        <v>127854974679</v>
      </c>
      <c r="B117" s="1" t="s">
        <v>8</v>
      </c>
      <c r="C117" s="44" t="s">
        <v>2060</v>
      </c>
      <c r="D117" s="1" t="s">
        <v>2360</v>
      </c>
      <c r="E117" s="44" t="s">
        <v>2071</v>
      </c>
      <c r="F117" s="38" t="s">
        <v>2361</v>
      </c>
      <c r="G117" s="45">
        <v>18800</v>
      </c>
      <c r="H117" s="45">
        <v>188</v>
      </c>
    </row>
    <row r="118" spans="1:8">
      <c r="A118" s="78">
        <v>128421075828</v>
      </c>
      <c r="B118" s="1" t="s">
        <v>2055</v>
      </c>
      <c r="C118" s="44" t="s">
        <v>2060</v>
      </c>
      <c r="D118" s="1" t="s">
        <v>2360</v>
      </c>
      <c r="E118" s="44" t="s">
        <v>2071</v>
      </c>
      <c r="F118" s="38" t="s">
        <v>2361</v>
      </c>
      <c r="G118" s="45">
        <v>113700</v>
      </c>
      <c r="H118" s="45">
        <v>1137</v>
      </c>
    </row>
    <row r="119" spans="1:8">
      <c r="A119" s="78">
        <v>128421501412</v>
      </c>
      <c r="B119" s="1" t="s">
        <v>2055</v>
      </c>
      <c r="C119" s="44" t="s">
        <v>2060</v>
      </c>
      <c r="D119" s="1" t="s">
        <v>2360</v>
      </c>
      <c r="E119" s="44" t="s">
        <v>2071</v>
      </c>
      <c r="F119" s="38" t="s">
        <v>2361</v>
      </c>
      <c r="G119" s="45">
        <v>169900</v>
      </c>
      <c r="H119" s="45">
        <v>1699</v>
      </c>
    </row>
    <row r="120" spans="1:8">
      <c r="A120" s="78">
        <v>127855560075</v>
      </c>
      <c r="B120" s="1" t="s">
        <v>2055</v>
      </c>
      <c r="C120" s="44" t="s">
        <v>2060</v>
      </c>
      <c r="D120" s="1" t="s">
        <v>2360</v>
      </c>
      <c r="E120" s="44" t="s">
        <v>2071</v>
      </c>
      <c r="F120" s="38" t="s">
        <v>2361</v>
      </c>
      <c r="G120" s="45">
        <v>26800</v>
      </c>
      <c r="H120" s="45">
        <v>268</v>
      </c>
    </row>
    <row r="121" spans="1:8">
      <c r="A121" s="78">
        <v>127855916129</v>
      </c>
      <c r="B121" s="1" t="s">
        <v>8</v>
      </c>
      <c r="C121" s="44" t="s">
        <v>2060</v>
      </c>
      <c r="D121" s="1" t="s">
        <v>2360</v>
      </c>
      <c r="E121" s="44" t="s">
        <v>2071</v>
      </c>
      <c r="F121" s="38" t="s">
        <v>2361</v>
      </c>
      <c r="G121" s="45">
        <v>7700</v>
      </c>
      <c r="H121" s="45">
        <v>77</v>
      </c>
    </row>
    <row r="122" spans="1:8">
      <c r="A122" s="78">
        <v>127856005159</v>
      </c>
      <c r="B122" s="1" t="s">
        <v>8</v>
      </c>
      <c r="C122" s="44" t="s">
        <v>2060</v>
      </c>
      <c r="D122" s="1" t="s">
        <v>2360</v>
      </c>
      <c r="E122" s="44" t="s">
        <v>2071</v>
      </c>
      <c r="F122" s="38" t="s">
        <v>2361</v>
      </c>
      <c r="G122" s="45">
        <v>9600</v>
      </c>
      <c r="H122" s="45">
        <v>96</v>
      </c>
    </row>
    <row r="123" spans="1:8">
      <c r="A123" s="78">
        <v>127856497497</v>
      </c>
      <c r="B123" s="1" t="s">
        <v>8</v>
      </c>
      <c r="C123" s="44" t="s">
        <v>2060</v>
      </c>
      <c r="D123" s="1" t="s">
        <v>2360</v>
      </c>
      <c r="E123" s="44" t="s">
        <v>2071</v>
      </c>
      <c r="F123" s="38" t="s">
        <v>2361</v>
      </c>
      <c r="G123" s="45">
        <v>4200</v>
      </c>
      <c r="H123" s="45">
        <v>42</v>
      </c>
    </row>
    <row r="124" spans="1:8">
      <c r="A124" s="78">
        <v>128422949584</v>
      </c>
      <c r="B124" s="1" t="s">
        <v>8</v>
      </c>
      <c r="C124" s="44" t="s">
        <v>2060</v>
      </c>
      <c r="D124" s="1" t="s">
        <v>2360</v>
      </c>
      <c r="E124" s="44" t="s">
        <v>2071</v>
      </c>
      <c r="F124" s="38" t="s">
        <v>2361</v>
      </c>
      <c r="G124" s="45">
        <v>59800</v>
      </c>
      <c r="H124" s="45">
        <v>598</v>
      </c>
    </row>
    <row r="125" spans="1:8">
      <c r="A125" s="78">
        <v>127856899443</v>
      </c>
      <c r="B125" s="1" t="s">
        <v>2055</v>
      </c>
      <c r="C125" s="44" t="s">
        <v>2060</v>
      </c>
      <c r="D125" s="1" t="s">
        <v>2360</v>
      </c>
      <c r="E125" s="44" t="s">
        <v>2071</v>
      </c>
      <c r="F125" s="38" t="s">
        <v>2361</v>
      </c>
      <c r="G125" s="45">
        <v>8800</v>
      </c>
      <c r="H125" s="45">
        <v>88</v>
      </c>
    </row>
    <row r="126" spans="1:8">
      <c r="A126" s="78">
        <v>127857363213</v>
      </c>
      <c r="B126" s="1" t="s">
        <v>8</v>
      </c>
      <c r="C126" s="44" t="s">
        <v>2060</v>
      </c>
      <c r="D126" s="1" t="s">
        <v>2360</v>
      </c>
      <c r="E126" s="44" t="s">
        <v>2071</v>
      </c>
      <c r="F126" s="38" t="s">
        <v>2361</v>
      </c>
      <c r="G126" s="45">
        <v>5300</v>
      </c>
      <c r="H126" s="45">
        <v>53</v>
      </c>
    </row>
    <row r="127" spans="1:8">
      <c r="A127" s="78">
        <v>128423577732</v>
      </c>
      <c r="B127" s="1" t="s">
        <v>8</v>
      </c>
      <c r="C127" s="44" t="s">
        <v>2060</v>
      </c>
      <c r="D127" s="1" t="s">
        <v>2360</v>
      </c>
      <c r="E127" s="44" t="s">
        <v>2071</v>
      </c>
      <c r="F127" s="38" t="s">
        <v>2361</v>
      </c>
      <c r="G127" s="45">
        <v>70700</v>
      </c>
      <c r="H127" s="45">
        <v>707</v>
      </c>
    </row>
    <row r="128" spans="1:8">
      <c r="A128" s="78">
        <v>127857862671</v>
      </c>
      <c r="B128" s="1" t="s">
        <v>8</v>
      </c>
      <c r="C128" s="44" t="s">
        <v>2071</v>
      </c>
      <c r="D128" s="1" t="s">
        <v>2360</v>
      </c>
      <c r="E128" s="44" t="s">
        <v>2071</v>
      </c>
      <c r="F128" s="38" t="s">
        <v>2361</v>
      </c>
      <c r="G128" s="45">
        <v>16700</v>
      </c>
      <c r="H128" s="45">
        <v>167</v>
      </c>
    </row>
    <row r="129" spans="1:8">
      <c r="A129" s="78">
        <v>128424504454</v>
      </c>
      <c r="B129" s="1" t="s">
        <v>8</v>
      </c>
      <c r="C129" s="44" t="s">
        <v>2071</v>
      </c>
      <c r="D129" s="1" t="s">
        <v>2360</v>
      </c>
      <c r="E129" s="44" t="s">
        <v>2071</v>
      </c>
      <c r="F129" s="38" t="s">
        <v>2361</v>
      </c>
      <c r="G129" s="45">
        <v>12800</v>
      </c>
      <c r="H129" s="45">
        <v>128</v>
      </c>
    </row>
    <row r="130" spans="1:8">
      <c r="A130" s="78">
        <v>127858844639</v>
      </c>
      <c r="B130" s="1" t="s">
        <v>8</v>
      </c>
      <c r="C130" s="44" t="s">
        <v>2071</v>
      </c>
      <c r="D130" s="1" t="s">
        <v>2360</v>
      </c>
      <c r="E130" s="44" t="s">
        <v>2071</v>
      </c>
      <c r="F130" s="38" t="s">
        <v>2361</v>
      </c>
      <c r="G130" s="45">
        <v>44500</v>
      </c>
      <c r="H130" s="45">
        <v>445</v>
      </c>
    </row>
    <row r="131" spans="1:8">
      <c r="A131" s="78">
        <v>127859163129</v>
      </c>
      <c r="B131" s="1" t="s">
        <v>8</v>
      </c>
      <c r="C131" s="44" t="s">
        <v>2071</v>
      </c>
      <c r="D131" s="1" t="s">
        <v>2360</v>
      </c>
      <c r="E131" s="44" t="s">
        <v>2071</v>
      </c>
      <c r="F131" s="38" t="s">
        <v>2361</v>
      </c>
      <c r="G131" s="45">
        <v>4200</v>
      </c>
      <c r="H131" s="45">
        <v>42</v>
      </c>
    </row>
    <row r="132" spans="1:8">
      <c r="A132" s="78">
        <v>127859446439</v>
      </c>
      <c r="B132" s="1" t="s">
        <v>8</v>
      </c>
      <c r="C132" s="44" t="s">
        <v>2071</v>
      </c>
      <c r="D132" s="1" t="s">
        <v>2360</v>
      </c>
      <c r="E132" s="44" t="s">
        <v>2071</v>
      </c>
      <c r="F132" s="38" t="s">
        <v>2361</v>
      </c>
      <c r="G132" s="45">
        <v>12900</v>
      </c>
      <c r="H132" s="45">
        <v>129</v>
      </c>
    </row>
    <row r="133" spans="1:8">
      <c r="A133" s="78">
        <v>128425881632</v>
      </c>
      <c r="B133" s="1" t="s">
        <v>8</v>
      </c>
      <c r="C133" s="44" t="s">
        <v>2071</v>
      </c>
      <c r="D133" s="1" t="s">
        <v>2360</v>
      </c>
      <c r="E133" s="44" t="s">
        <v>2071</v>
      </c>
      <c r="F133" s="38" t="s">
        <v>2361</v>
      </c>
      <c r="G133" s="45">
        <v>15000</v>
      </c>
      <c r="H133" s="45">
        <v>150</v>
      </c>
    </row>
    <row r="134" spans="1:8">
      <c r="A134" s="78">
        <v>128426216768</v>
      </c>
      <c r="B134" s="1" t="s">
        <v>8</v>
      </c>
      <c r="C134" s="44" t="s">
        <v>2071</v>
      </c>
      <c r="D134" s="1" t="s">
        <v>2360</v>
      </c>
      <c r="E134" s="44" t="s">
        <v>2071</v>
      </c>
      <c r="F134" s="38" t="s">
        <v>2361</v>
      </c>
      <c r="G134" s="45">
        <v>4800</v>
      </c>
      <c r="H134" s="45">
        <v>48</v>
      </c>
    </row>
    <row r="135" spans="1:8">
      <c r="A135" s="78">
        <v>128426358946</v>
      </c>
      <c r="B135" s="1" t="s">
        <v>2055</v>
      </c>
      <c r="C135" s="44" t="s">
        <v>2071</v>
      </c>
      <c r="D135" s="1" t="s">
        <v>2360</v>
      </c>
      <c r="E135" s="44" t="s">
        <v>2071</v>
      </c>
      <c r="F135" s="38" t="s">
        <v>2361</v>
      </c>
      <c r="G135" s="45">
        <v>21800</v>
      </c>
      <c r="H135" s="45">
        <v>218</v>
      </c>
    </row>
    <row r="136" spans="1:8">
      <c r="A136" s="78">
        <v>128426740974</v>
      </c>
      <c r="B136" s="1" t="s">
        <v>8</v>
      </c>
      <c r="C136" s="44" t="s">
        <v>2071</v>
      </c>
      <c r="D136" s="1" t="s">
        <v>2360</v>
      </c>
      <c r="E136" s="44" t="s">
        <v>2071</v>
      </c>
      <c r="F136" s="38" t="s">
        <v>2361</v>
      </c>
      <c r="G136" s="45">
        <v>14000</v>
      </c>
      <c r="H136" s="45">
        <v>140</v>
      </c>
    </row>
    <row r="137" spans="1:8">
      <c r="A137" s="78">
        <v>128426964542</v>
      </c>
      <c r="B137" s="1" t="s">
        <v>8</v>
      </c>
      <c r="C137" s="44" t="s">
        <v>2071</v>
      </c>
      <c r="D137" s="1" t="s">
        <v>2360</v>
      </c>
      <c r="E137" s="44" t="s">
        <v>2071</v>
      </c>
      <c r="F137" s="38" t="s">
        <v>2361</v>
      </c>
      <c r="G137" s="45">
        <v>19400</v>
      </c>
      <c r="H137" s="45">
        <v>194</v>
      </c>
    </row>
    <row r="138" spans="1:8">
      <c r="A138" s="78">
        <v>128426857870</v>
      </c>
      <c r="B138" s="1" t="s">
        <v>8</v>
      </c>
      <c r="C138" s="44" t="s">
        <v>2071</v>
      </c>
      <c r="D138" s="1" t="s">
        <v>2360</v>
      </c>
      <c r="E138" s="44" t="s">
        <v>2071</v>
      </c>
      <c r="F138" s="38" t="s">
        <v>2361</v>
      </c>
      <c r="G138" s="45">
        <v>14500</v>
      </c>
      <c r="H138" s="45">
        <v>145</v>
      </c>
    </row>
    <row r="139" spans="1:8">
      <c r="A139" s="78">
        <v>128538963780</v>
      </c>
      <c r="B139" s="1" t="s">
        <v>8</v>
      </c>
      <c r="C139" s="44" t="s">
        <v>2071</v>
      </c>
      <c r="D139" s="1" t="s">
        <v>2360</v>
      </c>
      <c r="E139" s="44" t="s">
        <v>2071</v>
      </c>
      <c r="F139" s="38" t="s">
        <v>2361</v>
      </c>
      <c r="G139" s="45">
        <v>9600</v>
      </c>
      <c r="H139" s="45">
        <v>96</v>
      </c>
    </row>
    <row r="140" spans="1:8">
      <c r="A140" s="78">
        <v>128541606502</v>
      </c>
      <c r="B140" s="1" t="s">
        <v>8</v>
      </c>
      <c r="C140" s="44" t="s">
        <v>2071</v>
      </c>
      <c r="D140" s="1" t="s">
        <v>2360</v>
      </c>
      <c r="E140" s="44" t="s">
        <v>2071</v>
      </c>
      <c r="F140" s="38" t="s">
        <v>2361</v>
      </c>
      <c r="G140" s="45">
        <v>42500</v>
      </c>
      <c r="H140" s="45">
        <v>425</v>
      </c>
    </row>
    <row r="141" spans="1:8">
      <c r="A141" s="78">
        <v>127975227343</v>
      </c>
      <c r="B141" s="1" t="s">
        <v>8</v>
      </c>
      <c r="C141" s="44" t="s">
        <v>2071</v>
      </c>
      <c r="D141" s="1" t="s">
        <v>2360</v>
      </c>
      <c r="E141" s="44" t="s">
        <v>2071</v>
      </c>
      <c r="F141" s="38" t="s">
        <v>2361</v>
      </c>
      <c r="G141" s="45">
        <v>9800</v>
      </c>
      <c r="H141" s="45">
        <v>98</v>
      </c>
    </row>
    <row r="142" spans="1:8">
      <c r="A142" s="78">
        <v>128532328060</v>
      </c>
      <c r="B142" s="1" t="s">
        <v>2055</v>
      </c>
      <c r="C142" s="44" t="s">
        <v>2071</v>
      </c>
      <c r="D142" s="1" t="s">
        <v>2360</v>
      </c>
      <c r="E142" s="44" t="s">
        <v>2071</v>
      </c>
      <c r="F142" s="38" t="s">
        <v>2361</v>
      </c>
      <c r="G142" s="45">
        <v>37000</v>
      </c>
      <c r="H142" s="45">
        <v>370</v>
      </c>
    </row>
    <row r="143" spans="1:8">
      <c r="A143" s="78">
        <v>128544354086</v>
      </c>
      <c r="B143" s="1" t="s">
        <v>2055</v>
      </c>
      <c r="C143" s="44" t="s">
        <v>2071</v>
      </c>
      <c r="D143" s="1" t="s">
        <v>2360</v>
      </c>
      <c r="E143" s="44" t="s">
        <v>2071</v>
      </c>
      <c r="F143" s="38" t="s">
        <v>2361</v>
      </c>
      <c r="G143" s="45">
        <v>28700</v>
      </c>
      <c r="H143" s="45">
        <v>287</v>
      </c>
    </row>
    <row r="144" spans="1:8">
      <c r="A144" s="78">
        <v>128546191150</v>
      </c>
      <c r="B144" s="1" t="s">
        <v>8</v>
      </c>
      <c r="C144" s="44" t="s">
        <v>2071</v>
      </c>
      <c r="D144" s="1" t="s">
        <v>2360</v>
      </c>
      <c r="E144" s="44" t="s">
        <v>2071</v>
      </c>
      <c r="F144" s="38" t="s">
        <v>2361</v>
      </c>
      <c r="G144" s="45">
        <v>9600</v>
      </c>
      <c r="H144" s="45">
        <v>96</v>
      </c>
    </row>
    <row r="145" spans="1:8">
      <c r="A145" s="78">
        <v>127979226453</v>
      </c>
      <c r="B145" s="1" t="s">
        <v>2055</v>
      </c>
      <c r="C145" s="44" t="s">
        <v>2071</v>
      </c>
      <c r="D145" s="1" t="s">
        <v>2360</v>
      </c>
      <c r="E145" s="44" t="s">
        <v>2071</v>
      </c>
      <c r="F145" s="38" t="s">
        <v>2361</v>
      </c>
      <c r="G145" s="45">
        <v>8400</v>
      </c>
      <c r="H145" s="45">
        <v>84</v>
      </c>
    </row>
    <row r="146" spans="1:8">
      <c r="A146" s="78">
        <v>128552186160</v>
      </c>
      <c r="B146" s="1" t="s">
        <v>8</v>
      </c>
      <c r="C146" s="44" t="s">
        <v>2071</v>
      </c>
      <c r="D146" s="1" t="s">
        <v>2360</v>
      </c>
      <c r="E146" s="44" t="s">
        <v>2071</v>
      </c>
      <c r="F146" s="38" t="s">
        <v>2361</v>
      </c>
      <c r="G146" s="45">
        <v>2300</v>
      </c>
      <c r="H146" s="45">
        <v>23</v>
      </c>
    </row>
    <row r="147" spans="1:8">
      <c r="A147" s="78">
        <v>127975543977</v>
      </c>
      <c r="B147" s="1" t="s">
        <v>8</v>
      </c>
      <c r="C147" s="44" t="s">
        <v>2071</v>
      </c>
      <c r="D147" s="1" t="s">
        <v>2360</v>
      </c>
      <c r="E147" s="44" t="s">
        <v>2071</v>
      </c>
      <c r="F147" s="38" t="s">
        <v>2361</v>
      </c>
      <c r="G147" s="45">
        <v>13300</v>
      </c>
      <c r="H147" s="45">
        <v>133</v>
      </c>
    </row>
    <row r="148" spans="1:8">
      <c r="A148" s="78">
        <v>128554292288</v>
      </c>
      <c r="B148" s="1" t="s">
        <v>8</v>
      </c>
      <c r="C148" s="44" t="s">
        <v>2071</v>
      </c>
      <c r="D148" s="1" t="s">
        <v>2360</v>
      </c>
      <c r="E148" s="44" t="s">
        <v>2071</v>
      </c>
      <c r="F148" s="38" t="s">
        <v>2361</v>
      </c>
      <c r="G148" s="45">
        <v>4900</v>
      </c>
      <c r="H148" s="45">
        <v>49</v>
      </c>
    </row>
    <row r="149" spans="1:8">
      <c r="A149" s="78">
        <v>127978785635</v>
      </c>
      <c r="B149" s="1" t="s">
        <v>8</v>
      </c>
      <c r="C149" s="44" t="s">
        <v>2071</v>
      </c>
      <c r="D149" s="1" t="s">
        <v>2360</v>
      </c>
      <c r="E149" s="44" t="s">
        <v>2071</v>
      </c>
      <c r="F149" s="38" t="s">
        <v>2361</v>
      </c>
      <c r="G149" s="45">
        <v>8000</v>
      </c>
      <c r="H149" s="45">
        <v>80</v>
      </c>
    </row>
    <row r="150" spans="1:8">
      <c r="A150" s="78">
        <v>127978952503</v>
      </c>
      <c r="B150" s="1" t="s">
        <v>8</v>
      </c>
      <c r="C150" s="44" t="s">
        <v>2071</v>
      </c>
      <c r="D150" s="1" t="s">
        <v>2360</v>
      </c>
      <c r="E150" s="44" t="s">
        <v>2071</v>
      </c>
      <c r="F150" s="38" t="s">
        <v>2361</v>
      </c>
      <c r="G150" s="45">
        <v>15400</v>
      </c>
      <c r="H150" s="45">
        <v>154</v>
      </c>
    </row>
    <row r="151" spans="1:8">
      <c r="A151" s="78">
        <v>128557855134</v>
      </c>
      <c r="B151" s="1" t="s">
        <v>8</v>
      </c>
      <c r="C151" s="44" t="s">
        <v>2071</v>
      </c>
      <c r="D151" s="1" t="s">
        <v>2360</v>
      </c>
      <c r="E151" s="44" t="s">
        <v>2071</v>
      </c>
      <c r="F151" s="38" t="s">
        <v>2361</v>
      </c>
      <c r="G151" s="45">
        <v>34500</v>
      </c>
      <c r="H151" s="45">
        <v>345</v>
      </c>
    </row>
    <row r="152" spans="1:8">
      <c r="A152" s="78">
        <v>128557987022</v>
      </c>
      <c r="B152" s="1" t="s">
        <v>8</v>
      </c>
      <c r="C152" s="44" t="s">
        <v>2071</v>
      </c>
      <c r="D152" s="1" t="s">
        <v>2360</v>
      </c>
      <c r="E152" s="44" t="s">
        <v>2071</v>
      </c>
      <c r="F152" s="38" t="s">
        <v>2361</v>
      </c>
      <c r="G152" s="45">
        <v>4800</v>
      </c>
      <c r="H152" s="45">
        <v>48</v>
      </c>
    </row>
    <row r="153" spans="1:8">
      <c r="A153" s="78">
        <v>128558731210</v>
      </c>
      <c r="B153" s="1" t="s">
        <v>8</v>
      </c>
      <c r="C153" s="44" t="s">
        <v>2071</v>
      </c>
      <c r="D153" s="1" t="s">
        <v>2360</v>
      </c>
      <c r="E153" s="44" t="s">
        <v>2071</v>
      </c>
      <c r="F153" s="38" t="s">
        <v>2361</v>
      </c>
      <c r="G153" s="45">
        <v>44200</v>
      </c>
      <c r="H153" s="45">
        <v>442</v>
      </c>
    </row>
    <row r="154" spans="1:8">
      <c r="A154" s="78">
        <v>127994543007</v>
      </c>
      <c r="B154" s="1" t="s">
        <v>8</v>
      </c>
      <c r="C154" s="44" t="s">
        <v>2071</v>
      </c>
      <c r="D154" s="1" t="s">
        <v>2360</v>
      </c>
      <c r="E154" s="44" t="s">
        <v>2071</v>
      </c>
      <c r="F154" s="38" t="s">
        <v>2361</v>
      </c>
      <c r="G154" s="45">
        <v>64400</v>
      </c>
      <c r="H154" s="45">
        <v>644</v>
      </c>
    </row>
    <row r="155" spans="1:8">
      <c r="A155" s="78">
        <v>128553170088</v>
      </c>
      <c r="B155" s="1" t="s">
        <v>8</v>
      </c>
      <c r="C155" s="44" t="s">
        <v>2071</v>
      </c>
      <c r="D155" s="1" t="s">
        <v>2360</v>
      </c>
      <c r="E155" s="44" t="s">
        <v>2071</v>
      </c>
      <c r="F155" s="38" t="s">
        <v>2361</v>
      </c>
      <c r="G155" s="45">
        <v>10000</v>
      </c>
      <c r="H155" s="45">
        <v>100</v>
      </c>
    </row>
    <row r="156" spans="1:8">
      <c r="A156" s="78">
        <v>127995227521</v>
      </c>
      <c r="B156" s="1" t="s">
        <v>2055</v>
      </c>
      <c r="C156" s="44" t="s">
        <v>2071</v>
      </c>
      <c r="D156" s="1" t="s">
        <v>2360</v>
      </c>
      <c r="E156" s="44" t="s">
        <v>2071</v>
      </c>
      <c r="F156" s="38" t="s">
        <v>2361</v>
      </c>
      <c r="G156" s="45">
        <v>53900</v>
      </c>
      <c r="H156" s="45">
        <v>539</v>
      </c>
    </row>
    <row r="157" spans="1:8">
      <c r="A157" s="78">
        <v>127987036961</v>
      </c>
      <c r="B157" s="1" t="s">
        <v>2055</v>
      </c>
      <c r="C157" s="44" t="s">
        <v>2071</v>
      </c>
      <c r="D157" s="1" t="s">
        <v>2360</v>
      </c>
      <c r="E157" s="44" t="s">
        <v>2071</v>
      </c>
      <c r="F157" s="38" t="s">
        <v>2361</v>
      </c>
      <c r="G157" s="45">
        <v>8400</v>
      </c>
      <c r="H157" s="45">
        <v>84</v>
      </c>
    </row>
    <row r="158" spans="1:8">
      <c r="A158" s="78">
        <v>127988026707</v>
      </c>
      <c r="B158" s="1" t="s">
        <v>8</v>
      </c>
      <c r="C158" s="44" t="s">
        <v>2071</v>
      </c>
      <c r="D158" s="1" t="s">
        <v>2360</v>
      </c>
      <c r="E158" s="44" t="s">
        <v>2071</v>
      </c>
      <c r="F158" s="38" t="s">
        <v>2361</v>
      </c>
      <c r="G158" s="45">
        <v>42800</v>
      </c>
      <c r="H158" s="45">
        <v>428</v>
      </c>
    </row>
    <row r="159" spans="1:8">
      <c r="A159" s="78">
        <v>128564070590</v>
      </c>
      <c r="B159" s="1" t="s">
        <v>8</v>
      </c>
      <c r="C159" s="44" t="s">
        <v>2071</v>
      </c>
      <c r="D159" s="1" t="s">
        <v>2360</v>
      </c>
      <c r="E159" s="44" t="s">
        <v>2071</v>
      </c>
      <c r="F159" s="38" t="s">
        <v>2361</v>
      </c>
      <c r="G159" s="45">
        <v>43900</v>
      </c>
      <c r="H159" s="45">
        <v>439</v>
      </c>
    </row>
    <row r="160" spans="1:8">
      <c r="A160" s="78">
        <v>127997252239</v>
      </c>
      <c r="B160" s="1" t="s">
        <v>2055</v>
      </c>
      <c r="C160" s="44" t="s">
        <v>2071</v>
      </c>
      <c r="D160" s="1" t="s">
        <v>2360</v>
      </c>
      <c r="E160" s="44" t="s">
        <v>2071</v>
      </c>
      <c r="F160" s="38" t="s">
        <v>2361</v>
      </c>
      <c r="G160" s="45">
        <v>9700</v>
      </c>
      <c r="H160" s="45">
        <v>97</v>
      </c>
    </row>
    <row r="161" spans="1:8">
      <c r="A161" s="78">
        <v>128564070590</v>
      </c>
      <c r="B161" s="1" t="s">
        <v>8</v>
      </c>
      <c r="C161" s="44" t="s">
        <v>2071</v>
      </c>
      <c r="D161" s="1" t="s">
        <v>2073</v>
      </c>
      <c r="E161" s="44" t="s">
        <v>2071</v>
      </c>
      <c r="F161" s="38" t="s">
        <v>2361</v>
      </c>
      <c r="G161" s="45">
        <v>-43900</v>
      </c>
      <c r="H161" s="45">
        <v>-439</v>
      </c>
    </row>
    <row r="162" spans="1:8">
      <c r="A162" s="78">
        <v>128564579028</v>
      </c>
      <c r="B162" s="1" t="s">
        <v>8</v>
      </c>
      <c r="C162" s="44" t="s">
        <v>2071</v>
      </c>
      <c r="D162" s="1" t="s">
        <v>2360</v>
      </c>
      <c r="E162" s="44" t="s">
        <v>2071</v>
      </c>
      <c r="F162" s="38" t="s">
        <v>2361</v>
      </c>
      <c r="G162" s="45">
        <v>30400</v>
      </c>
      <c r="H162" s="45">
        <v>304</v>
      </c>
    </row>
    <row r="163" spans="1:8">
      <c r="A163" s="78">
        <v>128564877302</v>
      </c>
      <c r="B163" s="1" t="s">
        <v>8</v>
      </c>
      <c r="C163" s="44" t="s">
        <v>2071</v>
      </c>
      <c r="D163" s="1" t="s">
        <v>2360</v>
      </c>
      <c r="E163" s="44" t="s">
        <v>2071</v>
      </c>
      <c r="F163" s="38" t="s">
        <v>2361</v>
      </c>
      <c r="G163" s="45">
        <v>29600</v>
      </c>
      <c r="H163" s="45">
        <v>296</v>
      </c>
    </row>
    <row r="164" spans="1:8">
      <c r="A164" s="78">
        <v>127998034681</v>
      </c>
      <c r="B164" s="1" t="s">
        <v>8</v>
      </c>
      <c r="C164" s="44" t="s">
        <v>2071</v>
      </c>
      <c r="D164" s="1" t="s">
        <v>2360</v>
      </c>
      <c r="E164" s="44" t="s">
        <v>2071</v>
      </c>
      <c r="F164" s="38" t="s">
        <v>2361</v>
      </c>
      <c r="G164" s="45">
        <v>32400</v>
      </c>
      <c r="H164" s="45">
        <v>324</v>
      </c>
    </row>
    <row r="165" spans="1:8">
      <c r="A165" s="78">
        <v>127998422719</v>
      </c>
      <c r="B165" s="1" t="s">
        <v>8</v>
      </c>
      <c r="C165" s="44" t="s">
        <v>2071</v>
      </c>
      <c r="D165" s="1" t="s">
        <v>2360</v>
      </c>
      <c r="E165" s="44" t="s">
        <v>2071</v>
      </c>
      <c r="F165" s="38" t="s">
        <v>2361</v>
      </c>
      <c r="G165" s="45">
        <v>40900</v>
      </c>
      <c r="H165" s="45">
        <v>409</v>
      </c>
    </row>
    <row r="166" spans="1:8">
      <c r="A166" s="78">
        <v>127998530233</v>
      </c>
      <c r="B166" s="1" t="s">
        <v>8</v>
      </c>
      <c r="C166" s="44" t="s">
        <v>2071</v>
      </c>
      <c r="D166" s="1" t="s">
        <v>2360</v>
      </c>
      <c r="E166" s="44" t="s">
        <v>2071</v>
      </c>
      <c r="F166" s="38" t="s">
        <v>2361</v>
      </c>
      <c r="G166" s="45">
        <v>23900</v>
      </c>
      <c r="H166" s="45">
        <v>239</v>
      </c>
    </row>
    <row r="167" spans="1:8">
      <c r="A167" s="78">
        <v>127998715475</v>
      </c>
      <c r="B167" s="1" t="s">
        <v>8</v>
      </c>
      <c r="C167" s="44" t="s">
        <v>2071</v>
      </c>
      <c r="D167" s="1" t="s">
        <v>2360</v>
      </c>
      <c r="E167" s="44" t="s">
        <v>2071</v>
      </c>
      <c r="F167" s="38" t="s">
        <v>2361</v>
      </c>
      <c r="G167" s="45">
        <v>88300</v>
      </c>
      <c r="H167" s="45">
        <v>883</v>
      </c>
    </row>
    <row r="168" spans="1:8">
      <c r="A168" s="78">
        <v>127998958295</v>
      </c>
      <c r="B168" s="1" t="s">
        <v>8</v>
      </c>
      <c r="C168" s="44" t="s">
        <v>2071</v>
      </c>
      <c r="D168" s="1" t="s">
        <v>2360</v>
      </c>
      <c r="E168" s="44" t="s">
        <v>2071</v>
      </c>
      <c r="F168" s="38" t="s">
        <v>2361</v>
      </c>
      <c r="G168" s="45">
        <v>75200</v>
      </c>
      <c r="H168" s="45">
        <v>752</v>
      </c>
    </row>
    <row r="169" spans="1:8">
      <c r="A169" s="78">
        <v>128566674792</v>
      </c>
      <c r="B169" s="1" t="s">
        <v>8</v>
      </c>
      <c r="C169" s="44" t="s">
        <v>2071</v>
      </c>
      <c r="D169" s="1" t="s">
        <v>2360</v>
      </c>
      <c r="E169" s="44" t="s">
        <v>2071</v>
      </c>
      <c r="F169" s="38" t="s">
        <v>2361</v>
      </c>
      <c r="G169" s="45">
        <v>4900</v>
      </c>
      <c r="H169" s="45">
        <v>49</v>
      </c>
    </row>
    <row r="170" spans="1:8">
      <c r="A170" s="78">
        <v>128566760368</v>
      </c>
      <c r="B170" s="1" t="s">
        <v>8</v>
      </c>
      <c r="C170" s="44" t="s">
        <v>2071</v>
      </c>
      <c r="D170" s="1" t="s">
        <v>2360</v>
      </c>
      <c r="E170" s="44" t="s">
        <v>2071</v>
      </c>
      <c r="F170" s="38" t="s">
        <v>2361</v>
      </c>
      <c r="G170" s="45">
        <v>104300</v>
      </c>
      <c r="H170" s="45">
        <v>1043</v>
      </c>
    </row>
    <row r="171" spans="1:8">
      <c r="A171" s="78">
        <v>128558595664</v>
      </c>
      <c r="B171" s="1" t="s">
        <v>8</v>
      </c>
      <c r="C171" s="44" t="s">
        <v>2071</v>
      </c>
      <c r="D171" s="1" t="s">
        <v>2360</v>
      </c>
      <c r="E171" s="44" t="s">
        <v>2071</v>
      </c>
      <c r="F171" s="38" t="s">
        <v>2361</v>
      </c>
      <c r="G171" s="45">
        <v>19600</v>
      </c>
      <c r="H171" s="45">
        <v>196</v>
      </c>
    </row>
    <row r="172" spans="1:8">
      <c r="A172" s="78">
        <v>128000465631</v>
      </c>
      <c r="B172" s="1" t="s">
        <v>2055</v>
      </c>
      <c r="C172" s="44" t="s">
        <v>2071</v>
      </c>
      <c r="D172" s="1" t="s">
        <v>2360</v>
      </c>
      <c r="E172" s="44" t="s">
        <v>2089</v>
      </c>
      <c r="F172" s="38" t="s">
        <v>2361</v>
      </c>
      <c r="G172" s="45">
        <v>60600</v>
      </c>
      <c r="H172" s="45">
        <v>606</v>
      </c>
    </row>
    <row r="173" spans="1:8">
      <c r="A173" s="78">
        <v>128001058955</v>
      </c>
      <c r="B173" s="1" t="s">
        <v>8</v>
      </c>
      <c r="C173" s="44" t="s">
        <v>2071</v>
      </c>
      <c r="D173" s="1" t="s">
        <v>2360</v>
      </c>
      <c r="E173" s="44" t="s">
        <v>2089</v>
      </c>
      <c r="F173" s="38" t="s">
        <v>2361</v>
      </c>
      <c r="G173" s="45">
        <v>38900</v>
      </c>
      <c r="H173" s="45">
        <v>389</v>
      </c>
    </row>
    <row r="174" spans="1:8">
      <c r="A174" s="78">
        <v>128001109327</v>
      </c>
      <c r="B174" s="1" t="s">
        <v>8</v>
      </c>
      <c r="C174" s="44" t="s">
        <v>2071</v>
      </c>
      <c r="D174" s="1" t="s">
        <v>2360</v>
      </c>
      <c r="E174" s="44" t="s">
        <v>2089</v>
      </c>
      <c r="F174" s="38" t="s">
        <v>2361</v>
      </c>
      <c r="G174" s="45">
        <v>39400</v>
      </c>
      <c r="H174" s="45">
        <v>394</v>
      </c>
    </row>
    <row r="175" spans="1:8">
      <c r="A175" s="78">
        <v>128001440707</v>
      </c>
      <c r="B175" s="1" t="s">
        <v>2055</v>
      </c>
      <c r="C175" s="44" t="s">
        <v>2071</v>
      </c>
      <c r="D175" s="1" t="s">
        <v>2360</v>
      </c>
      <c r="E175" s="44" t="s">
        <v>2089</v>
      </c>
      <c r="F175" s="38" t="s">
        <v>2361</v>
      </c>
      <c r="G175" s="45">
        <v>39900</v>
      </c>
      <c r="H175" s="45">
        <v>399</v>
      </c>
    </row>
    <row r="176" spans="1:8">
      <c r="A176" s="78">
        <v>128569194344</v>
      </c>
      <c r="B176" s="1" t="s">
        <v>8</v>
      </c>
      <c r="C176" s="44" t="s">
        <v>2071</v>
      </c>
      <c r="D176" s="1" t="s">
        <v>2360</v>
      </c>
      <c r="E176" s="44" t="s">
        <v>2089</v>
      </c>
      <c r="F176" s="38" t="s">
        <v>2361</v>
      </c>
      <c r="G176" s="45">
        <v>32300</v>
      </c>
      <c r="H176" s="45">
        <v>323</v>
      </c>
    </row>
    <row r="177" spans="1:8">
      <c r="A177" s="78">
        <v>127996004657</v>
      </c>
      <c r="B177" s="1" t="s">
        <v>2055</v>
      </c>
      <c r="C177" s="44" t="s">
        <v>2071</v>
      </c>
      <c r="D177" s="1" t="s">
        <v>2360</v>
      </c>
      <c r="E177" s="44" t="s">
        <v>2071</v>
      </c>
      <c r="F177" s="38" t="s">
        <v>2361</v>
      </c>
      <c r="G177" s="45">
        <v>43200</v>
      </c>
      <c r="H177" s="45">
        <v>432</v>
      </c>
    </row>
    <row r="178" spans="1:8">
      <c r="A178" s="78">
        <v>128572165456</v>
      </c>
      <c r="B178" s="1" t="s">
        <v>2055</v>
      </c>
      <c r="C178" s="44" t="s">
        <v>2089</v>
      </c>
      <c r="D178" s="1" t="s">
        <v>2360</v>
      </c>
      <c r="E178" s="44" t="s">
        <v>2089</v>
      </c>
      <c r="F178" s="38" t="s">
        <v>2361</v>
      </c>
      <c r="G178" s="45">
        <v>8200</v>
      </c>
      <c r="H178" s="45">
        <v>82</v>
      </c>
    </row>
    <row r="179" spans="1:8">
      <c r="A179" s="78">
        <v>127996122285</v>
      </c>
      <c r="B179" s="1" t="s">
        <v>8</v>
      </c>
      <c r="C179" s="44" t="s">
        <v>2071</v>
      </c>
      <c r="D179" s="1" t="s">
        <v>2360</v>
      </c>
      <c r="E179" s="44" t="s">
        <v>2071</v>
      </c>
      <c r="F179" s="38" t="s">
        <v>2361</v>
      </c>
      <c r="G179" s="45">
        <v>9000</v>
      </c>
      <c r="H179" s="45">
        <v>90</v>
      </c>
    </row>
    <row r="180" spans="1:8">
      <c r="A180" s="78">
        <v>128563250040</v>
      </c>
      <c r="B180" s="1" t="s">
        <v>8</v>
      </c>
      <c r="C180" s="44" t="s">
        <v>2071</v>
      </c>
      <c r="D180" s="1" t="s">
        <v>2360</v>
      </c>
      <c r="E180" s="44" t="s">
        <v>2071</v>
      </c>
      <c r="F180" s="38" t="s">
        <v>2361</v>
      </c>
      <c r="G180" s="45">
        <v>5000</v>
      </c>
      <c r="H180" s="45">
        <v>50</v>
      </c>
    </row>
    <row r="181" spans="1:8">
      <c r="A181" s="78">
        <v>127996361007</v>
      </c>
      <c r="B181" s="1" t="s">
        <v>8</v>
      </c>
      <c r="C181" s="44" t="s">
        <v>2071</v>
      </c>
      <c r="D181" s="1" t="s">
        <v>2360</v>
      </c>
      <c r="E181" s="44" t="s">
        <v>2071</v>
      </c>
      <c r="F181" s="38" t="s">
        <v>2361</v>
      </c>
      <c r="G181" s="45">
        <v>68100</v>
      </c>
      <c r="H181" s="45">
        <v>681</v>
      </c>
    </row>
    <row r="182" spans="1:8">
      <c r="A182" s="78">
        <v>127996450215</v>
      </c>
      <c r="B182" s="1" t="s">
        <v>8</v>
      </c>
      <c r="C182" s="44" t="s">
        <v>2071</v>
      </c>
      <c r="D182" s="1" t="s">
        <v>2360</v>
      </c>
      <c r="E182" s="44" t="s">
        <v>2071</v>
      </c>
      <c r="F182" s="38" t="s">
        <v>2361</v>
      </c>
      <c r="G182" s="45">
        <v>5300</v>
      </c>
      <c r="H182" s="45">
        <v>53</v>
      </c>
    </row>
    <row r="183" spans="1:8">
      <c r="A183" s="78">
        <v>128563797988</v>
      </c>
      <c r="B183" s="1" t="s">
        <v>8</v>
      </c>
      <c r="C183" s="44" t="s">
        <v>2071</v>
      </c>
      <c r="D183" s="1" t="s">
        <v>2360</v>
      </c>
      <c r="E183" s="44" t="s">
        <v>2071</v>
      </c>
      <c r="F183" s="38" t="s">
        <v>2361</v>
      </c>
      <c r="G183" s="45">
        <v>16700</v>
      </c>
      <c r="H183" s="45">
        <v>167</v>
      </c>
    </row>
    <row r="184" spans="1:8">
      <c r="A184" s="78">
        <v>128005948841</v>
      </c>
      <c r="B184" s="1" t="s">
        <v>8</v>
      </c>
      <c r="C184" s="44" t="s">
        <v>2089</v>
      </c>
      <c r="D184" s="1" t="s">
        <v>2360</v>
      </c>
      <c r="E184" s="44" t="s">
        <v>2089</v>
      </c>
      <c r="F184" s="38" t="s">
        <v>2361</v>
      </c>
      <c r="G184" s="45">
        <v>36600</v>
      </c>
      <c r="H184" s="45">
        <v>366</v>
      </c>
    </row>
    <row r="185" spans="1:8">
      <c r="A185" s="78">
        <v>128005944893</v>
      </c>
      <c r="B185" s="1" t="s">
        <v>2055</v>
      </c>
      <c r="C185" s="44" t="s">
        <v>2089</v>
      </c>
      <c r="D185" s="1" t="s">
        <v>2360</v>
      </c>
      <c r="E185" s="44" t="s">
        <v>2089</v>
      </c>
      <c r="F185" s="38" t="s">
        <v>2361</v>
      </c>
      <c r="G185" s="45">
        <v>4800</v>
      </c>
      <c r="H185" s="45">
        <v>48</v>
      </c>
    </row>
    <row r="186" spans="1:8">
      <c r="A186" s="78">
        <v>128564105462</v>
      </c>
      <c r="B186" s="1" t="s">
        <v>8</v>
      </c>
      <c r="C186" s="44" t="s">
        <v>2071</v>
      </c>
      <c r="D186" s="1" t="s">
        <v>2360</v>
      </c>
      <c r="E186" s="44" t="s">
        <v>2071</v>
      </c>
      <c r="F186" s="38" t="s">
        <v>2361</v>
      </c>
      <c r="G186" s="45">
        <v>9000</v>
      </c>
      <c r="H186" s="45">
        <v>90</v>
      </c>
    </row>
    <row r="187" spans="1:8">
      <c r="A187" s="78">
        <v>127997540269</v>
      </c>
      <c r="B187" s="1" t="s">
        <v>8</v>
      </c>
      <c r="C187" s="44" t="s">
        <v>2071</v>
      </c>
      <c r="D187" s="1" t="s">
        <v>2360</v>
      </c>
      <c r="E187" s="44" t="s">
        <v>2071</v>
      </c>
      <c r="F187" s="38" t="s">
        <v>2361</v>
      </c>
      <c r="G187" s="45">
        <v>34700</v>
      </c>
      <c r="H187" s="45">
        <v>347</v>
      </c>
    </row>
    <row r="188" spans="1:8">
      <c r="A188" s="78">
        <v>128007866123</v>
      </c>
      <c r="B188" s="1" t="s">
        <v>8</v>
      </c>
      <c r="C188" s="44" t="s">
        <v>2089</v>
      </c>
      <c r="D188" s="1" t="s">
        <v>2360</v>
      </c>
      <c r="E188" s="44" t="s">
        <v>2089</v>
      </c>
      <c r="F188" s="38" t="s">
        <v>2361</v>
      </c>
      <c r="G188" s="45">
        <v>9600</v>
      </c>
      <c r="H188" s="45">
        <v>96</v>
      </c>
    </row>
    <row r="189" spans="1:8">
      <c r="A189" s="78">
        <v>127998690249</v>
      </c>
      <c r="B189" s="1" t="s">
        <v>8</v>
      </c>
      <c r="C189" s="44" t="s">
        <v>2071</v>
      </c>
      <c r="D189" s="1" t="s">
        <v>2360</v>
      </c>
      <c r="E189" s="44" t="s">
        <v>2071</v>
      </c>
      <c r="F189" s="38" t="s">
        <v>2361</v>
      </c>
      <c r="G189" s="45">
        <v>8800</v>
      </c>
      <c r="H189" s="45">
        <v>88</v>
      </c>
    </row>
    <row r="190" spans="1:8">
      <c r="A190" s="78">
        <v>127998789467</v>
      </c>
      <c r="B190" s="1" t="s">
        <v>2055</v>
      </c>
      <c r="C190" s="44" t="s">
        <v>2071</v>
      </c>
      <c r="D190" s="1" t="s">
        <v>2360</v>
      </c>
      <c r="E190" s="44" t="s">
        <v>2071</v>
      </c>
      <c r="F190" s="38" t="s">
        <v>2361</v>
      </c>
      <c r="G190" s="45">
        <v>82100</v>
      </c>
      <c r="H190" s="45">
        <v>821</v>
      </c>
    </row>
    <row r="191" spans="1:8">
      <c r="A191" s="78">
        <v>128008194223</v>
      </c>
      <c r="B191" s="1" t="s">
        <v>8</v>
      </c>
      <c r="C191" s="44" t="s">
        <v>2089</v>
      </c>
      <c r="D191" s="1" t="s">
        <v>2360</v>
      </c>
      <c r="E191" s="44" t="s">
        <v>2089</v>
      </c>
      <c r="F191" s="38" t="s">
        <v>2361</v>
      </c>
      <c r="G191" s="45">
        <v>8600</v>
      </c>
      <c r="H191" s="45">
        <v>86</v>
      </c>
    </row>
    <row r="192" spans="1:8">
      <c r="A192" s="78">
        <v>127999228319</v>
      </c>
      <c r="B192" s="1" t="s">
        <v>8</v>
      </c>
      <c r="C192" s="44" t="s">
        <v>2071</v>
      </c>
      <c r="D192" s="1" t="s">
        <v>2360</v>
      </c>
      <c r="E192" s="44" t="s">
        <v>2071</v>
      </c>
      <c r="F192" s="38" t="s">
        <v>2361</v>
      </c>
      <c r="G192" s="45">
        <v>63500</v>
      </c>
      <c r="H192" s="45">
        <v>635</v>
      </c>
    </row>
    <row r="193" spans="1:8">
      <c r="A193" s="78">
        <v>128567047402</v>
      </c>
      <c r="B193" s="1" t="s">
        <v>8</v>
      </c>
      <c r="C193" s="44" t="s">
        <v>2071</v>
      </c>
      <c r="D193" s="1" t="s">
        <v>2360</v>
      </c>
      <c r="E193" s="44" t="s">
        <v>2071</v>
      </c>
      <c r="F193" s="38" t="s">
        <v>2361</v>
      </c>
      <c r="G193" s="45">
        <v>13200</v>
      </c>
      <c r="H193" s="45">
        <v>132</v>
      </c>
    </row>
    <row r="194" spans="1:8">
      <c r="A194" s="78">
        <v>128000200419</v>
      </c>
      <c r="B194" s="1" t="s">
        <v>8</v>
      </c>
      <c r="C194" s="44" t="s">
        <v>2071</v>
      </c>
      <c r="D194" s="1" t="s">
        <v>2360</v>
      </c>
      <c r="E194" s="44" t="s">
        <v>2071</v>
      </c>
      <c r="F194" s="38" t="s">
        <v>2361</v>
      </c>
      <c r="G194" s="45">
        <v>40600</v>
      </c>
      <c r="H194" s="45">
        <v>406</v>
      </c>
    </row>
    <row r="195" spans="1:8">
      <c r="A195" s="78">
        <v>128000430537</v>
      </c>
      <c r="B195" s="1" t="s">
        <v>2055</v>
      </c>
      <c r="C195" s="44" t="s">
        <v>2071</v>
      </c>
      <c r="D195" s="1" t="s">
        <v>2360</v>
      </c>
      <c r="E195" s="44" t="s">
        <v>2071</v>
      </c>
      <c r="F195" s="38" t="s">
        <v>2361</v>
      </c>
      <c r="G195" s="45">
        <v>19700</v>
      </c>
      <c r="H195" s="45">
        <v>197</v>
      </c>
    </row>
    <row r="196" spans="1:8">
      <c r="A196" s="78">
        <v>128568081896</v>
      </c>
      <c r="B196" s="1" t="s">
        <v>8</v>
      </c>
      <c r="C196" s="44" t="s">
        <v>2071</v>
      </c>
      <c r="D196" s="1" t="s">
        <v>2360</v>
      </c>
      <c r="E196" s="44" t="s">
        <v>2089</v>
      </c>
      <c r="F196" s="38" t="s">
        <v>2361</v>
      </c>
      <c r="G196" s="45">
        <v>8800</v>
      </c>
      <c r="H196" s="45">
        <v>88</v>
      </c>
    </row>
    <row r="197" spans="1:8">
      <c r="A197" s="78">
        <v>128001644287</v>
      </c>
      <c r="B197" s="1" t="s">
        <v>8</v>
      </c>
      <c r="C197" s="44" t="s">
        <v>2071</v>
      </c>
      <c r="D197" s="1" t="s">
        <v>2360</v>
      </c>
      <c r="E197" s="44" t="s">
        <v>2089</v>
      </c>
      <c r="F197" s="38" t="s">
        <v>2361</v>
      </c>
      <c r="G197" s="45">
        <v>34500</v>
      </c>
      <c r="H197" s="45">
        <v>345</v>
      </c>
    </row>
    <row r="198" spans="1:8">
      <c r="A198" s="78">
        <v>128569096724</v>
      </c>
      <c r="B198" s="1" t="s">
        <v>8</v>
      </c>
      <c r="C198" s="44" t="s">
        <v>2071</v>
      </c>
      <c r="D198" s="1" t="s">
        <v>2360</v>
      </c>
      <c r="E198" s="44" t="s">
        <v>2089</v>
      </c>
      <c r="F198" s="38" t="s">
        <v>2361</v>
      </c>
      <c r="G198" s="45">
        <v>17600</v>
      </c>
      <c r="H198" s="45">
        <v>176</v>
      </c>
    </row>
    <row r="199" spans="1:8">
      <c r="A199" s="78">
        <v>128569976332</v>
      </c>
      <c r="B199" s="1" t="s">
        <v>2055</v>
      </c>
      <c r="C199" s="44" t="s">
        <v>2071</v>
      </c>
      <c r="D199" s="1" t="s">
        <v>2360</v>
      </c>
      <c r="E199" s="44" t="s">
        <v>2089</v>
      </c>
      <c r="F199" s="38" t="s">
        <v>2361</v>
      </c>
      <c r="G199" s="45">
        <v>25900</v>
      </c>
      <c r="H199" s="45">
        <v>259</v>
      </c>
    </row>
    <row r="200" spans="1:8">
      <c r="A200" s="78">
        <v>128570461436</v>
      </c>
      <c r="B200" s="1" t="s">
        <v>8</v>
      </c>
      <c r="C200" s="44" t="s">
        <v>2071</v>
      </c>
      <c r="D200" s="1" t="s">
        <v>2360</v>
      </c>
      <c r="E200" s="44" t="s">
        <v>2089</v>
      </c>
      <c r="F200" s="38" t="s">
        <v>2361</v>
      </c>
      <c r="G200" s="45">
        <v>10600</v>
      </c>
      <c r="H200" s="45">
        <v>106</v>
      </c>
    </row>
    <row r="201" spans="1:8">
      <c r="A201" s="78">
        <v>128571344170</v>
      </c>
      <c r="B201" s="1" t="s">
        <v>8</v>
      </c>
      <c r="C201" s="44" t="s">
        <v>2089</v>
      </c>
      <c r="D201" s="1" t="s">
        <v>2360</v>
      </c>
      <c r="E201" s="44" t="s">
        <v>2089</v>
      </c>
      <c r="F201" s="38" t="s">
        <v>2361</v>
      </c>
      <c r="G201" s="45">
        <v>23200</v>
      </c>
      <c r="H201" s="45">
        <v>232</v>
      </c>
    </row>
    <row r="202" spans="1:8">
      <c r="A202" s="78">
        <v>128571825428</v>
      </c>
      <c r="B202" s="1" t="s">
        <v>8</v>
      </c>
      <c r="C202" s="44" t="s">
        <v>2089</v>
      </c>
      <c r="D202" s="1" t="s">
        <v>2360</v>
      </c>
      <c r="E202" s="44" t="s">
        <v>2089</v>
      </c>
      <c r="F202" s="38" t="s">
        <v>2361</v>
      </c>
      <c r="G202" s="45">
        <v>38500</v>
      </c>
      <c r="H202" s="45">
        <v>385</v>
      </c>
    </row>
    <row r="203" spans="1:8">
      <c r="A203" s="78">
        <v>128005151107</v>
      </c>
      <c r="B203" s="1" t="s">
        <v>8</v>
      </c>
      <c r="C203" s="44" t="s">
        <v>2089</v>
      </c>
      <c r="D203" s="1" t="s">
        <v>2360</v>
      </c>
      <c r="E203" s="44" t="s">
        <v>2089</v>
      </c>
      <c r="F203" s="38" t="s">
        <v>2361</v>
      </c>
      <c r="G203" s="45">
        <v>77500</v>
      </c>
      <c r="H203" s="45">
        <v>775</v>
      </c>
    </row>
    <row r="204" spans="1:8">
      <c r="A204" s="78">
        <v>128005159549</v>
      </c>
      <c r="B204" s="1" t="s">
        <v>8</v>
      </c>
      <c r="C204" s="44" t="s">
        <v>2089</v>
      </c>
      <c r="D204" s="1" t="s">
        <v>2360</v>
      </c>
      <c r="E204" s="44" t="s">
        <v>2089</v>
      </c>
      <c r="F204" s="38" t="s">
        <v>2361</v>
      </c>
      <c r="G204" s="45">
        <v>99300</v>
      </c>
      <c r="H204" s="45">
        <v>993</v>
      </c>
    </row>
    <row r="205" spans="1:8">
      <c r="A205" s="78">
        <v>128572181400</v>
      </c>
      <c r="B205" s="1" t="s">
        <v>2055</v>
      </c>
      <c r="C205" s="44" t="s">
        <v>2089</v>
      </c>
      <c r="D205" s="1" t="s">
        <v>2360</v>
      </c>
      <c r="E205" s="44" t="s">
        <v>2089</v>
      </c>
      <c r="F205" s="38" t="s">
        <v>2361</v>
      </c>
      <c r="G205" s="45">
        <v>23500</v>
      </c>
      <c r="H205" s="45">
        <v>235</v>
      </c>
    </row>
    <row r="206" spans="1:8">
      <c r="A206" s="78">
        <v>128005247119</v>
      </c>
      <c r="B206" s="1" t="s">
        <v>2055</v>
      </c>
      <c r="C206" s="44" t="s">
        <v>2089</v>
      </c>
      <c r="D206" s="1" t="s">
        <v>2360</v>
      </c>
      <c r="E206" s="44" t="s">
        <v>2089</v>
      </c>
      <c r="F206" s="38" t="s">
        <v>2361</v>
      </c>
      <c r="G206" s="45">
        <v>42300</v>
      </c>
      <c r="H206" s="45">
        <v>423</v>
      </c>
    </row>
    <row r="207" spans="1:8">
      <c r="A207" s="78">
        <v>128005725859</v>
      </c>
      <c r="B207" s="1" t="s">
        <v>8</v>
      </c>
      <c r="C207" s="44" t="s">
        <v>2089</v>
      </c>
      <c r="D207" s="1" t="s">
        <v>2360</v>
      </c>
      <c r="E207" s="44" t="s">
        <v>2089</v>
      </c>
      <c r="F207" s="38" t="s">
        <v>2361</v>
      </c>
      <c r="G207" s="45">
        <v>39100</v>
      </c>
      <c r="H207" s="45">
        <v>391</v>
      </c>
    </row>
    <row r="208" spans="1:8">
      <c r="A208" s="78">
        <v>128006056141</v>
      </c>
      <c r="B208" s="1" t="s">
        <v>8</v>
      </c>
      <c r="C208" s="44" t="s">
        <v>2089</v>
      </c>
      <c r="D208" s="1" t="s">
        <v>2360</v>
      </c>
      <c r="E208" s="44" t="s">
        <v>2089</v>
      </c>
      <c r="F208" s="38" t="s">
        <v>2361</v>
      </c>
      <c r="G208" s="45">
        <v>15300</v>
      </c>
      <c r="H208" s="45">
        <v>153</v>
      </c>
    </row>
    <row r="209" spans="1:8">
      <c r="A209" s="78">
        <v>128006270955</v>
      </c>
      <c r="B209" s="1" t="s">
        <v>8</v>
      </c>
      <c r="C209" s="44" t="s">
        <v>2089</v>
      </c>
      <c r="D209" s="1" t="s">
        <v>2360</v>
      </c>
      <c r="E209" s="44" t="s">
        <v>2089</v>
      </c>
      <c r="F209" s="38" t="s">
        <v>2361</v>
      </c>
      <c r="G209" s="45">
        <v>26400</v>
      </c>
      <c r="H209" s="45">
        <v>264</v>
      </c>
    </row>
    <row r="210" spans="1:8">
      <c r="A210" s="78">
        <v>128573428634</v>
      </c>
      <c r="B210" s="1" t="s">
        <v>8</v>
      </c>
      <c r="C210" s="44" t="s">
        <v>2089</v>
      </c>
      <c r="D210" s="1" t="s">
        <v>2360</v>
      </c>
      <c r="E210" s="44" t="s">
        <v>2089</v>
      </c>
      <c r="F210" s="38" t="s">
        <v>2361</v>
      </c>
      <c r="G210" s="45">
        <v>9600</v>
      </c>
      <c r="H210" s="45">
        <v>96</v>
      </c>
    </row>
    <row r="211" spans="1:8">
      <c r="A211" s="78">
        <v>128006450347</v>
      </c>
      <c r="B211" s="1" t="s">
        <v>8</v>
      </c>
      <c r="C211" s="44" t="s">
        <v>2089</v>
      </c>
      <c r="D211" s="1" t="s">
        <v>2360</v>
      </c>
      <c r="E211" s="44" t="s">
        <v>2089</v>
      </c>
      <c r="F211" s="38" t="s">
        <v>2361</v>
      </c>
      <c r="G211" s="45">
        <v>37600</v>
      </c>
      <c r="H211" s="45">
        <v>376</v>
      </c>
    </row>
    <row r="212" spans="1:8">
      <c r="A212" s="78">
        <v>128006450901</v>
      </c>
      <c r="B212" s="1" t="s">
        <v>8</v>
      </c>
      <c r="C212" s="44" t="s">
        <v>2089</v>
      </c>
      <c r="D212" s="1" t="s">
        <v>2360</v>
      </c>
      <c r="E212" s="44" t="s">
        <v>2089</v>
      </c>
      <c r="F212" s="38" t="s">
        <v>2361</v>
      </c>
      <c r="G212" s="45">
        <v>12400</v>
      </c>
      <c r="H212" s="45">
        <v>124</v>
      </c>
    </row>
    <row r="213" spans="1:8">
      <c r="A213" s="78">
        <v>128006790639</v>
      </c>
      <c r="B213" s="1" t="s">
        <v>8</v>
      </c>
      <c r="C213" s="44" t="s">
        <v>2089</v>
      </c>
      <c r="D213" s="1" t="s">
        <v>2360</v>
      </c>
      <c r="E213" s="44" t="s">
        <v>2089</v>
      </c>
      <c r="F213" s="38" t="s">
        <v>2361</v>
      </c>
      <c r="G213" s="45">
        <v>8800</v>
      </c>
      <c r="H213" s="45">
        <v>88</v>
      </c>
    </row>
    <row r="214" spans="1:8">
      <c r="A214" s="78">
        <v>128574660704</v>
      </c>
      <c r="B214" s="1" t="s">
        <v>8</v>
      </c>
      <c r="C214" s="44" t="s">
        <v>2089</v>
      </c>
      <c r="D214" s="1" t="s">
        <v>2360</v>
      </c>
      <c r="E214" s="44" t="s">
        <v>2089</v>
      </c>
      <c r="F214" s="38" t="s">
        <v>2361</v>
      </c>
      <c r="G214" s="45">
        <v>25900</v>
      </c>
      <c r="H214" s="45">
        <v>259</v>
      </c>
    </row>
    <row r="215" spans="1:8">
      <c r="A215" s="78">
        <v>128008144261</v>
      </c>
      <c r="B215" s="1" t="s">
        <v>8</v>
      </c>
      <c r="C215" s="44" t="s">
        <v>2089</v>
      </c>
      <c r="D215" s="1" t="s">
        <v>2360</v>
      </c>
      <c r="E215" s="44" t="s">
        <v>2089</v>
      </c>
      <c r="F215" s="38" t="s">
        <v>2361</v>
      </c>
      <c r="G215" s="45">
        <v>58100</v>
      </c>
      <c r="H215" s="45">
        <v>581</v>
      </c>
    </row>
    <row r="216" spans="1:8">
      <c r="A216" s="78">
        <v>128099061791</v>
      </c>
      <c r="B216" s="1" t="s">
        <v>8</v>
      </c>
      <c r="C216" s="44" t="s">
        <v>2089</v>
      </c>
      <c r="D216" s="1" t="s">
        <v>2360</v>
      </c>
      <c r="E216" s="44" t="s">
        <v>2089</v>
      </c>
      <c r="F216" s="38" t="s">
        <v>2361</v>
      </c>
      <c r="G216" s="45">
        <v>9600</v>
      </c>
      <c r="H216" s="45">
        <v>96</v>
      </c>
    </row>
    <row r="217" spans="1:8">
      <c r="A217" s="78">
        <v>128668834886</v>
      </c>
      <c r="B217" s="1" t="s">
        <v>8</v>
      </c>
      <c r="C217" s="44" t="s">
        <v>2089</v>
      </c>
      <c r="D217" s="1" t="s">
        <v>2360</v>
      </c>
      <c r="E217" s="44" t="s">
        <v>2089</v>
      </c>
      <c r="F217" s="38" t="s">
        <v>2361</v>
      </c>
      <c r="G217" s="45">
        <v>9800</v>
      </c>
      <c r="H217" s="45">
        <v>98</v>
      </c>
    </row>
    <row r="218" spans="1:8">
      <c r="A218" s="78">
        <v>128102652299</v>
      </c>
      <c r="B218" s="1" t="s">
        <v>8</v>
      </c>
      <c r="C218" s="44" t="s">
        <v>2089</v>
      </c>
      <c r="D218" s="1" t="s">
        <v>2360</v>
      </c>
      <c r="E218" s="44" t="s">
        <v>2089</v>
      </c>
      <c r="F218" s="38" t="s">
        <v>2361</v>
      </c>
      <c r="G218" s="45">
        <v>17400</v>
      </c>
      <c r="H218" s="45">
        <v>174</v>
      </c>
    </row>
    <row r="219" spans="1:8">
      <c r="A219" s="78">
        <v>128094716841</v>
      </c>
      <c r="B219" s="1" t="s">
        <v>8</v>
      </c>
      <c r="C219" s="44" t="s">
        <v>2089</v>
      </c>
      <c r="D219" s="1" t="s">
        <v>2360</v>
      </c>
      <c r="E219" s="44" t="s">
        <v>2089</v>
      </c>
      <c r="F219" s="38" t="s">
        <v>2361</v>
      </c>
      <c r="G219" s="45">
        <v>4300</v>
      </c>
      <c r="H219" s="45">
        <v>43</v>
      </c>
    </row>
    <row r="220" spans="1:8">
      <c r="A220" s="78">
        <v>128106052243</v>
      </c>
      <c r="B220" s="1" t="s">
        <v>8</v>
      </c>
      <c r="C220" s="44" t="s">
        <v>2089</v>
      </c>
      <c r="D220" s="1" t="s">
        <v>2360</v>
      </c>
      <c r="E220" s="44" t="s">
        <v>2089</v>
      </c>
      <c r="F220" s="38" t="s">
        <v>2361</v>
      </c>
      <c r="G220" s="45">
        <v>31700</v>
      </c>
      <c r="H220" s="45">
        <v>317</v>
      </c>
    </row>
    <row r="221" spans="1:8">
      <c r="A221" s="78">
        <v>128106623785</v>
      </c>
      <c r="B221" s="1" t="s">
        <v>2055</v>
      </c>
      <c r="C221" s="44" t="s">
        <v>2089</v>
      </c>
      <c r="D221" s="1" t="s">
        <v>2360</v>
      </c>
      <c r="E221" s="44" t="s">
        <v>2089</v>
      </c>
      <c r="F221" s="38" t="s">
        <v>2361</v>
      </c>
      <c r="G221" s="45">
        <v>4900</v>
      </c>
      <c r="H221" s="45">
        <v>49</v>
      </c>
    </row>
    <row r="222" spans="1:8">
      <c r="A222" s="78">
        <v>128106812525</v>
      </c>
      <c r="B222" s="1" t="s">
        <v>8</v>
      </c>
      <c r="C222" s="44" t="s">
        <v>2089</v>
      </c>
      <c r="D222" s="1" t="s">
        <v>2360</v>
      </c>
      <c r="E222" s="44" t="s">
        <v>2089</v>
      </c>
      <c r="F222" s="38" t="s">
        <v>2361</v>
      </c>
      <c r="G222" s="45">
        <v>9800</v>
      </c>
      <c r="H222" s="45">
        <v>98</v>
      </c>
    </row>
    <row r="223" spans="1:8">
      <c r="A223" s="78">
        <v>128100123265</v>
      </c>
      <c r="B223" s="1" t="s">
        <v>8</v>
      </c>
      <c r="C223" s="44" t="s">
        <v>2089</v>
      </c>
      <c r="D223" s="1" t="s">
        <v>2360</v>
      </c>
      <c r="E223" s="44" t="s">
        <v>2089</v>
      </c>
      <c r="F223" s="38" t="s">
        <v>2361</v>
      </c>
      <c r="G223" s="45">
        <v>4900</v>
      </c>
      <c r="H223" s="45">
        <v>49</v>
      </c>
    </row>
    <row r="224" spans="1:8">
      <c r="A224" s="78">
        <v>128668277384</v>
      </c>
      <c r="B224" s="1" t="s">
        <v>8</v>
      </c>
      <c r="C224" s="44" t="s">
        <v>2089</v>
      </c>
      <c r="D224" s="1" t="s">
        <v>2360</v>
      </c>
      <c r="E224" s="44" t="s">
        <v>2089</v>
      </c>
      <c r="F224" s="38" t="s">
        <v>2361</v>
      </c>
      <c r="G224" s="45">
        <v>5800</v>
      </c>
      <c r="H224" s="45">
        <v>58</v>
      </c>
    </row>
    <row r="225" spans="1:8">
      <c r="A225" s="78">
        <v>128113046995</v>
      </c>
      <c r="B225" s="1" t="s">
        <v>2055</v>
      </c>
      <c r="C225" s="44" t="s">
        <v>2089</v>
      </c>
      <c r="D225" s="1" t="s">
        <v>2360</v>
      </c>
      <c r="E225" s="44" t="s">
        <v>2089</v>
      </c>
      <c r="F225" s="38" t="s">
        <v>2361</v>
      </c>
      <c r="G225" s="45">
        <v>13300</v>
      </c>
      <c r="H225" s="45">
        <v>133</v>
      </c>
    </row>
    <row r="226" spans="1:8">
      <c r="A226" s="78">
        <v>128104746523</v>
      </c>
      <c r="B226" s="1" t="s">
        <v>2055</v>
      </c>
      <c r="C226" s="44" t="s">
        <v>2089</v>
      </c>
      <c r="D226" s="1" t="s">
        <v>2360</v>
      </c>
      <c r="E226" s="44" t="s">
        <v>2089</v>
      </c>
      <c r="F226" s="38" t="s">
        <v>2361</v>
      </c>
      <c r="G226" s="45">
        <v>47400</v>
      </c>
      <c r="H226" s="45">
        <v>474</v>
      </c>
    </row>
    <row r="227" spans="1:8">
      <c r="A227" s="78">
        <v>128683315144</v>
      </c>
      <c r="B227" s="1" t="s">
        <v>8</v>
      </c>
      <c r="C227" s="44" t="s">
        <v>2089</v>
      </c>
      <c r="D227" s="1" t="s">
        <v>2360</v>
      </c>
      <c r="E227" s="44" t="s">
        <v>2089</v>
      </c>
      <c r="F227" s="38" t="s">
        <v>2361</v>
      </c>
      <c r="G227" s="45">
        <v>33400</v>
      </c>
      <c r="H227" s="45">
        <v>334</v>
      </c>
    </row>
    <row r="228" spans="1:8">
      <c r="A228" s="78">
        <v>128115571549</v>
      </c>
      <c r="B228" s="1" t="s">
        <v>8</v>
      </c>
      <c r="C228" s="44" t="s">
        <v>2089</v>
      </c>
      <c r="D228" s="1" t="s">
        <v>2360</v>
      </c>
      <c r="E228" s="44" t="s">
        <v>2089</v>
      </c>
      <c r="F228" s="38" t="s">
        <v>2361</v>
      </c>
      <c r="G228" s="45">
        <v>28300</v>
      </c>
      <c r="H228" s="45">
        <v>283</v>
      </c>
    </row>
    <row r="229" spans="1:8">
      <c r="A229" s="78">
        <v>128683578206</v>
      </c>
      <c r="B229" s="1" t="s">
        <v>8</v>
      </c>
      <c r="C229" s="44" t="s">
        <v>2089</v>
      </c>
      <c r="D229" s="1" t="s">
        <v>2360</v>
      </c>
      <c r="E229" s="44" t="s">
        <v>2089</v>
      </c>
      <c r="F229" s="38" t="s">
        <v>2361</v>
      </c>
      <c r="G229" s="45">
        <v>9800</v>
      </c>
      <c r="H229" s="45">
        <v>98</v>
      </c>
    </row>
    <row r="230" spans="1:8">
      <c r="A230" s="78">
        <v>128115776901</v>
      </c>
      <c r="B230" s="1" t="s">
        <v>2055</v>
      </c>
      <c r="C230" s="44" t="s">
        <v>2089</v>
      </c>
      <c r="D230" s="1" t="s">
        <v>2360</v>
      </c>
      <c r="E230" s="44" t="s">
        <v>2089</v>
      </c>
      <c r="F230" s="38" t="s">
        <v>2361</v>
      </c>
      <c r="G230" s="45">
        <v>34500</v>
      </c>
      <c r="H230" s="45">
        <v>345</v>
      </c>
    </row>
    <row r="231" spans="1:8">
      <c r="A231" s="78">
        <v>128116626371</v>
      </c>
      <c r="B231" s="1" t="s">
        <v>8</v>
      </c>
      <c r="C231" s="44" t="s">
        <v>2089</v>
      </c>
      <c r="D231" s="1" t="s">
        <v>2360</v>
      </c>
      <c r="E231" s="44" t="s">
        <v>2089</v>
      </c>
      <c r="F231" s="38" t="s">
        <v>2361</v>
      </c>
      <c r="G231" s="45">
        <v>34400</v>
      </c>
      <c r="H231" s="45">
        <v>344</v>
      </c>
    </row>
    <row r="232" spans="1:8">
      <c r="A232" s="78">
        <v>128118062595</v>
      </c>
      <c r="B232" s="1" t="s">
        <v>8</v>
      </c>
      <c r="C232" s="44" t="s">
        <v>2089</v>
      </c>
      <c r="D232" s="1" t="s">
        <v>2360</v>
      </c>
      <c r="E232" s="44" t="s">
        <v>2089</v>
      </c>
      <c r="F232" s="38" t="s">
        <v>2361</v>
      </c>
      <c r="G232" s="45">
        <v>22400</v>
      </c>
      <c r="H232" s="45">
        <v>224</v>
      </c>
    </row>
    <row r="233" spans="1:8">
      <c r="A233" s="78">
        <v>128676006318</v>
      </c>
      <c r="B233" s="1" t="s">
        <v>2055</v>
      </c>
      <c r="C233" s="44" t="s">
        <v>2089</v>
      </c>
      <c r="D233" s="1" t="s">
        <v>2360</v>
      </c>
      <c r="E233" s="44" t="s">
        <v>2089</v>
      </c>
      <c r="F233" s="38" t="s">
        <v>2361</v>
      </c>
      <c r="G233" s="45">
        <v>65650</v>
      </c>
      <c r="H233" s="45">
        <v>656.5</v>
      </c>
    </row>
    <row r="234" spans="1:8">
      <c r="A234" s="78">
        <v>128676549330</v>
      </c>
      <c r="B234" s="1" t="s">
        <v>8</v>
      </c>
      <c r="C234" s="44" t="s">
        <v>2089</v>
      </c>
      <c r="D234" s="1" t="s">
        <v>2360</v>
      </c>
      <c r="E234" s="44" t="s">
        <v>2089</v>
      </c>
      <c r="F234" s="38" t="s">
        <v>2361</v>
      </c>
      <c r="G234" s="45">
        <v>15800</v>
      </c>
      <c r="H234" s="45">
        <v>158</v>
      </c>
    </row>
    <row r="235" spans="1:8">
      <c r="A235" s="78">
        <v>128687029470</v>
      </c>
      <c r="B235" s="1" t="s">
        <v>8</v>
      </c>
      <c r="C235" s="44" t="s">
        <v>2089</v>
      </c>
      <c r="D235" s="1" t="s">
        <v>2360</v>
      </c>
      <c r="E235" s="44" t="s">
        <v>2089</v>
      </c>
      <c r="F235" s="38" t="s">
        <v>2361</v>
      </c>
      <c r="G235" s="45">
        <v>38000</v>
      </c>
      <c r="H235" s="45">
        <v>380</v>
      </c>
    </row>
    <row r="236" spans="1:8">
      <c r="A236" s="78">
        <v>128120103931</v>
      </c>
      <c r="B236" s="1" t="s">
        <v>8</v>
      </c>
      <c r="C236" s="44" t="s">
        <v>2089</v>
      </c>
      <c r="D236" s="1" t="s">
        <v>2360</v>
      </c>
      <c r="E236" s="44" t="s">
        <v>2089</v>
      </c>
      <c r="F236" s="38" t="s">
        <v>2361</v>
      </c>
      <c r="G236" s="45">
        <v>9600</v>
      </c>
      <c r="H236" s="45">
        <v>96</v>
      </c>
    </row>
    <row r="237" spans="1:8">
      <c r="A237" s="78">
        <v>128120410601</v>
      </c>
      <c r="B237" s="1" t="s">
        <v>2055</v>
      </c>
      <c r="C237" s="44" t="s">
        <v>2089</v>
      </c>
      <c r="D237" s="1" t="s">
        <v>2360</v>
      </c>
      <c r="E237" s="44" t="s">
        <v>2089</v>
      </c>
      <c r="F237" s="38" t="s">
        <v>2361</v>
      </c>
      <c r="G237" s="45">
        <v>53000</v>
      </c>
      <c r="H237" s="45">
        <v>530</v>
      </c>
    </row>
    <row r="238" spans="1:8">
      <c r="A238" s="78">
        <v>128678113052</v>
      </c>
      <c r="B238" s="1" t="s">
        <v>8</v>
      </c>
      <c r="C238" s="44" t="s">
        <v>2089</v>
      </c>
      <c r="D238" s="1" t="s">
        <v>2360</v>
      </c>
      <c r="E238" s="44" t="s">
        <v>2089</v>
      </c>
      <c r="F238" s="38" t="s">
        <v>2361</v>
      </c>
      <c r="G238" s="45">
        <v>25900</v>
      </c>
      <c r="H238" s="45">
        <v>259</v>
      </c>
    </row>
    <row r="239" spans="1:8">
      <c r="A239" s="78">
        <v>128689516614</v>
      </c>
      <c r="B239" s="1" t="s">
        <v>2055</v>
      </c>
      <c r="C239" s="44" t="s">
        <v>2089</v>
      </c>
      <c r="D239" s="1" t="s">
        <v>2360</v>
      </c>
      <c r="E239" s="44" t="s">
        <v>2089</v>
      </c>
      <c r="F239" s="38" t="s">
        <v>2361</v>
      </c>
      <c r="G239" s="45">
        <v>55900</v>
      </c>
      <c r="H239" s="45">
        <v>559</v>
      </c>
    </row>
    <row r="240" spans="1:8">
      <c r="A240" s="78">
        <v>128111836609</v>
      </c>
      <c r="B240" s="1" t="s">
        <v>8</v>
      </c>
      <c r="C240" s="44" t="s">
        <v>2089</v>
      </c>
      <c r="D240" s="1" t="s">
        <v>2360</v>
      </c>
      <c r="E240" s="44" t="s">
        <v>2089</v>
      </c>
      <c r="F240" s="38" t="s">
        <v>2361</v>
      </c>
      <c r="G240" s="45">
        <v>10800</v>
      </c>
      <c r="H240" s="45">
        <v>108</v>
      </c>
    </row>
    <row r="241" spans="1:8">
      <c r="A241" s="78">
        <v>128122283721</v>
      </c>
      <c r="B241" s="1" t="s">
        <v>8</v>
      </c>
      <c r="C241" s="44" t="s">
        <v>2089</v>
      </c>
      <c r="D241" s="1" t="s">
        <v>2360</v>
      </c>
      <c r="E241" s="44" t="s">
        <v>2089</v>
      </c>
      <c r="F241" s="38" t="s">
        <v>2361</v>
      </c>
      <c r="G241" s="45">
        <v>5000</v>
      </c>
      <c r="H241" s="45">
        <v>50</v>
      </c>
    </row>
    <row r="242" spans="1:8">
      <c r="A242" s="78">
        <v>128690199068</v>
      </c>
      <c r="B242" s="1" t="s">
        <v>8</v>
      </c>
      <c r="C242" s="44" t="s">
        <v>2089</v>
      </c>
      <c r="D242" s="1" t="s">
        <v>2360</v>
      </c>
      <c r="E242" s="44" t="s">
        <v>2089</v>
      </c>
      <c r="F242" s="38" t="s">
        <v>2361</v>
      </c>
      <c r="G242" s="45">
        <v>9600</v>
      </c>
      <c r="H242" s="45">
        <v>96</v>
      </c>
    </row>
    <row r="243" spans="1:8">
      <c r="A243" s="78">
        <v>128123405379</v>
      </c>
      <c r="B243" s="1" t="s">
        <v>8</v>
      </c>
      <c r="C243" s="44" t="s">
        <v>2089</v>
      </c>
      <c r="D243" s="1" t="s">
        <v>2360</v>
      </c>
      <c r="E243" s="44" t="s">
        <v>2089</v>
      </c>
      <c r="F243" s="38" t="s">
        <v>2361</v>
      </c>
      <c r="G243" s="45">
        <v>9600</v>
      </c>
      <c r="H243" s="45">
        <v>96</v>
      </c>
    </row>
    <row r="244" spans="1:8">
      <c r="A244" s="78">
        <v>128680689872</v>
      </c>
      <c r="B244" s="1" t="s">
        <v>8</v>
      </c>
      <c r="C244" s="44" t="s">
        <v>2089</v>
      </c>
      <c r="D244" s="1" t="s">
        <v>2360</v>
      </c>
      <c r="E244" s="44" t="s">
        <v>2089</v>
      </c>
      <c r="F244" s="38" t="s">
        <v>2361</v>
      </c>
      <c r="G244" s="45">
        <v>13900</v>
      </c>
      <c r="H244" s="45">
        <v>139</v>
      </c>
    </row>
    <row r="245" spans="1:8">
      <c r="A245" s="78">
        <v>128113199157</v>
      </c>
      <c r="B245" s="1" t="s">
        <v>2055</v>
      </c>
      <c r="C245" s="44" t="s">
        <v>2089</v>
      </c>
      <c r="D245" s="1" t="s">
        <v>2360</v>
      </c>
      <c r="E245" s="44" t="s">
        <v>2089</v>
      </c>
      <c r="F245" s="38" t="s">
        <v>2361</v>
      </c>
      <c r="G245" s="45">
        <v>37400</v>
      </c>
      <c r="H245" s="45">
        <v>374</v>
      </c>
    </row>
    <row r="246" spans="1:8">
      <c r="A246" s="78">
        <v>128691751928</v>
      </c>
      <c r="B246" s="1" t="s">
        <v>8</v>
      </c>
      <c r="C246" s="44" t="s">
        <v>2089</v>
      </c>
      <c r="D246" s="1" t="s">
        <v>2360</v>
      </c>
      <c r="E246" s="44" t="s">
        <v>2089</v>
      </c>
      <c r="F246" s="38" t="s">
        <v>2361</v>
      </c>
      <c r="G246" s="45">
        <v>8000</v>
      </c>
      <c r="H246" s="45">
        <v>80</v>
      </c>
    </row>
    <row r="247" spans="1:8">
      <c r="A247" s="78">
        <v>128114015675</v>
      </c>
      <c r="B247" s="1" t="s">
        <v>2055</v>
      </c>
      <c r="C247" s="44" t="s">
        <v>2089</v>
      </c>
      <c r="D247" s="1" t="s">
        <v>2360</v>
      </c>
      <c r="E247" s="44" t="s">
        <v>2089</v>
      </c>
      <c r="F247" s="38" t="s">
        <v>2361</v>
      </c>
      <c r="G247" s="45">
        <v>55100</v>
      </c>
      <c r="H247" s="45">
        <v>551</v>
      </c>
    </row>
    <row r="248" spans="1:8">
      <c r="A248" s="78">
        <v>128692773100</v>
      </c>
      <c r="B248" s="1" t="s">
        <v>8</v>
      </c>
      <c r="C248" s="44" t="s">
        <v>2089</v>
      </c>
      <c r="D248" s="1" t="s">
        <v>2360</v>
      </c>
      <c r="E248" s="44" t="s">
        <v>2101</v>
      </c>
      <c r="F248" s="38" t="s">
        <v>2361</v>
      </c>
      <c r="G248" s="45">
        <v>5000</v>
      </c>
      <c r="H248" s="45">
        <v>50</v>
      </c>
    </row>
    <row r="249" spans="1:8">
      <c r="A249" s="78">
        <v>128682354308</v>
      </c>
      <c r="B249" s="1" t="s">
        <v>8</v>
      </c>
      <c r="C249" s="44" t="s">
        <v>2089</v>
      </c>
      <c r="D249" s="1" t="s">
        <v>2360</v>
      </c>
      <c r="E249" s="44" t="s">
        <v>2089</v>
      </c>
      <c r="F249" s="38" t="s">
        <v>2361</v>
      </c>
      <c r="G249" s="45">
        <v>35000</v>
      </c>
      <c r="H249" s="45">
        <v>350</v>
      </c>
    </row>
    <row r="250" spans="1:8">
      <c r="A250" s="78">
        <v>128682536902</v>
      </c>
      <c r="B250" s="1" t="s">
        <v>8</v>
      </c>
      <c r="C250" s="44" t="s">
        <v>2089</v>
      </c>
      <c r="D250" s="1" t="s">
        <v>2360</v>
      </c>
      <c r="E250" s="44" t="s">
        <v>2089</v>
      </c>
      <c r="F250" s="38" t="s">
        <v>2361</v>
      </c>
      <c r="G250" s="45">
        <v>14700</v>
      </c>
      <c r="H250" s="45">
        <v>147</v>
      </c>
    </row>
    <row r="251" spans="1:8">
      <c r="A251" s="78">
        <v>128682595192</v>
      </c>
      <c r="B251" s="1" t="s">
        <v>8</v>
      </c>
      <c r="C251" s="44" t="s">
        <v>2089</v>
      </c>
      <c r="D251" s="1" t="s">
        <v>2360</v>
      </c>
      <c r="E251" s="44" t="s">
        <v>2089</v>
      </c>
      <c r="F251" s="38" t="s">
        <v>2361</v>
      </c>
      <c r="G251" s="45">
        <v>101800</v>
      </c>
      <c r="H251" s="45">
        <v>1018</v>
      </c>
    </row>
    <row r="252" spans="1:8">
      <c r="A252" s="78">
        <v>128125660361</v>
      </c>
      <c r="B252" s="1" t="s">
        <v>8</v>
      </c>
      <c r="C252" s="44" t="s">
        <v>2089</v>
      </c>
      <c r="D252" s="1" t="s">
        <v>2360</v>
      </c>
      <c r="E252" s="44" t="s">
        <v>2101</v>
      </c>
      <c r="F252" s="38" t="s">
        <v>2361</v>
      </c>
      <c r="G252" s="45">
        <v>5000</v>
      </c>
      <c r="H252" s="45">
        <v>50</v>
      </c>
    </row>
    <row r="253" spans="1:8">
      <c r="A253" s="78">
        <v>128694438198</v>
      </c>
      <c r="B253" s="1" t="s">
        <v>2055</v>
      </c>
      <c r="C253" s="44" t="s">
        <v>2089</v>
      </c>
      <c r="D253" s="1" t="s">
        <v>2360</v>
      </c>
      <c r="E253" s="44" t="s">
        <v>2101</v>
      </c>
      <c r="F253" s="38" t="s">
        <v>2361</v>
      </c>
      <c r="G253" s="45">
        <v>38800</v>
      </c>
      <c r="H253" s="45">
        <v>388</v>
      </c>
    </row>
    <row r="254" spans="1:8">
      <c r="A254" s="78">
        <v>128683947738</v>
      </c>
      <c r="B254" s="1" t="s">
        <v>8</v>
      </c>
      <c r="C254" s="44" t="s">
        <v>2089</v>
      </c>
      <c r="D254" s="1" t="s">
        <v>2360</v>
      </c>
      <c r="E254" s="44" t="s">
        <v>2089</v>
      </c>
      <c r="F254" s="38" t="s">
        <v>2361</v>
      </c>
      <c r="G254" s="45">
        <v>18300</v>
      </c>
      <c r="H254" s="45">
        <v>183</v>
      </c>
    </row>
    <row r="255" spans="1:8">
      <c r="A255" s="78">
        <v>128694674936</v>
      </c>
      <c r="B255" s="1" t="s">
        <v>8</v>
      </c>
      <c r="C255" s="44" t="s">
        <v>2089</v>
      </c>
      <c r="D255" s="1" t="s">
        <v>2360</v>
      </c>
      <c r="E255" s="44" t="s">
        <v>2101</v>
      </c>
      <c r="F255" s="38" t="s">
        <v>2361</v>
      </c>
      <c r="G255" s="45">
        <v>15400</v>
      </c>
      <c r="H255" s="45">
        <v>154</v>
      </c>
    </row>
    <row r="256" spans="1:8">
      <c r="A256" s="78">
        <v>128127401801</v>
      </c>
      <c r="B256" s="1" t="s">
        <v>2055</v>
      </c>
      <c r="C256" s="44" t="s">
        <v>2089</v>
      </c>
      <c r="D256" s="1" t="s">
        <v>2360</v>
      </c>
      <c r="E256" s="44" t="s">
        <v>2101</v>
      </c>
      <c r="F256" s="38" t="s">
        <v>2361</v>
      </c>
      <c r="G256" s="45">
        <v>8400</v>
      </c>
      <c r="H256" s="45">
        <v>84</v>
      </c>
    </row>
    <row r="257" spans="1:8">
      <c r="A257" s="78">
        <v>128117082133</v>
      </c>
      <c r="B257" s="1" t="s">
        <v>8</v>
      </c>
      <c r="C257" s="44" t="s">
        <v>2089</v>
      </c>
      <c r="D257" s="1" t="s">
        <v>2360</v>
      </c>
      <c r="E257" s="44" t="s">
        <v>2089</v>
      </c>
      <c r="F257" s="38" t="s">
        <v>2361</v>
      </c>
      <c r="G257" s="45">
        <v>34300</v>
      </c>
      <c r="H257" s="45">
        <v>343</v>
      </c>
    </row>
    <row r="258" spans="1:8">
      <c r="A258" s="78">
        <v>128695784506</v>
      </c>
      <c r="B258" s="1" t="s">
        <v>2055</v>
      </c>
      <c r="C258" s="44" t="s">
        <v>2101</v>
      </c>
      <c r="D258" s="1" t="s">
        <v>2360</v>
      </c>
      <c r="E258" s="44" t="s">
        <v>2101</v>
      </c>
      <c r="F258" s="38" t="s">
        <v>2361</v>
      </c>
      <c r="G258" s="45">
        <v>10000</v>
      </c>
      <c r="H258" s="45">
        <v>100</v>
      </c>
    </row>
    <row r="259" spans="1:8">
      <c r="A259" s="78">
        <v>128695856532</v>
      </c>
      <c r="B259" s="1" t="s">
        <v>8</v>
      </c>
      <c r="C259" s="44" t="s">
        <v>2101</v>
      </c>
      <c r="D259" s="1" t="s">
        <v>2360</v>
      </c>
      <c r="E259" s="44" t="s">
        <v>2101</v>
      </c>
      <c r="F259" s="38" t="s">
        <v>2361</v>
      </c>
      <c r="G259" s="45">
        <v>63400</v>
      </c>
      <c r="H259" s="45">
        <v>634</v>
      </c>
    </row>
    <row r="260" spans="1:8">
      <c r="A260" s="78">
        <v>128128083733</v>
      </c>
      <c r="B260" s="1" t="s">
        <v>8</v>
      </c>
      <c r="C260" s="44" t="s">
        <v>2101</v>
      </c>
      <c r="D260" s="1" t="s">
        <v>2360</v>
      </c>
      <c r="E260" s="44" t="s">
        <v>2101</v>
      </c>
      <c r="F260" s="38" t="s">
        <v>2361</v>
      </c>
      <c r="G260" s="45">
        <v>8800</v>
      </c>
      <c r="H260" s="45">
        <v>88</v>
      </c>
    </row>
    <row r="261" spans="1:8">
      <c r="A261" s="78">
        <v>128696182418</v>
      </c>
      <c r="B261" s="1" t="s">
        <v>8</v>
      </c>
      <c r="C261" s="44" t="s">
        <v>2101</v>
      </c>
      <c r="D261" s="1" t="s">
        <v>2360</v>
      </c>
      <c r="E261" s="44" t="s">
        <v>2101</v>
      </c>
      <c r="F261" s="38" t="s">
        <v>2361</v>
      </c>
      <c r="G261" s="45">
        <v>40000</v>
      </c>
      <c r="H261" s="45">
        <v>400</v>
      </c>
    </row>
    <row r="262" spans="1:8">
      <c r="A262" s="78">
        <v>128118169295</v>
      </c>
      <c r="B262" s="1" t="s">
        <v>8</v>
      </c>
      <c r="C262" s="44" t="s">
        <v>2089</v>
      </c>
      <c r="D262" s="1" t="s">
        <v>2360</v>
      </c>
      <c r="E262" s="44" t="s">
        <v>2089</v>
      </c>
      <c r="F262" s="38" t="s">
        <v>2361</v>
      </c>
      <c r="G262" s="45">
        <v>5900</v>
      </c>
      <c r="H262" s="45">
        <v>59</v>
      </c>
    </row>
    <row r="263" spans="1:8">
      <c r="A263" s="78">
        <v>128118353155</v>
      </c>
      <c r="B263" s="1" t="s">
        <v>2055</v>
      </c>
      <c r="C263" s="44" t="s">
        <v>2089</v>
      </c>
      <c r="D263" s="1" t="s">
        <v>2360</v>
      </c>
      <c r="E263" s="44" t="s">
        <v>2089</v>
      </c>
      <c r="F263" s="38" t="s">
        <v>2361</v>
      </c>
      <c r="G263" s="45">
        <v>16200</v>
      </c>
      <c r="H263" s="45">
        <v>162</v>
      </c>
    </row>
    <row r="264" spans="1:8">
      <c r="A264" s="78">
        <v>128696800288</v>
      </c>
      <c r="B264" s="1" t="s">
        <v>8</v>
      </c>
      <c r="C264" s="44" t="s">
        <v>2101</v>
      </c>
      <c r="D264" s="1" t="s">
        <v>2360</v>
      </c>
      <c r="E264" s="44" t="s">
        <v>2101</v>
      </c>
      <c r="F264" s="38" t="s">
        <v>2361</v>
      </c>
      <c r="G264" s="45">
        <v>39100</v>
      </c>
      <c r="H264" s="45">
        <v>391</v>
      </c>
    </row>
    <row r="265" spans="1:8">
      <c r="A265" s="78">
        <v>128697427892</v>
      </c>
      <c r="B265" s="1" t="s">
        <v>8</v>
      </c>
      <c r="C265" s="44" t="s">
        <v>2101</v>
      </c>
      <c r="D265" s="1" t="s">
        <v>2360</v>
      </c>
      <c r="E265" s="44" t="s">
        <v>2101</v>
      </c>
      <c r="F265" s="38" t="s">
        <v>2361</v>
      </c>
      <c r="G265" s="45">
        <v>15900</v>
      </c>
      <c r="H265" s="45">
        <v>159</v>
      </c>
    </row>
    <row r="266" spans="1:8">
      <c r="A266" s="78">
        <v>128129968953</v>
      </c>
      <c r="B266" s="1" t="s">
        <v>8</v>
      </c>
      <c r="C266" s="44" t="s">
        <v>2101</v>
      </c>
      <c r="D266" s="1" t="s">
        <v>2360</v>
      </c>
      <c r="E266" s="44" t="s">
        <v>2101</v>
      </c>
      <c r="F266" s="38" t="s">
        <v>2361</v>
      </c>
      <c r="G266" s="45">
        <v>22500</v>
      </c>
      <c r="H266" s="45">
        <v>225</v>
      </c>
    </row>
    <row r="267" spans="1:8">
      <c r="A267" s="78">
        <v>128119642609</v>
      </c>
      <c r="B267" s="1" t="s">
        <v>2055</v>
      </c>
      <c r="C267" s="44" t="s">
        <v>2089</v>
      </c>
      <c r="D267" s="1" t="s">
        <v>2360</v>
      </c>
      <c r="E267" s="44" t="s">
        <v>2089</v>
      </c>
      <c r="F267" s="38" t="s">
        <v>2361</v>
      </c>
      <c r="G267" s="45">
        <v>13700</v>
      </c>
      <c r="H267" s="45">
        <v>137</v>
      </c>
    </row>
    <row r="268" spans="1:8">
      <c r="A268" s="78">
        <v>128697707428</v>
      </c>
      <c r="B268" s="1" t="s">
        <v>8</v>
      </c>
      <c r="C268" s="44" t="s">
        <v>2101</v>
      </c>
      <c r="D268" s="1" t="s">
        <v>2360</v>
      </c>
      <c r="E268" s="44" t="s">
        <v>2101</v>
      </c>
      <c r="F268" s="38" t="s">
        <v>2361</v>
      </c>
      <c r="G268" s="45">
        <v>16800</v>
      </c>
      <c r="H268" s="45">
        <v>168</v>
      </c>
    </row>
    <row r="269" spans="1:8">
      <c r="A269" s="78">
        <v>128698205804</v>
      </c>
      <c r="B269" s="1" t="s">
        <v>8</v>
      </c>
      <c r="C269" s="44" t="s">
        <v>2101</v>
      </c>
      <c r="D269" s="1" t="s">
        <v>2360</v>
      </c>
      <c r="E269" s="44" t="s">
        <v>2101</v>
      </c>
      <c r="F269" s="38" t="s">
        <v>2361</v>
      </c>
      <c r="G269" s="45">
        <v>12400</v>
      </c>
      <c r="H269" s="45">
        <v>124</v>
      </c>
    </row>
    <row r="270" spans="1:8">
      <c r="A270" s="78">
        <v>128130535797</v>
      </c>
      <c r="B270" s="1" t="s">
        <v>2055</v>
      </c>
      <c r="C270" s="44" t="s">
        <v>2101</v>
      </c>
      <c r="D270" s="1" t="s">
        <v>2360</v>
      </c>
      <c r="E270" s="44" t="s">
        <v>2101</v>
      </c>
      <c r="F270" s="38" t="s">
        <v>2361</v>
      </c>
      <c r="G270" s="45">
        <v>8800</v>
      </c>
      <c r="H270" s="45">
        <v>88</v>
      </c>
    </row>
    <row r="271" spans="1:8">
      <c r="A271" s="78">
        <v>128130627097</v>
      </c>
      <c r="B271" s="1" t="s">
        <v>2055</v>
      </c>
      <c r="C271" s="44" t="s">
        <v>2101</v>
      </c>
      <c r="D271" s="1" t="s">
        <v>2360</v>
      </c>
      <c r="E271" s="44" t="s">
        <v>2101</v>
      </c>
      <c r="F271" s="38" t="s">
        <v>2361</v>
      </c>
      <c r="G271" s="45">
        <v>8000</v>
      </c>
      <c r="H271" s="45">
        <v>80</v>
      </c>
    </row>
    <row r="272" spans="1:8">
      <c r="A272" s="78">
        <v>128698509452</v>
      </c>
      <c r="B272" s="1" t="s">
        <v>2055</v>
      </c>
      <c r="C272" s="44" t="s">
        <v>2101</v>
      </c>
      <c r="D272" s="1" t="s">
        <v>2360</v>
      </c>
      <c r="E272" s="44" t="s">
        <v>2101</v>
      </c>
      <c r="F272" s="38" t="s">
        <v>2361</v>
      </c>
      <c r="G272" s="45">
        <v>22800</v>
      </c>
      <c r="H272" s="45">
        <v>228</v>
      </c>
    </row>
    <row r="273" spans="1:8">
      <c r="A273" s="78">
        <v>128698656838</v>
      </c>
      <c r="B273" s="1" t="s">
        <v>2055</v>
      </c>
      <c r="C273" s="44" t="s">
        <v>2101</v>
      </c>
      <c r="D273" s="1" t="s">
        <v>2360</v>
      </c>
      <c r="E273" s="44" t="s">
        <v>2101</v>
      </c>
      <c r="F273" s="38" t="s">
        <v>2361</v>
      </c>
      <c r="G273" s="45">
        <v>20800</v>
      </c>
      <c r="H273" s="45">
        <v>208</v>
      </c>
    </row>
    <row r="274" spans="1:8">
      <c r="A274" s="78">
        <v>128131119009</v>
      </c>
      <c r="B274" s="1" t="s">
        <v>2055</v>
      </c>
      <c r="C274" s="44" t="s">
        <v>2101</v>
      </c>
      <c r="D274" s="1" t="s">
        <v>2360</v>
      </c>
      <c r="E274" s="44" t="s">
        <v>2101</v>
      </c>
      <c r="F274" s="38" t="s">
        <v>2361</v>
      </c>
      <c r="G274" s="45">
        <v>18900</v>
      </c>
      <c r="H274" s="45">
        <v>189</v>
      </c>
    </row>
    <row r="275" spans="1:8">
      <c r="A275" s="78">
        <v>128698830486</v>
      </c>
      <c r="B275" s="1" t="s">
        <v>8</v>
      </c>
      <c r="C275" s="44" t="s">
        <v>2101</v>
      </c>
      <c r="D275" s="1" t="s">
        <v>2360</v>
      </c>
      <c r="E275" s="44" t="s">
        <v>2101</v>
      </c>
      <c r="F275" s="38" t="s">
        <v>2361</v>
      </c>
      <c r="G275" s="45">
        <v>21600</v>
      </c>
      <c r="H275" s="45">
        <v>216</v>
      </c>
    </row>
    <row r="276" spans="1:8">
      <c r="A276" s="78">
        <v>128699142146</v>
      </c>
      <c r="B276" s="1" t="s">
        <v>2055</v>
      </c>
      <c r="C276" s="44" t="s">
        <v>2101</v>
      </c>
      <c r="D276" s="1" t="s">
        <v>2360</v>
      </c>
      <c r="E276" s="44" t="s">
        <v>2101</v>
      </c>
      <c r="F276" s="38" t="s">
        <v>2361</v>
      </c>
      <c r="G276" s="45">
        <v>4200</v>
      </c>
      <c r="H276" s="45">
        <v>42</v>
      </c>
    </row>
    <row r="277" spans="1:8">
      <c r="A277" s="78">
        <v>128131671691</v>
      </c>
      <c r="B277" s="1" t="s">
        <v>8</v>
      </c>
      <c r="C277" s="44" t="s">
        <v>2101</v>
      </c>
      <c r="D277" s="1" t="s">
        <v>2360</v>
      </c>
      <c r="E277" s="44" t="s">
        <v>2101</v>
      </c>
      <c r="F277" s="38" t="s">
        <v>2361</v>
      </c>
      <c r="G277" s="45">
        <v>17900</v>
      </c>
      <c r="H277" s="45">
        <v>179</v>
      </c>
    </row>
    <row r="278" spans="1:8">
      <c r="A278" s="78">
        <v>128131837387</v>
      </c>
      <c r="B278" s="1" t="s">
        <v>8</v>
      </c>
      <c r="C278" s="44" t="s">
        <v>2101</v>
      </c>
      <c r="D278" s="1" t="s">
        <v>2360</v>
      </c>
      <c r="E278" s="44" t="s">
        <v>2101</v>
      </c>
      <c r="F278" s="38" t="s">
        <v>2361</v>
      </c>
      <c r="G278" s="45">
        <v>15900</v>
      </c>
      <c r="H278" s="45">
        <v>159</v>
      </c>
    </row>
    <row r="279" spans="1:8">
      <c r="A279" s="78">
        <v>128689106092</v>
      </c>
      <c r="B279" s="1" t="s">
        <v>2055</v>
      </c>
      <c r="C279" s="44" t="s">
        <v>2089</v>
      </c>
      <c r="D279" s="1" t="s">
        <v>2360</v>
      </c>
      <c r="E279" s="44" t="s">
        <v>2089</v>
      </c>
      <c r="F279" s="38" t="s">
        <v>2361</v>
      </c>
      <c r="G279" s="45">
        <v>5000</v>
      </c>
      <c r="H279" s="45">
        <v>50</v>
      </c>
    </row>
    <row r="280" spans="1:8">
      <c r="A280" s="78">
        <v>128699839998</v>
      </c>
      <c r="B280" s="1" t="s">
        <v>8</v>
      </c>
      <c r="C280" s="44" t="s">
        <v>2101</v>
      </c>
      <c r="D280" s="1" t="s">
        <v>2360</v>
      </c>
      <c r="E280" s="44" t="s">
        <v>2101</v>
      </c>
      <c r="F280" s="38" t="s">
        <v>2361</v>
      </c>
      <c r="G280" s="45">
        <v>17700</v>
      </c>
      <c r="H280" s="45">
        <v>177</v>
      </c>
    </row>
    <row r="281" spans="1:8">
      <c r="A281" s="78">
        <v>128122214151</v>
      </c>
      <c r="B281" s="1" t="s">
        <v>8</v>
      </c>
      <c r="C281" s="44" t="s">
        <v>2089</v>
      </c>
      <c r="D281" s="1" t="s">
        <v>2360</v>
      </c>
      <c r="E281" s="44" t="s">
        <v>2089</v>
      </c>
      <c r="F281" s="38" t="s">
        <v>2361</v>
      </c>
      <c r="G281" s="45">
        <v>3800</v>
      </c>
      <c r="H281" s="45">
        <v>38</v>
      </c>
    </row>
    <row r="282" spans="1:8">
      <c r="A282" s="78">
        <v>128690050246</v>
      </c>
      <c r="B282" s="1" t="s">
        <v>8</v>
      </c>
      <c r="C282" s="44" t="s">
        <v>2089</v>
      </c>
      <c r="D282" s="1" t="s">
        <v>2360</v>
      </c>
      <c r="E282" s="44" t="s">
        <v>2089</v>
      </c>
      <c r="F282" s="38" t="s">
        <v>2361</v>
      </c>
      <c r="G282" s="45">
        <v>4200</v>
      </c>
      <c r="H282" s="45">
        <v>42</v>
      </c>
    </row>
    <row r="283" spans="1:8">
      <c r="A283" s="78">
        <v>128690444386</v>
      </c>
      <c r="B283" s="1" t="s">
        <v>8</v>
      </c>
      <c r="C283" s="44" t="s">
        <v>2089</v>
      </c>
      <c r="D283" s="1" t="s">
        <v>2360</v>
      </c>
      <c r="E283" s="44" t="s">
        <v>2089</v>
      </c>
      <c r="F283" s="38" t="s">
        <v>2361</v>
      </c>
      <c r="G283" s="45">
        <v>37400</v>
      </c>
      <c r="H283" s="45">
        <v>374</v>
      </c>
    </row>
    <row r="284" spans="1:8">
      <c r="A284" s="78">
        <v>128691126746</v>
      </c>
      <c r="B284" s="1" t="s">
        <v>8</v>
      </c>
      <c r="C284" s="44" t="s">
        <v>2089</v>
      </c>
      <c r="D284" s="1" t="s">
        <v>2360</v>
      </c>
      <c r="E284" s="44" t="s">
        <v>2089</v>
      </c>
      <c r="F284" s="38" t="s">
        <v>2361</v>
      </c>
      <c r="G284" s="45">
        <v>9200</v>
      </c>
      <c r="H284" s="45">
        <v>92</v>
      </c>
    </row>
    <row r="285" spans="1:8">
      <c r="A285" s="78">
        <v>128123744661</v>
      </c>
      <c r="B285" s="1" t="s">
        <v>2055</v>
      </c>
      <c r="C285" s="44" t="s">
        <v>2089</v>
      </c>
      <c r="D285" s="1" t="s">
        <v>2360</v>
      </c>
      <c r="E285" s="44" t="s">
        <v>2089</v>
      </c>
      <c r="F285" s="38" t="s">
        <v>2361</v>
      </c>
      <c r="G285" s="45">
        <v>36000</v>
      </c>
      <c r="H285" s="45">
        <v>360</v>
      </c>
    </row>
    <row r="286" spans="1:8">
      <c r="A286" s="78">
        <v>128691506480</v>
      </c>
      <c r="B286" s="1" t="s">
        <v>8</v>
      </c>
      <c r="C286" s="44" t="s">
        <v>2089</v>
      </c>
      <c r="D286" s="1" t="s">
        <v>2360</v>
      </c>
      <c r="E286" s="44" t="s">
        <v>2089</v>
      </c>
      <c r="F286" s="38" t="s">
        <v>2361</v>
      </c>
      <c r="G286" s="45">
        <v>52400</v>
      </c>
      <c r="H286" s="45">
        <v>524</v>
      </c>
    </row>
    <row r="287" spans="1:8">
      <c r="A287" s="78">
        <v>128691509296</v>
      </c>
      <c r="B287" s="1" t="s">
        <v>8</v>
      </c>
      <c r="C287" s="44" t="s">
        <v>2089</v>
      </c>
      <c r="D287" s="1" t="s">
        <v>2360</v>
      </c>
      <c r="E287" s="44" t="s">
        <v>2089</v>
      </c>
      <c r="F287" s="38" t="s">
        <v>2361</v>
      </c>
      <c r="G287" s="45">
        <v>52200</v>
      </c>
      <c r="H287" s="45">
        <v>522</v>
      </c>
    </row>
    <row r="288" spans="1:8">
      <c r="A288" s="78">
        <v>128124030985</v>
      </c>
      <c r="B288" s="1" t="s">
        <v>8</v>
      </c>
      <c r="C288" s="44" t="s">
        <v>2089</v>
      </c>
      <c r="D288" s="1" t="s">
        <v>2360</v>
      </c>
      <c r="E288" s="44" t="s">
        <v>2089</v>
      </c>
      <c r="F288" s="38" t="s">
        <v>2361</v>
      </c>
      <c r="G288" s="45">
        <v>97900</v>
      </c>
      <c r="H288" s="45">
        <v>979</v>
      </c>
    </row>
    <row r="289" spans="1:8">
      <c r="A289" s="78">
        <v>128692018414</v>
      </c>
      <c r="B289" s="1" t="s">
        <v>2055</v>
      </c>
      <c r="C289" s="44" t="s">
        <v>2089</v>
      </c>
      <c r="D289" s="1" t="s">
        <v>2360</v>
      </c>
      <c r="E289" s="44" t="s">
        <v>2089</v>
      </c>
      <c r="F289" s="38" t="s">
        <v>2361</v>
      </c>
      <c r="G289" s="45">
        <v>20900</v>
      </c>
      <c r="H289" s="45">
        <v>209</v>
      </c>
    </row>
    <row r="290" spans="1:8">
      <c r="A290" s="78">
        <v>128692041006</v>
      </c>
      <c r="B290" s="1" t="s">
        <v>8</v>
      </c>
      <c r="C290" s="44" t="s">
        <v>2089</v>
      </c>
      <c r="D290" s="1" t="s">
        <v>2360</v>
      </c>
      <c r="E290" s="44" t="s">
        <v>2089</v>
      </c>
      <c r="F290" s="38" t="s">
        <v>2361</v>
      </c>
      <c r="G290" s="45">
        <v>5000</v>
      </c>
      <c r="H290" s="45">
        <v>50</v>
      </c>
    </row>
    <row r="291" spans="1:8">
      <c r="A291" s="78">
        <v>128124351663</v>
      </c>
      <c r="B291" s="1" t="s">
        <v>8</v>
      </c>
      <c r="C291" s="44" t="s">
        <v>2089</v>
      </c>
      <c r="D291" s="1" t="s">
        <v>2360</v>
      </c>
      <c r="E291" s="44" t="s">
        <v>2101</v>
      </c>
      <c r="F291" s="38" t="s">
        <v>2361</v>
      </c>
      <c r="G291" s="45">
        <v>15000</v>
      </c>
      <c r="H291" s="45">
        <v>150</v>
      </c>
    </row>
    <row r="292" spans="1:8">
      <c r="A292" s="78">
        <v>128692668536</v>
      </c>
      <c r="B292" s="1" t="s">
        <v>8</v>
      </c>
      <c r="C292" s="44" t="s">
        <v>2089</v>
      </c>
      <c r="D292" s="1" t="s">
        <v>2360</v>
      </c>
      <c r="E292" s="44" t="s">
        <v>2101</v>
      </c>
      <c r="F292" s="38" t="s">
        <v>2361</v>
      </c>
      <c r="G292" s="45">
        <v>74100</v>
      </c>
      <c r="H292" s="45">
        <v>741</v>
      </c>
    </row>
    <row r="293" spans="1:8">
      <c r="A293" s="78">
        <v>128125043391</v>
      </c>
      <c r="B293" s="1" t="s">
        <v>8</v>
      </c>
      <c r="C293" s="44" t="s">
        <v>2089</v>
      </c>
      <c r="D293" s="1" t="s">
        <v>2360</v>
      </c>
      <c r="E293" s="44" t="s">
        <v>2101</v>
      </c>
      <c r="F293" s="38" t="s">
        <v>2361</v>
      </c>
      <c r="G293" s="45">
        <v>5000</v>
      </c>
      <c r="H293" s="45">
        <v>50</v>
      </c>
    </row>
    <row r="294" spans="1:8">
      <c r="A294" s="78">
        <v>128125341977</v>
      </c>
      <c r="B294" s="1" t="s">
        <v>8</v>
      </c>
      <c r="C294" s="44" t="s">
        <v>2089</v>
      </c>
      <c r="D294" s="1" t="s">
        <v>2360</v>
      </c>
      <c r="E294" s="44" t="s">
        <v>2101</v>
      </c>
      <c r="F294" s="38" t="s">
        <v>2361</v>
      </c>
      <c r="G294" s="45">
        <v>4000</v>
      </c>
      <c r="H294" s="45">
        <v>40</v>
      </c>
    </row>
    <row r="295" spans="1:8">
      <c r="A295" s="78">
        <v>128693181950</v>
      </c>
      <c r="B295" s="1" t="s">
        <v>8</v>
      </c>
      <c r="C295" s="44" t="s">
        <v>2089</v>
      </c>
      <c r="D295" s="1" t="s">
        <v>2360</v>
      </c>
      <c r="E295" s="44" t="s">
        <v>2101</v>
      </c>
      <c r="F295" s="38" t="s">
        <v>2361</v>
      </c>
      <c r="G295" s="45">
        <v>8000</v>
      </c>
      <c r="H295" s="45">
        <v>80</v>
      </c>
    </row>
    <row r="296" spans="1:8">
      <c r="A296" s="78">
        <v>128694134194</v>
      </c>
      <c r="B296" s="1" t="s">
        <v>8</v>
      </c>
      <c r="C296" s="44" t="s">
        <v>2089</v>
      </c>
      <c r="D296" s="1" t="s">
        <v>2360</v>
      </c>
      <c r="E296" s="44" t="s">
        <v>2101</v>
      </c>
      <c r="F296" s="38" t="s">
        <v>2361</v>
      </c>
      <c r="G296" s="45">
        <v>15400</v>
      </c>
      <c r="H296" s="45">
        <v>154</v>
      </c>
    </row>
    <row r="297" spans="1:8">
      <c r="A297" s="78">
        <v>128694166558</v>
      </c>
      <c r="B297" s="1" t="s">
        <v>2055</v>
      </c>
      <c r="C297" s="44" t="s">
        <v>2089</v>
      </c>
      <c r="D297" s="1" t="s">
        <v>2360</v>
      </c>
      <c r="E297" s="44" t="s">
        <v>2101</v>
      </c>
      <c r="F297" s="38" t="s">
        <v>2361</v>
      </c>
      <c r="G297" s="45">
        <v>60400</v>
      </c>
      <c r="H297" s="45">
        <v>604</v>
      </c>
    </row>
    <row r="298" spans="1:8">
      <c r="A298" s="78">
        <v>128126371521</v>
      </c>
      <c r="B298" s="1" t="s">
        <v>8</v>
      </c>
      <c r="C298" s="44" t="s">
        <v>2089</v>
      </c>
      <c r="D298" s="1" t="s">
        <v>2360</v>
      </c>
      <c r="E298" s="44" t="s">
        <v>2101</v>
      </c>
      <c r="F298" s="38" t="s">
        <v>2361</v>
      </c>
      <c r="G298" s="45">
        <v>43500</v>
      </c>
      <c r="H298" s="45">
        <v>435</v>
      </c>
    </row>
    <row r="299" spans="1:8">
      <c r="A299" s="78">
        <v>128126531575</v>
      </c>
      <c r="B299" s="1" t="s">
        <v>8</v>
      </c>
      <c r="C299" s="44" t="s">
        <v>2089</v>
      </c>
      <c r="D299" s="1" t="s">
        <v>2360</v>
      </c>
      <c r="E299" s="44" t="s">
        <v>2101</v>
      </c>
      <c r="F299" s="38" t="s">
        <v>2361</v>
      </c>
      <c r="G299" s="45">
        <v>38500</v>
      </c>
      <c r="H299" s="45">
        <v>385</v>
      </c>
    </row>
    <row r="300" spans="1:8">
      <c r="A300" s="78">
        <v>128126798957</v>
      </c>
      <c r="B300" s="1" t="s">
        <v>8</v>
      </c>
      <c r="C300" s="44" t="s">
        <v>2089</v>
      </c>
      <c r="D300" s="1" t="s">
        <v>2360</v>
      </c>
      <c r="E300" s="44" t="s">
        <v>2101</v>
      </c>
      <c r="F300" s="38" t="s">
        <v>2361</v>
      </c>
      <c r="G300" s="45">
        <v>58100</v>
      </c>
      <c r="H300" s="45">
        <v>581</v>
      </c>
    </row>
    <row r="301" spans="1:8">
      <c r="A301" s="78">
        <v>128694718052</v>
      </c>
      <c r="B301" s="1" t="s">
        <v>8</v>
      </c>
      <c r="C301" s="44" t="s">
        <v>2089</v>
      </c>
      <c r="D301" s="1" t="s">
        <v>2360</v>
      </c>
      <c r="E301" s="44" t="s">
        <v>2101</v>
      </c>
      <c r="F301" s="38" t="s">
        <v>2361</v>
      </c>
      <c r="G301" s="45">
        <v>42800</v>
      </c>
      <c r="H301" s="45">
        <v>428</v>
      </c>
    </row>
    <row r="302" spans="1:8">
      <c r="A302" s="78">
        <v>128127545875</v>
      </c>
      <c r="B302" s="1" t="s">
        <v>8</v>
      </c>
      <c r="C302" s="44" t="s">
        <v>2089</v>
      </c>
      <c r="D302" s="1" t="s">
        <v>2360</v>
      </c>
      <c r="E302" s="44" t="s">
        <v>2101</v>
      </c>
      <c r="F302" s="38" t="s">
        <v>2361</v>
      </c>
      <c r="G302" s="45">
        <v>9600</v>
      </c>
      <c r="H302" s="45">
        <v>96</v>
      </c>
    </row>
    <row r="303" spans="1:8">
      <c r="A303" s="78">
        <v>128695678908</v>
      </c>
      <c r="B303" s="1" t="s">
        <v>8</v>
      </c>
      <c r="C303" s="44" t="s">
        <v>2101</v>
      </c>
      <c r="D303" s="1" t="s">
        <v>2360</v>
      </c>
      <c r="E303" s="44" t="s">
        <v>2101</v>
      </c>
      <c r="F303" s="38" t="s">
        <v>2361</v>
      </c>
      <c r="G303" s="45">
        <v>5300</v>
      </c>
      <c r="H303" s="45">
        <v>53</v>
      </c>
    </row>
    <row r="304" spans="1:8">
      <c r="A304" s="78">
        <v>128696084622</v>
      </c>
      <c r="B304" s="1" t="s">
        <v>8</v>
      </c>
      <c r="C304" s="44" t="s">
        <v>2101</v>
      </c>
      <c r="D304" s="1" t="s">
        <v>2360</v>
      </c>
      <c r="E304" s="44" t="s">
        <v>2101</v>
      </c>
      <c r="F304" s="38" t="s">
        <v>2361</v>
      </c>
      <c r="G304" s="45">
        <v>25600</v>
      </c>
      <c r="H304" s="45">
        <v>256</v>
      </c>
    </row>
    <row r="305" spans="1:8">
      <c r="A305" s="78">
        <v>128128642373</v>
      </c>
      <c r="B305" s="1" t="s">
        <v>8</v>
      </c>
      <c r="C305" s="44" t="s">
        <v>2101</v>
      </c>
      <c r="D305" s="1" t="s">
        <v>2360</v>
      </c>
      <c r="E305" s="44" t="s">
        <v>2101</v>
      </c>
      <c r="F305" s="38" t="s">
        <v>2361</v>
      </c>
      <c r="G305" s="45">
        <v>22000</v>
      </c>
      <c r="H305" s="45">
        <v>220</v>
      </c>
    </row>
    <row r="306" spans="1:8">
      <c r="A306" s="78">
        <v>128696455684</v>
      </c>
      <c r="B306" s="1" t="s">
        <v>8</v>
      </c>
      <c r="C306" s="44" t="s">
        <v>2101</v>
      </c>
      <c r="D306" s="1" t="s">
        <v>2360</v>
      </c>
      <c r="E306" s="44" t="s">
        <v>2101</v>
      </c>
      <c r="F306" s="38" t="s">
        <v>2361</v>
      </c>
      <c r="G306" s="45">
        <v>98500</v>
      </c>
      <c r="H306" s="45">
        <v>985</v>
      </c>
    </row>
    <row r="307" spans="1:8">
      <c r="A307" s="78">
        <v>128128996829</v>
      </c>
      <c r="B307" s="1" t="s">
        <v>8</v>
      </c>
      <c r="C307" s="44" t="s">
        <v>2101</v>
      </c>
      <c r="D307" s="1" t="s">
        <v>2360</v>
      </c>
      <c r="E307" s="44" t="s">
        <v>2101</v>
      </c>
      <c r="F307" s="38" t="s">
        <v>2361</v>
      </c>
      <c r="G307" s="45">
        <v>12300</v>
      </c>
      <c r="H307" s="45">
        <v>123</v>
      </c>
    </row>
    <row r="308" spans="1:8">
      <c r="A308" s="78">
        <v>128128980033</v>
      </c>
      <c r="B308" s="1" t="s">
        <v>2055</v>
      </c>
      <c r="C308" s="44" t="s">
        <v>2101</v>
      </c>
      <c r="D308" s="1" t="s">
        <v>2360</v>
      </c>
      <c r="E308" s="44" t="s">
        <v>2101</v>
      </c>
      <c r="F308" s="38" t="s">
        <v>2361</v>
      </c>
      <c r="G308" s="45">
        <v>55200</v>
      </c>
      <c r="H308" s="45">
        <v>552</v>
      </c>
    </row>
    <row r="309" spans="1:8">
      <c r="A309" s="78">
        <v>128129163917</v>
      </c>
      <c r="B309" s="1" t="s">
        <v>8</v>
      </c>
      <c r="C309" s="44" t="s">
        <v>2101</v>
      </c>
      <c r="D309" s="1" t="s">
        <v>2360</v>
      </c>
      <c r="E309" s="44" t="s">
        <v>2101</v>
      </c>
      <c r="F309" s="38" t="s">
        <v>2361</v>
      </c>
      <c r="G309" s="45">
        <v>3800</v>
      </c>
      <c r="H309" s="45">
        <v>38</v>
      </c>
    </row>
    <row r="310" spans="1:8">
      <c r="A310" s="78">
        <v>128129860457</v>
      </c>
      <c r="B310" s="1" t="s">
        <v>2055</v>
      </c>
      <c r="C310" s="44" t="s">
        <v>2101</v>
      </c>
      <c r="D310" s="1" t="s">
        <v>2360</v>
      </c>
      <c r="E310" s="44" t="s">
        <v>2101</v>
      </c>
      <c r="F310" s="38" t="s">
        <v>2361</v>
      </c>
      <c r="G310" s="45">
        <v>50500</v>
      </c>
      <c r="H310" s="45">
        <v>505</v>
      </c>
    </row>
    <row r="311" spans="1:8">
      <c r="A311" s="78">
        <v>128129982957</v>
      </c>
      <c r="B311" s="1" t="s">
        <v>2055</v>
      </c>
      <c r="C311" s="44" t="s">
        <v>2101</v>
      </c>
      <c r="D311" s="1" t="s">
        <v>2360</v>
      </c>
      <c r="E311" s="44" t="s">
        <v>2101</v>
      </c>
      <c r="F311" s="38" t="s">
        <v>2361</v>
      </c>
      <c r="G311" s="45">
        <v>31900</v>
      </c>
      <c r="H311" s="45">
        <v>319</v>
      </c>
    </row>
    <row r="312" spans="1:8">
      <c r="A312" s="78">
        <v>128697505462</v>
      </c>
      <c r="B312" s="1" t="s">
        <v>8</v>
      </c>
      <c r="C312" s="44" t="s">
        <v>2101</v>
      </c>
      <c r="D312" s="1" t="s">
        <v>2360</v>
      </c>
      <c r="E312" s="44" t="s">
        <v>2101</v>
      </c>
      <c r="F312" s="38" t="s">
        <v>2361</v>
      </c>
      <c r="G312" s="45">
        <v>14600</v>
      </c>
      <c r="H312" s="45">
        <v>146</v>
      </c>
    </row>
    <row r="313" spans="1:8">
      <c r="A313" s="78">
        <v>128129983705</v>
      </c>
      <c r="B313" s="1" t="s">
        <v>8</v>
      </c>
      <c r="C313" s="44" t="s">
        <v>2101</v>
      </c>
      <c r="D313" s="1" t="s">
        <v>2360</v>
      </c>
      <c r="E313" s="44" t="s">
        <v>2101</v>
      </c>
      <c r="F313" s="38" t="s">
        <v>2361</v>
      </c>
      <c r="G313" s="45">
        <v>27600</v>
      </c>
      <c r="H313" s="45">
        <v>276</v>
      </c>
    </row>
    <row r="314" spans="1:8">
      <c r="A314" s="78">
        <v>128130086803</v>
      </c>
      <c r="B314" s="1" t="s">
        <v>8</v>
      </c>
      <c r="C314" s="44" t="s">
        <v>2101</v>
      </c>
      <c r="D314" s="1" t="s">
        <v>2360</v>
      </c>
      <c r="E314" s="44" t="s">
        <v>2101</v>
      </c>
      <c r="F314" s="38" t="s">
        <v>2361</v>
      </c>
      <c r="G314" s="45">
        <v>28900</v>
      </c>
      <c r="H314" s="45">
        <v>289</v>
      </c>
    </row>
    <row r="315" spans="1:8">
      <c r="A315" s="78">
        <v>128698164204</v>
      </c>
      <c r="B315" s="1" t="s">
        <v>8</v>
      </c>
      <c r="C315" s="44" t="s">
        <v>2101</v>
      </c>
      <c r="D315" s="1" t="s">
        <v>2360</v>
      </c>
      <c r="E315" s="44" t="s">
        <v>2101</v>
      </c>
      <c r="F315" s="38" t="s">
        <v>2361</v>
      </c>
      <c r="G315" s="45">
        <v>28000</v>
      </c>
      <c r="H315" s="45">
        <v>280</v>
      </c>
    </row>
    <row r="316" spans="1:8">
      <c r="A316" s="78">
        <v>128130687417</v>
      </c>
      <c r="B316" s="1" t="s">
        <v>2055</v>
      </c>
      <c r="C316" s="44" t="s">
        <v>2101</v>
      </c>
      <c r="D316" s="1" t="s">
        <v>2360</v>
      </c>
      <c r="E316" s="44" t="s">
        <v>2101</v>
      </c>
      <c r="F316" s="38" t="s">
        <v>2361</v>
      </c>
      <c r="G316" s="45">
        <v>18400</v>
      </c>
      <c r="H316" s="45">
        <v>184</v>
      </c>
    </row>
    <row r="317" spans="1:8">
      <c r="A317" s="78">
        <v>128131338741</v>
      </c>
      <c r="B317" s="1" t="s">
        <v>2055</v>
      </c>
      <c r="C317" s="44" t="s">
        <v>2101</v>
      </c>
      <c r="D317" s="1" t="s">
        <v>2360</v>
      </c>
      <c r="E317" s="44" t="s">
        <v>2101</v>
      </c>
      <c r="F317" s="38" t="s">
        <v>2361</v>
      </c>
      <c r="G317" s="45">
        <v>17600</v>
      </c>
      <c r="H317" s="45">
        <v>176</v>
      </c>
    </row>
    <row r="318" spans="1:8">
      <c r="A318" s="78">
        <v>128132363197</v>
      </c>
      <c r="B318" s="1" t="s">
        <v>8</v>
      </c>
      <c r="C318" s="44" t="s">
        <v>2101</v>
      </c>
      <c r="D318" s="1" t="s">
        <v>2360</v>
      </c>
      <c r="E318" s="44" t="s">
        <v>2101</v>
      </c>
      <c r="F318" s="38" t="s">
        <v>2361</v>
      </c>
      <c r="G318" s="45">
        <v>10000</v>
      </c>
      <c r="H318" s="45">
        <v>100</v>
      </c>
    </row>
    <row r="319" spans="1:8">
      <c r="A319" s="78">
        <v>128201339295</v>
      </c>
      <c r="B319" s="1" t="s">
        <v>2055</v>
      </c>
      <c r="C319" s="44" t="s">
        <v>2101</v>
      </c>
      <c r="D319" s="1" t="s">
        <v>2360</v>
      </c>
      <c r="E319" s="44" t="s">
        <v>2101</v>
      </c>
      <c r="F319" s="38" t="s">
        <v>2361</v>
      </c>
      <c r="G319" s="45">
        <v>14300</v>
      </c>
      <c r="H319" s="45">
        <v>143</v>
      </c>
    </row>
    <row r="320" spans="1:8">
      <c r="A320" s="78">
        <v>128205853491</v>
      </c>
      <c r="B320" s="1" t="s">
        <v>8</v>
      </c>
      <c r="C320" s="44" t="s">
        <v>2101</v>
      </c>
      <c r="D320" s="1" t="s">
        <v>2360</v>
      </c>
      <c r="E320" s="44" t="s">
        <v>2101</v>
      </c>
      <c r="F320" s="38" t="s">
        <v>2361</v>
      </c>
      <c r="G320" s="45">
        <v>4400</v>
      </c>
      <c r="H320" s="45">
        <v>44</v>
      </c>
    </row>
    <row r="321" spans="1:8">
      <c r="A321" s="78">
        <v>128206530723</v>
      </c>
      <c r="B321" s="1" t="s">
        <v>8</v>
      </c>
      <c r="C321" s="44" t="s">
        <v>2101</v>
      </c>
      <c r="D321" s="1" t="s">
        <v>2360</v>
      </c>
      <c r="E321" s="44" t="s">
        <v>2101</v>
      </c>
      <c r="F321" s="38" t="s">
        <v>2361</v>
      </c>
      <c r="G321" s="45">
        <v>4900</v>
      </c>
      <c r="H321" s="45">
        <v>49</v>
      </c>
    </row>
    <row r="322" spans="1:8">
      <c r="A322" s="78">
        <v>128775011128</v>
      </c>
      <c r="B322" s="1" t="s">
        <v>2055</v>
      </c>
      <c r="C322" s="44" t="s">
        <v>2101</v>
      </c>
      <c r="D322" s="1" t="s">
        <v>2360</v>
      </c>
      <c r="E322" s="44" t="s">
        <v>2101</v>
      </c>
      <c r="F322" s="38" t="s">
        <v>2361</v>
      </c>
      <c r="G322" s="45">
        <v>18000</v>
      </c>
      <c r="H322" s="45">
        <v>180</v>
      </c>
    </row>
    <row r="323" spans="1:8">
      <c r="A323" s="78">
        <v>128775661428</v>
      </c>
      <c r="B323" s="1" t="s">
        <v>8</v>
      </c>
      <c r="C323" s="44" t="s">
        <v>2101</v>
      </c>
      <c r="D323" s="1" t="s">
        <v>2360</v>
      </c>
      <c r="E323" s="44" t="s">
        <v>2101</v>
      </c>
      <c r="F323" s="38" t="s">
        <v>2361</v>
      </c>
      <c r="G323" s="45">
        <v>14100</v>
      </c>
      <c r="H323" s="45">
        <v>141</v>
      </c>
    </row>
    <row r="324" spans="1:8">
      <c r="A324" s="78">
        <v>128208989895</v>
      </c>
      <c r="B324" s="1" t="s">
        <v>8</v>
      </c>
      <c r="C324" s="44" t="s">
        <v>2101</v>
      </c>
      <c r="D324" s="1" t="s">
        <v>2360</v>
      </c>
      <c r="E324" s="44" t="s">
        <v>2101</v>
      </c>
      <c r="F324" s="38" t="s">
        <v>2361</v>
      </c>
      <c r="G324" s="45">
        <v>25800</v>
      </c>
      <c r="H324" s="45">
        <v>258</v>
      </c>
    </row>
    <row r="325" spans="1:8">
      <c r="A325" s="78">
        <v>128210325155</v>
      </c>
      <c r="B325" s="1" t="s">
        <v>8</v>
      </c>
      <c r="C325" s="44" t="s">
        <v>2101</v>
      </c>
      <c r="D325" s="1" t="s">
        <v>2360</v>
      </c>
      <c r="E325" s="44" t="s">
        <v>2101</v>
      </c>
      <c r="F325" s="38" t="s">
        <v>2361</v>
      </c>
      <c r="G325" s="45">
        <v>17900</v>
      </c>
      <c r="H325" s="45">
        <v>179</v>
      </c>
    </row>
    <row r="326" spans="1:8">
      <c r="A326" s="78">
        <v>128210631029</v>
      </c>
      <c r="B326" s="1" t="s">
        <v>2055</v>
      </c>
      <c r="C326" s="44" t="s">
        <v>2101</v>
      </c>
      <c r="D326" s="1" t="s">
        <v>2360</v>
      </c>
      <c r="E326" s="44" t="s">
        <v>2101</v>
      </c>
      <c r="F326" s="38" t="s">
        <v>2361</v>
      </c>
      <c r="G326" s="45">
        <v>16400</v>
      </c>
      <c r="H326" s="45">
        <v>164</v>
      </c>
    </row>
    <row r="327" spans="1:8">
      <c r="A327" s="78">
        <v>128779285828</v>
      </c>
      <c r="B327" s="1" t="s">
        <v>8</v>
      </c>
      <c r="C327" s="44" t="s">
        <v>2101</v>
      </c>
      <c r="D327" s="1" t="s">
        <v>2360</v>
      </c>
      <c r="E327" s="44" t="s">
        <v>2101</v>
      </c>
      <c r="F327" s="38" t="s">
        <v>2361</v>
      </c>
      <c r="G327" s="45">
        <v>32600</v>
      </c>
      <c r="H327" s="45">
        <v>326</v>
      </c>
    </row>
    <row r="328" spans="1:8">
      <c r="A328" s="78">
        <v>128211723845</v>
      </c>
      <c r="B328" s="1" t="s">
        <v>8</v>
      </c>
      <c r="C328" s="44" t="s">
        <v>2101</v>
      </c>
      <c r="D328" s="1" t="s">
        <v>2360</v>
      </c>
      <c r="E328" s="44" t="s">
        <v>2101</v>
      </c>
      <c r="F328" s="38" t="s">
        <v>2361</v>
      </c>
      <c r="G328" s="45">
        <v>26600</v>
      </c>
      <c r="H328" s="45">
        <v>266</v>
      </c>
    </row>
    <row r="329" spans="1:8">
      <c r="A329" s="78">
        <v>128780279488</v>
      </c>
      <c r="B329" s="1" t="s">
        <v>8</v>
      </c>
      <c r="C329" s="44" t="s">
        <v>2101</v>
      </c>
      <c r="D329" s="1" t="s">
        <v>2360</v>
      </c>
      <c r="E329" s="44" t="s">
        <v>2101</v>
      </c>
      <c r="F329" s="38" t="s">
        <v>2361</v>
      </c>
      <c r="G329" s="45">
        <v>39900</v>
      </c>
      <c r="H329" s="45">
        <v>399</v>
      </c>
    </row>
    <row r="330" spans="1:8">
      <c r="A330" s="78">
        <v>128212590833</v>
      </c>
      <c r="B330" s="1" t="s">
        <v>8</v>
      </c>
      <c r="C330" s="44" t="s">
        <v>2101</v>
      </c>
      <c r="D330" s="1" t="s">
        <v>2360</v>
      </c>
      <c r="E330" s="44" t="s">
        <v>2101</v>
      </c>
      <c r="F330" s="38" t="s">
        <v>2361</v>
      </c>
      <c r="G330" s="45">
        <v>35200</v>
      </c>
      <c r="H330" s="45">
        <v>352</v>
      </c>
    </row>
    <row r="331" spans="1:8">
      <c r="A331" s="78">
        <v>128213127005</v>
      </c>
      <c r="B331" s="1" t="s">
        <v>8</v>
      </c>
      <c r="C331" s="44" t="s">
        <v>2101</v>
      </c>
      <c r="D331" s="1" t="s">
        <v>2360</v>
      </c>
      <c r="E331" s="44" t="s">
        <v>2101</v>
      </c>
      <c r="F331" s="38" t="s">
        <v>2361</v>
      </c>
      <c r="G331" s="45">
        <v>4800</v>
      </c>
      <c r="H331" s="45">
        <v>48</v>
      </c>
    </row>
    <row r="332" spans="1:8">
      <c r="A332" s="78">
        <v>128771504152</v>
      </c>
      <c r="B332" s="1" t="s">
        <v>8</v>
      </c>
      <c r="C332" s="44" t="s">
        <v>2101</v>
      </c>
      <c r="D332" s="1" t="s">
        <v>2360</v>
      </c>
      <c r="E332" s="44" t="s">
        <v>2101</v>
      </c>
      <c r="F332" s="38" t="s">
        <v>2361</v>
      </c>
      <c r="G332" s="45">
        <v>4900</v>
      </c>
      <c r="H332" s="45">
        <v>49</v>
      </c>
    </row>
    <row r="333" spans="1:8">
      <c r="A333" s="78">
        <v>128217976781</v>
      </c>
      <c r="B333" s="1" t="s">
        <v>2055</v>
      </c>
      <c r="C333" s="44" t="s">
        <v>2101</v>
      </c>
      <c r="D333" s="1" t="s">
        <v>2360</v>
      </c>
      <c r="E333" s="44" t="s">
        <v>2101</v>
      </c>
      <c r="F333" s="38" t="s">
        <v>2361</v>
      </c>
      <c r="G333" s="45">
        <v>16000</v>
      </c>
      <c r="H333" s="45">
        <v>160</v>
      </c>
    </row>
    <row r="334" spans="1:8">
      <c r="A334" s="78">
        <v>128218880657</v>
      </c>
      <c r="B334" s="1" t="s">
        <v>8</v>
      </c>
      <c r="C334" s="44" t="s">
        <v>2101</v>
      </c>
      <c r="D334" s="1" t="s">
        <v>2360</v>
      </c>
      <c r="E334" s="44" t="s">
        <v>2101</v>
      </c>
      <c r="F334" s="38" t="s">
        <v>2361</v>
      </c>
      <c r="G334" s="45">
        <v>30200</v>
      </c>
      <c r="H334" s="45">
        <v>302</v>
      </c>
    </row>
    <row r="335" spans="1:8">
      <c r="A335" s="78">
        <v>128220831145</v>
      </c>
      <c r="B335" s="1" t="s">
        <v>8</v>
      </c>
      <c r="C335" s="44" t="s">
        <v>2101</v>
      </c>
      <c r="D335" s="1" t="s">
        <v>2360</v>
      </c>
      <c r="E335" s="44" t="s">
        <v>2118</v>
      </c>
      <c r="F335" s="38" t="s">
        <v>2361</v>
      </c>
      <c r="G335" s="45">
        <v>8000</v>
      </c>
      <c r="H335" s="45">
        <v>80</v>
      </c>
    </row>
    <row r="336" spans="1:8">
      <c r="A336" s="78">
        <v>128212250343</v>
      </c>
      <c r="B336" s="1" t="s">
        <v>8</v>
      </c>
      <c r="C336" s="44" t="s">
        <v>2101</v>
      </c>
      <c r="D336" s="1" t="s">
        <v>2360</v>
      </c>
      <c r="E336" s="44" t="s">
        <v>2101</v>
      </c>
      <c r="F336" s="38" t="s">
        <v>2361</v>
      </c>
      <c r="G336" s="45">
        <v>9600</v>
      </c>
      <c r="H336" s="45">
        <v>96</v>
      </c>
    </row>
    <row r="337" spans="1:8">
      <c r="A337" s="78">
        <v>128222367735</v>
      </c>
      <c r="B337" s="1" t="s">
        <v>2055</v>
      </c>
      <c r="C337" s="44" t="s">
        <v>2118</v>
      </c>
      <c r="D337" s="1" t="s">
        <v>2360</v>
      </c>
      <c r="E337" s="44" t="s">
        <v>2118</v>
      </c>
      <c r="F337" s="38" t="s">
        <v>2361</v>
      </c>
      <c r="G337" s="45">
        <v>8800</v>
      </c>
      <c r="H337" s="45">
        <v>88</v>
      </c>
    </row>
    <row r="338" spans="1:8">
      <c r="A338" s="78">
        <v>128213687353</v>
      </c>
      <c r="B338" s="1" t="s">
        <v>8</v>
      </c>
      <c r="C338" s="44" t="s">
        <v>2101</v>
      </c>
      <c r="D338" s="1" t="s">
        <v>2360</v>
      </c>
      <c r="E338" s="44" t="s">
        <v>2101</v>
      </c>
      <c r="F338" s="38" t="s">
        <v>2361</v>
      </c>
      <c r="G338" s="45">
        <v>29700</v>
      </c>
      <c r="H338" s="45">
        <v>297</v>
      </c>
    </row>
    <row r="339" spans="1:8">
      <c r="A339" s="78">
        <v>128782344294</v>
      </c>
      <c r="B339" s="1" t="s">
        <v>2055</v>
      </c>
      <c r="C339" s="44" t="s">
        <v>2101</v>
      </c>
      <c r="D339" s="1" t="s">
        <v>2360</v>
      </c>
      <c r="E339" s="44" t="s">
        <v>2101</v>
      </c>
      <c r="F339" s="38" t="s">
        <v>2361</v>
      </c>
      <c r="G339" s="45">
        <v>25300</v>
      </c>
      <c r="H339" s="45">
        <v>253</v>
      </c>
    </row>
    <row r="340" spans="1:8">
      <c r="A340" s="78">
        <v>128215264657</v>
      </c>
      <c r="B340" s="1" t="s">
        <v>2055</v>
      </c>
      <c r="C340" s="44" t="s">
        <v>2101</v>
      </c>
      <c r="D340" s="1" t="s">
        <v>2360</v>
      </c>
      <c r="E340" s="44" t="s">
        <v>2101</v>
      </c>
      <c r="F340" s="38" t="s">
        <v>2361</v>
      </c>
      <c r="G340" s="45">
        <v>14400</v>
      </c>
      <c r="H340" s="45">
        <v>144</v>
      </c>
    </row>
    <row r="341" spans="1:8">
      <c r="A341" s="78">
        <v>128783583224</v>
      </c>
      <c r="B341" s="1" t="s">
        <v>8</v>
      </c>
      <c r="C341" s="44" t="s">
        <v>2101</v>
      </c>
      <c r="D341" s="1" t="s">
        <v>2360</v>
      </c>
      <c r="E341" s="44" t="s">
        <v>2101</v>
      </c>
      <c r="F341" s="38" t="s">
        <v>2361</v>
      </c>
      <c r="G341" s="45">
        <v>17500</v>
      </c>
      <c r="H341" s="45">
        <v>175</v>
      </c>
    </row>
    <row r="342" spans="1:8">
      <c r="A342" s="78">
        <v>128216639471</v>
      </c>
      <c r="B342" s="1" t="s">
        <v>8</v>
      </c>
      <c r="C342" s="44" t="s">
        <v>2101</v>
      </c>
      <c r="D342" s="1" t="s">
        <v>2360</v>
      </c>
      <c r="E342" s="44" t="s">
        <v>2101</v>
      </c>
      <c r="F342" s="38" t="s">
        <v>2361</v>
      </c>
      <c r="G342" s="45">
        <v>31000</v>
      </c>
      <c r="H342" s="45">
        <v>310</v>
      </c>
    </row>
    <row r="343" spans="1:8">
      <c r="A343" s="78">
        <v>128785272946</v>
      </c>
      <c r="B343" s="1" t="s">
        <v>8</v>
      </c>
      <c r="C343" s="44" t="s">
        <v>2101</v>
      </c>
      <c r="D343" s="1" t="s">
        <v>2360</v>
      </c>
      <c r="E343" s="44" t="s">
        <v>2101</v>
      </c>
      <c r="F343" s="38" t="s">
        <v>2361</v>
      </c>
      <c r="G343" s="45">
        <v>43400</v>
      </c>
      <c r="H343" s="45">
        <v>434</v>
      </c>
    </row>
    <row r="344" spans="1:8">
      <c r="A344" s="78">
        <v>128221923389</v>
      </c>
      <c r="B344" s="1" t="s">
        <v>8</v>
      </c>
      <c r="C344" s="44" t="s">
        <v>2101</v>
      </c>
      <c r="D344" s="1" t="s">
        <v>2360</v>
      </c>
      <c r="E344" s="44" t="s">
        <v>2118</v>
      </c>
      <c r="F344" s="38" t="s">
        <v>2361</v>
      </c>
      <c r="G344" s="45">
        <v>50500</v>
      </c>
      <c r="H344" s="45">
        <v>505</v>
      </c>
    </row>
    <row r="345" spans="1:8">
      <c r="A345" s="78">
        <v>129185058794</v>
      </c>
      <c r="B345" s="1" t="s">
        <v>8</v>
      </c>
      <c r="C345" s="44" t="s">
        <v>2123</v>
      </c>
      <c r="D345" s="1" t="s">
        <v>2360</v>
      </c>
      <c r="E345" s="44" t="s">
        <v>2123</v>
      </c>
      <c r="F345" s="38" t="s">
        <v>2361</v>
      </c>
      <c r="G345" s="45">
        <v>13800</v>
      </c>
      <c r="H345" s="45">
        <v>138</v>
      </c>
    </row>
    <row r="346" spans="1:8">
      <c r="A346" s="78">
        <v>129187574742</v>
      </c>
      <c r="B346" s="1" t="s">
        <v>2055</v>
      </c>
      <c r="C346" s="44" t="s">
        <v>2123</v>
      </c>
      <c r="D346" s="1" t="s">
        <v>2360</v>
      </c>
      <c r="E346" s="44" t="s">
        <v>2123</v>
      </c>
      <c r="F346" s="38" t="s">
        <v>2361</v>
      </c>
      <c r="G346" s="45">
        <v>16800</v>
      </c>
      <c r="H346" s="45">
        <v>168</v>
      </c>
    </row>
    <row r="347" spans="1:8">
      <c r="A347" s="78">
        <v>129181979010</v>
      </c>
      <c r="B347" s="1" t="s">
        <v>2055</v>
      </c>
      <c r="C347" s="44" t="s">
        <v>2123</v>
      </c>
      <c r="D347" s="1" t="s">
        <v>2360</v>
      </c>
      <c r="E347" s="44" t="s">
        <v>2123</v>
      </c>
      <c r="F347" s="38" t="s">
        <v>2361</v>
      </c>
      <c r="G347" s="45">
        <v>4800</v>
      </c>
      <c r="H347" s="45">
        <v>48</v>
      </c>
    </row>
    <row r="348" spans="1:8">
      <c r="A348" s="78">
        <v>129195133392</v>
      </c>
      <c r="B348" s="1" t="s">
        <v>8</v>
      </c>
      <c r="C348" s="44" t="s">
        <v>2123</v>
      </c>
      <c r="D348" s="1" t="s">
        <v>2360</v>
      </c>
      <c r="E348" s="44" t="s">
        <v>2123</v>
      </c>
      <c r="F348" s="38" t="s">
        <v>2361</v>
      </c>
      <c r="G348" s="45">
        <v>6000</v>
      </c>
      <c r="H348" s="45">
        <v>60</v>
      </c>
    </row>
    <row r="349" spans="1:8">
      <c r="A349" s="78">
        <v>128624814139</v>
      </c>
      <c r="B349" s="1" t="s">
        <v>8</v>
      </c>
      <c r="C349" s="44" t="s">
        <v>2123</v>
      </c>
      <c r="D349" s="1" t="s">
        <v>2360</v>
      </c>
      <c r="E349" s="44" t="s">
        <v>2123</v>
      </c>
      <c r="F349" s="38" t="s">
        <v>2361</v>
      </c>
      <c r="G349" s="45">
        <v>3000</v>
      </c>
      <c r="H349" s="45">
        <v>30</v>
      </c>
    </row>
    <row r="350" spans="1:8">
      <c r="A350" s="78">
        <v>128628824137</v>
      </c>
      <c r="B350" s="1" t="s">
        <v>8</v>
      </c>
      <c r="C350" s="44" t="s">
        <v>2123</v>
      </c>
      <c r="D350" s="1" t="s">
        <v>2360</v>
      </c>
      <c r="E350" s="44" t="s">
        <v>2123</v>
      </c>
      <c r="F350" s="38" t="s">
        <v>2361</v>
      </c>
      <c r="G350" s="45">
        <v>4800</v>
      </c>
      <c r="H350" s="45">
        <v>48</v>
      </c>
    </row>
    <row r="351" spans="1:8">
      <c r="A351" s="78">
        <v>129201225626</v>
      </c>
      <c r="B351" s="1" t="s">
        <v>8</v>
      </c>
      <c r="C351" s="44" t="s">
        <v>2123</v>
      </c>
      <c r="D351" s="1" t="s">
        <v>2360</v>
      </c>
      <c r="E351" s="44" t="s">
        <v>2123</v>
      </c>
      <c r="F351" s="38" t="s">
        <v>2361</v>
      </c>
      <c r="G351" s="45">
        <v>10000</v>
      </c>
      <c r="H351" s="45">
        <v>100</v>
      </c>
    </row>
    <row r="352" spans="1:8">
      <c r="A352" s="78">
        <v>129203149610</v>
      </c>
      <c r="B352" s="1" t="s">
        <v>2055</v>
      </c>
      <c r="C352" s="44" t="s">
        <v>2123</v>
      </c>
      <c r="D352" s="1" t="s">
        <v>2360</v>
      </c>
      <c r="E352" s="44" t="s">
        <v>2123</v>
      </c>
      <c r="F352" s="38" t="s">
        <v>2361</v>
      </c>
      <c r="G352" s="45">
        <v>9600</v>
      </c>
      <c r="H352" s="45">
        <v>96</v>
      </c>
    </row>
    <row r="353" spans="1:8">
      <c r="A353" s="78">
        <v>128623220757</v>
      </c>
      <c r="B353" s="1" t="s">
        <v>2055</v>
      </c>
      <c r="C353" s="44" t="s">
        <v>2123</v>
      </c>
      <c r="D353" s="1" t="s">
        <v>2360</v>
      </c>
      <c r="E353" s="44" t="s">
        <v>2123</v>
      </c>
      <c r="F353" s="38" t="s">
        <v>2361</v>
      </c>
      <c r="G353" s="45">
        <v>6000</v>
      </c>
      <c r="H353" s="45">
        <v>60</v>
      </c>
    </row>
    <row r="354" spans="1:8">
      <c r="A354" s="78">
        <v>129194128550</v>
      </c>
      <c r="B354" s="1" t="s">
        <v>8</v>
      </c>
      <c r="C354" s="44" t="s">
        <v>2123</v>
      </c>
      <c r="D354" s="1" t="s">
        <v>2360</v>
      </c>
      <c r="E354" s="44" t="s">
        <v>2123</v>
      </c>
      <c r="F354" s="38" t="s">
        <v>2361</v>
      </c>
      <c r="G354" s="45">
        <v>3000</v>
      </c>
      <c r="H354" s="45">
        <v>30</v>
      </c>
    </row>
    <row r="355" spans="1:8">
      <c r="A355" s="78">
        <v>129204840076</v>
      </c>
      <c r="B355" s="1" t="s">
        <v>2055</v>
      </c>
      <c r="C355" s="44" t="s">
        <v>2123</v>
      </c>
      <c r="D355" s="1" t="s">
        <v>2360</v>
      </c>
      <c r="E355" s="44" t="s">
        <v>2123</v>
      </c>
      <c r="F355" s="38" t="s">
        <v>2361</v>
      </c>
      <c r="G355" s="45">
        <v>4800</v>
      </c>
      <c r="H355" s="45">
        <v>48</v>
      </c>
    </row>
    <row r="356" spans="1:8">
      <c r="A356" s="78">
        <v>129205482260</v>
      </c>
      <c r="B356" s="1" t="s">
        <v>2055</v>
      </c>
      <c r="C356" s="44" t="s">
        <v>2123</v>
      </c>
      <c r="D356" s="1" t="s">
        <v>2360</v>
      </c>
      <c r="E356" s="44" t="s">
        <v>2123</v>
      </c>
      <c r="F356" s="38" t="s">
        <v>2361</v>
      </c>
      <c r="G356" s="45">
        <v>28300</v>
      </c>
      <c r="H356" s="45">
        <v>283</v>
      </c>
    </row>
    <row r="357" spans="1:8">
      <c r="A357" s="78">
        <v>129197916964</v>
      </c>
      <c r="B357" s="1" t="s">
        <v>2055</v>
      </c>
      <c r="C357" s="44" t="s">
        <v>2123</v>
      </c>
      <c r="D357" s="1" t="s">
        <v>2360</v>
      </c>
      <c r="E357" s="44" t="s">
        <v>2123</v>
      </c>
      <c r="F357" s="38" t="s">
        <v>2361</v>
      </c>
      <c r="G357" s="45">
        <v>6000</v>
      </c>
      <c r="H357" s="45">
        <v>60</v>
      </c>
    </row>
    <row r="358" spans="1:8">
      <c r="A358" s="78">
        <v>128636419289</v>
      </c>
      <c r="B358" s="1" t="s">
        <v>8</v>
      </c>
      <c r="C358" s="44" t="s">
        <v>2123</v>
      </c>
      <c r="D358" s="1" t="s">
        <v>2360</v>
      </c>
      <c r="E358" s="44" t="s">
        <v>2123</v>
      </c>
      <c r="F358" s="38" t="s">
        <v>2361</v>
      </c>
      <c r="G358" s="45">
        <v>3800</v>
      </c>
      <c r="H358" s="45">
        <v>38</v>
      </c>
    </row>
    <row r="359" spans="1:8">
      <c r="A359" s="78">
        <v>128636662801</v>
      </c>
      <c r="B359" s="1" t="s">
        <v>2055</v>
      </c>
      <c r="C359" s="44" t="s">
        <v>2123</v>
      </c>
      <c r="D359" s="1" t="s">
        <v>2360</v>
      </c>
      <c r="E359" s="44" t="s">
        <v>2123</v>
      </c>
      <c r="F359" s="38" t="s">
        <v>2361</v>
      </c>
      <c r="G359" s="45">
        <v>32098</v>
      </c>
      <c r="H359" s="45">
        <v>320.98</v>
      </c>
    </row>
    <row r="360" spans="1:8">
      <c r="A360" s="78">
        <v>128637622361</v>
      </c>
      <c r="B360" s="1" t="s">
        <v>8</v>
      </c>
      <c r="C360" s="44" t="s">
        <v>2123</v>
      </c>
      <c r="D360" s="1" t="s">
        <v>2360</v>
      </c>
      <c r="E360" s="44" t="s">
        <v>2123</v>
      </c>
      <c r="F360" s="38" t="s">
        <v>2361</v>
      </c>
      <c r="G360" s="45">
        <v>35699</v>
      </c>
      <c r="H360" s="45">
        <v>356.99</v>
      </c>
    </row>
    <row r="361" spans="1:8">
      <c r="A361" s="78">
        <v>128628953665</v>
      </c>
      <c r="B361" s="1" t="s">
        <v>8</v>
      </c>
      <c r="C361" s="44" t="s">
        <v>2123</v>
      </c>
      <c r="D361" s="1" t="s">
        <v>2360</v>
      </c>
      <c r="E361" s="44" t="s">
        <v>2123</v>
      </c>
      <c r="F361" s="38" t="s">
        <v>2361</v>
      </c>
      <c r="G361" s="45">
        <v>3000</v>
      </c>
      <c r="H361" s="45">
        <v>30</v>
      </c>
    </row>
    <row r="362" spans="1:8">
      <c r="A362" s="78">
        <v>129201065142</v>
      </c>
      <c r="B362" s="1" t="s">
        <v>2055</v>
      </c>
      <c r="C362" s="44" t="s">
        <v>2123</v>
      </c>
      <c r="D362" s="1" t="s">
        <v>2360</v>
      </c>
      <c r="E362" s="44" t="s">
        <v>2123</v>
      </c>
      <c r="F362" s="38" t="s">
        <v>2361</v>
      </c>
      <c r="G362" s="45">
        <v>29500</v>
      </c>
      <c r="H362" s="45">
        <v>295</v>
      </c>
    </row>
    <row r="363" spans="1:8">
      <c r="A363" s="78">
        <v>128639452327</v>
      </c>
      <c r="B363" s="1" t="s">
        <v>8</v>
      </c>
      <c r="C363" s="44" t="s">
        <v>2123</v>
      </c>
      <c r="D363" s="1" t="s">
        <v>2360</v>
      </c>
      <c r="E363" s="44" t="s">
        <v>2123</v>
      </c>
      <c r="F363" s="38" t="s">
        <v>2361</v>
      </c>
      <c r="G363" s="45">
        <v>112395</v>
      </c>
      <c r="H363" s="45">
        <v>1123.95</v>
      </c>
    </row>
    <row r="364" spans="1:8">
      <c r="A364" s="78">
        <v>128630753069</v>
      </c>
      <c r="B364" s="1" t="s">
        <v>8</v>
      </c>
      <c r="C364" s="44" t="s">
        <v>2123</v>
      </c>
      <c r="D364" s="1" t="s">
        <v>2360</v>
      </c>
      <c r="E364" s="44" t="s">
        <v>2123</v>
      </c>
      <c r="F364" s="38" t="s">
        <v>2361</v>
      </c>
      <c r="G364" s="45">
        <v>39400</v>
      </c>
      <c r="H364" s="45">
        <v>394</v>
      </c>
    </row>
    <row r="365" spans="1:8">
      <c r="A365" s="78">
        <v>128631028957</v>
      </c>
      <c r="B365" s="1" t="s">
        <v>2055</v>
      </c>
      <c r="C365" s="44" t="s">
        <v>2123</v>
      </c>
      <c r="D365" s="1" t="s">
        <v>2360</v>
      </c>
      <c r="E365" s="44" t="s">
        <v>2123</v>
      </c>
      <c r="F365" s="38" t="s">
        <v>2361</v>
      </c>
      <c r="G365" s="45">
        <v>25900</v>
      </c>
      <c r="H365" s="45">
        <v>259</v>
      </c>
    </row>
    <row r="366" spans="1:8">
      <c r="A366" s="78">
        <v>128639945425</v>
      </c>
      <c r="B366" s="1" t="s">
        <v>8</v>
      </c>
      <c r="C366" s="44" t="s">
        <v>2123</v>
      </c>
      <c r="D366" s="1" t="s">
        <v>2360</v>
      </c>
      <c r="E366" s="44" t="s">
        <v>2123</v>
      </c>
      <c r="F366" s="38" t="s">
        <v>2361</v>
      </c>
      <c r="G366" s="45">
        <v>31998</v>
      </c>
      <c r="H366" s="45">
        <v>319.98</v>
      </c>
    </row>
    <row r="367" spans="1:8">
      <c r="A367" s="78">
        <v>129201952360</v>
      </c>
      <c r="B367" s="1" t="s">
        <v>8</v>
      </c>
      <c r="C367" s="44" t="s">
        <v>2123</v>
      </c>
      <c r="D367" s="1" t="s">
        <v>2360</v>
      </c>
      <c r="E367" s="44" t="s">
        <v>2123</v>
      </c>
      <c r="F367" s="38" t="s">
        <v>2361</v>
      </c>
      <c r="G367" s="45">
        <v>3800</v>
      </c>
      <c r="H367" s="45">
        <v>38</v>
      </c>
    </row>
    <row r="368" spans="1:8">
      <c r="A368" s="78">
        <v>128631398585</v>
      </c>
      <c r="B368" s="1" t="s">
        <v>8</v>
      </c>
      <c r="C368" s="44" t="s">
        <v>2123</v>
      </c>
      <c r="D368" s="1" t="s">
        <v>2360</v>
      </c>
      <c r="E368" s="44" t="s">
        <v>2123</v>
      </c>
      <c r="F368" s="38" t="s">
        <v>2361</v>
      </c>
      <c r="G368" s="45">
        <v>9600</v>
      </c>
      <c r="H368" s="45">
        <v>96</v>
      </c>
    </row>
    <row r="369" spans="1:8">
      <c r="A369" s="78">
        <v>128640132077</v>
      </c>
      <c r="B369" s="1" t="s">
        <v>8</v>
      </c>
      <c r="C369" s="44" t="s">
        <v>2123</v>
      </c>
      <c r="D369" s="1" t="s">
        <v>2360</v>
      </c>
      <c r="E369" s="44" t="s">
        <v>2123</v>
      </c>
      <c r="F369" s="38" t="s">
        <v>2361</v>
      </c>
      <c r="G369" s="45">
        <v>24800</v>
      </c>
      <c r="H369" s="45">
        <v>248</v>
      </c>
    </row>
    <row r="370" spans="1:8">
      <c r="A370" s="78">
        <v>128640479035</v>
      </c>
      <c r="B370" s="1" t="s">
        <v>8</v>
      </c>
      <c r="C370" s="44" t="s">
        <v>2123</v>
      </c>
      <c r="D370" s="1" t="s">
        <v>2360</v>
      </c>
      <c r="E370" s="44" t="s">
        <v>2123</v>
      </c>
      <c r="F370" s="38" t="s">
        <v>2361</v>
      </c>
      <c r="G370" s="45">
        <v>37199</v>
      </c>
      <c r="H370" s="45">
        <v>371.99</v>
      </c>
    </row>
    <row r="371" spans="1:8">
      <c r="A371" s="78">
        <v>128632421311</v>
      </c>
      <c r="B371" s="1" t="s">
        <v>2055</v>
      </c>
      <c r="C371" s="44" t="s">
        <v>2123</v>
      </c>
      <c r="D371" s="1" t="s">
        <v>2360</v>
      </c>
      <c r="E371" s="44" t="s">
        <v>2123</v>
      </c>
      <c r="F371" s="38" t="s">
        <v>2361</v>
      </c>
      <c r="G371" s="45">
        <v>3800</v>
      </c>
      <c r="H371" s="45">
        <v>38</v>
      </c>
    </row>
    <row r="372" spans="1:8">
      <c r="A372" s="78">
        <v>128641318431</v>
      </c>
      <c r="B372" s="1" t="s">
        <v>8</v>
      </c>
      <c r="C372" s="44" t="s">
        <v>2123</v>
      </c>
      <c r="D372" s="1" t="s">
        <v>2360</v>
      </c>
      <c r="E372" s="44" t="s">
        <v>2123</v>
      </c>
      <c r="F372" s="38" t="s">
        <v>2361</v>
      </c>
      <c r="G372" s="45">
        <v>25900</v>
      </c>
      <c r="H372" s="45">
        <v>259</v>
      </c>
    </row>
    <row r="373" spans="1:8">
      <c r="A373" s="78">
        <v>129205192540</v>
      </c>
      <c r="B373" s="1" t="s">
        <v>8</v>
      </c>
      <c r="C373" s="44" t="s">
        <v>2123</v>
      </c>
      <c r="D373" s="1" t="s">
        <v>2360</v>
      </c>
      <c r="E373" s="44" t="s">
        <v>2123</v>
      </c>
      <c r="F373" s="38" t="s">
        <v>2361</v>
      </c>
      <c r="G373" s="45">
        <v>28000</v>
      </c>
      <c r="H373" s="45">
        <v>280</v>
      </c>
    </row>
    <row r="374" spans="1:8">
      <c r="A374" s="78">
        <v>129205653322</v>
      </c>
      <c r="B374" s="1" t="s">
        <v>8</v>
      </c>
      <c r="C374" s="44" t="s">
        <v>2123</v>
      </c>
      <c r="D374" s="1" t="s">
        <v>2360</v>
      </c>
      <c r="E374" s="44" t="s">
        <v>2123</v>
      </c>
      <c r="F374" s="38" t="s">
        <v>2361</v>
      </c>
      <c r="G374" s="45">
        <v>5800</v>
      </c>
      <c r="H374" s="45">
        <v>58</v>
      </c>
    </row>
    <row r="375" spans="1:8">
      <c r="A375" s="78">
        <v>128643965667</v>
      </c>
      <c r="B375" s="1" t="s">
        <v>8</v>
      </c>
      <c r="C375" s="44" t="s">
        <v>2123</v>
      </c>
      <c r="D375" s="1" t="s">
        <v>2360</v>
      </c>
      <c r="E375" s="44" t="s">
        <v>2123</v>
      </c>
      <c r="F375" s="38" t="s">
        <v>2361</v>
      </c>
      <c r="G375" s="45">
        <v>57100</v>
      </c>
      <c r="H375" s="45">
        <v>571</v>
      </c>
    </row>
    <row r="376" spans="1:8">
      <c r="A376" s="78">
        <v>129214866634</v>
      </c>
      <c r="B376" s="1" t="s">
        <v>8</v>
      </c>
      <c r="C376" s="44" t="s">
        <v>2123</v>
      </c>
      <c r="D376" s="1" t="s">
        <v>2360</v>
      </c>
      <c r="E376" s="44" t="s">
        <v>2123</v>
      </c>
      <c r="F376" s="38" t="s">
        <v>2361</v>
      </c>
      <c r="G376" s="45">
        <v>64894</v>
      </c>
      <c r="H376" s="45">
        <v>648.94000000000005</v>
      </c>
    </row>
    <row r="377" spans="1:8">
      <c r="A377" s="78">
        <v>128644890325</v>
      </c>
      <c r="B377" s="1" t="s">
        <v>8</v>
      </c>
      <c r="C377" s="44" t="s">
        <v>2123</v>
      </c>
      <c r="D377" s="1" t="s">
        <v>2360</v>
      </c>
      <c r="E377" s="44" t="s">
        <v>2123</v>
      </c>
      <c r="F377" s="38" t="s">
        <v>2361</v>
      </c>
      <c r="G377" s="45">
        <v>48900</v>
      </c>
      <c r="H377" s="45">
        <v>489</v>
      </c>
    </row>
    <row r="378" spans="1:8">
      <c r="A378" s="78">
        <v>129215579718</v>
      </c>
      <c r="B378" s="1" t="s">
        <v>8</v>
      </c>
      <c r="C378" s="44" t="s">
        <v>2123</v>
      </c>
      <c r="D378" s="1" t="s">
        <v>2360</v>
      </c>
      <c r="E378" s="44" t="s">
        <v>2123</v>
      </c>
      <c r="F378" s="38" t="s">
        <v>2361</v>
      </c>
      <c r="G378" s="45">
        <v>39996</v>
      </c>
      <c r="H378" s="45">
        <v>399.96</v>
      </c>
    </row>
    <row r="379" spans="1:8">
      <c r="A379" s="78">
        <v>129208894410</v>
      </c>
      <c r="B379" s="1" t="s">
        <v>2055</v>
      </c>
      <c r="C379" s="44" t="s">
        <v>2123</v>
      </c>
      <c r="D379" s="1" t="s">
        <v>2360</v>
      </c>
      <c r="E379" s="44" t="s">
        <v>2123</v>
      </c>
      <c r="F379" s="38" t="s">
        <v>2361</v>
      </c>
      <c r="G379" s="45">
        <v>37100</v>
      </c>
      <c r="H379" s="45">
        <v>371</v>
      </c>
    </row>
    <row r="380" spans="1:8">
      <c r="A380" s="78">
        <v>129217652034</v>
      </c>
      <c r="B380" s="1" t="s">
        <v>8</v>
      </c>
      <c r="C380" s="44" t="s">
        <v>2123</v>
      </c>
      <c r="D380" s="1" t="s">
        <v>2360</v>
      </c>
      <c r="E380" s="44" t="s">
        <v>2131</v>
      </c>
      <c r="F380" s="38" t="s">
        <v>2361</v>
      </c>
      <c r="G380" s="45">
        <v>41600</v>
      </c>
      <c r="H380" s="45">
        <v>416</v>
      </c>
    </row>
    <row r="381" spans="1:8">
      <c r="A381" s="78">
        <v>129217833188</v>
      </c>
      <c r="B381" s="1" t="s">
        <v>8</v>
      </c>
      <c r="C381" s="44" t="s">
        <v>2123</v>
      </c>
      <c r="D381" s="1" t="s">
        <v>2360</v>
      </c>
      <c r="E381" s="44" t="s">
        <v>2131</v>
      </c>
      <c r="F381" s="38" t="s">
        <v>2361</v>
      </c>
      <c r="G381" s="45">
        <v>63198</v>
      </c>
      <c r="H381" s="45">
        <v>631.98</v>
      </c>
    </row>
    <row r="382" spans="1:8">
      <c r="A382" s="78">
        <v>128647665951</v>
      </c>
      <c r="B382" s="1" t="s">
        <v>2055</v>
      </c>
      <c r="C382" s="44" t="s">
        <v>2123</v>
      </c>
      <c r="D382" s="1" t="s">
        <v>2360</v>
      </c>
      <c r="E382" s="44" t="s">
        <v>2131</v>
      </c>
      <c r="F382" s="38" t="s">
        <v>2361</v>
      </c>
      <c r="G382" s="45">
        <v>19999</v>
      </c>
      <c r="H382" s="45">
        <v>199.99</v>
      </c>
    </row>
    <row r="383" spans="1:8">
      <c r="A383" s="78">
        <v>129211094160</v>
      </c>
      <c r="B383" s="1" t="s">
        <v>8</v>
      </c>
      <c r="C383" s="44" t="s">
        <v>2123</v>
      </c>
      <c r="D383" s="1" t="s">
        <v>2360</v>
      </c>
      <c r="E383" s="44" t="s">
        <v>2123</v>
      </c>
      <c r="F383" s="38" t="s">
        <v>2361</v>
      </c>
      <c r="G383" s="45">
        <v>42100</v>
      </c>
      <c r="H383" s="45">
        <v>421</v>
      </c>
    </row>
    <row r="384" spans="1:8">
      <c r="A384" s="78">
        <v>129211293332</v>
      </c>
      <c r="B384" s="1" t="s">
        <v>8</v>
      </c>
      <c r="C384" s="44" t="s">
        <v>2123</v>
      </c>
      <c r="D384" s="1" t="s">
        <v>2360</v>
      </c>
      <c r="E384" s="44" t="s">
        <v>2123</v>
      </c>
      <c r="F384" s="38" t="s">
        <v>2361</v>
      </c>
      <c r="G384" s="45">
        <v>18399</v>
      </c>
      <c r="H384" s="45">
        <v>183.99</v>
      </c>
    </row>
    <row r="385" spans="1:8">
      <c r="A385" s="78">
        <v>129211696806</v>
      </c>
      <c r="B385" s="1" t="s">
        <v>2055</v>
      </c>
      <c r="C385" s="44" t="s">
        <v>2123</v>
      </c>
      <c r="D385" s="1" t="s">
        <v>2360</v>
      </c>
      <c r="E385" s="44" t="s">
        <v>2123</v>
      </c>
      <c r="F385" s="38" t="s">
        <v>2361</v>
      </c>
      <c r="G385" s="45">
        <v>57200</v>
      </c>
      <c r="H385" s="45">
        <v>572</v>
      </c>
    </row>
    <row r="386" spans="1:8">
      <c r="A386" s="78">
        <v>128649386055</v>
      </c>
      <c r="B386" s="1" t="s">
        <v>8</v>
      </c>
      <c r="C386" s="44" t="s">
        <v>2131</v>
      </c>
      <c r="D386" s="1" t="s">
        <v>2360</v>
      </c>
      <c r="E386" s="44" t="s">
        <v>2131</v>
      </c>
      <c r="F386" s="38" t="s">
        <v>2361</v>
      </c>
      <c r="G386" s="45">
        <v>31100</v>
      </c>
      <c r="H386" s="45">
        <v>311</v>
      </c>
    </row>
    <row r="387" spans="1:8">
      <c r="A387" s="78">
        <v>129214442224</v>
      </c>
      <c r="B387" s="1" t="s">
        <v>2055</v>
      </c>
      <c r="C387" s="44" t="s">
        <v>2123</v>
      </c>
      <c r="D387" s="1" t="s">
        <v>2360</v>
      </c>
      <c r="E387" s="44" t="s">
        <v>2123</v>
      </c>
      <c r="F387" s="38" t="s">
        <v>2361</v>
      </c>
      <c r="G387" s="45">
        <v>79300</v>
      </c>
      <c r="H387" s="45">
        <v>793</v>
      </c>
    </row>
    <row r="388" spans="1:8">
      <c r="A388" s="78">
        <v>128644211883</v>
      </c>
      <c r="B388" s="1" t="s">
        <v>2055</v>
      </c>
      <c r="C388" s="44" t="s">
        <v>2123</v>
      </c>
      <c r="D388" s="1" t="s">
        <v>2360</v>
      </c>
      <c r="E388" s="44" t="s">
        <v>2123</v>
      </c>
      <c r="F388" s="38" t="s">
        <v>2361</v>
      </c>
      <c r="G388" s="45">
        <v>9600</v>
      </c>
      <c r="H388" s="45">
        <v>96</v>
      </c>
    </row>
    <row r="389" spans="1:8">
      <c r="A389" s="78">
        <v>128645459167</v>
      </c>
      <c r="B389" s="1" t="s">
        <v>8</v>
      </c>
      <c r="C389" s="44" t="s">
        <v>2123</v>
      </c>
      <c r="D389" s="1" t="s">
        <v>2360</v>
      </c>
      <c r="E389" s="44" t="s">
        <v>2131</v>
      </c>
      <c r="F389" s="38" t="s">
        <v>2361</v>
      </c>
      <c r="G389" s="45">
        <v>37797</v>
      </c>
      <c r="H389" s="45">
        <v>377.97</v>
      </c>
    </row>
    <row r="390" spans="1:8">
      <c r="A390" s="78">
        <v>129217039132</v>
      </c>
      <c r="B390" s="1" t="s">
        <v>8</v>
      </c>
      <c r="C390" s="44" t="s">
        <v>2123</v>
      </c>
      <c r="D390" s="1" t="s">
        <v>2360</v>
      </c>
      <c r="E390" s="44" t="s">
        <v>2131</v>
      </c>
      <c r="F390" s="38" t="s">
        <v>2361</v>
      </c>
      <c r="G390" s="45">
        <v>8200</v>
      </c>
      <c r="H390" s="45">
        <v>82</v>
      </c>
    </row>
    <row r="391" spans="1:8">
      <c r="A391" s="78">
        <v>129217612156</v>
      </c>
      <c r="B391" s="1" t="s">
        <v>8</v>
      </c>
      <c r="C391" s="44" t="s">
        <v>2123</v>
      </c>
      <c r="D391" s="1" t="s">
        <v>2360</v>
      </c>
      <c r="E391" s="44" t="s">
        <v>2131</v>
      </c>
      <c r="F391" s="38" t="s">
        <v>2361</v>
      </c>
      <c r="G391" s="45">
        <v>9600</v>
      </c>
      <c r="H391" s="45">
        <v>96</v>
      </c>
    </row>
    <row r="392" spans="1:8">
      <c r="A392" s="78">
        <v>128648656617</v>
      </c>
      <c r="B392" s="1" t="s">
        <v>8</v>
      </c>
      <c r="C392" s="44" t="s">
        <v>2131</v>
      </c>
      <c r="D392" s="1" t="s">
        <v>2360</v>
      </c>
      <c r="E392" s="44" t="s">
        <v>2131</v>
      </c>
      <c r="F392" s="38" t="s">
        <v>2361</v>
      </c>
      <c r="G392" s="45">
        <v>8600</v>
      </c>
      <c r="H392" s="45">
        <v>86</v>
      </c>
    </row>
    <row r="393" spans="1:8">
      <c r="A393" s="78">
        <v>128752625367</v>
      </c>
      <c r="B393" s="1" t="s">
        <v>8</v>
      </c>
      <c r="C393" s="44" t="s">
        <v>2131</v>
      </c>
      <c r="D393" s="1" t="s">
        <v>2360</v>
      </c>
      <c r="E393" s="44" t="s">
        <v>2131</v>
      </c>
      <c r="F393" s="38" t="s">
        <v>2361</v>
      </c>
      <c r="G393" s="45">
        <v>9800</v>
      </c>
      <c r="H393" s="45">
        <v>98</v>
      </c>
    </row>
    <row r="394" spans="1:8">
      <c r="A394" s="78">
        <v>129331762974</v>
      </c>
      <c r="B394" s="1" t="s">
        <v>8</v>
      </c>
      <c r="C394" s="44" t="s">
        <v>2131</v>
      </c>
      <c r="D394" s="1" t="s">
        <v>2360</v>
      </c>
      <c r="E394" s="44" t="s">
        <v>2131</v>
      </c>
      <c r="F394" s="38" t="s">
        <v>2361</v>
      </c>
      <c r="G394" s="45">
        <v>16400</v>
      </c>
      <c r="H394" s="45">
        <v>164</v>
      </c>
    </row>
    <row r="395" spans="1:8">
      <c r="A395" s="78">
        <v>129337187158</v>
      </c>
      <c r="B395" s="1" t="s">
        <v>8</v>
      </c>
      <c r="C395" s="44" t="s">
        <v>2131</v>
      </c>
      <c r="D395" s="1" t="s">
        <v>2360</v>
      </c>
      <c r="E395" s="44" t="s">
        <v>2131</v>
      </c>
      <c r="F395" s="38" t="s">
        <v>2361</v>
      </c>
      <c r="G395" s="45">
        <v>4800</v>
      </c>
      <c r="H395" s="45">
        <v>48</v>
      </c>
    </row>
    <row r="396" spans="1:8">
      <c r="A396" s="78">
        <v>128765691223</v>
      </c>
      <c r="B396" s="1" t="s">
        <v>8</v>
      </c>
      <c r="C396" s="44" t="s">
        <v>2131</v>
      </c>
      <c r="D396" s="1" t="s">
        <v>2360</v>
      </c>
      <c r="E396" s="44" t="s">
        <v>2131</v>
      </c>
      <c r="F396" s="38" t="s">
        <v>2361</v>
      </c>
      <c r="G396" s="45">
        <v>4500</v>
      </c>
      <c r="H396" s="45">
        <v>45</v>
      </c>
    </row>
    <row r="397" spans="1:8">
      <c r="A397" s="78">
        <v>129342704022</v>
      </c>
      <c r="B397" s="1" t="s">
        <v>2055</v>
      </c>
      <c r="C397" s="44" t="s">
        <v>2131</v>
      </c>
      <c r="D397" s="1" t="s">
        <v>2360</v>
      </c>
      <c r="E397" s="44" t="s">
        <v>2131</v>
      </c>
      <c r="F397" s="38" t="s">
        <v>2361</v>
      </c>
      <c r="G397" s="45">
        <v>11700</v>
      </c>
      <c r="H397" s="45">
        <v>117</v>
      </c>
    </row>
    <row r="398" spans="1:8">
      <c r="A398" s="78">
        <v>129342935088</v>
      </c>
      <c r="B398" s="1" t="s">
        <v>2055</v>
      </c>
      <c r="C398" s="44" t="s">
        <v>2131</v>
      </c>
      <c r="D398" s="1" t="s">
        <v>2360</v>
      </c>
      <c r="E398" s="44" t="s">
        <v>2131</v>
      </c>
      <c r="F398" s="38" t="s">
        <v>2361</v>
      </c>
      <c r="G398" s="45">
        <v>4800</v>
      </c>
      <c r="H398" s="45">
        <v>48</v>
      </c>
    </row>
    <row r="399" spans="1:8">
      <c r="A399" s="78">
        <v>128772013963</v>
      </c>
      <c r="B399" s="1" t="s">
        <v>8</v>
      </c>
      <c r="C399" s="44" t="s">
        <v>2131</v>
      </c>
      <c r="D399" s="1" t="s">
        <v>2360</v>
      </c>
      <c r="E399" s="44" t="s">
        <v>2131</v>
      </c>
      <c r="F399" s="38" t="s">
        <v>2361</v>
      </c>
      <c r="G399" s="45">
        <v>4800</v>
      </c>
      <c r="H399" s="45">
        <v>48</v>
      </c>
    </row>
    <row r="400" spans="1:8">
      <c r="A400" s="78">
        <v>128774751883</v>
      </c>
      <c r="B400" s="1" t="s">
        <v>8</v>
      </c>
      <c r="C400" s="44" t="s">
        <v>2131</v>
      </c>
      <c r="D400" s="1" t="s">
        <v>2360</v>
      </c>
      <c r="E400" s="44" t="s">
        <v>2131</v>
      </c>
      <c r="F400" s="38" t="s">
        <v>2361</v>
      </c>
      <c r="G400" s="45">
        <v>4800</v>
      </c>
      <c r="H400" s="45">
        <v>48</v>
      </c>
    </row>
    <row r="401" spans="1:8">
      <c r="A401" s="78">
        <v>128775151897</v>
      </c>
      <c r="B401" s="1" t="s">
        <v>8</v>
      </c>
      <c r="C401" s="44" t="s">
        <v>2131</v>
      </c>
      <c r="D401" s="1" t="s">
        <v>2360</v>
      </c>
      <c r="E401" s="44" t="s">
        <v>2131</v>
      </c>
      <c r="F401" s="38" t="s">
        <v>2361</v>
      </c>
      <c r="G401" s="45">
        <v>4800</v>
      </c>
      <c r="H401" s="45">
        <v>48</v>
      </c>
    </row>
    <row r="402" spans="1:8">
      <c r="A402" s="78">
        <v>128775704947</v>
      </c>
      <c r="B402" s="1" t="s">
        <v>8</v>
      </c>
      <c r="C402" s="44" t="s">
        <v>2131</v>
      </c>
      <c r="D402" s="1" t="s">
        <v>2360</v>
      </c>
      <c r="E402" s="44" t="s">
        <v>2131</v>
      </c>
      <c r="F402" s="38" t="s">
        <v>2361</v>
      </c>
      <c r="G402" s="45">
        <v>55400</v>
      </c>
      <c r="H402" s="45">
        <v>554</v>
      </c>
    </row>
    <row r="403" spans="1:8">
      <c r="A403" s="78">
        <v>129348090922</v>
      </c>
      <c r="B403" s="1" t="s">
        <v>8</v>
      </c>
      <c r="C403" s="44" t="s">
        <v>2131</v>
      </c>
      <c r="D403" s="1" t="s">
        <v>2360</v>
      </c>
      <c r="E403" s="44" t="s">
        <v>2131</v>
      </c>
      <c r="F403" s="38" t="s">
        <v>2361</v>
      </c>
      <c r="G403" s="45">
        <v>4200</v>
      </c>
      <c r="H403" s="45">
        <v>42</v>
      </c>
    </row>
    <row r="404" spans="1:8">
      <c r="A404" s="78">
        <v>128776692003</v>
      </c>
      <c r="B404" s="1" t="s">
        <v>8</v>
      </c>
      <c r="C404" s="44" t="s">
        <v>2131</v>
      </c>
      <c r="D404" s="1" t="s">
        <v>2360</v>
      </c>
      <c r="E404" s="44" t="s">
        <v>2131</v>
      </c>
      <c r="F404" s="38" t="s">
        <v>2361</v>
      </c>
      <c r="G404" s="45">
        <v>4500</v>
      </c>
      <c r="H404" s="45">
        <v>45</v>
      </c>
    </row>
    <row r="405" spans="1:8">
      <c r="A405" s="78">
        <v>128778387735</v>
      </c>
      <c r="B405" s="1" t="s">
        <v>8</v>
      </c>
      <c r="C405" s="44" t="s">
        <v>2131</v>
      </c>
      <c r="D405" s="1" t="s">
        <v>2360</v>
      </c>
      <c r="E405" s="44" t="s">
        <v>2131</v>
      </c>
      <c r="F405" s="38" t="s">
        <v>2361</v>
      </c>
      <c r="G405" s="45">
        <v>5300</v>
      </c>
      <c r="H405" s="45">
        <v>53</v>
      </c>
    </row>
    <row r="406" spans="1:8">
      <c r="A406" s="78">
        <v>128769499515</v>
      </c>
      <c r="B406" s="1" t="s">
        <v>8</v>
      </c>
      <c r="C406" s="44" t="s">
        <v>2131</v>
      </c>
      <c r="D406" s="1" t="s">
        <v>2360</v>
      </c>
      <c r="E406" s="44" t="s">
        <v>2131</v>
      </c>
      <c r="F406" s="38" t="s">
        <v>2361</v>
      </c>
      <c r="G406" s="45">
        <v>10800</v>
      </c>
      <c r="H406" s="45">
        <v>108</v>
      </c>
    </row>
    <row r="407" spans="1:8">
      <c r="A407" s="78">
        <v>129351342590</v>
      </c>
      <c r="B407" s="1" t="s">
        <v>8</v>
      </c>
      <c r="C407" s="44" t="s">
        <v>2131</v>
      </c>
      <c r="D407" s="1" t="s">
        <v>2360</v>
      </c>
      <c r="E407" s="44" t="s">
        <v>2131</v>
      </c>
      <c r="F407" s="38" t="s">
        <v>2361</v>
      </c>
      <c r="G407" s="45">
        <v>4800</v>
      </c>
      <c r="H407" s="45">
        <v>48</v>
      </c>
    </row>
    <row r="408" spans="1:8">
      <c r="A408" s="78">
        <v>129351319166</v>
      </c>
      <c r="B408" s="1" t="s">
        <v>8</v>
      </c>
      <c r="C408" s="44" t="s">
        <v>2131</v>
      </c>
      <c r="D408" s="1" t="s">
        <v>2360</v>
      </c>
      <c r="E408" s="44" t="s">
        <v>2131</v>
      </c>
      <c r="F408" s="38" t="s">
        <v>2361</v>
      </c>
      <c r="G408" s="45">
        <v>2000</v>
      </c>
      <c r="H408" s="45">
        <v>20</v>
      </c>
    </row>
    <row r="409" spans="1:8">
      <c r="A409" s="78">
        <v>129351544106</v>
      </c>
      <c r="B409" s="1" t="s">
        <v>8</v>
      </c>
      <c r="C409" s="44" t="s">
        <v>2131</v>
      </c>
      <c r="D409" s="1" t="s">
        <v>2360</v>
      </c>
      <c r="E409" s="44" t="s">
        <v>2131</v>
      </c>
      <c r="F409" s="38" t="s">
        <v>2361</v>
      </c>
      <c r="G409" s="45">
        <v>7900</v>
      </c>
      <c r="H409" s="45">
        <v>79</v>
      </c>
    </row>
    <row r="410" spans="1:8">
      <c r="A410" s="78">
        <v>128779755299</v>
      </c>
      <c r="B410" s="1" t="s">
        <v>2055</v>
      </c>
      <c r="C410" s="44" t="s">
        <v>2131</v>
      </c>
      <c r="D410" s="1" t="s">
        <v>2360</v>
      </c>
      <c r="E410" s="44" t="s">
        <v>2131</v>
      </c>
      <c r="F410" s="38" t="s">
        <v>2361</v>
      </c>
      <c r="G410" s="45">
        <v>32000</v>
      </c>
      <c r="H410" s="45">
        <v>320</v>
      </c>
    </row>
    <row r="411" spans="1:8">
      <c r="A411" s="78">
        <v>129342703028</v>
      </c>
      <c r="B411" s="1" t="s">
        <v>2055</v>
      </c>
      <c r="C411" s="44" t="s">
        <v>2131</v>
      </c>
      <c r="D411" s="1" t="s">
        <v>2360</v>
      </c>
      <c r="E411" s="44" t="s">
        <v>2131</v>
      </c>
      <c r="F411" s="38" t="s">
        <v>2361</v>
      </c>
      <c r="G411" s="45">
        <v>38000</v>
      </c>
      <c r="H411" s="45">
        <v>380</v>
      </c>
    </row>
    <row r="412" spans="1:8">
      <c r="A412" s="78">
        <v>128771413605</v>
      </c>
      <c r="B412" s="1" t="s">
        <v>8</v>
      </c>
      <c r="C412" s="44" t="s">
        <v>2131</v>
      </c>
      <c r="D412" s="1" t="s">
        <v>2360</v>
      </c>
      <c r="E412" s="44" t="s">
        <v>2131</v>
      </c>
      <c r="F412" s="38" t="s">
        <v>2361</v>
      </c>
      <c r="G412" s="45">
        <v>28800</v>
      </c>
      <c r="H412" s="45">
        <v>288</v>
      </c>
    </row>
    <row r="413" spans="1:8">
      <c r="A413" s="78">
        <v>129352179438</v>
      </c>
      <c r="B413" s="1" t="s">
        <v>2055</v>
      </c>
      <c r="C413" s="44" t="s">
        <v>2131</v>
      </c>
      <c r="D413" s="1" t="s">
        <v>2360</v>
      </c>
      <c r="E413" s="44" t="s">
        <v>2131</v>
      </c>
      <c r="F413" s="38" t="s">
        <v>2361</v>
      </c>
      <c r="G413" s="45">
        <v>14400</v>
      </c>
      <c r="H413" s="45">
        <v>144</v>
      </c>
    </row>
    <row r="414" spans="1:8">
      <c r="A414" s="78">
        <v>128771982633</v>
      </c>
      <c r="B414" s="1" t="s">
        <v>2055</v>
      </c>
      <c r="C414" s="44" t="s">
        <v>2131</v>
      </c>
      <c r="D414" s="1" t="s">
        <v>2360</v>
      </c>
      <c r="E414" s="44" t="s">
        <v>2131</v>
      </c>
      <c r="F414" s="38" t="s">
        <v>2361</v>
      </c>
      <c r="G414" s="45">
        <v>4800</v>
      </c>
      <c r="H414" s="45">
        <v>48</v>
      </c>
    </row>
    <row r="415" spans="1:8">
      <c r="A415" s="78">
        <v>128780927843</v>
      </c>
      <c r="B415" s="1" t="s">
        <v>8</v>
      </c>
      <c r="C415" s="44" t="s">
        <v>2131</v>
      </c>
      <c r="D415" s="1" t="s">
        <v>2360</v>
      </c>
      <c r="E415" s="44" t="s">
        <v>2131</v>
      </c>
      <c r="F415" s="38" t="s">
        <v>2361</v>
      </c>
      <c r="G415" s="45">
        <v>4800</v>
      </c>
      <c r="H415" s="45">
        <v>48</v>
      </c>
    </row>
    <row r="416" spans="1:8">
      <c r="A416" s="78">
        <v>129343775616</v>
      </c>
      <c r="B416" s="1" t="s">
        <v>8</v>
      </c>
      <c r="C416" s="44" t="s">
        <v>2131</v>
      </c>
      <c r="D416" s="1" t="s">
        <v>2360</v>
      </c>
      <c r="E416" s="44" t="s">
        <v>2131</v>
      </c>
      <c r="F416" s="38" t="s">
        <v>2361</v>
      </c>
      <c r="G416" s="45">
        <v>4200</v>
      </c>
      <c r="H416" s="45">
        <v>42</v>
      </c>
    </row>
    <row r="417" spans="1:8">
      <c r="A417" s="78">
        <v>128781810467</v>
      </c>
      <c r="B417" s="1" t="s">
        <v>8</v>
      </c>
      <c r="C417" s="44" t="s">
        <v>2131</v>
      </c>
      <c r="D417" s="1" t="s">
        <v>2360</v>
      </c>
      <c r="E417" s="44" t="s">
        <v>2131</v>
      </c>
      <c r="F417" s="38" t="s">
        <v>2361</v>
      </c>
      <c r="G417" s="45">
        <v>7200</v>
      </c>
      <c r="H417" s="45">
        <v>72</v>
      </c>
    </row>
    <row r="418" spans="1:8">
      <c r="A418" s="78">
        <v>128782418285</v>
      </c>
      <c r="B418" s="1" t="s">
        <v>8</v>
      </c>
      <c r="C418" s="44" t="s">
        <v>2131</v>
      </c>
      <c r="D418" s="1" t="s">
        <v>2360</v>
      </c>
      <c r="E418" s="44" t="s">
        <v>2131</v>
      </c>
      <c r="F418" s="38" t="s">
        <v>2361</v>
      </c>
      <c r="G418" s="45">
        <v>44600</v>
      </c>
      <c r="H418" s="45">
        <v>446</v>
      </c>
    </row>
    <row r="419" spans="1:8">
      <c r="A419" s="78">
        <v>128782524989</v>
      </c>
      <c r="B419" s="1" t="s">
        <v>8</v>
      </c>
      <c r="C419" s="44" t="s">
        <v>2131</v>
      </c>
      <c r="D419" s="1" t="s">
        <v>2360</v>
      </c>
      <c r="E419" s="44" t="s">
        <v>2131</v>
      </c>
      <c r="F419" s="38" t="s">
        <v>2361</v>
      </c>
      <c r="G419" s="45">
        <v>15900</v>
      </c>
      <c r="H419" s="45">
        <v>159</v>
      </c>
    </row>
    <row r="420" spans="1:8">
      <c r="A420" s="78">
        <v>128782949597</v>
      </c>
      <c r="B420" s="1" t="s">
        <v>2055</v>
      </c>
      <c r="C420" s="44" t="s">
        <v>2131</v>
      </c>
      <c r="D420" s="1" t="s">
        <v>2360</v>
      </c>
      <c r="E420" s="44" t="s">
        <v>2131</v>
      </c>
      <c r="F420" s="38" t="s">
        <v>2361</v>
      </c>
      <c r="G420" s="45">
        <v>43700</v>
      </c>
      <c r="H420" s="45">
        <v>437</v>
      </c>
    </row>
    <row r="421" spans="1:8">
      <c r="A421" s="78">
        <v>129354954934</v>
      </c>
      <c r="B421" s="1" t="s">
        <v>8</v>
      </c>
      <c r="C421" s="44" t="s">
        <v>2131</v>
      </c>
      <c r="D421" s="1" t="s">
        <v>2360</v>
      </c>
      <c r="E421" s="44" t="s">
        <v>2131</v>
      </c>
      <c r="F421" s="38" t="s">
        <v>2361</v>
      </c>
      <c r="G421" s="45">
        <v>9300</v>
      </c>
      <c r="H421" s="45">
        <v>93</v>
      </c>
    </row>
    <row r="422" spans="1:8">
      <c r="A422" s="78">
        <v>128774456603</v>
      </c>
      <c r="B422" s="1" t="s">
        <v>2055</v>
      </c>
      <c r="C422" s="44" t="s">
        <v>2131</v>
      </c>
      <c r="D422" s="1" t="s">
        <v>2360</v>
      </c>
      <c r="E422" s="44" t="s">
        <v>2131</v>
      </c>
      <c r="F422" s="38" t="s">
        <v>2361</v>
      </c>
      <c r="G422" s="45">
        <v>4800</v>
      </c>
      <c r="H422" s="45">
        <v>48</v>
      </c>
    </row>
    <row r="423" spans="1:8">
      <c r="A423" s="78">
        <v>129354903714</v>
      </c>
      <c r="B423" s="1" t="s">
        <v>8</v>
      </c>
      <c r="C423" s="44" t="s">
        <v>2131</v>
      </c>
      <c r="D423" s="1" t="s">
        <v>2360</v>
      </c>
      <c r="E423" s="44" t="s">
        <v>2131</v>
      </c>
      <c r="F423" s="38" t="s">
        <v>2361</v>
      </c>
      <c r="G423" s="45">
        <v>32400</v>
      </c>
      <c r="H423" s="45">
        <v>324</v>
      </c>
    </row>
    <row r="424" spans="1:8">
      <c r="A424" s="78">
        <v>128774562893</v>
      </c>
      <c r="B424" s="1" t="s">
        <v>2055</v>
      </c>
      <c r="C424" s="44" t="s">
        <v>2131</v>
      </c>
      <c r="D424" s="1" t="s">
        <v>2360</v>
      </c>
      <c r="E424" s="44" t="s">
        <v>2131</v>
      </c>
      <c r="F424" s="38" t="s">
        <v>2361</v>
      </c>
      <c r="G424" s="45">
        <v>4800</v>
      </c>
      <c r="H424" s="45">
        <v>48</v>
      </c>
    </row>
    <row r="425" spans="1:8">
      <c r="A425" s="78">
        <v>128784178315</v>
      </c>
      <c r="B425" s="1" t="s">
        <v>8</v>
      </c>
      <c r="C425" s="44" t="s">
        <v>2131</v>
      </c>
      <c r="D425" s="1" t="s">
        <v>2360</v>
      </c>
      <c r="E425" s="44" t="s">
        <v>2131</v>
      </c>
      <c r="F425" s="38" t="s">
        <v>2361</v>
      </c>
      <c r="G425" s="45">
        <v>33600</v>
      </c>
      <c r="H425" s="45">
        <v>336</v>
      </c>
    </row>
    <row r="426" spans="1:8">
      <c r="A426" s="78">
        <v>128775176401</v>
      </c>
      <c r="B426" s="1" t="s">
        <v>8</v>
      </c>
      <c r="C426" s="44" t="s">
        <v>2131</v>
      </c>
      <c r="D426" s="1" t="s">
        <v>2360</v>
      </c>
      <c r="E426" s="44" t="s">
        <v>2131</v>
      </c>
      <c r="F426" s="38" t="s">
        <v>2361</v>
      </c>
      <c r="G426" s="45">
        <v>4800</v>
      </c>
      <c r="H426" s="45">
        <v>48</v>
      </c>
    </row>
    <row r="427" spans="1:8">
      <c r="A427" s="78">
        <v>129347015590</v>
      </c>
      <c r="B427" s="1" t="s">
        <v>2055</v>
      </c>
      <c r="C427" s="44" t="s">
        <v>2131</v>
      </c>
      <c r="D427" s="1" t="s">
        <v>2360</v>
      </c>
      <c r="E427" s="44" t="s">
        <v>2131</v>
      </c>
      <c r="F427" s="38" t="s">
        <v>2361</v>
      </c>
      <c r="G427" s="45">
        <v>28900</v>
      </c>
      <c r="H427" s="45">
        <v>289</v>
      </c>
    </row>
    <row r="428" spans="1:8">
      <c r="A428" s="78">
        <v>128784830517</v>
      </c>
      <c r="B428" s="1" t="s">
        <v>8</v>
      </c>
      <c r="C428" s="44" t="s">
        <v>2131</v>
      </c>
      <c r="D428" s="1" t="s">
        <v>2360</v>
      </c>
      <c r="E428" s="44" t="s">
        <v>2131</v>
      </c>
      <c r="F428" s="38" t="s">
        <v>2361</v>
      </c>
      <c r="G428" s="45">
        <v>4800</v>
      </c>
      <c r="H428" s="45">
        <v>48</v>
      </c>
    </row>
    <row r="429" spans="1:8">
      <c r="A429" s="78">
        <v>129347413210</v>
      </c>
      <c r="B429" s="1" t="s">
        <v>8</v>
      </c>
      <c r="C429" s="44" t="s">
        <v>2131</v>
      </c>
      <c r="D429" s="1" t="s">
        <v>2360</v>
      </c>
      <c r="E429" s="44" t="s">
        <v>2131</v>
      </c>
      <c r="F429" s="38" t="s">
        <v>2361</v>
      </c>
      <c r="G429" s="45">
        <v>4000</v>
      </c>
      <c r="H429" s="45">
        <v>40</v>
      </c>
    </row>
    <row r="430" spans="1:8">
      <c r="A430" s="78">
        <v>128786337459</v>
      </c>
      <c r="B430" s="1" t="s">
        <v>2055</v>
      </c>
      <c r="C430" s="44" t="s">
        <v>2131</v>
      </c>
      <c r="D430" s="1" t="s">
        <v>2360</v>
      </c>
      <c r="E430" s="44" t="s">
        <v>2147</v>
      </c>
      <c r="F430" s="38" t="s">
        <v>2361</v>
      </c>
      <c r="G430" s="45">
        <v>76000</v>
      </c>
      <c r="H430" s="45">
        <v>760</v>
      </c>
    </row>
    <row r="431" spans="1:8">
      <c r="A431" s="78">
        <v>128786717157</v>
      </c>
      <c r="B431" s="1" t="s">
        <v>2055</v>
      </c>
      <c r="C431" s="44" t="s">
        <v>2131</v>
      </c>
      <c r="D431" s="1" t="s">
        <v>2360</v>
      </c>
      <c r="E431" s="44" t="s">
        <v>2147</v>
      </c>
      <c r="F431" s="38" t="s">
        <v>2361</v>
      </c>
      <c r="G431" s="45">
        <v>66200</v>
      </c>
      <c r="H431" s="45">
        <v>662</v>
      </c>
    </row>
    <row r="432" spans="1:8">
      <c r="A432" s="78">
        <v>128777868789</v>
      </c>
      <c r="B432" s="1" t="s">
        <v>8</v>
      </c>
      <c r="C432" s="44" t="s">
        <v>2131</v>
      </c>
      <c r="D432" s="1" t="s">
        <v>2360</v>
      </c>
      <c r="E432" s="44" t="s">
        <v>2131</v>
      </c>
      <c r="F432" s="38" t="s">
        <v>2361</v>
      </c>
      <c r="G432" s="45">
        <v>2400</v>
      </c>
      <c r="H432" s="45">
        <v>24</v>
      </c>
    </row>
    <row r="433" spans="1:8">
      <c r="A433" s="78">
        <v>129358822738</v>
      </c>
      <c r="B433" s="1" t="s">
        <v>2055</v>
      </c>
      <c r="C433" s="44" t="s">
        <v>2131</v>
      </c>
      <c r="D433" s="1" t="s">
        <v>2360</v>
      </c>
      <c r="E433" s="44" t="s">
        <v>2147</v>
      </c>
      <c r="F433" s="38" t="s">
        <v>2361</v>
      </c>
      <c r="G433" s="45">
        <v>131300</v>
      </c>
      <c r="H433" s="45">
        <v>1313</v>
      </c>
    </row>
    <row r="434" spans="1:8">
      <c r="A434" s="78">
        <v>129349865056</v>
      </c>
      <c r="B434" s="1" t="s">
        <v>8</v>
      </c>
      <c r="C434" s="44" t="s">
        <v>2131</v>
      </c>
      <c r="D434" s="1" t="s">
        <v>2360</v>
      </c>
      <c r="E434" s="44" t="s">
        <v>2131</v>
      </c>
      <c r="F434" s="38" t="s">
        <v>2361</v>
      </c>
      <c r="G434" s="45">
        <v>6000</v>
      </c>
      <c r="H434" s="45">
        <v>60</v>
      </c>
    </row>
    <row r="435" spans="1:8">
      <c r="A435" s="78">
        <v>129359324040</v>
      </c>
      <c r="B435" s="1" t="s">
        <v>8</v>
      </c>
      <c r="C435" s="44" t="s">
        <v>2131</v>
      </c>
      <c r="D435" s="1" t="s">
        <v>2360</v>
      </c>
      <c r="E435" s="44" t="s">
        <v>2147</v>
      </c>
      <c r="F435" s="38" t="s">
        <v>2361</v>
      </c>
      <c r="G435" s="45">
        <v>8000</v>
      </c>
      <c r="H435" s="45">
        <v>80</v>
      </c>
    </row>
    <row r="436" spans="1:8">
      <c r="A436" s="78">
        <v>128788061399</v>
      </c>
      <c r="B436" s="1" t="s">
        <v>2055</v>
      </c>
      <c r="C436" s="44" t="s">
        <v>2131</v>
      </c>
      <c r="D436" s="1" t="s">
        <v>2360</v>
      </c>
      <c r="E436" s="44" t="s">
        <v>2147</v>
      </c>
      <c r="F436" s="38" t="s">
        <v>2361</v>
      </c>
      <c r="G436" s="45">
        <v>14400</v>
      </c>
      <c r="H436" s="45">
        <v>144</v>
      </c>
    </row>
    <row r="437" spans="1:8">
      <c r="A437" s="78">
        <v>129360081230</v>
      </c>
      <c r="B437" s="1" t="s">
        <v>8</v>
      </c>
      <c r="C437" s="44" t="s">
        <v>2131</v>
      </c>
      <c r="D437" s="1" t="s">
        <v>2360</v>
      </c>
      <c r="E437" s="44" t="s">
        <v>2147</v>
      </c>
      <c r="F437" s="38" t="s">
        <v>2361</v>
      </c>
      <c r="G437" s="45">
        <v>13600</v>
      </c>
      <c r="H437" s="45">
        <v>136</v>
      </c>
    </row>
    <row r="438" spans="1:8">
      <c r="A438" s="78">
        <v>129360246626</v>
      </c>
      <c r="B438" s="1" t="s">
        <v>2055</v>
      </c>
      <c r="C438" s="44" t="s">
        <v>2131</v>
      </c>
      <c r="D438" s="1" t="s">
        <v>2360</v>
      </c>
      <c r="E438" s="44" t="s">
        <v>2147</v>
      </c>
      <c r="F438" s="38" t="s">
        <v>2361</v>
      </c>
      <c r="G438" s="45">
        <v>28000</v>
      </c>
      <c r="H438" s="45">
        <v>280</v>
      </c>
    </row>
    <row r="439" spans="1:8">
      <c r="A439" s="78">
        <v>128788563757</v>
      </c>
      <c r="B439" s="1" t="s">
        <v>2055</v>
      </c>
      <c r="C439" s="44" t="s">
        <v>2131</v>
      </c>
      <c r="D439" s="1" t="s">
        <v>2360</v>
      </c>
      <c r="E439" s="44" t="s">
        <v>2147</v>
      </c>
      <c r="F439" s="38" t="s">
        <v>2361</v>
      </c>
      <c r="G439" s="45">
        <v>4800</v>
      </c>
      <c r="H439" s="45">
        <v>48</v>
      </c>
    </row>
    <row r="440" spans="1:8">
      <c r="A440" s="78">
        <v>129351184458</v>
      </c>
      <c r="B440" s="1" t="s">
        <v>2055</v>
      </c>
      <c r="C440" s="44" t="s">
        <v>2131</v>
      </c>
      <c r="D440" s="1" t="s">
        <v>2360</v>
      </c>
      <c r="E440" s="44" t="s">
        <v>2131</v>
      </c>
      <c r="F440" s="38" t="s">
        <v>2361</v>
      </c>
      <c r="G440" s="45">
        <v>17900</v>
      </c>
      <c r="H440" s="45">
        <v>179</v>
      </c>
    </row>
    <row r="441" spans="1:8">
      <c r="A441" s="78">
        <v>128788905379</v>
      </c>
      <c r="B441" s="1" t="s">
        <v>8</v>
      </c>
      <c r="C441" s="44" t="s">
        <v>2131</v>
      </c>
      <c r="D441" s="1" t="s">
        <v>2360</v>
      </c>
      <c r="E441" s="44" t="s">
        <v>2147</v>
      </c>
      <c r="F441" s="38" t="s">
        <v>2361</v>
      </c>
      <c r="G441" s="45">
        <v>9600</v>
      </c>
      <c r="H441" s="45">
        <v>96</v>
      </c>
    </row>
    <row r="442" spans="1:8">
      <c r="A442" s="78">
        <v>128788985481</v>
      </c>
      <c r="B442" s="1" t="s">
        <v>8</v>
      </c>
      <c r="C442" s="44" t="s">
        <v>2131</v>
      </c>
      <c r="D442" s="1" t="s">
        <v>2360</v>
      </c>
      <c r="E442" s="44" t="s">
        <v>2147</v>
      </c>
      <c r="F442" s="38" t="s">
        <v>2361</v>
      </c>
      <c r="G442" s="45">
        <v>152200</v>
      </c>
      <c r="H442" s="45">
        <v>1522</v>
      </c>
    </row>
    <row r="443" spans="1:8">
      <c r="A443" s="78">
        <v>128779823515</v>
      </c>
      <c r="B443" s="1" t="s">
        <v>8</v>
      </c>
      <c r="C443" s="44" t="s">
        <v>2131</v>
      </c>
      <c r="D443" s="1" t="s">
        <v>2360</v>
      </c>
      <c r="E443" s="44" t="s">
        <v>2131</v>
      </c>
      <c r="F443" s="38" t="s">
        <v>2361</v>
      </c>
      <c r="G443" s="45">
        <v>4800</v>
      </c>
      <c r="H443" s="45">
        <v>48</v>
      </c>
    </row>
    <row r="444" spans="1:8">
      <c r="A444" s="78">
        <v>129351615426</v>
      </c>
      <c r="B444" s="1" t="s">
        <v>8</v>
      </c>
      <c r="C444" s="44" t="s">
        <v>2131</v>
      </c>
      <c r="D444" s="1" t="s">
        <v>2360</v>
      </c>
      <c r="E444" s="44" t="s">
        <v>2131</v>
      </c>
      <c r="F444" s="38" t="s">
        <v>2361</v>
      </c>
      <c r="G444" s="45">
        <v>4800</v>
      </c>
      <c r="H444" s="45">
        <v>48</v>
      </c>
    </row>
    <row r="445" spans="1:8">
      <c r="A445" s="78">
        <v>128789469169</v>
      </c>
      <c r="B445" s="1" t="s">
        <v>8</v>
      </c>
      <c r="C445" s="44" t="s">
        <v>2147</v>
      </c>
      <c r="D445" s="1" t="s">
        <v>2360</v>
      </c>
      <c r="E445" s="44" t="s">
        <v>2147</v>
      </c>
      <c r="F445" s="38" t="s">
        <v>2361</v>
      </c>
      <c r="G445" s="45">
        <v>15000</v>
      </c>
      <c r="H445" s="45">
        <v>150</v>
      </c>
    </row>
    <row r="446" spans="1:8">
      <c r="A446" s="78">
        <v>128789583003</v>
      </c>
      <c r="B446" s="1" t="s">
        <v>8</v>
      </c>
      <c r="C446" s="44" t="s">
        <v>2147</v>
      </c>
      <c r="D446" s="1" t="s">
        <v>2360</v>
      </c>
      <c r="E446" s="44" t="s">
        <v>2147</v>
      </c>
      <c r="F446" s="38" t="s">
        <v>2361</v>
      </c>
      <c r="G446" s="45">
        <v>9600</v>
      </c>
      <c r="H446" s="45">
        <v>96</v>
      </c>
    </row>
    <row r="447" spans="1:8">
      <c r="A447" s="78">
        <v>128780337091</v>
      </c>
      <c r="B447" s="1" t="s">
        <v>8</v>
      </c>
      <c r="C447" s="44" t="s">
        <v>2131</v>
      </c>
      <c r="D447" s="1" t="s">
        <v>2360</v>
      </c>
      <c r="E447" s="44" t="s">
        <v>2131</v>
      </c>
      <c r="F447" s="38" t="s">
        <v>2361</v>
      </c>
      <c r="G447" s="45">
        <v>4400</v>
      </c>
      <c r="H447" s="45">
        <v>44</v>
      </c>
    </row>
    <row r="448" spans="1:8">
      <c r="A448" s="78">
        <v>129352021290</v>
      </c>
      <c r="B448" s="1" t="s">
        <v>8</v>
      </c>
      <c r="C448" s="44" t="s">
        <v>2131</v>
      </c>
      <c r="D448" s="1" t="s">
        <v>2360</v>
      </c>
      <c r="E448" s="44" t="s">
        <v>2131</v>
      </c>
      <c r="F448" s="38" t="s">
        <v>2361</v>
      </c>
      <c r="G448" s="45">
        <v>4800</v>
      </c>
      <c r="H448" s="45">
        <v>48</v>
      </c>
    </row>
    <row r="449" spans="1:8">
      <c r="A449" s="78">
        <v>129361803564</v>
      </c>
      <c r="B449" s="1" t="s">
        <v>8</v>
      </c>
      <c r="C449" s="44" t="s">
        <v>2147</v>
      </c>
      <c r="D449" s="1" t="s">
        <v>2360</v>
      </c>
      <c r="E449" s="44" t="s">
        <v>2147</v>
      </c>
      <c r="F449" s="38" t="s">
        <v>2361</v>
      </c>
      <c r="G449" s="45">
        <v>5300</v>
      </c>
      <c r="H449" s="45">
        <v>53</v>
      </c>
    </row>
    <row r="450" spans="1:8">
      <c r="A450" s="78">
        <v>128780754643</v>
      </c>
      <c r="B450" s="1" t="s">
        <v>2055</v>
      </c>
      <c r="C450" s="44" t="s">
        <v>2131</v>
      </c>
      <c r="D450" s="1" t="s">
        <v>2360</v>
      </c>
      <c r="E450" s="44" t="s">
        <v>2131</v>
      </c>
      <c r="F450" s="38" t="s">
        <v>2361</v>
      </c>
      <c r="G450" s="45">
        <v>8000</v>
      </c>
      <c r="H450" s="45">
        <v>80</v>
      </c>
    </row>
    <row r="451" spans="1:8">
      <c r="A451" s="78">
        <v>129362203494</v>
      </c>
      <c r="B451" s="1" t="s">
        <v>2055</v>
      </c>
      <c r="C451" s="44" t="s">
        <v>2147</v>
      </c>
      <c r="D451" s="1" t="s">
        <v>2360</v>
      </c>
      <c r="E451" s="44" t="s">
        <v>2147</v>
      </c>
      <c r="F451" s="38" t="s">
        <v>2361</v>
      </c>
      <c r="G451" s="45">
        <v>94100</v>
      </c>
      <c r="H451" s="45">
        <v>941</v>
      </c>
    </row>
    <row r="452" spans="1:8">
      <c r="A452" s="78">
        <v>128790376827</v>
      </c>
      <c r="B452" s="1" t="s">
        <v>8</v>
      </c>
      <c r="C452" s="44" t="s">
        <v>2147</v>
      </c>
      <c r="D452" s="1" t="s">
        <v>2360</v>
      </c>
      <c r="E452" s="44" t="s">
        <v>2147</v>
      </c>
      <c r="F452" s="38" t="s">
        <v>2361</v>
      </c>
      <c r="G452" s="45">
        <v>7900</v>
      </c>
      <c r="H452" s="45">
        <v>79</v>
      </c>
    </row>
    <row r="453" spans="1:8">
      <c r="A453" s="78">
        <v>128790311633</v>
      </c>
      <c r="B453" s="1" t="s">
        <v>8</v>
      </c>
      <c r="C453" s="44" t="s">
        <v>2147</v>
      </c>
      <c r="D453" s="1" t="s">
        <v>2360</v>
      </c>
      <c r="E453" s="44" t="s">
        <v>2147</v>
      </c>
      <c r="F453" s="38" t="s">
        <v>2361</v>
      </c>
      <c r="G453" s="45">
        <v>15500</v>
      </c>
      <c r="H453" s="45">
        <v>155</v>
      </c>
    </row>
    <row r="454" spans="1:8">
      <c r="A454" s="78">
        <v>128781427399</v>
      </c>
      <c r="B454" s="1" t="s">
        <v>8</v>
      </c>
      <c r="C454" s="44" t="s">
        <v>2131</v>
      </c>
      <c r="D454" s="1" t="s">
        <v>2360</v>
      </c>
      <c r="E454" s="44" t="s">
        <v>2131</v>
      </c>
      <c r="F454" s="38" t="s">
        <v>2361</v>
      </c>
      <c r="G454" s="45">
        <v>11100</v>
      </c>
      <c r="H454" s="45">
        <v>111</v>
      </c>
    </row>
    <row r="455" spans="1:8">
      <c r="A455" s="78">
        <v>129362542858</v>
      </c>
      <c r="B455" s="1" t="s">
        <v>8</v>
      </c>
      <c r="C455" s="44" t="s">
        <v>2147</v>
      </c>
      <c r="D455" s="1" t="s">
        <v>2360</v>
      </c>
      <c r="E455" s="44" t="s">
        <v>2147</v>
      </c>
      <c r="F455" s="38" t="s">
        <v>2361</v>
      </c>
      <c r="G455" s="45">
        <v>4500</v>
      </c>
      <c r="H455" s="45">
        <v>45</v>
      </c>
    </row>
    <row r="456" spans="1:8">
      <c r="A456" s="78">
        <v>128790671665</v>
      </c>
      <c r="B456" s="1" t="s">
        <v>8</v>
      </c>
      <c r="C456" s="44" t="s">
        <v>2147</v>
      </c>
      <c r="D456" s="1" t="s">
        <v>2360</v>
      </c>
      <c r="E456" s="44" t="s">
        <v>2147</v>
      </c>
      <c r="F456" s="38" t="s">
        <v>2361</v>
      </c>
      <c r="G456" s="45">
        <v>4000</v>
      </c>
      <c r="H456" s="45">
        <v>40</v>
      </c>
    </row>
    <row r="457" spans="1:8">
      <c r="A457" s="78">
        <v>128790802443</v>
      </c>
      <c r="B457" s="1" t="s">
        <v>8</v>
      </c>
      <c r="C457" s="44" t="s">
        <v>2147</v>
      </c>
      <c r="D457" s="1" t="s">
        <v>2360</v>
      </c>
      <c r="E457" s="44" t="s">
        <v>2147</v>
      </c>
      <c r="F457" s="38" t="s">
        <v>2361</v>
      </c>
      <c r="G457" s="45">
        <v>12000</v>
      </c>
      <c r="H457" s="45">
        <v>120</v>
      </c>
    </row>
    <row r="458" spans="1:8">
      <c r="A458" s="78">
        <v>129362629610</v>
      </c>
      <c r="B458" s="1" t="s">
        <v>8</v>
      </c>
      <c r="C458" s="44" t="s">
        <v>2147</v>
      </c>
      <c r="D458" s="1" t="s">
        <v>2360</v>
      </c>
      <c r="E458" s="44" t="s">
        <v>2147</v>
      </c>
      <c r="F458" s="38" t="s">
        <v>2361</v>
      </c>
      <c r="G458" s="45">
        <v>54000</v>
      </c>
      <c r="H458" s="45">
        <v>540</v>
      </c>
    </row>
    <row r="459" spans="1:8">
      <c r="A459" s="78">
        <v>128791038125</v>
      </c>
      <c r="B459" s="1" t="s">
        <v>8</v>
      </c>
      <c r="C459" s="44" t="s">
        <v>2147</v>
      </c>
      <c r="D459" s="1" t="s">
        <v>2360</v>
      </c>
      <c r="E459" s="44" t="s">
        <v>2147</v>
      </c>
      <c r="F459" s="38" t="s">
        <v>2361</v>
      </c>
      <c r="G459" s="45">
        <v>4300</v>
      </c>
      <c r="H459" s="45">
        <v>43</v>
      </c>
    </row>
    <row r="460" spans="1:8">
      <c r="A460" s="78">
        <v>128790975673</v>
      </c>
      <c r="B460" s="1" t="s">
        <v>8</v>
      </c>
      <c r="C460" s="44" t="s">
        <v>2147</v>
      </c>
      <c r="D460" s="1" t="s">
        <v>2360</v>
      </c>
      <c r="E460" s="44" t="s">
        <v>2147</v>
      </c>
      <c r="F460" s="38" t="s">
        <v>2361</v>
      </c>
      <c r="G460" s="45">
        <v>60000</v>
      </c>
      <c r="H460" s="45">
        <v>600</v>
      </c>
    </row>
    <row r="461" spans="1:8">
      <c r="A461" s="78">
        <v>129362926804</v>
      </c>
      <c r="B461" s="1" t="s">
        <v>8</v>
      </c>
      <c r="C461" s="44" t="s">
        <v>2147</v>
      </c>
      <c r="D461" s="1" t="s">
        <v>2360</v>
      </c>
      <c r="E461" s="44" t="s">
        <v>2147</v>
      </c>
      <c r="F461" s="38" t="s">
        <v>2361</v>
      </c>
      <c r="G461" s="45">
        <v>50400</v>
      </c>
      <c r="H461" s="45">
        <v>504</v>
      </c>
    </row>
    <row r="462" spans="1:8">
      <c r="A462" s="78">
        <v>129363235724</v>
      </c>
      <c r="B462" s="1" t="s">
        <v>8</v>
      </c>
      <c r="C462" s="44" t="s">
        <v>2147</v>
      </c>
      <c r="D462" s="1" t="s">
        <v>2360</v>
      </c>
      <c r="E462" s="44" t="s">
        <v>2147</v>
      </c>
      <c r="F462" s="38" t="s">
        <v>2361</v>
      </c>
      <c r="G462" s="45">
        <v>13000</v>
      </c>
      <c r="H462" s="45">
        <v>130</v>
      </c>
    </row>
    <row r="463" spans="1:8">
      <c r="A463" s="78">
        <v>129354374886</v>
      </c>
      <c r="B463" s="1" t="s">
        <v>8</v>
      </c>
      <c r="C463" s="44" t="s">
        <v>2131</v>
      </c>
      <c r="D463" s="1" t="s">
        <v>2360</v>
      </c>
      <c r="E463" s="44" t="s">
        <v>2131</v>
      </c>
      <c r="F463" s="38" t="s">
        <v>2361</v>
      </c>
      <c r="G463" s="45">
        <v>14400</v>
      </c>
      <c r="H463" s="45">
        <v>144</v>
      </c>
    </row>
    <row r="464" spans="1:8">
      <c r="A464" s="78">
        <v>129363361660</v>
      </c>
      <c r="B464" s="1" t="s">
        <v>2055</v>
      </c>
      <c r="C464" s="44" t="s">
        <v>2147</v>
      </c>
      <c r="D464" s="1" t="s">
        <v>2360</v>
      </c>
      <c r="E464" s="44" t="s">
        <v>2147</v>
      </c>
      <c r="F464" s="38" t="s">
        <v>2361</v>
      </c>
      <c r="G464" s="45">
        <v>7200</v>
      </c>
      <c r="H464" s="45">
        <v>72</v>
      </c>
    </row>
    <row r="465" spans="1:8">
      <c r="A465" s="78">
        <v>128791965351</v>
      </c>
      <c r="B465" s="1" t="s">
        <v>8</v>
      </c>
      <c r="C465" s="44" t="s">
        <v>2147</v>
      </c>
      <c r="D465" s="1" t="s">
        <v>2360</v>
      </c>
      <c r="E465" s="44" t="s">
        <v>2147</v>
      </c>
      <c r="F465" s="38" t="s">
        <v>2361</v>
      </c>
      <c r="G465" s="45">
        <v>4800</v>
      </c>
      <c r="H465" s="45">
        <v>48</v>
      </c>
    </row>
    <row r="466" spans="1:8">
      <c r="A466" s="78">
        <v>128782887399</v>
      </c>
      <c r="B466" s="1" t="s">
        <v>8</v>
      </c>
      <c r="C466" s="44" t="s">
        <v>2131</v>
      </c>
      <c r="D466" s="1" t="s">
        <v>2360</v>
      </c>
      <c r="E466" s="44" t="s">
        <v>2131</v>
      </c>
      <c r="F466" s="38" t="s">
        <v>2361</v>
      </c>
      <c r="G466" s="45">
        <v>10200</v>
      </c>
      <c r="H466" s="45">
        <v>102</v>
      </c>
    </row>
    <row r="467" spans="1:8">
      <c r="A467" s="78">
        <v>128792088431</v>
      </c>
      <c r="B467" s="1" t="s">
        <v>8</v>
      </c>
      <c r="C467" s="44" t="s">
        <v>2147</v>
      </c>
      <c r="D467" s="1" t="s">
        <v>2360</v>
      </c>
      <c r="E467" s="44" t="s">
        <v>2147</v>
      </c>
      <c r="F467" s="38" t="s">
        <v>2361</v>
      </c>
      <c r="G467" s="45">
        <v>4800</v>
      </c>
      <c r="H467" s="45">
        <v>48</v>
      </c>
    </row>
    <row r="468" spans="1:8">
      <c r="A468" s="78">
        <v>128792091581</v>
      </c>
      <c r="B468" s="1" t="s">
        <v>8</v>
      </c>
      <c r="C468" s="44" t="s">
        <v>2147</v>
      </c>
      <c r="D468" s="1" t="s">
        <v>2360</v>
      </c>
      <c r="E468" s="44" t="s">
        <v>2147</v>
      </c>
      <c r="F468" s="38" t="s">
        <v>2361</v>
      </c>
      <c r="G468" s="45">
        <v>9200</v>
      </c>
      <c r="H468" s="45">
        <v>92</v>
      </c>
    </row>
    <row r="469" spans="1:8">
      <c r="A469" s="78">
        <v>128792133789</v>
      </c>
      <c r="B469" s="1" t="s">
        <v>2055</v>
      </c>
      <c r="C469" s="44" t="s">
        <v>2147</v>
      </c>
      <c r="D469" s="1" t="s">
        <v>2360</v>
      </c>
      <c r="E469" s="44" t="s">
        <v>2147</v>
      </c>
      <c r="F469" s="38" t="s">
        <v>2361</v>
      </c>
      <c r="G469" s="45">
        <v>28400</v>
      </c>
      <c r="H469" s="45">
        <v>284</v>
      </c>
    </row>
    <row r="470" spans="1:8">
      <c r="A470" s="78">
        <v>129364048342</v>
      </c>
      <c r="B470" s="1" t="s">
        <v>8</v>
      </c>
      <c r="C470" s="44" t="s">
        <v>2147</v>
      </c>
      <c r="D470" s="1" t="s">
        <v>2360</v>
      </c>
      <c r="E470" s="44" t="s">
        <v>2147</v>
      </c>
      <c r="F470" s="38" t="s">
        <v>2361</v>
      </c>
      <c r="G470" s="45">
        <v>7200</v>
      </c>
      <c r="H470" s="45">
        <v>72</v>
      </c>
    </row>
    <row r="471" spans="1:8">
      <c r="A471" s="78">
        <v>129355508304</v>
      </c>
      <c r="B471" s="1" t="s">
        <v>8</v>
      </c>
      <c r="C471" s="44" t="s">
        <v>2131</v>
      </c>
      <c r="D471" s="1" t="s">
        <v>2360</v>
      </c>
      <c r="E471" s="44" t="s">
        <v>2131</v>
      </c>
      <c r="F471" s="38" t="s">
        <v>2361</v>
      </c>
      <c r="G471" s="45">
        <v>14400</v>
      </c>
      <c r="H471" s="45">
        <v>144</v>
      </c>
    </row>
    <row r="472" spans="1:8">
      <c r="A472" s="78">
        <v>128792450817</v>
      </c>
      <c r="B472" s="1" t="s">
        <v>2055</v>
      </c>
      <c r="C472" s="44" t="s">
        <v>2147</v>
      </c>
      <c r="D472" s="1" t="s">
        <v>2360</v>
      </c>
      <c r="E472" s="44" t="s">
        <v>2147</v>
      </c>
      <c r="F472" s="38" t="s">
        <v>2361</v>
      </c>
      <c r="G472" s="45">
        <v>2000</v>
      </c>
      <c r="H472" s="45">
        <v>20</v>
      </c>
    </row>
    <row r="473" spans="1:8">
      <c r="A473" s="78">
        <v>128792488121</v>
      </c>
      <c r="B473" s="1" t="s">
        <v>8</v>
      </c>
      <c r="C473" s="44" t="s">
        <v>2147</v>
      </c>
      <c r="D473" s="1" t="s">
        <v>2360</v>
      </c>
      <c r="E473" s="44" t="s">
        <v>2147</v>
      </c>
      <c r="F473" s="38" t="s">
        <v>2361</v>
      </c>
      <c r="G473" s="45">
        <v>45600</v>
      </c>
      <c r="H473" s="45">
        <v>456</v>
      </c>
    </row>
    <row r="474" spans="1:8">
      <c r="A474" s="78">
        <v>129355425330</v>
      </c>
      <c r="B474" s="1" t="s">
        <v>8</v>
      </c>
      <c r="C474" s="44" t="s">
        <v>2131</v>
      </c>
      <c r="D474" s="1" t="s">
        <v>2360</v>
      </c>
      <c r="E474" s="44" t="s">
        <v>2131</v>
      </c>
      <c r="F474" s="38" t="s">
        <v>2361</v>
      </c>
      <c r="G474" s="45">
        <v>9600</v>
      </c>
      <c r="H474" s="45">
        <v>96</v>
      </c>
    </row>
    <row r="475" spans="1:8">
      <c r="A475" s="78">
        <v>128785545873</v>
      </c>
      <c r="B475" s="1" t="s">
        <v>8</v>
      </c>
      <c r="C475" s="44" t="s">
        <v>2131</v>
      </c>
      <c r="D475" s="1" t="s">
        <v>2360</v>
      </c>
      <c r="E475" s="44" t="s">
        <v>2131</v>
      </c>
      <c r="F475" s="38" t="s">
        <v>2361</v>
      </c>
      <c r="G475" s="45">
        <v>28500</v>
      </c>
      <c r="H475" s="45">
        <v>285</v>
      </c>
    </row>
    <row r="476" spans="1:8">
      <c r="A476" s="78">
        <v>129357668936</v>
      </c>
      <c r="B476" s="1" t="s">
        <v>8</v>
      </c>
      <c r="C476" s="44" t="s">
        <v>2131</v>
      </c>
      <c r="D476" s="1" t="s">
        <v>2360</v>
      </c>
      <c r="E476" s="44" t="s">
        <v>2131</v>
      </c>
      <c r="F476" s="38" t="s">
        <v>2361</v>
      </c>
      <c r="G476" s="45">
        <v>14800</v>
      </c>
      <c r="H476" s="45">
        <v>148</v>
      </c>
    </row>
    <row r="477" spans="1:8">
      <c r="A477" s="78">
        <v>129358276472</v>
      </c>
      <c r="B477" s="1" t="s">
        <v>8</v>
      </c>
      <c r="C477" s="44" t="s">
        <v>2131</v>
      </c>
      <c r="D477" s="1" t="s">
        <v>2360</v>
      </c>
      <c r="E477" s="44" t="s">
        <v>2147</v>
      </c>
      <c r="F477" s="38" t="s">
        <v>2361</v>
      </c>
      <c r="G477" s="45">
        <v>9600</v>
      </c>
      <c r="H477" s="45">
        <v>96</v>
      </c>
    </row>
    <row r="478" spans="1:8">
      <c r="A478" s="78">
        <v>128786584557</v>
      </c>
      <c r="B478" s="1" t="s">
        <v>2055</v>
      </c>
      <c r="C478" s="44" t="s">
        <v>2131</v>
      </c>
      <c r="D478" s="1" t="s">
        <v>2360</v>
      </c>
      <c r="E478" s="44" t="s">
        <v>2147</v>
      </c>
      <c r="F478" s="38" t="s">
        <v>2361</v>
      </c>
      <c r="G478" s="45">
        <v>4800</v>
      </c>
      <c r="H478" s="45">
        <v>48</v>
      </c>
    </row>
    <row r="479" spans="1:8">
      <c r="A479" s="78">
        <v>129358860160</v>
      </c>
      <c r="B479" s="1" t="s">
        <v>8</v>
      </c>
      <c r="C479" s="44" t="s">
        <v>2131</v>
      </c>
      <c r="D479" s="1" t="s">
        <v>2360</v>
      </c>
      <c r="E479" s="44" t="s">
        <v>2147</v>
      </c>
      <c r="F479" s="38" t="s">
        <v>2361</v>
      </c>
      <c r="G479" s="45">
        <v>27200</v>
      </c>
      <c r="H479" s="45">
        <v>272</v>
      </c>
    </row>
    <row r="480" spans="1:8">
      <c r="A480" s="78">
        <v>128787883001</v>
      </c>
      <c r="B480" s="1" t="s">
        <v>8</v>
      </c>
      <c r="C480" s="44" t="s">
        <v>2131</v>
      </c>
      <c r="D480" s="1" t="s">
        <v>2360</v>
      </c>
      <c r="E480" s="44" t="s">
        <v>2147</v>
      </c>
      <c r="F480" s="38" t="s">
        <v>2361</v>
      </c>
      <c r="G480" s="45">
        <v>7200</v>
      </c>
      <c r="H480" s="45">
        <v>72</v>
      </c>
    </row>
    <row r="481" spans="1:8">
      <c r="A481" s="78">
        <v>129359661112</v>
      </c>
      <c r="B481" s="1" t="s">
        <v>8</v>
      </c>
      <c r="C481" s="44" t="s">
        <v>2131</v>
      </c>
      <c r="D481" s="1" t="s">
        <v>2360</v>
      </c>
      <c r="E481" s="44" t="s">
        <v>2147</v>
      </c>
      <c r="F481" s="38" t="s">
        <v>2361</v>
      </c>
      <c r="G481" s="45">
        <v>95000</v>
      </c>
      <c r="H481" s="45">
        <v>950</v>
      </c>
    </row>
    <row r="482" spans="1:8">
      <c r="A482" s="78">
        <v>129359893986</v>
      </c>
      <c r="B482" s="1" t="s">
        <v>8</v>
      </c>
      <c r="C482" s="44" t="s">
        <v>2131</v>
      </c>
      <c r="D482" s="1" t="s">
        <v>2360</v>
      </c>
      <c r="E482" s="44" t="s">
        <v>2147</v>
      </c>
      <c r="F482" s="38" t="s">
        <v>2361</v>
      </c>
      <c r="G482" s="45">
        <v>109200</v>
      </c>
      <c r="H482" s="45">
        <v>1092</v>
      </c>
    </row>
    <row r="483" spans="1:8">
      <c r="A483" s="78">
        <v>129360210616</v>
      </c>
      <c r="B483" s="1" t="s">
        <v>8</v>
      </c>
      <c r="C483" s="44" t="s">
        <v>2131</v>
      </c>
      <c r="D483" s="1" t="s">
        <v>2360</v>
      </c>
      <c r="E483" s="44" t="s">
        <v>2147</v>
      </c>
      <c r="F483" s="38" t="s">
        <v>2361</v>
      </c>
      <c r="G483" s="45">
        <v>28300</v>
      </c>
      <c r="H483" s="45">
        <v>283</v>
      </c>
    </row>
    <row r="484" spans="1:8">
      <c r="A484" s="78">
        <v>129360446764</v>
      </c>
      <c r="B484" s="1" t="s">
        <v>8</v>
      </c>
      <c r="C484" s="44" t="s">
        <v>2131</v>
      </c>
      <c r="D484" s="1" t="s">
        <v>2360</v>
      </c>
      <c r="E484" s="44" t="s">
        <v>2147</v>
      </c>
      <c r="F484" s="38" t="s">
        <v>2361</v>
      </c>
      <c r="G484" s="45">
        <v>10000</v>
      </c>
      <c r="H484" s="45">
        <v>100</v>
      </c>
    </row>
    <row r="485" spans="1:8">
      <c r="A485" s="78">
        <v>129360713754</v>
      </c>
      <c r="B485" s="1" t="s">
        <v>8</v>
      </c>
      <c r="C485" s="44" t="s">
        <v>2147</v>
      </c>
      <c r="D485" s="1" t="s">
        <v>2360</v>
      </c>
      <c r="E485" s="44" t="s">
        <v>2147</v>
      </c>
      <c r="F485" s="38" t="s">
        <v>2361</v>
      </c>
      <c r="G485" s="45">
        <v>43200</v>
      </c>
      <c r="H485" s="45">
        <v>432</v>
      </c>
    </row>
    <row r="486" spans="1:8">
      <c r="A486" s="78">
        <v>128789258661</v>
      </c>
      <c r="B486" s="1" t="s">
        <v>8</v>
      </c>
      <c r="C486" s="44" t="s">
        <v>2147</v>
      </c>
      <c r="D486" s="1" t="s">
        <v>2360</v>
      </c>
      <c r="E486" s="44" t="s">
        <v>2147</v>
      </c>
      <c r="F486" s="38" t="s">
        <v>2361</v>
      </c>
      <c r="G486" s="45">
        <v>59500</v>
      </c>
      <c r="H486" s="45">
        <v>595</v>
      </c>
    </row>
    <row r="487" spans="1:8">
      <c r="A487" s="78">
        <v>128789235121</v>
      </c>
      <c r="B487" s="1" t="s">
        <v>8</v>
      </c>
      <c r="C487" s="44" t="s">
        <v>2147</v>
      </c>
      <c r="D487" s="1" t="s">
        <v>2360</v>
      </c>
      <c r="E487" s="44" t="s">
        <v>2147</v>
      </c>
      <c r="F487" s="38" t="s">
        <v>2361</v>
      </c>
      <c r="G487" s="45">
        <v>15000</v>
      </c>
      <c r="H487" s="45">
        <v>150</v>
      </c>
    </row>
    <row r="488" spans="1:8">
      <c r="A488" s="78">
        <v>128789281509</v>
      </c>
      <c r="B488" s="1" t="s">
        <v>8</v>
      </c>
      <c r="C488" s="44" t="s">
        <v>2147</v>
      </c>
      <c r="D488" s="1" t="s">
        <v>2360</v>
      </c>
      <c r="E488" s="44" t="s">
        <v>2147</v>
      </c>
      <c r="F488" s="38" t="s">
        <v>2361</v>
      </c>
      <c r="G488" s="45">
        <v>4800</v>
      </c>
      <c r="H488" s="45">
        <v>48</v>
      </c>
    </row>
    <row r="489" spans="1:8">
      <c r="A489" s="78">
        <v>129361253914</v>
      </c>
      <c r="B489" s="1" t="s">
        <v>8</v>
      </c>
      <c r="C489" s="44" t="s">
        <v>2147</v>
      </c>
      <c r="D489" s="1" t="s">
        <v>2360</v>
      </c>
      <c r="E489" s="44" t="s">
        <v>2147</v>
      </c>
      <c r="F489" s="38" t="s">
        <v>2361</v>
      </c>
      <c r="G489" s="45">
        <v>4800</v>
      </c>
      <c r="H489" s="45">
        <v>48</v>
      </c>
    </row>
    <row r="490" spans="1:8">
      <c r="A490" s="78">
        <v>129361895776</v>
      </c>
      <c r="B490" s="1" t="s">
        <v>8</v>
      </c>
      <c r="C490" s="44" t="s">
        <v>2147</v>
      </c>
      <c r="D490" s="1" t="s">
        <v>2360</v>
      </c>
      <c r="E490" s="44" t="s">
        <v>2147</v>
      </c>
      <c r="F490" s="38" t="s">
        <v>2361</v>
      </c>
      <c r="G490" s="45">
        <v>12000</v>
      </c>
      <c r="H490" s="45">
        <v>120</v>
      </c>
    </row>
    <row r="491" spans="1:8">
      <c r="A491" s="78">
        <v>128790136019</v>
      </c>
      <c r="B491" s="1" t="s">
        <v>8</v>
      </c>
      <c r="C491" s="44" t="s">
        <v>2147</v>
      </c>
      <c r="D491" s="1" t="s">
        <v>2360</v>
      </c>
      <c r="E491" s="44" t="s">
        <v>2147</v>
      </c>
      <c r="F491" s="38" t="s">
        <v>2361</v>
      </c>
      <c r="G491" s="45">
        <v>38600</v>
      </c>
      <c r="H491" s="45">
        <v>386</v>
      </c>
    </row>
    <row r="492" spans="1:8">
      <c r="A492" s="78">
        <v>129362011648</v>
      </c>
      <c r="B492" s="1" t="s">
        <v>8</v>
      </c>
      <c r="C492" s="44" t="s">
        <v>2147</v>
      </c>
      <c r="D492" s="1" t="s">
        <v>2360</v>
      </c>
      <c r="E492" s="44" t="s">
        <v>2147</v>
      </c>
      <c r="F492" s="38" t="s">
        <v>2361</v>
      </c>
      <c r="G492" s="45">
        <v>15000</v>
      </c>
      <c r="H492" s="45">
        <v>150</v>
      </c>
    </row>
    <row r="493" spans="1:8">
      <c r="A493" s="78">
        <v>129362129768</v>
      </c>
      <c r="B493" s="1" t="s">
        <v>2055</v>
      </c>
      <c r="C493" s="44" t="s">
        <v>2147</v>
      </c>
      <c r="D493" s="1" t="s">
        <v>2360</v>
      </c>
      <c r="E493" s="44" t="s">
        <v>2147</v>
      </c>
      <c r="F493" s="38" t="s">
        <v>2361</v>
      </c>
      <c r="G493" s="45">
        <v>88300</v>
      </c>
      <c r="H493" s="45">
        <v>883</v>
      </c>
    </row>
    <row r="494" spans="1:8">
      <c r="A494" s="78">
        <v>128790427367</v>
      </c>
      <c r="B494" s="1" t="s">
        <v>8</v>
      </c>
      <c r="C494" s="44" t="s">
        <v>2147</v>
      </c>
      <c r="D494" s="1" t="s">
        <v>2360</v>
      </c>
      <c r="E494" s="44" t="s">
        <v>2147</v>
      </c>
      <c r="F494" s="38" t="s">
        <v>2361</v>
      </c>
      <c r="G494" s="45">
        <v>4100</v>
      </c>
      <c r="H494" s="45">
        <v>41</v>
      </c>
    </row>
    <row r="495" spans="1:8">
      <c r="A495" s="78">
        <v>128790813097</v>
      </c>
      <c r="B495" s="1" t="s">
        <v>8</v>
      </c>
      <c r="C495" s="44" t="s">
        <v>2147</v>
      </c>
      <c r="D495" s="1" t="s">
        <v>2360</v>
      </c>
      <c r="E495" s="44" t="s">
        <v>2147</v>
      </c>
      <c r="F495" s="38" t="s">
        <v>2361</v>
      </c>
      <c r="G495" s="45">
        <v>4800</v>
      </c>
      <c r="H495" s="45">
        <v>48</v>
      </c>
    </row>
    <row r="496" spans="1:8">
      <c r="A496" s="78">
        <v>129362779056</v>
      </c>
      <c r="B496" s="1" t="s">
        <v>8</v>
      </c>
      <c r="C496" s="44" t="s">
        <v>2147</v>
      </c>
      <c r="D496" s="1" t="s">
        <v>2360</v>
      </c>
      <c r="E496" s="44" t="s">
        <v>2147</v>
      </c>
      <c r="F496" s="38" t="s">
        <v>2361</v>
      </c>
      <c r="G496" s="45">
        <v>9600</v>
      </c>
      <c r="H496" s="45">
        <v>96</v>
      </c>
    </row>
    <row r="497" spans="1:8">
      <c r="A497" s="78">
        <v>128791039201</v>
      </c>
      <c r="B497" s="1" t="s">
        <v>2055</v>
      </c>
      <c r="C497" s="44" t="s">
        <v>2147</v>
      </c>
      <c r="D497" s="1" t="s">
        <v>2360</v>
      </c>
      <c r="E497" s="44" t="s">
        <v>2147</v>
      </c>
      <c r="F497" s="38" t="s">
        <v>2361</v>
      </c>
      <c r="G497" s="45">
        <v>5000</v>
      </c>
      <c r="H497" s="45">
        <v>50</v>
      </c>
    </row>
    <row r="498" spans="1:8">
      <c r="A498" s="78">
        <v>129363422332</v>
      </c>
      <c r="B498" s="1" t="s">
        <v>2055</v>
      </c>
      <c r="C498" s="44" t="s">
        <v>2147</v>
      </c>
      <c r="D498" s="1" t="s">
        <v>2360</v>
      </c>
      <c r="E498" s="44" t="s">
        <v>2147</v>
      </c>
      <c r="F498" s="38" t="s">
        <v>2361</v>
      </c>
      <c r="G498" s="45">
        <v>9300</v>
      </c>
      <c r="H498" s="45">
        <v>93</v>
      </c>
    </row>
    <row r="499" spans="1:8">
      <c r="A499" s="78">
        <v>128791843481</v>
      </c>
      <c r="B499" s="1" t="s">
        <v>2055</v>
      </c>
      <c r="C499" s="44" t="s">
        <v>2147</v>
      </c>
      <c r="D499" s="1" t="s">
        <v>2360</v>
      </c>
      <c r="E499" s="44" t="s">
        <v>2147</v>
      </c>
      <c r="F499" s="38" t="s">
        <v>2361</v>
      </c>
      <c r="G499" s="45">
        <v>8400</v>
      </c>
      <c r="H499" s="45">
        <v>84</v>
      </c>
    </row>
    <row r="500" spans="1:8">
      <c r="A500" s="78">
        <v>129363795578</v>
      </c>
      <c r="B500" s="1" t="s">
        <v>8</v>
      </c>
      <c r="C500" s="44" t="s">
        <v>2147</v>
      </c>
      <c r="D500" s="1" t="s">
        <v>2360</v>
      </c>
      <c r="E500" s="44" t="s">
        <v>2147</v>
      </c>
      <c r="F500" s="38" t="s">
        <v>2361</v>
      </c>
      <c r="G500" s="45">
        <v>20500</v>
      </c>
      <c r="H500" s="45">
        <v>205</v>
      </c>
    </row>
    <row r="501" spans="1:8">
      <c r="A501" s="78">
        <v>129364171508</v>
      </c>
      <c r="B501" s="1" t="s">
        <v>2055</v>
      </c>
      <c r="C501" s="44" t="s">
        <v>2147</v>
      </c>
      <c r="D501" s="1" t="s">
        <v>2360</v>
      </c>
      <c r="E501" s="44" t="s">
        <v>2147</v>
      </c>
      <c r="F501" s="38" t="s">
        <v>2361</v>
      </c>
      <c r="G501" s="45">
        <v>9600</v>
      </c>
      <c r="H501" s="45">
        <v>96</v>
      </c>
    </row>
    <row r="502" spans="1:8">
      <c r="A502" s="78">
        <v>129364305216</v>
      </c>
      <c r="B502" s="1" t="s">
        <v>8</v>
      </c>
      <c r="C502" s="44" t="s">
        <v>2147</v>
      </c>
      <c r="D502" s="1" t="s">
        <v>2360</v>
      </c>
      <c r="E502" s="44" t="s">
        <v>2147</v>
      </c>
      <c r="F502" s="38" t="s">
        <v>2361</v>
      </c>
      <c r="G502" s="45">
        <v>1200</v>
      </c>
      <c r="H502" s="45">
        <v>12</v>
      </c>
    </row>
    <row r="503" spans="1:8">
      <c r="A503" s="78">
        <v>128792696797</v>
      </c>
      <c r="B503" s="1" t="s">
        <v>8</v>
      </c>
      <c r="C503" s="44" t="s">
        <v>2147</v>
      </c>
      <c r="D503" s="1" t="s">
        <v>2360</v>
      </c>
      <c r="E503" s="44" t="s">
        <v>2147</v>
      </c>
      <c r="F503" s="38" t="s">
        <v>2361</v>
      </c>
      <c r="G503" s="45">
        <v>34200</v>
      </c>
      <c r="H503" s="45">
        <v>342</v>
      </c>
    </row>
    <row r="504" spans="1:8">
      <c r="A504" s="78">
        <v>129457594142</v>
      </c>
      <c r="B504" s="1" t="s">
        <v>8</v>
      </c>
      <c r="C504" s="44" t="s">
        <v>2147</v>
      </c>
      <c r="D504" s="1" t="s">
        <v>2360</v>
      </c>
      <c r="E504" s="44" t="s">
        <v>2147</v>
      </c>
      <c r="F504" s="38" t="s">
        <v>2361</v>
      </c>
      <c r="G504" s="45">
        <v>4800</v>
      </c>
      <c r="H504" s="45">
        <v>48</v>
      </c>
    </row>
    <row r="505" spans="1:8">
      <c r="A505" s="78">
        <v>129462582556</v>
      </c>
      <c r="B505" s="1" t="s">
        <v>8</v>
      </c>
      <c r="C505" s="44" t="s">
        <v>2147</v>
      </c>
      <c r="D505" s="1" t="s">
        <v>2360</v>
      </c>
      <c r="E505" s="44" t="s">
        <v>2147</v>
      </c>
      <c r="F505" s="38" t="s">
        <v>2361</v>
      </c>
      <c r="G505" s="45">
        <v>8400</v>
      </c>
      <c r="H505" s="45">
        <v>84</v>
      </c>
    </row>
    <row r="506" spans="1:8">
      <c r="A506" s="78">
        <v>129466450092</v>
      </c>
      <c r="B506" s="1" t="s">
        <v>8</v>
      </c>
      <c r="C506" s="44" t="s">
        <v>2147</v>
      </c>
      <c r="D506" s="1" t="s">
        <v>2360</v>
      </c>
      <c r="E506" s="44" t="s">
        <v>2147</v>
      </c>
      <c r="F506" s="38" t="s">
        <v>2361</v>
      </c>
      <c r="G506" s="45">
        <v>25800</v>
      </c>
      <c r="H506" s="45">
        <v>258</v>
      </c>
    </row>
    <row r="507" spans="1:8">
      <c r="A507" s="78">
        <v>129470560460</v>
      </c>
      <c r="B507" s="1" t="s">
        <v>2055</v>
      </c>
      <c r="C507" s="44" t="s">
        <v>2147</v>
      </c>
      <c r="D507" s="1" t="s">
        <v>2360</v>
      </c>
      <c r="E507" s="44" t="s">
        <v>2147</v>
      </c>
      <c r="F507" s="38" t="s">
        <v>2361</v>
      </c>
      <c r="G507" s="45">
        <v>80400</v>
      </c>
      <c r="H507" s="45">
        <v>804</v>
      </c>
    </row>
    <row r="508" spans="1:8">
      <c r="A508" s="78">
        <v>128887204983</v>
      </c>
      <c r="B508" s="1" t="s">
        <v>8</v>
      </c>
      <c r="C508" s="44" t="s">
        <v>2147</v>
      </c>
      <c r="D508" s="1" t="s">
        <v>2360</v>
      </c>
      <c r="E508" s="44" t="s">
        <v>2147</v>
      </c>
      <c r="F508" s="38" t="s">
        <v>2361</v>
      </c>
      <c r="G508" s="45">
        <v>9400</v>
      </c>
      <c r="H508" s="45">
        <v>94</v>
      </c>
    </row>
    <row r="509" spans="1:8">
      <c r="A509" s="78">
        <v>128897966025</v>
      </c>
      <c r="B509" s="1" t="s">
        <v>8</v>
      </c>
      <c r="C509" s="44" t="s">
        <v>2147</v>
      </c>
      <c r="D509" s="1" t="s">
        <v>2360</v>
      </c>
      <c r="E509" s="44" t="s">
        <v>2147</v>
      </c>
      <c r="F509" s="38" t="s">
        <v>2361</v>
      </c>
      <c r="G509" s="45">
        <v>9700</v>
      </c>
      <c r="H509" s="45">
        <v>97</v>
      </c>
    </row>
    <row r="510" spans="1:8">
      <c r="A510" s="78">
        <v>129461153768</v>
      </c>
      <c r="B510" s="1" t="s">
        <v>8</v>
      </c>
      <c r="C510" s="44" t="s">
        <v>2147</v>
      </c>
      <c r="D510" s="1" t="s">
        <v>2360</v>
      </c>
      <c r="E510" s="44" t="s">
        <v>2147</v>
      </c>
      <c r="F510" s="38" t="s">
        <v>2361</v>
      </c>
      <c r="G510" s="45">
        <v>4800</v>
      </c>
      <c r="H510" s="45">
        <v>48</v>
      </c>
    </row>
    <row r="511" spans="1:8">
      <c r="A511" s="78">
        <v>128892698657</v>
      </c>
      <c r="B511" s="1" t="s">
        <v>8</v>
      </c>
      <c r="C511" s="44" t="s">
        <v>2147</v>
      </c>
      <c r="D511" s="1" t="s">
        <v>2360</v>
      </c>
      <c r="E511" s="44" t="s">
        <v>2147</v>
      </c>
      <c r="F511" s="38" t="s">
        <v>2361</v>
      </c>
      <c r="G511" s="45">
        <v>21600</v>
      </c>
      <c r="H511" s="45">
        <v>216</v>
      </c>
    </row>
    <row r="512" spans="1:8">
      <c r="A512" s="78">
        <v>129475831332</v>
      </c>
      <c r="B512" s="1" t="s">
        <v>8</v>
      </c>
      <c r="C512" s="44" t="s">
        <v>2147</v>
      </c>
      <c r="D512" s="1" t="s">
        <v>2360</v>
      </c>
      <c r="E512" s="44" t="s">
        <v>2147</v>
      </c>
      <c r="F512" s="38" t="s">
        <v>2361</v>
      </c>
      <c r="G512" s="45">
        <v>4300</v>
      </c>
      <c r="H512" s="45">
        <v>43</v>
      </c>
    </row>
    <row r="513" spans="1:8">
      <c r="A513" s="78">
        <v>128906379869</v>
      </c>
      <c r="B513" s="1" t="s">
        <v>2055</v>
      </c>
      <c r="C513" s="44" t="s">
        <v>2147</v>
      </c>
      <c r="D513" s="1" t="s">
        <v>2360</v>
      </c>
      <c r="E513" s="44" t="s">
        <v>2147</v>
      </c>
      <c r="F513" s="38" t="s">
        <v>2361</v>
      </c>
      <c r="G513" s="45">
        <v>23800</v>
      </c>
      <c r="H513" s="45">
        <v>238</v>
      </c>
    </row>
    <row r="514" spans="1:8">
      <c r="A514" s="78">
        <v>128896844399</v>
      </c>
      <c r="B514" s="1" t="s">
        <v>8</v>
      </c>
      <c r="C514" s="44" t="s">
        <v>2147</v>
      </c>
      <c r="D514" s="1" t="s">
        <v>2360</v>
      </c>
      <c r="E514" s="44" t="s">
        <v>2147</v>
      </c>
      <c r="F514" s="38" t="s">
        <v>2361</v>
      </c>
      <c r="G514" s="45">
        <v>11600</v>
      </c>
      <c r="H514" s="45">
        <v>116</v>
      </c>
    </row>
    <row r="515" spans="1:8">
      <c r="A515" s="78">
        <v>129483019148</v>
      </c>
      <c r="B515" s="1" t="s">
        <v>2055</v>
      </c>
      <c r="C515" s="44" t="s">
        <v>2147</v>
      </c>
      <c r="D515" s="1" t="s">
        <v>2360</v>
      </c>
      <c r="E515" s="44" t="s">
        <v>2147</v>
      </c>
      <c r="F515" s="38" t="s">
        <v>2361</v>
      </c>
      <c r="G515" s="45">
        <v>66600</v>
      </c>
      <c r="H515" s="45">
        <v>666</v>
      </c>
    </row>
    <row r="516" spans="1:8">
      <c r="A516" s="78">
        <v>128910094011</v>
      </c>
      <c r="B516" s="1" t="s">
        <v>2055</v>
      </c>
      <c r="C516" s="44" t="s">
        <v>2147</v>
      </c>
      <c r="D516" s="1" t="s">
        <v>2360</v>
      </c>
      <c r="E516" s="44" t="s">
        <v>2147</v>
      </c>
      <c r="F516" s="38" t="s">
        <v>2361</v>
      </c>
      <c r="G516" s="45">
        <v>116500</v>
      </c>
      <c r="H516" s="45">
        <v>1165</v>
      </c>
    </row>
    <row r="517" spans="1:8">
      <c r="A517" s="78">
        <v>128913553137</v>
      </c>
      <c r="B517" s="1" t="s">
        <v>2055</v>
      </c>
      <c r="C517" s="44" t="s">
        <v>2147</v>
      </c>
      <c r="D517" s="1" t="s">
        <v>2360</v>
      </c>
      <c r="E517" s="44" t="s">
        <v>2147</v>
      </c>
      <c r="F517" s="38" t="s">
        <v>2361</v>
      </c>
      <c r="G517" s="45">
        <v>54700</v>
      </c>
      <c r="H517" s="45">
        <v>547</v>
      </c>
    </row>
    <row r="518" spans="1:8">
      <c r="A518" s="78">
        <v>128913776569</v>
      </c>
      <c r="B518" s="1" t="s">
        <v>2055</v>
      </c>
      <c r="C518" s="44" t="s">
        <v>2147</v>
      </c>
      <c r="D518" s="1" t="s">
        <v>2360</v>
      </c>
      <c r="E518" s="44" t="s">
        <v>2147</v>
      </c>
      <c r="F518" s="38" t="s">
        <v>2361</v>
      </c>
      <c r="G518" s="45">
        <v>33400</v>
      </c>
      <c r="H518" s="45">
        <v>334</v>
      </c>
    </row>
    <row r="519" spans="1:8">
      <c r="A519" s="78">
        <v>129476370902</v>
      </c>
      <c r="B519" s="1" t="s">
        <v>8</v>
      </c>
      <c r="C519" s="44" t="s">
        <v>2147</v>
      </c>
      <c r="D519" s="1" t="s">
        <v>2360</v>
      </c>
      <c r="E519" s="44" t="s">
        <v>2147</v>
      </c>
      <c r="F519" s="38" t="s">
        <v>2361</v>
      </c>
      <c r="G519" s="45">
        <v>19200</v>
      </c>
      <c r="H519" s="45">
        <v>192</v>
      </c>
    </row>
    <row r="520" spans="1:8">
      <c r="A520" s="78">
        <v>129486752692</v>
      </c>
      <c r="B520" s="1" t="s">
        <v>2055</v>
      </c>
      <c r="C520" s="44" t="s">
        <v>2147</v>
      </c>
      <c r="D520" s="1" t="s">
        <v>2360</v>
      </c>
      <c r="E520" s="44" t="s">
        <v>2147</v>
      </c>
      <c r="F520" s="38" t="s">
        <v>2361</v>
      </c>
      <c r="G520" s="45">
        <v>21100</v>
      </c>
      <c r="H520" s="45">
        <v>211</v>
      </c>
    </row>
    <row r="521" spans="1:8">
      <c r="A521" s="78">
        <v>128915102153</v>
      </c>
      <c r="B521" s="1" t="s">
        <v>8</v>
      </c>
      <c r="C521" s="44" t="s">
        <v>2147</v>
      </c>
      <c r="D521" s="1" t="s">
        <v>2360</v>
      </c>
      <c r="E521" s="44" t="s">
        <v>2147</v>
      </c>
      <c r="F521" s="38" t="s">
        <v>2361</v>
      </c>
      <c r="G521" s="45">
        <v>24800</v>
      </c>
      <c r="H521" s="45">
        <v>248</v>
      </c>
    </row>
    <row r="522" spans="1:8">
      <c r="A522" s="78">
        <v>129488848480</v>
      </c>
      <c r="B522" s="1" t="s">
        <v>8</v>
      </c>
      <c r="C522" s="44" t="s">
        <v>2147</v>
      </c>
      <c r="D522" s="1" t="s">
        <v>2360</v>
      </c>
      <c r="E522" s="44" t="s">
        <v>2147</v>
      </c>
      <c r="F522" s="38" t="s">
        <v>2361</v>
      </c>
      <c r="G522" s="45">
        <v>14700</v>
      </c>
      <c r="H522" s="45">
        <v>147</v>
      </c>
    </row>
    <row r="523" spans="1:8">
      <c r="A523" s="78">
        <v>128907134521</v>
      </c>
      <c r="B523" s="1" t="s">
        <v>8</v>
      </c>
      <c r="C523" s="44" t="s">
        <v>2147</v>
      </c>
      <c r="D523" s="1" t="s">
        <v>2360</v>
      </c>
      <c r="E523" s="44" t="s">
        <v>2147</v>
      </c>
      <c r="F523" s="38" t="s">
        <v>2361</v>
      </c>
      <c r="G523" s="45">
        <v>9800</v>
      </c>
      <c r="H523" s="45">
        <v>98</v>
      </c>
    </row>
    <row r="524" spans="1:8">
      <c r="A524" s="78">
        <v>128907143061</v>
      </c>
      <c r="B524" s="1" t="s">
        <v>2055</v>
      </c>
      <c r="C524" s="44" t="s">
        <v>2147</v>
      </c>
      <c r="D524" s="1" t="s">
        <v>2360</v>
      </c>
      <c r="E524" s="44" t="s">
        <v>2147</v>
      </c>
      <c r="F524" s="38" t="s">
        <v>2361</v>
      </c>
      <c r="G524" s="45">
        <v>52700</v>
      </c>
      <c r="H524" s="45">
        <v>527</v>
      </c>
    </row>
    <row r="525" spans="1:8">
      <c r="A525" s="78">
        <v>128917530747</v>
      </c>
      <c r="B525" s="1" t="s">
        <v>8</v>
      </c>
      <c r="C525" s="44" t="s">
        <v>2147</v>
      </c>
      <c r="D525" s="1" t="s">
        <v>2360</v>
      </c>
      <c r="E525" s="44" t="s">
        <v>2147</v>
      </c>
      <c r="F525" s="38" t="s">
        <v>2361</v>
      </c>
      <c r="G525" s="45">
        <v>50100</v>
      </c>
      <c r="H525" s="45">
        <v>501</v>
      </c>
    </row>
    <row r="526" spans="1:8">
      <c r="A526" s="78">
        <v>129490400868</v>
      </c>
      <c r="B526" s="1" t="s">
        <v>8</v>
      </c>
      <c r="C526" s="44" t="s">
        <v>2147</v>
      </c>
      <c r="D526" s="1" t="s">
        <v>2360</v>
      </c>
      <c r="E526" s="44" t="s">
        <v>2147</v>
      </c>
      <c r="F526" s="38" t="s">
        <v>2361</v>
      </c>
      <c r="G526" s="45">
        <v>21200</v>
      </c>
      <c r="H526" s="45">
        <v>212</v>
      </c>
    </row>
    <row r="527" spans="1:8">
      <c r="A527" s="78">
        <v>129481762152</v>
      </c>
      <c r="B527" s="1" t="s">
        <v>2055</v>
      </c>
      <c r="C527" s="44" t="s">
        <v>2147</v>
      </c>
      <c r="D527" s="1" t="s">
        <v>2360</v>
      </c>
      <c r="E527" s="44" t="s">
        <v>2147</v>
      </c>
      <c r="F527" s="38" t="s">
        <v>2361</v>
      </c>
      <c r="G527" s="45">
        <v>14400</v>
      </c>
      <c r="H527" s="45">
        <v>144</v>
      </c>
    </row>
    <row r="528" spans="1:8">
      <c r="A528" s="78">
        <v>128919083425</v>
      </c>
      <c r="B528" s="1" t="s">
        <v>8</v>
      </c>
      <c r="C528" s="44" t="s">
        <v>2147</v>
      </c>
      <c r="D528" s="1" t="s">
        <v>2360</v>
      </c>
      <c r="E528" s="44" t="s">
        <v>2147</v>
      </c>
      <c r="F528" s="38" t="s">
        <v>2361</v>
      </c>
      <c r="G528" s="45">
        <v>31500</v>
      </c>
      <c r="H528" s="45">
        <v>315</v>
      </c>
    </row>
    <row r="529" spans="1:8">
      <c r="A529" s="78">
        <v>128919574591</v>
      </c>
      <c r="B529" s="1" t="s">
        <v>8</v>
      </c>
      <c r="C529" s="44" t="s">
        <v>2147</v>
      </c>
      <c r="D529" s="1" t="s">
        <v>2360</v>
      </c>
      <c r="E529" s="44" t="s">
        <v>2147</v>
      </c>
      <c r="F529" s="38" t="s">
        <v>2361</v>
      </c>
      <c r="G529" s="45">
        <v>44500</v>
      </c>
      <c r="H529" s="45">
        <v>445</v>
      </c>
    </row>
    <row r="530" spans="1:8">
      <c r="A530" s="78">
        <v>129492338552</v>
      </c>
      <c r="B530" s="1" t="s">
        <v>2055</v>
      </c>
      <c r="C530" s="44" t="s">
        <v>2147</v>
      </c>
      <c r="D530" s="1" t="s">
        <v>2360</v>
      </c>
      <c r="E530" s="44" t="s">
        <v>2147</v>
      </c>
      <c r="F530" s="38" t="s">
        <v>2361</v>
      </c>
      <c r="G530" s="45">
        <v>94500</v>
      </c>
      <c r="H530" s="45">
        <v>945</v>
      </c>
    </row>
    <row r="531" spans="1:8">
      <c r="A531" s="78">
        <v>129492654176</v>
      </c>
      <c r="B531" s="1" t="s">
        <v>8</v>
      </c>
      <c r="C531" s="44" t="s">
        <v>2147</v>
      </c>
      <c r="D531" s="1" t="s">
        <v>2360</v>
      </c>
      <c r="E531" s="44" t="s">
        <v>2147</v>
      </c>
      <c r="F531" s="38" t="s">
        <v>2361</v>
      </c>
      <c r="G531" s="45">
        <v>84700</v>
      </c>
      <c r="H531" s="45">
        <v>847</v>
      </c>
    </row>
    <row r="532" spans="1:8">
      <c r="A532" s="78">
        <v>128920484187</v>
      </c>
      <c r="B532" s="1" t="s">
        <v>8</v>
      </c>
      <c r="C532" s="44" t="s">
        <v>2147</v>
      </c>
      <c r="D532" s="1" t="s">
        <v>2360</v>
      </c>
      <c r="E532" s="44" t="s">
        <v>2147</v>
      </c>
      <c r="F532" s="38" t="s">
        <v>2361</v>
      </c>
      <c r="G532" s="45">
        <v>17200</v>
      </c>
      <c r="H532" s="45">
        <v>172</v>
      </c>
    </row>
    <row r="533" spans="1:8">
      <c r="A533" s="78">
        <v>129493359646</v>
      </c>
      <c r="B533" s="1" t="s">
        <v>8</v>
      </c>
      <c r="C533" s="44" t="s">
        <v>2147</v>
      </c>
      <c r="D533" s="1" t="s">
        <v>2360</v>
      </c>
      <c r="E533" s="44" t="s">
        <v>2147</v>
      </c>
      <c r="F533" s="38" t="s">
        <v>2361</v>
      </c>
      <c r="G533" s="45">
        <v>19300</v>
      </c>
      <c r="H533" s="45">
        <v>193</v>
      </c>
    </row>
    <row r="534" spans="1:8">
      <c r="A534" s="78">
        <v>128922302919</v>
      </c>
      <c r="B534" s="1" t="s">
        <v>8</v>
      </c>
      <c r="C534" s="44" t="s">
        <v>2147</v>
      </c>
      <c r="D534" s="1" t="s">
        <v>2360</v>
      </c>
      <c r="E534" s="44" t="s">
        <v>2161</v>
      </c>
      <c r="F534" s="38" t="s">
        <v>2361</v>
      </c>
      <c r="G534" s="45">
        <v>51400</v>
      </c>
      <c r="H534" s="45">
        <v>514</v>
      </c>
    </row>
    <row r="535" spans="1:8">
      <c r="A535" s="78">
        <v>129495145126</v>
      </c>
      <c r="B535" s="1" t="s">
        <v>2055</v>
      </c>
      <c r="C535" s="44" t="s">
        <v>2147</v>
      </c>
      <c r="D535" s="1" t="s">
        <v>2360</v>
      </c>
      <c r="E535" s="44" t="s">
        <v>2161</v>
      </c>
      <c r="F535" s="38" t="s">
        <v>2361</v>
      </c>
      <c r="G535" s="45">
        <v>39500</v>
      </c>
      <c r="H535" s="45">
        <v>395</v>
      </c>
    </row>
    <row r="536" spans="1:8">
      <c r="A536" s="78">
        <v>129495185528</v>
      </c>
      <c r="B536" s="1" t="s">
        <v>8</v>
      </c>
      <c r="C536" s="44" t="s">
        <v>2147</v>
      </c>
      <c r="D536" s="1" t="s">
        <v>2360</v>
      </c>
      <c r="E536" s="44" t="s">
        <v>2161</v>
      </c>
      <c r="F536" s="38" t="s">
        <v>2361</v>
      </c>
      <c r="G536" s="45">
        <v>8600</v>
      </c>
      <c r="H536" s="45">
        <v>86</v>
      </c>
    </row>
    <row r="537" spans="1:8">
      <c r="A537" s="78">
        <v>129495728004</v>
      </c>
      <c r="B537" s="1" t="s">
        <v>2055</v>
      </c>
      <c r="C537" s="44" t="s">
        <v>2147</v>
      </c>
      <c r="D537" s="1" t="s">
        <v>2360</v>
      </c>
      <c r="E537" s="44" t="s">
        <v>2161</v>
      </c>
      <c r="F537" s="38" t="s">
        <v>2361</v>
      </c>
      <c r="G537" s="45">
        <v>32100</v>
      </c>
      <c r="H537" s="45">
        <v>321</v>
      </c>
    </row>
    <row r="538" spans="1:8">
      <c r="A538" s="78">
        <v>129495961410</v>
      </c>
      <c r="B538" s="1" t="s">
        <v>2055</v>
      </c>
      <c r="C538" s="44" t="s">
        <v>2147</v>
      </c>
      <c r="D538" s="1" t="s">
        <v>2360</v>
      </c>
      <c r="E538" s="44" t="s">
        <v>2161</v>
      </c>
      <c r="F538" s="38" t="s">
        <v>2361</v>
      </c>
      <c r="G538" s="45">
        <v>4800</v>
      </c>
      <c r="H538" s="45">
        <v>48</v>
      </c>
    </row>
    <row r="539" spans="1:8">
      <c r="A539" s="78">
        <v>128923606311</v>
      </c>
      <c r="B539" s="1" t="s">
        <v>8</v>
      </c>
      <c r="C539" s="44" t="s">
        <v>2147</v>
      </c>
      <c r="D539" s="1" t="s">
        <v>2360</v>
      </c>
      <c r="E539" s="44" t="s">
        <v>2161</v>
      </c>
      <c r="F539" s="38" t="s">
        <v>2361</v>
      </c>
      <c r="G539" s="45">
        <v>67000</v>
      </c>
      <c r="H539" s="45">
        <v>670</v>
      </c>
    </row>
    <row r="540" spans="1:8">
      <c r="A540" s="78">
        <v>128923725051</v>
      </c>
      <c r="B540" s="1" t="s">
        <v>8</v>
      </c>
      <c r="C540" s="44" t="s">
        <v>2147</v>
      </c>
      <c r="D540" s="1" t="s">
        <v>2360</v>
      </c>
      <c r="E540" s="44" t="s">
        <v>2161</v>
      </c>
      <c r="F540" s="38" t="s">
        <v>2361</v>
      </c>
      <c r="G540" s="45">
        <v>53300</v>
      </c>
      <c r="H540" s="45">
        <v>533</v>
      </c>
    </row>
    <row r="541" spans="1:8">
      <c r="A541" s="78">
        <v>128924146425</v>
      </c>
      <c r="B541" s="1" t="s">
        <v>8</v>
      </c>
      <c r="C541" s="44" t="s">
        <v>2147</v>
      </c>
      <c r="D541" s="1" t="s">
        <v>2360</v>
      </c>
      <c r="E541" s="44" t="s">
        <v>2161</v>
      </c>
      <c r="F541" s="38" t="s">
        <v>2361</v>
      </c>
      <c r="G541" s="45">
        <v>10600</v>
      </c>
      <c r="H541" s="45">
        <v>106</v>
      </c>
    </row>
    <row r="542" spans="1:8">
      <c r="A542" s="78">
        <v>128924489675</v>
      </c>
      <c r="B542" s="1" t="s">
        <v>2055</v>
      </c>
      <c r="C542" s="44" t="s">
        <v>2161</v>
      </c>
      <c r="D542" s="1" t="s">
        <v>2360</v>
      </c>
      <c r="E542" s="44" t="s">
        <v>2161</v>
      </c>
      <c r="F542" s="38" t="s">
        <v>2361</v>
      </c>
      <c r="G542" s="45">
        <v>9200</v>
      </c>
      <c r="H542" s="45">
        <v>92</v>
      </c>
    </row>
    <row r="543" spans="1:8">
      <c r="A543" s="78">
        <v>129486918346</v>
      </c>
      <c r="B543" s="1" t="s">
        <v>2055</v>
      </c>
      <c r="C543" s="44" t="s">
        <v>2147</v>
      </c>
      <c r="D543" s="1" t="s">
        <v>2360</v>
      </c>
      <c r="E543" s="44" t="s">
        <v>2147</v>
      </c>
      <c r="F543" s="38" t="s">
        <v>2361</v>
      </c>
      <c r="G543" s="45">
        <v>4900</v>
      </c>
      <c r="H543" s="45">
        <v>49</v>
      </c>
    </row>
    <row r="544" spans="1:8">
      <c r="A544" s="78">
        <v>128924615147</v>
      </c>
      <c r="B544" s="1" t="s">
        <v>8</v>
      </c>
      <c r="C544" s="44" t="s">
        <v>2161</v>
      </c>
      <c r="D544" s="1" t="s">
        <v>2360</v>
      </c>
      <c r="E544" s="44" t="s">
        <v>2161</v>
      </c>
      <c r="F544" s="38" t="s">
        <v>2361</v>
      </c>
      <c r="G544" s="45">
        <v>10100</v>
      </c>
      <c r="H544" s="45">
        <v>101</v>
      </c>
    </row>
    <row r="545" spans="1:8">
      <c r="A545" s="78">
        <v>128925028115</v>
      </c>
      <c r="B545" s="1" t="s">
        <v>8</v>
      </c>
      <c r="C545" s="44" t="s">
        <v>2161</v>
      </c>
      <c r="D545" s="1" t="s">
        <v>2360</v>
      </c>
      <c r="E545" s="44" t="s">
        <v>2161</v>
      </c>
      <c r="F545" s="38" t="s">
        <v>2361</v>
      </c>
      <c r="G545" s="45">
        <v>10600</v>
      </c>
      <c r="H545" s="45">
        <v>106</v>
      </c>
    </row>
    <row r="546" spans="1:8">
      <c r="A546" s="78">
        <v>128925124795</v>
      </c>
      <c r="B546" s="1" t="s">
        <v>8</v>
      </c>
      <c r="C546" s="44" t="s">
        <v>2161</v>
      </c>
      <c r="D546" s="1" t="s">
        <v>2360</v>
      </c>
      <c r="E546" s="44" t="s">
        <v>2161</v>
      </c>
      <c r="F546" s="38" t="s">
        <v>2361</v>
      </c>
      <c r="G546" s="45">
        <v>4800</v>
      </c>
      <c r="H546" s="45">
        <v>48</v>
      </c>
    </row>
    <row r="547" spans="1:8">
      <c r="A547" s="78">
        <v>129497757396</v>
      </c>
      <c r="B547" s="1" t="s">
        <v>8</v>
      </c>
      <c r="C547" s="44" t="s">
        <v>2161</v>
      </c>
      <c r="D547" s="1" t="s">
        <v>2360</v>
      </c>
      <c r="E547" s="44" t="s">
        <v>2161</v>
      </c>
      <c r="F547" s="38" t="s">
        <v>2361</v>
      </c>
      <c r="G547" s="45">
        <v>42700</v>
      </c>
      <c r="H547" s="45">
        <v>427</v>
      </c>
    </row>
    <row r="548" spans="1:8">
      <c r="A548" s="78">
        <v>128925323397</v>
      </c>
      <c r="B548" s="1" t="s">
        <v>8</v>
      </c>
      <c r="C548" s="44" t="s">
        <v>2161</v>
      </c>
      <c r="D548" s="1" t="s">
        <v>2360</v>
      </c>
      <c r="E548" s="44" t="s">
        <v>2161</v>
      </c>
      <c r="F548" s="38" t="s">
        <v>2361</v>
      </c>
      <c r="G548" s="45">
        <v>84100</v>
      </c>
      <c r="H548" s="45">
        <v>841</v>
      </c>
    </row>
    <row r="549" spans="1:8">
      <c r="A549" s="78">
        <v>129487356030</v>
      </c>
      <c r="B549" s="1" t="s">
        <v>8</v>
      </c>
      <c r="C549" s="44" t="s">
        <v>2147</v>
      </c>
      <c r="D549" s="1" t="s">
        <v>2360</v>
      </c>
      <c r="E549" s="44" t="s">
        <v>2147</v>
      </c>
      <c r="F549" s="38" t="s">
        <v>2361</v>
      </c>
      <c r="G549" s="45">
        <v>51900</v>
      </c>
      <c r="H549" s="45">
        <v>519</v>
      </c>
    </row>
    <row r="550" spans="1:8">
      <c r="A550" s="78">
        <v>129487550932</v>
      </c>
      <c r="B550" s="1" t="s">
        <v>2055</v>
      </c>
      <c r="C550" s="44" t="s">
        <v>2147</v>
      </c>
      <c r="D550" s="1" t="s">
        <v>2360</v>
      </c>
      <c r="E550" s="44" t="s">
        <v>2147</v>
      </c>
      <c r="F550" s="38" t="s">
        <v>2361</v>
      </c>
      <c r="G550" s="45">
        <v>9600</v>
      </c>
      <c r="H550" s="45">
        <v>96</v>
      </c>
    </row>
    <row r="551" spans="1:8">
      <c r="A551" s="78">
        <v>128926011103</v>
      </c>
      <c r="B551" s="1" t="s">
        <v>8</v>
      </c>
      <c r="C551" s="44" t="s">
        <v>2161</v>
      </c>
      <c r="D551" s="1" t="s">
        <v>2360</v>
      </c>
      <c r="E551" s="44" t="s">
        <v>2161</v>
      </c>
      <c r="F551" s="38" t="s">
        <v>2361</v>
      </c>
      <c r="G551" s="45">
        <v>4800</v>
      </c>
      <c r="H551" s="45">
        <v>48</v>
      </c>
    </row>
    <row r="552" spans="1:8">
      <c r="A552" s="78">
        <v>129498617424</v>
      </c>
      <c r="B552" s="1" t="s">
        <v>8</v>
      </c>
      <c r="C552" s="44" t="s">
        <v>2161</v>
      </c>
      <c r="D552" s="1" t="s">
        <v>2360</v>
      </c>
      <c r="E552" s="44" t="s">
        <v>2161</v>
      </c>
      <c r="F552" s="38" t="s">
        <v>2361</v>
      </c>
      <c r="G552" s="45">
        <v>38800</v>
      </c>
      <c r="H552" s="45">
        <v>388</v>
      </c>
    </row>
    <row r="553" spans="1:8">
      <c r="A553" s="78">
        <v>129498761266</v>
      </c>
      <c r="B553" s="1" t="s">
        <v>8</v>
      </c>
      <c r="C553" s="44" t="s">
        <v>2161</v>
      </c>
      <c r="D553" s="1" t="s">
        <v>2360</v>
      </c>
      <c r="E553" s="44" t="s">
        <v>2161</v>
      </c>
      <c r="F553" s="38" t="s">
        <v>2361</v>
      </c>
      <c r="G553" s="45">
        <v>18400</v>
      </c>
      <c r="H553" s="45">
        <v>184</v>
      </c>
    </row>
    <row r="554" spans="1:8">
      <c r="A554" s="78">
        <v>129499208348</v>
      </c>
      <c r="B554" s="1" t="s">
        <v>2055</v>
      </c>
      <c r="C554" s="44" t="s">
        <v>2161</v>
      </c>
      <c r="D554" s="1" t="s">
        <v>2360</v>
      </c>
      <c r="E554" s="44" t="s">
        <v>2161</v>
      </c>
      <c r="F554" s="38" t="s">
        <v>2361</v>
      </c>
      <c r="G554" s="45">
        <v>9400</v>
      </c>
      <c r="H554" s="45">
        <v>94</v>
      </c>
    </row>
    <row r="555" spans="1:8">
      <c r="A555" s="78">
        <v>129499309216</v>
      </c>
      <c r="B555" s="1" t="s">
        <v>8</v>
      </c>
      <c r="C555" s="44" t="s">
        <v>2161</v>
      </c>
      <c r="D555" s="1" t="s">
        <v>2360</v>
      </c>
      <c r="E555" s="44" t="s">
        <v>2161</v>
      </c>
      <c r="F555" s="38" t="s">
        <v>2361</v>
      </c>
      <c r="G555" s="45">
        <v>9000</v>
      </c>
      <c r="H555" s="45">
        <v>90</v>
      </c>
    </row>
    <row r="556" spans="1:8">
      <c r="A556" s="78">
        <v>129489074570</v>
      </c>
      <c r="B556" s="1" t="s">
        <v>2055</v>
      </c>
      <c r="C556" s="44" t="s">
        <v>2147</v>
      </c>
      <c r="D556" s="1" t="s">
        <v>2360</v>
      </c>
      <c r="E556" s="44" t="s">
        <v>2147</v>
      </c>
      <c r="F556" s="38" t="s">
        <v>2361</v>
      </c>
      <c r="G556" s="45">
        <v>30700</v>
      </c>
      <c r="H556" s="45">
        <v>307</v>
      </c>
    </row>
    <row r="557" spans="1:8">
      <c r="A557" s="78">
        <v>128927187489</v>
      </c>
      <c r="B557" s="1" t="s">
        <v>8</v>
      </c>
      <c r="C557" s="44" t="s">
        <v>2161</v>
      </c>
      <c r="D557" s="1" t="s">
        <v>2360</v>
      </c>
      <c r="E557" s="44" t="s">
        <v>2161</v>
      </c>
      <c r="F557" s="38" t="s">
        <v>2361</v>
      </c>
      <c r="G557" s="45">
        <v>167700</v>
      </c>
      <c r="H557" s="45">
        <v>1677</v>
      </c>
    </row>
    <row r="558" spans="1:8">
      <c r="A558" s="78">
        <v>129489255208</v>
      </c>
      <c r="B558" s="1" t="s">
        <v>2055</v>
      </c>
      <c r="C558" s="44" t="s">
        <v>2147</v>
      </c>
      <c r="D558" s="1" t="s">
        <v>2360</v>
      </c>
      <c r="E558" s="44" t="s">
        <v>2147</v>
      </c>
      <c r="F558" s="38" t="s">
        <v>2361</v>
      </c>
      <c r="G558" s="45">
        <v>36400</v>
      </c>
      <c r="H558" s="45">
        <v>364</v>
      </c>
    </row>
    <row r="559" spans="1:8">
      <c r="A559" s="78">
        <v>128916581093</v>
      </c>
      <c r="B559" s="1" t="s">
        <v>8</v>
      </c>
      <c r="C559" s="44" t="s">
        <v>2147</v>
      </c>
      <c r="D559" s="1" t="s">
        <v>2360</v>
      </c>
      <c r="E559" s="44" t="s">
        <v>2147</v>
      </c>
      <c r="F559" s="38" t="s">
        <v>2361</v>
      </c>
      <c r="G559" s="45">
        <v>37100</v>
      </c>
      <c r="H559" s="45">
        <v>371</v>
      </c>
    </row>
    <row r="560" spans="1:8">
      <c r="A560" s="78">
        <v>128916762757</v>
      </c>
      <c r="B560" s="1" t="s">
        <v>8</v>
      </c>
      <c r="C560" s="44" t="s">
        <v>2147</v>
      </c>
      <c r="D560" s="1" t="s">
        <v>2360</v>
      </c>
      <c r="E560" s="44" t="s">
        <v>2147</v>
      </c>
      <c r="F560" s="38" t="s">
        <v>2361</v>
      </c>
      <c r="G560" s="45">
        <v>5800</v>
      </c>
      <c r="H560" s="45">
        <v>58</v>
      </c>
    </row>
    <row r="561" spans="1:8">
      <c r="A561" s="78">
        <v>128927347565</v>
      </c>
      <c r="B561" s="1" t="s">
        <v>8</v>
      </c>
      <c r="C561" s="44" t="s">
        <v>2161</v>
      </c>
      <c r="D561" s="1" t="s">
        <v>2360</v>
      </c>
      <c r="E561" s="44" t="s">
        <v>2161</v>
      </c>
      <c r="F561" s="38" t="s">
        <v>2361</v>
      </c>
      <c r="G561" s="45">
        <v>15000</v>
      </c>
      <c r="H561" s="45">
        <v>150</v>
      </c>
    </row>
    <row r="562" spans="1:8">
      <c r="A562" s="78">
        <v>129500372322</v>
      </c>
      <c r="B562" s="1" t="s">
        <v>8</v>
      </c>
      <c r="C562" s="44" t="s">
        <v>2161</v>
      </c>
      <c r="D562" s="1" t="s">
        <v>2360</v>
      </c>
      <c r="E562" s="44" t="s">
        <v>2161</v>
      </c>
      <c r="F562" s="38" t="s">
        <v>2361</v>
      </c>
      <c r="G562" s="45">
        <v>28000</v>
      </c>
      <c r="H562" s="45">
        <v>280</v>
      </c>
    </row>
    <row r="563" spans="1:8">
      <c r="A563" s="78">
        <v>128928139243</v>
      </c>
      <c r="B563" s="1" t="s">
        <v>8</v>
      </c>
      <c r="C563" s="44" t="s">
        <v>2161</v>
      </c>
      <c r="D563" s="1" t="s">
        <v>2360</v>
      </c>
      <c r="E563" s="44" t="s">
        <v>2161</v>
      </c>
      <c r="F563" s="38" t="s">
        <v>2361</v>
      </c>
      <c r="G563" s="45">
        <v>66700</v>
      </c>
      <c r="H563" s="45">
        <v>667</v>
      </c>
    </row>
    <row r="564" spans="1:8">
      <c r="A564" s="78">
        <v>128917593137</v>
      </c>
      <c r="B564" s="1" t="s">
        <v>8</v>
      </c>
      <c r="C564" s="44" t="s">
        <v>2147</v>
      </c>
      <c r="D564" s="1" t="s">
        <v>2360</v>
      </c>
      <c r="E564" s="44" t="s">
        <v>2147</v>
      </c>
      <c r="F564" s="38" t="s">
        <v>2361</v>
      </c>
      <c r="G564" s="45">
        <v>95600</v>
      </c>
      <c r="H564" s="45">
        <v>956</v>
      </c>
    </row>
    <row r="565" spans="1:8">
      <c r="A565" s="78">
        <v>128928251957</v>
      </c>
      <c r="B565" s="1" t="s">
        <v>8</v>
      </c>
      <c r="C565" s="44" t="s">
        <v>2161</v>
      </c>
      <c r="D565" s="1" t="s">
        <v>2360</v>
      </c>
      <c r="E565" s="44" t="s">
        <v>2161</v>
      </c>
      <c r="F565" s="38" t="s">
        <v>2361</v>
      </c>
      <c r="G565" s="45">
        <v>31000</v>
      </c>
      <c r="H565" s="45">
        <v>310</v>
      </c>
    </row>
    <row r="566" spans="1:8">
      <c r="A566" s="78">
        <v>128917687725</v>
      </c>
      <c r="B566" s="1" t="s">
        <v>8</v>
      </c>
      <c r="C566" s="44" t="s">
        <v>2147</v>
      </c>
      <c r="D566" s="1" t="s">
        <v>2360</v>
      </c>
      <c r="E566" s="44" t="s">
        <v>2147</v>
      </c>
      <c r="F566" s="38" t="s">
        <v>2361</v>
      </c>
      <c r="G566" s="45">
        <v>40400</v>
      </c>
      <c r="H566" s="45">
        <v>404</v>
      </c>
    </row>
    <row r="567" spans="1:8">
      <c r="A567" s="78">
        <v>129500767252</v>
      </c>
      <c r="B567" s="1" t="s">
        <v>2055</v>
      </c>
      <c r="C567" s="44" t="s">
        <v>2161</v>
      </c>
      <c r="D567" s="1" t="s">
        <v>2360</v>
      </c>
      <c r="E567" s="44" t="s">
        <v>2161</v>
      </c>
      <c r="F567" s="38" t="s">
        <v>2361</v>
      </c>
      <c r="G567" s="45">
        <v>24600</v>
      </c>
      <c r="H567" s="45">
        <v>246</v>
      </c>
    </row>
    <row r="568" spans="1:8">
      <c r="A568" s="78">
        <v>128928488341</v>
      </c>
      <c r="B568" s="1" t="s">
        <v>8</v>
      </c>
      <c r="C568" s="44" t="s">
        <v>2161</v>
      </c>
      <c r="D568" s="1" t="s">
        <v>2360</v>
      </c>
      <c r="E568" s="44" t="s">
        <v>2161</v>
      </c>
      <c r="F568" s="38" t="s">
        <v>2361</v>
      </c>
      <c r="G568" s="45">
        <v>15000</v>
      </c>
      <c r="H568" s="45">
        <v>150</v>
      </c>
    </row>
    <row r="569" spans="1:8">
      <c r="A569" s="78">
        <v>129501096404</v>
      </c>
      <c r="B569" s="1" t="s">
        <v>8</v>
      </c>
      <c r="C569" s="44" t="s">
        <v>2161</v>
      </c>
      <c r="D569" s="1" t="s">
        <v>2360</v>
      </c>
      <c r="E569" s="44" t="s">
        <v>2161</v>
      </c>
      <c r="F569" s="38" t="s">
        <v>2361</v>
      </c>
      <c r="G569" s="45">
        <v>22600</v>
      </c>
      <c r="H569" s="45">
        <v>226</v>
      </c>
    </row>
    <row r="570" spans="1:8">
      <c r="A570" s="78">
        <v>128928561231</v>
      </c>
      <c r="B570" s="1" t="s">
        <v>8</v>
      </c>
      <c r="C570" s="44" t="s">
        <v>2161</v>
      </c>
      <c r="D570" s="1" t="s">
        <v>2360</v>
      </c>
      <c r="E570" s="44" t="s">
        <v>2161</v>
      </c>
      <c r="F570" s="38" t="s">
        <v>2361</v>
      </c>
      <c r="G570" s="45">
        <v>53800</v>
      </c>
      <c r="H570" s="45">
        <v>538</v>
      </c>
    </row>
    <row r="571" spans="1:8">
      <c r="A571" s="78">
        <v>129492088316</v>
      </c>
      <c r="B571" s="1" t="s">
        <v>8</v>
      </c>
      <c r="C571" s="44" t="s">
        <v>2147</v>
      </c>
      <c r="D571" s="1" t="s">
        <v>2360</v>
      </c>
      <c r="E571" s="44" t="s">
        <v>2147</v>
      </c>
      <c r="F571" s="38" t="s">
        <v>2361</v>
      </c>
      <c r="G571" s="45">
        <v>4800</v>
      </c>
      <c r="H571" s="45">
        <v>48</v>
      </c>
    </row>
    <row r="572" spans="1:8">
      <c r="A572" s="78">
        <v>129492181546</v>
      </c>
      <c r="B572" s="1" t="s">
        <v>8</v>
      </c>
      <c r="C572" s="44" t="s">
        <v>2147</v>
      </c>
      <c r="D572" s="1" t="s">
        <v>2360</v>
      </c>
      <c r="E572" s="44" t="s">
        <v>2147</v>
      </c>
      <c r="F572" s="38" t="s">
        <v>2361</v>
      </c>
      <c r="G572" s="45">
        <v>8000</v>
      </c>
      <c r="H572" s="45">
        <v>80</v>
      </c>
    </row>
    <row r="573" spans="1:8">
      <c r="A573" s="78">
        <v>129492203894</v>
      </c>
      <c r="B573" s="1" t="s">
        <v>8</v>
      </c>
      <c r="C573" s="44" t="s">
        <v>2147</v>
      </c>
      <c r="D573" s="1" t="s">
        <v>2360</v>
      </c>
      <c r="E573" s="44" t="s">
        <v>2147</v>
      </c>
      <c r="F573" s="38" t="s">
        <v>2361</v>
      </c>
      <c r="G573" s="45">
        <v>4000</v>
      </c>
      <c r="H573" s="45">
        <v>40</v>
      </c>
    </row>
    <row r="574" spans="1:8">
      <c r="A574" s="78">
        <v>129492476708</v>
      </c>
      <c r="B574" s="1" t="s">
        <v>8</v>
      </c>
      <c r="C574" s="44" t="s">
        <v>2147</v>
      </c>
      <c r="D574" s="1" t="s">
        <v>2360</v>
      </c>
      <c r="E574" s="44" t="s">
        <v>2147</v>
      </c>
      <c r="F574" s="38" t="s">
        <v>2361</v>
      </c>
      <c r="G574" s="45">
        <v>4600</v>
      </c>
      <c r="H574" s="45">
        <v>46</v>
      </c>
    </row>
    <row r="575" spans="1:8">
      <c r="A575" s="78">
        <v>129492602114</v>
      </c>
      <c r="B575" s="1" t="s">
        <v>2055</v>
      </c>
      <c r="C575" s="44" t="s">
        <v>2147</v>
      </c>
      <c r="D575" s="1" t="s">
        <v>2360</v>
      </c>
      <c r="E575" s="44" t="s">
        <v>2147</v>
      </c>
      <c r="F575" s="38" t="s">
        <v>2361</v>
      </c>
      <c r="G575" s="45">
        <v>14700</v>
      </c>
      <c r="H575" s="45">
        <v>147</v>
      </c>
    </row>
    <row r="576" spans="1:8">
      <c r="A576" s="78">
        <v>129493185740</v>
      </c>
      <c r="B576" s="1" t="s">
        <v>8</v>
      </c>
      <c r="C576" s="44" t="s">
        <v>2147</v>
      </c>
      <c r="D576" s="1" t="s">
        <v>2360</v>
      </c>
      <c r="E576" s="44" t="s">
        <v>2147</v>
      </c>
      <c r="F576" s="38" t="s">
        <v>2361</v>
      </c>
      <c r="G576" s="45">
        <v>12800</v>
      </c>
      <c r="H576" s="45">
        <v>128</v>
      </c>
    </row>
    <row r="577" spans="1:8">
      <c r="A577" s="78">
        <v>128921310181</v>
      </c>
      <c r="B577" s="1" t="s">
        <v>2055</v>
      </c>
      <c r="C577" s="44" t="s">
        <v>2147</v>
      </c>
      <c r="D577" s="1" t="s">
        <v>2360</v>
      </c>
      <c r="E577" s="44" t="s">
        <v>2161</v>
      </c>
      <c r="F577" s="38" t="s">
        <v>2361</v>
      </c>
      <c r="G577" s="45">
        <v>4900</v>
      </c>
      <c r="H577" s="45">
        <v>49</v>
      </c>
    </row>
    <row r="578" spans="1:8">
      <c r="A578" s="78">
        <v>128922474729</v>
      </c>
      <c r="B578" s="1" t="s">
        <v>2055</v>
      </c>
      <c r="C578" s="44" t="s">
        <v>2147</v>
      </c>
      <c r="D578" s="1" t="s">
        <v>2360</v>
      </c>
      <c r="E578" s="44" t="s">
        <v>2161</v>
      </c>
      <c r="F578" s="38" t="s">
        <v>2361</v>
      </c>
      <c r="G578" s="45">
        <v>69800</v>
      </c>
      <c r="H578" s="45">
        <v>698</v>
      </c>
    </row>
    <row r="579" spans="1:8">
      <c r="A579" s="78">
        <v>129495024752</v>
      </c>
      <c r="B579" s="1" t="s">
        <v>8</v>
      </c>
      <c r="C579" s="44" t="s">
        <v>2147</v>
      </c>
      <c r="D579" s="1" t="s">
        <v>2360</v>
      </c>
      <c r="E579" s="44" t="s">
        <v>2161</v>
      </c>
      <c r="F579" s="38" t="s">
        <v>2361</v>
      </c>
      <c r="G579" s="45">
        <v>94000</v>
      </c>
      <c r="H579" s="45">
        <v>940</v>
      </c>
    </row>
    <row r="580" spans="1:8">
      <c r="A580" s="78">
        <v>128922682971</v>
      </c>
      <c r="B580" s="1" t="s">
        <v>2055</v>
      </c>
      <c r="C580" s="44" t="s">
        <v>2147</v>
      </c>
      <c r="D580" s="1" t="s">
        <v>2360</v>
      </c>
      <c r="E580" s="44" t="s">
        <v>2161</v>
      </c>
      <c r="F580" s="38" t="s">
        <v>2361</v>
      </c>
      <c r="G580" s="45">
        <v>34700</v>
      </c>
      <c r="H580" s="45">
        <v>347</v>
      </c>
    </row>
    <row r="581" spans="1:8">
      <c r="A581" s="78">
        <v>129495380726</v>
      </c>
      <c r="B581" s="1" t="s">
        <v>8</v>
      </c>
      <c r="C581" s="44" t="s">
        <v>2147</v>
      </c>
      <c r="D581" s="1" t="s">
        <v>2360</v>
      </c>
      <c r="E581" s="44" t="s">
        <v>2161</v>
      </c>
      <c r="F581" s="38" t="s">
        <v>2361</v>
      </c>
      <c r="G581" s="45">
        <v>4200</v>
      </c>
      <c r="H581" s="45">
        <v>42</v>
      </c>
    </row>
    <row r="582" spans="1:8">
      <c r="A582" s="78">
        <v>129495617158</v>
      </c>
      <c r="B582" s="1" t="s">
        <v>8</v>
      </c>
      <c r="C582" s="44" t="s">
        <v>2147</v>
      </c>
      <c r="D582" s="1" t="s">
        <v>2360</v>
      </c>
      <c r="E582" s="44" t="s">
        <v>2161</v>
      </c>
      <c r="F582" s="38" t="s">
        <v>2361</v>
      </c>
      <c r="G582" s="45">
        <v>73000</v>
      </c>
      <c r="H582" s="45">
        <v>730</v>
      </c>
    </row>
    <row r="583" spans="1:8">
      <c r="A583" s="78">
        <v>129495780212</v>
      </c>
      <c r="B583" s="1" t="s">
        <v>8</v>
      </c>
      <c r="C583" s="44" t="s">
        <v>2147</v>
      </c>
      <c r="D583" s="1" t="s">
        <v>2360</v>
      </c>
      <c r="E583" s="44" t="s">
        <v>2161</v>
      </c>
      <c r="F583" s="38" t="s">
        <v>2361</v>
      </c>
      <c r="G583" s="45">
        <v>10000</v>
      </c>
      <c r="H583" s="45">
        <v>100</v>
      </c>
    </row>
    <row r="584" spans="1:8">
      <c r="A584" s="78">
        <v>129496190454</v>
      </c>
      <c r="B584" s="1" t="s">
        <v>8</v>
      </c>
      <c r="C584" s="44" t="s">
        <v>2147</v>
      </c>
      <c r="D584" s="1" t="s">
        <v>2360</v>
      </c>
      <c r="E584" s="44" t="s">
        <v>2161</v>
      </c>
      <c r="F584" s="38" t="s">
        <v>2361</v>
      </c>
      <c r="G584" s="45">
        <v>18500</v>
      </c>
      <c r="H584" s="45">
        <v>185</v>
      </c>
    </row>
    <row r="585" spans="1:8">
      <c r="A585" s="78">
        <v>129496252230</v>
      </c>
      <c r="B585" s="1" t="s">
        <v>8</v>
      </c>
      <c r="C585" s="44" t="s">
        <v>2147</v>
      </c>
      <c r="D585" s="1" t="s">
        <v>2360</v>
      </c>
      <c r="E585" s="44" t="s">
        <v>2161</v>
      </c>
      <c r="F585" s="38" t="s">
        <v>2361</v>
      </c>
      <c r="G585" s="45">
        <v>13600</v>
      </c>
      <c r="H585" s="45">
        <v>136</v>
      </c>
    </row>
    <row r="586" spans="1:8">
      <c r="A586" s="78">
        <v>128923886243</v>
      </c>
      <c r="B586" s="1" t="s">
        <v>8</v>
      </c>
      <c r="C586" s="44" t="s">
        <v>2147</v>
      </c>
      <c r="D586" s="1" t="s">
        <v>2360</v>
      </c>
      <c r="E586" s="44" t="s">
        <v>2161</v>
      </c>
      <c r="F586" s="38" t="s">
        <v>2361</v>
      </c>
      <c r="G586" s="45">
        <v>42200</v>
      </c>
      <c r="H586" s="45">
        <v>422</v>
      </c>
    </row>
    <row r="587" spans="1:8">
      <c r="A587" s="78">
        <v>128923983439</v>
      </c>
      <c r="B587" s="1" t="s">
        <v>2055</v>
      </c>
      <c r="C587" s="44" t="s">
        <v>2147</v>
      </c>
      <c r="D587" s="1" t="s">
        <v>2360</v>
      </c>
      <c r="E587" s="44" t="s">
        <v>2161</v>
      </c>
      <c r="F587" s="38" t="s">
        <v>2361</v>
      </c>
      <c r="G587" s="45">
        <v>51900</v>
      </c>
      <c r="H587" s="45">
        <v>519</v>
      </c>
    </row>
    <row r="588" spans="1:8">
      <c r="A588" s="78">
        <v>128924745117</v>
      </c>
      <c r="B588" s="1" t="s">
        <v>8</v>
      </c>
      <c r="C588" s="44" t="s">
        <v>2161</v>
      </c>
      <c r="D588" s="1" t="s">
        <v>2360</v>
      </c>
      <c r="E588" s="44" t="s">
        <v>2161</v>
      </c>
      <c r="F588" s="38" t="s">
        <v>2361</v>
      </c>
      <c r="G588" s="45">
        <v>13000</v>
      </c>
      <c r="H588" s="45">
        <v>130</v>
      </c>
    </row>
    <row r="589" spans="1:8">
      <c r="A589" s="78">
        <v>129497682076</v>
      </c>
      <c r="B589" s="1" t="s">
        <v>8</v>
      </c>
      <c r="C589" s="44" t="s">
        <v>2161</v>
      </c>
      <c r="D589" s="1" t="s">
        <v>2360</v>
      </c>
      <c r="E589" s="44" t="s">
        <v>2161</v>
      </c>
      <c r="F589" s="38" t="s">
        <v>2361</v>
      </c>
      <c r="G589" s="45">
        <v>18600</v>
      </c>
      <c r="H589" s="45">
        <v>186</v>
      </c>
    </row>
    <row r="590" spans="1:8">
      <c r="A590" s="78">
        <v>128925850887</v>
      </c>
      <c r="B590" s="1" t="s">
        <v>8</v>
      </c>
      <c r="C590" s="44" t="s">
        <v>2161</v>
      </c>
      <c r="D590" s="1" t="s">
        <v>2360</v>
      </c>
      <c r="E590" s="44" t="s">
        <v>2161</v>
      </c>
      <c r="F590" s="38" t="s">
        <v>2361</v>
      </c>
      <c r="G590" s="45">
        <v>66200</v>
      </c>
      <c r="H590" s="45">
        <v>662</v>
      </c>
    </row>
    <row r="591" spans="1:8">
      <c r="A591" s="78">
        <v>129498257936</v>
      </c>
      <c r="B591" s="1" t="s">
        <v>8</v>
      </c>
      <c r="C591" s="44" t="s">
        <v>2161</v>
      </c>
      <c r="D591" s="1" t="s">
        <v>2360</v>
      </c>
      <c r="E591" s="44" t="s">
        <v>2161</v>
      </c>
      <c r="F591" s="38" t="s">
        <v>2361</v>
      </c>
      <c r="G591" s="45">
        <v>9400</v>
      </c>
      <c r="H591" s="45">
        <v>94</v>
      </c>
    </row>
    <row r="592" spans="1:8">
      <c r="A592" s="78">
        <v>129499008366</v>
      </c>
      <c r="B592" s="1" t="s">
        <v>8</v>
      </c>
      <c r="C592" s="44" t="s">
        <v>2161</v>
      </c>
      <c r="D592" s="1" t="s">
        <v>2360</v>
      </c>
      <c r="E592" s="44" t="s">
        <v>2161</v>
      </c>
      <c r="F592" s="38" t="s">
        <v>2361</v>
      </c>
      <c r="G592" s="45">
        <v>4200</v>
      </c>
      <c r="H592" s="45">
        <v>42</v>
      </c>
    </row>
    <row r="593" spans="1:8">
      <c r="A593" s="78">
        <v>129498994698</v>
      </c>
      <c r="B593" s="1" t="s">
        <v>2055</v>
      </c>
      <c r="C593" s="44" t="s">
        <v>2161</v>
      </c>
      <c r="D593" s="1" t="s">
        <v>2360</v>
      </c>
      <c r="E593" s="44" t="s">
        <v>2161</v>
      </c>
      <c r="F593" s="38" t="s">
        <v>2361</v>
      </c>
      <c r="G593" s="45">
        <v>85700</v>
      </c>
      <c r="H593" s="45">
        <v>857</v>
      </c>
    </row>
    <row r="594" spans="1:8">
      <c r="A594" s="78">
        <v>129499227386</v>
      </c>
      <c r="B594" s="1" t="s">
        <v>8</v>
      </c>
      <c r="C594" s="44" t="s">
        <v>2161</v>
      </c>
      <c r="D594" s="1" t="s">
        <v>2360</v>
      </c>
      <c r="E594" s="44" t="s">
        <v>2161</v>
      </c>
      <c r="F594" s="38" t="s">
        <v>2361</v>
      </c>
      <c r="G594" s="45">
        <v>43500</v>
      </c>
      <c r="H594" s="45">
        <v>435</v>
      </c>
    </row>
    <row r="595" spans="1:8">
      <c r="A595" s="78">
        <v>129499287010</v>
      </c>
      <c r="B595" s="1" t="s">
        <v>8</v>
      </c>
      <c r="C595" s="44" t="s">
        <v>2161</v>
      </c>
      <c r="D595" s="1" t="s">
        <v>2360</v>
      </c>
      <c r="E595" s="44" t="s">
        <v>2161</v>
      </c>
      <c r="F595" s="38" t="s">
        <v>2361</v>
      </c>
      <c r="G595" s="45">
        <v>10000</v>
      </c>
      <c r="H595" s="45">
        <v>100</v>
      </c>
    </row>
    <row r="596" spans="1:8">
      <c r="A596" s="78">
        <v>128927240081</v>
      </c>
      <c r="B596" s="1" t="s">
        <v>8</v>
      </c>
      <c r="C596" s="44" t="s">
        <v>2161</v>
      </c>
      <c r="D596" s="1" t="s">
        <v>2360</v>
      </c>
      <c r="E596" s="44" t="s">
        <v>2161</v>
      </c>
      <c r="F596" s="38" t="s">
        <v>2361</v>
      </c>
      <c r="G596" s="45">
        <v>7800</v>
      </c>
      <c r="H596" s="45">
        <v>78</v>
      </c>
    </row>
    <row r="597" spans="1:8">
      <c r="A597" s="78">
        <v>129500491858</v>
      </c>
      <c r="B597" s="1" t="s">
        <v>8</v>
      </c>
      <c r="C597" s="44" t="s">
        <v>2161</v>
      </c>
      <c r="D597" s="1" t="s">
        <v>2360</v>
      </c>
      <c r="E597" s="44" t="s">
        <v>2161</v>
      </c>
      <c r="F597" s="38" t="s">
        <v>2361</v>
      </c>
      <c r="G597" s="45">
        <v>75600</v>
      </c>
      <c r="H597" s="45">
        <v>756</v>
      </c>
    </row>
    <row r="598" spans="1:8">
      <c r="A598" s="78">
        <v>129500992922</v>
      </c>
      <c r="B598" s="1" t="s">
        <v>8</v>
      </c>
      <c r="C598" s="44" t="s">
        <v>2161</v>
      </c>
      <c r="D598" s="1" t="s">
        <v>2360</v>
      </c>
      <c r="E598" s="44" t="s">
        <v>2161</v>
      </c>
      <c r="F598" s="38" t="s">
        <v>2361</v>
      </c>
      <c r="G598" s="45">
        <v>14400</v>
      </c>
      <c r="H598" s="45">
        <v>144</v>
      </c>
    </row>
    <row r="599" spans="1:8">
      <c r="A599" s="78">
        <v>129500923562</v>
      </c>
      <c r="B599" s="1" t="s">
        <v>8</v>
      </c>
      <c r="C599" s="44" t="s">
        <v>2161</v>
      </c>
      <c r="D599" s="1" t="s">
        <v>2360</v>
      </c>
      <c r="E599" s="44" t="s">
        <v>2161</v>
      </c>
      <c r="F599" s="38" t="s">
        <v>2361</v>
      </c>
      <c r="G599" s="45">
        <v>10600</v>
      </c>
      <c r="H599" s="45">
        <v>106</v>
      </c>
    </row>
    <row r="600" spans="1:8">
      <c r="A600" s="78">
        <v>129586128048</v>
      </c>
      <c r="B600" s="1" t="s">
        <v>8</v>
      </c>
      <c r="C600" s="44" t="s">
        <v>2161</v>
      </c>
      <c r="D600" s="1" t="s">
        <v>2360</v>
      </c>
      <c r="E600" s="44" t="s">
        <v>2161</v>
      </c>
      <c r="F600" s="38" t="s">
        <v>2361</v>
      </c>
      <c r="G600" s="45">
        <v>11600</v>
      </c>
      <c r="H600" s="45">
        <v>116</v>
      </c>
    </row>
    <row r="601" spans="1:8">
      <c r="A601" s="78">
        <v>129017128399</v>
      </c>
      <c r="B601" s="1" t="s">
        <v>8</v>
      </c>
      <c r="C601" s="44" t="s">
        <v>2161</v>
      </c>
      <c r="D601" s="1" t="s">
        <v>2360</v>
      </c>
      <c r="E601" s="44" t="s">
        <v>2161</v>
      </c>
      <c r="F601" s="38" t="s">
        <v>2361</v>
      </c>
      <c r="G601" s="45">
        <v>9600</v>
      </c>
      <c r="H601" s="45">
        <v>96</v>
      </c>
    </row>
    <row r="602" spans="1:8">
      <c r="A602" s="78">
        <v>129018427613</v>
      </c>
      <c r="B602" s="1" t="s">
        <v>2055</v>
      </c>
      <c r="C602" s="44" t="s">
        <v>2161</v>
      </c>
      <c r="D602" s="1" t="s">
        <v>2360</v>
      </c>
      <c r="E602" s="44" t="s">
        <v>2161</v>
      </c>
      <c r="F602" s="38" t="s">
        <v>2361</v>
      </c>
      <c r="G602" s="45">
        <v>9700</v>
      </c>
      <c r="H602" s="45">
        <v>97</v>
      </c>
    </row>
    <row r="603" spans="1:8">
      <c r="A603" s="78">
        <v>129593690834</v>
      </c>
      <c r="B603" s="1" t="s">
        <v>2055</v>
      </c>
      <c r="C603" s="44" t="s">
        <v>2161</v>
      </c>
      <c r="D603" s="1" t="s">
        <v>2360</v>
      </c>
      <c r="E603" s="44" t="s">
        <v>2161</v>
      </c>
      <c r="F603" s="38" t="s">
        <v>2361</v>
      </c>
      <c r="G603" s="45">
        <v>9700</v>
      </c>
      <c r="H603" s="45">
        <v>97</v>
      </c>
    </row>
    <row r="604" spans="1:8">
      <c r="A604" s="78">
        <v>129594827970</v>
      </c>
      <c r="B604" s="1" t="s">
        <v>8</v>
      </c>
      <c r="C604" s="44" t="s">
        <v>2161</v>
      </c>
      <c r="D604" s="1" t="s">
        <v>2360</v>
      </c>
      <c r="E604" s="44" t="s">
        <v>2161</v>
      </c>
      <c r="F604" s="38" t="s">
        <v>2361</v>
      </c>
      <c r="G604" s="45">
        <v>21700</v>
      </c>
      <c r="H604" s="45">
        <v>217</v>
      </c>
    </row>
    <row r="605" spans="1:8">
      <c r="A605" s="78">
        <v>129023931579</v>
      </c>
      <c r="B605" s="1" t="s">
        <v>2055</v>
      </c>
      <c r="C605" s="44" t="s">
        <v>2161</v>
      </c>
      <c r="D605" s="1" t="s">
        <v>2360</v>
      </c>
      <c r="E605" s="44" t="s">
        <v>2161</v>
      </c>
      <c r="F605" s="38" t="s">
        <v>2361</v>
      </c>
      <c r="G605" s="45">
        <v>9800</v>
      </c>
      <c r="H605" s="45">
        <v>98</v>
      </c>
    </row>
    <row r="606" spans="1:8">
      <c r="A606" s="78">
        <v>129025880623</v>
      </c>
      <c r="B606" s="1" t="s">
        <v>2055</v>
      </c>
      <c r="C606" s="44" t="s">
        <v>2161</v>
      </c>
      <c r="D606" s="1" t="s">
        <v>2360</v>
      </c>
      <c r="E606" s="44" t="s">
        <v>2161</v>
      </c>
      <c r="F606" s="38" t="s">
        <v>2361</v>
      </c>
      <c r="G606" s="45">
        <v>8000</v>
      </c>
      <c r="H606" s="45">
        <v>80</v>
      </c>
    </row>
    <row r="607" spans="1:8">
      <c r="A607" s="78">
        <v>129599378422</v>
      </c>
      <c r="B607" s="1" t="s">
        <v>8</v>
      </c>
      <c r="C607" s="44" t="s">
        <v>2161</v>
      </c>
      <c r="D607" s="1" t="s">
        <v>2360</v>
      </c>
      <c r="E607" s="44" t="s">
        <v>2161</v>
      </c>
      <c r="F607" s="38" t="s">
        <v>2361</v>
      </c>
      <c r="G607" s="45">
        <v>81000</v>
      </c>
      <c r="H607" s="45">
        <v>810</v>
      </c>
    </row>
    <row r="608" spans="1:8">
      <c r="A608" s="78">
        <v>129026897081</v>
      </c>
      <c r="B608" s="1" t="s">
        <v>8</v>
      </c>
      <c r="C608" s="44" t="s">
        <v>2161</v>
      </c>
      <c r="D608" s="1" t="s">
        <v>2360</v>
      </c>
      <c r="E608" s="44" t="s">
        <v>2161</v>
      </c>
      <c r="F608" s="38" t="s">
        <v>2361</v>
      </c>
      <c r="G608" s="45">
        <v>21800</v>
      </c>
      <c r="H608" s="45">
        <v>218</v>
      </c>
    </row>
    <row r="609" spans="1:8">
      <c r="A609" s="78">
        <v>129027124435</v>
      </c>
      <c r="B609" s="1" t="s">
        <v>2055</v>
      </c>
      <c r="C609" s="44" t="s">
        <v>2161</v>
      </c>
      <c r="D609" s="1" t="s">
        <v>2360</v>
      </c>
      <c r="E609" s="44" t="s">
        <v>2161</v>
      </c>
      <c r="F609" s="38" t="s">
        <v>2361</v>
      </c>
      <c r="G609" s="45">
        <v>14600</v>
      </c>
      <c r="H609" s="45">
        <v>146</v>
      </c>
    </row>
    <row r="610" spans="1:8">
      <c r="A610" s="78">
        <v>129028884505</v>
      </c>
      <c r="B610" s="1" t="s">
        <v>2055</v>
      </c>
      <c r="C610" s="44" t="s">
        <v>2161</v>
      </c>
      <c r="D610" s="1" t="s">
        <v>2360</v>
      </c>
      <c r="E610" s="44" t="s">
        <v>2161</v>
      </c>
      <c r="F610" s="38" t="s">
        <v>2361</v>
      </c>
      <c r="G610" s="45">
        <v>9600</v>
      </c>
      <c r="H610" s="45">
        <v>96</v>
      </c>
    </row>
    <row r="611" spans="1:8">
      <c r="A611" s="78">
        <v>129029037517</v>
      </c>
      <c r="B611" s="1" t="s">
        <v>8</v>
      </c>
      <c r="C611" s="44" t="s">
        <v>2161</v>
      </c>
      <c r="D611" s="1" t="s">
        <v>2360</v>
      </c>
      <c r="E611" s="44" t="s">
        <v>2161</v>
      </c>
      <c r="F611" s="38" t="s">
        <v>2361</v>
      </c>
      <c r="G611" s="45">
        <v>20700</v>
      </c>
      <c r="H611" s="45">
        <v>207</v>
      </c>
    </row>
    <row r="612" spans="1:8">
      <c r="A612" s="78">
        <v>129602058662</v>
      </c>
      <c r="B612" s="1" t="s">
        <v>8</v>
      </c>
      <c r="C612" s="44" t="s">
        <v>2161</v>
      </c>
      <c r="D612" s="1" t="s">
        <v>2360</v>
      </c>
      <c r="E612" s="44" t="s">
        <v>2161</v>
      </c>
      <c r="F612" s="38" t="s">
        <v>2361</v>
      </c>
      <c r="G612" s="45">
        <v>12400</v>
      </c>
      <c r="H612" s="45">
        <v>124</v>
      </c>
    </row>
    <row r="613" spans="1:8">
      <c r="A613" s="78">
        <v>129029166013</v>
      </c>
      <c r="B613" s="1" t="s">
        <v>8</v>
      </c>
      <c r="C613" s="44" t="s">
        <v>2161</v>
      </c>
      <c r="D613" s="1" t="s">
        <v>2360</v>
      </c>
      <c r="E613" s="44" t="s">
        <v>2161</v>
      </c>
      <c r="F613" s="38" t="s">
        <v>2361</v>
      </c>
      <c r="G613" s="45">
        <v>9600</v>
      </c>
      <c r="H613" s="45">
        <v>96</v>
      </c>
    </row>
    <row r="614" spans="1:8">
      <c r="A614" s="78">
        <v>129030713857</v>
      </c>
      <c r="B614" s="1" t="s">
        <v>8</v>
      </c>
      <c r="C614" s="44" t="s">
        <v>2161</v>
      </c>
      <c r="D614" s="1" t="s">
        <v>2360</v>
      </c>
      <c r="E614" s="44" t="s">
        <v>2161</v>
      </c>
      <c r="F614" s="38" t="s">
        <v>2361</v>
      </c>
      <c r="G614" s="45">
        <v>24700</v>
      </c>
      <c r="H614" s="45">
        <v>247</v>
      </c>
    </row>
    <row r="615" spans="1:8">
      <c r="A615" s="78">
        <v>129592679060</v>
      </c>
      <c r="B615" s="1" t="s">
        <v>8</v>
      </c>
      <c r="C615" s="44" t="s">
        <v>2161</v>
      </c>
      <c r="D615" s="1" t="s">
        <v>2360</v>
      </c>
      <c r="E615" s="44" t="s">
        <v>2161</v>
      </c>
      <c r="F615" s="38" t="s">
        <v>2361</v>
      </c>
      <c r="G615" s="45">
        <v>4800</v>
      </c>
      <c r="H615" s="45">
        <v>48</v>
      </c>
    </row>
    <row r="616" spans="1:8">
      <c r="A616" s="78">
        <v>129031118031</v>
      </c>
      <c r="B616" s="1" t="s">
        <v>8</v>
      </c>
      <c r="C616" s="44" t="s">
        <v>2161</v>
      </c>
      <c r="D616" s="1" t="s">
        <v>2360</v>
      </c>
      <c r="E616" s="44" t="s">
        <v>2161</v>
      </c>
      <c r="F616" s="38" t="s">
        <v>2361</v>
      </c>
      <c r="G616" s="45">
        <v>19400</v>
      </c>
      <c r="H616" s="45">
        <v>194</v>
      </c>
    </row>
    <row r="617" spans="1:8">
      <c r="A617" s="78">
        <v>129031186867</v>
      </c>
      <c r="B617" s="1" t="s">
        <v>2055</v>
      </c>
      <c r="C617" s="44" t="s">
        <v>2161</v>
      </c>
      <c r="D617" s="1" t="s">
        <v>2360</v>
      </c>
      <c r="E617" s="44" t="s">
        <v>2161</v>
      </c>
      <c r="F617" s="38" t="s">
        <v>2361</v>
      </c>
      <c r="G617" s="45">
        <v>58800</v>
      </c>
      <c r="H617" s="45">
        <v>588</v>
      </c>
    </row>
    <row r="618" spans="1:8">
      <c r="A618" s="78">
        <v>129606428966</v>
      </c>
      <c r="B618" s="1" t="s">
        <v>8</v>
      </c>
      <c r="C618" s="44" t="s">
        <v>2161</v>
      </c>
      <c r="D618" s="1" t="s">
        <v>2360</v>
      </c>
      <c r="E618" s="44" t="s">
        <v>2161</v>
      </c>
      <c r="F618" s="38" t="s">
        <v>2361</v>
      </c>
      <c r="G618" s="45">
        <v>105000</v>
      </c>
      <c r="H618" s="45">
        <v>1050</v>
      </c>
    </row>
    <row r="619" spans="1:8">
      <c r="A619" s="78">
        <v>129022677169</v>
      </c>
      <c r="B619" s="1" t="s">
        <v>8</v>
      </c>
      <c r="C619" s="44" t="s">
        <v>2161</v>
      </c>
      <c r="D619" s="1" t="s">
        <v>2360</v>
      </c>
      <c r="E619" s="44" t="s">
        <v>2161</v>
      </c>
      <c r="F619" s="38" t="s">
        <v>2361</v>
      </c>
      <c r="G619" s="45">
        <v>19200</v>
      </c>
      <c r="H619" s="45">
        <v>192</v>
      </c>
    </row>
    <row r="620" spans="1:8">
      <c r="A620" s="78">
        <v>129034274459</v>
      </c>
      <c r="B620" s="1" t="s">
        <v>8</v>
      </c>
      <c r="C620" s="44" t="s">
        <v>2161</v>
      </c>
      <c r="D620" s="1" t="s">
        <v>2360</v>
      </c>
      <c r="E620" s="44" t="s">
        <v>2161</v>
      </c>
      <c r="F620" s="38" t="s">
        <v>2361</v>
      </c>
      <c r="G620" s="45">
        <v>61400</v>
      </c>
      <c r="H620" s="45">
        <v>614</v>
      </c>
    </row>
    <row r="621" spans="1:8">
      <c r="A621" s="78">
        <v>129607232380</v>
      </c>
      <c r="B621" s="1" t="s">
        <v>8</v>
      </c>
      <c r="C621" s="44" t="s">
        <v>2161</v>
      </c>
      <c r="D621" s="1" t="s">
        <v>2360</v>
      </c>
      <c r="E621" s="44" t="s">
        <v>2161</v>
      </c>
      <c r="F621" s="38" t="s">
        <v>2361</v>
      </c>
      <c r="G621" s="45">
        <v>8200</v>
      </c>
      <c r="H621" s="45">
        <v>82</v>
      </c>
    </row>
    <row r="622" spans="1:8">
      <c r="A622" s="78">
        <v>129596975966</v>
      </c>
      <c r="B622" s="1" t="s">
        <v>2055</v>
      </c>
      <c r="C622" s="44" t="s">
        <v>2161</v>
      </c>
      <c r="D622" s="1" t="s">
        <v>2360</v>
      </c>
      <c r="E622" s="44" t="s">
        <v>2161</v>
      </c>
      <c r="F622" s="38" t="s">
        <v>2361</v>
      </c>
      <c r="G622" s="45">
        <v>38300</v>
      </c>
      <c r="H622" s="45">
        <v>383</v>
      </c>
    </row>
    <row r="623" spans="1:8">
      <c r="A623" s="78">
        <v>129608485214</v>
      </c>
      <c r="B623" s="1" t="s">
        <v>2055</v>
      </c>
      <c r="C623" s="44" t="s">
        <v>2161</v>
      </c>
      <c r="D623" s="1" t="s">
        <v>2360</v>
      </c>
      <c r="E623" s="44" t="s">
        <v>2161</v>
      </c>
      <c r="F623" s="38" t="s">
        <v>2361</v>
      </c>
      <c r="G623" s="45">
        <v>74400</v>
      </c>
      <c r="H623" s="45">
        <v>744</v>
      </c>
    </row>
    <row r="624" spans="1:8">
      <c r="A624" s="78">
        <v>129024231633</v>
      </c>
      <c r="B624" s="1" t="s">
        <v>2055</v>
      </c>
      <c r="C624" s="44" t="s">
        <v>2161</v>
      </c>
      <c r="D624" s="1" t="s">
        <v>2360</v>
      </c>
      <c r="E624" s="44" t="s">
        <v>2161</v>
      </c>
      <c r="F624" s="38" t="s">
        <v>2361</v>
      </c>
      <c r="G624" s="45">
        <v>5900</v>
      </c>
      <c r="H624" s="45">
        <v>59</v>
      </c>
    </row>
    <row r="625" spans="1:8">
      <c r="A625" s="78">
        <v>129035729183</v>
      </c>
      <c r="B625" s="1" t="s">
        <v>8</v>
      </c>
      <c r="C625" s="44" t="s">
        <v>2161</v>
      </c>
      <c r="D625" s="1" t="s">
        <v>2360</v>
      </c>
      <c r="E625" s="44" t="s">
        <v>2161</v>
      </c>
      <c r="F625" s="38" t="s">
        <v>2361</v>
      </c>
      <c r="G625" s="45">
        <v>9800</v>
      </c>
      <c r="H625" s="45">
        <v>98</v>
      </c>
    </row>
    <row r="626" spans="1:8">
      <c r="A626" s="78">
        <v>129036090355</v>
      </c>
      <c r="B626" s="1" t="s">
        <v>8</v>
      </c>
      <c r="C626" s="44" t="s">
        <v>2161</v>
      </c>
      <c r="D626" s="1" t="s">
        <v>2360</v>
      </c>
      <c r="E626" s="44" t="s">
        <v>2161</v>
      </c>
      <c r="F626" s="38" t="s">
        <v>2361</v>
      </c>
      <c r="G626" s="45">
        <v>5000</v>
      </c>
      <c r="H626" s="45">
        <v>50</v>
      </c>
    </row>
    <row r="627" spans="1:8">
      <c r="A627" s="78">
        <v>129609138584</v>
      </c>
      <c r="B627" s="1" t="s">
        <v>8</v>
      </c>
      <c r="C627" s="44" t="s">
        <v>2161</v>
      </c>
      <c r="D627" s="1" t="s">
        <v>2360</v>
      </c>
      <c r="E627" s="44" t="s">
        <v>2161</v>
      </c>
      <c r="F627" s="38" t="s">
        <v>2361</v>
      </c>
      <c r="G627" s="45">
        <v>34800</v>
      </c>
      <c r="H627" s="45">
        <v>348</v>
      </c>
    </row>
    <row r="628" spans="1:8">
      <c r="A628" s="78">
        <v>129024994181</v>
      </c>
      <c r="B628" s="1" t="s">
        <v>2055</v>
      </c>
      <c r="C628" s="44" t="s">
        <v>2161</v>
      </c>
      <c r="D628" s="1" t="s">
        <v>2360</v>
      </c>
      <c r="E628" s="44" t="s">
        <v>2161</v>
      </c>
      <c r="F628" s="38" t="s">
        <v>2361</v>
      </c>
      <c r="G628" s="45">
        <v>31800</v>
      </c>
      <c r="H628" s="45">
        <v>318</v>
      </c>
    </row>
    <row r="629" spans="1:8">
      <c r="A629" s="78">
        <v>129598052900</v>
      </c>
      <c r="B629" s="1" t="s">
        <v>8</v>
      </c>
      <c r="C629" s="44" t="s">
        <v>2161</v>
      </c>
      <c r="D629" s="1" t="s">
        <v>2360</v>
      </c>
      <c r="E629" s="44" t="s">
        <v>2161</v>
      </c>
      <c r="F629" s="38" t="s">
        <v>2361</v>
      </c>
      <c r="G629" s="45">
        <v>29900</v>
      </c>
      <c r="H629" s="45">
        <v>299</v>
      </c>
    </row>
    <row r="630" spans="1:8">
      <c r="A630" s="78">
        <v>129025992691</v>
      </c>
      <c r="B630" s="1" t="s">
        <v>8</v>
      </c>
      <c r="C630" s="44" t="s">
        <v>2161</v>
      </c>
      <c r="D630" s="1" t="s">
        <v>2360</v>
      </c>
      <c r="E630" s="44" t="s">
        <v>2161</v>
      </c>
      <c r="F630" s="38" t="s">
        <v>2361</v>
      </c>
      <c r="G630" s="45">
        <v>75900</v>
      </c>
      <c r="H630" s="45">
        <v>759</v>
      </c>
    </row>
    <row r="631" spans="1:8">
      <c r="A631" s="78">
        <v>129610390102</v>
      </c>
      <c r="B631" s="1" t="s">
        <v>8</v>
      </c>
      <c r="C631" s="44" t="s">
        <v>2161</v>
      </c>
      <c r="D631" s="1" t="s">
        <v>2360</v>
      </c>
      <c r="E631" s="44" t="s">
        <v>2161</v>
      </c>
      <c r="F631" s="38" t="s">
        <v>2361</v>
      </c>
      <c r="G631" s="45">
        <v>40000</v>
      </c>
      <c r="H631" s="45">
        <v>400</v>
      </c>
    </row>
    <row r="632" spans="1:8">
      <c r="A632" s="78">
        <v>129599307758</v>
      </c>
      <c r="B632" s="1" t="s">
        <v>8</v>
      </c>
      <c r="C632" s="44" t="s">
        <v>2161</v>
      </c>
      <c r="D632" s="1" t="s">
        <v>2360</v>
      </c>
      <c r="E632" s="44" t="s">
        <v>2161</v>
      </c>
      <c r="F632" s="38" t="s">
        <v>2361</v>
      </c>
      <c r="G632" s="45">
        <v>34200</v>
      </c>
      <c r="H632" s="45">
        <v>342</v>
      </c>
    </row>
    <row r="633" spans="1:8">
      <c r="A633" s="78">
        <v>129038067875</v>
      </c>
      <c r="B633" s="1" t="s">
        <v>2055</v>
      </c>
      <c r="C633" s="44" t="s">
        <v>2161</v>
      </c>
      <c r="D633" s="1" t="s">
        <v>2360</v>
      </c>
      <c r="E633" s="44" t="s">
        <v>2161</v>
      </c>
      <c r="F633" s="38" t="s">
        <v>2361</v>
      </c>
      <c r="G633" s="45">
        <v>9000</v>
      </c>
      <c r="H633" s="45">
        <v>90</v>
      </c>
    </row>
    <row r="634" spans="1:8">
      <c r="A634" s="78">
        <v>129038255279</v>
      </c>
      <c r="B634" s="1" t="s">
        <v>8</v>
      </c>
      <c r="C634" s="44" t="s">
        <v>2161</v>
      </c>
      <c r="D634" s="1" t="s">
        <v>2360</v>
      </c>
      <c r="E634" s="44" t="s">
        <v>2161</v>
      </c>
      <c r="F634" s="38" t="s">
        <v>2361</v>
      </c>
      <c r="G634" s="45">
        <v>13400</v>
      </c>
      <c r="H634" s="45">
        <v>134</v>
      </c>
    </row>
    <row r="635" spans="1:8">
      <c r="A635" s="78">
        <v>129611198742</v>
      </c>
      <c r="B635" s="1" t="s">
        <v>8</v>
      </c>
      <c r="C635" s="44" t="s">
        <v>2161</v>
      </c>
      <c r="D635" s="1" t="s">
        <v>2360</v>
      </c>
      <c r="E635" s="44" t="s">
        <v>2161</v>
      </c>
      <c r="F635" s="38" t="s">
        <v>2361</v>
      </c>
      <c r="G635" s="45">
        <v>21400</v>
      </c>
      <c r="H635" s="45">
        <v>214</v>
      </c>
    </row>
    <row r="636" spans="1:8">
      <c r="A636" s="78">
        <v>129611514822</v>
      </c>
      <c r="B636" s="1" t="s">
        <v>8</v>
      </c>
      <c r="C636" s="44" t="s">
        <v>2161</v>
      </c>
      <c r="D636" s="1" t="s">
        <v>2360</v>
      </c>
      <c r="E636" s="44" t="s">
        <v>2161</v>
      </c>
      <c r="F636" s="38" t="s">
        <v>2361</v>
      </c>
      <c r="G636" s="45">
        <v>35500</v>
      </c>
      <c r="H636" s="45">
        <v>355</v>
      </c>
    </row>
    <row r="637" spans="1:8">
      <c r="A637" s="78">
        <v>129611760024</v>
      </c>
      <c r="B637" s="1" t="s">
        <v>8</v>
      </c>
      <c r="C637" s="44" t="s">
        <v>2161</v>
      </c>
      <c r="D637" s="1" t="s">
        <v>2360</v>
      </c>
      <c r="E637" s="44" t="s">
        <v>2161</v>
      </c>
      <c r="F637" s="38" t="s">
        <v>2361</v>
      </c>
      <c r="G637" s="45">
        <v>4800</v>
      </c>
      <c r="H637" s="45">
        <v>48</v>
      </c>
    </row>
    <row r="638" spans="1:8">
      <c r="A638" s="78">
        <v>129039009389</v>
      </c>
      <c r="B638" s="1" t="s">
        <v>8</v>
      </c>
      <c r="C638" s="44" t="s">
        <v>2161</v>
      </c>
      <c r="D638" s="1" t="s">
        <v>2360</v>
      </c>
      <c r="E638" s="44" t="s">
        <v>2161</v>
      </c>
      <c r="F638" s="38" t="s">
        <v>2361</v>
      </c>
      <c r="G638" s="45">
        <v>4200</v>
      </c>
      <c r="H638" s="45">
        <v>42</v>
      </c>
    </row>
    <row r="639" spans="1:8">
      <c r="A639" s="78">
        <v>129612039128</v>
      </c>
      <c r="B639" s="1" t="s">
        <v>8</v>
      </c>
      <c r="C639" s="44" t="s">
        <v>2161</v>
      </c>
      <c r="D639" s="1" t="s">
        <v>2360</v>
      </c>
      <c r="E639" s="44" t="s">
        <v>2161</v>
      </c>
      <c r="F639" s="38" t="s">
        <v>2361</v>
      </c>
      <c r="G639" s="45">
        <v>4800</v>
      </c>
      <c r="H639" s="45">
        <v>48</v>
      </c>
    </row>
    <row r="640" spans="1:8">
      <c r="A640" s="78">
        <v>129039190217</v>
      </c>
      <c r="B640" s="1" t="s">
        <v>8</v>
      </c>
      <c r="C640" s="44" t="s">
        <v>2161</v>
      </c>
      <c r="D640" s="1" t="s">
        <v>2360</v>
      </c>
      <c r="E640" s="44" t="s">
        <v>2161</v>
      </c>
      <c r="F640" s="38" t="s">
        <v>2361</v>
      </c>
      <c r="G640" s="45">
        <v>4600</v>
      </c>
      <c r="H640" s="45">
        <v>46</v>
      </c>
    </row>
    <row r="641" spans="1:8">
      <c r="A641" s="78">
        <v>129039242257</v>
      </c>
      <c r="B641" s="1" t="s">
        <v>8</v>
      </c>
      <c r="C641" s="44" t="s">
        <v>2161</v>
      </c>
      <c r="D641" s="1" t="s">
        <v>2360</v>
      </c>
      <c r="E641" s="44" t="s">
        <v>2161</v>
      </c>
      <c r="F641" s="38" t="s">
        <v>2361</v>
      </c>
      <c r="G641" s="45">
        <v>65700</v>
      </c>
      <c r="H641" s="45">
        <v>657</v>
      </c>
    </row>
    <row r="642" spans="1:8">
      <c r="A642" s="78">
        <v>129612215634</v>
      </c>
      <c r="B642" s="1" t="s">
        <v>8</v>
      </c>
      <c r="C642" s="44" t="s">
        <v>2161</v>
      </c>
      <c r="D642" s="1" t="s">
        <v>2360</v>
      </c>
      <c r="E642" s="44" t="s">
        <v>2161</v>
      </c>
      <c r="F642" s="38" t="s">
        <v>2361</v>
      </c>
      <c r="G642" s="45">
        <v>9600</v>
      </c>
      <c r="H642" s="45">
        <v>96</v>
      </c>
    </row>
    <row r="643" spans="1:8">
      <c r="A643" s="78">
        <v>129601578702</v>
      </c>
      <c r="B643" s="1" t="s">
        <v>8</v>
      </c>
      <c r="C643" s="44" t="s">
        <v>2161</v>
      </c>
      <c r="D643" s="1" t="s">
        <v>2360</v>
      </c>
      <c r="E643" s="44" t="s">
        <v>2161</v>
      </c>
      <c r="F643" s="38" t="s">
        <v>2361</v>
      </c>
      <c r="G643" s="45">
        <v>9600</v>
      </c>
      <c r="H643" s="45">
        <v>96</v>
      </c>
    </row>
    <row r="644" spans="1:8">
      <c r="A644" s="78">
        <v>129613344728</v>
      </c>
      <c r="B644" s="1" t="s">
        <v>2055</v>
      </c>
      <c r="C644" s="44" t="s">
        <v>2161</v>
      </c>
      <c r="D644" s="1" t="s">
        <v>2360</v>
      </c>
      <c r="E644" s="44" t="s">
        <v>2161</v>
      </c>
      <c r="F644" s="38" t="s">
        <v>2361</v>
      </c>
      <c r="G644" s="45">
        <v>13200</v>
      </c>
      <c r="H644" s="45">
        <v>132</v>
      </c>
    </row>
    <row r="645" spans="1:8">
      <c r="A645" s="78">
        <v>129040565267</v>
      </c>
      <c r="B645" s="1" t="s">
        <v>8</v>
      </c>
      <c r="C645" s="44" t="s">
        <v>2161</v>
      </c>
      <c r="D645" s="1" t="s">
        <v>2360</v>
      </c>
      <c r="E645" s="44" t="s">
        <v>2161</v>
      </c>
      <c r="F645" s="38" t="s">
        <v>2361</v>
      </c>
      <c r="G645" s="45">
        <v>70100</v>
      </c>
      <c r="H645" s="45">
        <v>701</v>
      </c>
    </row>
    <row r="646" spans="1:8">
      <c r="A646" s="78">
        <v>129040694001</v>
      </c>
      <c r="B646" s="1" t="s">
        <v>2055</v>
      </c>
      <c r="C646" s="44" t="s">
        <v>2161</v>
      </c>
      <c r="D646" s="1" t="s">
        <v>2360</v>
      </c>
      <c r="E646" s="44" t="s">
        <v>2161</v>
      </c>
      <c r="F646" s="38" t="s">
        <v>2361</v>
      </c>
      <c r="G646" s="45">
        <v>9000</v>
      </c>
      <c r="H646" s="45">
        <v>90</v>
      </c>
    </row>
    <row r="647" spans="1:8">
      <c r="A647" s="78">
        <v>129040868883</v>
      </c>
      <c r="B647" s="1" t="s">
        <v>2055</v>
      </c>
      <c r="C647" s="44" t="s">
        <v>2161</v>
      </c>
      <c r="D647" s="1" t="s">
        <v>2360</v>
      </c>
      <c r="E647" s="44" t="s">
        <v>2161</v>
      </c>
      <c r="F647" s="38" t="s">
        <v>2361</v>
      </c>
      <c r="G647" s="45">
        <v>39500</v>
      </c>
      <c r="H647" s="45">
        <v>395</v>
      </c>
    </row>
    <row r="648" spans="1:8">
      <c r="A648" s="78">
        <v>129613900400</v>
      </c>
      <c r="B648" s="1" t="s">
        <v>2055</v>
      </c>
      <c r="C648" s="44" t="s">
        <v>2161</v>
      </c>
      <c r="D648" s="1" t="s">
        <v>2360</v>
      </c>
      <c r="E648" s="44" t="s">
        <v>2161</v>
      </c>
      <c r="F648" s="38" t="s">
        <v>2361</v>
      </c>
      <c r="G648" s="45">
        <v>10300</v>
      </c>
      <c r="H648" s="45">
        <v>103</v>
      </c>
    </row>
    <row r="649" spans="1:8">
      <c r="A649" s="78">
        <v>129041177509</v>
      </c>
      <c r="B649" s="1" t="s">
        <v>2055</v>
      </c>
      <c r="C649" s="44" t="s">
        <v>2161</v>
      </c>
      <c r="D649" s="1" t="s">
        <v>2360</v>
      </c>
      <c r="E649" s="44" t="s">
        <v>2174</v>
      </c>
      <c r="F649" s="38" t="s">
        <v>2361</v>
      </c>
      <c r="G649" s="45">
        <v>37800</v>
      </c>
      <c r="H649" s="45">
        <v>378</v>
      </c>
    </row>
    <row r="650" spans="1:8">
      <c r="A650" s="78">
        <v>129041378905</v>
      </c>
      <c r="B650" s="1" t="s">
        <v>2055</v>
      </c>
      <c r="C650" s="44" t="s">
        <v>2161</v>
      </c>
      <c r="D650" s="1" t="s">
        <v>2360</v>
      </c>
      <c r="E650" s="44" t="s">
        <v>2174</v>
      </c>
      <c r="F650" s="38" t="s">
        <v>2361</v>
      </c>
      <c r="G650" s="45">
        <v>36300</v>
      </c>
      <c r="H650" s="45">
        <v>363</v>
      </c>
    </row>
    <row r="651" spans="1:8">
      <c r="A651" s="78">
        <v>129614386934</v>
      </c>
      <c r="B651" s="1" t="s">
        <v>2055</v>
      </c>
      <c r="C651" s="44" t="s">
        <v>2161</v>
      </c>
      <c r="D651" s="1" t="s">
        <v>2360</v>
      </c>
      <c r="E651" s="44" t="s">
        <v>2174</v>
      </c>
      <c r="F651" s="38" t="s">
        <v>2361</v>
      </c>
      <c r="G651" s="45">
        <v>47600</v>
      </c>
      <c r="H651" s="45">
        <v>476</v>
      </c>
    </row>
    <row r="652" spans="1:8">
      <c r="A652" s="78">
        <v>129614525496</v>
      </c>
      <c r="B652" s="1" t="s">
        <v>8</v>
      </c>
      <c r="C652" s="44" t="s">
        <v>2161</v>
      </c>
      <c r="D652" s="1" t="s">
        <v>2360</v>
      </c>
      <c r="E652" s="44" t="s">
        <v>2174</v>
      </c>
      <c r="F652" s="38" t="s">
        <v>2361</v>
      </c>
      <c r="G652" s="45">
        <v>47000</v>
      </c>
      <c r="H652" s="45">
        <v>470</v>
      </c>
    </row>
    <row r="653" spans="1:8">
      <c r="A653" s="78">
        <v>129042140311</v>
      </c>
      <c r="B653" s="1" t="s">
        <v>8</v>
      </c>
      <c r="C653" s="44" t="s">
        <v>2161</v>
      </c>
      <c r="D653" s="1" t="s">
        <v>2360</v>
      </c>
      <c r="E653" s="44" t="s">
        <v>2174</v>
      </c>
      <c r="F653" s="38" t="s">
        <v>2361</v>
      </c>
      <c r="G653" s="45">
        <v>30100</v>
      </c>
      <c r="H653" s="45">
        <v>301</v>
      </c>
    </row>
    <row r="654" spans="1:8">
      <c r="A654" s="78">
        <v>129603583714</v>
      </c>
      <c r="B654" s="1" t="s">
        <v>8</v>
      </c>
      <c r="C654" s="44" t="s">
        <v>2161</v>
      </c>
      <c r="D654" s="1" t="s">
        <v>2360</v>
      </c>
      <c r="E654" s="44" t="s">
        <v>2161</v>
      </c>
      <c r="F654" s="38" t="s">
        <v>2361</v>
      </c>
      <c r="G654" s="45">
        <v>26550</v>
      </c>
      <c r="H654" s="45">
        <v>265.5</v>
      </c>
    </row>
    <row r="655" spans="1:8">
      <c r="A655" s="78">
        <v>129614959172</v>
      </c>
      <c r="B655" s="1" t="s">
        <v>8</v>
      </c>
      <c r="C655" s="44" t="s">
        <v>2161</v>
      </c>
      <c r="D655" s="1" t="s">
        <v>2360</v>
      </c>
      <c r="E655" s="44" t="s">
        <v>2174</v>
      </c>
      <c r="F655" s="38" t="s">
        <v>2361</v>
      </c>
      <c r="G655" s="45">
        <v>12700</v>
      </c>
      <c r="H655" s="45">
        <v>127</v>
      </c>
    </row>
    <row r="656" spans="1:8">
      <c r="A656" s="78">
        <v>129615274552</v>
      </c>
      <c r="B656" s="1" t="s">
        <v>8</v>
      </c>
      <c r="C656" s="44" t="s">
        <v>2161</v>
      </c>
      <c r="D656" s="1" t="s">
        <v>2360</v>
      </c>
      <c r="E656" s="44" t="s">
        <v>2174</v>
      </c>
      <c r="F656" s="38" t="s">
        <v>2361</v>
      </c>
      <c r="G656" s="45">
        <v>10300</v>
      </c>
      <c r="H656" s="45">
        <v>103</v>
      </c>
    </row>
    <row r="657" spans="1:8">
      <c r="A657" s="78">
        <v>129042467745</v>
      </c>
      <c r="B657" s="1" t="s">
        <v>8</v>
      </c>
      <c r="C657" s="44" t="s">
        <v>2161</v>
      </c>
      <c r="D657" s="1" t="s">
        <v>2360</v>
      </c>
      <c r="E657" s="44" t="s">
        <v>2174</v>
      </c>
      <c r="F657" s="38" t="s">
        <v>2361</v>
      </c>
      <c r="G657" s="45">
        <v>24600</v>
      </c>
      <c r="H657" s="45">
        <v>246</v>
      </c>
    </row>
    <row r="658" spans="1:8">
      <c r="A658" s="78">
        <v>129031727651</v>
      </c>
      <c r="B658" s="1" t="s">
        <v>2055</v>
      </c>
      <c r="C658" s="44" t="s">
        <v>2161</v>
      </c>
      <c r="D658" s="1" t="s">
        <v>2360</v>
      </c>
      <c r="E658" s="44" t="s">
        <v>2161</v>
      </c>
      <c r="F658" s="38" t="s">
        <v>2361</v>
      </c>
      <c r="G658" s="45">
        <v>13800</v>
      </c>
      <c r="H658" s="45">
        <v>138</v>
      </c>
    </row>
    <row r="659" spans="1:8">
      <c r="A659" s="78">
        <v>129043313181</v>
      </c>
      <c r="B659" s="1" t="s">
        <v>8</v>
      </c>
      <c r="C659" s="44" t="s">
        <v>2161</v>
      </c>
      <c r="D659" s="1" t="s">
        <v>2360</v>
      </c>
      <c r="E659" s="44" t="s">
        <v>2174</v>
      </c>
      <c r="F659" s="38" t="s">
        <v>2361</v>
      </c>
      <c r="G659" s="45">
        <v>50600</v>
      </c>
      <c r="H659" s="45">
        <v>506</v>
      </c>
    </row>
    <row r="660" spans="1:8">
      <c r="A660" s="78">
        <v>129043708273</v>
      </c>
      <c r="B660" s="1" t="s">
        <v>2055</v>
      </c>
      <c r="C660" s="44" t="s">
        <v>2161</v>
      </c>
      <c r="D660" s="1" t="s">
        <v>2360</v>
      </c>
      <c r="E660" s="44" t="s">
        <v>2174</v>
      </c>
      <c r="F660" s="38" t="s">
        <v>2361</v>
      </c>
      <c r="G660" s="45">
        <v>91900</v>
      </c>
      <c r="H660" s="45">
        <v>919</v>
      </c>
    </row>
    <row r="661" spans="1:8">
      <c r="A661" s="78">
        <v>129617259534</v>
      </c>
      <c r="B661" s="1" t="s">
        <v>8</v>
      </c>
      <c r="C661" s="44" t="s">
        <v>2161</v>
      </c>
      <c r="D661" s="1" t="s">
        <v>2360</v>
      </c>
      <c r="E661" s="44" t="s">
        <v>2174</v>
      </c>
      <c r="F661" s="38" t="s">
        <v>2361</v>
      </c>
      <c r="G661" s="45">
        <v>10600</v>
      </c>
      <c r="H661" s="45">
        <v>106</v>
      </c>
    </row>
    <row r="662" spans="1:8">
      <c r="A662" s="78">
        <v>129044322707</v>
      </c>
      <c r="B662" s="1" t="s">
        <v>2055</v>
      </c>
      <c r="C662" s="44" t="s">
        <v>2174</v>
      </c>
      <c r="D662" s="1" t="s">
        <v>2360</v>
      </c>
      <c r="E662" s="44" t="s">
        <v>2174</v>
      </c>
      <c r="F662" s="38" t="s">
        <v>2361</v>
      </c>
      <c r="G662" s="45">
        <v>79700</v>
      </c>
      <c r="H662" s="45">
        <v>797</v>
      </c>
    </row>
    <row r="663" spans="1:8">
      <c r="A663" s="78">
        <v>129044360883</v>
      </c>
      <c r="B663" s="1" t="s">
        <v>8</v>
      </c>
      <c r="C663" s="44" t="s">
        <v>2174</v>
      </c>
      <c r="D663" s="1" t="s">
        <v>2360</v>
      </c>
      <c r="E663" s="44" t="s">
        <v>2174</v>
      </c>
      <c r="F663" s="38" t="s">
        <v>2361</v>
      </c>
      <c r="G663" s="45">
        <v>37800</v>
      </c>
      <c r="H663" s="45">
        <v>378</v>
      </c>
    </row>
    <row r="664" spans="1:8">
      <c r="A664" s="78">
        <v>129045120785</v>
      </c>
      <c r="B664" s="1" t="s">
        <v>2055</v>
      </c>
      <c r="C664" s="44" t="s">
        <v>2174</v>
      </c>
      <c r="D664" s="1" t="s">
        <v>2360</v>
      </c>
      <c r="E664" s="44" t="s">
        <v>2174</v>
      </c>
      <c r="F664" s="38" t="s">
        <v>2361</v>
      </c>
      <c r="G664" s="45">
        <v>139100</v>
      </c>
      <c r="H664" s="45">
        <v>1391</v>
      </c>
    </row>
    <row r="665" spans="1:8">
      <c r="A665" s="78">
        <v>129045122761</v>
      </c>
      <c r="B665" s="1" t="s">
        <v>8</v>
      </c>
      <c r="C665" s="44" t="s">
        <v>2174</v>
      </c>
      <c r="D665" s="1" t="s">
        <v>2360</v>
      </c>
      <c r="E665" s="44" t="s">
        <v>2174</v>
      </c>
      <c r="F665" s="38" t="s">
        <v>2361</v>
      </c>
      <c r="G665" s="45">
        <v>14200</v>
      </c>
      <c r="H665" s="45">
        <v>142</v>
      </c>
    </row>
    <row r="666" spans="1:8">
      <c r="A666" s="78">
        <v>129617996694</v>
      </c>
      <c r="B666" s="1" t="s">
        <v>2055</v>
      </c>
      <c r="C666" s="44" t="s">
        <v>2174</v>
      </c>
      <c r="D666" s="1" t="s">
        <v>2360</v>
      </c>
      <c r="E666" s="44" t="s">
        <v>2174</v>
      </c>
      <c r="F666" s="38" t="s">
        <v>2361</v>
      </c>
      <c r="G666" s="45">
        <v>8000</v>
      </c>
      <c r="H666" s="45">
        <v>80</v>
      </c>
    </row>
    <row r="667" spans="1:8">
      <c r="A667" s="78">
        <v>129045288133</v>
      </c>
      <c r="B667" s="1" t="s">
        <v>8</v>
      </c>
      <c r="C667" s="44" t="s">
        <v>2174</v>
      </c>
      <c r="D667" s="1" t="s">
        <v>2360</v>
      </c>
      <c r="E667" s="44" t="s">
        <v>2174</v>
      </c>
      <c r="F667" s="38" t="s">
        <v>2361</v>
      </c>
      <c r="G667" s="45">
        <v>9600</v>
      </c>
      <c r="H667" s="45">
        <v>96</v>
      </c>
    </row>
    <row r="668" spans="1:8">
      <c r="A668" s="78">
        <v>129034163043</v>
      </c>
      <c r="B668" s="1" t="s">
        <v>2055</v>
      </c>
      <c r="C668" s="44" t="s">
        <v>2161</v>
      </c>
      <c r="D668" s="1" t="s">
        <v>2360</v>
      </c>
      <c r="E668" s="44" t="s">
        <v>2161</v>
      </c>
      <c r="F668" s="38" t="s">
        <v>2361</v>
      </c>
      <c r="G668" s="45">
        <v>34000</v>
      </c>
      <c r="H668" s="45">
        <v>340</v>
      </c>
    </row>
    <row r="669" spans="1:8">
      <c r="A669" s="78">
        <v>129618551002</v>
      </c>
      <c r="B669" s="1" t="s">
        <v>8</v>
      </c>
      <c r="C669" s="44" t="s">
        <v>2174</v>
      </c>
      <c r="D669" s="1" t="s">
        <v>2360</v>
      </c>
      <c r="E669" s="44" t="s">
        <v>2174</v>
      </c>
      <c r="F669" s="38" t="s">
        <v>2361</v>
      </c>
      <c r="G669" s="45">
        <v>112200</v>
      </c>
      <c r="H669" s="45">
        <v>1122</v>
      </c>
    </row>
    <row r="670" spans="1:8">
      <c r="A670" s="78">
        <v>129607601758</v>
      </c>
      <c r="B670" s="1" t="s">
        <v>8</v>
      </c>
      <c r="C670" s="44" t="s">
        <v>2161</v>
      </c>
      <c r="D670" s="1" t="s">
        <v>2360</v>
      </c>
      <c r="E670" s="44" t="s">
        <v>2161</v>
      </c>
      <c r="F670" s="38" t="s">
        <v>2361</v>
      </c>
      <c r="G670" s="45">
        <v>12400</v>
      </c>
      <c r="H670" s="45">
        <v>124</v>
      </c>
    </row>
    <row r="671" spans="1:8">
      <c r="A671" s="78">
        <v>129046696415</v>
      </c>
      <c r="B671" s="1" t="s">
        <v>8</v>
      </c>
      <c r="C671" s="44" t="s">
        <v>2174</v>
      </c>
      <c r="D671" s="1" t="s">
        <v>2360</v>
      </c>
      <c r="E671" s="44" t="s">
        <v>2174</v>
      </c>
      <c r="F671" s="38" t="s">
        <v>2361</v>
      </c>
      <c r="G671" s="45">
        <v>9600</v>
      </c>
      <c r="H671" s="45">
        <v>96</v>
      </c>
    </row>
    <row r="672" spans="1:8">
      <c r="A672" s="78">
        <v>129046863069</v>
      </c>
      <c r="B672" s="1" t="s">
        <v>8</v>
      </c>
      <c r="C672" s="44" t="s">
        <v>2174</v>
      </c>
      <c r="D672" s="1" t="s">
        <v>2360</v>
      </c>
      <c r="E672" s="44" t="s">
        <v>2174</v>
      </c>
      <c r="F672" s="38" t="s">
        <v>2361</v>
      </c>
      <c r="G672" s="45">
        <v>9800</v>
      </c>
      <c r="H672" s="45">
        <v>98</v>
      </c>
    </row>
    <row r="673" spans="1:8">
      <c r="A673" s="78">
        <v>129608565554</v>
      </c>
      <c r="B673" s="1" t="s">
        <v>8</v>
      </c>
      <c r="C673" s="44" t="s">
        <v>2161</v>
      </c>
      <c r="D673" s="1" t="s">
        <v>2360</v>
      </c>
      <c r="E673" s="44" t="s">
        <v>2161</v>
      </c>
      <c r="F673" s="38" t="s">
        <v>2361</v>
      </c>
      <c r="G673" s="45">
        <v>4900</v>
      </c>
      <c r="H673" s="45">
        <v>49</v>
      </c>
    </row>
    <row r="674" spans="1:8">
      <c r="A674" s="78">
        <v>129046984055</v>
      </c>
      <c r="B674" s="1" t="s">
        <v>2055</v>
      </c>
      <c r="C674" s="44" t="s">
        <v>2174</v>
      </c>
      <c r="D674" s="1" t="s">
        <v>2360</v>
      </c>
      <c r="E674" s="44" t="s">
        <v>2174</v>
      </c>
      <c r="F674" s="38" t="s">
        <v>2361</v>
      </c>
      <c r="G674" s="45">
        <v>4000</v>
      </c>
      <c r="H674" s="45">
        <v>40</v>
      </c>
    </row>
    <row r="675" spans="1:8">
      <c r="A675" s="78">
        <v>129047936471</v>
      </c>
      <c r="B675" s="1" t="s">
        <v>8</v>
      </c>
      <c r="C675" s="44" t="s">
        <v>2174</v>
      </c>
      <c r="D675" s="1" t="s">
        <v>2360</v>
      </c>
      <c r="E675" s="44" t="s">
        <v>2174</v>
      </c>
      <c r="F675" s="38" t="s">
        <v>2361</v>
      </c>
      <c r="G675" s="45">
        <v>10000</v>
      </c>
      <c r="H675" s="45">
        <v>100</v>
      </c>
    </row>
    <row r="676" spans="1:8">
      <c r="A676" s="78">
        <v>129620916788</v>
      </c>
      <c r="B676" s="1" t="s">
        <v>8</v>
      </c>
      <c r="C676" s="44" t="s">
        <v>2174</v>
      </c>
      <c r="D676" s="1" t="s">
        <v>2360</v>
      </c>
      <c r="E676" s="44" t="s">
        <v>2174</v>
      </c>
      <c r="F676" s="38" t="s">
        <v>2361</v>
      </c>
      <c r="G676" s="45">
        <v>9500</v>
      </c>
      <c r="H676" s="45">
        <v>95</v>
      </c>
    </row>
    <row r="677" spans="1:8">
      <c r="A677" s="78">
        <v>129036637851</v>
      </c>
      <c r="B677" s="1" t="s">
        <v>8</v>
      </c>
      <c r="C677" s="44" t="s">
        <v>2161</v>
      </c>
      <c r="D677" s="1" t="s">
        <v>2360</v>
      </c>
      <c r="E677" s="44" t="s">
        <v>2161</v>
      </c>
      <c r="F677" s="38" t="s">
        <v>2361</v>
      </c>
      <c r="G677" s="45">
        <v>10000</v>
      </c>
      <c r="H677" s="45">
        <v>100</v>
      </c>
    </row>
    <row r="678" spans="1:8">
      <c r="A678" s="78">
        <v>129609804684</v>
      </c>
      <c r="B678" s="1" t="s">
        <v>2055</v>
      </c>
      <c r="C678" s="44" t="s">
        <v>2161</v>
      </c>
      <c r="D678" s="1" t="s">
        <v>2360</v>
      </c>
      <c r="E678" s="44" t="s">
        <v>2161</v>
      </c>
      <c r="F678" s="38" t="s">
        <v>2361</v>
      </c>
      <c r="G678" s="45">
        <v>9600</v>
      </c>
      <c r="H678" s="45">
        <v>96</v>
      </c>
    </row>
    <row r="679" spans="1:8">
      <c r="A679" s="78">
        <v>129621179894</v>
      </c>
      <c r="B679" s="1" t="s">
        <v>8</v>
      </c>
      <c r="C679" s="44" t="s">
        <v>2174</v>
      </c>
      <c r="D679" s="1" t="s">
        <v>2360</v>
      </c>
      <c r="E679" s="44" t="s">
        <v>2174</v>
      </c>
      <c r="F679" s="38" t="s">
        <v>2361</v>
      </c>
      <c r="G679" s="45">
        <v>13200</v>
      </c>
      <c r="H679" s="45">
        <v>132</v>
      </c>
    </row>
    <row r="680" spans="1:8">
      <c r="A680" s="78">
        <v>129610020300</v>
      </c>
      <c r="B680" s="1" t="s">
        <v>8</v>
      </c>
      <c r="C680" s="44" t="s">
        <v>2161</v>
      </c>
      <c r="D680" s="1" t="s">
        <v>2360</v>
      </c>
      <c r="E680" s="44" t="s">
        <v>2161</v>
      </c>
      <c r="F680" s="38" t="s">
        <v>2361</v>
      </c>
      <c r="G680" s="45">
        <v>59900</v>
      </c>
      <c r="H680" s="45">
        <v>599</v>
      </c>
    </row>
    <row r="681" spans="1:8">
      <c r="A681" s="78">
        <v>129048368871</v>
      </c>
      <c r="B681" s="1" t="s">
        <v>8</v>
      </c>
      <c r="C681" s="44" t="s">
        <v>2174</v>
      </c>
      <c r="D681" s="1" t="s">
        <v>2360</v>
      </c>
      <c r="E681" s="44" t="s">
        <v>2174</v>
      </c>
      <c r="F681" s="38" t="s">
        <v>2361</v>
      </c>
      <c r="G681" s="45">
        <v>15600</v>
      </c>
      <c r="H681" s="45">
        <v>156</v>
      </c>
    </row>
    <row r="682" spans="1:8">
      <c r="A682" s="78">
        <v>129048444225</v>
      </c>
      <c r="B682" s="1" t="s">
        <v>8</v>
      </c>
      <c r="C682" s="44" t="s">
        <v>2174</v>
      </c>
      <c r="D682" s="1" t="s">
        <v>2360</v>
      </c>
      <c r="E682" s="44" t="s">
        <v>2174</v>
      </c>
      <c r="F682" s="38" t="s">
        <v>2361</v>
      </c>
      <c r="G682" s="45">
        <v>10600</v>
      </c>
      <c r="H682" s="45">
        <v>106</v>
      </c>
    </row>
    <row r="683" spans="1:8">
      <c r="A683" s="78">
        <v>129621259702</v>
      </c>
      <c r="B683" s="1" t="s">
        <v>8</v>
      </c>
      <c r="C683" s="44" t="s">
        <v>2174</v>
      </c>
      <c r="D683" s="1" t="s">
        <v>2360</v>
      </c>
      <c r="E683" s="44" t="s">
        <v>2174</v>
      </c>
      <c r="F683" s="38" t="s">
        <v>2361</v>
      </c>
      <c r="G683" s="45">
        <v>9400</v>
      </c>
      <c r="H683" s="45">
        <v>94</v>
      </c>
    </row>
    <row r="684" spans="1:8">
      <c r="A684" s="78">
        <v>129621414226</v>
      </c>
      <c r="B684" s="1" t="s">
        <v>8</v>
      </c>
      <c r="C684" s="44" t="s">
        <v>2174</v>
      </c>
      <c r="D684" s="1" t="s">
        <v>2360</v>
      </c>
      <c r="E684" s="44" t="s">
        <v>2174</v>
      </c>
      <c r="F684" s="38" t="s">
        <v>2361</v>
      </c>
      <c r="G684" s="45">
        <v>28600</v>
      </c>
      <c r="H684" s="45">
        <v>286</v>
      </c>
    </row>
    <row r="685" spans="1:8">
      <c r="A685" s="78">
        <v>129621426704</v>
      </c>
      <c r="B685" s="1" t="s">
        <v>8</v>
      </c>
      <c r="C685" s="44" t="s">
        <v>2174</v>
      </c>
      <c r="D685" s="1" t="s">
        <v>2360</v>
      </c>
      <c r="E685" s="44" t="s">
        <v>2174</v>
      </c>
      <c r="F685" s="38" t="s">
        <v>2361</v>
      </c>
      <c r="G685" s="45">
        <v>56300</v>
      </c>
      <c r="H685" s="45">
        <v>563</v>
      </c>
    </row>
    <row r="686" spans="1:8">
      <c r="A686" s="78">
        <v>129610361428</v>
      </c>
      <c r="B686" s="1" t="s">
        <v>2055</v>
      </c>
      <c r="C686" s="44" t="s">
        <v>2161</v>
      </c>
      <c r="D686" s="1" t="s">
        <v>2360</v>
      </c>
      <c r="E686" s="44" t="s">
        <v>2161</v>
      </c>
      <c r="F686" s="38" t="s">
        <v>2361</v>
      </c>
      <c r="G686" s="45">
        <v>74100</v>
      </c>
      <c r="H686" s="45">
        <v>741</v>
      </c>
    </row>
    <row r="687" spans="1:8">
      <c r="A687" s="78">
        <v>129611461620</v>
      </c>
      <c r="B687" s="1" t="s">
        <v>8</v>
      </c>
      <c r="C687" s="44" t="s">
        <v>2161</v>
      </c>
      <c r="D687" s="1" t="s">
        <v>2360</v>
      </c>
      <c r="E687" s="44" t="s">
        <v>2161</v>
      </c>
      <c r="F687" s="38" t="s">
        <v>2361</v>
      </c>
      <c r="G687" s="45">
        <v>14600</v>
      </c>
      <c r="H687" s="45">
        <v>146</v>
      </c>
    </row>
    <row r="688" spans="1:8">
      <c r="A688" s="78">
        <v>129613766564</v>
      </c>
      <c r="B688" s="1" t="s">
        <v>2055</v>
      </c>
      <c r="C688" s="44" t="s">
        <v>2161</v>
      </c>
      <c r="D688" s="1" t="s">
        <v>2360</v>
      </c>
      <c r="E688" s="44" t="s">
        <v>2161</v>
      </c>
      <c r="F688" s="38" t="s">
        <v>2361</v>
      </c>
      <c r="G688" s="45">
        <v>4800</v>
      </c>
      <c r="H688" s="45">
        <v>48</v>
      </c>
    </row>
    <row r="689" spans="1:8">
      <c r="A689" s="78">
        <v>129613950886</v>
      </c>
      <c r="B689" s="1" t="s">
        <v>2055</v>
      </c>
      <c r="C689" s="44" t="s">
        <v>2161</v>
      </c>
      <c r="D689" s="1" t="s">
        <v>2360</v>
      </c>
      <c r="E689" s="44" t="s">
        <v>2161</v>
      </c>
      <c r="F689" s="38" t="s">
        <v>2361</v>
      </c>
      <c r="G689" s="45">
        <v>17800</v>
      </c>
      <c r="H689" s="45">
        <v>178</v>
      </c>
    </row>
    <row r="690" spans="1:8">
      <c r="A690" s="78">
        <v>129041040795</v>
      </c>
      <c r="B690" s="1" t="s">
        <v>8</v>
      </c>
      <c r="C690" s="44" t="s">
        <v>2161</v>
      </c>
      <c r="D690" s="1" t="s">
        <v>2360</v>
      </c>
      <c r="E690" s="44" t="s">
        <v>2174</v>
      </c>
      <c r="F690" s="38" t="s">
        <v>2361</v>
      </c>
      <c r="G690" s="45">
        <v>103300</v>
      </c>
      <c r="H690" s="45">
        <v>1033</v>
      </c>
    </row>
    <row r="691" spans="1:8">
      <c r="A691" s="78">
        <v>129041338131</v>
      </c>
      <c r="B691" s="1" t="s">
        <v>8</v>
      </c>
      <c r="C691" s="44" t="s">
        <v>2161</v>
      </c>
      <c r="D691" s="1" t="s">
        <v>2360</v>
      </c>
      <c r="E691" s="44" t="s">
        <v>2174</v>
      </c>
      <c r="F691" s="38" t="s">
        <v>2361</v>
      </c>
      <c r="G691" s="45">
        <v>48000</v>
      </c>
      <c r="H691" s="45">
        <v>480</v>
      </c>
    </row>
    <row r="692" spans="1:8">
      <c r="A692" s="78">
        <v>129041401037</v>
      </c>
      <c r="B692" s="1" t="s">
        <v>8</v>
      </c>
      <c r="C692" s="44" t="s">
        <v>2161</v>
      </c>
      <c r="D692" s="1" t="s">
        <v>2360</v>
      </c>
      <c r="E692" s="44" t="s">
        <v>2174</v>
      </c>
      <c r="F692" s="38" t="s">
        <v>2361</v>
      </c>
      <c r="G692" s="45">
        <v>8900</v>
      </c>
      <c r="H692" s="45">
        <v>89</v>
      </c>
    </row>
    <row r="693" spans="1:8">
      <c r="A693" s="78">
        <v>129614515948</v>
      </c>
      <c r="B693" s="1" t="s">
        <v>8</v>
      </c>
      <c r="C693" s="44" t="s">
        <v>2161</v>
      </c>
      <c r="D693" s="1" t="s">
        <v>2360</v>
      </c>
      <c r="E693" s="44" t="s">
        <v>2174</v>
      </c>
      <c r="F693" s="38" t="s">
        <v>2361</v>
      </c>
      <c r="G693" s="45">
        <v>9600</v>
      </c>
      <c r="H693" s="45">
        <v>96</v>
      </c>
    </row>
    <row r="694" spans="1:8">
      <c r="A694" s="78">
        <v>129041884973</v>
      </c>
      <c r="B694" s="1" t="s">
        <v>8</v>
      </c>
      <c r="C694" s="44" t="s">
        <v>2161</v>
      </c>
      <c r="D694" s="1" t="s">
        <v>2360</v>
      </c>
      <c r="E694" s="44" t="s">
        <v>2174</v>
      </c>
      <c r="F694" s="38" t="s">
        <v>2361</v>
      </c>
      <c r="G694" s="45">
        <v>14500</v>
      </c>
      <c r="H694" s="45">
        <v>145</v>
      </c>
    </row>
    <row r="695" spans="1:8">
      <c r="A695" s="78">
        <v>129042046381</v>
      </c>
      <c r="B695" s="1" t="s">
        <v>8</v>
      </c>
      <c r="C695" s="44" t="s">
        <v>2161</v>
      </c>
      <c r="D695" s="1" t="s">
        <v>2360</v>
      </c>
      <c r="E695" s="44" t="s">
        <v>2174</v>
      </c>
      <c r="F695" s="38" t="s">
        <v>2361</v>
      </c>
      <c r="G695" s="45">
        <v>32900</v>
      </c>
      <c r="H695" s="45">
        <v>329</v>
      </c>
    </row>
    <row r="696" spans="1:8">
      <c r="A696" s="78">
        <v>129615263844</v>
      </c>
      <c r="B696" s="1" t="s">
        <v>8</v>
      </c>
      <c r="C696" s="44" t="s">
        <v>2161</v>
      </c>
      <c r="D696" s="1" t="s">
        <v>2360</v>
      </c>
      <c r="E696" s="44" t="s">
        <v>2174</v>
      </c>
      <c r="F696" s="38" t="s">
        <v>2361</v>
      </c>
      <c r="G696" s="45">
        <v>13000</v>
      </c>
      <c r="H696" s="45">
        <v>130</v>
      </c>
    </row>
    <row r="697" spans="1:8">
      <c r="A697" s="78">
        <v>129043240467</v>
      </c>
      <c r="B697" s="1" t="s">
        <v>8</v>
      </c>
      <c r="C697" s="44" t="s">
        <v>2161</v>
      </c>
      <c r="D697" s="1" t="s">
        <v>2360</v>
      </c>
      <c r="E697" s="44" t="s">
        <v>2174</v>
      </c>
      <c r="F697" s="38" t="s">
        <v>2361</v>
      </c>
      <c r="G697" s="45">
        <v>9800</v>
      </c>
      <c r="H697" s="45">
        <v>98</v>
      </c>
    </row>
    <row r="698" spans="1:8">
      <c r="A698" s="78">
        <v>129043316565</v>
      </c>
      <c r="B698" s="1" t="s">
        <v>8</v>
      </c>
      <c r="C698" s="44" t="s">
        <v>2161</v>
      </c>
      <c r="D698" s="1" t="s">
        <v>2360</v>
      </c>
      <c r="E698" s="44" t="s">
        <v>2174</v>
      </c>
      <c r="F698" s="38" t="s">
        <v>2361</v>
      </c>
      <c r="G698" s="45">
        <v>9200</v>
      </c>
      <c r="H698" s="45">
        <v>92</v>
      </c>
    </row>
    <row r="699" spans="1:8">
      <c r="A699" s="78">
        <v>129043545109</v>
      </c>
      <c r="B699" s="1" t="s">
        <v>8</v>
      </c>
      <c r="C699" s="44" t="s">
        <v>2161</v>
      </c>
      <c r="D699" s="1" t="s">
        <v>2360</v>
      </c>
      <c r="E699" s="44" t="s">
        <v>2174</v>
      </c>
      <c r="F699" s="38" t="s">
        <v>2361</v>
      </c>
      <c r="G699" s="45">
        <v>8400</v>
      </c>
      <c r="H699" s="45">
        <v>84</v>
      </c>
    </row>
    <row r="700" spans="1:8">
      <c r="A700" s="78">
        <v>129043666455</v>
      </c>
      <c r="B700" s="1" t="s">
        <v>2055</v>
      </c>
      <c r="C700" s="44" t="s">
        <v>2161</v>
      </c>
      <c r="D700" s="1" t="s">
        <v>2360</v>
      </c>
      <c r="E700" s="44" t="s">
        <v>2174</v>
      </c>
      <c r="F700" s="38" t="s">
        <v>2361</v>
      </c>
      <c r="G700" s="45">
        <v>8600</v>
      </c>
      <c r="H700" s="45">
        <v>86</v>
      </c>
    </row>
    <row r="701" spans="1:8">
      <c r="A701" s="78">
        <v>129043974077</v>
      </c>
      <c r="B701" s="1" t="s">
        <v>8</v>
      </c>
      <c r="C701" s="44" t="s">
        <v>2161</v>
      </c>
      <c r="D701" s="1" t="s">
        <v>2360</v>
      </c>
      <c r="E701" s="44" t="s">
        <v>2174</v>
      </c>
      <c r="F701" s="38" t="s">
        <v>2361</v>
      </c>
      <c r="G701" s="45">
        <v>25800</v>
      </c>
      <c r="H701" s="45">
        <v>258</v>
      </c>
    </row>
    <row r="702" spans="1:8">
      <c r="A702" s="78">
        <v>129044065429</v>
      </c>
      <c r="B702" s="1" t="s">
        <v>2055</v>
      </c>
      <c r="C702" s="44" t="s">
        <v>2161</v>
      </c>
      <c r="D702" s="1" t="s">
        <v>2360</v>
      </c>
      <c r="E702" s="44" t="s">
        <v>2174</v>
      </c>
      <c r="F702" s="38" t="s">
        <v>2361</v>
      </c>
      <c r="G702" s="45">
        <v>47300</v>
      </c>
      <c r="H702" s="45">
        <v>473</v>
      </c>
    </row>
    <row r="703" spans="1:8">
      <c r="A703" s="78">
        <v>129044603083</v>
      </c>
      <c r="B703" s="1" t="s">
        <v>2055</v>
      </c>
      <c r="C703" s="44" t="s">
        <v>2174</v>
      </c>
      <c r="D703" s="1" t="s">
        <v>2360</v>
      </c>
      <c r="E703" s="44" t="s">
        <v>2174</v>
      </c>
      <c r="F703" s="38" t="s">
        <v>2361</v>
      </c>
      <c r="G703" s="45">
        <v>18100</v>
      </c>
      <c r="H703" s="45">
        <v>181</v>
      </c>
    </row>
    <row r="704" spans="1:8">
      <c r="A704" s="78">
        <v>129045319317</v>
      </c>
      <c r="B704" s="1" t="s">
        <v>8</v>
      </c>
      <c r="C704" s="44" t="s">
        <v>2174</v>
      </c>
      <c r="D704" s="1" t="s">
        <v>2360</v>
      </c>
      <c r="E704" s="44" t="s">
        <v>2174</v>
      </c>
      <c r="F704" s="38" t="s">
        <v>2361</v>
      </c>
      <c r="G704" s="45">
        <v>27600</v>
      </c>
      <c r="H704" s="45">
        <v>276</v>
      </c>
    </row>
    <row r="705" spans="1:8">
      <c r="A705" s="78">
        <v>129045423297</v>
      </c>
      <c r="B705" s="1" t="s">
        <v>8</v>
      </c>
      <c r="C705" s="44" t="s">
        <v>2174</v>
      </c>
      <c r="D705" s="1" t="s">
        <v>2360</v>
      </c>
      <c r="E705" s="44" t="s">
        <v>2174</v>
      </c>
      <c r="F705" s="38" t="s">
        <v>2361</v>
      </c>
      <c r="G705" s="45">
        <v>14600</v>
      </c>
      <c r="H705" s="45">
        <v>146</v>
      </c>
    </row>
    <row r="706" spans="1:8">
      <c r="A706" s="78">
        <v>129618619096</v>
      </c>
      <c r="B706" s="1" t="s">
        <v>2055</v>
      </c>
      <c r="C706" s="44" t="s">
        <v>2174</v>
      </c>
      <c r="D706" s="1" t="s">
        <v>2360</v>
      </c>
      <c r="E706" s="44" t="s">
        <v>2174</v>
      </c>
      <c r="F706" s="38" t="s">
        <v>2361</v>
      </c>
      <c r="G706" s="45">
        <v>9600</v>
      </c>
      <c r="H706" s="45">
        <v>96</v>
      </c>
    </row>
    <row r="707" spans="1:8">
      <c r="A707" s="78">
        <v>129045868221</v>
      </c>
      <c r="B707" s="1" t="s">
        <v>2055</v>
      </c>
      <c r="C707" s="44" t="s">
        <v>2174</v>
      </c>
      <c r="D707" s="1" t="s">
        <v>2360</v>
      </c>
      <c r="E707" s="44" t="s">
        <v>2174</v>
      </c>
      <c r="F707" s="38" t="s">
        <v>2361</v>
      </c>
      <c r="G707" s="45">
        <v>4800</v>
      </c>
      <c r="H707" s="45">
        <v>48</v>
      </c>
    </row>
    <row r="708" spans="1:8">
      <c r="A708" s="78">
        <v>129620006666</v>
      </c>
      <c r="B708" s="1" t="s">
        <v>8</v>
      </c>
      <c r="C708" s="44" t="s">
        <v>2174</v>
      </c>
      <c r="D708" s="1" t="s">
        <v>2360</v>
      </c>
      <c r="E708" s="44" t="s">
        <v>2174</v>
      </c>
      <c r="F708" s="38" t="s">
        <v>2361</v>
      </c>
      <c r="G708" s="45">
        <v>4000</v>
      </c>
      <c r="H708" s="45">
        <v>40</v>
      </c>
    </row>
    <row r="709" spans="1:8">
      <c r="A709" s="78">
        <v>129047014463</v>
      </c>
      <c r="B709" s="1" t="s">
        <v>8</v>
      </c>
      <c r="C709" s="44" t="s">
        <v>2174</v>
      </c>
      <c r="D709" s="1" t="s">
        <v>2360</v>
      </c>
      <c r="E709" s="44" t="s">
        <v>2174</v>
      </c>
      <c r="F709" s="38" t="s">
        <v>2361</v>
      </c>
      <c r="G709" s="45">
        <v>23400</v>
      </c>
      <c r="H709" s="45">
        <v>234</v>
      </c>
    </row>
    <row r="710" spans="1:8">
      <c r="A710" s="78">
        <v>129047335457</v>
      </c>
      <c r="B710" s="1" t="s">
        <v>2055</v>
      </c>
      <c r="C710" s="44" t="s">
        <v>2174</v>
      </c>
      <c r="D710" s="1" t="s">
        <v>2360</v>
      </c>
      <c r="E710" s="44" t="s">
        <v>2174</v>
      </c>
      <c r="F710" s="38" t="s">
        <v>2361</v>
      </c>
      <c r="G710" s="45">
        <v>18800</v>
      </c>
      <c r="H710" s="45">
        <v>188</v>
      </c>
    </row>
    <row r="711" spans="1:8">
      <c r="A711" s="78">
        <v>129621107146</v>
      </c>
      <c r="B711" s="1" t="s">
        <v>8</v>
      </c>
      <c r="C711" s="44" t="s">
        <v>2174</v>
      </c>
      <c r="D711" s="1" t="s">
        <v>2360</v>
      </c>
      <c r="E711" s="44" t="s">
        <v>2174</v>
      </c>
      <c r="F711" s="38" t="s">
        <v>2361</v>
      </c>
      <c r="G711" s="45">
        <v>4000</v>
      </c>
      <c r="H711" s="45">
        <v>40</v>
      </c>
    </row>
    <row r="712" spans="1:8">
      <c r="A712" s="78">
        <v>129621143792</v>
      </c>
      <c r="B712" s="1" t="s">
        <v>8</v>
      </c>
      <c r="C712" s="44" t="s">
        <v>2174</v>
      </c>
      <c r="D712" s="1" t="s">
        <v>2360</v>
      </c>
      <c r="E712" s="44" t="s">
        <v>2174</v>
      </c>
      <c r="F712" s="38" t="s">
        <v>2361</v>
      </c>
      <c r="G712" s="45">
        <v>10300</v>
      </c>
      <c r="H712" s="45">
        <v>103</v>
      </c>
    </row>
    <row r="713" spans="1:8">
      <c r="A713" s="78">
        <v>129621293638</v>
      </c>
      <c r="B713" s="1" t="s">
        <v>2055</v>
      </c>
      <c r="C713" s="44" t="s">
        <v>2174</v>
      </c>
      <c r="D713" s="1" t="s">
        <v>2360</v>
      </c>
      <c r="E713" s="44" t="s">
        <v>2174</v>
      </c>
      <c r="F713" s="38" t="s">
        <v>2361</v>
      </c>
      <c r="G713" s="45">
        <v>9800</v>
      </c>
      <c r="H713" s="45">
        <v>98</v>
      </c>
    </row>
    <row r="714" spans="1:8">
      <c r="A714" s="78">
        <v>129048678585</v>
      </c>
      <c r="B714" s="1" t="s">
        <v>2055</v>
      </c>
      <c r="C714" s="44" t="s">
        <v>2174</v>
      </c>
      <c r="D714" s="1" t="s">
        <v>2360</v>
      </c>
      <c r="E714" s="44" t="s">
        <v>2174</v>
      </c>
      <c r="F714" s="38" t="s">
        <v>2361</v>
      </c>
      <c r="G714" s="45">
        <v>203100</v>
      </c>
      <c r="H714" s="45">
        <v>2031</v>
      </c>
    </row>
    <row r="715" spans="1:8">
      <c r="A715" s="78">
        <v>129621447690</v>
      </c>
      <c r="B715" s="1" t="s">
        <v>2055</v>
      </c>
      <c r="C715" s="44" t="s">
        <v>2174</v>
      </c>
      <c r="D715" s="1" t="s">
        <v>2360</v>
      </c>
      <c r="E715" s="44" t="s">
        <v>2174</v>
      </c>
      <c r="F715" s="38" t="s">
        <v>2361</v>
      </c>
      <c r="G715" s="45">
        <v>41900</v>
      </c>
      <c r="H715" s="45">
        <v>419</v>
      </c>
    </row>
    <row r="716" spans="1:8">
      <c r="A716" s="78">
        <v>129686309290</v>
      </c>
      <c r="B716" s="1" t="s">
        <v>8</v>
      </c>
      <c r="C716" s="44" t="s">
        <v>2174</v>
      </c>
      <c r="D716" s="1" t="s">
        <v>2360</v>
      </c>
      <c r="E716" s="44" t="s">
        <v>2174</v>
      </c>
      <c r="F716" s="38" t="s">
        <v>2361</v>
      </c>
      <c r="G716" s="45">
        <v>4900</v>
      </c>
      <c r="H716" s="45">
        <v>49</v>
      </c>
    </row>
    <row r="717" spans="1:8">
      <c r="A717" s="78">
        <v>129117110511</v>
      </c>
      <c r="B717" s="1" t="s">
        <v>8</v>
      </c>
      <c r="C717" s="44" t="s">
        <v>2174</v>
      </c>
      <c r="D717" s="1" t="s">
        <v>2360</v>
      </c>
      <c r="E717" s="44" t="s">
        <v>2174</v>
      </c>
      <c r="F717" s="38" t="s">
        <v>2361</v>
      </c>
      <c r="G717" s="45">
        <v>12900</v>
      </c>
      <c r="H717" s="45">
        <v>129</v>
      </c>
    </row>
    <row r="718" spans="1:8">
      <c r="A718" s="78">
        <v>129694991650</v>
      </c>
      <c r="B718" s="1" t="s">
        <v>2055</v>
      </c>
      <c r="C718" s="44" t="s">
        <v>2174</v>
      </c>
      <c r="D718" s="1" t="s">
        <v>2360</v>
      </c>
      <c r="E718" s="44" t="s">
        <v>2174</v>
      </c>
      <c r="F718" s="38" t="s">
        <v>2361</v>
      </c>
      <c r="G718" s="45">
        <v>16000</v>
      </c>
      <c r="H718" s="45">
        <v>160</v>
      </c>
    </row>
    <row r="719" spans="1:8">
      <c r="A719" s="78">
        <v>129696609972</v>
      </c>
      <c r="B719" s="1" t="s">
        <v>8</v>
      </c>
      <c r="C719" s="44" t="s">
        <v>2174</v>
      </c>
      <c r="D719" s="1" t="s">
        <v>2360</v>
      </c>
      <c r="E719" s="44" t="s">
        <v>2174</v>
      </c>
      <c r="F719" s="38" t="s">
        <v>2361</v>
      </c>
      <c r="G719" s="45">
        <v>27400</v>
      </c>
      <c r="H719" s="45">
        <v>274</v>
      </c>
    </row>
    <row r="720" spans="1:8">
      <c r="A720" s="78">
        <v>129698242386</v>
      </c>
      <c r="B720" s="1" t="s">
        <v>2055</v>
      </c>
      <c r="C720" s="44" t="s">
        <v>2174</v>
      </c>
      <c r="D720" s="1" t="s">
        <v>2360</v>
      </c>
      <c r="E720" s="44" t="s">
        <v>2174</v>
      </c>
      <c r="F720" s="38" t="s">
        <v>2361</v>
      </c>
      <c r="G720" s="45">
        <v>48700</v>
      </c>
      <c r="H720" s="45">
        <v>487</v>
      </c>
    </row>
    <row r="721" spans="1:8">
      <c r="A721" s="78">
        <v>129117741955</v>
      </c>
      <c r="B721" s="1" t="s">
        <v>2055</v>
      </c>
      <c r="C721" s="44" t="s">
        <v>2174</v>
      </c>
      <c r="D721" s="1" t="s">
        <v>2360</v>
      </c>
      <c r="E721" s="44" t="s">
        <v>2174</v>
      </c>
      <c r="F721" s="38" t="s">
        <v>2361</v>
      </c>
      <c r="G721" s="45">
        <v>20800</v>
      </c>
      <c r="H721" s="45">
        <v>208</v>
      </c>
    </row>
    <row r="722" spans="1:8">
      <c r="A722" s="78">
        <v>129705486752</v>
      </c>
      <c r="B722" s="1" t="s">
        <v>8</v>
      </c>
      <c r="C722" s="44" t="s">
        <v>2174</v>
      </c>
      <c r="D722" s="1" t="s">
        <v>2360</v>
      </c>
      <c r="E722" s="44" t="s">
        <v>2174</v>
      </c>
      <c r="F722" s="38" t="s">
        <v>2361</v>
      </c>
      <c r="G722" s="45">
        <v>81300</v>
      </c>
      <c r="H722" s="45">
        <v>813</v>
      </c>
    </row>
    <row r="723" spans="1:8">
      <c r="A723" s="78">
        <v>129132489041</v>
      </c>
      <c r="B723" s="1" t="s">
        <v>8</v>
      </c>
      <c r="C723" s="44" t="s">
        <v>2174</v>
      </c>
      <c r="D723" s="1" t="s">
        <v>2360</v>
      </c>
      <c r="E723" s="44" t="s">
        <v>2174</v>
      </c>
      <c r="F723" s="38" t="s">
        <v>2361</v>
      </c>
      <c r="G723" s="45">
        <v>14400</v>
      </c>
      <c r="H723" s="45">
        <v>144</v>
      </c>
    </row>
    <row r="724" spans="1:8">
      <c r="A724" s="78">
        <v>129705904234</v>
      </c>
      <c r="B724" s="1" t="s">
        <v>8</v>
      </c>
      <c r="C724" s="44" t="s">
        <v>2174</v>
      </c>
      <c r="D724" s="1" t="s">
        <v>2360</v>
      </c>
      <c r="E724" s="44" t="s">
        <v>2174</v>
      </c>
      <c r="F724" s="38" t="s">
        <v>2361</v>
      </c>
      <c r="G724" s="45">
        <v>5000</v>
      </c>
      <c r="H724" s="45">
        <v>50</v>
      </c>
    </row>
    <row r="725" spans="1:8">
      <c r="A725" s="78">
        <v>129700170344</v>
      </c>
      <c r="B725" s="1" t="s">
        <v>2055</v>
      </c>
      <c r="C725" s="44" t="s">
        <v>2174</v>
      </c>
      <c r="D725" s="1" t="s">
        <v>2360</v>
      </c>
      <c r="E725" s="44" t="s">
        <v>2174</v>
      </c>
      <c r="F725" s="38" t="s">
        <v>2361</v>
      </c>
      <c r="G725" s="45">
        <v>65300</v>
      </c>
      <c r="H725" s="45">
        <v>653</v>
      </c>
    </row>
    <row r="726" spans="1:8">
      <c r="A726" s="78">
        <v>129127283837</v>
      </c>
      <c r="B726" s="1" t="s">
        <v>8</v>
      </c>
      <c r="C726" s="44" t="s">
        <v>2174</v>
      </c>
      <c r="D726" s="1" t="s">
        <v>2360</v>
      </c>
      <c r="E726" s="44" t="s">
        <v>2174</v>
      </c>
      <c r="F726" s="38" t="s">
        <v>2361</v>
      </c>
      <c r="G726" s="45">
        <v>38300</v>
      </c>
      <c r="H726" s="45">
        <v>383</v>
      </c>
    </row>
    <row r="727" spans="1:8">
      <c r="A727" s="78">
        <v>129127816699</v>
      </c>
      <c r="B727" s="1" t="s">
        <v>8</v>
      </c>
      <c r="C727" s="44" t="s">
        <v>2174</v>
      </c>
      <c r="D727" s="1" t="s">
        <v>2360</v>
      </c>
      <c r="E727" s="44" t="s">
        <v>2174</v>
      </c>
      <c r="F727" s="38" t="s">
        <v>2361</v>
      </c>
      <c r="G727" s="45">
        <v>12200</v>
      </c>
      <c r="H727" s="45">
        <v>122</v>
      </c>
    </row>
    <row r="728" spans="1:8">
      <c r="A728" s="78">
        <v>129710939716</v>
      </c>
      <c r="B728" s="1" t="s">
        <v>8</v>
      </c>
      <c r="C728" s="44" t="s">
        <v>2188</v>
      </c>
      <c r="D728" s="1" t="s">
        <v>2360</v>
      </c>
      <c r="E728" s="44" t="s">
        <v>2188</v>
      </c>
      <c r="F728" s="38" t="s">
        <v>2361</v>
      </c>
      <c r="G728" s="45">
        <v>40000</v>
      </c>
      <c r="H728" s="45">
        <v>400</v>
      </c>
    </row>
    <row r="729" spans="1:8">
      <c r="A729" s="78">
        <v>129131320825</v>
      </c>
      <c r="B729" s="1" t="s">
        <v>8</v>
      </c>
      <c r="C729" s="44" t="s">
        <v>2174</v>
      </c>
      <c r="D729" s="1" t="s">
        <v>2360</v>
      </c>
      <c r="E729" s="44" t="s">
        <v>2174</v>
      </c>
      <c r="F729" s="38" t="s">
        <v>2361</v>
      </c>
      <c r="G729" s="45">
        <v>41000</v>
      </c>
      <c r="H729" s="45">
        <v>410</v>
      </c>
    </row>
    <row r="730" spans="1:8">
      <c r="A730" s="78">
        <v>129131301899</v>
      </c>
      <c r="B730" s="1" t="s">
        <v>8</v>
      </c>
      <c r="C730" s="44" t="s">
        <v>2174</v>
      </c>
      <c r="D730" s="1" t="s">
        <v>2360</v>
      </c>
      <c r="E730" s="44" t="s">
        <v>2174</v>
      </c>
      <c r="F730" s="38" t="s">
        <v>2361</v>
      </c>
      <c r="G730" s="45">
        <v>28800</v>
      </c>
      <c r="H730" s="45">
        <v>288</v>
      </c>
    </row>
    <row r="731" spans="1:8">
      <c r="A731" s="78">
        <v>129131482843</v>
      </c>
      <c r="B731" s="1" t="s">
        <v>8</v>
      </c>
      <c r="C731" s="44" t="s">
        <v>2174</v>
      </c>
      <c r="D731" s="1" t="s">
        <v>2360</v>
      </c>
      <c r="E731" s="44" t="s">
        <v>2174</v>
      </c>
      <c r="F731" s="38" t="s">
        <v>2361</v>
      </c>
      <c r="G731" s="45">
        <v>25200</v>
      </c>
      <c r="H731" s="45">
        <v>252</v>
      </c>
    </row>
    <row r="732" spans="1:8">
      <c r="A732" s="78">
        <v>129131696927</v>
      </c>
      <c r="B732" s="1" t="s">
        <v>2055</v>
      </c>
      <c r="C732" s="44" t="s">
        <v>2174</v>
      </c>
      <c r="D732" s="1" t="s">
        <v>2360</v>
      </c>
      <c r="E732" s="44" t="s">
        <v>2174</v>
      </c>
      <c r="F732" s="38" t="s">
        <v>2361</v>
      </c>
      <c r="G732" s="45">
        <v>18300</v>
      </c>
      <c r="H732" s="45">
        <v>183</v>
      </c>
    </row>
    <row r="733" spans="1:8">
      <c r="A733" s="78">
        <v>129705455082</v>
      </c>
      <c r="B733" s="1" t="s">
        <v>8</v>
      </c>
      <c r="C733" s="44" t="s">
        <v>2174</v>
      </c>
      <c r="D733" s="1" t="s">
        <v>2360</v>
      </c>
      <c r="E733" s="44" t="s">
        <v>2174</v>
      </c>
      <c r="F733" s="38" t="s">
        <v>2361</v>
      </c>
      <c r="G733" s="45">
        <v>77600</v>
      </c>
      <c r="H733" s="45">
        <v>776</v>
      </c>
    </row>
    <row r="734" spans="1:8">
      <c r="A734" s="78">
        <v>129705584190</v>
      </c>
      <c r="B734" s="1" t="s">
        <v>2055</v>
      </c>
      <c r="C734" s="44" t="s">
        <v>2174</v>
      </c>
      <c r="D734" s="1" t="s">
        <v>2360</v>
      </c>
      <c r="E734" s="44" t="s">
        <v>2174</v>
      </c>
      <c r="F734" s="38" t="s">
        <v>2361</v>
      </c>
      <c r="G734" s="45">
        <v>10300</v>
      </c>
      <c r="H734" s="45">
        <v>103</v>
      </c>
    </row>
    <row r="735" spans="1:8">
      <c r="A735" s="78">
        <v>129705741726</v>
      </c>
      <c r="B735" s="1" t="s">
        <v>8</v>
      </c>
      <c r="C735" s="44" t="s">
        <v>2174</v>
      </c>
      <c r="D735" s="1" t="s">
        <v>2360</v>
      </c>
      <c r="E735" s="44" t="s">
        <v>2174</v>
      </c>
      <c r="F735" s="38" t="s">
        <v>2361</v>
      </c>
      <c r="G735" s="45">
        <v>36400</v>
      </c>
      <c r="H735" s="45">
        <v>364</v>
      </c>
    </row>
    <row r="736" spans="1:8">
      <c r="A736" s="78">
        <v>129707362676</v>
      </c>
      <c r="B736" s="1" t="s">
        <v>8</v>
      </c>
      <c r="C736" s="44" t="s">
        <v>2174</v>
      </c>
      <c r="D736" s="1" t="s">
        <v>2360</v>
      </c>
      <c r="E736" s="44" t="s">
        <v>2188</v>
      </c>
      <c r="F736" s="38" t="s">
        <v>2361</v>
      </c>
      <c r="G736" s="45">
        <v>89200</v>
      </c>
      <c r="H736" s="45">
        <v>892</v>
      </c>
    </row>
    <row r="737" spans="1:8">
      <c r="A737" s="78">
        <v>129709148788</v>
      </c>
      <c r="B737" s="1" t="s">
        <v>8</v>
      </c>
      <c r="C737" s="44" t="s">
        <v>2188</v>
      </c>
      <c r="D737" s="1" t="s">
        <v>2360</v>
      </c>
      <c r="E737" s="44" t="s">
        <v>2188</v>
      </c>
      <c r="F737" s="38" t="s">
        <v>2361</v>
      </c>
      <c r="G737" s="45">
        <v>18600</v>
      </c>
      <c r="H737" s="45">
        <v>186</v>
      </c>
    </row>
    <row r="738" spans="1:8">
      <c r="A738" s="78">
        <v>129710895224</v>
      </c>
      <c r="B738" s="1" t="s">
        <v>8</v>
      </c>
      <c r="C738" s="44" t="s">
        <v>2188</v>
      </c>
      <c r="D738" s="1" t="s">
        <v>2360</v>
      </c>
      <c r="E738" s="44" t="s">
        <v>2188</v>
      </c>
      <c r="F738" s="38" t="s">
        <v>2361</v>
      </c>
      <c r="G738" s="45">
        <v>15000</v>
      </c>
      <c r="H738" s="45">
        <v>150</v>
      </c>
    </row>
    <row r="739" spans="1:8">
      <c r="A739" s="78">
        <v>129509437895</v>
      </c>
      <c r="B739" s="1" t="s">
        <v>8</v>
      </c>
      <c r="C739" s="44" t="s">
        <v>2196</v>
      </c>
      <c r="D739" s="1" t="s">
        <v>2360</v>
      </c>
      <c r="E739" s="44" t="s">
        <v>2196</v>
      </c>
      <c r="F739" s="38" t="s">
        <v>2361</v>
      </c>
      <c r="G739" s="45">
        <v>4900</v>
      </c>
      <c r="H739" s="45">
        <v>49</v>
      </c>
    </row>
    <row r="740" spans="1:8">
      <c r="A740" s="78">
        <v>129500898477</v>
      </c>
      <c r="B740" s="1" t="s">
        <v>2055</v>
      </c>
      <c r="C740" s="44" t="s">
        <v>2196</v>
      </c>
      <c r="D740" s="1" t="s">
        <v>2360</v>
      </c>
      <c r="E740" s="44" t="s">
        <v>2196</v>
      </c>
      <c r="F740" s="38" t="s">
        <v>2361</v>
      </c>
      <c r="G740" s="45">
        <v>9800</v>
      </c>
      <c r="H740" s="45">
        <v>98</v>
      </c>
    </row>
    <row r="741" spans="1:8">
      <c r="A741" s="78">
        <v>129518900805</v>
      </c>
      <c r="B741" s="1" t="s">
        <v>8</v>
      </c>
      <c r="C741" s="44" t="s">
        <v>2196</v>
      </c>
      <c r="D741" s="1" t="s">
        <v>2360</v>
      </c>
      <c r="E741" s="44" t="s">
        <v>2196</v>
      </c>
      <c r="F741" s="38" t="s">
        <v>2361</v>
      </c>
      <c r="G741" s="45">
        <v>9600</v>
      </c>
      <c r="H741" s="45">
        <v>96</v>
      </c>
    </row>
    <row r="742" spans="1:8">
      <c r="A742" s="78">
        <v>129520478821</v>
      </c>
      <c r="B742" s="1" t="s">
        <v>8</v>
      </c>
      <c r="C742" s="44" t="s">
        <v>2196</v>
      </c>
      <c r="D742" s="1" t="s">
        <v>2360</v>
      </c>
      <c r="E742" s="44" t="s">
        <v>2196</v>
      </c>
      <c r="F742" s="38" t="s">
        <v>2361</v>
      </c>
      <c r="G742" s="45">
        <v>9600</v>
      </c>
      <c r="H742" s="45">
        <v>96</v>
      </c>
    </row>
    <row r="743" spans="1:8">
      <c r="A743" s="78">
        <v>130086288874</v>
      </c>
      <c r="B743" s="1" t="s">
        <v>8</v>
      </c>
      <c r="C743" s="44" t="s">
        <v>2196</v>
      </c>
      <c r="D743" s="1" t="s">
        <v>2360</v>
      </c>
      <c r="E743" s="44" t="s">
        <v>2196</v>
      </c>
      <c r="F743" s="38" t="s">
        <v>2361</v>
      </c>
      <c r="G743" s="45">
        <v>38400</v>
      </c>
      <c r="H743" s="45">
        <v>384</v>
      </c>
    </row>
    <row r="744" spans="1:8">
      <c r="A744" s="78">
        <v>130098735448</v>
      </c>
      <c r="B744" s="1" t="s">
        <v>2055</v>
      </c>
      <c r="C744" s="44" t="s">
        <v>2196</v>
      </c>
      <c r="D744" s="1" t="s">
        <v>2360</v>
      </c>
      <c r="E744" s="44" t="s">
        <v>2196</v>
      </c>
      <c r="F744" s="38" t="s">
        <v>2361</v>
      </c>
      <c r="G744" s="45">
        <v>20399</v>
      </c>
      <c r="H744" s="45">
        <v>203.99</v>
      </c>
    </row>
    <row r="745" spans="1:8">
      <c r="A745" s="78">
        <v>129524072583</v>
      </c>
      <c r="B745" s="1" t="s">
        <v>8</v>
      </c>
      <c r="C745" s="44" t="s">
        <v>2196</v>
      </c>
      <c r="D745" s="1" t="s">
        <v>2360</v>
      </c>
      <c r="E745" s="44" t="s">
        <v>2196</v>
      </c>
      <c r="F745" s="38" t="s">
        <v>2361</v>
      </c>
      <c r="G745" s="45">
        <v>11999</v>
      </c>
      <c r="H745" s="45">
        <v>119.99</v>
      </c>
    </row>
    <row r="746" spans="1:8">
      <c r="A746" s="78">
        <v>130091108900</v>
      </c>
      <c r="B746" s="1" t="s">
        <v>2055</v>
      </c>
      <c r="C746" s="44" t="s">
        <v>2196</v>
      </c>
      <c r="D746" s="1" t="s">
        <v>2360</v>
      </c>
      <c r="E746" s="44" t="s">
        <v>2196</v>
      </c>
      <c r="F746" s="38" t="s">
        <v>2361</v>
      </c>
      <c r="G746" s="45">
        <v>4800</v>
      </c>
      <c r="H746" s="45">
        <v>48</v>
      </c>
    </row>
    <row r="747" spans="1:8">
      <c r="A747" s="78">
        <v>129524869951</v>
      </c>
      <c r="B747" s="1" t="s">
        <v>8</v>
      </c>
      <c r="C747" s="44" t="s">
        <v>2196</v>
      </c>
      <c r="D747" s="1" t="s">
        <v>2360</v>
      </c>
      <c r="E747" s="44" t="s">
        <v>2196</v>
      </c>
      <c r="F747" s="38" t="s">
        <v>2361</v>
      </c>
      <c r="G747" s="45">
        <v>47996</v>
      </c>
      <c r="H747" s="45">
        <v>479.96</v>
      </c>
    </row>
    <row r="748" spans="1:8">
      <c r="A748" s="78">
        <v>130101623544</v>
      </c>
      <c r="B748" s="1" t="s">
        <v>2055</v>
      </c>
      <c r="C748" s="44" t="s">
        <v>2196</v>
      </c>
      <c r="D748" s="1" t="s">
        <v>2360</v>
      </c>
      <c r="E748" s="44" t="s">
        <v>2196</v>
      </c>
      <c r="F748" s="38" t="s">
        <v>2361</v>
      </c>
      <c r="G748" s="45">
        <v>30500</v>
      </c>
      <c r="H748" s="45">
        <v>305</v>
      </c>
    </row>
    <row r="749" spans="1:8">
      <c r="A749" s="78">
        <v>129516329095</v>
      </c>
      <c r="B749" s="1" t="s">
        <v>8</v>
      </c>
      <c r="C749" s="44" t="s">
        <v>2196</v>
      </c>
      <c r="D749" s="1" t="s">
        <v>2360</v>
      </c>
      <c r="E749" s="44" t="s">
        <v>2196</v>
      </c>
      <c r="F749" s="38" t="s">
        <v>2361</v>
      </c>
      <c r="G749" s="45">
        <v>9600</v>
      </c>
      <c r="H749" s="45">
        <v>96</v>
      </c>
    </row>
    <row r="750" spans="1:8">
      <c r="A750" s="78">
        <v>130104043986</v>
      </c>
      <c r="B750" s="1" t="s">
        <v>2055</v>
      </c>
      <c r="C750" s="44" t="s">
        <v>2196</v>
      </c>
      <c r="D750" s="1" t="s">
        <v>2360</v>
      </c>
      <c r="E750" s="44" t="s">
        <v>2196</v>
      </c>
      <c r="F750" s="38" t="s">
        <v>2361</v>
      </c>
      <c r="G750" s="45">
        <v>16000</v>
      </c>
      <c r="H750" s="45">
        <v>160</v>
      </c>
    </row>
    <row r="751" spans="1:8">
      <c r="A751" s="78">
        <v>129528484869</v>
      </c>
      <c r="B751" s="1" t="s">
        <v>8</v>
      </c>
      <c r="C751" s="44" t="s">
        <v>2196</v>
      </c>
      <c r="D751" s="1" t="s">
        <v>2360</v>
      </c>
      <c r="E751" s="44" t="s">
        <v>2196</v>
      </c>
      <c r="F751" s="38" t="s">
        <v>2361</v>
      </c>
      <c r="G751" s="45">
        <v>26700</v>
      </c>
      <c r="H751" s="45">
        <v>267</v>
      </c>
    </row>
    <row r="752" spans="1:8">
      <c r="A752" s="78">
        <v>130104586288</v>
      </c>
      <c r="B752" s="1" t="s">
        <v>8</v>
      </c>
      <c r="C752" s="44" t="s">
        <v>2196</v>
      </c>
      <c r="D752" s="1" t="s">
        <v>2360</v>
      </c>
      <c r="E752" s="44" t="s">
        <v>2196</v>
      </c>
      <c r="F752" s="38" t="s">
        <v>2361</v>
      </c>
      <c r="G752" s="45">
        <v>67297</v>
      </c>
      <c r="H752" s="45">
        <v>672.97</v>
      </c>
    </row>
    <row r="753" spans="1:8">
      <c r="A753" s="78">
        <v>130101335936</v>
      </c>
      <c r="B753" s="1" t="s">
        <v>2055</v>
      </c>
      <c r="C753" s="44" t="s">
        <v>2196</v>
      </c>
      <c r="D753" s="1" t="s">
        <v>2360</v>
      </c>
      <c r="E753" s="44" t="s">
        <v>2196</v>
      </c>
      <c r="F753" s="38" t="s">
        <v>2361</v>
      </c>
      <c r="G753" s="45">
        <v>22700</v>
      </c>
      <c r="H753" s="45">
        <v>227</v>
      </c>
    </row>
    <row r="754" spans="1:8">
      <c r="A754" s="78">
        <v>129527828423</v>
      </c>
      <c r="B754" s="1" t="s">
        <v>8</v>
      </c>
      <c r="C754" s="44" t="s">
        <v>2196</v>
      </c>
      <c r="D754" s="1" t="s">
        <v>2360</v>
      </c>
      <c r="E754" s="44" t="s">
        <v>2196</v>
      </c>
      <c r="F754" s="38" t="s">
        <v>2361</v>
      </c>
      <c r="G754" s="45">
        <v>43000</v>
      </c>
      <c r="H754" s="45">
        <v>430</v>
      </c>
    </row>
    <row r="755" spans="1:8">
      <c r="A755" s="78">
        <v>130104527794</v>
      </c>
      <c r="B755" s="1" t="s">
        <v>8</v>
      </c>
      <c r="C755" s="44" t="s">
        <v>2196</v>
      </c>
      <c r="D755" s="1" t="s">
        <v>2360</v>
      </c>
      <c r="E755" s="44" t="s">
        <v>2196</v>
      </c>
      <c r="F755" s="38" t="s">
        <v>2361</v>
      </c>
      <c r="G755" s="45">
        <v>27699</v>
      </c>
      <c r="H755" s="45">
        <v>276.99</v>
      </c>
    </row>
    <row r="756" spans="1:8">
      <c r="A756" s="78">
        <v>130106124388</v>
      </c>
      <c r="B756" s="1" t="s">
        <v>2055</v>
      </c>
      <c r="C756" s="44" t="s">
        <v>2196</v>
      </c>
      <c r="D756" s="1" t="s">
        <v>2360</v>
      </c>
      <c r="E756" s="44" t="s">
        <v>2197</v>
      </c>
      <c r="F756" s="38" t="s">
        <v>2361</v>
      </c>
      <c r="G756" s="45">
        <v>19600</v>
      </c>
      <c r="H756" s="45">
        <v>196</v>
      </c>
    </row>
    <row r="757" spans="1:8">
      <c r="A757" s="78">
        <v>130106306538</v>
      </c>
      <c r="B757" s="1" t="s">
        <v>8</v>
      </c>
      <c r="C757" s="44" t="s">
        <v>2196</v>
      </c>
      <c r="D757" s="1" t="s">
        <v>2360</v>
      </c>
      <c r="E757" s="44" t="s">
        <v>2197</v>
      </c>
      <c r="F757" s="38" t="s">
        <v>2361</v>
      </c>
      <c r="G757" s="45">
        <v>23998</v>
      </c>
      <c r="H757" s="45">
        <v>239.98</v>
      </c>
    </row>
    <row r="758" spans="1:8">
      <c r="A758" s="78">
        <v>130106413210</v>
      </c>
      <c r="B758" s="1" t="s">
        <v>8</v>
      </c>
      <c r="C758" s="44" t="s">
        <v>2196</v>
      </c>
      <c r="D758" s="1" t="s">
        <v>2360</v>
      </c>
      <c r="E758" s="44" t="s">
        <v>2197</v>
      </c>
      <c r="F758" s="38" t="s">
        <v>2361</v>
      </c>
      <c r="G758" s="45">
        <v>23998</v>
      </c>
      <c r="H758" s="45">
        <v>239.98</v>
      </c>
    </row>
    <row r="759" spans="1:8">
      <c r="A759" s="78">
        <v>129530844735</v>
      </c>
      <c r="B759" s="1" t="s">
        <v>8</v>
      </c>
      <c r="C759" s="44" t="s">
        <v>2196</v>
      </c>
      <c r="D759" s="1" t="s">
        <v>2360</v>
      </c>
      <c r="E759" s="44" t="s">
        <v>2197</v>
      </c>
      <c r="F759" s="38" t="s">
        <v>2361</v>
      </c>
      <c r="G759" s="45">
        <v>59300</v>
      </c>
      <c r="H759" s="45">
        <v>593</v>
      </c>
    </row>
    <row r="760" spans="1:8">
      <c r="A760" s="78">
        <v>130106746606</v>
      </c>
      <c r="B760" s="1" t="s">
        <v>8</v>
      </c>
      <c r="C760" s="44" t="s">
        <v>2196</v>
      </c>
      <c r="D760" s="1" t="s">
        <v>2360</v>
      </c>
      <c r="E760" s="44" t="s">
        <v>2197</v>
      </c>
      <c r="F760" s="38" t="s">
        <v>2361</v>
      </c>
      <c r="G760" s="45">
        <v>48500</v>
      </c>
      <c r="H760" s="45">
        <v>485</v>
      </c>
    </row>
    <row r="761" spans="1:8">
      <c r="A761" s="78">
        <v>129649848031</v>
      </c>
      <c r="B761" s="1" t="s">
        <v>8</v>
      </c>
      <c r="C761" s="44" t="s">
        <v>2197</v>
      </c>
      <c r="D761" s="1" t="s">
        <v>2360</v>
      </c>
      <c r="E761" s="44" t="s">
        <v>2197</v>
      </c>
      <c r="F761" s="38" t="s">
        <v>2361</v>
      </c>
      <c r="G761" s="45">
        <v>4800</v>
      </c>
      <c r="H761" s="45">
        <v>48</v>
      </c>
    </row>
    <row r="762" spans="1:8">
      <c r="A762" s="78">
        <v>129651219591</v>
      </c>
      <c r="B762" s="1" t="s">
        <v>8</v>
      </c>
      <c r="C762" s="44" t="s">
        <v>2197</v>
      </c>
      <c r="D762" s="1" t="s">
        <v>2360</v>
      </c>
      <c r="E762" s="44" t="s">
        <v>2197</v>
      </c>
      <c r="F762" s="38" t="s">
        <v>2361</v>
      </c>
      <c r="G762" s="45">
        <v>5900</v>
      </c>
      <c r="H762" s="45">
        <v>59</v>
      </c>
    </row>
    <row r="763" spans="1:8">
      <c r="A763" s="78">
        <v>129655379537</v>
      </c>
      <c r="B763" s="1" t="s">
        <v>8</v>
      </c>
      <c r="C763" s="44" t="s">
        <v>2197</v>
      </c>
      <c r="D763" s="1" t="s">
        <v>2360</v>
      </c>
      <c r="E763" s="44" t="s">
        <v>2197</v>
      </c>
      <c r="F763" s="38" t="s">
        <v>2361</v>
      </c>
      <c r="G763" s="45">
        <v>14400</v>
      </c>
      <c r="H763" s="45">
        <v>144</v>
      </c>
    </row>
    <row r="764" spans="1:8">
      <c r="A764" s="78">
        <v>129656006133</v>
      </c>
      <c r="B764" s="1" t="s">
        <v>8</v>
      </c>
      <c r="C764" s="44" t="s">
        <v>2197</v>
      </c>
      <c r="D764" s="1" t="s">
        <v>2360</v>
      </c>
      <c r="E764" s="44" t="s">
        <v>2197</v>
      </c>
      <c r="F764" s="38" t="s">
        <v>2361</v>
      </c>
      <c r="G764" s="45">
        <v>4800</v>
      </c>
      <c r="H764" s="45">
        <v>48</v>
      </c>
    </row>
    <row r="765" spans="1:8">
      <c r="A765" s="78">
        <v>129646290259</v>
      </c>
      <c r="B765" s="1" t="s">
        <v>8</v>
      </c>
      <c r="C765" s="44" t="s">
        <v>2197</v>
      </c>
      <c r="D765" s="1" t="s">
        <v>2360</v>
      </c>
      <c r="E765" s="44" t="s">
        <v>2197</v>
      </c>
      <c r="F765" s="38" t="s">
        <v>2361</v>
      </c>
      <c r="G765" s="45">
        <v>8400</v>
      </c>
      <c r="H765" s="45">
        <v>84</v>
      </c>
    </row>
    <row r="766" spans="1:8">
      <c r="A766" s="78">
        <v>130235052390</v>
      </c>
      <c r="B766" s="1" t="s">
        <v>8</v>
      </c>
      <c r="C766" s="44" t="s">
        <v>2197</v>
      </c>
      <c r="D766" s="1" t="s">
        <v>2360</v>
      </c>
      <c r="E766" s="44" t="s">
        <v>2197</v>
      </c>
      <c r="F766" s="38" t="s">
        <v>2361</v>
      </c>
      <c r="G766" s="45">
        <v>9600</v>
      </c>
      <c r="H766" s="45">
        <v>96</v>
      </c>
    </row>
    <row r="767" spans="1:8">
      <c r="A767" s="78">
        <v>129658736007</v>
      </c>
      <c r="B767" s="1" t="s">
        <v>8</v>
      </c>
      <c r="C767" s="44" t="s">
        <v>2197</v>
      </c>
      <c r="D767" s="1" t="s">
        <v>2360</v>
      </c>
      <c r="E767" s="44" t="s">
        <v>2197</v>
      </c>
      <c r="F767" s="38" t="s">
        <v>2361</v>
      </c>
      <c r="G767" s="45">
        <v>25900</v>
      </c>
      <c r="H767" s="45">
        <v>259</v>
      </c>
    </row>
    <row r="768" spans="1:8">
      <c r="A768" s="78">
        <v>129658824099</v>
      </c>
      <c r="B768" s="1" t="s">
        <v>8</v>
      </c>
      <c r="C768" s="44" t="s">
        <v>2197</v>
      </c>
      <c r="D768" s="1" t="s">
        <v>2360</v>
      </c>
      <c r="E768" s="44" t="s">
        <v>2197</v>
      </c>
      <c r="F768" s="38" t="s">
        <v>2361</v>
      </c>
      <c r="G768" s="45">
        <v>4800</v>
      </c>
      <c r="H768" s="45">
        <v>48</v>
      </c>
    </row>
    <row r="769" spans="1:8">
      <c r="A769" s="78">
        <v>129648915079</v>
      </c>
      <c r="B769" s="1" t="s">
        <v>8</v>
      </c>
      <c r="C769" s="44" t="s">
        <v>2197</v>
      </c>
      <c r="D769" s="1" t="s">
        <v>2360</v>
      </c>
      <c r="E769" s="44" t="s">
        <v>2197</v>
      </c>
      <c r="F769" s="38" t="s">
        <v>2361</v>
      </c>
      <c r="G769" s="45">
        <v>14000</v>
      </c>
      <c r="H769" s="45">
        <v>140</v>
      </c>
    </row>
    <row r="770" spans="1:8">
      <c r="A770" s="78">
        <v>129658992507</v>
      </c>
      <c r="B770" s="1" t="s">
        <v>8</v>
      </c>
      <c r="C770" s="44" t="s">
        <v>2197</v>
      </c>
      <c r="D770" s="1" t="s">
        <v>2360</v>
      </c>
      <c r="E770" s="44" t="s">
        <v>2197</v>
      </c>
      <c r="F770" s="38" t="s">
        <v>2361</v>
      </c>
      <c r="G770" s="45">
        <v>21300</v>
      </c>
      <c r="H770" s="45">
        <v>213</v>
      </c>
    </row>
    <row r="771" spans="1:8">
      <c r="A771" s="78">
        <v>130236432300</v>
      </c>
      <c r="B771" s="1" t="s">
        <v>2055</v>
      </c>
      <c r="C771" s="44" t="s">
        <v>2197</v>
      </c>
      <c r="D771" s="1" t="s">
        <v>2360</v>
      </c>
      <c r="E771" s="44" t="s">
        <v>2197</v>
      </c>
      <c r="F771" s="38" t="s">
        <v>2361</v>
      </c>
      <c r="G771" s="45">
        <v>17600</v>
      </c>
      <c r="H771" s="45">
        <v>176</v>
      </c>
    </row>
    <row r="772" spans="1:8">
      <c r="A772" s="78">
        <v>130236527594</v>
      </c>
      <c r="B772" s="1" t="s">
        <v>8</v>
      </c>
      <c r="C772" s="44" t="s">
        <v>2197</v>
      </c>
      <c r="D772" s="1" t="s">
        <v>2360</v>
      </c>
      <c r="E772" s="44" t="s">
        <v>2197</v>
      </c>
      <c r="F772" s="38" t="s">
        <v>2361</v>
      </c>
      <c r="G772" s="45">
        <v>9000</v>
      </c>
      <c r="H772" s="45">
        <v>90</v>
      </c>
    </row>
    <row r="773" spans="1:8">
      <c r="A773" s="78">
        <v>129659852815</v>
      </c>
      <c r="B773" s="1" t="s">
        <v>8</v>
      </c>
      <c r="C773" s="44" t="s">
        <v>2197</v>
      </c>
      <c r="D773" s="1" t="s">
        <v>2360</v>
      </c>
      <c r="E773" s="44" t="s">
        <v>2197</v>
      </c>
      <c r="F773" s="38" t="s">
        <v>2361</v>
      </c>
      <c r="G773" s="45">
        <v>4800</v>
      </c>
      <c r="H773" s="45">
        <v>48</v>
      </c>
    </row>
    <row r="774" spans="1:8">
      <c r="A774" s="78">
        <v>130237082714</v>
      </c>
      <c r="B774" s="1" t="s">
        <v>2055</v>
      </c>
      <c r="C774" s="44" t="s">
        <v>2197</v>
      </c>
      <c r="D774" s="1" t="s">
        <v>2360</v>
      </c>
      <c r="E774" s="44" t="s">
        <v>2197</v>
      </c>
      <c r="F774" s="38" t="s">
        <v>2361</v>
      </c>
      <c r="G774" s="45">
        <v>14000</v>
      </c>
      <c r="H774" s="45">
        <v>140</v>
      </c>
    </row>
    <row r="775" spans="1:8">
      <c r="A775" s="78">
        <v>129650617159</v>
      </c>
      <c r="B775" s="1" t="s">
        <v>2055</v>
      </c>
      <c r="C775" s="44" t="s">
        <v>2197</v>
      </c>
      <c r="D775" s="1" t="s">
        <v>2360</v>
      </c>
      <c r="E775" s="44" t="s">
        <v>2197</v>
      </c>
      <c r="F775" s="38" t="s">
        <v>2361</v>
      </c>
      <c r="G775" s="45">
        <v>6900</v>
      </c>
      <c r="H775" s="45">
        <v>69</v>
      </c>
    </row>
    <row r="776" spans="1:8">
      <c r="A776" s="78">
        <v>130237685842</v>
      </c>
      <c r="B776" s="1" t="s">
        <v>8</v>
      </c>
      <c r="C776" s="44" t="s">
        <v>2197</v>
      </c>
      <c r="D776" s="1" t="s">
        <v>2360</v>
      </c>
      <c r="E776" s="44" t="s">
        <v>2197</v>
      </c>
      <c r="F776" s="38" t="s">
        <v>2361</v>
      </c>
      <c r="G776" s="45">
        <v>9600</v>
      </c>
      <c r="H776" s="45">
        <v>96</v>
      </c>
    </row>
    <row r="777" spans="1:8">
      <c r="A777" s="78">
        <v>129650775843</v>
      </c>
      <c r="B777" s="1" t="s">
        <v>2055</v>
      </c>
      <c r="C777" s="44" t="s">
        <v>2197</v>
      </c>
      <c r="D777" s="1" t="s">
        <v>2360</v>
      </c>
      <c r="E777" s="44" t="s">
        <v>2197</v>
      </c>
      <c r="F777" s="38" t="s">
        <v>2361</v>
      </c>
      <c r="G777" s="45">
        <v>6900</v>
      </c>
      <c r="H777" s="45">
        <v>69</v>
      </c>
    </row>
    <row r="778" spans="1:8">
      <c r="A778" s="78">
        <v>129661557617</v>
      </c>
      <c r="B778" s="1" t="s">
        <v>8</v>
      </c>
      <c r="C778" s="44" t="s">
        <v>2197</v>
      </c>
      <c r="D778" s="1" t="s">
        <v>2360</v>
      </c>
      <c r="E778" s="44" t="s">
        <v>2197</v>
      </c>
      <c r="F778" s="38" t="s">
        <v>2361</v>
      </c>
      <c r="G778" s="45">
        <v>13500</v>
      </c>
      <c r="H778" s="45">
        <v>135</v>
      </c>
    </row>
    <row r="779" spans="1:8">
      <c r="A779" s="78">
        <v>129662268807</v>
      </c>
      <c r="B779" s="1" t="s">
        <v>8</v>
      </c>
      <c r="C779" s="44" t="s">
        <v>2197</v>
      </c>
      <c r="D779" s="1" t="s">
        <v>2360</v>
      </c>
      <c r="E779" s="44" t="s">
        <v>2197</v>
      </c>
      <c r="F779" s="38" t="s">
        <v>2361</v>
      </c>
      <c r="G779" s="45">
        <v>8400</v>
      </c>
      <c r="H779" s="45">
        <v>84</v>
      </c>
    </row>
    <row r="780" spans="1:8">
      <c r="A780" s="78">
        <v>130239526198</v>
      </c>
      <c r="B780" s="1" t="s">
        <v>8</v>
      </c>
      <c r="C780" s="44" t="s">
        <v>2197</v>
      </c>
      <c r="D780" s="1" t="s">
        <v>2360</v>
      </c>
      <c r="E780" s="44" t="s">
        <v>2197</v>
      </c>
      <c r="F780" s="38" t="s">
        <v>2361</v>
      </c>
      <c r="G780" s="45">
        <v>4800</v>
      </c>
      <c r="H780" s="45">
        <v>48</v>
      </c>
    </row>
    <row r="781" spans="1:8">
      <c r="A781" s="78">
        <v>130239601260</v>
      </c>
      <c r="B781" s="1" t="s">
        <v>8</v>
      </c>
      <c r="C781" s="44" t="s">
        <v>2197</v>
      </c>
      <c r="D781" s="1" t="s">
        <v>2360</v>
      </c>
      <c r="E781" s="44" t="s">
        <v>2197</v>
      </c>
      <c r="F781" s="38" t="s">
        <v>2361</v>
      </c>
      <c r="G781" s="45">
        <v>8000</v>
      </c>
      <c r="H781" s="45">
        <v>80</v>
      </c>
    </row>
    <row r="782" spans="1:8">
      <c r="A782" s="78">
        <v>129663216957</v>
      </c>
      <c r="B782" s="1" t="s">
        <v>8</v>
      </c>
      <c r="C782" s="44" t="s">
        <v>2197</v>
      </c>
      <c r="D782" s="1" t="s">
        <v>2360</v>
      </c>
      <c r="E782" s="44" t="s">
        <v>2197</v>
      </c>
      <c r="F782" s="38" t="s">
        <v>2361</v>
      </c>
      <c r="G782" s="45">
        <v>15900</v>
      </c>
      <c r="H782" s="45">
        <v>159</v>
      </c>
    </row>
    <row r="783" spans="1:8">
      <c r="A783" s="78">
        <v>129663343489</v>
      </c>
      <c r="B783" s="1" t="s">
        <v>8</v>
      </c>
      <c r="C783" s="44" t="s">
        <v>2197</v>
      </c>
      <c r="D783" s="1" t="s">
        <v>2360</v>
      </c>
      <c r="E783" s="44" t="s">
        <v>2197</v>
      </c>
      <c r="F783" s="38" t="s">
        <v>2361</v>
      </c>
      <c r="G783" s="45">
        <v>12000</v>
      </c>
      <c r="H783" s="45">
        <v>120</v>
      </c>
    </row>
    <row r="784" spans="1:8">
      <c r="A784" s="78">
        <v>130240464046</v>
      </c>
      <c r="B784" s="1" t="s">
        <v>8</v>
      </c>
      <c r="C784" s="44" t="s">
        <v>2197</v>
      </c>
      <c r="D784" s="1" t="s">
        <v>2360</v>
      </c>
      <c r="E784" s="44" t="s">
        <v>2197</v>
      </c>
      <c r="F784" s="38" t="s">
        <v>2361</v>
      </c>
      <c r="G784" s="45">
        <v>21300</v>
      </c>
      <c r="H784" s="45">
        <v>213</v>
      </c>
    </row>
    <row r="785" spans="1:8">
      <c r="A785" s="78">
        <v>129653680393</v>
      </c>
      <c r="B785" s="1" t="s">
        <v>8</v>
      </c>
      <c r="C785" s="44" t="s">
        <v>2197</v>
      </c>
      <c r="D785" s="1" t="s">
        <v>2360</v>
      </c>
      <c r="E785" s="44" t="s">
        <v>2197</v>
      </c>
      <c r="F785" s="38" t="s">
        <v>2361</v>
      </c>
      <c r="G785" s="45">
        <v>4400</v>
      </c>
      <c r="H785" s="45">
        <v>44</v>
      </c>
    </row>
    <row r="786" spans="1:8">
      <c r="A786" s="78">
        <v>129663918113</v>
      </c>
      <c r="B786" s="1" t="s">
        <v>8</v>
      </c>
      <c r="C786" s="44" t="s">
        <v>2197</v>
      </c>
      <c r="D786" s="1" t="s">
        <v>2360</v>
      </c>
      <c r="E786" s="44" t="s">
        <v>2197</v>
      </c>
      <c r="F786" s="38" t="s">
        <v>2361</v>
      </c>
      <c r="G786" s="45">
        <v>15100</v>
      </c>
      <c r="H786" s="45">
        <v>151</v>
      </c>
    </row>
    <row r="787" spans="1:8">
      <c r="A787" s="78">
        <v>129663962379</v>
      </c>
      <c r="B787" s="1" t="s">
        <v>8</v>
      </c>
      <c r="C787" s="44" t="s">
        <v>2197</v>
      </c>
      <c r="D787" s="1" t="s">
        <v>2360</v>
      </c>
      <c r="E787" s="44" t="s">
        <v>2197</v>
      </c>
      <c r="F787" s="38" t="s">
        <v>2361</v>
      </c>
      <c r="G787" s="45">
        <v>120100</v>
      </c>
      <c r="H787" s="45">
        <v>1201</v>
      </c>
    </row>
    <row r="788" spans="1:8">
      <c r="A788" s="78">
        <v>130240900046</v>
      </c>
      <c r="B788" s="1" t="s">
        <v>8</v>
      </c>
      <c r="C788" s="44" t="s">
        <v>2197</v>
      </c>
      <c r="D788" s="1" t="s">
        <v>2360</v>
      </c>
      <c r="E788" s="44" t="s">
        <v>2197</v>
      </c>
      <c r="F788" s="38" t="s">
        <v>2361</v>
      </c>
      <c r="G788" s="45">
        <v>19200</v>
      </c>
      <c r="H788" s="45">
        <v>192</v>
      </c>
    </row>
    <row r="789" spans="1:8">
      <c r="A789" s="78">
        <v>130231645538</v>
      </c>
      <c r="B789" s="1" t="s">
        <v>8</v>
      </c>
      <c r="C789" s="44" t="s">
        <v>2197</v>
      </c>
      <c r="D789" s="1" t="s">
        <v>2360</v>
      </c>
      <c r="E789" s="44" t="s">
        <v>2197</v>
      </c>
      <c r="F789" s="38" t="s">
        <v>2361</v>
      </c>
      <c r="G789" s="45">
        <v>4800</v>
      </c>
      <c r="H789" s="45">
        <v>48</v>
      </c>
    </row>
    <row r="790" spans="1:8">
      <c r="A790" s="78">
        <v>129664922167</v>
      </c>
      <c r="B790" s="1" t="s">
        <v>8</v>
      </c>
      <c r="C790" s="44" t="s">
        <v>2197</v>
      </c>
      <c r="D790" s="1" t="s">
        <v>2360</v>
      </c>
      <c r="E790" s="44" t="s">
        <v>2197</v>
      </c>
      <c r="F790" s="38" t="s">
        <v>2361</v>
      </c>
      <c r="G790" s="45">
        <v>40900</v>
      </c>
      <c r="H790" s="45">
        <v>409</v>
      </c>
    </row>
    <row r="791" spans="1:8">
      <c r="A791" s="78">
        <v>129665646917</v>
      </c>
      <c r="B791" s="1" t="s">
        <v>8</v>
      </c>
      <c r="C791" s="44" t="s">
        <v>2197</v>
      </c>
      <c r="D791" s="1" t="s">
        <v>2360</v>
      </c>
      <c r="E791" s="44" t="s">
        <v>2215</v>
      </c>
      <c r="F791" s="38" t="s">
        <v>2361</v>
      </c>
      <c r="G791" s="45">
        <v>4000</v>
      </c>
      <c r="H791" s="45">
        <v>40</v>
      </c>
    </row>
    <row r="792" spans="1:8">
      <c r="A792" s="78">
        <v>129665679145</v>
      </c>
      <c r="B792" s="1" t="s">
        <v>2055</v>
      </c>
      <c r="C792" s="44" t="s">
        <v>2197</v>
      </c>
      <c r="D792" s="1" t="s">
        <v>2360</v>
      </c>
      <c r="E792" s="44" t="s">
        <v>2215</v>
      </c>
      <c r="F792" s="38" t="s">
        <v>2361</v>
      </c>
      <c r="G792" s="45">
        <v>6800</v>
      </c>
      <c r="H792" s="45">
        <v>68</v>
      </c>
    </row>
    <row r="793" spans="1:8">
      <c r="A793" s="78">
        <v>129665788341</v>
      </c>
      <c r="B793" s="1" t="s">
        <v>8</v>
      </c>
      <c r="C793" s="44" t="s">
        <v>2197</v>
      </c>
      <c r="D793" s="1" t="s">
        <v>2360</v>
      </c>
      <c r="E793" s="44" t="s">
        <v>2215</v>
      </c>
      <c r="F793" s="38" t="s">
        <v>2361</v>
      </c>
      <c r="G793" s="45">
        <v>13800</v>
      </c>
      <c r="H793" s="45">
        <v>138</v>
      </c>
    </row>
    <row r="794" spans="1:8">
      <c r="A794" s="78">
        <v>130233045784</v>
      </c>
      <c r="B794" s="1" t="s">
        <v>2055</v>
      </c>
      <c r="C794" s="44" t="s">
        <v>2197</v>
      </c>
      <c r="D794" s="1" t="s">
        <v>2360</v>
      </c>
      <c r="E794" s="44" t="s">
        <v>2197</v>
      </c>
      <c r="F794" s="38" t="s">
        <v>2361</v>
      </c>
      <c r="G794" s="45">
        <v>4800</v>
      </c>
      <c r="H794" s="45">
        <v>48</v>
      </c>
    </row>
    <row r="795" spans="1:8">
      <c r="A795" s="78">
        <v>129656171055</v>
      </c>
      <c r="B795" s="1" t="s">
        <v>8</v>
      </c>
      <c r="C795" s="44" t="s">
        <v>2197</v>
      </c>
      <c r="D795" s="1" t="s">
        <v>2360</v>
      </c>
      <c r="E795" s="44" t="s">
        <v>2197</v>
      </c>
      <c r="F795" s="38" t="s">
        <v>2361</v>
      </c>
      <c r="G795" s="45">
        <v>28200</v>
      </c>
      <c r="H795" s="45">
        <v>282</v>
      </c>
    </row>
    <row r="796" spans="1:8">
      <c r="A796" s="78">
        <v>129656635025</v>
      </c>
      <c r="B796" s="1" t="s">
        <v>8</v>
      </c>
      <c r="C796" s="44" t="s">
        <v>2197</v>
      </c>
      <c r="D796" s="1" t="s">
        <v>2360</v>
      </c>
      <c r="E796" s="44" t="s">
        <v>2197</v>
      </c>
      <c r="F796" s="38" t="s">
        <v>2361</v>
      </c>
      <c r="G796" s="45">
        <v>14400</v>
      </c>
      <c r="H796" s="45">
        <v>144</v>
      </c>
    </row>
    <row r="797" spans="1:8">
      <c r="A797" s="78">
        <v>130243580586</v>
      </c>
      <c r="B797" s="1" t="s">
        <v>8</v>
      </c>
      <c r="C797" s="44" t="s">
        <v>2197</v>
      </c>
      <c r="D797" s="1" t="s">
        <v>2360</v>
      </c>
      <c r="E797" s="44" t="s">
        <v>2215</v>
      </c>
      <c r="F797" s="38" t="s">
        <v>2361</v>
      </c>
      <c r="G797" s="45">
        <v>29500</v>
      </c>
      <c r="H797" s="45">
        <v>295</v>
      </c>
    </row>
    <row r="798" spans="1:8">
      <c r="A798" s="78">
        <v>129667302525</v>
      </c>
      <c r="B798" s="1" t="s">
        <v>8</v>
      </c>
      <c r="C798" s="44" t="s">
        <v>2197</v>
      </c>
      <c r="D798" s="1" t="s">
        <v>2360</v>
      </c>
      <c r="E798" s="44" t="s">
        <v>2215</v>
      </c>
      <c r="F798" s="38" t="s">
        <v>2361</v>
      </c>
      <c r="G798" s="45">
        <v>8800</v>
      </c>
      <c r="H798" s="45">
        <v>88</v>
      </c>
    </row>
    <row r="799" spans="1:8">
      <c r="A799" s="78">
        <v>130244117942</v>
      </c>
      <c r="B799" s="1" t="s">
        <v>2055</v>
      </c>
      <c r="C799" s="44" t="s">
        <v>2197</v>
      </c>
      <c r="D799" s="1" t="s">
        <v>2360</v>
      </c>
      <c r="E799" s="44" t="s">
        <v>2215</v>
      </c>
      <c r="F799" s="38" t="s">
        <v>2361</v>
      </c>
      <c r="G799" s="45">
        <v>20700</v>
      </c>
      <c r="H799" s="45">
        <v>207</v>
      </c>
    </row>
    <row r="800" spans="1:8">
      <c r="A800" s="78">
        <v>129667759013</v>
      </c>
      <c r="B800" s="1" t="s">
        <v>2055</v>
      </c>
      <c r="C800" s="44" t="s">
        <v>2197</v>
      </c>
      <c r="D800" s="1" t="s">
        <v>2360</v>
      </c>
      <c r="E800" s="44" t="s">
        <v>2215</v>
      </c>
      <c r="F800" s="38" t="s">
        <v>2361</v>
      </c>
      <c r="G800" s="45">
        <v>20400</v>
      </c>
      <c r="H800" s="45">
        <v>204</v>
      </c>
    </row>
    <row r="801" spans="1:8">
      <c r="A801" s="78">
        <v>130235241138</v>
      </c>
      <c r="B801" s="1" t="s">
        <v>8</v>
      </c>
      <c r="C801" s="44" t="s">
        <v>2197</v>
      </c>
      <c r="D801" s="1" t="s">
        <v>2360</v>
      </c>
      <c r="E801" s="44" t="s">
        <v>2197</v>
      </c>
      <c r="F801" s="38" t="s">
        <v>2361</v>
      </c>
      <c r="G801" s="45">
        <v>18300</v>
      </c>
      <c r="H801" s="45">
        <v>183</v>
      </c>
    </row>
    <row r="802" spans="1:8">
      <c r="A802" s="78">
        <v>129658725887</v>
      </c>
      <c r="B802" s="1" t="s">
        <v>8</v>
      </c>
      <c r="C802" s="44" t="s">
        <v>2197</v>
      </c>
      <c r="D802" s="1" t="s">
        <v>2360</v>
      </c>
      <c r="E802" s="44" t="s">
        <v>2197</v>
      </c>
      <c r="F802" s="38" t="s">
        <v>2361</v>
      </c>
      <c r="G802" s="45">
        <v>8400</v>
      </c>
      <c r="H802" s="45">
        <v>84</v>
      </c>
    </row>
    <row r="803" spans="1:8">
      <c r="A803" s="78">
        <v>130245490130</v>
      </c>
      <c r="B803" s="1" t="s">
        <v>2055</v>
      </c>
      <c r="C803" s="44" t="s">
        <v>2215</v>
      </c>
      <c r="D803" s="1" t="s">
        <v>2360</v>
      </c>
      <c r="E803" s="44" t="s">
        <v>2215</v>
      </c>
      <c r="F803" s="38" t="s">
        <v>2361</v>
      </c>
      <c r="G803" s="45">
        <v>4300</v>
      </c>
      <c r="H803" s="45">
        <v>43</v>
      </c>
    </row>
    <row r="804" spans="1:8">
      <c r="A804" s="78">
        <v>130236213438</v>
      </c>
      <c r="B804" s="1" t="s">
        <v>8</v>
      </c>
      <c r="C804" s="44" t="s">
        <v>2197</v>
      </c>
      <c r="D804" s="1" t="s">
        <v>2360</v>
      </c>
      <c r="E804" s="44" t="s">
        <v>2197</v>
      </c>
      <c r="F804" s="38" t="s">
        <v>2361</v>
      </c>
      <c r="G804" s="45">
        <v>13000</v>
      </c>
      <c r="H804" s="45">
        <v>130</v>
      </c>
    </row>
    <row r="805" spans="1:8">
      <c r="A805" s="78">
        <v>129668822791</v>
      </c>
      <c r="B805" s="1" t="s">
        <v>8</v>
      </c>
      <c r="C805" s="44" t="s">
        <v>2215</v>
      </c>
      <c r="D805" s="1" t="s">
        <v>2360</v>
      </c>
      <c r="E805" s="44" t="s">
        <v>2215</v>
      </c>
      <c r="F805" s="38" t="s">
        <v>2361</v>
      </c>
      <c r="G805" s="45">
        <v>8000</v>
      </c>
      <c r="H805" s="45">
        <v>80</v>
      </c>
    </row>
    <row r="806" spans="1:8">
      <c r="A806" s="78">
        <v>130237347830</v>
      </c>
      <c r="B806" s="1" t="s">
        <v>2055</v>
      </c>
      <c r="C806" s="44" t="s">
        <v>2197</v>
      </c>
      <c r="D806" s="1" t="s">
        <v>2360</v>
      </c>
      <c r="E806" s="44" t="s">
        <v>2197</v>
      </c>
      <c r="F806" s="38" t="s">
        <v>2361</v>
      </c>
      <c r="G806" s="45">
        <v>37500</v>
      </c>
      <c r="H806" s="45">
        <v>375</v>
      </c>
    </row>
    <row r="807" spans="1:8">
      <c r="A807" s="78">
        <v>130246469118</v>
      </c>
      <c r="B807" s="1" t="s">
        <v>2055</v>
      </c>
      <c r="C807" s="44" t="s">
        <v>2215</v>
      </c>
      <c r="D807" s="1" t="s">
        <v>2360</v>
      </c>
      <c r="E807" s="44" t="s">
        <v>2215</v>
      </c>
      <c r="F807" s="38" t="s">
        <v>2361</v>
      </c>
      <c r="G807" s="45">
        <v>26100</v>
      </c>
      <c r="H807" s="45">
        <v>261</v>
      </c>
    </row>
    <row r="808" spans="1:8">
      <c r="A808" s="78">
        <v>129669964271</v>
      </c>
      <c r="B808" s="1" t="s">
        <v>8</v>
      </c>
      <c r="C808" s="44" t="s">
        <v>2215</v>
      </c>
      <c r="D808" s="1" t="s">
        <v>2360</v>
      </c>
      <c r="E808" s="44" t="s">
        <v>2215</v>
      </c>
      <c r="F808" s="38" t="s">
        <v>2361</v>
      </c>
      <c r="G808" s="45">
        <v>12400</v>
      </c>
      <c r="H808" s="45">
        <v>124</v>
      </c>
    </row>
    <row r="809" spans="1:8">
      <c r="A809" s="78">
        <v>129669927047</v>
      </c>
      <c r="B809" s="1" t="s">
        <v>8</v>
      </c>
      <c r="C809" s="44" t="s">
        <v>2215</v>
      </c>
      <c r="D809" s="1" t="s">
        <v>2360</v>
      </c>
      <c r="E809" s="44" t="s">
        <v>2215</v>
      </c>
      <c r="F809" s="38" t="s">
        <v>2361</v>
      </c>
      <c r="G809" s="45">
        <v>8400</v>
      </c>
      <c r="H809" s="45">
        <v>84</v>
      </c>
    </row>
    <row r="810" spans="1:8">
      <c r="A810" s="78">
        <v>130238444232</v>
      </c>
      <c r="B810" s="1" t="s">
        <v>8</v>
      </c>
      <c r="C810" s="44" t="s">
        <v>2197</v>
      </c>
      <c r="D810" s="1" t="s">
        <v>2360</v>
      </c>
      <c r="E810" s="44" t="s">
        <v>2197</v>
      </c>
      <c r="F810" s="38" t="s">
        <v>2361</v>
      </c>
      <c r="G810" s="45">
        <v>5500</v>
      </c>
      <c r="H810" s="45">
        <v>55</v>
      </c>
    </row>
    <row r="811" spans="1:8">
      <c r="A811" s="78">
        <v>130247086718</v>
      </c>
      <c r="B811" s="1" t="s">
        <v>8</v>
      </c>
      <c r="C811" s="44" t="s">
        <v>2215</v>
      </c>
      <c r="D811" s="1" t="s">
        <v>2360</v>
      </c>
      <c r="E811" s="44" t="s">
        <v>2215</v>
      </c>
      <c r="F811" s="38" t="s">
        <v>2361</v>
      </c>
      <c r="G811" s="45">
        <v>4800</v>
      </c>
      <c r="H811" s="45">
        <v>48</v>
      </c>
    </row>
    <row r="812" spans="1:8">
      <c r="A812" s="78">
        <v>129661707693</v>
      </c>
      <c r="B812" s="1" t="s">
        <v>8</v>
      </c>
      <c r="C812" s="44" t="s">
        <v>2197</v>
      </c>
      <c r="D812" s="1" t="s">
        <v>2360</v>
      </c>
      <c r="E812" s="44" t="s">
        <v>2197</v>
      </c>
      <c r="F812" s="38" t="s">
        <v>2361</v>
      </c>
      <c r="G812" s="45">
        <v>9600</v>
      </c>
      <c r="H812" s="45">
        <v>96</v>
      </c>
    </row>
    <row r="813" spans="1:8">
      <c r="A813" s="78">
        <v>129670229407</v>
      </c>
      <c r="B813" s="1" t="s">
        <v>8</v>
      </c>
      <c r="C813" s="44" t="s">
        <v>2215</v>
      </c>
      <c r="D813" s="1" t="s">
        <v>2360</v>
      </c>
      <c r="E813" s="44" t="s">
        <v>2215</v>
      </c>
      <c r="F813" s="38" t="s">
        <v>2361</v>
      </c>
      <c r="G813" s="45">
        <v>14200</v>
      </c>
      <c r="H813" s="45">
        <v>142</v>
      </c>
    </row>
    <row r="814" spans="1:8">
      <c r="A814" s="78">
        <v>129661865619</v>
      </c>
      <c r="B814" s="1" t="s">
        <v>8</v>
      </c>
      <c r="C814" s="44" t="s">
        <v>2197</v>
      </c>
      <c r="D814" s="1" t="s">
        <v>2360</v>
      </c>
      <c r="E814" s="44" t="s">
        <v>2197</v>
      </c>
      <c r="F814" s="38" t="s">
        <v>2361</v>
      </c>
      <c r="G814" s="45">
        <v>9200</v>
      </c>
      <c r="H814" s="45">
        <v>92</v>
      </c>
    </row>
    <row r="815" spans="1:8">
      <c r="A815" s="78">
        <v>130238857554</v>
      </c>
      <c r="B815" s="1" t="s">
        <v>8</v>
      </c>
      <c r="C815" s="44" t="s">
        <v>2197</v>
      </c>
      <c r="D815" s="1" t="s">
        <v>2360</v>
      </c>
      <c r="E815" s="44" t="s">
        <v>2197</v>
      </c>
      <c r="F815" s="38" t="s">
        <v>2361</v>
      </c>
      <c r="G815" s="45">
        <v>4750</v>
      </c>
      <c r="H815" s="45">
        <v>47.5</v>
      </c>
    </row>
    <row r="816" spans="1:8">
      <c r="A816" s="78">
        <v>130238877698</v>
      </c>
      <c r="B816" s="1" t="s">
        <v>8</v>
      </c>
      <c r="C816" s="44" t="s">
        <v>2197</v>
      </c>
      <c r="D816" s="1" t="s">
        <v>2360</v>
      </c>
      <c r="E816" s="44" t="s">
        <v>2197</v>
      </c>
      <c r="F816" s="38" t="s">
        <v>2361</v>
      </c>
      <c r="G816" s="45">
        <v>9200</v>
      </c>
      <c r="H816" s="45">
        <v>92</v>
      </c>
    </row>
    <row r="817" spans="1:8">
      <c r="A817" s="78">
        <v>130247329100</v>
      </c>
      <c r="B817" s="1" t="s">
        <v>2055</v>
      </c>
      <c r="C817" s="44" t="s">
        <v>2215</v>
      </c>
      <c r="D817" s="1" t="s">
        <v>2360</v>
      </c>
      <c r="E817" s="44" t="s">
        <v>2215</v>
      </c>
      <c r="F817" s="38" t="s">
        <v>2361</v>
      </c>
      <c r="G817" s="45">
        <v>11000</v>
      </c>
      <c r="H817" s="45">
        <v>110</v>
      </c>
    </row>
    <row r="818" spans="1:8">
      <c r="A818" s="78">
        <v>129662993211</v>
      </c>
      <c r="B818" s="1" t="s">
        <v>2055</v>
      </c>
      <c r="C818" s="44" t="s">
        <v>2197</v>
      </c>
      <c r="D818" s="1" t="s">
        <v>2360</v>
      </c>
      <c r="E818" s="44" t="s">
        <v>2197</v>
      </c>
      <c r="F818" s="38" t="s">
        <v>2361</v>
      </c>
      <c r="G818" s="45">
        <v>8800</v>
      </c>
      <c r="H818" s="45">
        <v>88</v>
      </c>
    </row>
    <row r="819" spans="1:8">
      <c r="A819" s="78">
        <v>129671797275</v>
      </c>
      <c r="B819" s="1" t="s">
        <v>8</v>
      </c>
      <c r="C819" s="44" t="s">
        <v>2215</v>
      </c>
      <c r="D819" s="1" t="s">
        <v>2360</v>
      </c>
      <c r="E819" s="44" t="s">
        <v>2215</v>
      </c>
      <c r="F819" s="38" t="s">
        <v>2361</v>
      </c>
      <c r="G819" s="45">
        <v>5500</v>
      </c>
      <c r="H819" s="45">
        <v>55</v>
      </c>
    </row>
    <row r="820" spans="1:8">
      <c r="A820" s="78">
        <v>129664222459</v>
      </c>
      <c r="B820" s="1" t="s">
        <v>2055</v>
      </c>
      <c r="C820" s="44" t="s">
        <v>2197</v>
      </c>
      <c r="D820" s="1" t="s">
        <v>2360</v>
      </c>
      <c r="E820" s="44" t="s">
        <v>2197</v>
      </c>
      <c r="F820" s="38" t="s">
        <v>2361</v>
      </c>
      <c r="G820" s="45">
        <v>101400</v>
      </c>
      <c r="H820" s="45">
        <v>1014</v>
      </c>
    </row>
    <row r="821" spans="1:8">
      <c r="A821" s="78">
        <v>130248763394</v>
      </c>
      <c r="B821" s="1" t="s">
        <v>8</v>
      </c>
      <c r="C821" s="44" t="s">
        <v>2215</v>
      </c>
      <c r="D821" s="1" t="s">
        <v>2360</v>
      </c>
      <c r="E821" s="44" t="s">
        <v>2215</v>
      </c>
      <c r="F821" s="38" t="s">
        <v>2361</v>
      </c>
      <c r="G821" s="45">
        <v>16000</v>
      </c>
      <c r="H821" s="45">
        <v>160</v>
      </c>
    </row>
    <row r="822" spans="1:8">
      <c r="A822" s="78">
        <v>130241438654</v>
      </c>
      <c r="B822" s="1" t="s">
        <v>8</v>
      </c>
      <c r="C822" s="44" t="s">
        <v>2197</v>
      </c>
      <c r="D822" s="1" t="s">
        <v>2360</v>
      </c>
      <c r="E822" s="44" t="s">
        <v>2197</v>
      </c>
      <c r="F822" s="38" t="s">
        <v>2361</v>
      </c>
      <c r="G822" s="45">
        <v>4200</v>
      </c>
      <c r="H822" s="45">
        <v>42</v>
      </c>
    </row>
    <row r="823" spans="1:8">
      <c r="A823" s="78">
        <v>130241731324</v>
      </c>
      <c r="B823" s="1" t="s">
        <v>8</v>
      </c>
      <c r="C823" s="44" t="s">
        <v>2197</v>
      </c>
      <c r="D823" s="1" t="s">
        <v>2360</v>
      </c>
      <c r="E823" s="44" t="s">
        <v>2197</v>
      </c>
      <c r="F823" s="38" t="s">
        <v>2361</v>
      </c>
      <c r="G823" s="45">
        <v>12200</v>
      </c>
      <c r="H823" s="45">
        <v>122</v>
      </c>
    </row>
    <row r="824" spans="1:8">
      <c r="A824" s="78">
        <v>129665013047</v>
      </c>
      <c r="B824" s="1" t="s">
        <v>8</v>
      </c>
      <c r="C824" s="44" t="s">
        <v>2197</v>
      </c>
      <c r="D824" s="1" t="s">
        <v>2360</v>
      </c>
      <c r="E824" s="44" t="s">
        <v>2215</v>
      </c>
      <c r="F824" s="38" t="s">
        <v>2361</v>
      </c>
      <c r="G824" s="45">
        <v>19200</v>
      </c>
      <c r="H824" s="45">
        <v>192</v>
      </c>
    </row>
    <row r="825" spans="1:8">
      <c r="A825" s="78">
        <v>130242353180</v>
      </c>
      <c r="B825" s="1" t="s">
        <v>8</v>
      </c>
      <c r="C825" s="44" t="s">
        <v>2197</v>
      </c>
      <c r="D825" s="1" t="s">
        <v>2360</v>
      </c>
      <c r="E825" s="44" t="s">
        <v>2215</v>
      </c>
      <c r="F825" s="38" t="s">
        <v>2361</v>
      </c>
      <c r="G825" s="45">
        <v>20500</v>
      </c>
      <c r="H825" s="45">
        <v>205</v>
      </c>
    </row>
    <row r="826" spans="1:8">
      <c r="A826" s="78">
        <v>130242682206</v>
      </c>
      <c r="B826" s="1" t="s">
        <v>8</v>
      </c>
      <c r="C826" s="44" t="s">
        <v>2197</v>
      </c>
      <c r="D826" s="1" t="s">
        <v>2360</v>
      </c>
      <c r="E826" s="44" t="s">
        <v>2215</v>
      </c>
      <c r="F826" s="38" t="s">
        <v>2361</v>
      </c>
      <c r="G826" s="45">
        <v>48400</v>
      </c>
      <c r="H826" s="45">
        <v>484</v>
      </c>
    </row>
    <row r="827" spans="1:8">
      <c r="A827" s="78">
        <v>130249595876</v>
      </c>
      <c r="B827" s="1" t="s">
        <v>2055</v>
      </c>
      <c r="C827" s="44" t="s">
        <v>2215</v>
      </c>
      <c r="D827" s="1" t="s">
        <v>2360</v>
      </c>
      <c r="E827" s="44" t="s">
        <v>2215</v>
      </c>
      <c r="F827" s="38" t="s">
        <v>2361</v>
      </c>
      <c r="G827" s="45">
        <v>14400</v>
      </c>
      <c r="H827" s="45">
        <v>144</v>
      </c>
    </row>
    <row r="828" spans="1:8">
      <c r="A828" s="78">
        <v>130242872800</v>
      </c>
      <c r="B828" s="1" t="s">
        <v>8</v>
      </c>
      <c r="C828" s="44" t="s">
        <v>2197</v>
      </c>
      <c r="D828" s="1" t="s">
        <v>2360</v>
      </c>
      <c r="E828" s="44" t="s">
        <v>2215</v>
      </c>
      <c r="F828" s="38" t="s">
        <v>2361</v>
      </c>
      <c r="G828" s="45">
        <v>13600</v>
      </c>
      <c r="H828" s="45">
        <v>136</v>
      </c>
    </row>
    <row r="829" spans="1:8">
      <c r="A829" s="78">
        <v>130243088256</v>
      </c>
      <c r="B829" s="1" t="s">
        <v>2055</v>
      </c>
      <c r="C829" s="44" t="s">
        <v>2197</v>
      </c>
      <c r="D829" s="1" t="s">
        <v>2360</v>
      </c>
      <c r="E829" s="44" t="s">
        <v>2215</v>
      </c>
      <c r="F829" s="38" t="s">
        <v>2361</v>
      </c>
      <c r="G829" s="45">
        <v>4400</v>
      </c>
      <c r="H829" s="45">
        <v>44</v>
      </c>
    </row>
    <row r="830" spans="1:8">
      <c r="A830" s="78">
        <v>129673252193</v>
      </c>
      <c r="B830" s="1" t="s">
        <v>8</v>
      </c>
      <c r="C830" s="44" t="s">
        <v>2215</v>
      </c>
      <c r="D830" s="1" t="s">
        <v>2360</v>
      </c>
      <c r="E830" s="44" t="s">
        <v>2215</v>
      </c>
      <c r="F830" s="38" t="s">
        <v>2361</v>
      </c>
      <c r="G830" s="45">
        <v>12000</v>
      </c>
      <c r="H830" s="45">
        <v>120</v>
      </c>
    </row>
    <row r="831" spans="1:8">
      <c r="A831" s="78">
        <v>130243178826</v>
      </c>
      <c r="B831" s="1" t="s">
        <v>8</v>
      </c>
      <c r="C831" s="44" t="s">
        <v>2197</v>
      </c>
      <c r="D831" s="1" t="s">
        <v>2360</v>
      </c>
      <c r="E831" s="44" t="s">
        <v>2215</v>
      </c>
      <c r="F831" s="38" t="s">
        <v>2361</v>
      </c>
      <c r="G831" s="45">
        <v>20700</v>
      </c>
      <c r="H831" s="45">
        <v>207</v>
      </c>
    </row>
    <row r="832" spans="1:8">
      <c r="A832" s="78">
        <v>130243259208</v>
      </c>
      <c r="B832" s="1" t="s">
        <v>8</v>
      </c>
      <c r="C832" s="44" t="s">
        <v>2197</v>
      </c>
      <c r="D832" s="1" t="s">
        <v>2360</v>
      </c>
      <c r="E832" s="44" t="s">
        <v>2215</v>
      </c>
      <c r="F832" s="38" t="s">
        <v>2361</v>
      </c>
      <c r="G832" s="45">
        <v>22000</v>
      </c>
      <c r="H832" s="45">
        <v>220</v>
      </c>
    </row>
    <row r="833" spans="1:8">
      <c r="A833" s="78">
        <v>130243432840</v>
      </c>
      <c r="B833" s="1" t="s">
        <v>8</v>
      </c>
      <c r="C833" s="44" t="s">
        <v>2197</v>
      </c>
      <c r="D833" s="1" t="s">
        <v>2360</v>
      </c>
      <c r="E833" s="44" t="s">
        <v>2215</v>
      </c>
      <c r="F833" s="38" t="s">
        <v>2361</v>
      </c>
      <c r="G833" s="45">
        <v>11000</v>
      </c>
      <c r="H833" s="45">
        <v>110</v>
      </c>
    </row>
    <row r="834" spans="1:8">
      <c r="A834" s="78">
        <v>129666703035</v>
      </c>
      <c r="B834" s="1" t="s">
        <v>8</v>
      </c>
      <c r="C834" s="44" t="s">
        <v>2197</v>
      </c>
      <c r="D834" s="1" t="s">
        <v>2360</v>
      </c>
      <c r="E834" s="44" t="s">
        <v>2215</v>
      </c>
      <c r="F834" s="38" t="s">
        <v>2361</v>
      </c>
      <c r="G834" s="45">
        <v>10600</v>
      </c>
      <c r="H834" s="45">
        <v>106</v>
      </c>
    </row>
    <row r="835" spans="1:8">
      <c r="A835" s="78">
        <v>129666911033</v>
      </c>
      <c r="B835" s="1" t="s">
        <v>8</v>
      </c>
      <c r="C835" s="44" t="s">
        <v>2197</v>
      </c>
      <c r="D835" s="1" t="s">
        <v>2360</v>
      </c>
      <c r="E835" s="44" t="s">
        <v>2215</v>
      </c>
      <c r="F835" s="38" t="s">
        <v>2361</v>
      </c>
      <c r="G835" s="45">
        <v>80100</v>
      </c>
      <c r="H835" s="45">
        <v>801</v>
      </c>
    </row>
    <row r="836" spans="1:8">
      <c r="A836" s="78">
        <v>129667056931</v>
      </c>
      <c r="B836" s="1" t="s">
        <v>8</v>
      </c>
      <c r="C836" s="44" t="s">
        <v>2197</v>
      </c>
      <c r="D836" s="1" t="s">
        <v>2360</v>
      </c>
      <c r="E836" s="44" t="s">
        <v>2215</v>
      </c>
      <c r="F836" s="38" t="s">
        <v>2361</v>
      </c>
      <c r="G836" s="45">
        <v>6000</v>
      </c>
      <c r="H836" s="45">
        <v>60</v>
      </c>
    </row>
    <row r="837" spans="1:8">
      <c r="A837" s="78">
        <v>129667297475</v>
      </c>
      <c r="B837" s="1" t="s">
        <v>2055</v>
      </c>
      <c r="C837" s="44" t="s">
        <v>2197</v>
      </c>
      <c r="D837" s="1" t="s">
        <v>2360</v>
      </c>
      <c r="E837" s="44" t="s">
        <v>2215</v>
      </c>
      <c r="F837" s="38" t="s">
        <v>2361</v>
      </c>
      <c r="G837" s="45">
        <v>8000</v>
      </c>
      <c r="H837" s="45">
        <v>80</v>
      </c>
    </row>
    <row r="838" spans="1:8">
      <c r="A838" s="78">
        <v>130244627434</v>
      </c>
      <c r="B838" s="1" t="s">
        <v>2055</v>
      </c>
      <c r="C838" s="44" t="s">
        <v>2197</v>
      </c>
      <c r="D838" s="1" t="s">
        <v>2360</v>
      </c>
      <c r="E838" s="44" t="s">
        <v>2215</v>
      </c>
      <c r="F838" s="38" t="s">
        <v>2361</v>
      </c>
      <c r="G838" s="45">
        <v>4500</v>
      </c>
      <c r="H838" s="45">
        <v>45</v>
      </c>
    </row>
    <row r="839" spans="1:8">
      <c r="A839" s="78">
        <v>130245537370</v>
      </c>
      <c r="B839" s="1" t="s">
        <v>2055</v>
      </c>
      <c r="C839" s="44" t="s">
        <v>2215</v>
      </c>
      <c r="D839" s="1" t="s">
        <v>2360</v>
      </c>
      <c r="E839" s="44" t="s">
        <v>2215</v>
      </c>
      <c r="F839" s="38" t="s">
        <v>2361</v>
      </c>
      <c r="G839" s="45">
        <v>9000</v>
      </c>
      <c r="H839" s="45">
        <v>90</v>
      </c>
    </row>
    <row r="840" spans="1:8">
      <c r="A840" s="78">
        <v>130245840846</v>
      </c>
      <c r="B840" s="1" t="s">
        <v>8</v>
      </c>
      <c r="C840" s="44" t="s">
        <v>2215</v>
      </c>
      <c r="D840" s="1" t="s">
        <v>2360</v>
      </c>
      <c r="E840" s="44" t="s">
        <v>2215</v>
      </c>
      <c r="F840" s="38" t="s">
        <v>2361</v>
      </c>
      <c r="G840" s="45">
        <v>81900</v>
      </c>
      <c r="H840" s="45">
        <v>819</v>
      </c>
    </row>
    <row r="841" spans="1:8">
      <c r="A841" s="78">
        <v>129668875591</v>
      </c>
      <c r="B841" s="1" t="s">
        <v>8</v>
      </c>
      <c r="C841" s="44" t="s">
        <v>2215</v>
      </c>
      <c r="D841" s="1" t="s">
        <v>2360</v>
      </c>
      <c r="E841" s="44" t="s">
        <v>2215</v>
      </c>
      <c r="F841" s="38" t="s">
        <v>2361</v>
      </c>
      <c r="G841" s="45">
        <v>12400</v>
      </c>
      <c r="H841" s="45">
        <v>124</v>
      </c>
    </row>
    <row r="842" spans="1:8">
      <c r="A842" s="78">
        <v>129669344853</v>
      </c>
      <c r="B842" s="1" t="s">
        <v>8</v>
      </c>
      <c r="C842" s="44" t="s">
        <v>2215</v>
      </c>
      <c r="D842" s="1" t="s">
        <v>2360</v>
      </c>
      <c r="E842" s="44" t="s">
        <v>2215</v>
      </c>
      <c r="F842" s="38" t="s">
        <v>2361</v>
      </c>
      <c r="G842" s="45">
        <v>8000</v>
      </c>
      <c r="H842" s="45">
        <v>80</v>
      </c>
    </row>
    <row r="843" spans="1:8">
      <c r="A843" s="78">
        <v>129669379157</v>
      </c>
      <c r="B843" s="1" t="s">
        <v>8</v>
      </c>
      <c r="C843" s="44" t="s">
        <v>2215</v>
      </c>
      <c r="D843" s="1" t="s">
        <v>2360</v>
      </c>
      <c r="E843" s="44" t="s">
        <v>2215</v>
      </c>
      <c r="F843" s="38" t="s">
        <v>2361</v>
      </c>
      <c r="G843" s="45">
        <v>11700</v>
      </c>
      <c r="H843" s="45">
        <v>117</v>
      </c>
    </row>
    <row r="844" spans="1:8">
      <c r="A844" s="78">
        <v>130246425270</v>
      </c>
      <c r="B844" s="1" t="s">
        <v>8</v>
      </c>
      <c r="C844" s="44" t="s">
        <v>2215</v>
      </c>
      <c r="D844" s="1" t="s">
        <v>2360</v>
      </c>
      <c r="E844" s="44" t="s">
        <v>2215</v>
      </c>
      <c r="F844" s="38" t="s">
        <v>2361</v>
      </c>
      <c r="G844" s="45">
        <v>9600</v>
      </c>
      <c r="H844" s="45">
        <v>96</v>
      </c>
    </row>
    <row r="845" spans="1:8">
      <c r="A845" s="78">
        <v>129669964271</v>
      </c>
      <c r="B845" s="1" t="s">
        <v>8</v>
      </c>
      <c r="C845" s="44" t="s">
        <v>2215</v>
      </c>
      <c r="D845" s="1" t="s">
        <v>2073</v>
      </c>
      <c r="E845" s="44" t="s">
        <v>2215</v>
      </c>
      <c r="F845" s="38" t="s">
        <v>2361</v>
      </c>
      <c r="G845" s="45">
        <v>-12400</v>
      </c>
      <c r="H845" s="45">
        <v>-124</v>
      </c>
    </row>
    <row r="846" spans="1:8">
      <c r="A846" s="78">
        <v>130247030066</v>
      </c>
      <c r="B846" s="1" t="s">
        <v>8</v>
      </c>
      <c r="C846" s="44" t="s">
        <v>2215</v>
      </c>
      <c r="D846" s="1" t="s">
        <v>2360</v>
      </c>
      <c r="E846" s="44" t="s">
        <v>2215</v>
      </c>
      <c r="F846" s="38" t="s">
        <v>2361</v>
      </c>
      <c r="G846" s="45">
        <v>13900</v>
      </c>
      <c r="H846" s="45">
        <v>139</v>
      </c>
    </row>
    <row r="847" spans="1:8">
      <c r="A847" s="78">
        <v>130247117566</v>
      </c>
      <c r="B847" s="1" t="s">
        <v>8</v>
      </c>
      <c r="C847" s="44" t="s">
        <v>2215</v>
      </c>
      <c r="D847" s="1" t="s">
        <v>2360</v>
      </c>
      <c r="E847" s="44" t="s">
        <v>2215</v>
      </c>
      <c r="F847" s="38" t="s">
        <v>2361</v>
      </c>
      <c r="G847" s="45">
        <v>22000</v>
      </c>
      <c r="H847" s="45">
        <v>220</v>
      </c>
    </row>
    <row r="848" spans="1:8">
      <c r="A848" s="78">
        <v>130247304740</v>
      </c>
      <c r="B848" s="1" t="s">
        <v>2055</v>
      </c>
      <c r="C848" s="44" t="s">
        <v>2215</v>
      </c>
      <c r="D848" s="1" t="s">
        <v>2360</v>
      </c>
      <c r="E848" s="44" t="s">
        <v>2215</v>
      </c>
      <c r="F848" s="38" t="s">
        <v>2361</v>
      </c>
      <c r="G848" s="45">
        <v>33600</v>
      </c>
      <c r="H848" s="45">
        <v>336</v>
      </c>
    </row>
    <row r="849" spans="1:8">
      <c r="A849" s="78">
        <v>130247568172</v>
      </c>
      <c r="B849" s="1" t="s">
        <v>2055</v>
      </c>
      <c r="C849" s="44" t="s">
        <v>2215</v>
      </c>
      <c r="D849" s="1" t="s">
        <v>2360</v>
      </c>
      <c r="E849" s="44" t="s">
        <v>2215</v>
      </c>
      <c r="F849" s="38" t="s">
        <v>2361</v>
      </c>
      <c r="G849" s="45">
        <v>4200</v>
      </c>
      <c r="H849" s="45">
        <v>42</v>
      </c>
    </row>
    <row r="850" spans="1:8">
      <c r="A850" s="78">
        <v>129670391921</v>
      </c>
      <c r="B850" s="1" t="s">
        <v>8</v>
      </c>
      <c r="C850" s="44" t="s">
        <v>2215</v>
      </c>
      <c r="D850" s="1" t="s">
        <v>2360</v>
      </c>
      <c r="E850" s="44" t="s">
        <v>2215</v>
      </c>
      <c r="F850" s="38" t="s">
        <v>2361</v>
      </c>
      <c r="G850" s="45">
        <v>9700</v>
      </c>
      <c r="H850" s="45">
        <v>97</v>
      </c>
    </row>
    <row r="851" spans="1:8">
      <c r="A851" s="78">
        <v>129670591855</v>
      </c>
      <c r="B851" s="1" t="s">
        <v>8</v>
      </c>
      <c r="C851" s="44" t="s">
        <v>2215</v>
      </c>
      <c r="D851" s="1" t="s">
        <v>2360</v>
      </c>
      <c r="E851" s="44" t="s">
        <v>2215</v>
      </c>
      <c r="F851" s="38" t="s">
        <v>2361</v>
      </c>
      <c r="G851" s="45">
        <v>78000</v>
      </c>
      <c r="H851" s="45">
        <v>780</v>
      </c>
    </row>
    <row r="852" spans="1:8">
      <c r="A852" s="78">
        <v>130247812692</v>
      </c>
      <c r="B852" s="1" t="s">
        <v>8</v>
      </c>
      <c r="C852" s="44" t="s">
        <v>2215</v>
      </c>
      <c r="D852" s="1" t="s">
        <v>2360</v>
      </c>
      <c r="E852" s="44" t="s">
        <v>2215</v>
      </c>
      <c r="F852" s="38" t="s">
        <v>2361</v>
      </c>
      <c r="G852" s="45">
        <v>5500</v>
      </c>
      <c r="H852" s="45">
        <v>55</v>
      </c>
    </row>
    <row r="853" spans="1:8">
      <c r="A853" s="78">
        <v>130247751270</v>
      </c>
      <c r="B853" s="1" t="s">
        <v>8</v>
      </c>
      <c r="C853" s="44" t="s">
        <v>2215</v>
      </c>
      <c r="D853" s="1" t="s">
        <v>2360</v>
      </c>
      <c r="E853" s="44" t="s">
        <v>2215</v>
      </c>
      <c r="F853" s="38" t="s">
        <v>2361</v>
      </c>
      <c r="G853" s="45">
        <v>4800</v>
      </c>
      <c r="H853" s="45">
        <v>48</v>
      </c>
    </row>
    <row r="854" spans="1:8">
      <c r="A854" s="78">
        <v>130248036304</v>
      </c>
      <c r="B854" s="1" t="s">
        <v>8</v>
      </c>
      <c r="C854" s="44" t="s">
        <v>2215</v>
      </c>
      <c r="D854" s="1" t="s">
        <v>2360</v>
      </c>
      <c r="E854" s="44" t="s">
        <v>2215</v>
      </c>
      <c r="F854" s="38" t="s">
        <v>2361</v>
      </c>
      <c r="G854" s="45">
        <v>37100</v>
      </c>
      <c r="H854" s="45">
        <v>371</v>
      </c>
    </row>
    <row r="855" spans="1:8">
      <c r="A855" s="78">
        <v>129670937377</v>
      </c>
      <c r="B855" s="1" t="s">
        <v>8</v>
      </c>
      <c r="C855" s="44" t="s">
        <v>2215</v>
      </c>
      <c r="D855" s="1" t="s">
        <v>2360</v>
      </c>
      <c r="E855" s="44" t="s">
        <v>2215</v>
      </c>
      <c r="F855" s="38" t="s">
        <v>2361</v>
      </c>
      <c r="G855" s="45">
        <v>18700</v>
      </c>
      <c r="H855" s="45">
        <v>187</v>
      </c>
    </row>
    <row r="856" spans="1:8">
      <c r="A856" s="78">
        <v>130248023924</v>
      </c>
      <c r="B856" s="1" t="s">
        <v>8</v>
      </c>
      <c r="C856" s="44" t="s">
        <v>2215</v>
      </c>
      <c r="D856" s="1" t="s">
        <v>2360</v>
      </c>
      <c r="E856" s="44" t="s">
        <v>2215</v>
      </c>
      <c r="F856" s="38" t="s">
        <v>2361</v>
      </c>
      <c r="G856" s="45">
        <v>9200</v>
      </c>
      <c r="H856" s="45">
        <v>92</v>
      </c>
    </row>
    <row r="857" spans="1:8">
      <c r="A857" s="78">
        <v>129671157781</v>
      </c>
      <c r="B857" s="1" t="s">
        <v>2055</v>
      </c>
      <c r="C857" s="44" t="s">
        <v>2215</v>
      </c>
      <c r="D857" s="1" t="s">
        <v>2360</v>
      </c>
      <c r="E857" s="44" t="s">
        <v>2215</v>
      </c>
      <c r="F857" s="38" t="s">
        <v>2361</v>
      </c>
      <c r="G857" s="45">
        <v>11000</v>
      </c>
      <c r="H857" s="45">
        <v>110</v>
      </c>
    </row>
    <row r="858" spans="1:8">
      <c r="A858" s="78">
        <v>130248316942</v>
      </c>
      <c r="B858" s="1" t="s">
        <v>8</v>
      </c>
      <c r="C858" s="44" t="s">
        <v>2215</v>
      </c>
      <c r="D858" s="1" t="s">
        <v>2360</v>
      </c>
      <c r="E858" s="44" t="s">
        <v>2215</v>
      </c>
      <c r="F858" s="38" t="s">
        <v>2361</v>
      </c>
      <c r="G858" s="45">
        <v>5500</v>
      </c>
      <c r="H858" s="45">
        <v>55</v>
      </c>
    </row>
    <row r="859" spans="1:8">
      <c r="A859" s="78">
        <v>129671936945</v>
      </c>
      <c r="B859" s="1" t="s">
        <v>8</v>
      </c>
      <c r="C859" s="44" t="s">
        <v>2215</v>
      </c>
      <c r="D859" s="1" t="s">
        <v>2360</v>
      </c>
      <c r="E859" s="44" t="s">
        <v>2215</v>
      </c>
      <c r="F859" s="38" t="s">
        <v>2361</v>
      </c>
      <c r="G859" s="45">
        <v>4800</v>
      </c>
      <c r="H859" s="45">
        <v>48</v>
      </c>
    </row>
    <row r="860" spans="1:8">
      <c r="A860" s="78">
        <v>129671929721</v>
      </c>
      <c r="B860" s="1" t="s">
        <v>8</v>
      </c>
      <c r="C860" s="44" t="s">
        <v>2215</v>
      </c>
      <c r="D860" s="1" t="s">
        <v>2360</v>
      </c>
      <c r="E860" s="44" t="s">
        <v>2215</v>
      </c>
      <c r="F860" s="38" t="s">
        <v>2361</v>
      </c>
      <c r="G860" s="45">
        <v>26000</v>
      </c>
      <c r="H860" s="45">
        <v>260</v>
      </c>
    </row>
    <row r="861" spans="1:8">
      <c r="A861" s="78">
        <v>129672790911</v>
      </c>
      <c r="B861" s="1" t="s">
        <v>8</v>
      </c>
      <c r="C861" s="44" t="s">
        <v>2215</v>
      </c>
      <c r="D861" s="1" t="s">
        <v>2360</v>
      </c>
      <c r="E861" s="44" t="s">
        <v>2215</v>
      </c>
      <c r="F861" s="38" t="s">
        <v>2361</v>
      </c>
      <c r="G861" s="45">
        <v>24900</v>
      </c>
      <c r="H861" s="45">
        <v>249</v>
      </c>
    </row>
    <row r="862" spans="1:8">
      <c r="A862" s="78">
        <v>130249957450</v>
      </c>
      <c r="B862" s="1" t="s">
        <v>8</v>
      </c>
      <c r="C862" s="44" t="s">
        <v>2215</v>
      </c>
      <c r="D862" s="1" t="s">
        <v>2360</v>
      </c>
      <c r="E862" s="44" t="s">
        <v>2215</v>
      </c>
      <c r="F862" s="38" t="s">
        <v>2361</v>
      </c>
      <c r="G862" s="45">
        <v>18200</v>
      </c>
      <c r="H862" s="45">
        <v>182</v>
      </c>
    </row>
    <row r="863" spans="1:8">
      <c r="A863" s="78">
        <v>129673278321</v>
      </c>
      <c r="B863" s="1" t="s">
        <v>8</v>
      </c>
      <c r="C863" s="44" t="s">
        <v>2215</v>
      </c>
      <c r="D863" s="1" t="s">
        <v>2360</v>
      </c>
      <c r="E863" s="44" t="s">
        <v>2215</v>
      </c>
      <c r="F863" s="38" t="s">
        <v>2361</v>
      </c>
      <c r="G863" s="45">
        <v>38000</v>
      </c>
      <c r="H863" s="45">
        <v>380</v>
      </c>
    </row>
    <row r="864" spans="1:8">
      <c r="A864" s="78">
        <v>130353705012</v>
      </c>
      <c r="B864" s="1" t="s">
        <v>8</v>
      </c>
      <c r="C864" s="44" t="s">
        <v>2215</v>
      </c>
      <c r="D864" s="1" t="s">
        <v>2360</v>
      </c>
      <c r="E864" s="44" t="s">
        <v>2215</v>
      </c>
      <c r="F864" s="38" t="s">
        <v>2361</v>
      </c>
      <c r="G864" s="45">
        <v>9600</v>
      </c>
      <c r="H864" s="45">
        <v>96</v>
      </c>
    </row>
    <row r="865" spans="1:8">
      <c r="A865" s="78">
        <v>129784003071</v>
      </c>
      <c r="B865" s="1" t="s">
        <v>8</v>
      </c>
      <c r="C865" s="44" t="s">
        <v>2215</v>
      </c>
      <c r="D865" s="1" t="s">
        <v>2360</v>
      </c>
      <c r="E865" s="44" t="s">
        <v>2215</v>
      </c>
      <c r="F865" s="38" t="s">
        <v>2361</v>
      </c>
      <c r="G865" s="45">
        <v>16000</v>
      </c>
      <c r="H865" s="45">
        <v>160</v>
      </c>
    </row>
    <row r="866" spans="1:8">
      <c r="A866" s="78">
        <v>130361946326</v>
      </c>
      <c r="B866" s="1" t="s">
        <v>8</v>
      </c>
      <c r="C866" s="44" t="s">
        <v>2215</v>
      </c>
      <c r="D866" s="1" t="s">
        <v>2360</v>
      </c>
      <c r="E866" s="44" t="s">
        <v>2215</v>
      </c>
      <c r="F866" s="38" t="s">
        <v>2361</v>
      </c>
      <c r="G866" s="45">
        <v>4800</v>
      </c>
      <c r="H866" s="45">
        <v>48</v>
      </c>
    </row>
    <row r="867" spans="1:8">
      <c r="A867" s="78">
        <v>129785020933</v>
      </c>
      <c r="B867" s="1" t="s">
        <v>8</v>
      </c>
      <c r="C867" s="44" t="s">
        <v>2215</v>
      </c>
      <c r="D867" s="1" t="s">
        <v>2360</v>
      </c>
      <c r="E867" s="44" t="s">
        <v>2215</v>
      </c>
      <c r="F867" s="38" t="s">
        <v>2361</v>
      </c>
      <c r="G867" s="45">
        <v>19000</v>
      </c>
      <c r="H867" s="45">
        <v>190</v>
      </c>
    </row>
    <row r="868" spans="1:8">
      <c r="A868" s="78">
        <v>129786974609</v>
      </c>
      <c r="B868" s="1" t="s">
        <v>8</v>
      </c>
      <c r="C868" s="44" t="s">
        <v>2215</v>
      </c>
      <c r="D868" s="1" t="s">
        <v>2360</v>
      </c>
      <c r="E868" s="44" t="s">
        <v>2215</v>
      </c>
      <c r="F868" s="38" t="s">
        <v>2361</v>
      </c>
      <c r="G868" s="45">
        <v>26100</v>
      </c>
      <c r="H868" s="45">
        <v>261</v>
      </c>
    </row>
    <row r="869" spans="1:8">
      <c r="A869" s="78">
        <v>130366746476</v>
      </c>
      <c r="B869" s="1" t="s">
        <v>8</v>
      </c>
      <c r="C869" s="44" t="s">
        <v>2215</v>
      </c>
      <c r="D869" s="1" t="s">
        <v>2360</v>
      </c>
      <c r="E869" s="44" t="s">
        <v>2215</v>
      </c>
      <c r="F869" s="38" t="s">
        <v>2361</v>
      </c>
      <c r="G869" s="45">
        <v>4800</v>
      </c>
      <c r="H869" s="45">
        <v>48</v>
      </c>
    </row>
    <row r="870" spans="1:8">
      <c r="A870" s="78">
        <v>129778116759</v>
      </c>
      <c r="B870" s="1" t="s">
        <v>2055</v>
      </c>
      <c r="C870" s="44" t="s">
        <v>2215</v>
      </c>
      <c r="D870" s="1" t="s">
        <v>2360</v>
      </c>
      <c r="E870" s="44" t="s">
        <v>2215</v>
      </c>
      <c r="F870" s="38" t="s">
        <v>2361</v>
      </c>
      <c r="G870" s="45">
        <v>16800</v>
      </c>
      <c r="H870" s="45">
        <v>168</v>
      </c>
    </row>
    <row r="871" spans="1:8">
      <c r="A871" s="78">
        <v>130358126868</v>
      </c>
      <c r="B871" s="1" t="s">
        <v>8</v>
      </c>
      <c r="C871" s="44" t="s">
        <v>2215</v>
      </c>
      <c r="D871" s="1" t="s">
        <v>2360</v>
      </c>
      <c r="E871" s="44" t="s">
        <v>2215</v>
      </c>
      <c r="F871" s="38" t="s">
        <v>2361</v>
      </c>
      <c r="G871" s="45">
        <v>9600</v>
      </c>
      <c r="H871" s="45">
        <v>96</v>
      </c>
    </row>
    <row r="872" spans="1:8">
      <c r="A872" s="78">
        <v>129792971801</v>
      </c>
      <c r="B872" s="1" t="s">
        <v>8</v>
      </c>
      <c r="C872" s="44" t="s">
        <v>2215</v>
      </c>
      <c r="D872" s="1" t="s">
        <v>2360</v>
      </c>
      <c r="E872" s="44" t="s">
        <v>2215</v>
      </c>
      <c r="F872" s="38" t="s">
        <v>2361</v>
      </c>
      <c r="G872" s="45">
        <v>5500</v>
      </c>
      <c r="H872" s="45">
        <v>55</v>
      </c>
    </row>
    <row r="873" spans="1:8">
      <c r="A873" s="78">
        <v>130361293554</v>
      </c>
      <c r="B873" s="1" t="s">
        <v>8</v>
      </c>
      <c r="C873" s="44" t="s">
        <v>2215</v>
      </c>
      <c r="D873" s="1" t="s">
        <v>2360</v>
      </c>
      <c r="E873" s="44" t="s">
        <v>2215</v>
      </c>
      <c r="F873" s="38" t="s">
        <v>2361</v>
      </c>
      <c r="G873" s="45">
        <v>4800</v>
      </c>
      <c r="H873" s="45">
        <v>48</v>
      </c>
    </row>
    <row r="874" spans="1:8">
      <c r="A874" s="78">
        <v>129794619261</v>
      </c>
      <c r="B874" s="1" t="s">
        <v>2055</v>
      </c>
      <c r="C874" s="44" t="s">
        <v>2215</v>
      </c>
      <c r="D874" s="1" t="s">
        <v>2360</v>
      </c>
      <c r="E874" s="44" t="s">
        <v>2215</v>
      </c>
      <c r="F874" s="38" t="s">
        <v>2361</v>
      </c>
      <c r="G874" s="45">
        <v>30200</v>
      </c>
      <c r="H874" s="45">
        <v>302</v>
      </c>
    </row>
    <row r="875" spans="1:8">
      <c r="A875" s="78">
        <v>129785087831</v>
      </c>
      <c r="B875" s="1" t="s">
        <v>8</v>
      </c>
      <c r="C875" s="44" t="s">
        <v>2215</v>
      </c>
      <c r="D875" s="1" t="s">
        <v>2360</v>
      </c>
      <c r="E875" s="44" t="s">
        <v>2215</v>
      </c>
      <c r="F875" s="38" t="s">
        <v>2361</v>
      </c>
      <c r="G875" s="45">
        <v>2400</v>
      </c>
      <c r="H875" s="45">
        <v>24</v>
      </c>
    </row>
    <row r="876" spans="1:8">
      <c r="A876" s="78">
        <v>129796256297</v>
      </c>
      <c r="B876" s="1" t="s">
        <v>8</v>
      </c>
      <c r="C876" s="44" t="s">
        <v>2215</v>
      </c>
      <c r="D876" s="1" t="s">
        <v>2360</v>
      </c>
      <c r="E876" s="44" t="s">
        <v>2215</v>
      </c>
      <c r="F876" s="38" t="s">
        <v>2361</v>
      </c>
      <c r="G876" s="45">
        <v>9800</v>
      </c>
      <c r="H876" s="45">
        <v>98</v>
      </c>
    </row>
    <row r="877" spans="1:8">
      <c r="A877" s="78">
        <v>130364127788</v>
      </c>
      <c r="B877" s="1" t="s">
        <v>2055</v>
      </c>
      <c r="C877" s="44" t="s">
        <v>2215</v>
      </c>
      <c r="D877" s="1" t="s">
        <v>2360</v>
      </c>
      <c r="E877" s="44" t="s">
        <v>2215</v>
      </c>
      <c r="F877" s="38" t="s">
        <v>2361</v>
      </c>
      <c r="G877" s="45">
        <v>11900</v>
      </c>
      <c r="H877" s="45">
        <v>119</v>
      </c>
    </row>
    <row r="878" spans="1:8">
      <c r="A878" s="78">
        <v>129798660403</v>
      </c>
      <c r="B878" s="1" t="s">
        <v>2055</v>
      </c>
      <c r="C878" s="44" t="s">
        <v>2215</v>
      </c>
      <c r="D878" s="1" t="s">
        <v>2360</v>
      </c>
      <c r="E878" s="44" t="s">
        <v>2215</v>
      </c>
      <c r="F878" s="38" t="s">
        <v>2361</v>
      </c>
      <c r="G878" s="45">
        <v>39900</v>
      </c>
      <c r="H878" s="45">
        <v>399</v>
      </c>
    </row>
    <row r="879" spans="1:8">
      <c r="A879" s="78">
        <v>129790304621</v>
      </c>
      <c r="B879" s="1" t="s">
        <v>2055</v>
      </c>
      <c r="C879" s="44" t="s">
        <v>2215</v>
      </c>
      <c r="D879" s="1" t="s">
        <v>2360</v>
      </c>
      <c r="E879" s="44" t="s">
        <v>2215</v>
      </c>
      <c r="F879" s="38" t="s">
        <v>2361</v>
      </c>
      <c r="G879" s="45">
        <v>9600</v>
      </c>
      <c r="H879" s="45">
        <v>96</v>
      </c>
    </row>
    <row r="880" spans="1:8">
      <c r="A880" s="78">
        <v>130380979778</v>
      </c>
      <c r="B880" s="1" t="s">
        <v>2055</v>
      </c>
      <c r="C880" s="44" t="s">
        <v>2215</v>
      </c>
      <c r="D880" s="1" t="s">
        <v>2360</v>
      </c>
      <c r="E880" s="44" t="s">
        <v>2215</v>
      </c>
      <c r="F880" s="38" t="s">
        <v>2361</v>
      </c>
      <c r="G880" s="45">
        <v>42000</v>
      </c>
      <c r="H880" s="45">
        <v>420</v>
      </c>
    </row>
    <row r="881" spans="1:8">
      <c r="A881" s="78">
        <v>129803748097</v>
      </c>
      <c r="B881" s="1" t="s">
        <v>8</v>
      </c>
      <c r="C881" s="44" t="s">
        <v>2215</v>
      </c>
      <c r="D881" s="1" t="s">
        <v>2360</v>
      </c>
      <c r="E881" s="44" t="s">
        <v>2215</v>
      </c>
      <c r="F881" s="38" t="s">
        <v>2361</v>
      </c>
      <c r="G881" s="45">
        <v>49400</v>
      </c>
      <c r="H881" s="45">
        <v>494</v>
      </c>
    </row>
    <row r="882" spans="1:8">
      <c r="A882" s="78">
        <v>130381748326</v>
      </c>
      <c r="B882" s="1" t="s">
        <v>8</v>
      </c>
      <c r="C882" s="44" t="s">
        <v>2215</v>
      </c>
      <c r="D882" s="1" t="s">
        <v>2360</v>
      </c>
      <c r="E882" s="44" t="s">
        <v>2215</v>
      </c>
      <c r="F882" s="38" t="s">
        <v>2361</v>
      </c>
      <c r="G882" s="45">
        <v>41200</v>
      </c>
      <c r="H882" s="45">
        <v>412</v>
      </c>
    </row>
    <row r="883" spans="1:8">
      <c r="A883" s="78">
        <v>130383628858</v>
      </c>
      <c r="B883" s="1" t="s">
        <v>8</v>
      </c>
      <c r="C883" s="44" t="s">
        <v>2215</v>
      </c>
      <c r="D883" s="1" t="s">
        <v>2360</v>
      </c>
      <c r="E883" s="44" t="s">
        <v>2224</v>
      </c>
      <c r="F883" s="38" t="s">
        <v>2361</v>
      </c>
      <c r="G883" s="45">
        <v>46200</v>
      </c>
      <c r="H883" s="45">
        <v>462</v>
      </c>
    </row>
    <row r="884" spans="1:8">
      <c r="A884" s="78">
        <v>130384067958</v>
      </c>
      <c r="B884" s="1" t="s">
        <v>8</v>
      </c>
      <c r="C884" s="44" t="s">
        <v>2215</v>
      </c>
      <c r="D884" s="1" t="s">
        <v>2360</v>
      </c>
      <c r="E884" s="44" t="s">
        <v>2224</v>
      </c>
      <c r="F884" s="38" t="s">
        <v>2361</v>
      </c>
      <c r="G884" s="45">
        <v>105400</v>
      </c>
      <c r="H884" s="45">
        <v>1054</v>
      </c>
    </row>
    <row r="885" spans="1:8">
      <c r="A885" s="78">
        <v>129796310089</v>
      </c>
      <c r="B885" s="1" t="s">
        <v>2055</v>
      </c>
      <c r="C885" s="44" t="s">
        <v>2215</v>
      </c>
      <c r="D885" s="1" t="s">
        <v>2360</v>
      </c>
      <c r="E885" s="44" t="s">
        <v>2215</v>
      </c>
      <c r="F885" s="38" t="s">
        <v>2361</v>
      </c>
      <c r="G885" s="45">
        <v>39000</v>
      </c>
      <c r="H885" s="45">
        <v>390</v>
      </c>
    </row>
    <row r="886" spans="1:8">
      <c r="A886" s="78">
        <v>129796727397</v>
      </c>
      <c r="B886" s="1" t="s">
        <v>8</v>
      </c>
      <c r="C886" s="44" t="s">
        <v>2215</v>
      </c>
      <c r="D886" s="1" t="s">
        <v>2360</v>
      </c>
      <c r="E886" s="44" t="s">
        <v>2215</v>
      </c>
      <c r="F886" s="38" t="s">
        <v>2361</v>
      </c>
      <c r="G886" s="45">
        <v>66200</v>
      </c>
      <c r="H886" s="45">
        <v>662</v>
      </c>
    </row>
    <row r="887" spans="1:8">
      <c r="A887" s="78">
        <v>130385114790</v>
      </c>
      <c r="B887" s="1" t="s">
        <v>8</v>
      </c>
      <c r="C887" s="44" t="s">
        <v>2215</v>
      </c>
      <c r="D887" s="1" t="s">
        <v>2360</v>
      </c>
      <c r="E887" s="44" t="s">
        <v>2224</v>
      </c>
      <c r="F887" s="38" t="s">
        <v>2361</v>
      </c>
      <c r="G887" s="45">
        <v>14500</v>
      </c>
      <c r="H887" s="45">
        <v>145</v>
      </c>
    </row>
    <row r="888" spans="1:8">
      <c r="A888" s="78">
        <v>130375704532</v>
      </c>
      <c r="B888" s="1" t="s">
        <v>8</v>
      </c>
      <c r="C888" s="44" t="s">
        <v>2215</v>
      </c>
      <c r="D888" s="1" t="s">
        <v>2360</v>
      </c>
      <c r="E888" s="44" t="s">
        <v>2215</v>
      </c>
      <c r="F888" s="38" t="s">
        <v>2361</v>
      </c>
      <c r="G888" s="45">
        <v>85700</v>
      </c>
      <c r="H888" s="45">
        <v>857</v>
      </c>
    </row>
    <row r="889" spans="1:8">
      <c r="A889" s="78">
        <v>130386044450</v>
      </c>
      <c r="B889" s="1" t="s">
        <v>2055</v>
      </c>
      <c r="C889" s="44" t="s">
        <v>2224</v>
      </c>
      <c r="D889" s="1" t="s">
        <v>2360</v>
      </c>
      <c r="E889" s="44" t="s">
        <v>2224</v>
      </c>
      <c r="F889" s="38" t="s">
        <v>2361</v>
      </c>
      <c r="G889" s="45">
        <v>14600</v>
      </c>
      <c r="H889" s="45">
        <v>146</v>
      </c>
    </row>
    <row r="890" spans="1:8">
      <c r="A890" s="78">
        <v>130386612836</v>
      </c>
      <c r="B890" s="1" t="s">
        <v>8</v>
      </c>
      <c r="C890" s="44" t="s">
        <v>2224</v>
      </c>
      <c r="D890" s="1" t="s">
        <v>2360</v>
      </c>
      <c r="E890" s="44" t="s">
        <v>2224</v>
      </c>
      <c r="F890" s="38" t="s">
        <v>2361</v>
      </c>
      <c r="G890" s="45">
        <v>33300</v>
      </c>
      <c r="H890" s="45">
        <v>333</v>
      </c>
    </row>
    <row r="891" spans="1:8">
      <c r="A891" s="78">
        <v>129809631405</v>
      </c>
      <c r="B891" s="1" t="s">
        <v>8</v>
      </c>
      <c r="C891" s="44" t="s">
        <v>2224</v>
      </c>
      <c r="D891" s="1" t="s">
        <v>2360</v>
      </c>
      <c r="E891" s="44" t="s">
        <v>2224</v>
      </c>
      <c r="F891" s="38" t="s">
        <v>2361</v>
      </c>
      <c r="G891" s="45">
        <v>15100</v>
      </c>
      <c r="H891" s="45">
        <v>151</v>
      </c>
    </row>
    <row r="892" spans="1:8">
      <c r="A892" s="78">
        <v>130377596540</v>
      </c>
      <c r="B892" s="1" t="s">
        <v>8</v>
      </c>
      <c r="C892" s="44" t="s">
        <v>2215</v>
      </c>
      <c r="D892" s="1" t="s">
        <v>2360</v>
      </c>
      <c r="E892" s="44" t="s">
        <v>2215</v>
      </c>
      <c r="F892" s="38" t="s">
        <v>2361</v>
      </c>
      <c r="G892" s="45">
        <v>4600</v>
      </c>
      <c r="H892" s="45">
        <v>46</v>
      </c>
    </row>
    <row r="893" spans="1:8">
      <c r="A893" s="78">
        <v>130377732924</v>
      </c>
      <c r="B893" s="1" t="s">
        <v>2055</v>
      </c>
      <c r="C893" s="44" t="s">
        <v>2215</v>
      </c>
      <c r="D893" s="1" t="s">
        <v>2360</v>
      </c>
      <c r="E893" s="44" t="s">
        <v>2215</v>
      </c>
      <c r="F893" s="38" t="s">
        <v>2361</v>
      </c>
      <c r="G893" s="45">
        <v>63700</v>
      </c>
      <c r="H893" s="45">
        <v>637</v>
      </c>
    </row>
    <row r="894" spans="1:8">
      <c r="A894" s="78">
        <v>130388212390</v>
      </c>
      <c r="B894" s="1" t="s">
        <v>8</v>
      </c>
      <c r="C894" s="44" t="s">
        <v>2224</v>
      </c>
      <c r="D894" s="1" t="s">
        <v>2360</v>
      </c>
      <c r="E894" s="44" t="s">
        <v>2224</v>
      </c>
      <c r="F894" s="38" t="s">
        <v>2361</v>
      </c>
      <c r="G894" s="45">
        <v>22700</v>
      </c>
      <c r="H894" s="45">
        <v>227</v>
      </c>
    </row>
    <row r="895" spans="1:8">
      <c r="A895" s="78">
        <v>129810790437</v>
      </c>
      <c r="B895" s="1" t="s">
        <v>8</v>
      </c>
      <c r="C895" s="44" t="s">
        <v>2224</v>
      </c>
      <c r="D895" s="1" t="s">
        <v>2360</v>
      </c>
      <c r="E895" s="44" t="s">
        <v>2224</v>
      </c>
      <c r="F895" s="38" t="s">
        <v>2361</v>
      </c>
      <c r="G895" s="45">
        <v>8000</v>
      </c>
      <c r="H895" s="45">
        <v>80</v>
      </c>
    </row>
    <row r="896" spans="1:8">
      <c r="A896" s="78">
        <v>129811436587</v>
      </c>
      <c r="B896" s="1" t="s">
        <v>8</v>
      </c>
      <c r="C896" s="44" t="s">
        <v>2224</v>
      </c>
      <c r="D896" s="1" t="s">
        <v>2360</v>
      </c>
      <c r="E896" s="44" t="s">
        <v>2224</v>
      </c>
      <c r="F896" s="38" t="s">
        <v>2361</v>
      </c>
      <c r="G896" s="45">
        <v>11000</v>
      </c>
      <c r="H896" s="45">
        <v>110</v>
      </c>
    </row>
    <row r="897" spans="1:8">
      <c r="A897" s="78">
        <v>129804183645</v>
      </c>
      <c r="B897" s="1" t="s">
        <v>2055</v>
      </c>
      <c r="C897" s="44" t="s">
        <v>2215</v>
      </c>
      <c r="D897" s="1" t="s">
        <v>2360</v>
      </c>
      <c r="E897" s="44" t="s">
        <v>2215</v>
      </c>
      <c r="F897" s="38" t="s">
        <v>2361</v>
      </c>
      <c r="G897" s="45">
        <v>31100</v>
      </c>
      <c r="H897" s="45">
        <v>311</v>
      </c>
    </row>
    <row r="898" spans="1:8">
      <c r="A898" s="78">
        <v>129807437845</v>
      </c>
      <c r="B898" s="1" t="s">
        <v>8</v>
      </c>
      <c r="C898" s="44" t="s">
        <v>2215</v>
      </c>
      <c r="D898" s="1" t="s">
        <v>2360</v>
      </c>
      <c r="E898" s="44" t="s">
        <v>2224</v>
      </c>
      <c r="F898" s="38" t="s">
        <v>2361</v>
      </c>
      <c r="G898" s="45">
        <v>39300</v>
      </c>
      <c r="H898" s="45">
        <v>393</v>
      </c>
    </row>
    <row r="899" spans="1:8">
      <c r="A899" s="78">
        <v>130386204302</v>
      </c>
      <c r="B899" s="1" t="s">
        <v>8</v>
      </c>
      <c r="C899" s="44" t="s">
        <v>2224</v>
      </c>
      <c r="D899" s="1" t="s">
        <v>2360</v>
      </c>
      <c r="E899" s="44" t="s">
        <v>2224</v>
      </c>
      <c r="F899" s="38" t="s">
        <v>2361</v>
      </c>
      <c r="G899" s="45">
        <v>28400</v>
      </c>
      <c r="H899" s="45">
        <v>284</v>
      </c>
    </row>
    <row r="900" spans="1:8">
      <c r="A900" s="78">
        <v>129808985283</v>
      </c>
      <c r="B900" s="1" t="s">
        <v>8</v>
      </c>
      <c r="C900" s="44" t="s">
        <v>2224</v>
      </c>
      <c r="D900" s="1" t="s">
        <v>2360</v>
      </c>
      <c r="E900" s="44" t="s">
        <v>2224</v>
      </c>
      <c r="F900" s="38" t="s">
        <v>2361</v>
      </c>
      <c r="G900" s="45">
        <v>10600</v>
      </c>
      <c r="H900" s="45">
        <v>106</v>
      </c>
    </row>
    <row r="901" spans="1:8">
      <c r="A901" s="78">
        <v>130388020290</v>
      </c>
      <c r="B901" s="1" t="s">
        <v>2055</v>
      </c>
      <c r="C901" s="44" t="s">
        <v>2224</v>
      </c>
      <c r="D901" s="1" t="s">
        <v>2360</v>
      </c>
      <c r="E901" s="44" t="s">
        <v>2224</v>
      </c>
      <c r="F901" s="38" t="s">
        <v>2361</v>
      </c>
      <c r="G901" s="45">
        <v>40900</v>
      </c>
      <c r="H901" s="45">
        <v>409</v>
      </c>
    </row>
    <row r="902" spans="1:8">
      <c r="A902" s="78">
        <v>129810423309</v>
      </c>
      <c r="B902" s="1" t="s">
        <v>8</v>
      </c>
      <c r="C902" s="44" t="s">
        <v>2224</v>
      </c>
      <c r="D902" s="1" t="s">
        <v>2360</v>
      </c>
      <c r="E902" s="44" t="s">
        <v>2224</v>
      </c>
      <c r="F902" s="38" t="s">
        <v>2361</v>
      </c>
      <c r="G902" s="45">
        <v>18400</v>
      </c>
      <c r="H902" s="45">
        <v>184</v>
      </c>
    </row>
    <row r="903" spans="1:8">
      <c r="A903" s="78">
        <v>129810631191</v>
      </c>
      <c r="B903" s="1" t="s">
        <v>8</v>
      </c>
      <c r="C903" s="44" t="s">
        <v>2224</v>
      </c>
      <c r="D903" s="1" t="s">
        <v>2360</v>
      </c>
      <c r="E903" s="44" t="s">
        <v>2224</v>
      </c>
      <c r="F903" s="38" t="s">
        <v>2361</v>
      </c>
      <c r="G903" s="45">
        <v>24500</v>
      </c>
      <c r="H903" s="45">
        <v>245</v>
      </c>
    </row>
    <row r="904" spans="1:8">
      <c r="A904" s="78">
        <v>130476617200</v>
      </c>
      <c r="B904" s="1" t="s">
        <v>8</v>
      </c>
      <c r="C904" s="44" t="s">
        <v>2224</v>
      </c>
      <c r="D904" s="1" t="s">
        <v>2360</v>
      </c>
      <c r="E904" s="44" t="s">
        <v>2224</v>
      </c>
      <c r="F904" s="38" t="s">
        <v>2361</v>
      </c>
      <c r="G904" s="45">
        <v>9800</v>
      </c>
      <c r="H904" s="45">
        <v>98</v>
      </c>
    </row>
    <row r="905" spans="1:8">
      <c r="A905" s="78">
        <v>129900664129</v>
      </c>
      <c r="B905" s="1" t="s">
        <v>2055</v>
      </c>
      <c r="C905" s="44" t="s">
        <v>2224</v>
      </c>
      <c r="D905" s="1" t="s">
        <v>2360</v>
      </c>
      <c r="E905" s="44" t="s">
        <v>2224</v>
      </c>
      <c r="F905" s="38" t="s">
        <v>2361</v>
      </c>
      <c r="G905" s="45">
        <v>38800</v>
      </c>
      <c r="H905" s="45">
        <v>388</v>
      </c>
    </row>
    <row r="906" spans="1:8">
      <c r="A906" s="78">
        <v>129911222493</v>
      </c>
      <c r="B906" s="1" t="s">
        <v>2055</v>
      </c>
      <c r="C906" s="44" t="s">
        <v>2224</v>
      </c>
      <c r="D906" s="1" t="s">
        <v>2360</v>
      </c>
      <c r="E906" s="44" t="s">
        <v>2224</v>
      </c>
      <c r="F906" s="38" t="s">
        <v>2361</v>
      </c>
      <c r="G906" s="45">
        <v>42700</v>
      </c>
      <c r="H906" s="45">
        <v>427</v>
      </c>
    </row>
    <row r="907" spans="1:8">
      <c r="A907" s="78">
        <v>129915579909</v>
      </c>
      <c r="B907" s="1" t="s">
        <v>8</v>
      </c>
      <c r="C907" s="44" t="s">
        <v>2224</v>
      </c>
      <c r="D907" s="1" t="s">
        <v>2360</v>
      </c>
      <c r="E907" s="44" t="s">
        <v>2224</v>
      </c>
      <c r="F907" s="38" t="s">
        <v>2361</v>
      </c>
      <c r="G907" s="45">
        <v>47700</v>
      </c>
      <c r="H907" s="45">
        <v>477</v>
      </c>
    </row>
    <row r="908" spans="1:8">
      <c r="A908" s="78">
        <v>129915872555</v>
      </c>
      <c r="B908" s="1" t="s">
        <v>8</v>
      </c>
      <c r="C908" s="44" t="s">
        <v>2224</v>
      </c>
      <c r="D908" s="1" t="s">
        <v>2360</v>
      </c>
      <c r="E908" s="44" t="s">
        <v>2224</v>
      </c>
      <c r="F908" s="38" t="s">
        <v>2361</v>
      </c>
      <c r="G908" s="45">
        <v>32000</v>
      </c>
      <c r="H908" s="45">
        <v>320</v>
      </c>
    </row>
    <row r="909" spans="1:8">
      <c r="A909" s="78">
        <v>129916914361</v>
      </c>
      <c r="B909" s="1" t="s">
        <v>8</v>
      </c>
      <c r="C909" s="44" t="s">
        <v>2224</v>
      </c>
      <c r="D909" s="1" t="s">
        <v>2360</v>
      </c>
      <c r="E909" s="44" t="s">
        <v>2224</v>
      </c>
      <c r="F909" s="38" t="s">
        <v>2361</v>
      </c>
      <c r="G909" s="45">
        <v>29000</v>
      </c>
      <c r="H909" s="45">
        <v>290</v>
      </c>
    </row>
    <row r="910" spans="1:8">
      <c r="A910" s="78">
        <v>129905597543</v>
      </c>
      <c r="B910" s="1" t="s">
        <v>8</v>
      </c>
      <c r="C910" s="44" t="s">
        <v>2224</v>
      </c>
      <c r="D910" s="1" t="s">
        <v>2360</v>
      </c>
      <c r="E910" s="44" t="s">
        <v>2224</v>
      </c>
      <c r="F910" s="38" t="s">
        <v>2361</v>
      </c>
      <c r="G910" s="45">
        <v>41600</v>
      </c>
      <c r="H910" s="45">
        <v>416</v>
      </c>
    </row>
    <row r="911" spans="1:8">
      <c r="A911" s="78">
        <v>130495964660</v>
      </c>
      <c r="B911" s="1" t="s">
        <v>8</v>
      </c>
      <c r="C911" s="44" t="s">
        <v>2224</v>
      </c>
      <c r="D911" s="1" t="s">
        <v>2360</v>
      </c>
      <c r="E911" s="44" t="s">
        <v>2224</v>
      </c>
      <c r="F911" s="38" t="s">
        <v>2361</v>
      </c>
      <c r="G911" s="45">
        <v>19200</v>
      </c>
      <c r="H911" s="45">
        <v>192</v>
      </c>
    </row>
    <row r="912" spans="1:8">
      <c r="A912" s="78">
        <v>129918023175</v>
      </c>
      <c r="B912" s="1" t="s">
        <v>2055</v>
      </c>
      <c r="C912" s="44" t="s">
        <v>2224</v>
      </c>
      <c r="D912" s="1" t="s">
        <v>2360</v>
      </c>
      <c r="E912" s="44" t="s">
        <v>2224</v>
      </c>
      <c r="F912" s="38" t="s">
        <v>2361</v>
      </c>
      <c r="G912" s="45">
        <v>20700</v>
      </c>
      <c r="H912" s="45">
        <v>207</v>
      </c>
    </row>
    <row r="913" spans="1:8">
      <c r="A913" s="78">
        <v>129922194191</v>
      </c>
      <c r="B913" s="1" t="s">
        <v>2055</v>
      </c>
      <c r="C913" s="44" t="s">
        <v>2224</v>
      </c>
      <c r="D913" s="1" t="s">
        <v>2360</v>
      </c>
      <c r="E913" s="44" t="s">
        <v>2224</v>
      </c>
      <c r="F913" s="38" t="s">
        <v>2361</v>
      </c>
      <c r="G913" s="45">
        <v>45300</v>
      </c>
      <c r="H913" s="45">
        <v>453</v>
      </c>
    </row>
    <row r="914" spans="1:8">
      <c r="A914" s="78">
        <v>129922827431</v>
      </c>
      <c r="B914" s="1" t="s">
        <v>8</v>
      </c>
      <c r="C914" s="44" t="s">
        <v>2224</v>
      </c>
      <c r="D914" s="1" t="s">
        <v>2360</v>
      </c>
      <c r="E914" s="44" t="s">
        <v>2224</v>
      </c>
      <c r="F914" s="38" t="s">
        <v>2361</v>
      </c>
      <c r="G914" s="45">
        <v>16100</v>
      </c>
      <c r="H914" s="45">
        <v>161</v>
      </c>
    </row>
    <row r="915" spans="1:8">
      <c r="A915" s="78">
        <v>130501741454</v>
      </c>
      <c r="B915" s="1" t="s">
        <v>8</v>
      </c>
      <c r="C915" s="44" t="s">
        <v>2224</v>
      </c>
      <c r="D915" s="1" t="s">
        <v>2360</v>
      </c>
      <c r="E915" s="44" t="s">
        <v>2224</v>
      </c>
      <c r="F915" s="38" t="s">
        <v>2361</v>
      </c>
      <c r="G915" s="45">
        <v>45500</v>
      </c>
      <c r="H915" s="45">
        <v>455</v>
      </c>
    </row>
    <row r="916" spans="1:8">
      <c r="A916" s="78">
        <v>130501959538</v>
      </c>
      <c r="B916" s="1" t="s">
        <v>8</v>
      </c>
      <c r="C916" s="44" t="s">
        <v>2224</v>
      </c>
      <c r="D916" s="1" t="s">
        <v>2360</v>
      </c>
      <c r="E916" s="44" t="s">
        <v>2224</v>
      </c>
      <c r="F916" s="38" t="s">
        <v>2361</v>
      </c>
      <c r="G916" s="45">
        <v>40200</v>
      </c>
      <c r="H916" s="45">
        <v>402</v>
      </c>
    </row>
    <row r="917" spans="1:8">
      <c r="A917" s="78">
        <v>129923967495</v>
      </c>
      <c r="B917" s="1" t="s">
        <v>2055</v>
      </c>
      <c r="C917" s="44" t="s">
        <v>2224</v>
      </c>
      <c r="D917" s="1" t="s">
        <v>2360</v>
      </c>
      <c r="E917" s="44" t="s">
        <v>2224</v>
      </c>
      <c r="F917" s="38" t="s">
        <v>2361</v>
      </c>
      <c r="G917" s="45">
        <v>68800</v>
      </c>
      <c r="H917" s="45">
        <v>688</v>
      </c>
    </row>
    <row r="918" spans="1:8">
      <c r="A918" s="78">
        <v>129924104257</v>
      </c>
      <c r="B918" s="1" t="s">
        <v>8</v>
      </c>
      <c r="C918" s="44" t="s">
        <v>2224</v>
      </c>
      <c r="D918" s="1" t="s">
        <v>2360</v>
      </c>
      <c r="E918" s="44" t="s">
        <v>2224</v>
      </c>
      <c r="F918" s="38" t="s">
        <v>2361</v>
      </c>
      <c r="G918" s="45">
        <v>32400</v>
      </c>
      <c r="H918" s="45">
        <v>324</v>
      </c>
    </row>
    <row r="919" spans="1:8">
      <c r="A919" s="78">
        <v>130503035948</v>
      </c>
      <c r="B919" s="1" t="s">
        <v>8</v>
      </c>
      <c r="C919" s="44" t="s">
        <v>2224</v>
      </c>
      <c r="D919" s="1" t="s">
        <v>2360</v>
      </c>
      <c r="E919" s="44" t="s">
        <v>2224</v>
      </c>
      <c r="F919" s="38" t="s">
        <v>2361</v>
      </c>
      <c r="G919" s="45">
        <v>9000</v>
      </c>
      <c r="H919" s="45">
        <v>90</v>
      </c>
    </row>
    <row r="920" spans="1:8">
      <c r="A920" s="78">
        <v>130503399266</v>
      </c>
      <c r="B920" s="1" t="s">
        <v>8</v>
      </c>
      <c r="C920" s="44" t="s">
        <v>2224</v>
      </c>
      <c r="D920" s="1" t="s">
        <v>2360</v>
      </c>
      <c r="E920" s="44" t="s">
        <v>2224</v>
      </c>
      <c r="F920" s="38" t="s">
        <v>2361</v>
      </c>
      <c r="G920" s="45">
        <v>12700</v>
      </c>
      <c r="H920" s="45">
        <v>127</v>
      </c>
    </row>
    <row r="921" spans="1:8">
      <c r="A921" s="78">
        <v>130503401764</v>
      </c>
      <c r="B921" s="1" t="s">
        <v>8</v>
      </c>
      <c r="C921" s="44" t="s">
        <v>2224</v>
      </c>
      <c r="D921" s="1" t="s">
        <v>2360</v>
      </c>
      <c r="E921" s="44" t="s">
        <v>2224</v>
      </c>
      <c r="F921" s="38" t="s">
        <v>2361</v>
      </c>
      <c r="G921" s="45">
        <v>49100</v>
      </c>
      <c r="H921" s="45">
        <v>491</v>
      </c>
    </row>
    <row r="922" spans="1:8">
      <c r="A922" s="78">
        <v>129925367229</v>
      </c>
      <c r="B922" s="1" t="s">
        <v>8</v>
      </c>
      <c r="C922" s="44" t="s">
        <v>2224</v>
      </c>
      <c r="D922" s="1" t="s">
        <v>2360</v>
      </c>
      <c r="E922" s="44" t="s">
        <v>2224</v>
      </c>
      <c r="F922" s="38" t="s">
        <v>2361</v>
      </c>
      <c r="G922" s="45">
        <v>27500</v>
      </c>
      <c r="H922" s="45">
        <v>275</v>
      </c>
    </row>
    <row r="923" spans="1:8">
      <c r="A923" s="78">
        <v>130503823030</v>
      </c>
      <c r="B923" s="1" t="s">
        <v>2055</v>
      </c>
      <c r="C923" s="44" t="s">
        <v>2224</v>
      </c>
      <c r="D923" s="1" t="s">
        <v>2360</v>
      </c>
      <c r="E923" s="44" t="s">
        <v>2224</v>
      </c>
      <c r="F923" s="38" t="s">
        <v>2361</v>
      </c>
      <c r="G923" s="45">
        <v>9600</v>
      </c>
      <c r="H923" s="45">
        <v>96</v>
      </c>
    </row>
    <row r="924" spans="1:8">
      <c r="A924" s="78">
        <v>130491851554</v>
      </c>
      <c r="B924" s="1" t="s">
        <v>2055</v>
      </c>
      <c r="C924" s="44" t="s">
        <v>2224</v>
      </c>
      <c r="D924" s="1" t="s">
        <v>2360</v>
      </c>
      <c r="E924" s="44" t="s">
        <v>2224</v>
      </c>
      <c r="F924" s="38" t="s">
        <v>2361</v>
      </c>
      <c r="G924" s="45">
        <v>15700</v>
      </c>
      <c r="H924" s="45">
        <v>157</v>
      </c>
    </row>
    <row r="925" spans="1:8">
      <c r="A925" s="78">
        <v>129925965239</v>
      </c>
      <c r="B925" s="1" t="s">
        <v>8</v>
      </c>
      <c r="C925" s="44" t="s">
        <v>2224</v>
      </c>
      <c r="D925" s="1" t="s">
        <v>2360</v>
      </c>
      <c r="E925" s="44" t="s">
        <v>2230</v>
      </c>
      <c r="F925" s="38" t="s">
        <v>2361</v>
      </c>
      <c r="G925" s="45">
        <v>52700</v>
      </c>
      <c r="H925" s="45">
        <v>527</v>
      </c>
    </row>
    <row r="926" spans="1:8">
      <c r="A926" s="78">
        <v>130505063064</v>
      </c>
      <c r="B926" s="1" t="s">
        <v>8</v>
      </c>
      <c r="C926" s="44" t="s">
        <v>2224</v>
      </c>
      <c r="D926" s="1" t="s">
        <v>2360</v>
      </c>
      <c r="E926" s="44" t="s">
        <v>2230</v>
      </c>
      <c r="F926" s="38" t="s">
        <v>2361</v>
      </c>
      <c r="G926" s="45">
        <v>44200</v>
      </c>
      <c r="H926" s="45">
        <v>442</v>
      </c>
    </row>
    <row r="927" spans="1:8">
      <c r="A927" s="78">
        <v>130505213634</v>
      </c>
      <c r="B927" s="1" t="s">
        <v>8</v>
      </c>
      <c r="C927" s="44" t="s">
        <v>2224</v>
      </c>
      <c r="D927" s="1" t="s">
        <v>2360</v>
      </c>
      <c r="E927" s="44" t="s">
        <v>2230</v>
      </c>
      <c r="F927" s="38" t="s">
        <v>2361</v>
      </c>
      <c r="G927" s="45">
        <v>15700</v>
      </c>
      <c r="H927" s="45">
        <v>157</v>
      </c>
    </row>
    <row r="928" spans="1:8">
      <c r="A928" s="78">
        <v>130505521438</v>
      </c>
      <c r="B928" s="1" t="s">
        <v>2055</v>
      </c>
      <c r="C928" s="44" t="s">
        <v>2224</v>
      </c>
      <c r="D928" s="1" t="s">
        <v>2360</v>
      </c>
      <c r="E928" s="44" t="s">
        <v>2230</v>
      </c>
      <c r="F928" s="38" t="s">
        <v>2361</v>
      </c>
      <c r="G928" s="45">
        <v>100900</v>
      </c>
      <c r="H928" s="45">
        <v>1009</v>
      </c>
    </row>
    <row r="929" spans="1:8">
      <c r="A929" s="78">
        <v>129927337673</v>
      </c>
      <c r="B929" s="1" t="s">
        <v>8</v>
      </c>
      <c r="C929" s="44" t="s">
        <v>2224</v>
      </c>
      <c r="D929" s="1" t="s">
        <v>2360</v>
      </c>
      <c r="E929" s="44" t="s">
        <v>2230</v>
      </c>
      <c r="F929" s="38" t="s">
        <v>2361</v>
      </c>
      <c r="G929" s="45">
        <v>19400</v>
      </c>
      <c r="H929" s="45">
        <v>194</v>
      </c>
    </row>
    <row r="930" spans="1:8">
      <c r="A930" s="78">
        <v>129927618037</v>
      </c>
      <c r="B930" s="1" t="s">
        <v>8</v>
      </c>
      <c r="C930" s="44" t="s">
        <v>2224</v>
      </c>
      <c r="D930" s="1" t="s">
        <v>2360</v>
      </c>
      <c r="E930" s="44" t="s">
        <v>2230</v>
      </c>
      <c r="F930" s="38" t="s">
        <v>2361</v>
      </c>
      <c r="G930" s="45">
        <v>22200</v>
      </c>
      <c r="H930" s="45">
        <v>222</v>
      </c>
    </row>
    <row r="931" spans="1:8">
      <c r="A931" s="78">
        <v>130506186280</v>
      </c>
      <c r="B931" s="1" t="s">
        <v>2055</v>
      </c>
      <c r="C931" s="44" t="s">
        <v>2224</v>
      </c>
      <c r="D931" s="1" t="s">
        <v>2360</v>
      </c>
      <c r="E931" s="44" t="s">
        <v>2230</v>
      </c>
      <c r="F931" s="38" t="s">
        <v>2361</v>
      </c>
      <c r="G931" s="45">
        <v>14400</v>
      </c>
      <c r="H931" s="45">
        <v>144</v>
      </c>
    </row>
    <row r="932" spans="1:8">
      <c r="A932" s="78">
        <v>130493803330</v>
      </c>
      <c r="B932" s="1" t="s">
        <v>8</v>
      </c>
      <c r="C932" s="44" t="s">
        <v>2224</v>
      </c>
      <c r="D932" s="1" t="s">
        <v>2360</v>
      </c>
      <c r="E932" s="44" t="s">
        <v>2224</v>
      </c>
      <c r="F932" s="38" t="s">
        <v>2361</v>
      </c>
      <c r="G932" s="45">
        <v>24400</v>
      </c>
      <c r="H932" s="45">
        <v>244</v>
      </c>
    </row>
    <row r="933" spans="1:8">
      <c r="A933" s="78">
        <v>129928026307</v>
      </c>
      <c r="B933" s="1" t="s">
        <v>8</v>
      </c>
      <c r="C933" s="44" t="s">
        <v>2224</v>
      </c>
      <c r="D933" s="1" t="s">
        <v>2360</v>
      </c>
      <c r="E933" s="44" t="s">
        <v>2230</v>
      </c>
      <c r="F933" s="38" t="s">
        <v>2361</v>
      </c>
      <c r="G933" s="45">
        <v>15900</v>
      </c>
      <c r="H933" s="45">
        <v>159</v>
      </c>
    </row>
    <row r="934" spans="1:8">
      <c r="A934" s="78">
        <v>129928378923</v>
      </c>
      <c r="B934" s="1" t="s">
        <v>8</v>
      </c>
      <c r="C934" s="44" t="s">
        <v>2224</v>
      </c>
      <c r="D934" s="1" t="s">
        <v>2360</v>
      </c>
      <c r="E934" s="44" t="s">
        <v>2230</v>
      </c>
      <c r="F934" s="38" t="s">
        <v>2361</v>
      </c>
      <c r="G934" s="45">
        <v>3000</v>
      </c>
      <c r="H934" s="45">
        <v>30</v>
      </c>
    </row>
    <row r="935" spans="1:8">
      <c r="A935" s="78">
        <v>130495195432</v>
      </c>
      <c r="B935" s="1" t="s">
        <v>8</v>
      </c>
      <c r="C935" s="44" t="s">
        <v>2224</v>
      </c>
      <c r="D935" s="1" t="s">
        <v>2360</v>
      </c>
      <c r="E935" s="44" t="s">
        <v>2224</v>
      </c>
      <c r="F935" s="38" t="s">
        <v>2361</v>
      </c>
      <c r="G935" s="45">
        <v>4700</v>
      </c>
      <c r="H935" s="45">
        <v>47</v>
      </c>
    </row>
    <row r="936" spans="1:8">
      <c r="A936" s="78">
        <v>129917003437</v>
      </c>
      <c r="B936" s="1" t="s">
        <v>8</v>
      </c>
      <c r="C936" s="44" t="s">
        <v>2224</v>
      </c>
      <c r="D936" s="1" t="s">
        <v>2360</v>
      </c>
      <c r="E936" s="44" t="s">
        <v>2224</v>
      </c>
      <c r="F936" s="38" t="s">
        <v>2361</v>
      </c>
      <c r="G936" s="45">
        <v>9800</v>
      </c>
      <c r="H936" s="45">
        <v>98</v>
      </c>
    </row>
    <row r="937" spans="1:8">
      <c r="A937" s="78">
        <v>129929271469</v>
      </c>
      <c r="B937" s="1" t="s">
        <v>2055</v>
      </c>
      <c r="C937" s="44" t="s">
        <v>2230</v>
      </c>
      <c r="D937" s="1" t="s">
        <v>2360</v>
      </c>
      <c r="E937" s="44" t="s">
        <v>2230</v>
      </c>
      <c r="F937" s="38" t="s">
        <v>2361</v>
      </c>
      <c r="G937" s="45">
        <v>28800</v>
      </c>
      <c r="H937" s="45">
        <v>288</v>
      </c>
    </row>
    <row r="938" spans="1:8">
      <c r="A938" s="78">
        <v>130507908182</v>
      </c>
      <c r="B938" s="1" t="s">
        <v>8</v>
      </c>
      <c r="C938" s="44" t="s">
        <v>2230</v>
      </c>
      <c r="D938" s="1" t="s">
        <v>2360</v>
      </c>
      <c r="E938" s="44" t="s">
        <v>2230</v>
      </c>
      <c r="F938" s="38" t="s">
        <v>2361</v>
      </c>
      <c r="G938" s="45">
        <v>45800</v>
      </c>
      <c r="H938" s="45">
        <v>458</v>
      </c>
    </row>
    <row r="939" spans="1:8">
      <c r="A939" s="78">
        <v>129917640259</v>
      </c>
      <c r="B939" s="1" t="s">
        <v>2055</v>
      </c>
      <c r="C939" s="44" t="s">
        <v>2224</v>
      </c>
      <c r="D939" s="1" t="s">
        <v>2360</v>
      </c>
      <c r="E939" s="44" t="s">
        <v>2224</v>
      </c>
      <c r="F939" s="38" t="s">
        <v>2361</v>
      </c>
      <c r="G939" s="45">
        <v>64600</v>
      </c>
      <c r="H939" s="45">
        <v>646</v>
      </c>
    </row>
    <row r="940" spans="1:8">
      <c r="A940" s="78">
        <v>130508497912</v>
      </c>
      <c r="B940" s="1" t="s">
        <v>8</v>
      </c>
      <c r="C940" s="44" t="s">
        <v>2230</v>
      </c>
      <c r="D940" s="1" t="s">
        <v>2360</v>
      </c>
      <c r="E940" s="44" t="s">
        <v>2230</v>
      </c>
      <c r="F940" s="38" t="s">
        <v>2361</v>
      </c>
      <c r="G940" s="45">
        <v>14100</v>
      </c>
      <c r="H940" s="45">
        <v>141</v>
      </c>
    </row>
    <row r="941" spans="1:8">
      <c r="A941" s="78">
        <v>130508789716</v>
      </c>
      <c r="B941" s="1" t="s">
        <v>2055</v>
      </c>
      <c r="C941" s="44" t="s">
        <v>2230</v>
      </c>
      <c r="D941" s="1" t="s">
        <v>2360</v>
      </c>
      <c r="E941" s="44" t="s">
        <v>2230</v>
      </c>
      <c r="F941" s="38" t="s">
        <v>2361</v>
      </c>
      <c r="G941" s="45">
        <v>35500</v>
      </c>
      <c r="H941" s="45">
        <v>355</v>
      </c>
    </row>
    <row r="942" spans="1:8">
      <c r="A942" s="78">
        <v>129930974625</v>
      </c>
      <c r="B942" s="1" t="s">
        <v>8</v>
      </c>
      <c r="C942" s="44" t="s">
        <v>2230</v>
      </c>
      <c r="D942" s="1" t="s">
        <v>2360</v>
      </c>
      <c r="E942" s="44" t="s">
        <v>2230</v>
      </c>
      <c r="F942" s="38" t="s">
        <v>2361</v>
      </c>
      <c r="G942" s="45">
        <v>123400</v>
      </c>
      <c r="H942" s="45">
        <v>1234</v>
      </c>
    </row>
    <row r="943" spans="1:8">
      <c r="A943" s="78">
        <v>129918822439</v>
      </c>
      <c r="B943" s="1" t="s">
        <v>2055</v>
      </c>
      <c r="C943" s="44" t="s">
        <v>2224</v>
      </c>
      <c r="D943" s="1" t="s">
        <v>2360</v>
      </c>
      <c r="E943" s="44" t="s">
        <v>2224</v>
      </c>
      <c r="F943" s="38" t="s">
        <v>2361</v>
      </c>
      <c r="G943" s="45">
        <v>9600</v>
      </c>
      <c r="H943" s="45">
        <v>96</v>
      </c>
    </row>
    <row r="944" spans="1:8">
      <c r="A944" s="78">
        <v>130509564908</v>
      </c>
      <c r="B944" s="1" t="s">
        <v>2055</v>
      </c>
      <c r="C944" s="44" t="s">
        <v>2230</v>
      </c>
      <c r="D944" s="1" t="s">
        <v>2360</v>
      </c>
      <c r="E944" s="44" t="s">
        <v>2230</v>
      </c>
      <c r="F944" s="38" t="s">
        <v>2361</v>
      </c>
      <c r="G944" s="45">
        <v>13800</v>
      </c>
      <c r="H944" s="45">
        <v>138</v>
      </c>
    </row>
    <row r="945" spans="1:8">
      <c r="A945" s="78">
        <v>130509770750</v>
      </c>
      <c r="B945" s="1" t="s">
        <v>2055</v>
      </c>
      <c r="C945" s="44" t="s">
        <v>2230</v>
      </c>
      <c r="D945" s="1" t="s">
        <v>2360</v>
      </c>
      <c r="E945" s="44" t="s">
        <v>2230</v>
      </c>
      <c r="F945" s="38" t="s">
        <v>2361</v>
      </c>
      <c r="G945" s="45">
        <v>4800</v>
      </c>
      <c r="H945" s="45">
        <v>48</v>
      </c>
    </row>
    <row r="946" spans="1:8">
      <c r="A946" s="78">
        <v>130509852208</v>
      </c>
      <c r="B946" s="1" t="s">
        <v>8</v>
      </c>
      <c r="C946" s="44" t="s">
        <v>2230</v>
      </c>
      <c r="D946" s="1" t="s">
        <v>2360</v>
      </c>
      <c r="E946" s="44" t="s">
        <v>2230</v>
      </c>
      <c r="F946" s="38" t="s">
        <v>2361</v>
      </c>
      <c r="G946" s="45">
        <v>41000</v>
      </c>
      <c r="H946" s="45">
        <v>410</v>
      </c>
    </row>
    <row r="947" spans="1:8">
      <c r="A947" s="78">
        <v>130510447150</v>
      </c>
      <c r="B947" s="1" t="s">
        <v>8</v>
      </c>
      <c r="C947" s="44" t="s">
        <v>2230</v>
      </c>
      <c r="D947" s="1" t="s">
        <v>2360</v>
      </c>
      <c r="E947" s="44" t="s">
        <v>2230</v>
      </c>
      <c r="F947" s="38" t="s">
        <v>2361</v>
      </c>
      <c r="G947" s="45">
        <v>9600</v>
      </c>
      <c r="H947" s="45">
        <v>96</v>
      </c>
    </row>
    <row r="948" spans="1:8">
      <c r="A948" s="78">
        <v>129932193821</v>
      </c>
      <c r="B948" s="1" t="s">
        <v>8</v>
      </c>
      <c r="C948" s="44" t="s">
        <v>2230</v>
      </c>
      <c r="D948" s="1" t="s">
        <v>2360</v>
      </c>
      <c r="E948" s="44" t="s">
        <v>2230</v>
      </c>
      <c r="F948" s="38" t="s">
        <v>2361</v>
      </c>
      <c r="G948" s="45">
        <v>24900</v>
      </c>
      <c r="H948" s="45">
        <v>249</v>
      </c>
    </row>
    <row r="949" spans="1:8">
      <c r="A949" s="78">
        <v>129920053775</v>
      </c>
      <c r="B949" s="1" t="s">
        <v>8</v>
      </c>
      <c r="C949" s="44" t="s">
        <v>2224</v>
      </c>
      <c r="D949" s="1" t="s">
        <v>2360</v>
      </c>
      <c r="E949" s="44" t="s">
        <v>2224</v>
      </c>
      <c r="F949" s="38" t="s">
        <v>2361</v>
      </c>
      <c r="G949" s="45">
        <v>28900</v>
      </c>
      <c r="H949" s="45">
        <v>289</v>
      </c>
    </row>
    <row r="950" spans="1:8">
      <c r="A950" s="78">
        <v>129932452525</v>
      </c>
      <c r="B950" s="1" t="s">
        <v>8</v>
      </c>
      <c r="C950" s="44" t="s">
        <v>2230</v>
      </c>
      <c r="D950" s="1" t="s">
        <v>2360</v>
      </c>
      <c r="E950" s="44" t="s">
        <v>2230</v>
      </c>
      <c r="F950" s="38" t="s">
        <v>2361</v>
      </c>
      <c r="G950" s="45">
        <v>31800</v>
      </c>
      <c r="H950" s="45">
        <v>318</v>
      </c>
    </row>
    <row r="951" spans="1:8">
      <c r="A951" s="78">
        <v>129932460795</v>
      </c>
      <c r="B951" s="1" t="s">
        <v>8</v>
      </c>
      <c r="C951" s="44" t="s">
        <v>2230</v>
      </c>
      <c r="D951" s="1" t="s">
        <v>2360</v>
      </c>
      <c r="E951" s="44" t="s">
        <v>2230</v>
      </c>
      <c r="F951" s="38" t="s">
        <v>2361</v>
      </c>
      <c r="G951" s="45">
        <v>52800</v>
      </c>
      <c r="H951" s="45">
        <v>528</v>
      </c>
    </row>
    <row r="952" spans="1:8">
      <c r="A952" s="78">
        <v>130510871960</v>
      </c>
      <c r="B952" s="1" t="s">
        <v>8</v>
      </c>
      <c r="C952" s="44" t="s">
        <v>2230</v>
      </c>
      <c r="D952" s="1" t="s">
        <v>2360</v>
      </c>
      <c r="E952" s="44" t="s">
        <v>2230</v>
      </c>
      <c r="F952" s="38" t="s">
        <v>2361</v>
      </c>
      <c r="G952" s="45">
        <v>20500</v>
      </c>
      <c r="H952" s="45">
        <v>205</v>
      </c>
    </row>
    <row r="953" spans="1:8">
      <c r="A953" s="78">
        <v>130510983586</v>
      </c>
      <c r="B953" s="1" t="s">
        <v>8</v>
      </c>
      <c r="C953" s="44" t="s">
        <v>2230</v>
      </c>
      <c r="D953" s="1" t="s">
        <v>2360</v>
      </c>
      <c r="E953" s="44" t="s">
        <v>2230</v>
      </c>
      <c r="F953" s="38" t="s">
        <v>2361</v>
      </c>
      <c r="G953" s="45">
        <v>25400</v>
      </c>
      <c r="H953" s="45">
        <v>254</v>
      </c>
    </row>
    <row r="954" spans="1:8">
      <c r="A954" s="78">
        <v>129920811303</v>
      </c>
      <c r="B954" s="1" t="s">
        <v>8</v>
      </c>
      <c r="C954" s="44" t="s">
        <v>2224</v>
      </c>
      <c r="D954" s="1" t="s">
        <v>2360</v>
      </c>
      <c r="E954" s="44" t="s">
        <v>2224</v>
      </c>
      <c r="F954" s="38" t="s">
        <v>2361</v>
      </c>
      <c r="G954" s="45">
        <v>12100</v>
      </c>
      <c r="H954" s="45">
        <v>121</v>
      </c>
    </row>
    <row r="955" spans="1:8">
      <c r="A955" s="78">
        <v>129921270221</v>
      </c>
      <c r="B955" s="1" t="s">
        <v>8</v>
      </c>
      <c r="C955" s="44" t="s">
        <v>2224</v>
      </c>
      <c r="D955" s="1" t="s">
        <v>2360</v>
      </c>
      <c r="E955" s="44" t="s">
        <v>2224</v>
      </c>
      <c r="F955" s="38" t="s">
        <v>2361</v>
      </c>
      <c r="G955" s="45">
        <v>28500</v>
      </c>
      <c r="H955" s="45">
        <v>285</v>
      </c>
    </row>
    <row r="956" spans="1:8">
      <c r="A956" s="78">
        <v>129921550313</v>
      </c>
      <c r="B956" s="1" t="s">
        <v>8</v>
      </c>
      <c r="C956" s="44" t="s">
        <v>2224</v>
      </c>
      <c r="D956" s="1" t="s">
        <v>2360</v>
      </c>
      <c r="E956" s="44" t="s">
        <v>2224</v>
      </c>
      <c r="F956" s="38" t="s">
        <v>2361</v>
      </c>
      <c r="G956" s="45">
        <v>68500</v>
      </c>
      <c r="H956" s="45">
        <v>685</v>
      </c>
    </row>
    <row r="957" spans="1:8">
      <c r="A957" s="78">
        <v>130500339498</v>
      </c>
      <c r="B957" s="1" t="s">
        <v>8</v>
      </c>
      <c r="C957" s="44" t="s">
        <v>2224</v>
      </c>
      <c r="D957" s="1" t="s">
        <v>2360</v>
      </c>
      <c r="E957" s="44" t="s">
        <v>2224</v>
      </c>
      <c r="F957" s="38" t="s">
        <v>2361</v>
      </c>
      <c r="G957" s="45">
        <v>40500</v>
      </c>
      <c r="H957" s="45">
        <v>405</v>
      </c>
    </row>
    <row r="958" spans="1:8">
      <c r="A958" s="78">
        <v>129922802979</v>
      </c>
      <c r="B958" s="1" t="s">
        <v>2055</v>
      </c>
      <c r="C958" s="44" t="s">
        <v>2224</v>
      </c>
      <c r="D958" s="1" t="s">
        <v>2360</v>
      </c>
      <c r="E958" s="44" t="s">
        <v>2224</v>
      </c>
      <c r="F958" s="38" t="s">
        <v>2361</v>
      </c>
      <c r="G958" s="45">
        <v>27400</v>
      </c>
      <c r="H958" s="45">
        <v>274</v>
      </c>
    </row>
    <row r="959" spans="1:8">
      <c r="A959" s="78">
        <v>130501619064</v>
      </c>
      <c r="B959" s="1" t="s">
        <v>8</v>
      </c>
      <c r="C959" s="44" t="s">
        <v>2224</v>
      </c>
      <c r="D959" s="1" t="s">
        <v>2360</v>
      </c>
      <c r="E959" s="44" t="s">
        <v>2224</v>
      </c>
      <c r="F959" s="38" t="s">
        <v>2361</v>
      </c>
      <c r="G959" s="45">
        <v>66000</v>
      </c>
      <c r="H959" s="45">
        <v>660</v>
      </c>
    </row>
    <row r="960" spans="1:8">
      <c r="A960" s="78">
        <v>130502314456</v>
      </c>
      <c r="B960" s="1" t="s">
        <v>8</v>
      </c>
      <c r="C960" s="44" t="s">
        <v>2224</v>
      </c>
      <c r="D960" s="1" t="s">
        <v>2360</v>
      </c>
      <c r="E960" s="44" t="s">
        <v>2224</v>
      </c>
      <c r="F960" s="38" t="s">
        <v>2361</v>
      </c>
      <c r="G960" s="45">
        <v>34900</v>
      </c>
      <c r="H960" s="45">
        <v>349</v>
      </c>
    </row>
    <row r="961" spans="1:8">
      <c r="A961" s="78">
        <v>129924592831</v>
      </c>
      <c r="B961" s="1" t="s">
        <v>8</v>
      </c>
      <c r="C961" s="44" t="s">
        <v>2224</v>
      </c>
      <c r="D961" s="1" t="s">
        <v>2360</v>
      </c>
      <c r="E961" s="44" t="s">
        <v>2224</v>
      </c>
      <c r="F961" s="38" t="s">
        <v>2361</v>
      </c>
      <c r="G961" s="45">
        <v>36000</v>
      </c>
      <c r="H961" s="45">
        <v>360</v>
      </c>
    </row>
    <row r="962" spans="1:8">
      <c r="A962" s="78">
        <v>130503149626</v>
      </c>
      <c r="B962" s="1" t="s">
        <v>8</v>
      </c>
      <c r="C962" s="44" t="s">
        <v>2224</v>
      </c>
      <c r="D962" s="1" t="s">
        <v>2360</v>
      </c>
      <c r="E962" s="44" t="s">
        <v>2224</v>
      </c>
      <c r="F962" s="38" t="s">
        <v>2361</v>
      </c>
      <c r="G962" s="45">
        <v>22500</v>
      </c>
      <c r="H962" s="45">
        <v>225</v>
      </c>
    </row>
    <row r="963" spans="1:8">
      <c r="A963" s="78">
        <v>130503293264</v>
      </c>
      <c r="B963" s="1" t="s">
        <v>8</v>
      </c>
      <c r="C963" s="44" t="s">
        <v>2224</v>
      </c>
      <c r="D963" s="1" t="s">
        <v>2360</v>
      </c>
      <c r="E963" s="44" t="s">
        <v>2224</v>
      </c>
      <c r="F963" s="38" t="s">
        <v>2361</v>
      </c>
      <c r="G963" s="45">
        <v>25000</v>
      </c>
      <c r="H963" s="45">
        <v>250</v>
      </c>
    </row>
    <row r="964" spans="1:8">
      <c r="A964" s="78">
        <v>129924883769</v>
      </c>
      <c r="B964" s="1" t="s">
        <v>8</v>
      </c>
      <c r="C964" s="44" t="s">
        <v>2224</v>
      </c>
      <c r="D964" s="1" t="s">
        <v>2360</v>
      </c>
      <c r="E964" s="44" t="s">
        <v>2224</v>
      </c>
      <c r="F964" s="38" t="s">
        <v>2361</v>
      </c>
      <c r="G964" s="45">
        <v>48900</v>
      </c>
      <c r="H964" s="45">
        <v>489</v>
      </c>
    </row>
    <row r="965" spans="1:8">
      <c r="A965" s="78">
        <v>130503681142</v>
      </c>
      <c r="B965" s="1" t="s">
        <v>8</v>
      </c>
      <c r="C965" s="44" t="s">
        <v>2224</v>
      </c>
      <c r="D965" s="1" t="s">
        <v>2360</v>
      </c>
      <c r="E965" s="44" t="s">
        <v>2224</v>
      </c>
      <c r="F965" s="38" t="s">
        <v>2361</v>
      </c>
      <c r="G965" s="45">
        <v>25900</v>
      </c>
      <c r="H965" s="45">
        <v>259</v>
      </c>
    </row>
    <row r="966" spans="1:8">
      <c r="A966" s="78">
        <v>130503796692</v>
      </c>
      <c r="B966" s="1" t="s">
        <v>2055</v>
      </c>
      <c r="C966" s="44" t="s">
        <v>2224</v>
      </c>
      <c r="D966" s="1" t="s">
        <v>2360</v>
      </c>
      <c r="E966" s="44" t="s">
        <v>2224</v>
      </c>
      <c r="F966" s="38" t="s">
        <v>2361</v>
      </c>
      <c r="G966" s="45">
        <v>9000</v>
      </c>
      <c r="H966" s="45">
        <v>90</v>
      </c>
    </row>
    <row r="967" spans="1:8">
      <c r="A967" s="78">
        <v>130503831700</v>
      </c>
      <c r="B967" s="1" t="s">
        <v>8</v>
      </c>
      <c r="C967" s="44" t="s">
        <v>2224</v>
      </c>
      <c r="D967" s="1" t="s">
        <v>2360</v>
      </c>
      <c r="E967" s="44" t="s">
        <v>2224</v>
      </c>
      <c r="F967" s="38" t="s">
        <v>2361</v>
      </c>
      <c r="G967" s="45">
        <v>8200</v>
      </c>
      <c r="H967" s="45">
        <v>82</v>
      </c>
    </row>
    <row r="968" spans="1:8">
      <c r="A968" s="78">
        <v>130503865664</v>
      </c>
      <c r="B968" s="1" t="s">
        <v>2055</v>
      </c>
      <c r="C968" s="44" t="s">
        <v>2224</v>
      </c>
      <c r="D968" s="1" t="s">
        <v>2360</v>
      </c>
      <c r="E968" s="44" t="s">
        <v>2230</v>
      </c>
      <c r="F968" s="38" t="s">
        <v>2361</v>
      </c>
      <c r="G968" s="45">
        <v>19440</v>
      </c>
      <c r="H968" s="45">
        <v>194.4</v>
      </c>
    </row>
    <row r="969" spans="1:8">
      <c r="A969" s="78">
        <v>130504119406</v>
      </c>
      <c r="B969" s="1" t="s">
        <v>2055</v>
      </c>
      <c r="C969" s="44" t="s">
        <v>2224</v>
      </c>
      <c r="D969" s="1" t="s">
        <v>2360</v>
      </c>
      <c r="E969" s="44" t="s">
        <v>2230</v>
      </c>
      <c r="F969" s="38" t="s">
        <v>2361</v>
      </c>
      <c r="G969" s="45">
        <v>38400</v>
      </c>
      <c r="H969" s="45">
        <v>384</v>
      </c>
    </row>
    <row r="970" spans="1:8">
      <c r="A970" s="78">
        <v>129926108389</v>
      </c>
      <c r="B970" s="1" t="s">
        <v>8</v>
      </c>
      <c r="C970" s="44" t="s">
        <v>2224</v>
      </c>
      <c r="D970" s="1" t="s">
        <v>2360</v>
      </c>
      <c r="E970" s="44" t="s">
        <v>2230</v>
      </c>
      <c r="F970" s="38" t="s">
        <v>2361</v>
      </c>
      <c r="G970" s="45">
        <v>5500</v>
      </c>
      <c r="H970" s="45">
        <v>55</v>
      </c>
    </row>
    <row r="971" spans="1:8">
      <c r="A971" s="78">
        <v>130504725754</v>
      </c>
      <c r="B971" s="1" t="s">
        <v>8</v>
      </c>
      <c r="C971" s="44" t="s">
        <v>2224</v>
      </c>
      <c r="D971" s="1" t="s">
        <v>2360</v>
      </c>
      <c r="E971" s="44" t="s">
        <v>2230</v>
      </c>
      <c r="F971" s="38" t="s">
        <v>2361</v>
      </c>
      <c r="G971" s="45">
        <v>58200</v>
      </c>
      <c r="H971" s="45">
        <v>582</v>
      </c>
    </row>
    <row r="972" spans="1:8">
      <c r="A972" s="78">
        <v>129926554953</v>
      </c>
      <c r="B972" s="1" t="s">
        <v>2055</v>
      </c>
      <c r="C972" s="44" t="s">
        <v>2224</v>
      </c>
      <c r="D972" s="1" t="s">
        <v>2360</v>
      </c>
      <c r="E972" s="44" t="s">
        <v>2230</v>
      </c>
      <c r="F972" s="38" t="s">
        <v>2361</v>
      </c>
      <c r="G972" s="45">
        <v>9600</v>
      </c>
      <c r="H972" s="45">
        <v>96</v>
      </c>
    </row>
    <row r="973" spans="1:8">
      <c r="A973" s="78">
        <v>130505348210</v>
      </c>
      <c r="B973" s="1" t="s">
        <v>8</v>
      </c>
      <c r="C973" s="44" t="s">
        <v>2224</v>
      </c>
      <c r="D973" s="1" t="s">
        <v>2360</v>
      </c>
      <c r="E973" s="44" t="s">
        <v>2230</v>
      </c>
      <c r="F973" s="38" t="s">
        <v>2361</v>
      </c>
      <c r="G973" s="45">
        <v>17400</v>
      </c>
      <c r="H973" s="45">
        <v>174</v>
      </c>
    </row>
    <row r="974" spans="1:8">
      <c r="A974" s="78">
        <v>129927348607</v>
      </c>
      <c r="B974" s="1" t="s">
        <v>8</v>
      </c>
      <c r="C974" s="44" t="s">
        <v>2224</v>
      </c>
      <c r="D974" s="1" t="s">
        <v>2360</v>
      </c>
      <c r="E974" s="44" t="s">
        <v>2230</v>
      </c>
      <c r="F974" s="38" t="s">
        <v>2361</v>
      </c>
      <c r="G974" s="45">
        <v>33800</v>
      </c>
      <c r="H974" s="45">
        <v>338</v>
      </c>
    </row>
    <row r="975" spans="1:8">
      <c r="A975" s="78">
        <v>130505652570</v>
      </c>
      <c r="B975" s="1" t="s">
        <v>8</v>
      </c>
      <c r="C975" s="44" t="s">
        <v>2224</v>
      </c>
      <c r="D975" s="1" t="s">
        <v>2360</v>
      </c>
      <c r="E975" s="44" t="s">
        <v>2230</v>
      </c>
      <c r="F975" s="38" t="s">
        <v>2361</v>
      </c>
      <c r="G975" s="45">
        <v>27500</v>
      </c>
      <c r="H975" s="45">
        <v>275</v>
      </c>
    </row>
    <row r="976" spans="1:8">
      <c r="A976" s="78">
        <v>129927699555</v>
      </c>
      <c r="B976" s="1" t="s">
        <v>2055</v>
      </c>
      <c r="C976" s="44" t="s">
        <v>2224</v>
      </c>
      <c r="D976" s="1" t="s">
        <v>2360</v>
      </c>
      <c r="E976" s="44" t="s">
        <v>2230</v>
      </c>
      <c r="F976" s="38" t="s">
        <v>2361</v>
      </c>
      <c r="G976" s="45">
        <v>34600</v>
      </c>
      <c r="H976" s="45">
        <v>346</v>
      </c>
    </row>
    <row r="977" spans="1:8">
      <c r="A977" s="78">
        <v>129928917523</v>
      </c>
      <c r="B977" s="1" t="s">
        <v>8</v>
      </c>
      <c r="C977" s="44" t="s">
        <v>2230</v>
      </c>
      <c r="D977" s="1" t="s">
        <v>2360</v>
      </c>
      <c r="E977" s="44" t="s">
        <v>2230</v>
      </c>
      <c r="F977" s="38" t="s">
        <v>2361</v>
      </c>
      <c r="G977" s="45">
        <v>9400</v>
      </c>
      <c r="H977" s="45">
        <v>94</v>
      </c>
    </row>
    <row r="978" spans="1:8">
      <c r="A978" s="78">
        <v>130507433134</v>
      </c>
      <c r="B978" s="1" t="s">
        <v>8</v>
      </c>
      <c r="C978" s="44" t="s">
        <v>2230</v>
      </c>
      <c r="D978" s="1" t="s">
        <v>2360</v>
      </c>
      <c r="E978" s="44" t="s">
        <v>2230</v>
      </c>
      <c r="F978" s="38" t="s">
        <v>2361</v>
      </c>
      <c r="G978" s="45">
        <v>17100</v>
      </c>
      <c r="H978" s="45">
        <v>171</v>
      </c>
    </row>
    <row r="979" spans="1:8">
      <c r="A979" s="78">
        <v>129929732379</v>
      </c>
      <c r="B979" s="1" t="s">
        <v>8</v>
      </c>
      <c r="C979" s="44" t="s">
        <v>2230</v>
      </c>
      <c r="D979" s="1" t="s">
        <v>2360</v>
      </c>
      <c r="E979" s="44" t="s">
        <v>2230</v>
      </c>
      <c r="F979" s="38" t="s">
        <v>2361</v>
      </c>
      <c r="G979" s="45">
        <v>22200</v>
      </c>
      <c r="H979" s="45">
        <v>222</v>
      </c>
    </row>
    <row r="980" spans="1:8">
      <c r="A980" s="78">
        <v>129929852927</v>
      </c>
      <c r="B980" s="1" t="s">
        <v>2055</v>
      </c>
      <c r="C980" s="44" t="s">
        <v>2230</v>
      </c>
      <c r="D980" s="1" t="s">
        <v>2360</v>
      </c>
      <c r="E980" s="44" t="s">
        <v>2230</v>
      </c>
      <c r="F980" s="38" t="s">
        <v>2361</v>
      </c>
      <c r="G980" s="45">
        <v>9800</v>
      </c>
      <c r="H980" s="45">
        <v>98</v>
      </c>
    </row>
    <row r="981" spans="1:8">
      <c r="A981" s="78">
        <v>130508636164</v>
      </c>
      <c r="B981" s="1" t="s">
        <v>8</v>
      </c>
      <c r="C981" s="44" t="s">
        <v>2230</v>
      </c>
      <c r="D981" s="1" t="s">
        <v>2360</v>
      </c>
      <c r="E981" s="44" t="s">
        <v>2230</v>
      </c>
      <c r="F981" s="38" t="s">
        <v>2361</v>
      </c>
      <c r="G981" s="45">
        <v>10600</v>
      </c>
      <c r="H981" s="45">
        <v>106</v>
      </c>
    </row>
    <row r="982" spans="1:8">
      <c r="A982" s="78">
        <v>130509146786</v>
      </c>
      <c r="B982" s="1" t="s">
        <v>8</v>
      </c>
      <c r="C982" s="44" t="s">
        <v>2230</v>
      </c>
      <c r="D982" s="1" t="s">
        <v>2360</v>
      </c>
      <c r="E982" s="44" t="s">
        <v>2230</v>
      </c>
      <c r="F982" s="38" t="s">
        <v>2361</v>
      </c>
      <c r="G982" s="45">
        <v>25300</v>
      </c>
      <c r="H982" s="45">
        <v>253</v>
      </c>
    </row>
    <row r="983" spans="1:8">
      <c r="A983" s="78">
        <v>130509116046</v>
      </c>
      <c r="B983" s="1" t="s">
        <v>8</v>
      </c>
      <c r="C983" s="44" t="s">
        <v>2230</v>
      </c>
      <c r="D983" s="1" t="s">
        <v>2360</v>
      </c>
      <c r="E983" s="44" t="s">
        <v>2230</v>
      </c>
      <c r="F983" s="38" t="s">
        <v>2361</v>
      </c>
      <c r="G983" s="45">
        <v>18800</v>
      </c>
      <c r="H983" s="45">
        <v>188</v>
      </c>
    </row>
    <row r="984" spans="1:8">
      <c r="A984" s="78">
        <v>130509962534</v>
      </c>
      <c r="B984" s="1" t="s">
        <v>8</v>
      </c>
      <c r="C984" s="44" t="s">
        <v>2230</v>
      </c>
      <c r="D984" s="1" t="s">
        <v>2360</v>
      </c>
      <c r="E984" s="44" t="s">
        <v>2230</v>
      </c>
      <c r="F984" s="38" t="s">
        <v>2361</v>
      </c>
      <c r="G984" s="45">
        <v>21000</v>
      </c>
      <c r="H984" s="45">
        <v>210</v>
      </c>
    </row>
    <row r="985" spans="1:8">
      <c r="A985" s="78">
        <v>129931670223</v>
      </c>
      <c r="B985" s="1" t="s">
        <v>8</v>
      </c>
      <c r="C985" s="44" t="s">
        <v>2230</v>
      </c>
      <c r="D985" s="1" t="s">
        <v>2360</v>
      </c>
      <c r="E985" s="44" t="s">
        <v>2230</v>
      </c>
      <c r="F985" s="38" t="s">
        <v>2361</v>
      </c>
      <c r="G985" s="45">
        <v>3800</v>
      </c>
      <c r="H985" s="45">
        <v>38</v>
      </c>
    </row>
    <row r="986" spans="1:8">
      <c r="A986" s="78">
        <v>129932222123</v>
      </c>
      <c r="B986" s="1" t="s">
        <v>8</v>
      </c>
      <c r="C986" s="44" t="s">
        <v>2230</v>
      </c>
      <c r="D986" s="1" t="s">
        <v>2360</v>
      </c>
      <c r="E986" s="44" t="s">
        <v>2230</v>
      </c>
      <c r="F986" s="38" t="s">
        <v>2361</v>
      </c>
      <c r="G986" s="45">
        <v>60100</v>
      </c>
      <c r="H986" s="45">
        <v>601</v>
      </c>
    </row>
    <row r="987" spans="1:8">
      <c r="A987" s="78">
        <v>129932270371</v>
      </c>
      <c r="B987" s="1" t="s">
        <v>8</v>
      </c>
      <c r="C987" s="44" t="s">
        <v>2230</v>
      </c>
      <c r="D987" s="1" t="s">
        <v>2360</v>
      </c>
      <c r="E987" s="44" t="s">
        <v>2230</v>
      </c>
      <c r="F987" s="38" t="s">
        <v>2361</v>
      </c>
      <c r="G987" s="45">
        <v>60900</v>
      </c>
      <c r="H987" s="45">
        <v>609</v>
      </c>
    </row>
    <row r="988" spans="1:8">
      <c r="A988" s="78">
        <v>129932363147</v>
      </c>
      <c r="B988" s="1" t="s">
        <v>2055</v>
      </c>
      <c r="C988" s="44" t="s">
        <v>2230</v>
      </c>
      <c r="D988" s="1" t="s">
        <v>2360</v>
      </c>
      <c r="E988" s="44" t="s">
        <v>2230</v>
      </c>
      <c r="F988" s="38" t="s">
        <v>2361</v>
      </c>
      <c r="G988" s="45">
        <v>4000</v>
      </c>
      <c r="H988" s="45">
        <v>40</v>
      </c>
    </row>
    <row r="989" spans="1:8">
      <c r="A989" s="78">
        <v>129932493309</v>
      </c>
      <c r="B989" s="1" t="s">
        <v>2055</v>
      </c>
      <c r="C989" s="44" t="s">
        <v>2230</v>
      </c>
      <c r="D989" s="1" t="s">
        <v>2360</v>
      </c>
      <c r="E989" s="44" t="s">
        <v>2230</v>
      </c>
      <c r="F989" s="38" t="s">
        <v>2361</v>
      </c>
      <c r="G989" s="45">
        <v>65100</v>
      </c>
      <c r="H989" s="45">
        <v>651</v>
      </c>
    </row>
    <row r="990" spans="1:8">
      <c r="A990" s="78">
        <v>129932563723</v>
      </c>
      <c r="B990" s="1" t="s">
        <v>8</v>
      </c>
      <c r="C990" s="44" t="s">
        <v>2230</v>
      </c>
      <c r="D990" s="1" t="s">
        <v>2360</v>
      </c>
      <c r="E990" s="44" t="s">
        <v>2230</v>
      </c>
      <c r="F990" s="38" t="s">
        <v>2361</v>
      </c>
      <c r="G990" s="45">
        <v>26300</v>
      </c>
      <c r="H990" s="45">
        <v>263</v>
      </c>
    </row>
    <row r="991" spans="1:8">
      <c r="A991" s="78">
        <v>130510890048</v>
      </c>
      <c r="B991" s="1" t="s">
        <v>8</v>
      </c>
      <c r="C991" s="44" t="s">
        <v>2230</v>
      </c>
      <c r="D991" s="1" t="s">
        <v>2360</v>
      </c>
      <c r="E991" s="44" t="s">
        <v>2230</v>
      </c>
      <c r="F991" s="38" t="s">
        <v>2361</v>
      </c>
      <c r="G991" s="45">
        <v>31200</v>
      </c>
      <c r="H991" s="45">
        <v>312</v>
      </c>
    </row>
    <row r="992" spans="1:8">
      <c r="A992" s="78">
        <v>130511004854</v>
      </c>
      <c r="B992" s="1" t="s">
        <v>2055</v>
      </c>
      <c r="C992" s="44" t="s">
        <v>2230</v>
      </c>
      <c r="D992" s="1" t="s">
        <v>2360</v>
      </c>
      <c r="E992" s="44" t="s">
        <v>2230</v>
      </c>
      <c r="F992" s="38" t="s">
        <v>2361</v>
      </c>
      <c r="G992" s="45">
        <v>8700</v>
      </c>
      <c r="H992" s="45">
        <v>87</v>
      </c>
    </row>
    <row r="993" spans="1:8">
      <c r="A993" s="78">
        <v>129932719263</v>
      </c>
      <c r="B993" s="1" t="s">
        <v>8</v>
      </c>
      <c r="C993" s="44" t="s">
        <v>2230</v>
      </c>
      <c r="D993" s="1" t="s">
        <v>2360</v>
      </c>
      <c r="E993" s="44" t="s">
        <v>2230</v>
      </c>
      <c r="F993" s="38" t="s">
        <v>2361</v>
      </c>
      <c r="G993" s="45">
        <v>10900</v>
      </c>
      <c r="H993" s="45">
        <v>109</v>
      </c>
    </row>
    <row r="994" spans="1:8">
      <c r="A994" s="78">
        <v>130001228701</v>
      </c>
      <c r="B994" s="1" t="s">
        <v>8</v>
      </c>
      <c r="C994" s="44" t="s">
        <v>2230</v>
      </c>
      <c r="D994" s="1" t="s">
        <v>2360</v>
      </c>
      <c r="E994" s="44" t="s">
        <v>2230</v>
      </c>
      <c r="F994" s="38" t="s">
        <v>2361</v>
      </c>
      <c r="G994" s="45">
        <v>4800</v>
      </c>
      <c r="H994" s="45">
        <v>48</v>
      </c>
    </row>
    <row r="995" spans="1:8">
      <c r="A995" s="78">
        <v>130001899155</v>
      </c>
      <c r="B995" s="1" t="s">
        <v>8</v>
      </c>
      <c r="C995" s="44" t="s">
        <v>2230</v>
      </c>
      <c r="D995" s="1" t="s">
        <v>2360</v>
      </c>
      <c r="E995" s="44" t="s">
        <v>2230</v>
      </c>
      <c r="F995" s="38" t="s">
        <v>2361</v>
      </c>
      <c r="G995" s="45">
        <v>9600</v>
      </c>
      <c r="H995" s="45">
        <v>96</v>
      </c>
    </row>
    <row r="996" spans="1:8">
      <c r="A996" s="78">
        <v>130582654102</v>
      </c>
      <c r="B996" s="1" t="s">
        <v>8</v>
      </c>
      <c r="C996" s="44" t="s">
        <v>2230</v>
      </c>
      <c r="D996" s="1" t="s">
        <v>2360</v>
      </c>
      <c r="E996" s="44" t="s">
        <v>2230</v>
      </c>
      <c r="F996" s="38" t="s">
        <v>2361</v>
      </c>
      <c r="G996" s="45">
        <v>4800</v>
      </c>
      <c r="H996" s="45">
        <v>48</v>
      </c>
    </row>
    <row r="997" spans="1:8">
      <c r="A997" s="78">
        <v>130583209284</v>
      </c>
      <c r="B997" s="1" t="s">
        <v>8</v>
      </c>
      <c r="C997" s="44" t="s">
        <v>2230</v>
      </c>
      <c r="D997" s="1" t="s">
        <v>2360</v>
      </c>
      <c r="E997" s="44" t="s">
        <v>2230</v>
      </c>
      <c r="F997" s="38" t="s">
        <v>2361</v>
      </c>
      <c r="G997" s="45">
        <v>9600</v>
      </c>
      <c r="H997" s="45">
        <v>96</v>
      </c>
    </row>
    <row r="998" spans="1:8">
      <c r="A998" s="78">
        <v>130004895803</v>
      </c>
      <c r="B998" s="1" t="s">
        <v>2055</v>
      </c>
      <c r="C998" s="44" t="s">
        <v>2230</v>
      </c>
      <c r="D998" s="1" t="s">
        <v>2360</v>
      </c>
      <c r="E998" s="44" t="s">
        <v>2230</v>
      </c>
      <c r="F998" s="38" t="s">
        <v>2361</v>
      </c>
      <c r="G998" s="45">
        <v>19200</v>
      </c>
      <c r="H998" s="45">
        <v>192</v>
      </c>
    </row>
    <row r="999" spans="1:8">
      <c r="A999" s="78">
        <v>130583515842</v>
      </c>
      <c r="B999" s="1" t="s">
        <v>2055</v>
      </c>
      <c r="C999" s="44" t="s">
        <v>2230</v>
      </c>
      <c r="D999" s="1" t="s">
        <v>2360</v>
      </c>
      <c r="E999" s="44" t="s">
        <v>2230</v>
      </c>
      <c r="F999" s="38" t="s">
        <v>2361</v>
      </c>
      <c r="G999" s="45">
        <v>59200</v>
      </c>
      <c r="H999" s="45">
        <v>592</v>
      </c>
    </row>
    <row r="1000" spans="1:8">
      <c r="A1000" s="78">
        <v>130005830393</v>
      </c>
      <c r="B1000" s="1" t="s">
        <v>8</v>
      </c>
      <c r="C1000" s="44" t="s">
        <v>2230</v>
      </c>
      <c r="D1000" s="1" t="s">
        <v>2360</v>
      </c>
      <c r="E1000" s="44" t="s">
        <v>2230</v>
      </c>
      <c r="F1000" s="38" t="s">
        <v>2361</v>
      </c>
      <c r="G1000" s="45">
        <v>4400</v>
      </c>
      <c r="H1000" s="45">
        <v>44</v>
      </c>
    </row>
    <row r="1001" spans="1:8">
      <c r="A1001" s="78">
        <v>130584728334</v>
      </c>
      <c r="B1001" s="1" t="s">
        <v>8</v>
      </c>
      <c r="C1001" s="44" t="s">
        <v>2230</v>
      </c>
      <c r="D1001" s="1" t="s">
        <v>2360</v>
      </c>
      <c r="E1001" s="44" t="s">
        <v>2230</v>
      </c>
      <c r="F1001" s="38" t="s">
        <v>2361</v>
      </c>
      <c r="G1001" s="45">
        <v>40600</v>
      </c>
      <c r="H1001" s="45">
        <v>406</v>
      </c>
    </row>
    <row r="1002" spans="1:8">
      <c r="A1002" s="78">
        <v>130586021122</v>
      </c>
      <c r="B1002" s="1" t="s">
        <v>2055</v>
      </c>
      <c r="C1002" s="44" t="s">
        <v>2230</v>
      </c>
      <c r="D1002" s="1" t="s">
        <v>2360</v>
      </c>
      <c r="E1002" s="44" t="s">
        <v>2230</v>
      </c>
      <c r="F1002" s="38" t="s">
        <v>2361</v>
      </c>
      <c r="G1002" s="45">
        <v>14300</v>
      </c>
      <c r="H1002" s="45">
        <v>143</v>
      </c>
    </row>
    <row r="1003" spans="1:8">
      <c r="A1003" s="78">
        <v>130007731191</v>
      </c>
      <c r="B1003" s="1" t="s">
        <v>8</v>
      </c>
      <c r="C1003" s="44" t="s">
        <v>2230</v>
      </c>
      <c r="D1003" s="1" t="s">
        <v>2360</v>
      </c>
      <c r="E1003" s="44" t="s">
        <v>2230</v>
      </c>
      <c r="F1003" s="38" t="s">
        <v>2361</v>
      </c>
      <c r="G1003" s="45">
        <v>16300</v>
      </c>
      <c r="H1003" s="45">
        <v>163</v>
      </c>
    </row>
    <row r="1004" spans="1:8">
      <c r="A1004" s="78">
        <v>129995987851</v>
      </c>
      <c r="B1004" s="1" t="s">
        <v>8</v>
      </c>
      <c r="C1004" s="44" t="s">
        <v>2230</v>
      </c>
      <c r="D1004" s="1" t="s">
        <v>2360</v>
      </c>
      <c r="E1004" s="44" t="s">
        <v>2230</v>
      </c>
      <c r="F1004" s="38" t="s">
        <v>2361</v>
      </c>
      <c r="G1004" s="45">
        <v>4900</v>
      </c>
      <c r="H1004" s="45">
        <v>49</v>
      </c>
    </row>
    <row r="1005" spans="1:8">
      <c r="A1005" s="78">
        <v>130009827557</v>
      </c>
      <c r="B1005" s="1" t="s">
        <v>2055</v>
      </c>
      <c r="C1005" s="44" t="s">
        <v>2230</v>
      </c>
      <c r="D1005" s="1" t="s">
        <v>2360</v>
      </c>
      <c r="E1005" s="44" t="s">
        <v>2230</v>
      </c>
      <c r="F1005" s="38" t="s">
        <v>2361</v>
      </c>
      <c r="G1005" s="45">
        <v>19200</v>
      </c>
      <c r="H1005" s="45">
        <v>192</v>
      </c>
    </row>
    <row r="1006" spans="1:8">
      <c r="A1006" s="78">
        <v>129998477397</v>
      </c>
      <c r="B1006" s="1" t="s">
        <v>8</v>
      </c>
      <c r="C1006" s="44" t="s">
        <v>2230</v>
      </c>
      <c r="D1006" s="1" t="s">
        <v>2360</v>
      </c>
      <c r="E1006" s="44" t="s">
        <v>2230</v>
      </c>
      <c r="F1006" s="38" t="s">
        <v>2361</v>
      </c>
      <c r="G1006" s="45">
        <v>2400</v>
      </c>
      <c r="H1006" s="45">
        <v>24</v>
      </c>
    </row>
    <row r="1007" spans="1:8">
      <c r="A1007" s="78">
        <v>130589989308</v>
      </c>
      <c r="B1007" s="1" t="s">
        <v>2055</v>
      </c>
      <c r="C1007" s="44" t="s">
        <v>2230</v>
      </c>
      <c r="D1007" s="1" t="s">
        <v>2360</v>
      </c>
      <c r="E1007" s="44" t="s">
        <v>2230</v>
      </c>
      <c r="F1007" s="38" t="s">
        <v>2361</v>
      </c>
      <c r="G1007" s="45">
        <v>35600</v>
      </c>
      <c r="H1007" s="45">
        <v>356</v>
      </c>
    </row>
    <row r="1008" spans="1:8">
      <c r="A1008" s="78">
        <v>130013338171</v>
      </c>
      <c r="B1008" s="1" t="s">
        <v>8</v>
      </c>
      <c r="C1008" s="44" t="s">
        <v>2230</v>
      </c>
      <c r="D1008" s="1" t="s">
        <v>2360</v>
      </c>
      <c r="E1008" s="44" t="s">
        <v>2230</v>
      </c>
      <c r="F1008" s="38" t="s">
        <v>2361</v>
      </c>
      <c r="G1008" s="45">
        <v>11900</v>
      </c>
      <c r="H1008" s="45">
        <v>119</v>
      </c>
    </row>
    <row r="1009" spans="1:8">
      <c r="A1009" s="78">
        <v>130592036332</v>
      </c>
      <c r="B1009" s="1" t="s">
        <v>2055</v>
      </c>
      <c r="C1009" s="44" t="s">
        <v>2230</v>
      </c>
      <c r="D1009" s="1" t="s">
        <v>2360</v>
      </c>
      <c r="E1009" s="44" t="s">
        <v>2230</v>
      </c>
      <c r="F1009" s="38" t="s">
        <v>2361</v>
      </c>
      <c r="G1009" s="45">
        <v>31300</v>
      </c>
      <c r="H1009" s="45">
        <v>313</v>
      </c>
    </row>
    <row r="1010" spans="1:8">
      <c r="A1010" s="78">
        <v>130592612508</v>
      </c>
      <c r="B1010" s="1" t="s">
        <v>8</v>
      </c>
      <c r="C1010" s="44" t="s">
        <v>2230</v>
      </c>
      <c r="D1010" s="1" t="s">
        <v>2360</v>
      </c>
      <c r="E1010" s="44" t="s">
        <v>2230</v>
      </c>
      <c r="F1010" s="38" t="s">
        <v>2361</v>
      </c>
      <c r="G1010" s="45">
        <v>117800</v>
      </c>
      <c r="H1010" s="45">
        <v>1178</v>
      </c>
    </row>
    <row r="1011" spans="1:8">
      <c r="A1011" s="78">
        <v>130002820299</v>
      </c>
      <c r="B1011" s="1" t="s">
        <v>8</v>
      </c>
      <c r="C1011" s="44" t="s">
        <v>2230</v>
      </c>
      <c r="D1011" s="1" t="s">
        <v>2360</v>
      </c>
      <c r="E1011" s="44" t="s">
        <v>2230</v>
      </c>
      <c r="F1011" s="38" t="s">
        <v>2361</v>
      </c>
      <c r="G1011" s="45">
        <v>2400</v>
      </c>
      <c r="H1011" s="45">
        <v>24</v>
      </c>
    </row>
    <row r="1012" spans="1:8">
      <c r="A1012" s="78">
        <v>130596512394</v>
      </c>
      <c r="B1012" s="1" t="s">
        <v>8</v>
      </c>
      <c r="C1012" s="44" t="s">
        <v>2230</v>
      </c>
      <c r="D1012" s="1" t="s">
        <v>2360</v>
      </c>
      <c r="E1012" s="44" t="s">
        <v>2243</v>
      </c>
      <c r="F1012" s="38" t="s">
        <v>2361</v>
      </c>
      <c r="G1012" s="45">
        <v>18400</v>
      </c>
      <c r="H1012" s="45">
        <v>184</v>
      </c>
    </row>
    <row r="1013" spans="1:8">
      <c r="A1013" s="78">
        <v>130585080512</v>
      </c>
      <c r="B1013" s="1" t="s">
        <v>2055</v>
      </c>
      <c r="C1013" s="44" t="s">
        <v>2230</v>
      </c>
      <c r="D1013" s="1" t="s">
        <v>2360</v>
      </c>
      <c r="E1013" s="44" t="s">
        <v>2230</v>
      </c>
      <c r="F1013" s="38" t="s">
        <v>2361</v>
      </c>
      <c r="G1013" s="45">
        <v>9900</v>
      </c>
      <c r="H1013" s="45">
        <v>99</v>
      </c>
    </row>
    <row r="1014" spans="1:8">
      <c r="A1014" s="78">
        <v>130586314610</v>
      </c>
      <c r="B1014" s="1" t="s">
        <v>2055</v>
      </c>
      <c r="C1014" s="44" t="s">
        <v>2230</v>
      </c>
      <c r="D1014" s="1" t="s">
        <v>2360</v>
      </c>
      <c r="E1014" s="44" t="s">
        <v>2230</v>
      </c>
      <c r="F1014" s="38" t="s">
        <v>2361</v>
      </c>
      <c r="G1014" s="45">
        <v>9600</v>
      </c>
      <c r="H1014" s="45">
        <v>96</v>
      </c>
    </row>
    <row r="1015" spans="1:8">
      <c r="A1015" s="78">
        <v>130589344658</v>
      </c>
      <c r="B1015" s="1" t="s">
        <v>8</v>
      </c>
      <c r="C1015" s="44" t="s">
        <v>2230</v>
      </c>
      <c r="D1015" s="1" t="s">
        <v>2360</v>
      </c>
      <c r="E1015" s="44" t="s">
        <v>2230</v>
      </c>
      <c r="F1015" s="38" t="s">
        <v>2361</v>
      </c>
      <c r="G1015" s="45">
        <v>28800</v>
      </c>
      <c r="H1015" s="45">
        <v>288</v>
      </c>
    </row>
    <row r="1016" spans="1:8">
      <c r="A1016" s="78">
        <v>130589453826</v>
      </c>
      <c r="B1016" s="1" t="s">
        <v>8</v>
      </c>
      <c r="C1016" s="44" t="s">
        <v>2230</v>
      </c>
      <c r="D1016" s="1" t="s">
        <v>2360</v>
      </c>
      <c r="E1016" s="44" t="s">
        <v>2230</v>
      </c>
      <c r="F1016" s="38" t="s">
        <v>2361</v>
      </c>
      <c r="G1016" s="45">
        <v>12000</v>
      </c>
      <c r="H1016" s="45">
        <v>120</v>
      </c>
    </row>
    <row r="1017" spans="1:8">
      <c r="A1017" s="78">
        <v>130013489481</v>
      </c>
      <c r="B1017" s="1" t="s">
        <v>2055</v>
      </c>
      <c r="C1017" s="44" t="s">
        <v>2230</v>
      </c>
      <c r="D1017" s="1" t="s">
        <v>2360</v>
      </c>
      <c r="E1017" s="44" t="s">
        <v>2230</v>
      </c>
      <c r="F1017" s="38" t="s">
        <v>2361</v>
      </c>
      <c r="G1017" s="45">
        <v>19700</v>
      </c>
      <c r="H1017" s="45">
        <v>197</v>
      </c>
    </row>
    <row r="1018" spans="1:8">
      <c r="A1018" s="78">
        <v>130592091772</v>
      </c>
      <c r="B1018" s="1" t="s">
        <v>8</v>
      </c>
      <c r="C1018" s="44" t="s">
        <v>2230</v>
      </c>
      <c r="D1018" s="1" t="s">
        <v>2360</v>
      </c>
      <c r="E1018" s="44" t="s">
        <v>2230</v>
      </c>
      <c r="F1018" s="38" t="s">
        <v>2361</v>
      </c>
      <c r="G1018" s="45">
        <v>19600</v>
      </c>
      <c r="H1018" s="45">
        <v>196</v>
      </c>
    </row>
    <row r="1019" spans="1:8">
      <c r="A1019" s="78">
        <v>130594025244</v>
      </c>
      <c r="B1019" s="1" t="s">
        <v>8</v>
      </c>
      <c r="C1019" s="44" t="s">
        <v>2230</v>
      </c>
      <c r="D1019" s="1" t="s">
        <v>2360</v>
      </c>
      <c r="E1019" s="44" t="s">
        <v>2243</v>
      </c>
      <c r="F1019" s="38" t="s">
        <v>2361</v>
      </c>
      <c r="G1019" s="45">
        <v>58700</v>
      </c>
      <c r="H1019" s="45">
        <v>587</v>
      </c>
    </row>
    <row r="1020" spans="1:8">
      <c r="A1020" s="78">
        <v>130594391886</v>
      </c>
      <c r="B1020" s="1" t="s">
        <v>8</v>
      </c>
      <c r="C1020" s="44" t="s">
        <v>2230</v>
      </c>
      <c r="D1020" s="1" t="s">
        <v>2360</v>
      </c>
      <c r="E1020" s="44" t="s">
        <v>2243</v>
      </c>
      <c r="F1020" s="38" t="s">
        <v>2361</v>
      </c>
      <c r="G1020" s="45">
        <v>88500</v>
      </c>
      <c r="H1020" s="45">
        <v>885</v>
      </c>
    </row>
    <row r="1021" spans="1:8">
      <c r="A1021" s="78">
        <v>130595730634</v>
      </c>
      <c r="B1021" s="1" t="s">
        <v>8</v>
      </c>
      <c r="C1021" s="44" t="s">
        <v>2230</v>
      </c>
      <c r="D1021" s="1" t="s">
        <v>2360</v>
      </c>
      <c r="E1021" s="44" t="s">
        <v>2243</v>
      </c>
      <c r="F1021" s="38" t="s">
        <v>2361</v>
      </c>
      <c r="G1021" s="45">
        <v>9700</v>
      </c>
      <c r="H1021" s="45">
        <v>97</v>
      </c>
    </row>
    <row r="1022" spans="1:8">
      <c r="A1022" s="78">
        <v>130363959471</v>
      </c>
      <c r="B1022" s="1" t="s">
        <v>8</v>
      </c>
      <c r="C1022" s="44" t="s">
        <v>2255</v>
      </c>
      <c r="D1022" s="1" t="s">
        <v>2360</v>
      </c>
      <c r="E1022" s="44" t="s">
        <v>2255</v>
      </c>
      <c r="F1022" s="38" t="s">
        <v>2361</v>
      </c>
      <c r="G1022" s="45">
        <v>4200</v>
      </c>
      <c r="H1022" s="45">
        <v>42</v>
      </c>
    </row>
    <row r="1023" spans="1:8">
      <c r="A1023" s="78">
        <v>130950649594</v>
      </c>
      <c r="B1023" s="1" t="s">
        <v>2055</v>
      </c>
      <c r="C1023" s="44" t="s">
        <v>2255</v>
      </c>
      <c r="D1023" s="1" t="s">
        <v>2360</v>
      </c>
      <c r="E1023" s="44" t="s">
        <v>2255</v>
      </c>
      <c r="F1023" s="38" t="s">
        <v>2361</v>
      </c>
      <c r="G1023" s="45">
        <v>9800</v>
      </c>
      <c r="H1023" s="45">
        <v>98</v>
      </c>
    </row>
    <row r="1024" spans="1:8">
      <c r="A1024" s="78">
        <v>130953076190</v>
      </c>
      <c r="B1024" s="1" t="s">
        <v>8</v>
      </c>
      <c r="C1024" s="44" t="s">
        <v>2255</v>
      </c>
      <c r="D1024" s="1" t="s">
        <v>2360</v>
      </c>
      <c r="E1024" s="44" t="s">
        <v>2255</v>
      </c>
      <c r="F1024" s="38" t="s">
        <v>2361</v>
      </c>
      <c r="G1024" s="45">
        <v>23998</v>
      </c>
      <c r="H1024" s="45">
        <v>239.98</v>
      </c>
    </row>
    <row r="1025" spans="1:8">
      <c r="A1025" s="78">
        <v>130372023691</v>
      </c>
      <c r="B1025" s="1" t="s">
        <v>8</v>
      </c>
      <c r="C1025" s="44" t="s">
        <v>2255</v>
      </c>
      <c r="D1025" s="1" t="s">
        <v>2360</v>
      </c>
      <c r="E1025" s="44" t="s">
        <v>2255</v>
      </c>
      <c r="F1025" s="38" t="s">
        <v>2361</v>
      </c>
      <c r="G1025" s="45">
        <v>17700</v>
      </c>
      <c r="H1025" s="45">
        <v>177</v>
      </c>
    </row>
    <row r="1026" spans="1:8">
      <c r="A1026" s="78">
        <v>130362900393</v>
      </c>
      <c r="B1026" s="1" t="s">
        <v>2055</v>
      </c>
      <c r="C1026" s="44" t="s">
        <v>2255</v>
      </c>
      <c r="D1026" s="1" t="s">
        <v>2360</v>
      </c>
      <c r="E1026" s="44" t="s">
        <v>2255</v>
      </c>
      <c r="F1026" s="38" t="s">
        <v>2361</v>
      </c>
      <c r="G1026" s="45">
        <v>18800</v>
      </c>
      <c r="H1026" s="45">
        <v>188</v>
      </c>
    </row>
    <row r="1027" spans="1:8">
      <c r="A1027" s="78">
        <v>130362869487</v>
      </c>
      <c r="B1027" s="1" t="s">
        <v>2055</v>
      </c>
      <c r="C1027" s="44" t="s">
        <v>2255</v>
      </c>
      <c r="D1027" s="1" t="s">
        <v>2360</v>
      </c>
      <c r="E1027" s="44" t="s">
        <v>2255</v>
      </c>
      <c r="F1027" s="38" t="s">
        <v>2361</v>
      </c>
      <c r="G1027" s="45">
        <v>16300</v>
      </c>
      <c r="H1027" s="45">
        <v>163</v>
      </c>
    </row>
    <row r="1028" spans="1:8">
      <c r="A1028" s="78">
        <v>130951377050</v>
      </c>
      <c r="B1028" s="1" t="s">
        <v>8</v>
      </c>
      <c r="C1028" s="44" t="s">
        <v>2255</v>
      </c>
      <c r="D1028" s="1" t="s">
        <v>2360</v>
      </c>
      <c r="E1028" s="44" t="s">
        <v>2255</v>
      </c>
      <c r="F1028" s="38" t="s">
        <v>2361</v>
      </c>
      <c r="G1028" s="45">
        <v>4800</v>
      </c>
      <c r="H1028" s="45">
        <v>48</v>
      </c>
    </row>
    <row r="1029" spans="1:8">
      <c r="A1029" s="78">
        <v>130378665767</v>
      </c>
      <c r="B1029" s="1" t="s">
        <v>8</v>
      </c>
      <c r="C1029" s="44" t="s">
        <v>2255</v>
      </c>
      <c r="D1029" s="1" t="s">
        <v>2360</v>
      </c>
      <c r="E1029" s="44" t="s">
        <v>2255</v>
      </c>
      <c r="F1029" s="38" t="s">
        <v>2361</v>
      </c>
      <c r="G1029" s="45">
        <v>45498</v>
      </c>
      <c r="H1029" s="45">
        <v>454.98</v>
      </c>
    </row>
    <row r="1030" spans="1:8">
      <c r="A1030" s="78">
        <v>130379169891</v>
      </c>
      <c r="B1030" s="1" t="s">
        <v>8</v>
      </c>
      <c r="C1030" s="44" t="s">
        <v>2255</v>
      </c>
      <c r="D1030" s="1" t="s">
        <v>2360</v>
      </c>
      <c r="E1030" s="44" t="s">
        <v>2255</v>
      </c>
      <c r="F1030" s="38" t="s">
        <v>2361</v>
      </c>
      <c r="G1030" s="45">
        <v>29750</v>
      </c>
      <c r="H1030" s="45">
        <v>297.5</v>
      </c>
    </row>
    <row r="1031" spans="1:8">
      <c r="A1031" s="78">
        <v>130953551734</v>
      </c>
      <c r="B1031" s="1" t="s">
        <v>8</v>
      </c>
      <c r="C1031" s="44" t="s">
        <v>2255</v>
      </c>
      <c r="D1031" s="1" t="s">
        <v>2360</v>
      </c>
      <c r="E1031" s="44" t="s">
        <v>2255</v>
      </c>
      <c r="F1031" s="38" t="s">
        <v>2361</v>
      </c>
      <c r="G1031" s="45">
        <v>4800</v>
      </c>
      <c r="H1031" s="45">
        <v>48</v>
      </c>
    </row>
    <row r="1032" spans="1:8">
      <c r="A1032" s="78">
        <v>130964053848</v>
      </c>
      <c r="B1032" s="1" t="s">
        <v>2055</v>
      </c>
      <c r="C1032" s="44" t="s">
        <v>2255</v>
      </c>
      <c r="D1032" s="1" t="s">
        <v>2360</v>
      </c>
      <c r="E1032" s="44" t="s">
        <v>2255</v>
      </c>
      <c r="F1032" s="38" t="s">
        <v>2361</v>
      </c>
      <c r="G1032" s="45">
        <v>46400</v>
      </c>
      <c r="H1032" s="45">
        <v>464</v>
      </c>
    </row>
    <row r="1033" spans="1:8">
      <c r="A1033" s="78">
        <v>130965083356</v>
      </c>
      <c r="B1033" s="1" t="s">
        <v>8</v>
      </c>
      <c r="C1033" s="44" t="s">
        <v>2255</v>
      </c>
      <c r="D1033" s="1" t="s">
        <v>2360</v>
      </c>
      <c r="E1033" s="44" t="s">
        <v>2258</v>
      </c>
      <c r="F1033" s="38" t="s">
        <v>2361</v>
      </c>
      <c r="G1033" s="45">
        <v>21200</v>
      </c>
      <c r="H1033" s="45">
        <v>212</v>
      </c>
    </row>
    <row r="1034" spans="1:8">
      <c r="A1034" s="78">
        <v>130381087993</v>
      </c>
      <c r="B1034" s="1" t="s">
        <v>2055</v>
      </c>
      <c r="C1034" s="44" t="s">
        <v>2255</v>
      </c>
      <c r="D1034" s="1" t="s">
        <v>2360</v>
      </c>
      <c r="E1034" s="44" t="s">
        <v>2258</v>
      </c>
      <c r="F1034" s="38" t="s">
        <v>2361</v>
      </c>
      <c r="G1034" s="45">
        <v>52697</v>
      </c>
      <c r="H1034" s="45">
        <v>526.97</v>
      </c>
    </row>
    <row r="1035" spans="1:8">
      <c r="A1035" s="78">
        <v>130372082339</v>
      </c>
      <c r="B1035" s="1" t="s">
        <v>2055</v>
      </c>
      <c r="C1035" s="44" t="s">
        <v>2255</v>
      </c>
      <c r="D1035" s="1" t="s">
        <v>2360</v>
      </c>
      <c r="E1035" s="44" t="s">
        <v>2255</v>
      </c>
      <c r="F1035" s="38" t="s">
        <v>2361</v>
      </c>
      <c r="G1035" s="45">
        <v>59298</v>
      </c>
      <c r="H1035" s="45">
        <v>592.98</v>
      </c>
    </row>
    <row r="1036" spans="1:8">
      <c r="A1036" s="78">
        <v>130968159374</v>
      </c>
      <c r="B1036" s="1" t="s">
        <v>8</v>
      </c>
      <c r="C1036" s="44" t="s">
        <v>2258</v>
      </c>
      <c r="D1036" s="1" t="s">
        <v>2360</v>
      </c>
      <c r="E1036" s="44" t="s">
        <v>2258</v>
      </c>
      <c r="F1036" s="38" t="s">
        <v>2361</v>
      </c>
      <c r="G1036" s="45">
        <v>27200</v>
      </c>
      <c r="H1036" s="45">
        <v>272</v>
      </c>
    </row>
    <row r="1037" spans="1:8">
      <c r="A1037" s="78">
        <v>130968346258</v>
      </c>
      <c r="B1037" s="1" t="s">
        <v>8</v>
      </c>
      <c r="C1037" s="44" t="s">
        <v>2258</v>
      </c>
      <c r="D1037" s="1" t="s">
        <v>2360</v>
      </c>
      <c r="E1037" s="44" t="s">
        <v>2258</v>
      </c>
      <c r="F1037" s="38" t="s">
        <v>2361</v>
      </c>
      <c r="G1037" s="45">
        <v>9500</v>
      </c>
      <c r="H1037" s="45">
        <v>95</v>
      </c>
    </row>
    <row r="1038" spans="1:8">
      <c r="A1038" s="78">
        <v>130384388375</v>
      </c>
      <c r="B1038" s="1" t="s">
        <v>8</v>
      </c>
      <c r="C1038" s="44" t="s">
        <v>2258</v>
      </c>
      <c r="D1038" s="1" t="s">
        <v>2360</v>
      </c>
      <c r="E1038" s="44" t="s">
        <v>2258</v>
      </c>
      <c r="F1038" s="38" t="s">
        <v>2361</v>
      </c>
      <c r="G1038" s="45">
        <v>4800</v>
      </c>
      <c r="H1038" s="45">
        <v>48</v>
      </c>
    </row>
    <row r="1039" spans="1:8">
      <c r="A1039" s="78">
        <v>130958785182</v>
      </c>
      <c r="B1039" s="1" t="s">
        <v>2055</v>
      </c>
      <c r="C1039" s="44" t="s">
        <v>2255</v>
      </c>
      <c r="D1039" s="1" t="s">
        <v>2360</v>
      </c>
      <c r="E1039" s="44" t="s">
        <v>2255</v>
      </c>
      <c r="F1039" s="38" t="s">
        <v>2361</v>
      </c>
      <c r="G1039" s="45">
        <v>9700</v>
      </c>
      <c r="H1039" s="45">
        <v>97</v>
      </c>
    </row>
    <row r="1040" spans="1:8">
      <c r="A1040" s="78">
        <v>130959127036</v>
      </c>
      <c r="B1040" s="1" t="s">
        <v>8</v>
      </c>
      <c r="C1040" s="44" t="s">
        <v>2255</v>
      </c>
      <c r="D1040" s="1" t="s">
        <v>2360</v>
      </c>
      <c r="E1040" s="44" t="s">
        <v>2255</v>
      </c>
      <c r="F1040" s="38" t="s">
        <v>2361</v>
      </c>
      <c r="G1040" s="45">
        <v>5200</v>
      </c>
      <c r="H1040" s="45">
        <v>52</v>
      </c>
    </row>
    <row r="1041" spans="1:8">
      <c r="A1041" s="78">
        <v>130385762611</v>
      </c>
      <c r="B1041" s="1" t="s">
        <v>8</v>
      </c>
      <c r="C1041" s="44" t="s">
        <v>2258</v>
      </c>
      <c r="D1041" s="1" t="s">
        <v>2360</v>
      </c>
      <c r="E1041" s="44" t="s">
        <v>2258</v>
      </c>
      <c r="F1041" s="38" t="s">
        <v>2361</v>
      </c>
      <c r="G1041" s="45">
        <v>5500</v>
      </c>
      <c r="H1041" s="45">
        <v>55</v>
      </c>
    </row>
    <row r="1042" spans="1:8">
      <c r="A1042" s="78">
        <v>130961561984</v>
      </c>
      <c r="B1042" s="1" t="s">
        <v>8</v>
      </c>
      <c r="C1042" s="44" t="s">
        <v>2255</v>
      </c>
      <c r="D1042" s="1" t="s">
        <v>2360</v>
      </c>
      <c r="E1042" s="44" t="s">
        <v>2255</v>
      </c>
      <c r="F1042" s="38" t="s">
        <v>2361</v>
      </c>
      <c r="G1042" s="45">
        <v>57798</v>
      </c>
      <c r="H1042" s="45">
        <v>577.98</v>
      </c>
    </row>
    <row r="1043" spans="1:8">
      <c r="A1043" s="78">
        <v>130378510101</v>
      </c>
      <c r="B1043" s="1" t="s">
        <v>8</v>
      </c>
      <c r="C1043" s="44" t="s">
        <v>2255</v>
      </c>
      <c r="D1043" s="1" t="s">
        <v>2360</v>
      </c>
      <c r="E1043" s="44" t="s">
        <v>2255</v>
      </c>
      <c r="F1043" s="38" t="s">
        <v>2361</v>
      </c>
      <c r="G1043" s="45">
        <v>9400</v>
      </c>
      <c r="H1043" s="45">
        <v>94</v>
      </c>
    </row>
    <row r="1044" spans="1:8">
      <c r="A1044" s="78">
        <v>130380339005</v>
      </c>
      <c r="B1044" s="1" t="s">
        <v>2055</v>
      </c>
      <c r="C1044" s="44" t="s">
        <v>2255</v>
      </c>
      <c r="D1044" s="1" t="s">
        <v>2360</v>
      </c>
      <c r="E1044" s="44" t="s">
        <v>2255</v>
      </c>
      <c r="F1044" s="38" t="s">
        <v>2361</v>
      </c>
      <c r="G1044" s="45">
        <v>47200</v>
      </c>
      <c r="H1044" s="45">
        <v>472</v>
      </c>
    </row>
    <row r="1045" spans="1:8">
      <c r="A1045" s="78">
        <v>130381219961</v>
      </c>
      <c r="B1045" s="1" t="s">
        <v>8</v>
      </c>
      <c r="C1045" s="44" t="s">
        <v>2255</v>
      </c>
      <c r="D1045" s="1" t="s">
        <v>2360</v>
      </c>
      <c r="E1045" s="44" t="s">
        <v>2258</v>
      </c>
      <c r="F1045" s="38" t="s">
        <v>2361</v>
      </c>
      <c r="G1045" s="45">
        <v>23998</v>
      </c>
      <c r="H1045" s="45">
        <v>239.98</v>
      </c>
    </row>
    <row r="1046" spans="1:8">
      <c r="A1046" s="78">
        <v>130966019066</v>
      </c>
      <c r="B1046" s="1" t="s">
        <v>8</v>
      </c>
      <c r="C1046" s="44" t="s">
        <v>2255</v>
      </c>
      <c r="D1046" s="1" t="s">
        <v>2360</v>
      </c>
      <c r="E1046" s="44" t="s">
        <v>2258</v>
      </c>
      <c r="F1046" s="38" t="s">
        <v>2361</v>
      </c>
      <c r="G1046" s="45">
        <v>68300</v>
      </c>
      <c r="H1046" s="45">
        <v>683</v>
      </c>
    </row>
    <row r="1047" spans="1:8">
      <c r="A1047" s="78">
        <v>130382217225</v>
      </c>
      <c r="B1047" s="1" t="s">
        <v>8</v>
      </c>
      <c r="C1047" s="44" t="s">
        <v>2255</v>
      </c>
      <c r="D1047" s="1" t="s">
        <v>2360</v>
      </c>
      <c r="E1047" s="44" t="s">
        <v>2258</v>
      </c>
      <c r="F1047" s="38" t="s">
        <v>2361</v>
      </c>
      <c r="G1047" s="45">
        <v>18400</v>
      </c>
      <c r="H1047" s="45">
        <v>184</v>
      </c>
    </row>
    <row r="1048" spans="1:8">
      <c r="A1048" s="78">
        <v>130968142248</v>
      </c>
      <c r="B1048" s="1" t="s">
        <v>8</v>
      </c>
      <c r="C1048" s="44" t="s">
        <v>2258</v>
      </c>
      <c r="D1048" s="1" t="s">
        <v>2360</v>
      </c>
      <c r="E1048" s="44" t="s">
        <v>2258</v>
      </c>
      <c r="F1048" s="38" t="s">
        <v>2361</v>
      </c>
      <c r="G1048" s="45">
        <v>7900</v>
      </c>
      <c r="H1048" s="45">
        <v>79</v>
      </c>
    </row>
    <row r="1049" spans="1:8">
      <c r="A1049" s="78">
        <v>130968200228</v>
      </c>
      <c r="B1049" s="1" t="s">
        <v>8</v>
      </c>
      <c r="C1049" s="44" t="s">
        <v>2258</v>
      </c>
      <c r="D1049" s="1" t="s">
        <v>2360</v>
      </c>
      <c r="E1049" s="44" t="s">
        <v>2258</v>
      </c>
      <c r="F1049" s="38" t="s">
        <v>2361</v>
      </c>
      <c r="G1049" s="45">
        <v>4000</v>
      </c>
      <c r="H1049" s="45">
        <v>40</v>
      </c>
    </row>
    <row r="1050" spans="1:8">
      <c r="A1050" s="78">
        <v>130384380875</v>
      </c>
      <c r="B1050" s="1" t="s">
        <v>8</v>
      </c>
      <c r="C1050" s="44" t="s">
        <v>2258</v>
      </c>
      <c r="D1050" s="1" t="s">
        <v>2360</v>
      </c>
      <c r="E1050" s="44" t="s">
        <v>2258</v>
      </c>
      <c r="F1050" s="38" t="s">
        <v>2361</v>
      </c>
      <c r="G1050" s="45">
        <v>4800</v>
      </c>
      <c r="H1050" s="45">
        <v>48</v>
      </c>
    </row>
    <row r="1051" spans="1:8">
      <c r="A1051" s="78">
        <v>130384308007</v>
      </c>
      <c r="B1051" s="1" t="s">
        <v>8</v>
      </c>
      <c r="C1051" s="44" t="s">
        <v>2258</v>
      </c>
      <c r="D1051" s="1" t="s">
        <v>2360</v>
      </c>
      <c r="E1051" s="44" t="s">
        <v>2258</v>
      </c>
      <c r="F1051" s="38" t="s">
        <v>2361</v>
      </c>
      <c r="G1051" s="45">
        <v>4000</v>
      </c>
      <c r="H1051" s="45">
        <v>40</v>
      </c>
    </row>
    <row r="1052" spans="1:8">
      <c r="A1052" s="78">
        <v>130385473309</v>
      </c>
      <c r="B1052" s="1" t="s">
        <v>8</v>
      </c>
      <c r="C1052" s="44" t="s">
        <v>2258</v>
      </c>
      <c r="D1052" s="1" t="s">
        <v>2360</v>
      </c>
      <c r="E1052" s="44" t="s">
        <v>2258</v>
      </c>
      <c r="F1052" s="38" t="s">
        <v>2361</v>
      </c>
      <c r="G1052" s="45">
        <v>5500</v>
      </c>
      <c r="H1052" s="45">
        <v>55</v>
      </c>
    </row>
    <row r="1053" spans="1:8">
      <c r="A1053" s="78">
        <v>130385616989</v>
      </c>
      <c r="B1053" s="1" t="s">
        <v>8</v>
      </c>
      <c r="C1053" s="44" t="s">
        <v>2258</v>
      </c>
      <c r="D1053" s="1" t="s">
        <v>2360</v>
      </c>
      <c r="E1053" s="44" t="s">
        <v>2258</v>
      </c>
      <c r="F1053" s="38" t="s">
        <v>2361</v>
      </c>
      <c r="G1053" s="45">
        <v>26600</v>
      </c>
      <c r="H1053" s="45">
        <v>266</v>
      </c>
    </row>
    <row r="1054" spans="1:8">
      <c r="A1054" s="78">
        <v>130385928447</v>
      </c>
      <c r="B1054" s="1" t="s">
        <v>8</v>
      </c>
      <c r="C1054" s="44" t="s">
        <v>2258</v>
      </c>
      <c r="D1054" s="1" t="s">
        <v>2360</v>
      </c>
      <c r="E1054" s="44" t="s">
        <v>2258</v>
      </c>
      <c r="F1054" s="38" t="s">
        <v>2361</v>
      </c>
      <c r="G1054" s="45">
        <v>33500</v>
      </c>
      <c r="H1054" s="45">
        <v>335</v>
      </c>
    </row>
    <row r="1055" spans="1:8">
      <c r="A1055" s="78">
        <v>131071540454</v>
      </c>
      <c r="B1055" s="1" t="s">
        <v>8</v>
      </c>
      <c r="C1055" s="44" t="s">
        <v>2258</v>
      </c>
      <c r="D1055" s="1" t="s">
        <v>2360</v>
      </c>
      <c r="E1055" s="44" t="s">
        <v>2258</v>
      </c>
      <c r="F1055" s="38" t="s">
        <v>2361</v>
      </c>
      <c r="G1055" s="45">
        <v>8000</v>
      </c>
      <c r="H1055" s="45">
        <v>80</v>
      </c>
    </row>
    <row r="1056" spans="1:8">
      <c r="A1056" s="78">
        <v>130485510525</v>
      </c>
      <c r="B1056" s="1" t="s">
        <v>8</v>
      </c>
      <c r="C1056" s="44" t="s">
        <v>2258</v>
      </c>
      <c r="D1056" s="1" t="s">
        <v>2360</v>
      </c>
      <c r="E1056" s="44" t="s">
        <v>2258</v>
      </c>
      <c r="F1056" s="38" t="s">
        <v>2361</v>
      </c>
      <c r="G1056" s="45">
        <v>4900</v>
      </c>
      <c r="H1056" s="45">
        <v>49</v>
      </c>
    </row>
    <row r="1057" spans="1:8">
      <c r="A1057" s="78">
        <v>130487069719</v>
      </c>
      <c r="B1057" s="1" t="s">
        <v>8</v>
      </c>
      <c r="C1057" s="44" t="s">
        <v>2258</v>
      </c>
      <c r="D1057" s="1" t="s">
        <v>2360</v>
      </c>
      <c r="E1057" s="44" t="s">
        <v>2258</v>
      </c>
      <c r="F1057" s="38" t="s">
        <v>2361</v>
      </c>
      <c r="G1057" s="45">
        <v>25800</v>
      </c>
      <c r="H1057" s="45">
        <v>258</v>
      </c>
    </row>
    <row r="1058" spans="1:8">
      <c r="A1058" s="78">
        <v>130491825175</v>
      </c>
      <c r="B1058" s="1" t="s">
        <v>8</v>
      </c>
      <c r="C1058" s="44" t="s">
        <v>2258</v>
      </c>
      <c r="D1058" s="1" t="s">
        <v>2360</v>
      </c>
      <c r="E1058" s="44" t="s">
        <v>2258</v>
      </c>
      <c r="F1058" s="38" t="s">
        <v>2361</v>
      </c>
      <c r="G1058" s="45">
        <v>23850</v>
      </c>
      <c r="H1058" s="45">
        <v>238.5</v>
      </c>
    </row>
    <row r="1059" spans="1:8">
      <c r="A1059" s="78">
        <v>131078679332</v>
      </c>
      <c r="B1059" s="1" t="s">
        <v>8</v>
      </c>
      <c r="C1059" s="44" t="s">
        <v>2258</v>
      </c>
      <c r="D1059" s="1" t="s">
        <v>2360</v>
      </c>
      <c r="E1059" s="44" t="s">
        <v>2258</v>
      </c>
      <c r="F1059" s="38" t="s">
        <v>2361</v>
      </c>
      <c r="G1059" s="45">
        <v>17000</v>
      </c>
      <c r="H1059" s="45">
        <v>170</v>
      </c>
    </row>
    <row r="1060" spans="1:8">
      <c r="A1060" s="78">
        <v>131080816358</v>
      </c>
      <c r="B1060" s="1" t="s">
        <v>8</v>
      </c>
      <c r="C1060" s="44" t="s">
        <v>2258</v>
      </c>
      <c r="D1060" s="1" t="s">
        <v>2360</v>
      </c>
      <c r="E1060" s="44" t="s">
        <v>2258</v>
      </c>
      <c r="F1060" s="38" t="s">
        <v>2361</v>
      </c>
      <c r="G1060" s="45">
        <v>14400</v>
      </c>
      <c r="H1060" s="45">
        <v>144</v>
      </c>
    </row>
    <row r="1061" spans="1:8">
      <c r="A1061" s="78">
        <v>130494768229</v>
      </c>
      <c r="B1061" s="1" t="s">
        <v>2055</v>
      </c>
      <c r="C1061" s="44" t="s">
        <v>2258</v>
      </c>
      <c r="D1061" s="1" t="s">
        <v>2360</v>
      </c>
      <c r="E1061" s="44" t="s">
        <v>2258</v>
      </c>
      <c r="F1061" s="38" t="s">
        <v>2361</v>
      </c>
      <c r="G1061" s="45">
        <v>15100</v>
      </c>
      <c r="H1061" s="45">
        <v>151</v>
      </c>
    </row>
    <row r="1062" spans="1:8">
      <c r="A1062" s="78">
        <v>130495738913</v>
      </c>
      <c r="B1062" s="1" t="s">
        <v>8</v>
      </c>
      <c r="C1062" s="44" t="s">
        <v>2258</v>
      </c>
      <c r="D1062" s="1" t="s">
        <v>2360</v>
      </c>
      <c r="E1062" s="44" t="s">
        <v>2258</v>
      </c>
      <c r="F1062" s="38" t="s">
        <v>2361</v>
      </c>
      <c r="G1062" s="45">
        <v>4800</v>
      </c>
      <c r="H1062" s="45">
        <v>48</v>
      </c>
    </row>
    <row r="1063" spans="1:8">
      <c r="A1063" s="78">
        <v>130496329581</v>
      </c>
      <c r="B1063" s="1" t="s">
        <v>8</v>
      </c>
      <c r="C1063" s="44" t="s">
        <v>2258</v>
      </c>
      <c r="D1063" s="1" t="s">
        <v>2360</v>
      </c>
      <c r="E1063" s="44" t="s">
        <v>2258</v>
      </c>
      <c r="F1063" s="38" t="s">
        <v>2361</v>
      </c>
      <c r="G1063" s="45">
        <v>3000</v>
      </c>
      <c r="H1063" s="45">
        <v>30</v>
      </c>
    </row>
    <row r="1064" spans="1:8">
      <c r="A1064" s="78">
        <v>130496869105</v>
      </c>
      <c r="B1064" s="1" t="s">
        <v>8</v>
      </c>
      <c r="C1064" s="44" t="s">
        <v>2258</v>
      </c>
      <c r="D1064" s="1" t="s">
        <v>2360</v>
      </c>
      <c r="E1064" s="44" t="s">
        <v>2258</v>
      </c>
      <c r="F1064" s="38" t="s">
        <v>2361</v>
      </c>
      <c r="G1064" s="45">
        <v>4800</v>
      </c>
      <c r="H1064" s="45">
        <v>48</v>
      </c>
    </row>
    <row r="1065" spans="1:8">
      <c r="A1065" s="78">
        <v>130497206277</v>
      </c>
      <c r="B1065" s="1" t="s">
        <v>8</v>
      </c>
      <c r="C1065" s="44" t="s">
        <v>2258</v>
      </c>
      <c r="D1065" s="1" t="s">
        <v>2360</v>
      </c>
      <c r="E1065" s="44" t="s">
        <v>2258</v>
      </c>
      <c r="F1065" s="38" t="s">
        <v>2361</v>
      </c>
      <c r="G1065" s="45">
        <v>14400</v>
      </c>
      <c r="H1065" s="45">
        <v>144</v>
      </c>
    </row>
    <row r="1066" spans="1:8">
      <c r="A1066" s="78">
        <v>131084590632</v>
      </c>
      <c r="B1066" s="1" t="s">
        <v>2055</v>
      </c>
      <c r="C1066" s="44" t="s">
        <v>2258</v>
      </c>
      <c r="D1066" s="1" t="s">
        <v>2360</v>
      </c>
      <c r="E1066" s="44" t="s">
        <v>2258</v>
      </c>
      <c r="F1066" s="38" t="s">
        <v>2361</v>
      </c>
      <c r="G1066" s="45">
        <v>82700</v>
      </c>
      <c r="H1066" s="45">
        <v>827</v>
      </c>
    </row>
    <row r="1067" spans="1:8">
      <c r="A1067" s="78">
        <v>131084662508</v>
      </c>
      <c r="B1067" s="1" t="s">
        <v>8</v>
      </c>
      <c r="C1067" s="44" t="s">
        <v>2258</v>
      </c>
      <c r="D1067" s="1" t="s">
        <v>2360</v>
      </c>
      <c r="E1067" s="44" t="s">
        <v>2258</v>
      </c>
      <c r="F1067" s="38" t="s">
        <v>2361</v>
      </c>
      <c r="G1067" s="45">
        <v>8000</v>
      </c>
      <c r="H1067" s="45">
        <v>80</v>
      </c>
    </row>
    <row r="1068" spans="1:8">
      <c r="A1068" s="78">
        <v>131084747440</v>
      </c>
      <c r="B1068" s="1" t="s">
        <v>8</v>
      </c>
      <c r="C1068" s="44" t="s">
        <v>2258</v>
      </c>
      <c r="D1068" s="1" t="s">
        <v>2360</v>
      </c>
      <c r="E1068" s="44" t="s">
        <v>2258</v>
      </c>
      <c r="F1068" s="38" t="s">
        <v>2361</v>
      </c>
      <c r="G1068" s="45">
        <v>4400</v>
      </c>
      <c r="H1068" s="45">
        <v>44</v>
      </c>
    </row>
    <row r="1069" spans="1:8">
      <c r="A1069" s="78">
        <v>130498487107</v>
      </c>
      <c r="B1069" s="1" t="s">
        <v>8</v>
      </c>
      <c r="C1069" s="44" t="s">
        <v>2258</v>
      </c>
      <c r="D1069" s="1" t="s">
        <v>2360</v>
      </c>
      <c r="E1069" s="44" t="s">
        <v>2258</v>
      </c>
      <c r="F1069" s="38" t="s">
        <v>2361</v>
      </c>
      <c r="G1069" s="45">
        <v>8800</v>
      </c>
      <c r="H1069" s="45">
        <v>88</v>
      </c>
    </row>
    <row r="1070" spans="1:8">
      <c r="A1070" s="78">
        <v>131074278650</v>
      </c>
      <c r="B1070" s="1" t="s">
        <v>8</v>
      </c>
      <c r="C1070" s="44" t="s">
        <v>2258</v>
      </c>
      <c r="D1070" s="1" t="s">
        <v>2360</v>
      </c>
      <c r="E1070" s="44" t="s">
        <v>2258</v>
      </c>
      <c r="F1070" s="38" t="s">
        <v>2361</v>
      </c>
      <c r="G1070" s="45">
        <v>19200</v>
      </c>
      <c r="H1070" s="45">
        <v>192</v>
      </c>
    </row>
    <row r="1071" spans="1:8">
      <c r="A1071" s="78">
        <v>131086444340</v>
      </c>
      <c r="B1071" s="1" t="s">
        <v>8</v>
      </c>
      <c r="C1071" s="44" t="s">
        <v>2258</v>
      </c>
      <c r="D1071" s="1" t="s">
        <v>2360</v>
      </c>
      <c r="E1071" s="44" t="s">
        <v>2258</v>
      </c>
      <c r="F1071" s="38" t="s">
        <v>2361</v>
      </c>
      <c r="G1071" s="45">
        <v>40100</v>
      </c>
      <c r="H1071" s="45">
        <v>401</v>
      </c>
    </row>
    <row r="1072" spans="1:8">
      <c r="A1072" s="78">
        <v>131086501014</v>
      </c>
      <c r="B1072" s="1" t="s">
        <v>8</v>
      </c>
      <c r="C1072" s="44" t="s">
        <v>2258</v>
      </c>
      <c r="D1072" s="1" t="s">
        <v>2360</v>
      </c>
      <c r="E1072" s="44" t="s">
        <v>2258</v>
      </c>
      <c r="F1072" s="38" t="s">
        <v>2361</v>
      </c>
      <c r="G1072" s="45">
        <v>18600</v>
      </c>
      <c r="H1072" s="45">
        <v>186</v>
      </c>
    </row>
    <row r="1073" spans="1:8">
      <c r="A1073" s="78">
        <v>131076012574</v>
      </c>
      <c r="B1073" s="1" t="s">
        <v>2055</v>
      </c>
      <c r="C1073" s="44" t="s">
        <v>2258</v>
      </c>
      <c r="D1073" s="1" t="s">
        <v>2360</v>
      </c>
      <c r="E1073" s="44" t="s">
        <v>2258</v>
      </c>
      <c r="F1073" s="38" t="s">
        <v>2361</v>
      </c>
      <c r="G1073" s="45">
        <v>2000</v>
      </c>
      <c r="H1073" s="45">
        <v>20</v>
      </c>
    </row>
    <row r="1074" spans="1:8">
      <c r="A1074" s="78">
        <v>131087257486</v>
      </c>
      <c r="B1074" s="1" t="s">
        <v>8</v>
      </c>
      <c r="C1074" s="44" t="s">
        <v>2258</v>
      </c>
      <c r="D1074" s="1" t="s">
        <v>2360</v>
      </c>
      <c r="E1074" s="44" t="s">
        <v>2258</v>
      </c>
      <c r="F1074" s="38" t="s">
        <v>2361</v>
      </c>
      <c r="G1074" s="45">
        <v>4800</v>
      </c>
      <c r="H1074" s="45">
        <v>48</v>
      </c>
    </row>
    <row r="1075" spans="1:8">
      <c r="A1075" s="78">
        <v>131088197646</v>
      </c>
      <c r="B1075" s="1" t="s">
        <v>8</v>
      </c>
      <c r="C1075" s="44" t="s">
        <v>2258</v>
      </c>
      <c r="D1075" s="1" t="s">
        <v>2360</v>
      </c>
      <c r="E1075" s="44" t="s">
        <v>2258</v>
      </c>
      <c r="F1075" s="38" t="s">
        <v>2361</v>
      </c>
      <c r="G1075" s="45">
        <v>66900</v>
      </c>
      <c r="H1075" s="45">
        <v>669</v>
      </c>
    </row>
    <row r="1076" spans="1:8">
      <c r="A1076" s="78">
        <v>130502296115</v>
      </c>
      <c r="B1076" s="1" t="s">
        <v>8</v>
      </c>
      <c r="C1076" s="44" t="s">
        <v>2258</v>
      </c>
      <c r="D1076" s="1" t="s">
        <v>2360</v>
      </c>
      <c r="E1076" s="44" t="s">
        <v>2258</v>
      </c>
      <c r="F1076" s="38" t="s">
        <v>2361</v>
      </c>
      <c r="G1076" s="45">
        <v>5500</v>
      </c>
      <c r="H1076" s="45">
        <v>55</v>
      </c>
    </row>
    <row r="1077" spans="1:8">
      <c r="A1077" s="78">
        <v>130492403155</v>
      </c>
      <c r="B1077" s="1" t="s">
        <v>2055</v>
      </c>
      <c r="C1077" s="44" t="s">
        <v>2258</v>
      </c>
      <c r="D1077" s="1" t="s">
        <v>2360</v>
      </c>
      <c r="E1077" s="44" t="s">
        <v>2258</v>
      </c>
      <c r="F1077" s="38" t="s">
        <v>2361</v>
      </c>
      <c r="G1077" s="45">
        <v>9600</v>
      </c>
      <c r="H1077" s="45">
        <v>96</v>
      </c>
    </row>
    <row r="1078" spans="1:8">
      <c r="A1078" s="78">
        <v>131079257414</v>
      </c>
      <c r="B1078" s="1" t="s">
        <v>2055</v>
      </c>
      <c r="C1078" s="44" t="s">
        <v>2258</v>
      </c>
      <c r="D1078" s="1" t="s">
        <v>2360</v>
      </c>
      <c r="E1078" s="44" t="s">
        <v>2258</v>
      </c>
      <c r="F1078" s="38" t="s">
        <v>2361</v>
      </c>
      <c r="G1078" s="45">
        <v>14400</v>
      </c>
      <c r="H1078" s="45">
        <v>144</v>
      </c>
    </row>
    <row r="1079" spans="1:8">
      <c r="A1079" s="78">
        <v>131089712824</v>
      </c>
      <c r="B1079" s="1" t="s">
        <v>2055</v>
      </c>
      <c r="C1079" s="44" t="s">
        <v>2258</v>
      </c>
      <c r="D1079" s="1" t="s">
        <v>2360</v>
      </c>
      <c r="E1079" s="44" t="s">
        <v>2258</v>
      </c>
      <c r="F1079" s="38" t="s">
        <v>2361</v>
      </c>
      <c r="G1079" s="45">
        <v>31400</v>
      </c>
      <c r="H1079" s="45">
        <v>314</v>
      </c>
    </row>
    <row r="1080" spans="1:8">
      <c r="A1080" s="78">
        <v>130503293867</v>
      </c>
      <c r="B1080" s="1" t="s">
        <v>2055</v>
      </c>
      <c r="C1080" s="44" t="s">
        <v>2258</v>
      </c>
      <c r="D1080" s="1" t="s">
        <v>2360</v>
      </c>
      <c r="E1080" s="44" t="s">
        <v>2258</v>
      </c>
      <c r="F1080" s="38" t="s">
        <v>2361</v>
      </c>
      <c r="G1080" s="45">
        <v>20000</v>
      </c>
      <c r="H1080" s="45">
        <v>200</v>
      </c>
    </row>
    <row r="1081" spans="1:8">
      <c r="A1081" s="78">
        <v>130504284429</v>
      </c>
      <c r="B1081" s="1" t="s">
        <v>8</v>
      </c>
      <c r="C1081" s="44" t="s">
        <v>2258</v>
      </c>
      <c r="D1081" s="1" t="s">
        <v>2360</v>
      </c>
      <c r="E1081" s="44" t="s">
        <v>2258</v>
      </c>
      <c r="F1081" s="38" t="s">
        <v>2361</v>
      </c>
      <c r="G1081" s="45">
        <v>4700</v>
      </c>
      <c r="H1081" s="45">
        <v>47</v>
      </c>
    </row>
    <row r="1082" spans="1:8">
      <c r="A1082" s="78">
        <v>131091206920</v>
      </c>
      <c r="B1082" s="1" t="s">
        <v>8</v>
      </c>
      <c r="C1082" s="44" t="s">
        <v>2258</v>
      </c>
      <c r="D1082" s="1" t="s">
        <v>2360</v>
      </c>
      <c r="E1082" s="44" t="s">
        <v>2258</v>
      </c>
      <c r="F1082" s="38" t="s">
        <v>2361</v>
      </c>
      <c r="G1082" s="45">
        <v>67300</v>
      </c>
      <c r="H1082" s="45">
        <v>673</v>
      </c>
    </row>
    <row r="1083" spans="1:8">
      <c r="A1083" s="78">
        <v>130505110651</v>
      </c>
      <c r="B1083" s="1" t="s">
        <v>2055</v>
      </c>
      <c r="C1083" s="44" t="s">
        <v>2258</v>
      </c>
      <c r="D1083" s="1" t="s">
        <v>2360</v>
      </c>
      <c r="E1083" s="44" t="s">
        <v>2258</v>
      </c>
      <c r="F1083" s="38" t="s">
        <v>2361</v>
      </c>
      <c r="G1083" s="45">
        <v>51300</v>
      </c>
      <c r="H1083" s="45">
        <v>513</v>
      </c>
    </row>
    <row r="1084" spans="1:8">
      <c r="A1084" s="78">
        <v>131091722710</v>
      </c>
      <c r="B1084" s="1" t="s">
        <v>2055</v>
      </c>
      <c r="C1084" s="44" t="s">
        <v>2258</v>
      </c>
      <c r="D1084" s="1" t="s">
        <v>2360</v>
      </c>
      <c r="E1084" s="44" t="s">
        <v>2258</v>
      </c>
      <c r="F1084" s="38" t="s">
        <v>2361</v>
      </c>
      <c r="G1084" s="45">
        <v>29700</v>
      </c>
      <c r="H1084" s="45">
        <v>297</v>
      </c>
    </row>
    <row r="1085" spans="1:8">
      <c r="A1085" s="78">
        <v>130494783229</v>
      </c>
      <c r="B1085" s="1" t="s">
        <v>2055</v>
      </c>
      <c r="C1085" s="44" t="s">
        <v>2258</v>
      </c>
      <c r="D1085" s="1" t="s">
        <v>2360</v>
      </c>
      <c r="E1085" s="44" t="s">
        <v>2258</v>
      </c>
      <c r="F1085" s="38" t="s">
        <v>2361</v>
      </c>
      <c r="G1085" s="45">
        <v>9800</v>
      </c>
      <c r="H1085" s="45">
        <v>98</v>
      </c>
    </row>
    <row r="1086" spans="1:8">
      <c r="A1086" s="78">
        <v>131092388010</v>
      </c>
      <c r="B1086" s="1" t="s">
        <v>8</v>
      </c>
      <c r="C1086" s="44" t="s">
        <v>2258</v>
      </c>
      <c r="D1086" s="1" t="s">
        <v>2360</v>
      </c>
      <c r="E1086" s="44" t="s">
        <v>2258</v>
      </c>
      <c r="F1086" s="38" t="s">
        <v>2361</v>
      </c>
      <c r="G1086" s="45">
        <v>16000</v>
      </c>
      <c r="H1086" s="45">
        <v>160</v>
      </c>
    </row>
    <row r="1087" spans="1:8">
      <c r="A1087" s="78">
        <v>131082125710</v>
      </c>
      <c r="B1087" s="1" t="s">
        <v>8</v>
      </c>
      <c r="C1087" s="44" t="s">
        <v>2258</v>
      </c>
      <c r="D1087" s="1" t="s">
        <v>2360</v>
      </c>
      <c r="E1087" s="44" t="s">
        <v>2258</v>
      </c>
      <c r="F1087" s="38" t="s">
        <v>2361</v>
      </c>
      <c r="G1087" s="45">
        <v>4600</v>
      </c>
      <c r="H1087" s="45">
        <v>46</v>
      </c>
    </row>
    <row r="1088" spans="1:8">
      <c r="A1088" s="78">
        <v>130506540145</v>
      </c>
      <c r="B1088" s="1" t="s">
        <v>8</v>
      </c>
      <c r="C1088" s="44" t="s">
        <v>2258</v>
      </c>
      <c r="D1088" s="1" t="s">
        <v>2360</v>
      </c>
      <c r="E1088" s="44" t="s">
        <v>2271</v>
      </c>
      <c r="F1088" s="38" t="s">
        <v>2361</v>
      </c>
      <c r="G1088" s="45">
        <v>7200</v>
      </c>
      <c r="H1088" s="45">
        <v>72</v>
      </c>
    </row>
    <row r="1089" spans="1:8">
      <c r="A1089" s="78">
        <v>130506520857</v>
      </c>
      <c r="B1089" s="1" t="s">
        <v>8</v>
      </c>
      <c r="C1089" s="44" t="s">
        <v>2258</v>
      </c>
      <c r="D1089" s="1" t="s">
        <v>2360</v>
      </c>
      <c r="E1089" s="44" t="s">
        <v>2271</v>
      </c>
      <c r="F1089" s="38" t="s">
        <v>2361</v>
      </c>
      <c r="G1089" s="45">
        <v>11000</v>
      </c>
      <c r="H1089" s="45">
        <v>110</v>
      </c>
    </row>
    <row r="1090" spans="1:8">
      <c r="A1090" s="78">
        <v>131093307644</v>
      </c>
      <c r="B1090" s="1" t="s">
        <v>8</v>
      </c>
      <c r="C1090" s="44" t="s">
        <v>2258</v>
      </c>
      <c r="D1090" s="1" t="s">
        <v>2360</v>
      </c>
      <c r="E1090" s="44" t="s">
        <v>2271</v>
      </c>
      <c r="F1090" s="38" t="s">
        <v>2361</v>
      </c>
      <c r="G1090" s="45">
        <v>4800</v>
      </c>
      <c r="H1090" s="45">
        <v>48</v>
      </c>
    </row>
    <row r="1091" spans="1:8">
      <c r="A1091" s="78">
        <v>130506875805</v>
      </c>
      <c r="B1091" s="1" t="s">
        <v>8</v>
      </c>
      <c r="C1091" s="44" t="s">
        <v>2258</v>
      </c>
      <c r="D1091" s="1" t="s">
        <v>2360</v>
      </c>
      <c r="E1091" s="44" t="s">
        <v>2271</v>
      </c>
      <c r="F1091" s="38" t="s">
        <v>2361</v>
      </c>
      <c r="G1091" s="45">
        <v>25000</v>
      </c>
      <c r="H1091" s="45">
        <v>250</v>
      </c>
    </row>
    <row r="1092" spans="1:8">
      <c r="A1092" s="78">
        <v>131093488060</v>
      </c>
      <c r="B1092" s="1" t="s">
        <v>2055</v>
      </c>
      <c r="C1092" s="44" t="s">
        <v>2258</v>
      </c>
      <c r="D1092" s="1" t="s">
        <v>2360</v>
      </c>
      <c r="E1092" s="44" t="s">
        <v>2271</v>
      </c>
      <c r="F1092" s="38" t="s">
        <v>2361</v>
      </c>
      <c r="G1092" s="45">
        <v>44100</v>
      </c>
      <c r="H1092" s="45">
        <v>441</v>
      </c>
    </row>
    <row r="1093" spans="1:8">
      <c r="A1093" s="78">
        <v>131093724984</v>
      </c>
      <c r="B1093" s="1" t="s">
        <v>8</v>
      </c>
      <c r="C1093" s="44" t="s">
        <v>2258</v>
      </c>
      <c r="D1093" s="1" t="s">
        <v>2360</v>
      </c>
      <c r="E1093" s="44" t="s">
        <v>2271</v>
      </c>
      <c r="F1093" s="38" t="s">
        <v>2361</v>
      </c>
      <c r="G1093" s="45">
        <v>38000</v>
      </c>
      <c r="H1093" s="45">
        <v>380</v>
      </c>
    </row>
    <row r="1094" spans="1:8">
      <c r="A1094" s="78">
        <v>131093866884</v>
      </c>
      <c r="B1094" s="1" t="s">
        <v>8</v>
      </c>
      <c r="C1094" s="44" t="s">
        <v>2258</v>
      </c>
      <c r="D1094" s="1" t="s">
        <v>2360</v>
      </c>
      <c r="E1094" s="44" t="s">
        <v>2271</v>
      </c>
      <c r="F1094" s="38" t="s">
        <v>2361</v>
      </c>
      <c r="G1094" s="45">
        <v>83600</v>
      </c>
      <c r="H1094" s="45">
        <v>836</v>
      </c>
    </row>
    <row r="1095" spans="1:8">
      <c r="A1095" s="78">
        <v>131094372322</v>
      </c>
      <c r="B1095" s="1" t="s">
        <v>8</v>
      </c>
      <c r="C1095" s="44" t="s">
        <v>2258</v>
      </c>
      <c r="D1095" s="1" t="s">
        <v>2360</v>
      </c>
      <c r="E1095" s="44" t="s">
        <v>2271</v>
      </c>
      <c r="F1095" s="38" t="s">
        <v>2361</v>
      </c>
      <c r="G1095" s="45">
        <v>27100</v>
      </c>
      <c r="H1095" s="45">
        <v>271</v>
      </c>
    </row>
    <row r="1096" spans="1:8">
      <c r="A1096" s="78">
        <v>131094378520</v>
      </c>
      <c r="B1096" s="1" t="s">
        <v>8</v>
      </c>
      <c r="C1096" s="44" t="s">
        <v>2258</v>
      </c>
      <c r="D1096" s="1" t="s">
        <v>2360</v>
      </c>
      <c r="E1096" s="44" t="s">
        <v>2271</v>
      </c>
      <c r="F1096" s="38" t="s">
        <v>2361</v>
      </c>
      <c r="G1096" s="45">
        <v>19150</v>
      </c>
      <c r="H1096" s="45">
        <v>191.5</v>
      </c>
    </row>
    <row r="1097" spans="1:8">
      <c r="A1097" s="78">
        <v>130508048215</v>
      </c>
      <c r="B1097" s="1" t="s">
        <v>2055</v>
      </c>
      <c r="C1097" s="44" t="s">
        <v>2258</v>
      </c>
      <c r="D1097" s="1" t="s">
        <v>2360</v>
      </c>
      <c r="E1097" s="44" t="s">
        <v>2271</v>
      </c>
      <c r="F1097" s="38" t="s">
        <v>2361</v>
      </c>
      <c r="G1097" s="45">
        <v>16300</v>
      </c>
      <c r="H1097" s="45">
        <v>163</v>
      </c>
    </row>
    <row r="1098" spans="1:8">
      <c r="A1098" s="78">
        <v>131094616418</v>
      </c>
      <c r="B1098" s="1" t="s">
        <v>8</v>
      </c>
      <c r="C1098" s="44" t="s">
        <v>2258</v>
      </c>
      <c r="D1098" s="1" t="s">
        <v>2360</v>
      </c>
      <c r="E1098" s="44" t="s">
        <v>2271</v>
      </c>
      <c r="F1098" s="38" t="s">
        <v>2361</v>
      </c>
      <c r="G1098" s="45">
        <v>9000</v>
      </c>
      <c r="H1098" s="45">
        <v>90</v>
      </c>
    </row>
    <row r="1099" spans="1:8">
      <c r="A1099" s="78">
        <v>130497161841</v>
      </c>
      <c r="B1099" s="1" t="s">
        <v>8</v>
      </c>
      <c r="C1099" s="44" t="s">
        <v>2258</v>
      </c>
      <c r="D1099" s="1" t="s">
        <v>2360</v>
      </c>
      <c r="E1099" s="44" t="s">
        <v>2258</v>
      </c>
      <c r="F1099" s="38" t="s">
        <v>2361</v>
      </c>
      <c r="G1099" s="45">
        <v>8600</v>
      </c>
      <c r="H1099" s="45">
        <v>86</v>
      </c>
    </row>
    <row r="1100" spans="1:8">
      <c r="A1100" s="78">
        <v>131084083926</v>
      </c>
      <c r="B1100" s="1" t="s">
        <v>2055</v>
      </c>
      <c r="C1100" s="44" t="s">
        <v>2258</v>
      </c>
      <c r="D1100" s="1" t="s">
        <v>2360</v>
      </c>
      <c r="E1100" s="44" t="s">
        <v>2258</v>
      </c>
      <c r="F1100" s="38" t="s">
        <v>2361</v>
      </c>
      <c r="G1100" s="45">
        <v>4800</v>
      </c>
      <c r="H1100" s="45">
        <v>48</v>
      </c>
    </row>
    <row r="1101" spans="1:8">
      <c r="A1101" s="78">
        <v>131084512264</v>
      </c>
      <c r="B1101" s="1" t="s">
        <v>2055</v>
      </c>
      <c r="C1101" s="44" t="s">
        <v>2258</v>
      </c>
      <c r="D1101" s="1" t="s">
        <v>2360</v>
      </c>
      <c r="E1101" s="44" t="s">
        <v>2258</v>
      </c>
      <c r="F1101" s="38" t="s">
        <v>2361</v>
      </c>
      <c r="G1101" s="45">
        <v>8000</v>
      </c>
      <c r="H1101" s="45">
        <v>80</v>
      </c>
    </row>
    <row r="1102" spans="1:8">
      <c r="A1102" s="78">
        <v>130508778187</v>
      </c>
      <c r="B1102" s="1" t="s">
        <v>8</v>
      </c>
      <c r="C1102" s="44" t="s">
        <v>2258</v>
      </c>
      <c r="D1102" s="1" t="s">
        <v>2360</v>
      </c>
      <c r="E1102" s="44" t="s">
        <v>2271</v>
      </c>
      <c r="F1102" s="38" t="s">
        <v>2361</v>
      </c>
      <c r="G1102" s="45">
        <v>186900</v>
      </c>
      <c r="H1102" s="45">
        <v>1869</v>
      </c>
    </row>
    <row r="1103" spans="1:8">
      <c r="A1103" s="78">
        <v>130508847989</v>
      </c>
      <c r="B1103" s="1" t="s">
        <v>8</v>
      </c>
      <c r="C1103" s="44" t="s">
        <v>2271</v>
      </c>
      <c r="D1103" s="1" t="s">
        <v>2360</v>
      </c>
      <c r="E1103" s="44" t="s">
        <v>2271</v>
      </c>
      <c r="F1103" s="38" t="s">
        <v>2361</v>
      </c>
      <c r="G1103" s="45">
        <v>19250</v>
      </c>
      <c r="H1103" s="45">
        <v>192.5</v>
      </c>
    </row>
    <row r="1104" spans="1:8">
      <c r="A1104" s="78">
        <v>130498345131</v>
      </c>
      <c r="B1104" s="1" t="s">
        <v>8</v>
      </c>
      <c r="C1104" s="44" t="s">
        <v>2258</v>
      </c>
      <c r="D1104" s="1" t="s">
        <v>2360</v>
      </c>
      <c r="E1104" s="44" t="s">
        <v>2258</v>
      </c>
      <c r="F1104" s="38" t="s">
        <v>2361</v>
      </c>
      <c r="G1104" s="45">
        <v>4200</v>
      </c>
      <c r="H1104" s="45">
        <v>42</v>
      </c>
    </row>
    <row r="1105" spans="1:8">
      <c r="A1105" s="78">
        <v>130509236797</v>
      </c>
      <c r="B1105" s="1" t="s">
        <v>8</v>
      </c>
      <c r="C1105" s="44" t="s">
        <v>2271</v>
      </c>
      <c r="D1105" s="1" t="s">
        <v>2360</v>
      </c>
      <c r="E1105" s="44" t="s">
        <v>2271</v>
      </c>
      <c r="F1105" s="38" t="s">
        <v>2361</v>
      </c>
      <c r="G1105" s="45">
        <v>8200</v>
      </c>
      <c r="H1105" s="45">
        <v>82</v>
      </c>
    </row>
    <row r="1106" spans="1:8">
      <c r="A1106" s="78">
        <v>131095647968</v>
      </c>
      <c r="B1106" s="1" t="s">
        <v>8</v>
      </c>
      <c r="C1106" s="44" t="s">
        <v>2271</v>
      </c>
      <c r="D1106" s="1" t="s">
        <v>2360</v>
      </c>
      <c r="E1106" s="44" t="s">
        <v>2271</v>
      </c>
      <c r="F1106" s="38" t="s">
        <v>2361</v>
      </c>
      <c r="G1106" s="45">
        <v>16500</v>
      </c>
      <c r="H1106" s="45">
        <v>165</v>
      </c>
    </row>
    <row r="1107" spans="1:8">
      <c r="A1107" s="78">
        <v>131095954450</v>
      </c>
      <c r="B1107" s="1" t="s">
        <v>2055</v>
      </c>
      <c r="C1107" s="44" t="s">
        <v>2271</v>
      </c>
      <c r="D1107" s="1" t="s">
        <v>2360</v>
      </c>
      <c r="E1107" s="44" t="s">
        <v>2271</v>
      </c>
      <c r="F1107" s="38" t="s">
        <v>2361</v>
      </c>
      <c r="G1107" s="45">
        <v>24600</v>
      </c>
      <c r="H1107" s="45">
        <v>246</v>
      </c>
    </row>
    <row r="1108" spans="1:8">
      <c r="A1108" s="78">
        <v>130509481677</v>
      </c>
      <c r="B1108" s="1" t="s">
        <v>8</v>
      </c>
      <c r="C1108" s="44" t="s">
        <v>2271</v>
      </c>
      <c r="D1108" s="1" t="s">
        <v>2360</v>
      </c>
      <c r="E1108" s="44" t="s">
        <v>2271</v>
      </c>
      <c r="F1108" s="38" t="s">
        <v>2361</v>
      </c>
      <c r="G1108" s="45">
        <v>14400</v>
      </c>
      <c r="H1108" s="45">
        <v>144</v>
      </c>
    </row>
    <row r="1109" spans="1:8">
      <c r="A1109" s="78">
        <v>131096174768</v>
      </c>
      <c r="B1109" s="1" t="s">
        <v>8</v>
      </c>
      <c r="C1109" s="44" t="s">
        <v>2271</v>
      </c>
      <c r="D1109" s="1" t="s">
        <v>2360</v>
      </c>
      <c r="E1109" s="44" t="s">
        <v>2271</v>
      </c>
      <c r="F1109" s="38" t="s">
        <v>2361</v>
      </c>
      <c r="G1109" s="45">
        <v>17300</v>
      </c>
      <c r="H1109" s="45">
        <v>173</v>
      </c>
    </row>
    <row r="1110" spans="1:8">
      <c r="A1110" s="78">
        <v>131086009404</v>
      </c>
      <c r="B1110" s="1" t="s">
        <v>8</v>
      </c>
      <c r="C1110" s="44" t="s">
        <v>2258</v>
      </c>
      <c r="D1110" s="1" t="s">
        <v>2360</v>
      </c>
      <c r="E1110" s="44" t="s">
        <v>2258</v>
      </c>
      <c r="F1110" s="38" t="s">
        <v>2361</v>
      </c>
      <c r="G1110" s="45">
        <v>4800</v>
      </c>
      <c r="H1110" s="45">
        <v>48</v>
      </c>
    </row>
    <row r="1111" spans="1:8">
      <c r="A1111" s="78">
        <v>130499575511</v>
      </c>
      <c r="B1111" s="1" t="s">
        <v>8</v>
      </c>
      <c r="C1111" s="44" t="s">
        <v>2258</v>
      </c>
      <c r="D1111" s="1" t="s">
        <v>2360</v>
      </c>
      <c r="E1111" s="44" t="s">
        <v>2258</v>
      </c>
      <c r="F1111" s="38" t="s">
        <v>2361</v>
      </c>
      <c r="G1111" s="45">
        <v>12000</v>
      </c>
      <c r="H1111" s="45">
        <v>120</v>
      </c>
    </row>
    <row r="1112" spans="1:8">
      <c r="A1112" s="78">
        <v>131086304876</v>
      </c>
      <c r="B1112" s="1" t="s">
        <v>8</v>
      </c>
      <c r="C1112" s="44" t="s">
        <v>2258</v>
      </c>
      <c r="D1112" s="1" t="s">
        <v>2360</v>
      </c>
      <c r="E1112" s="44" t="s">
        <v>2258</v>
      </c>
      <c r="F1112" s="38" t="s">
        <v>2361</v>
      </c>
      <c r="G1112" s="45">
        <v>21000</v>
      </c>
      <c r="H1112" s="45">
        <v>210</v>
      </c>
    </row>
    <row r="1113" spans="1:8">
      <c r="A1113" s="78">
        <v>131086678184</v>
      </c>
      <c r="B1113" s="1" t="s">
        <v>8</v>
      </c>
      <c r="C1113" s="44" t="s">
        <v>2258</v>
      </c>
      <c r="D1113" s="1" t="s">
        <v>2360</v>
      </c>
      <c r="E1113" s="44" t="s">
        <v>2258</v>
      </c>
      <c r="F1113" s="38" t="s">
        <v>2361</v>
      </c>
      <c r="G1113" s="45">
        <v>8100</v>
      </c>
      <c r="H1113" s="45">
        <v>81</v>
      </c>
    </row>
    <row r="1114" spans="1:8">
      <c r="A1114" s="78">
        <v>131097041416</v>
      </c>
      <c r="B1114" s="1" t="s">
        <v>8</v>
      </c>
      <c r="C1114" s="44" t="s">
        <v>2271</v>
      </c>
      <c r="D1114" s="1" t="s">
        <v>2360</v>
      </c>
      <c r="E1114" s="44" t="s">
        <v>2271</v>
      </c>
      <c r="F1114" s="38" t="s">
        <v>2361</v>
      </c>
      <c r="G1114" s="45">
        <v>91700</v>
      </c>
      <c r="H1114" s="45">
        <v>917</v>
      </c>
    </row>
    <row r="1115" spans="1:8">
      <c r="A1115" s="78">
        <v>131097201364</v>
      </c>
      <c r="B1115" s="1" t="s">
        <v>8</v>
      </c>
      <c r="C1115" s="44" t="s">
        <v>2271</v>
      </c>
      <c r="D1115" s="1" t="s">
        <v>2360</v>
      </c>
      <c r="E1115" s="44" t="s">
        <v>2271</v>
      </c>
      <c r="F1115" s="38" t="s">
        <v>2361</v>
      </c>
      <c r="G1115" s="45">
        <v>4800</v>
      </c>
      <c r="H1115" s="45">
        <v>48</v>
      </c>
    </row>
    <row r="1116" spans="1:8">
      <c r="A1116" s="78">
        <v>130511034159</v>
      </c>
      <c r="B1116" s="1" t="s">
        <v>2055</v>
      </c>
      <c r="C1116" s="44" t="s">
        <v>2271</v>
      </c>
      <c r="D1116" s="1" t="s">
        <v>2360</v>
      </c>
      <c r="E1116" s="44" t="s">
        <v>2271</v>
      </c>
      <c r="F1116" s="38" t="s">
        <v>2361</v>
      </c>
      <c r="G1116" s="45">
        <v>28750</v>
      </c>
      <c r="H1116" s="45">
        <v>287.5</v>
      </c>
    </row>
    <row r="1117" spans="1:8">
      <c r="A1117" s="78">
        <v>130511024259</v>
      </c>
      <c r="B1117" s="1" t="s">
        <v>8</v>
      </c>
      <c r="C1117" s="44" t="s">
        <v>2271</v>
      </c>
      <c r="D1117" s="1" t="s">
        <v>2360</v>
      </c>
      <c r="E1117" s="44" t="s">
        <v>2271</v>
      </c>
      <c r="F1117" s="38" t="s">
        <v>2361</v>
      </c>
      <c r="G1117" s="45">
        <v>22500</v>
      </c>
      <c r="H1117" s="45">
        <v>225</v>
      </c>
    </row>
    <row r="1118" spans="1:8">
      <c r="A1118" s="78">
        <v>131097471030</v>
      </c>
      <c r="B1118" s="1" t="s">
        <v>2055</v>
      </c>
      <c r="C1118" s="44" t="s">
        <v>2271</v>
      </c>
      <c r="D1118" s="1" t="s">
        <v>2360</v>
      </c>
      <c r="E1118" s="44" t="s">
        <v>2271</v>
      </c>
      <c r="F1118" s="38" t="s">
        <v>2361</v>
      </c>
      <c r="G1118" s="45">
        <v>9200</v>
      </c>
      <c r="H1118" s="45">
        <v>92</v>
      </c>
    </row>
    <row r="1119" spans="1:8">
      <c r="A1119" s="78">
        <v>130510939873</v>
      </c>
      <c r="B1119" s="1" t="s">
        <v>2055</v>
      </c>
      <c r="C1119" s="44" t="s">
        <v>2271</v>
      </c>
      <c r="D1119" s="1" t="s">
        <v>2360</v>
      </c>
      <c r="E1119" s="44" t="s">
        <v>2271</v>
      </c>
      <c r="F1119" s="38" t="s">
        <v>2361</v>
      </c>
      <c r="G1119" s="45">
        <v>10300</v>
      </c>
      <c r="H1119" s="45">
        <v>103</v>
      </c>
    </row>
    <row r="1120" spans="1:8">
      <c r="A1120" s="78">
        <v>130510987923</v>
      </c>
      <c r="B1120" s="1" t="s">
        <v>2055</v>
      </c>
      <c r="C1120" s="44" t="s">
        <v>2271</v>
      </c>
      <c r="D1120" s="1" t="s">
        <v>2360</v>
      </c>
      <c r="E1120" s="44" t="s">
        <v>2271</v>
      </c>
      <c r="F1120" s="38" t="s">
        <v>2361</v>
      </c>
      <c r="G1120" s="45">
        <v>16400</v>
      </c>
      <c r="H1120" s="45">
        <v>164</v>
      </c>
    </row>
    <row r="1121" spans="1:8">
      <c r="A1121" s="78">
        <v>130511316897</v>
      </c>
      <c r="B1121" s="1" t="s">
        <v>8</v>
      </c>
      <c r="C1121" s="44" t="s">
        <v>2271</v>
      </c>
      <c r="D1121" s="1" t="s">
        <v>2360</v>
      </c>
      <c r="E1121" s="44" t="s">
        <v>2271</v>
      </c>
      <c r="F1121" s="38" t="s">
        <v>2361</v>
      </c>
      <c r="G1121" s="45">
        <v>24400</v>
      </c>
      <c r="H1121" s="45">
        <v>244</v>
      </c>
    </row>
    <row r="1122" spans="1:8">
      <c r="A1122" s="78">
        <v>131088135338</v>
      </c>
      <c r="B1122" s="1" t="s">
        <v>8</v>
      </c>
      <c r="C1122" s="44" t="s">
        <v>2258</v>
      </c>
      <c r="D1122" s="1" t="s">
        <v>2360</v>
      </c>
      <c r="E1122" s="44" t="s">
        <v>2258</v>
      </c>
      <c r="F1122" s="38" t="s">
        <v>2361</v>
      </c>
      <c r="G1122" s="45">
        <v>7900</v>
      </c>
      <c r="H1122" s="45">
        <v>79</v>
      </c>
    </row>
    <row r="1123" spans="1:8">
      <c r="A1123" s="78">
        <v>131088652378</v>
      </c>
      <c r="B1123" s="1" t="s">
        <v>8</v>
      </c>
      <c r="C1123" s="44" t="s">
        <v>2258</v>
      </c>
      <c r="D1123" s="1" t="s">
        <v>2360</v>
      </c>
      <c r="E1123" s="44" t="s">
        <v>2258</v>
      </c>
      <c r="F1123" s="38" t="s">
        <v>2361</v>
      </c>
      <c r="G1123" s="45">
        <v>4000</v>
      </c>
      <c r="H1123" s="45">
        <v>40</v>
      </c>
    </row>
    <row r="1124" spans="1:8">
      <c r="A1124" s="78">
        <v>131098306232</v>
      </c>
      <c r="B1124" s="1" t="s">
        <v>8</v>
      </c>
      <c r="C1124" s="44" t="s">
        <v>2271</v>
      </c>
      <c r="D1124" s="1" t="s">
        <v>2360</v>
      </c>
      <c r="E1124" s="44" t="s">
        <v>2271</v>
      </c>
      <c r="F1124" s="38" t="s">
        <v>2361</v>
      </c>
      <c r="G1124" s="45">
        <v>73400</v>
      </c>
      <c r="H1124" s="45">
        <v>734</v>
      </c>
    </row>
    <row r="1125" spans="1:8">
      <c r="A1125" s="78">
        <v>130511872803</v>
      </c>
      <c r="B1125" s="1" t="s">
        <v>8</v>
      </c>
      <c r="C1125" s="44" t="s">
        <v>2271</v>
      </c>
      <c r="D1125" s="1" t="s">
        <v>2360</v>
      </c>
      <c r="E1125" s="44" t="s">
        <v>2271</v>
      </c>
      <c r="F1125" s="38" t="s">
        <v>2361</v>
      </c>
      <c r="G1125" s="45">
        <v>19300</v>
      </c>
      <c r="H1125" s="45">
        <v>193</v>
      </c>
    </row>
    <row r="1126" spans="1:8">
      <c r="A1126" s="78">
        <v>131089296298</v>
      </c>
      <c r="B1126" s="1" t="s">
        <v>8</v>
      </c>
      <c r="C1126" s="44" t="s">
        <v>2258</v>
      </c>
      <c r="D1126" s="1" t="s">
        <v>2360</v>
      </c>
      <c r="E1126" s="44" t="s">
        <v>2258</v>
      </c>
      <c r="F1126" s="38" t="s">
        <v>2361</v>
      </c>
      <c r="G1126" s="45">
        <v>18300</v>
      </c>
      <c r="H1126" s="45">
        <v>183</v>
      </c>
    </row>
    <row r="1127" spans="1:8">
      <c r="A1127" s="78">
        <v>131099034366</v>
      </c>
      <c r="B1127" s="1" t="s">
        <v>8</v>
      </c>
      <c r="C1127" s="44" t="s">
        <v>2271</v>
      </c>
      <c r="D1127" s="1" t="s">
        <v>2360</v>
      </c>
      <c r="E1127" s="44" t="s">
        <v>2271</v>
      </c>
      <c r="F1127" s="38" t="s">
        <v>2361</v>
      </c>
      <c r="G1127" s="45">
        <v>19200</v>
      </c>
      <c r="H1127" s="45">
        <v>192</v>
      </c>
    </row>
    <row r="1128" spans="1:8">
      <c r="A1128" s="78">
        <v>131089749914</v>
      </c>
      <c r="B1128" s="1" t="s">
        <v>8</v>
      </c>
      <c r="C1128" s="44" t="s">
        <v>2258</v>
      </c>
      <c r="D1128" s="1" t="s">
        <v>2360</v>
      </c>
      <c r="E1128" s="44" t="s">
        <v>2258</v>
      </c>
      <c r="F1128" s="38" t="s">
        <v>2361</v>
      </c>
      <c r="G1128" s="45">
        <v>15000</v>
      </c>
      <c r="H1128" s="45">
        <v>150</v>
      </c>
    </row>
    <row r="1129" spans="1:8">
      <c r="A1129" s="78">
        <v>130512369709</v>
      </c>
      <c r="B1129" s="1" t="s">
        <v>8</v>
      </c>
      <c r="C1129" s="44" t="s">
        <v>2271</v>
      </c>
      <c r="D1129" s="1" t="s">
        <v>2360</v>
      </c>
      <c r="E1129" s="44" t="s">
        <v>2271</v>
      </c>
      <c r="F1129" s="38" t="s">
        <v>2361</v>
      </c>
      <c r="G1129" s="45">
        <v>4800</v>
      </c>
      <c r="H1129" s="45">
        <v>48</v>
      </c>
    </row>
    <row r="1130" spans="1:8">
      <c r="A1130" s="78">
        <v>130503430043</v>
      </c>
      <c r="B1130" s="1" t="s">
        <v>2055</v>
      </c>
      <c r="C1130" s="44" t="s">
        <v>2258</v>
      </c>
      <c r="D1130" s="1" t="s">
        <v>2360</v>
      </c>
      <c r="E1130" s="44" t="s">
        <v>2258</v>
      </c>
      <c r="F1130" s="38" t="s">
        <v>2361</v>
      </c>
      <c r="G1130" s="45">
        <v>8000</v>
      </c>
      <c r="H1130" s="45">
        <v>80</v>
      </c>
    </row>
    <row r="1131" spans="1:8">
      <c r="A1131" s="78">
        <v>130503902335</v>
      </c>
      <c r="B1131" s="1" t="s">
        <v>8</v>
      </c>
      <c r="C1131" s="44" t="s">
        <v>2258</v>
      </c>
      <c r="D1131" s="1" t="s">
        <v>2360</v>
      </c>
      <c r="E1131" s="44" t="s">
        <v>2258</v>
      </c>
      <c r="F1131" s="38" t="s">
        <v>2361</v>
      </c>
      <c r="G1131" s="45">
        <v>24100</v>
      </c>
      <c r="H1131" s="45">
        <v>241</v>
      </c>
    </row>
    <row r="1132" spans="1:8">
      <c r="A1132" s="78">
        <v>130512786585</v>
      </c>
      <c r="B1132" s="1" t="s">
        <v>8</v>
      </c>
      <c r="C1132" s="44" t="s">
        <v>2271</v>
      </c>
      <c r="D1132" s="1" t="s">
        <v>2360</v>
      </c>
      <c r="E1132" s="44" t="s">
        <v>2271</v>
      </c>
      <c r="F1132" s="38" t="s">
        <v>2361</v>
      </c>
      <c r="G1132" s="45">
        <v>27200</v>
      </c>
      <c r="H1132" s="45">
        <v>272</v>
      </c>
    </row>
    <row r="1133" spans="1:8">
      <c r="A1133" s="78">
        <v>131099366712</v>
      </c>
      <c r="B1133" s="1" t="s">
        <v>8</v>
      </c>
      <c r="C1133" s="44" t="s">
        <v>2271</v>
      </c>
      <c r="D1133" s="1" t="s">
        <v>2360</v>
      </c>
      <c r="E1133" s="44" t="s">
        <v>2271</v>
      </c>
      <c r="F1133" s="38" t="s">
        <v>2361</v>
      </c>
      <c r="G1133" s="45">
        <v>4000</v>
      </c>
      <c r="H1133" s="45">
        <v>40</v>
      </c>
    </row>
    <row r="1134" spans="1:8">
      <c r="A1134" s="78">
        <v>131090503118</v>
      </c>
      <c r="B1134" s="1" t="s">
        <v>8</v>
      </c>
      <c r="C1134" s="44" t="s">
        <v>2258</v>
      </c>
      <c r="D1134" s="1" t="s">
        <v>2360</v>
      </c>
      <c r="E1134" s="44" t="s">
        <v>2258</v>
      </c>
      <c r="F1134" s="38" t="s">
        <v>2361</v>
      </c>
      <c r="G1134" s="45">
        <v>12000</v>
      </c>
      <c r="H1134" s="45">
        <v>120</v>
      </c>
    </row>
    <row r="1135" spans="1:8">
      <c r="A1135" s="78">
        <v>130504289461</v>
      </c>
      <c r="B1135" s="1" t="s">
        <v>8</v>
      </c>
      <c r="C1135" s="44" t="s">
        <v>2258</v>
      </c>
      <c r="D1135" s="1" t="s">
        <v>2360</v>
      </c>
      <c r="E1135" s="44" t="s">
        <v>2258</v>
      </c>
      <c r="F1135" s="38" t="s">
        <v>2361</v>
      </c>
      <c r="G1135" s="45">
        <v>19200</v>
      </c>
      <c r="H1135" s="45">
        <v>192</v>
      </c>
    </row>
    <row r="1136" spans="1:8">
      <c r="A1136" s="78">
        <v>131099810152</v>
      </c>
      <c r="B1136" s="1" t="s">
        <v>2055</v>
      </c>
      <c r="C1136" s="44" t="s">
        <v>2271</v>
      </c>
      <c r="D1136" s="1" t="s">
        <v>2360</v>
      </c>
      <c r="E1136" s="44" t="s">
        <v>2271</v>
      </c>
      <c r="F1136" s="38" t="s">
        <v>2361</v>
      </c>
      <c r="G1136" s="45">
        <v>22000</v>
      </c>
      <c r="H1136" s="45">
        <v>220</v>
      </c>
    </row>
    <row r="1137" spans="1:8">
      <c r="A1137" s="78">
        <v>130505317979</v>
      </c>
      <c r="B1137" s="1" t="s">
        <v>8</v>
      </c>
      <c r="C1137" s="44" t="s">
        <v>2258</v>
      </c>
      <c r="D1137" s="1" t="s">
        <v>2360</v>
      </c>
      <c r="E1137" s="44" t="s">
        <v>2258</v>
      </c>
      <c r="F1137" s="38" t="s">
        <v>2361</v>
      </c>
      <c r="G1137" s="45">
        <v>14400</v>
      </c>
      <c r="H1137" s="45">
        <v>144</v>
      </c>
    </row>
    <row r="1138" spans="1:8">
      <c r="A1138" s="78">
        <v>130513557473</v>
      </c>
      <c r="B1138" s="1" t="s">
        <v>8</v>
      </c>
      <c r="C1138" s="44" t="s">
        <v>2271</v>
      </c>
      <c r="D1138" s="1" t="s">
        <v>2360</v>
      </c>
      <c r="E1138" s="44" t="s">
        <v>2271</v>
      </c>
      <c r="F1138" s="38" t="s">
        <v>2361</v>
      </c>
      <c r="G1138" s="45">
        <v>59000</v>
      </c>
      <c r="H1138" s="45">
        <v>590</v>
      </c>
    </row>
    <row r="1139" spans="1:8">
      <c r="A1139" s="78">
        <v>131092165922</v>
      </c>
      <c r="B1139" s="1" t="s">
        <v>8</v>
      </c>
      <c r="C1139" s="44" t="s">
        <v>2258</v>
      </c>
      <c r="D1139" s="1" t="s">
        <v>2360</v>
      </c>
      <c r="E1139" s="44" t="s">
        <v>2258</v>
      </c>
      <c r="F1139" s="38" t="s">
        <v>2361</v>
      </c>
      <c r="G1139" s="45">
        <v>13800</v>
      </c>
      <c r="H1139" s="45">
        <v>138</v>
      </c>
    </row>
    <row r="1140" spans="1:8">
      <c r="A1140" s="78">
        <v>130505544007</v>
      </c>
      <c r="B1140" s="1" t="s">
        <v>8</v>
      </c>
      <c r="C1140" s="44" t="s">
        <v>2258</v>
      </c>
      <c r="D1140" s="1" t="s">
        <v>2360</v>
      </c>
      <c r="E1140" s="44" t="s">
        <v>2258</v>
      </c>
      <c r="F1140" s="38" t="s">
        <v>2361</v>
      </c>
      <c r="G1140" s="45">
        <v>4800</v>
      </c>
      <c r="H1140" s="45">
        <v>48</v>
      </c>
    </row>
    <row r="1141" spans="1:8">
      <c r="A1141" s="78">
        <v>131092700948</v>
      </c>
      <c r="B1141" s="1" t="s">
        <v>8</v>
      </c>
      <c r="C1141" s="44" t="s">
        <v>2258</v>
      </c>
      <c r="D1141" s="1" t="s">
        <v>2360</v>
      </c>
      <c r="E1141" s="44" t="s">
        <v>2258</v>
      </c>
      <c r="F1141" s="38" t="s">
        <v>2361</v>
      </c>
      <c r="G1141" s="45">
        <v>20000</v>
      </c>
      <c r="H1141" s="45">
        <v>200</v>
      </c>
    </row>
    <row r="1142" spans="1:8">
      <c r="A1142" s="78">
        <v>131093035938</v>
      </c>
      <c r="B1142" s="1" t="s">
        <v>8</v>
      </c>
      <c r="C1142" s="44" t="s">
        <v>2258</v>
      </c>
      <c r="D1142" s="1" t="s">
        <v>2360</v>
      </c>
      <c r="E1142" s="44" t="s">
        <v>2271</v>
      </c>
      <c r="F1142" s="38" t="s">
        <v>2361</v>
      </c>
      <c r="G1142" s="45">
        <v>9500</v>
      </c>
      <c r="H1142" s="45">
        <v>95</v>
      </c>
    </row>
    <row r="1143" spans="1:8">
      <c r="A1143" s="78">
        <v>130506636747</v>
      </c>
      <c r="B1143" s="1" t="s">
        <v>8</v>
      </c>
      <c r="C1143" s="44" t="s">
        <v>2258</v>
      </c>
      <c r="D1143" s="1" t="s">
        <v>2360</v>
      </c>
      <c r="E1143" s="44" t="s">
        <v>2271</v>
      </c>
      <c r="F1143" s="38" t="s">
        <v>2361</v>
      </c>
      <c r="G1143" s="45">
        <v>7200</v>
      </c>
      <c r="H1143" s="45">
        <v>72</v>
      </c>
    </row>
    <row r="1144" spans="1:8">
      <c r="A1144" s="78">
        <v>130506543981</v>
      </c>
      <c r="B1144" s="1" t="s">
        <v>2055</v>
      </c>
      <c r="C1144" s="44" t="s">
        <v>2258</v>
      </c>
      <c r="D1144" s="1" t="s">
        <v>2360</v>
      </c>
      <c r="E1144" s="44" t="s">
        <v>2271</v>
      </c>
      <c r="F1144" s="38" t="s">
        <v>2361</v>
      </c>
      <c r="G1144" s="45">
        <v>36200</v>
      </c>
      <c r="H1144" s="45">
        <v>362</v>
      </c>
    </row>
    <row r="1145" spans="1:8">
      <c r="A1145" s="78">
        <v>130507452383</v>
      </c>
      <c r="B1145" s="1" t="s">
        <v>2055</v>
      </c>
      <c r="C1145" s="44" t="s">
        <v>2258</v>
      </c>
      <c r="D1145" s="1" t="s">
        <v>2360</v>
      </c>
      <c r="E1145" s="44" t="s">
        <v>2271</v>
      </c>
      <c r="F1145" s="38" t="s">
        <v>2361</v>
      </c>
      <c r="G1145" s="45">
        <v>153500</v>
      </c>
      <c r="H1145" s="45">
        <v>1535</v>
      </c>
    </row>
    <row r="1146" spans="1:8">
      <c r="A1146" s="78">
        <v>131094045138</v>
      </c>
      <c r="B1146" s="1" t="s">
        <v>8</v>
      </c>
      <c r="C1146" s="44" t="s">
        <v>2258</v>
      </c>
      <c r="D1146" s="1" t="s">
        <v>2360</v>
      </c>
      <c r="E1146" s="44" t="s">
        <v>2271</v>
      </c>
      <c r="F1146" s="38" t="s">
        <v>2361</v>
      </c>
      <c r="G1146" s="45">
        <v>27800</v>
      </c>
      <c r="H1146" s="45">
        <v>278</v>
      </c>
    </row>
    <row r="1147" spans="1:8">
      <c r="A1147" s="78">
        <v>130507633683</v>
      </c>
      <c r="B1147" s="1" t="s">
        <v>8</v>
      </c>
      <c r="C1147" s="44" t="s">
        <v>2258</v>
      </c>
      <c r="D1147" s="1" t="s">
        <v>2360</v>
      </c>
      <c r="E1147" s="44" t="s">
        <v>2271</v>
      </c>
      <c r="F1147" s="38" t="s">
        <v>2361</v>
      </c>
      <c r="G1147" s="45">
        <v>54200</v>
      </c>
      <c r="H1147" s="45">
        <v>542</v>
      </c>
    </row>
    <row r="1148" spans="1:8">
      <c r="A1148" s="78">
        <v>130507917861</v>
      </c>
      <c r="B1148" s="1" t="s">
        <v>8</v>
      </c>
      <c r="C1148" s="44" t="s">
        <v>2258</v>
      </c>
      <c r="D1148" s="1" t="s">
        <v>2360</v>
      </c>
      <c r="E1148" s="44" t="s">
        <v>2271</v>
      </c>
      <c r="F1148" s="38" t="s">
        <v>2361</v>
      </c>
      <c r="G1148" s="45">
        <v>9000</v>
      </c>
      <c r="H1148" s="45">
        <v>90</v>
      </c>
    </row>
    <row r="1149" spans="1:8">
      <c r="A1149" s="78">
        <v>130508269613</v>
      </c>
      <c r="B1149" s="1" t="s">
        <v>8</v>
      </c>
      <c r="C1149" s="44" t="s">
        <v>2258</v>
      </c>
      <c r="D1149" s="1" t="s">
        <v>2360</v>
      </c>
      <c r="E1149" s="44" t="s">
        <v>2271</v>
      </c>
      <c r="F1149" s="38" t="s">
        <v>2361</v>
      </c>
      <c r="G1149" s="45">
        <v>16600</v>
      </c>
      <c r="H1149" s="45">
        <v>166</v>
      </c>
    </row>
    <row r="1150" spans="1:8">
      <c r="A1150" s="78">
        <v>130508474545</v>
      </c>
      <c r="B1150" s="1" t="s">
        <v>8</v>
      </c>
      <c r="C1150" s="44" t="s">
        <v>2258</v>
      </c>
      <c r="D1150" s="1" t="s">
        <v>2360</v>
      </c>
      <c r="E1150" s="44" t="s">
        <v>2271</v>
      </c>
      <c r="F1150" s="38" t="s">
        <v>2361</v>
      </c>
      <c r="G1150" s="45">
        <v>168800</v>
      </c>
      <c r="H1150" s="45">
        <v>1688</v>
      </c>
    </row>
    <row r="1151" spans="1:8">
      <c r="A1151" s="78">
        <v>130508519393</v>
      </c>
      <c r="B1151" s="1" t="s">
        <v>2055</v>
      </c>
      <c r="C1151" s="44" t="s">
        <v>2258</v>
      </c>
      <c r="D1151" s="1" t="s">
        <v>2360</v>
      </c>
      <c r="E1151" s="44" t="s">
        <v>2271</v>
      </c>
      <c r="F1151" s="38" t="s">
        <v>2361</v>
      </c>
      <c r="G1151" s="45">
        <v>15200</v>
      </c>
      <c r="H1151" s="45">
        <v>152</v>
      </c>
    </row>
    <row r="1152" spans="1:8">
      <c r="A1152" s="78">
        <v>130508644291</v>
      </c>
      <c r="B1152" s="1" t="s">
        <v>8</v>
      </c>
      <c r="C1152" s="44" t="s">
        <v>2258</v>
      </c>
      <c r="D1152" s="1" t="s">
        <v>2360</v>
      </c>
      <c r="E1152" s="44" t="s">
        <v>2271</v>
      </c>
      <c r="F1152" s="38" t="s">
        <v>2361</v>
      </c>
      <c r="G1152" s="45">
        <v>32300</v>
      </c>
      <c r="H1152" s="45">
        <v>323</v>
      </c>
    </row>
    <row r="1153" spans="1:8">
      <c r="A1153" s="78">
        <v>130508658823</v>
      </c>
      <c r="B1153" s="1" t="s">
        <v>8</v>
      </c>
      <c r="C1153" s="44" t="s">
        <v>2258</v>
      </c>
      <c r="D1153" s="1" t="s">
        <v>2360</v>
      </c>
      <c r="E1153" s="44" t="s">
        <v>2271</v>
      </c>
      <c r="F1153" s="38" t="s">
        <v>2361</v>
      </c>
      <c r="G1153" s="45">
        <v>19200</v>
      </c>
      <c r="H1153" s="45">
        <v>192</v>
      </c>
    </row>
    <row r="1154" spans="1:8">
      <c r="A1154" s="78">
        <v>131095221900</v>
      </c>
      <c r="B1154" s="1" t="s">
        <v>8</v>
      </c>
      <c r="C1154" s="44" t="s">
        <v>2258</v>
      </c>
      <c r="D1154" s="1" t="s">
        <v>2360</v>
      </c>
      <c r="E1154" s="44" t="s">
        <v>2271</v>
      </c>
      <c r="F1154" s="38" t="s">
        <v>2361</v>
      </c>
      <c r="G1154" s="45">
        <v>15100</v>
      </c>
      <c r="H1154" s="45">
        <v>151</v>
      </c>
    </row>
    <row r="1155" spans="1:8">
      <c r="A1155" s="78">
        <v>131095368770</v>
      </c>
      <c r="B1155" s="1" t="s">
        <v>2055</v>
      </c>
      <c r="C1155" s="44" t="s">
        <v>2258</v>
      </c>
      <c r="D1155" s="1" t="s">
        <v>2360</v>
      </c>
      <c r="E1155" s="44" t="s">
        <v>2271</v>
      </c>
      <c r="F1155" s="38" t="s">
        <v>2361</v>
      </c>
      <c r="G1155" s="45">
        <v>11900</v>
      </c>
      <c r="H1155" s="45">
        <v>119</v>
      </c>
    </row>
    <row r="1156" spans="1:8">
      <c r="A1156" s="78">
        <v>131095375852</v>
      </c>
      <c r="B1156" s="1" t="s">
        <v>8</v>
      </c>
      <c r="C1156" s="44" t="s">
        <v>2271</v>
      </c>
      <c r="D1156" s="1" t="s">
        <v>2360</v>
      </c>
      <c r="E1156" s="44" t="s">
        <v>2271</v>
      </c>
      <c r="F1156" s="38" t="s">
        <v>2361</v>
      </c>
      <c r="G1156" s="45">
        <v>24000</v>
      </c>
      <c r="H1156" s="45">
        <v>240</v>
      </c>
    </row>
    <row r="1157" spans="1:8">
      <c r="A1157" s="78">
        <v>130509464861</v>
      </c>
      <c r="B1157" s="1" t="s">
        <v>8</v>
      </c>
      <c r="C1157" s="44" t="s">
        <v>2271</v>
      </c>
      <c r="D1157" s="1" t="s">
        <v>2360</v>
      </c>
      <c r="E1157" s="44" t="s">
        <v>2271</v>
      </c>
      <c r="F1157" s="38" t="s">
        <v>2361</v>
      </c>
      <c r="G1157" s="45">
        <v>8800</v>
      </c>
      <c r="H1157" s="45">
        <v>88</v>
      </c>
    </row>
    <row r="1158" spans="1:8">
      <c r="A1158" s="78">
        <v>131096089826</v>
      </c>
      <c r="B1158" s="1" t="s">
        <v>8</v>
      </c>
      <c r="C1158" s="44" t="s">
        <v>2271</v>
      </c>
      <c r="D1158" s="1" t="s">
        <v>2360</v>
      </c>
      <c r="E1158" s="44" t="s">
        <v>2271</v>
      </c>
      <c r="F1158" s="38" t="s">
        <v>2361</v>
      </c>
      <c r="G1158" s="45">
        <v>9600</v>
      </c>
      <c r="H1158" s="45">
        <v>96</v>
      </c>
    </row>
    <row r="1159" spans="1:8">
      <c r="A1159" s="78">
        <v>131096234866</v>
      </c>
      <c r="B1159" s="1" t="s">
        <v>8</v>
      </c>
      <c r="C1159" s="44" t="s">
        <v>2271</v>
      </c>
      <c r="D1159" s="1" t="s">
        <v>2360</v>
      </c>
      <c r="E1159" s="44" t="s">
        <v>2271</v>
      </c>
      <c r="F1159" s="38" t="s">
        <v>2361</v>
      </c>
      <c r="G1159" s="45">
        <v>8000</v>
      </c>
      <c r="H1159" s="45">
        <v>80</v>
      </c>
    </row>
    <row r="1160" spans="1:8">
      <c r="A1160" s="78">
        <v>130509962431</v>
      </c>
      <c r="B1160" s="1" t="s">
        <v>8</v>
      </c>
      <c r="C1160" s="44" t="s">
        <v>2271</v>
      </c>
      <c r="D1160" s="1" t="s">
        <v>2360</v>
      </c>
      <c r="E1160" s="44" t="s">
        <v>2271</v>
      </c>
      <c r="F1160" s="38" t="s">
        <v>2361</v>
      </c>
      <c r="G1160" s="45">
        <v>4800</v>
      </c>
      <c r="H1160" s="45">
        <v>48</v>
      </c>
    </row>
    <row r="1161" spans="1:8">
      <c r="A1161" s="78">
        <v>131096447346</v>
      </c>
      <c r="B1161" s="1" t="s">
        <v>8</v>
      </c>
      <c r="C1161" s="44" t="s">
        <v>2271</v>
      </c>
      <c r="D1161" s="1" t="s">
        <v>2360</v>
      </c>
      <c r="E1161" s="44" t="s">
        <v>2271</v>
      </c>
      <c r="F1161" s="38" t="s">
        <v>2361</v>
      </c>
      <c r="G1161" s="45">
        <v>16100</v>
      </c>
      <c r="H1161" s="45">
        <v>161</v>
      </c>
    </row>
    <row r="1162" spans="1:8">
      <c r="A1162" s="78">
        <v>130510019279</v>
      </c>
      <c r="B1162" s="1" t="s">
        <v>2055</v>
      </c>
      <c r="C1162" s="44" t="s">
        <v>2271</v>
      </c>
      <c r="D1162" s="1" t="s">
        <v>2360</v>
      </c>
      <c r="E1162" s="44" t="s">
        <v>2271</v>
      </c>
      <c r="F1162" s="38" t="s">
        <v>2361</v>
      </c>
      <c r="G1162" s="45">
        <v>4800</v>
      </c>
      <c r="H1162" s="45">
        <v>48</v>
      </c>
    </row>
    <row r="1163" spans="1:8">
      <c r="A1163" s="78">
        <v>131096730214</v>
      </c>
      <c r="B1163" s="1" t="s">
        <v>8</v>
      </c>
      <c r="C1163" s="44" t="s">
        <v>2271</v>
      </c>
      <c r="D1163" s="1" t="s">
        <v>2360</v>
      </c>
      <c r="E1163" s="44" t="s">
        <v>2271</v>
      </c>
      <c r="F1163" s="38" t="s">
        <v>2361</v>
      </c>
      <c r="G1163" s="45">
        <v>4800</v>
      </c>
      <c r="H1163" s="45">
        <v>48</v>
      </c>
    </row>
    <row r="1164" spans="1:8">
      <c r="A1164" s="78">
        <v>131096867212</v>
      </c>
      <c r="B1164" s="1" t="s">
        <v>8</v>
      </c>
      <c r="C1164" s="44" t="s">
        <v>2271</v>
      </c>
      <c r="D1164" s="1" t="s">
        <v>2360</v>
      </c>
      <c r="E1164" s="44" t="s">
        <v>2271</v>
      </c>
      <c r="F1164" s="38" t="s">
        <v>2361</v>
      </c>
      <c r="G1164" s="45">
        <v>4800</v>
      </c>
      <c r="H1164" s="45">
        <v>48</v>
      </c>
    </row>
    <row r="1165" spans="1:8">
      <c r="A1165" s="78">
        <v>130510711625</v>
      </c>
      <c r="B1165" s="1" t="s">
        <v>8</v>
      </c>
      <c r="C1165" s="44" t="s">
        <v>2271</v>
      </c>
      <c r="D1165" s="1" t="s">
        <v>2360</v>
      </c>
      <c r="E1165" s="44" t="s">
        <v>2271</v>
      </c>
      <c r="F1165" s="38" t="s">
        <v>2361</v>
      </c>
      <c r="G1165" s="45">
        <v>8600</v>
      </c>
      <c r="H1165" s="45">
        <v>86</v>
      </c>
    </row>
    <row r="1166" spans="1:8">
      <c r="A1166" s="78">
        <v>130510713801</v>
      </c>
      <c r="B1166" s="1" t="s">
        <v>8</v>
      </c>
      <c r="C1166" s="44" t="s">
        <v>2271</v>
      </c>
      <c r="D1166" s="1" t="s">
        <v>2360</v>
      </c>
      <c r="E1166" s="44" t="s">
        <v>2271</v>
      </c>
      <c r="F1166" s="38" t="s">
        <v>2361</v>
      </c>
      <c r="G1166" s="45">
        <v>4800</v>
      </c>
      <c r="H1166" s="45">
        <v>48</v>
      </c>
    </row>
    <row r="1167" spans="1:8">
      <c r="A1167" s="78">
        <v>130511115179</v>
      </c>
      <c r="B1167" s="1" t="s">
        <v>2055</v>
      </c>
      <c r="C1167" s="44" t="s">
        <v>2271</v>
      </c>
      <c r="D1167" s="1" t="s">
        <v>2360</v>
      </c>
      <c r="E1167" s="44" t="s">
        <v>2271</v>
      </c>
      <c r="F1167" s="38" t="s">
        <v>2361</v>
      </c>
      <c r="G1167" s="45">
        <v>15000</v>
      </c>
      <c r="H1167" s="45">
        <v>150</v>
      </c>
    </row>
    <row r="1168" spans="1:8">
      <c r="A1168" s="78">
        <v>131097846962</v>
      </c>
      <c r="B1168" s="1" t="s">
        <v>8</v>
      </c>
      <c r="C1168" s="44" t="s">
        <v>2271</v>
      </c>
      <c r="D1168" s="1" t="s">
        <v>2360</v>
      </c>
      <c r="E1168" s="44" t="s">
        <v>2271</v>
      </c>
      <c r="F1168" s="38" t="s">
        <v>2361</v>
      </c>
      <c r="G1168" s="45">
        <v>11000</v>
      </c>
      <c r="H1168" s="45">
        <v>110</v>
      </c>
    </row>
    <row r="1169" spans="1:8">
      <c r="A1169" s="78">
        <v>130511698427</v>
      </c>
      <c r="B1169" s="1" t="s">
        <v>8</v>
      </c>
      <c r="C1169" s="44" t="s">
        <v>2271</v>
      </c>
      <c r="D1169" s="1" t="s">
        <v>2360</v>
      </c>
      <c r="E1169" s="44" t="s">
        <v>2271</v>
      </c>
      <c r="F1169" s="38" t="s">
        <v>2361</v>
      </c>
      <c r="G1169" s="45">
        <v>17900</v>
      </c>
      <c r="H1169" s="45">
        <v>179</v>
      </c>
    </row>
    <row r="1170" spans="1:8">
      <c r="A1170" s="78">
        <v>131098312446</v>
      </c>
      <c r="B1170" s="1" t="s">
        <v>8</v>
      </c>
      <c r="C1170" s="44" t="s">
        <v>2271</v>
      </c>
      <c r="D1170" s="1" t="s">
        <v>2360</v>
      </c>
      <c r="E1170" s="44" t="s">
        <v>2271</v>
      </c>
      <c r="F1170" s="38" t="s">
        <v>2361</v>
      </c>
      <c r="G1170" s="45">
        <v>4500</v>
      </c>
      <c r="H1170" s="45">
        <v>45</v>
      </c>
    </row>
    <row r="1171" spans="1:8">
      <c r="A1171" s="78">
        <v>131098450400</v>
      </c>
      <c r="B1171" s="1" t="s">
        <v>2055</v>
      </c>
      <c r="C1171" s="44" t="s">
        <v>2271</v>
      </c>
      <c r="D1171" s="1" t="s">
        <v>2360</v>
      </c>
      <c r="E1171" s="44" t="s">
        <v>2271</v>
      </c>
      <c r="F1171" s="38" t="s">
        <v>2361</v>
      </c>
      <c r="G1171" s="45">
        <v>4800</v>
      </c>
      <c r="H1171" s="45">
        <v>48</v>
      </c>
    </row>
    <row r="1172" spans="1:8">
      <c r="A1172" s="78">
        <v>131098620974</v>
      </c>
      <c r="B1172" s="1" t="s">
        <v>8</v>
      </c>
      <c r="C1172" s="44" t="s">
        <v>2271</v>
      </c>
      <c r="D1172" s="1" t="s">
        <v>2360</v>
      </c>
      <c r="E1172" s="44" t="s">
        <v>2271</v>
      </c>
      <c r="F1172" s="38" t="s">
        <v>2361</v>
      </c>
      <c r="G1172" s="45">
        <v>4400</v>
      </c>
      <c r="H1172" s="45">
        <v>44</v>
      </c>
    </row>
    <row r="1173" spans="1:8">
      <c r="A1173" s="78">
        <v>131098699670</v>
      </c>
      <c r="B1173" s="1" t="s">
        <v>2055</v>
      </c>
      <c r="C1173" s="44" t="s">
        <v>2271</v>
      </c>
      <c r="D1173" s="1" t="s">
        <v>2360</v>
      </c>
      <c r="E1173" s="44" t="s">
        <v>2271</v>
      </c>
      <c r="F1173" s="38" t="s">
        <v>2361</v>
      </c>
      <c r="G1173" s="45">
        <v>4000</v>
      </c>
      <c r="H1173" s="45">
        <v>40</v>
      </c>
    </row>
    <row r="1174" spans="1:8">
      <c r="A1174" s="78">
        <v>130512338739</v>
      </c>
      <c r="B1174" s="1" t="s">
        <v>2055</v>
      </c>
      <c r="C1174" s="44" t="s">
        <v>2271</v>
      </c>
      <c r="D1174" s="1" t="s">
        <v>2360</v>
      </c>
      <c r="E1174" s="44" t="s">
        <v>2271</v>
      </c>
      <c r="F1174" s="38" t="s">
        <v>2361</v>
      </c>
      <c r="G1174" s="45">
        <v>96200</v>
      </c>
      <c r="H1174" s="45">
        <v>962</v>
      </c>
    </row>
    <row r="1175" spans="1:8">
      <c r="A1175" s="78">
        <v>130512335019</v>
      </c>
      <c r="B1175" s="1" t="s">
        <v>8</v>
      </c>
      <c r="C1175" s="44" t="s">
        <v>2271</v>
      </c>
      <c r="D1175" s="1" t="s">
        <v>2360</v>
      </c>
      <c r="E1175" s="44" t="s">
        <v>2271</v>
      </c>
      <c r="F1175" s="38" t="s">
        <v>2361</v>
      </c>
      <c r="G1175" s="45">
        <v>9100</v>
      </c>
      <c r="H1175" s="45">
        <v>91</v>
      </c>
    </row>
    <row r="1176" spans="1:8">
      <c r="A1176" s="78">
        <v>131098837484</v>
      </c>
      <c r="B1176" s="1" t="s">
        <v>8</v>
      </c>
      <c r="C1176" s="44" t="s">
        <v>2271</v>
      </c>
      <c r="D1176" s="1" t="s">
        <v>2360</v>
      </c>
      <c r="E1176" s="44" t="s">
        <v>2271</v>
      </c>
      <c r="F1176" s="38" t="s">
        <v>2361</v>
      </c>
      <c r="G1176" s="45">
        <v>15200</v>
      </c>
      <c r="H1176" s="45">
        <v>152</v>
      </c>
    </row>
    <row r="1177" spans="1:8">
      <c r="A1177" s="78">
        <v>130512724637</v>
      </c>
      <c r="B1177" s="1" t="s">
        <v>8</v>
      </c>
      <c r="C1177" s="44" t="s">
        <v>2271</v>
      </c>
      <c r="D1177" s="1" t="s">
        <v>2360</v>
      </c>
      <c r="E1177" s="44" t="s">
        <v>2271</v>
      </c>
      <c r="F1177" s="38" t="s">
        <v>2361</v>
      </c>
      <c r="G1177" s="45">
        <v>8800</v>
      </c>
      <c r="H1177" s="45">
        <v>88</v>
      </c>
    </row>
    <row r="1178" spans="1:8">
      <c r="A1178" s="78">
        <v>131099256710</v>
      </c>
      <c r="B1178" s="1" t="s">
        <v>8</v>
      </c>
      <c r="C1178" s="44" t="s">
        <v>2271</v>
      </c>
      <c r="D1178" s="1" t="s">
        <v>2360</v>
      </c>
      <c r="E1178" s="44" t="s">
        <v>2271</v>
      </c>
      <c r="F1178" s="38" t="s">
        <v>2361</v>
      </c>
      <c r="G1178" s="45">
        <v>2400</v>
      </c>
      <c r="H1178" s="45">
        <v>24</v>
      </c>
    </row>
    <row r="1179" spans="1:8">
      <c r="A1179" s="78">
        <v>131099538364</v>
      </c>
      <c r="B1179" s="1" t="s">
        <v>8</v>
      </c>
      <c r="C1179" s="44" t="s">
        <v>2271</v>
      </c>
      <c r="D1179" s="1" t="s">
        <v>2360</v>
      </c>
      <c r="E1179" s="44" t="s">
        <v>2271</v>
      </c>
      <c r="F1179" s="38" t="s">
        <v>2361</v>
      </c>
      <c r="G1179" s="45">
        <v>5500</v>
      </c>
      <c r="H1179" s="45">
        <v>55</v>
      </c>
    </row>
    <row r="1180" spans="1:8">
      <c r="A1180" s="78">
        <v>131099852998</v>
      </c>
      <c r="B1180" s="1" t="s">
        <v>8</v>
      </c>
      <c r="C1180" s="44" t="s">
        <v>2271</v>
      </c>
      <c r="D1180" s="1" t="s">
        <v>2360</v>
      </c>
      <c r="E1180" s="44" t="s">
        <v>2271</v>
      </c>
      <c r="F1180" s="38" t="s">
        <v>2361</v>
      </c>
      <c r="G1180" s="45">
        <v>12700</v>
      </c>
      <c r="H1180" s="45">
        <v>127</v>
      </c>
    </row>
    <row r="1181" spans="1:8">
      <c r="A1181" s="78">
        <v>131099953892</v>
      </c>
      <c r="B1181" s="1" t="s">
        <v>8</v>
      </c>
      <c r="C1181" s="44" t="s">
        <v>2271</v>
      </c>
      <c r="D1181" s="1" t="s">
        <v>2360</v>
      </c>
      <c r="E1181" s="44" t="s">
        <v>2271</v>
      </c>
      <c r="F1181" s="38" t="s">
        <v>2361</v>
      </c>
      <c r="G1181" s="45">
        <v>52800</v>
      </c>
      <c r="H1181" s="45">
        <v>528</v>
      </c>
    </row>
    <row r="1182" spans="1:8">
      <c r="A1182" s="78">
        <v>131188487220</v>
      </c>
      <c r="B1182" s="1" t="s">
        <v>2055</v>
      </c>
      <c r="C1182" s="44" t="s">
        <v>2271</v>
      </c>
      <c r="D1182" s="1" t="s">
        <v>2360</v>
      </c>
      <c r="E1182" s="44" t="s">
        <v>2271</v>
      </c>
      <c r="F1182" s="38" t="s">
        <v>2361</v>
      </c>
      <c r="G1182" s="45">
        <v>13600</v>
      </c>
      <c r="H1182" s="45">
        <v>136</v>
      </c>
    </row>
    <row r="1183" spans="1:8">
      <c r="A1183" s="78">
        <v>131204235834</v>
      </c>
      <c r="B1183" s="1" t="s">
        <v>8</v>
      </c>
      <c r="C1183" s="44" t="s">
        <v>2271</v>
      </c>
      <c r="D1183" s="1" t="s">
        <v>2360</v>
      </c>
      <c r="E1183" s="44" t="s">
        <v>2271</v>
      </c>
      <c r="F1183" s="38" t="s">
        <v>2361</v>
      </c>
      <c r="G1183" s="45">
        <v>9600</v>
      </c>
      <c r="H1183" s="45">
        <v>96</v>
      </c>
    </row>
    <row r="1184" spans="1:8">
      <c r="A1184" s="78">
        <v>131207745972</v>
      </c>
      <c r="B1184" s="1" t="s">
        <v>8</v>
      </c>
      <c r="C1184" s="44" t="s">
        <v>2271</v>
      </c>
      <c r="D1184" s="1" t="s">
        <v>2360</v>
      </c>
      <c r="E1184" s="44" t="s">
        <v>2271</v>
      </c>
      <c r="F1184" s="38" t="s">
        <v>2361</v>
      </c>
      <c r="G1184" s="45">
        <v>4800</v>
      </c>
      <c r="H1184" s="45">
        <v>48</v>
      </c>
    </row>
    <row r="1185" spans="1:8">
      <c r="A1185" s="78">
        <v>130624345861</v>
      </c>
      <c r="B1185" s="1" t="s">
        <v>2055</v>
      </c>
      <c r="C1185" s="44" t="s">
        <v>2271</v>
      </c>
      <c r="D1185" s="1" t="s">
        <v>2360</v>
      </c>
      <c r="E1185" s="44" t="s">
        <v>2271</v>
      </c>
      <c r="F1185" s="38" t="s">
        <v>2361</v>
      </c>
      <c r="G1185" s="45">
        <v>21400</v>
      </c>
      <c r="H1185" s="45">
        <v>214</v>
      </c>
    </row>
    <row r="1186" spans="1:8">
      <c r="A1186" s="78">
        <v>131212377844</v>
      </c>
      <c r="B1186" s="1" t="s">
        <v>8</v>
      </c>
      <c r="C1186" s="44" t="s">
        <v>2271</v>
      </c>
      <c r="D1186" s="1" t="s">
        <v>2360</v>
      </c>
      <c r="E1186" s="44" t="s">
        <v>2271</v>
      </c>
      <c r="F1186" s="38" t="s">
        <v>2361</v>
      </c>
      <c r="G1186" s="45">
        <v>42900</v>
      </c>
      <c r="H1186" s="45">
        <v>429</v>
      </c>
    </row>
    <row r="1187" spans="1:8">
      <c r="A1187" s="78">
        <v>130626395735</v>
      </c>
      <c r="B1187" s="1" t="s">
        <v>2055</v>
      </c>
      <c r="C1187" s="44" t="s">
        <v>2271</v>
      </c>
      <c r="D1187" s="1" t="s">
        <v>2360</v>
      </c>
      <c r="E1187" s="44" t="s">
        <v>2271</v>
      </c>
      <c r="F1187" s="38" t="s">
        <v>2361</v>
      </c>
      <c r="G1187" s="45">
        <v>94820</v>
      </c>
      <c r="H1187" s="45">
        <v>948.2</v>
      </c>
    </row>
    <row r="1188" spans="1:8">
      <c r="A1188" s="78">
        <v>130626570147</v>
      </c>
      <c r="B1188" s="1" t="s">
        <v>2055</v>
      </c>
      <c r="C1188" s="44" t="s">
        <v>2271</v>
      </c>
      <c r="D1188" s="1" t="s">
        <v>2360</v>
      </c>
      <c r="E1188" s="44" t="s">
        <v>2271</v>
      </c>
      <c r="F1188" s="38" t="s">
        <v>2361</v>
      </c>
      <c r="G1188" s="45">
        <v>4800</v>
      </c>
      <c r="H1188" s="45">
        <v>48</v>
      </c>
    </row>
    <row r="1189" spans="1:8">
      <c r="A1189" s="78">
        <v>131207941346</v>
      </c>
      <c r="B1189" s="1" t="s">
        <v>8</v>
      </c>
      <c r="C1189" s="44" t="s">
        <v>2271</v>
      </c>
      <c r="D1189" s="1" t="s">
        <v>2360</v>
      </c>
      <c r="E1189" s="44" t="s">
        <v>2271</v>
      </c>
      <c r="F1189" s="38" t="s">
        <v>2361</v>
      </c>
      <c r="G1189" s="45">
        <v>11700</v>
      </c>
      <c r="H1189" s="45">
        <v>117</v>
      </c>
    </row>
    <row r="1190" spans="1:8">
      <c r="A1190" s="78">
        <v>130623777749</v>
      </c>
      <c r="B1190" s="1" t="s">
        <v>8</v>
      </c>
      <c r="C1190" s="44" t="s">
        <v>2271</v>
      </c>
      <c r="D1190" s="1" t="s">
        <v>2360</v>
      </c>
      <c r="E1190" s="44" t="s">
        <v>2271</v>
      </c>
      <c r="F1190" s="38" t="s">
        <v>2361</v>
      </c>
      <c r="G1190" s="45">
        <v>9600</v>
      </c>
      <c r="H1190" s="45">
        <v>96</v>
      </c>
    </row>
    <row r="1191" spans="1:8">
      <c r="A1191" s="78">
        <v>130624176389</v>
      </c>
      <c r="B1191" s="1" t="s">
        <v>8</v>
      </c>
      <c r="C1191" s="44" t="s">
        <v>2271</v>
      </c>
      <c r="D1191" s="1" t="s">
        <v>2360</v>
      </c>
      <c r="E1191" s="44" t="s">
        <v>2271</v>
      </c>
      <c r="F1191" s="38" t="s">
        <v>2361</v>
      </c>
      <c r="G1191" s="45">
        <v>9600</v>
      </c>
      <c r="H1191" s="45">
        <v>96</v>
      </c>
    </row>
    <row r="1192" spans="1:8">
      <c r="A1192" s="78">
        <v>131222097832</v>
      </c>
      <c r="B1192" s="1" t="s">
        <v>2055</v>
      </c>
      <c r="C1192" s="44" t="s">
        <v>2271</v>
      </c>
      <c r="D1192" s="1" t="s">
        <v>2360</v>
      </c>
      <c r="E1192" s="44" t="s">
        <v>2271</v>
      </c>
      <c r="F1192" s="38" t="s">
        <v>2361</v>
      </c>
      <c r="G1192" s="45">
        <v>17900</v>
      </c>
      <c r="H1192" s="45">
        <v>179</v>
      </c>
    </row>
    <row r="1193" spans="1:8">
      <c r="A1193" s="78">
        <v>130635351707</v>
      </c>
      <c r="B1193" s="1" t="s">
        <v>2055</v>
      </c>
      <c r="C1193" s="44" t="s">
        <v>2271</v>
      </c>
      <c r="D1193" s="1" t="s">
        <v>2360</v>
      </c>
      <c r="E1193" s="44" t="s">
        <v>2271</v>
      </c>
      <c r="F1193" s="38" t="s">
        <v>2361</v>
      </c>
      <c r="G1193" s="45">
        <v>36800</v>
      </c>
      <c r="H1193" s="45">
        <v>368</v>
      </c>
    </row>
    <row r="1194" spans="1:8">
      <c r="A1194" s="78">
        <v>130635780689</v>
      </c>
      <c r="B1194" s="1" t="s">
        <v>8</v>
      </c>
      <c r="C1194" s="44" t="s">
        <v>2271</v>
      </c>
      <c r="D1194" s="1" t="s">
        <v>2360</v>
      </c>
      <c r="E1194" s="44" t="s">
        <v>2271</v>
      </c>
      <c r="F1194" s="38" t="s">
        <v>2361</v>
      </c>
      <c r="G1194" s="45">
        <v>4400</v>
      </c>
      <c r="H1194" s="45">
        <v>44</v>
      </c>
    </row>
    <row r="1195" spans="1:8">
      <c r="A1195" s="78">
        <v>131213004572</v>
      </c>
      <c r="B1195" s="1" t="s">
        <v>8</v>
      </c>
      <c r="C1195" s="44" t="s">
        <v>2271</v>
      </c>
      <c r="D1195" s="1" t="s">
        <v>2360</v>
      </c>
      <c r="E1195" s="44" t="s">
        <v>2271</v>
      </c>
      <c r="F1195" s="38" t="s">
        <v>2361</v>
      </c>
      <c r="G1195" s="45">
        <v>4800</v>
      </c>
      <c r="H1195" s="45">
        <v>48</v>
      </c>
    </row>
    <row r="1196" spans="1:8">
      <c r="A1196" s="78">
        <v>131224705868</v>
      </c>
      <c r="B1196" s="1" t="s">
        <v>2055</v>
      </c>
      <c r="C1196" s="44" t="s">
        <v>2271</v>
      </c>
      <c r="D1196" s="1" t="s">
        <v>2360</v>
      </c>
      <c r="E1196" s="44" t="s">
        <v>2282</v>
      </c>
      <c r="F1196" s="38" t="s">
        <v>2361</v>
      </c>
      <c r="G1196" s="45">
        <v>5200</v>
      </c>
      <c r="H1196" s="45">
        <v>52</v>
      </c>
    </row>
    <row r="1197" spans="1:8">
      <c r="A1197" s="78">
        <v>131215483074</v>
      </c>
      <c r="B1197" s="1" t="s">
        <v>8</v>
      </c>
      <c r="C1197" s="44" t="s">
        <v>2271</v>
      </c>
      <c r="D1197" s="1" t="s">
        <v>2360</v>
      </c>
      <c r="E1197" s="44" t="s">
        <v>2271</v>
      </c>
      <c r="F1197" s="38" t="s">
        <v>2361</v>
      </c>
      <c r="G1197" s="45">
        <v>9800</v>
      </c>
      <c r="H1197" s="45">
        <v>98</v>
      </c>
    </row>
    <row r="1198" spans="1:8">
      <c r="A1198" s="78">
        <v>130640359985</v>
      </c>
      <c r="B1198" s="1" t="s">
        <v>8</v>
      </c>
      <c r="C1198" s="44" t="s">
        <v>2282</v>
      </c>
      <c r="D1198" s="1" t="s">
        <v>2360</v>
      </c>
      <c r="E1198" s="44" t="s">
        <v>2282</v>
      </c>
      <c r="F1198" s="38" t="s">
        <v>2361</v>
      </c>
      <c r="G1198" s="45">
        <v>43500</v>
      </c>
      <c r="H1198" s="45">
        <v>435</v>
      </c>
    </row>
    <row r="1199" spans="1:8">
      <c r="A1199" s="78">
        <v>131229100860</v>
      </c>
      <c r="B1199" s="1" t="s">
        <v>2055</v>
      </c>
      <c r="C1199" s="44" t="s">
        <v>2282</v>
      </c>
      <c r="D1199" s="1" t="s">
        <v>2360</v>
      </c>
      <c r="E1199" s="44" t="s">
        <v>2282</v>
      </c>
      <c r="F1199" s="38" t="s">
        <v>2361</v>
      </c>
      <c r="G1199" s="45">
        <v>8600</v>
      </c>
      <c r="H1199" s="45">
        <v>86</v>
      </c>
    </row>
    <row r="1200" spans="1:8">
      <c r="A1200" s="78">
        <v>131229851002</v>
      </c>
      <c r="B1200" s="1" t="s">
        <v>8</v>
      </c>
      <c r="C1200" s="44" t="s">
        <v>2282</v>
      </c>
      <c r="D1200" s="1" t="s">
        <v>2360</v>
      </c>
      <c r="E1200" s="44" t="s">
        <v>2282</v>
      </c>
      <c r="F1200" s="38" t="s">
        <v>2361</v>
      </c>
      <c r="G1200" s="45">
        <v>47200</v>
      </c>
      <c r="H1200" s="45">
        <v>472</v>
      </c>
    </row>
    <row r="1201" spans="1:8">
      <c r="A1201" s="78">
        <v>130642807553</v>
      </c>
      <c r="B1201" s="1" t="s">
        <v>8</v>
      </c>
      <c r="C1201" s="44" t="s">
        <v>2282</v>
      </c>
      <c r="D1201" s="1" t="s">
        <v>2360</v>
      </c>
      <c r="E1201" s="44" t="s">
        <v>2282</v>
      </c>
      <c r="F1201" s="38" t="s">
        <v>2361</v>
      </c>
      <c r="G1201" s="45">
        <v>29100</v>
      </c>
      <c r="H1201" s="45">
        <v>291</v>
      </c>
    </row>
    <row r="1202" spans="1:8">
      <c r="A1202" s="78">
        <v>131220424334</v>
      </c>
      <c r="B1202" s="1" t="s">
        <v>8</v>
      </c>
      <c r="C1202" s="44" t="s">
        <v>2271</v>
      </c>
      <c r="D1202" s="1" t="s">
        <v>2360</v>
      </c>
      <c r="E1202" s="44" t="s">
        <v>2271</v>
      </c>
      <c r="F1202" s="38" t="s">
        <v>2361</v>
      </c>
      <c r="G1202" s="45">
        <v>9000</v>
      </c>
      <c r="H1202" s="45">
        <v>90</v>
      </c>
    </row>
    <row r="1203" spans="1:8">
      <c r="A1203" s="78">
        <v>131223611256</v>
      </c>
      <c r="B1203" s="1" t="s">
        <v>8</v>
      </c>
      <c r="C1203" s="44" t="s">
        <v>2271</v>
      </c>
      <c r="D1203" s="1" t="s">
        <v>2360</v>
      </c>
      <c r="E1203" s="44" t="s">
        <v>2282</v>
      </c>
      <c r="F1203" s="38" t="s">
        <v>2361</v>
      </c>
      <c r="G1203" s="45">
        <v>59900</v>
      </c>
      <c r="H1203" s="45">
        <v>599</v>
      </c>
    </row>
    <row r="1204" spans="1:8">
      <c r="A1204" s="78">
        <v>131224829468</v>
      </c>
      <c r="B1204" s="1" t="s">
        <v>8</v>
      </c>
      <c r="C1204" s="44" t="s">
        <v>2271</v>
      </c>
      <c r="D1204" s="1" t="s">
        <v>2360</v>
      </c>
      <c r="E1204" s="44" t="s">
        <v>2282</v>
      </c>
      <c r="F1204" s="38" t="s">
        <v>2361</v>
      </c>
      <c r="G1204" s="45">
        <v>101100</v>
      </c>
      <c r="H1204" s="45">
        <v>1011</v>
      </c>
    </row>
    <row r="1205" spans="1:8">
      <c r="A1205" s="78">
        <v>130637902867</v>
      </c>
      <c r="B1205" s="1" t="s">
        <v>8</v>
      </c>
      <c r="C1205" s="44" t="s">
        <v>2271</v>
      </c>
      <c r="D1205" s="1" t="s">
        <v>2360</v>
      </c>
      <c r="E1205" s="44" t="s">
        <v>2282</v>
      </c>
      <c r="F1205" s="38" t="s">
        <v>2361</v>
      </c>
      <c r="G1205" s="45">
        <v>9700</v>
      </c>
      <c r="H1205" s="45">
        <v>97</v>
      </c>
    </row>
    <row r="1206" spans="1:8">
      <c r="A1206" s="78">
        <v>130639275959</v>
      </c>
      <c r="B1206" s="1" t="s">
        <v>8</v>
      </c>
      <c r="C1206" s="44" t="s">
        <v>2271</v>
      </c>
      <c r="D1206" s="1" t="s">
        <v>2360</v>
      </c>
      <c r="E1206" s="44" t="s">
        <v>2282</v>
      </c>
      <c r="F1206" s="38" t="s">
        <v>2361</v>
      </c>
      <c r="G1206" s="45">
        <v>49600</v>
      </c>
      <c r="H1206" s="45">
        <v>496</v>
      </c>
    </row>
    <row r="1207" spans="1:8">
      <c r="A1207" s="78">
        <v>130640958813</v>
      </c>
      <c r="B1207" s="1" t="s">
        <v>8</v>
      </c>
      <c r="C1207" s="44" t="s">
        <v>2282</v>
      </c>
      <c r="D1207" s="1" t="s">
        <v>2360</v>
      </c>
      <c r="E1207" s="44" t="s">
        <v>2282</v>
      </c>
      <c r="F1207" s="38" t="s">
        <v>2361</v>
      </c>
      <c r="G1207" s="45">
        <v>49000</v>
      </c>
      <c r="H1207" s="45">
        <v>490</v>
      </c>
    </row>
    <row r="1208" spans="1:8">
      <c r="A1208" s="78">
        <v>130641673553</v>
      </c>
      <c r="B1208" s="1" t="s">
        <v>8</v>
      </c>
      <c r="C1208" s="44" t="s">
        <v>2282</v>
      </c>
      <c r="D1208" s="1" t="s">
        <v>2360</v>
      </c>
      <c r="E1208" s="44" t="s">
        <v>2282</v>
      </c>
      <c r="F1208" s="38" t="s">
        <v>2361</v>
      </c>
      <c r="G1208" s="45">
        <v>18200</v>
      </c>
      <c r="H1208" s="45">
        <v>182</v>
      </c>
    </row>
    <row r="1209" spans="1:8">
      <c r="A1209" s="78">
        <v>130642704973</v>
      </c>
      <c r="B1209" s="1" t="s">
        <v>8</v>
      </c>
      <c r="C1209" s="44" t="s">
        <v>2282</v>
      </c>
      <c r="D1209" s="1" t="s">
        <v>2360</v>
      </c>
      <c r="E1209" s="44" t="s">
        <v>2282</v>
      </c>
      <c r="F1209" s="38" t="s">
        <v>2361</v>
      </c>
      <c r="G1209" s="45">
        <v>19200</v>
      </c>
      <c r="H1209" s="45">
        <v>192</v>
      </c>
    </row>
    <row r="1210" spans="1:8">
      <c r="A1210" s="78">
        <v>130724478645</v>
      </c>
      <c r="B1210" s="1" t="s">
        <v>8</v>
      </c>
      <c r="C1210" s="44" t="s">
        <v>2282</v>
      </c>
      <c r="D1210" s="1" t="s">
        <v>2360</v>
      </c>
      <c r="E1210" s="44" t="s">
        <v>2282</v>
      </c>
      <c r="F1210" s="38" t="s">
        <v>2361</v>
      </c>
      <c r="G1210" s="45">
        <v>24200</v>
      </c>
      <c r="H1210" s="45">
        <v>242</v>
      </c>
    </row>
    <row r="1211" spans="1:8">
      <c r="A1211" s="78">
        <v>130725248729</v>
      </c>
      <c r="B1211" s="1" t="s">
        <v>8</v>
      </c>
      <c r="C1211" s="44" t="s">
        <v>2282</v>
      </c>
      <c r="D1211" s="1" t="s">
        <v>2360</v>
      </c>
      <c r="E1211" s="44" t="s">
        <v>2282</v>
      </c>
      <c r="F1211" s="38" t="s">
        <v>2361</v>
      </c>
      <c r="G1211" s="45">
        <v>14400</v>
      </c>
      <c r="H1211" s="45">
        <v>144</v>
      </c>
    </row>
    <row r="1212" spans="1:8">
      <c r="A1212" s="78">
        <v>131314622960</v>
      </c>
      <c r="B1212" s="1" t="s">
        <v>2055</v>
      </c>
      <c r="C1212" s="44" t="s">
        <v>2282</v>
      </c>
      <c r="D1212" s="1" t="s">
        <v>2360</v>
      </c>
      <c r="E1212" s="44" t="s">
        <v>2282</v>
      </c>
      <c r="F1212" s="38" t="s">
        <v>2361</v>
      </c>
      <c r="G1212" s="45">
        <v>19200</v>
      </c>
      <c r="H1212" s="45">
        <v>192</v>
      </c>
    </row>
    <row r="1213" spans="1:8">
      <c r="A1213" s="78">
        <v>130727892081</v>
      </c>
      <c r="B1213" s="1" t="s">
        <v>8</v>
      </c>
      <c r="C1213" s="44" t="s">
        <v>2282</v>
      </c>
      <c r="D1213" s="1" t="s">
        <v>2360</v>
      </c>
      <c r="E1213" s="44" t="s">
        <v>2282</v>
      </c>
      <c r="F1213" s="38" t="s">
        <v>2361</v>
      </c>
      <c r="G1213" s="45">
        <v>15400</v>
      </c>
      <c r="H1213" s="45">
        <v>154</v>
      </c>
    </row>
    <row r="1214" spans="1:8">
      <c r="A1214" s="78">
        <v>131315931076</v>
      </c>
      <c r="B1214" s="1" t="s">
        <v>2055</v>
      </c>
      <c r="C1214" s="44" t="s">
        <v>2282</v>
      </c>
      <c r="D1214" s="1" t="s">
        <v>2360</v>
      </c>
      <c r="E1214" s="44" t="s">
        <v>2282</v>
      </c>
      <c r="F1214" s="38" t="s">
        <v>2361</v>
      </c>
      <c r="G1214" s="45">
        <v>19200</v>
      </c>
      <c r="H1214" s="45">
        <v>192</v>
      </c>
    </row>
    <row r="1215" spans="1:8">
      <c r="A1215" s="78">
        <v>130728828519</v>
      </c>
      <c r="B1215" s="1" t="s">
        <v>8</v>
      </c>
      <c r="C1215" s="44" t="s">
        <v>2282</v>
      </c>
      <c r="D1215" s="1" t="s">
        <v>2360</v>
      </c>
      <c r="E1215" s="44" t="s">
        <v>2282</v>
      </c>
      <c r="F1215" s="38" t="s">
        <v>2361</v>
      </c>
      <c r="G1215" s="45">
        <v>8400</v>
      </c>
      <c r="H1215" s="45">
        <v>84</v>
      </c>
    </row>
    <row r="1216" spans="1:8">
      <c r="A1216" s="78">
        <v>131317335230</v>
      </c>
      <c r="B1216" s="1" t="s">
        <v>2055</v>
      </c>
      <c r="C1216" s="44" t="s">
        <v>2282</v>
      </c>
      <c r="D1216" s="1" t="s">
        <v>2360</v>
      </c>
      <c r="E1216" s="44" t="s">
        <v>2282</v>
      </c>
      <c r="F1216" s="38" t="s">
        <v>2361</v>
      </c>
      <c r="G1216" s="45">
        <v>8400</v>
      </c>
      <c r="H1216" s="45">
        <v>84</v>
      </c>
    </row>
    <row r="1217" spans="1:8">
      <c r="A1217" s="78">
        <v>130729893207</v>
      </c>
      <c r="B1217" s="1" t="s">
        <v>2055</v>
      </c>
      <c r="C1217" s="44" t="s">
        <v>2282</v>
      </c>
      <c r="D1217" s="1" t="s">
        <v>2360</v>
      </c>
      <c r="E1217" s="44" t="s">
        <v>2282</v>
      </c>
      <c r="F1217" s="38" t="s">
        <v>2361</v>
      </c>
      <c r="G1217" s="45">
        <v>36600</v>
      </c>
      <c r="H1217" s="45">
        <v>366</v>
      </c>
    </row>
    <row r="1218" spans="1:8">
      <c r="A1218" s="78">
        <v>131319128256</v>
      </c>
      <c r="B1218" s="1" t="s">
        <v>8</v>
      </c>
      <c r="C1218" s="44" t="s">
        <v>2282</v>
      </c>
      <c r="D1218" s="1" t="s">
        <v>2360</v>
      </c>
      <c r="E1218" s="44" t="s">
        <v>2282</v>
      </c>
      <c r="F1218" s="38" t="s">
        <v>2361</v>
      </c>
      <c r="G1218" s="45">
        <v>4900</v>
      </c>
      <c r="H1218" s="45">
        <v>49</v>
      </c>
    </row>
    <row r="1219" spans="1:8">
      <c r="A1219" s="78">
        <v>130719097737</v>
      </c>
      <c r="B1219" s="1" t="s">
        <v>8</v>
      </c>
      <c r="C1219" s="44" t="s">
        <v>2282</v>
      </c>
      <c r="D1219" s="1" t="s">
        <v>2360</v>
      </c>
      <c r="E1219" s="44" t="s">
        <v>2282</v>
      </c>
      <c r="F1219" s="38" t="s">
        <v>2361</v>
      </c>
      <c r="G1219" s="45">
        <v>4450</v>
      </c>
      <c r="H1219" s="45">
        <v>44.5</v>
      </c>
    </row>
    <row r="1220" spans="1:8">
      <c r="A1220" s="78">
        <v>130732522431</v>
      </c>
      <c r="B1220" s="1" t="s">
        <v>2055</v>
      </c>
      <c r="C1220" s="44" t="s">
        <v>2282</v>
      </c>
      <c r="D1220" s="1" t="s">
        <v>2360</v>
      </c>
      <c r="E1220" s="44" t="s">
        <v>2282</v>
      </c>
      <c r="F1220" s="38" t="s">
        <v>2361</v>
      </c>
      <c r="G1220" s="45">
        <v>26500</v>
      </c>
      <c r="H1220" s="45">
        <v>265</v>
      </c>
    </row>
    <row r="1221" spans="1:8">
      <c r="A1221" s="78">
        <v>130733187221</v>
      </c>
      <c r="B1221" s="1" t="s">
        <v>8</v>
      </c>
      <c r="C1221" s="44" t="s">
        <v>2282</v>
      </c>
      <c r="D1221" s="1" t="s">
        <v>2360</v>
      </c>
      <c r="E1221" s="44" t="s">
        <v>2282</v>
      </c>
      <c r="F1221" s="38" t="s">
        <v>2361</v>
      </c>
      <c r="G1221" s="45">
        <v>8800</v>
      </c>
      <c r="H1221" s="45">
        <v>88</v>
      </c>
    </row>
    <row r="1222" spans="1:8">
      <c r="A1222" s="78">
        <v>131323046338</v>
      </c>
      <c r="B1222" s="1" t="s">
        <v>2055</v>
      </c>
      <c r="C1222" s="44" t="s">
        <v>2282</v>
      </c>
      <c r="D1222" s="1" t="s">
        <v>2360</v>
      </c>
      <c r="E1222" s="44" t="s">
        <v>2282</v>
      </c>
      <c r="F1222" s="38" t="s">
        <v>2361</v>
      </c>
      <c r="G1222" s="45">
        <v>37100</v>
      </c>
      <c r="H1222" s="45">
        <v>371</v>
      </c>
    </row>
    <row r="1223" spans="1:8">
      <c r="A1223" s="78">
        <v>130735353251</v>
      </c>
      <c r="B1223" s="1" t="s">
        <v>2055</v>
      </c>
      <c r="C1223" s="44" t="s">
        <v>2282</v>
      </c>
      <c r="D1223" s="1" t="s">
        <v>2360</v>
      </c>
      <c r="E1223" s="44" t="s">
        <v>2282</v>
      </c>
      <c r="F1223" s="38" t="s">
        <v>2361</v>
      </c>
      <c r="G1223" s="45">
        <v>4600</v>
      </c>
      <c r="H1223" s="45">
        <v>46</v>
      </c>
    </row>
    <row r="1224" spans="1:8">
      <c r="A1224" s="78">
        <v>130725052849</v>
      </c>
      <c r="B1224" s="1" t="s">
        <v>8</v>
      </c>
      <c r="C1224" s="44" t="s">
        <v>2282</v>
      </c>
      <c r="D1224" s="1" t="s">
        <v>2360</v>
      </c>
      <c r="E1224" s="44" t="s">
        <v>2282</v>
      </c>
      <c r="F1224" s="38" t="s">
        <v>2361</v>
      </c>
      <c r="G1224" s="45">
        <v>11600</v>
      </c>
      <c r="H1224" s="45">
        <v>116</v>
      </c>
    </row>
    <row r="1225" spans="1:8">
      <c r="A1225" s="78">
        <v>130725213917</v>
      </c>
      <c r="B1225" s="1" t="s">
        <v>8</v>
      </c>
      <c r="C1225" s="44" t="s">
        <v>2282</v>
      </c>
      <c r="D1225" s="1" t="s">
        <v>2360</v>
      </c>
      <c r="E1225" s="44" t="s">
        <v>2282</v>
      </c>
      <c r="F1225" s="38" t="s">
        <v>2361</v>
      </c>
      <c r="G1225" s="45">
        <v>4900</v>
      </c>
      <c r="H1225" s="45">
        <v>49</v>
      </c>
    </row>
    <row r="1226" spans="1:8">
      <c r="A1226" s="78">
        <v>131316106848</v>
      </c>
      <c r="B1226" s="1" t="s">
        <v>8</v>
      </c>
      <c r="C1226" s="44" t="s">
        <v>2282</v>
      </c>
      <c r="D1226" s="1" t="s">
        <v>2360</v>
      </c>
      <c r="E1226" s="44" t="s">
        <v>2282</v>
      </c>
      <c r="F1226" s="38" t="s">
        <v>2361</v>
      </c>
      <c r="G1226" s="45">
        <v>4800</v>
      </c>
      <c r="H1226" s="45">
        <v>48</v>
      </c>
    </row>
    <row r="1227" spans="1:8">
      <c r="A1227" s="78">
        <v>131331474758</v>
      </c>
      <c r="B1227" s="1" t="s">
        <v>8</v>
      </c>
      <c r="C1227" s="44" t="s">
        <v>2282</v>
      </c>
      <c r="D1227" s="1" t="s">
        <v>2360</v>
      </c>
      <c r="E1227" s="44" t="s">
        <v>2282</v>
      </c>
      <c r="F1227" s="38" t="s">
        <v>2361</v>
      </c>
      <c r="G1227" s="45">
        <v>27400</v>
      </c>
      <c r="H1227" s="45">
        <v>274</v>
      </c>
    </row>
    <row r="1228" spans="1:8">
      <c r="A1228" s="78">
        <v>131333075890</v>
      </c>
      <c r="B1228" s="1" t="s">
        <v>8</v>
      </c>
      <c r="C1228" s="44" t="s">
        <v>2282</v>
      </c>
      <c r="D1228" s="1" t="s">
        <v>2360</v>
      </c>
      <c r="E1228" s="44" t="s">
        <v>2282</v>
      </c>
      <c r="F1228" s="38" t="s">
        <v>2361</v>
      </c>
      <c r="G1228" s="45">
        <v>44100</v>
      </c>
      <c r="H1228" s="45">
        <v>441</v>
      </c>
    </row>
    <row r="1229" spans="1:8">
      <c r="A1229" s="78">
        <v>131334393716</v>
      </c>
      <c r="B1229" s="1" t="s">
        <v>2055</v>
      </c>
      <c r="C1229" s="44" t="s">
        <v>2282</v>
      </c>
      <c r="D1229" s="1" t="s">
        <v>2360</v>
      </c>
      <c r="E1229" s="44" t="s">
        <v>2282</v>
      </c>
      <c r="F1229" s="38" t="s">
        <v>2361</v>
      </c>
      <c r="G1229" s="45">
        <v>49300</v>
      </c>
      <c r="H1229" s="45">
        <v>493</v>
      </c>
    </row>
    <row r="1230" spans="1:8">
      <c r="A1230" s="78">
        <v>130746971109</v>
      </c>
      <c r="B1230" s="1" t="s">
        <v>2055</v>
      </c>
      <c r="C1230" s="44" t="s">
        <v>2282</v>
      </c>
      <c r="D1230" s="1" t="s">
        <v>2360</v>
      </c>
      <c r="E1230" s="44" t="s">
        <v>2282</v>
      </c>
      <c r="F1230" s="38" t="s">
        <v>2361</v>
      </c>
      <c r="G1230" s="45">
        <v>47400</v>
      </c>
      <c r="H1230" s="45">
        <v>474</v>
      </c>
    </row>
    <row r="1231" spans="1:8">
      <c r="A1231" s="78">
        <v>131334827174</v>
      </c>
      <c r="B1231" s="1" t="s">
        <v>8</v>
      </c>
      <c r="C1231" s="44" t="s">
        <v>2282</v>
      </c>
      <c r="D1231" s="1" t="s">
        <v>2360</v>
      </c>
      <c r="E1231" s="44" t="s">
        <v>2290</v>
      </c>
      <c r="F1231" s="38" t="s">
        <v>2361</v>
      </c>
      <c r="G1231" s="45">
        <v>14400</v>
      </c>
      <c r="H1231" s="45">
        <v>144</v>
      </c>
    </row>
    <row r="1232" spans="1:8">
      <c r="A1232" s="78">
        <v>131335191102</v>
      </c>
      <c r="B1232" s="1" t="s">
        <v>8</v>
      </c>
      <c r="C1232" s="44" t="s">
        <v>2282</v>
      </c>
      <c r="D1232" s="1" t="s">
        <v>2360</v>
      </c>
      <c r="E1232" s="44" t="s">
        <v>2290</v>
      </c>
      <c r="F1232" s="38" t="s">
        <v>2361</v>
      </c>
      <c r="G1232" s="45">
        <v>45500</v>
      </c>
      <c r="H1232" s="45">
        <v>455</v>
      </c>
    </row>
    <row r="1233" spans="1:8">
      <c r="A1233" s="78">
        <v>131335286100</v>
      </c>
      <c r="B1233" s="1" t="s">
        <v>8</v>
      </c>
      <c r="C1233" s="44" t="s">
        <v>2282</v>
      </c>
      <c r="D1233" s="1" t="s">
        <v>2360</v>
      </c>
      <c r="E1233" s="44" t="s">
        <v>2290</v>
      </c>
      <c r="F1233" s="38" t="s">
        <v>2361</v>
      </c>
      <c r="G1233" s="45">
        <v>45800</v>
      </c>
      <c r="H1233" s="45">
        <v>458</v>
      </c>
    </row>
    <row r="1234" spans="1:8">
      <c r="A1234" s="78">
        <v>131322059578</v>
      </c>
      <c r="B1234" s="1" t="s">
        <v>2055</v>
      </c>
      <c r="C1234" s="44" t="s">
        <v>2282</v>
      </c>
      <c r="D1234" s="1" t="s">
        <v>2360</v>
      </c>
      <c r="E1234" s="44" t="s">
        <v>2282</v>
      </c>
      <c r="F1234" s="38" t="s">
        <v>2361</v>
      </c>
      <c r="G1234" s="45">
        <v>4800</v>
      </c>
      <c r="H1234" s="45">
        <v>48</v>
      </c>
    </row>
    <row r="1235" spans="1:8">
      <c r="A1235" s="78">
        <v>130735485837</v>
      </c>
      <c r="B1235" s="1" t="s">
        <v>8</v>
      </c>
      <c r="C1235" s="44" t="s">
        <v>2282</v>
      </c>
      <c r="D1235" s="1" t="s">
        <v>2360</v>
      </c>
      <c r="E1235" s="44" t="s">
        <v>2282</v>
      </c>
      <c r="F1235" s="38" t="s">
        <v>2361</v>
      </c>
      <c r="G1235" s="45">
        <v>11600</v>
      </c>
      <c r="H1235" s="45">
        <v>116</v>
      </c>
    </row>
    <row r="1236" spans="1:8">
      <c r="A1236" s="78">
        <v>131324787042</v>
      </c>
      <c r="B1236" s="1" t="s">
        <v>2055</v>
      </c>
      <c r="C1236" s="44" t="s">
        <v>2282</v>
      </c>
      <c r="D1236" s="1" t="s">
        <v>2360</v>
      </c>
      <c r="E1236" s="44" t="s">
        <v>2282</v>
      </c>
      <c r="F1236" s="38" t="s">
        <v>2361</v>
      </c>
      <c r="G1236" s="45">
        <v>96100</v>
      </c>
      <c r="H1236" s="45">
        <v>961</v>
      </c>
    </row>
    <row r="1237" spans="1:8">
      <c r="A1237" s="78">
        <v>131325048714</v>
      </c>
      <c r="B1237" s="1" t="s">
        <v>8</v>
      </c>
      <c r="C1237" s="44" t="s">
        <v>2282</v>
      </c>
      <c r="D1237" s="1" t="s">
        <v>2360</v>
      </c>
      <c r="E1237" s="44" t="s">
        <v>2282</v>
      </c>
      <c r="F1237" s="38" t="s">
        <v>2361</v>
      </c>
      <c r="G1237" s="45">
        <v>19400</v>
      </c>
      <c r="H1237" s="45">
        <v>194</v>
      </c>
    </row>
    <row r="1238" spans="1:8">
      <c r="A1238" s="78">
        <v>131325856646</v>
      </c>
      <c r="B1238" s="1" t="s">
        <v>8</v>
      </c>
      <c r="C1238" s="44" t="s">
        <v>2282</v>
      </c>
      <c r="D1238" s="1" t="s">
        <v>2360</v>
      </c>
      <c r="E1238" s="44" t="s">
        <v>2282</v>
      </c>
      <c r="F1238" s="38" t="s">
        <v>2361</v>
      </c>
      <c r="G1238" s="45">
        <v>38100</v>
      </c>
      <c r="H1238" s="45">
        <v>381</v>
      </c>
    </row>
    <row r="1239" spans="1:8">
      <c r="A1239" s="78">
        <v>131328664518</v>
      </c>
      <c r="B1239" s="1" t="s">
        <v>8</v>
      </c>
      <c r="C1239" s="44" t="s">
        <v>2282</v>
      </c>
      <c r="D1239" s="1" t="s">
        <v>2360</v>
      </c>
      <c r="E1239" s="44" t="s">
        <v>2282</v>
      </c>
      <c r="F1239" s="38" t="s">
        <v>2361</v>
      </c>
      <c r="G1239" s="45">
        <v>9600</v>
      </c>
      <c r="H1239" s="45">
        <v>96</v>
      </c>
    </row>
    <row r="1240" spans="1:8">
      <c r="A1240" s="78">
        <v>130741580317</v>
      </c>
      <c r="B1240" s="1" t="s">
        <v>8</v>
      </c>
      <c r="C1240" s="44" t="s">
        <v>2282</v>
      </c>
      <c r="D1240" s="1" t="s">
        <v>2360</v>
      </c>
      <c r="E1240" s="44" t="s">
        <v>2282</v>
      </c>
      <c r="F1240" s="38" t="s">
        <v>2361</v>
      </c>
      <c r="G1240" s="45">
        <v>83100</v>
      </c>
      <c r="H1240" s="45">
        <v>831</v>
      </c>
    </row>
    <row r="1241" spans="1:8">
      <c r="A1241" s="78">
        <v>130743027301</v>
      </c>
      <c r="B1241" s="1" t="s">
        <v>8</v>
      </c>
      <c r="C1241" s="44" t="s">
        <v>2282</v>
      </c>
      <c r="D1241" s="1" t="s">
        <v>2360</v>
      </c>
      <c r="E1241" s="44" t="s">
        <v>2282</v>
      </c>
      <c r="F1241" s="38" t="s">
        <v>2361</v>
      </c>
      <c r="G1241" s="45">
        <v>41200</v>
      </c>
      <c r="H1241" s="45">
        <v>412</v>
      </c>
    </row>
    <row r="1242" spans="1:8">
      <c r="A1242" s="78">
        <v>131330704286</v>
      </c>
      <c r="B1242" s="1" t="s">
        <v>8</v>
      </c>
      <c r="C1242" s="44" t="s">
        <v>2282</v>
      </c>
      <c r="D1242" s="1" t="s">
        <v>2360</v>
      </c>
      <c r="E1242" s="44" t="s">
        <v>2282</v>
      </c>
      <c r="F1242" s="38" t="s">
        <v>2361</v>
      </c>
      <c r="G1242" s="45">
        <v>38300</v>
      </c>
      <c r="H1242" s="45">
        <v>383</v>
      </c>
    </row>
    <row r="1243" spans="1:8">
      <c r="A1243" s="78">
        <v>131332537164</v>
      </c>
      <c r="B1243" s="1" t="s">
        <v>2055</v>
      </c>
      <c r="C1243" s="44" t="s">
        <v>2282</v>
      </c>
      <c r="D1243" s="1" t="s">
        <v>2360</v>
      </c>
      <c r="E1243" s="44" t="s">
        <v>2282</v>
      </c>
      <c r="F1243" s="38" t="s">
        <v>2361</v>
      </c>
      <c r="G1243" s="45">
        <v>33330</v>
      </c>
      <c r="H1243" s="45">
        <v>333.3</v>
      </c>
    </row>
    <row r="1244" spans="1:8">
      <c r="A1244" s="78">
        <v>131332603236</v>
      </c>
      <c r="B1244" s="1" t="s">
        <v>8</v>
      </c>
      <c r="C1244" s="44" t="s">
        <v>2282</v>
      </c>
      <c r="D1244" s="1" t="s">
        <v>2360</v>
      </c>
      <c r="E1244" s="44" t="s">
        <v>2282</v>
      </c>
      <c r="F1244" s="38" t="s">
        <v>2361</v>
      </c>
      <c r="G1244" s="45">
        <v>17600</v>
      </c>
      <c r="H1244" s="45">
        <v>176</v>
      </c>
    </row>
    <row r="1245" spans="1:8">
      <c r="A1245" s="78">
        <v>130745117635</v>
      </c>
      <c r="B1245" s="1" t="s">
        <v>8</v>
      </c>
      <c r="C1245" s="44" t="s">
        <v>2282</v>
      </c>
      <c r="D1245" s="1" t="s">
        <v>2360</v>
      </c>
      <c r="E1245" s="44" t="s">
        <v>2282</v>
      </c>
      <c r="F1245" s="38" t="s">
        <v>2361</v>
      </c>
      <c r="G1245" s="45">
        <v>38500</v>
      </c>
      <c r="H1245" s="45">
        <v>385</v>
      </c>
    </row>
    <row r="1246" spans="1:8">
      <c r="A1246" s="78">
        <v>130745183261</v>
      </c>
      <c r="B1246" s="1" t="s">
        <v>8</v>
      </c>
      <c r="C1246" s="44" t="s">
        <v>2282</v>
      </c>
      <c r="D1246" s="1" t="s">
        <v>2360</v>
      </c>
      <c r="E1246" s="44" t="s">
        <v>2282</v>
      </c>
      <c r="F1246" s="38" t="s">
        <v>2361</v>
      </c>
      <c r="G1246" s="45">
        <v>10300</v>
      </c>
      <c r="H1246" s="45">
        <v>103</v>
      </c>
    </row>
    <row r="1247" spans="1:8">
      <c r="A1247" s="78">
        <v>130745282565</v>
      </c>
      <c r="B1247" s="1" t="s">
        <v>2055</v>
      </c>
      <c r="C1247" s="44" t="s">
        <v>2282</v>
      </c>
      <c r="D1247" s="1" t="s">
        <v>2360</v>
      </c>
      <c r="E1247" s="44" t="s">
        <v>2282</v>
      </c>
      <c r="F1247" s="38" t="s">
        <v>2361</v>
      </c>
      <c r="G1247" s="45">
        <v>18700</v>
      </c>
      <c r="H1247" s="45">
        <v>187</v>
      </c>
    </row>
    <row r="1248" spans="1:8">
      <c r="A1248" s="78">
        <v>131334683124</v>
      </c>
      <c r="B1248" s="1" t="s">
        <v>8</v>
      </c>
      <c r="C1248" s="44" t="s">
        <v>2282</v>
      </c>
      <c r="D1248" s="1" t="s">
        <v>2360</v>
      </c>
      <c r="E1248" s="44" t="s">
        <v>2282</v>
      </c>
      <c r="F1248" s="38" t="s">
        <v>2361</v>
      </c>
      <c r="G1248" s="45">
        <v>39500</v>
      </c>
      <c r="H1248" s="45">
        <v>395</v>
      </c>
    </row>
    <row r="1249" spans="1:8">
      <c r="A1249" s="78">
        <v>131334970938</v>
      </c>
      <c r="B1249" s="1" t="s">
        <v>8</v>
      </c>
      <c r="C1249" s="44" t="s">
        <v>2282</v>
      </c>
      <c r="D1249" s="1" t="s">
        <v>2360</v>
      </c>
      <c r="E1249" s="44" t="s">
        <v>2290</v>
      </c>
      <c r="F1249" s="38" t="s">
        <v>2361</v>
      </c>
      <c r="G1249" s="45">
        <v>4200</v>
      </c>
      <c r="H1249" s="45">
        <v>42</v>
      </c>
    </row>
    <row r="1250" spans="1:8">
      <c r="A1250" s="78">
        <v>130747270087</v>
      </c>
      <c r="B1250" s="1" t="s">
        <v>8</v>
      </c>
      <c r="C1250" s="44" t="s">
        <v>2282</v>
      </c>
      <c r="D1250" s="1" t="s">
        <v>2360</v>
      </c>
      <c r="E1250" s="44" t="s">
        <v>2290</v>
      </c>
      <c r="F1250" s="38" t="s">
        <v>2361</v>
      </c>
      <c r="G1250" s="45">
        <v>49300</v>
      </c>
      <c r="H1250" s="45">
        <v>493</v>
      </c>
    </row>
    <row r="1251" spans="1:8">
      <c r="A1251" s="78">
        <v>130820163603</v>
      </c>
      <c r="B1251" s="1" t="s">
        <v>8</v>
      </c>
      <c r="C1251" s="44" t="s">
        <v>2290</v>
      </c>
      <c r="D1251" s="1" t="s">
        <v>2360</v>
      </c>
      <c r="E1251" s="44" t="s">
        <v>2290</v>
      </c>
      <c r="F1251" s="38" t="s">
        <v>2361</v>
      </c>
      <c r="G1251" s="45">
        <v>8800</v>
      </c>
      <c r="H1251" s="45">
        <v>88</v>
      </c>
    </row>
    <row r="1252" spans="1:8">
      <c r="A1252" s="78">
        <v>131408840112</v>
      </c>
      <c r="B1252" s="1" t="s">
        <v>8</v>
      </c>
      <c r="C1252" s="44" t="s">
        <v>2290</v>
      </c>
      <c r="D1252" s="1" t="s">
        <v>2360</v>
      </c>
      <c r="E1252" s="44" t="s">
        <v>2290</v>
      </c>
      <c r="F1252" s="38" t="s">
        <v>2361</v>
      </c>
      <c r="G1252" s="45">
        <v>8800</v>
      </c>
      <c r="H1252" s="45">
        <v>88</v>
      </c>
    </row>
    <row r="1253" spans="1:8">
      <c r="A1253" s="78">
        <v>130822112395</v>
      </c>
      <c r="B1253" s="1" t="s">
        <v>8</v>
      </c>
      <c r="C1253" s="44" t="s">
        <v>2290</v>
      </c>
      <c r="D1253" s="1" t="s">
        <v>2360</v>
      </c>
      <c r="E1253" s="44" t="s">
        <v>2290</v>
      </c>
      <c r="F1253" s="38" t="s">
        <v>2361</v>
      </c>
      <c r="G1253" s="45">
        <v>4800</v>
      </c>
      <c r="H1253" s="45">
        <v>48</v>
      </c>
    </row>
    <row r="1254" spans="1:8">
      <c r="A1254" s="78">
        <v>130822354383</v>
      </c>
      <c r="B1254" s="1" t="s">
        <v>8</v>
      </c>
      <c r="C1254" s="44" t="s">
        <v>2290</v>
      </c>
      <c r="D1254" s="1" t="s">
        <v>2360</v>
      </c>
      <c r="E1254" s="44" t="s">
        <v>2290</v>
      </c>
      <c r="F1254" s="38" t="s">
        <v>2361</v>
      </c>
      <c r="G1254" s="45">
        <v>4900</v>
      </c>
      <c r="H1254" s="45">
        <v>49</v>
      </c>
    </row>
    <row r="1255" spans="1:8">
      <c r="A1255" s="78">
        <v>131410397354</v>
      </c>
      <c r="B1255" s="1" t="s">
        <v>8</v>
      </c>
      <c r="C1255" s="44" t="s">
        <v>2290</v>
      </c>
      <c r="D1255" s="1" t="s">
        <v>2360</v>
      </c>
      <c r="E1255" s="44" t="s">
        <v>2290</v>
      </c>
      <c r="F1255" s="38" t="s">
        <v>2361</v>
      </c>
      <c r="G1255" s="45">
        <v>27050</v>
      </c>
      <c r="H1255" s="45">
        <v>270.5</v>
      </c>
    </row>
    <row r="1256" spans="1:8">
      <c r="A1256" s="78">
        <v>131411820276</v>
      </c>
      <c r="B1256" s="1" t="s">
        <v>8</v>
      </c>
      <c r="C1256" s="44" t="s">
        <v>2290</v>
      </c>
      <c r="D1256" s="1" t="s">
        <v>2360</v>
      </c>
      <c r="E1256" s="44" t="s">
        <v>2290</v>
      </c>
      <c r="F1256" s="38" t="s">
        <v>2361</v>
      </c>
      <c r="G1256" s="45">
        <v>27900</v>
      </c>
      <c r="H1256" s="45">
        <v>279</v>
      </c>
    </row>
    <row r="1257" spans="1:8">
      <c r="A1257" s="78">
        <v>131412096670</v>
      </c>
      <c r="B1257" s="1" t="s">
        <v>8</v>
      </c>
      <c r="C1257" s="44" t="s">
        <v>2290</v>
      </c>
      <c r="D1257" s="1" t="s">
        <v>2360</v>
      </c>
      <c r="E1257" s="44" t="s">
        <v>2290</v>
      </c>
      <c r="F1257" s="38" t="s">
        <v>2361</v>
      </c>
      <c r="G1257" s="45">
        <v>14500</v>
      </c>
      <c r="H1257" s="45">
        <v>145</v>
      </c>
    </row>
    <row r="1258" spans="1:8">
      <c r="A1258" s="78">
        <v>130824828049</v>
      </c>
      <c r="B1258" s="1" t="s">
        <v>2055</v>
      </c>
      <c r="C1258" s="44" t="s">
        <v>2290</v>
      </c>
      <c r="D1258" s="1" t="s">
        <v>2360</v>
      </c>
      <c r="E1258" s="44" t="s">
        <v>2290</v>
      </c>
      <c r="F1258" s="38" t="s">
        <v>2361</v>
      </c>
      <c r="G1258" s="45">
        <v>63000</v>
      </c>
      <c r="H1258" s="45">
        <v>630</v>
      </c>
    </row>
    <row r="1259" spans="1:8">
      <c r="A1259" s="78">
        <v>131414928320</v>
      </c>
      <c r="B1259" s="1" t="s">
        <v>2055</v>
      </c>
      <c r="C1259" s="44" t="s">
        <v>2290</v>
      </c>
      <c r="D1259" s="1" t="s">
        <v>2360</v>
      </c>
      <c r="E1259" s="44" t="s">
        <v>2290</v>
      </c>
      <c r="F1259" s="38" t="s">
        <v>2361</v>
      </c>
      <c r="G1259" s="45">
        <v>18800</v>
      </c>
      <c r="H1259" s="45">
        <v>188</v>
      </c>
    </row>
    <row r="1260" spans="1:8">
      <c r="A1260" s="78">
        <v>131415773332</v>
      </c>
      <c r="B1260" s="1" t="s">
        <v>8</v>
      </c>
      <c r="C1260" s="44" t="s">
        <v>2290</v>
      </c>
      <c r="D1260" s="1" t="s">
        <v>2360</v>
      </c>
      <c r="E1260" s="44" t="s">
        <v>2290</v>
      </c>
      <c r="F1260" s="38" t="s">
        <v>2361</v>
      </c>
      <c r="G1260" s="45">
        <v>36900</v>
      </c>
      <c r="H1260" s="45">
        <v>369</v>
      </c>
    </row>
    <row r="1261" spans="1:8">
      <c r="A1261" s="78">
        <v>131419481488</v>
      </c>
      <c r="B1261" s="1" t="s">
        <v>2055</v>
      </c>
      <c r="C1261" s="44" t="s">
        <v>2290</v>
      </c>
      <c r="D1261" s="1" t="s">
        <v>2360</v>
      </c>
      <c r="E1261" s="44" t="s">
        <v>2290</v>
      </c>
      <c r="F1261" s="38" t="s">
        <v>2361</v>
      </c>
      <c r="G1261" s="45">
        <v>49000</v>
      </c>
      <c r="H1261" s="45">
        <v>490</v>
      </c>
    </row>
    <row r="1262" spans="1:8">
      <c r="A1262" s="78">
        <v>131406329738</v>
      </c>
      <c r="B1262" s="1" t="s">
        <v>8</v>
      </c>
      <c r="C1262" s="44" t="s">
        <v>2290</v>
      </c>
      <c r="D1262" s="1" t="s">
        <v>2360</v>
      </c>
      <c r="E1262" s="44" t="s">
        <v>2290</v>
      </c>
      <c r="F1262" s="38" t="s">
        <v>2361</v>
      </c>
      <c r="G1262" s="45">
        <v>6000</v>
      </c>
      <c r="H1262" s="45">
        <v>60</v>
      </c>
    </row>
    <row r="1263" spans="1:8">
      <c r="A1263" s="78">
        <v>131420714572</v>
      </c>
      <c r="B1263" s="1" t="s">
        <v>8</v>
      </c>
      <c r="C1263" s="44" t="s">
        <v>2290</v>
      </c>
      <c r="D1263" s="1" t="s">
        <v>2360</v>
      </c>
      <c r="E1263" s="44" t="s">
        <v>2290</v>
      </c>
      <c r="F1263" s="38" t="s">
        <v>2361</v>
      </c>
      <c r="G1263" s="45">
        <v>30700</v>
      </c>
      <c r="H1263" s="45">
        <v>307</v>
      </c>
    </row>
    <row r="1264" spans="1:8">
      <c r="A1264" s="78">
        <v>130819415363</v>
      </c>
      <c r="B1264" s="1" t="s">
        <v>2055</v>
      </c>
      <c r="C1264" s="44" t="s">
        <v>2290</v>
      </c>
      <c r="D1264" s="1" t="s">
        <v>2360</v>
      </c>
      <c r="E1264" s="44" t="s">
        <v>2290</v>
      </c>
      <c r="F1264" s="38" t="s">
        <v>2361</v>
      </c>
      <c r="G1264" s="45">
        <v>12400</v>
      </c>
      <c r="H1264" s="45">
        <v>124</v>
      </c>
    </row>
    <row r="1265" spans="1:8">
      <c r="A1265" s="78">
        <v>131420822362</v>
      </c>
      <c r="B1265" s="1" t="s">
        <v>2055</v>
      </c>
      <c r="C1265" s="44" t="s">
        <v>2290</v>
      </c>
      <c r="D1265" s="1" t="s">
        <v>2360</v>
      </c>
      <c r="E1265" s="44" t="s">
        <v>2290</v>
      </c>
      <c r="F1265" s="38" t="s">
        <v>2361</v>
      </c>
      <c r="G1265" s="45">
        <v>15100</v>
      </c>
      <c r="H1265" s="45">
        <v>151</v>
      </c>
    </row>
    <row r="1266" spans="1:8">
      <c r="A1266" s="78">
        <v>131422078742</v>
      </c>
      <c r="B1266" s="1" t="s">
        <v>8</v>
      </c>
      <c r="C1266" s="44" t="s">
        <v>2290</v>
      </c>
      <c r="D1266" s="1" t="s">
        <v>2360</v>
      </c>
      <c r="E1266" s="44" t="s">
        <v>2295</v>
      </c>
      <c r="F1266" s="38" t="s">
        <v>2361</v>
      </c>
      <c r="G1266" s="45">
        <v>75200</v>
      </c>
      <c r="H1266" s="45">
        <v>752</v>
      </c>
    </row>
    <row r="1267" spans="1:8">
      <c r="A1267" s="78">
        <v>131422130626</v>
      </c>
      <c r="B1267" s="1" t="s">
        <v>2055</v>
      </c>
      <c r="C1267" s="44" t="s">
        <v>2290</v>
      </c>
      <c r="D1267" s="1" t="s">
        <v>2360</v>
      </c>
      <c r="E1267" s="44" t="s">
        <v>2295</v>
      </c>
      <c r="F1267" s="38" t="s">
        <v>2361</v>
      </c>
      <c r="G1267" s="45">
        <v>50500</v>
      </c>
      <c r="H1267" s="45">
        <v>505</v>
      </c>
    </row>
    <row r="1268" spans="1:8">
      <c r="A1268" s="78">
        <v>131409048748</v>
      </c>
      <c r="B1268" s="1" t="s">
        <v>8</v>
      </c>
      <c r="C1268" s="44" t="s">
        <v>2290</v>
      </c>
      <c r="D1268" s="1" t="s">
        <v>2360</v>
      </c>
      <c r="E1268" s="44" t="s">
        <v>2290</v>
      </c>
      <c r="F1268" s="38" t="s">
        <v>2361</v>
      </c>
      <c r="G1268" s="45">
        <v>33800</v>
      </c>
      <c r="H1268" s="45">
        <v>338</v>
      </c>
    </row>
    <row r="1269" spans="1:8">
      <c r="A1269" s="78">
        <v>130835123143</v>
      </c>
      <c r="B1269" s="1" t="s">
        <v>8</v>
      </c>
      <c r="C1269" s="44" t="s">
        <v>2290</v>
      </c>
      <c r="D1269" s="1" t="s">
        <v>2360</v>
      </c>
      <c r="E1269" s="44" t="s">
        <v>2295</v>
      </c>
      <c r="F1269" s="38" t="s">
        <v>2361</v>
      </c>
      <c r="G1269" s="45">
        <v>4200</v>
      </c>
      <c r="H1269" s="45">
        <v>42</v>
      </c>
    </row>
    <row r="1270" spans="1:8">
      <c r="A1270" s="78">
        <v>130836071205</v>
      </c>
      <c r="B1270" s="1" t="s">
        <v>8</v>
      </c>
      <c r="C1270" s="44" t="s">
        <v>2295</v>
      </c>
      <c r="D1270" s="1" t="s">
        <v>2360</v>
      </c>
      <c r="E1270" s="44" t="s">
        <v>2295</v>
      </c>
      <c r="F1270" s="38" t="s">
        <v>2361</v>
      </c>
      <c r="G1270" s="45">
        <v>9600</v>
      </c>
      <c r="H1270" s="45">
        <v>96</v>
      </c>
    </row>
    <row r="1271" spans="1:8">
      <c r="A1271" s="78">
        <v>131424102768</v>
      </c>
      <c r="B1271" s="1" t="s">
        <v>8</v>
      </c>
      <c r="C1271" s="44" t="s">
        <v>2295</v>
      </c>
      <c r="D1271" s="1" t="s">
        <v>2360</v>
      </c>
      <c r="E1271" s="44" t="s">
        <v>2295</v>
      </c>
      <c r="F1271" s="38" t="s">
        <v>2361</v>
      </c>
      <c r="G1271" s="45">
        <v>93300</v>
      </c>
      <c r="H1271" s="45">
        <v>933</v>
      </c>
    </row>
    <row r="1272" spans="1:8">
      <c r="A1272" s="78">
        <v>130824133399</v>
      </c>
      <c r="B1272" s="1" t="s">
        <v>2055</v>
      </c>
      <c r="C1272" s="44" t="s">
        <v>2290</v>
      </c>
      <c r="D1272" s="1" t="s">
        <v>2360</v>
      </c>
      <c r="E1272" s="44" t="s">
        <v>2290</v>
      </c>
      <c r="F1272" s="38" t="s">
        <v>2361</v>
      </c>
      <c r="G1272" s="45">
        <v>16400</v>
      </c>
      <c r="H1272" s="45">
        <v>164</v>
      </c>
    </row>
    <row r="1273" spans="1:8">
      <c r="A1273" s="78">
        <v>130824222455</v>
      </c>
      <c r="B1273" s="1" t="s">
        <v>2055</v>
      </c>
      <c r="C1273" s="44" t="s">
        <v>2290</v>
      </c>
      <c r="D1273" s="1" t="s">
        <v>2360</v>
      </c>
      <c r="E1273" s="44" t="s">
        <v>2290</v>
      </c>
      <c r="F1273" s="38" t="s">
        <v>2361</v>
      </c>
      <c r="G1273" s="45">
        <v>65500</v>
      </c>
      <c r="H1273" s="45">
        <v>655</v>
      </c>
    </row>
    <row r="1274" spans="1:8">
      <c r="A1274" s="78">
        <v>131425827694</v>
      </c>
      <c r="B1274" s="1" t="s">
        <v>8</v>
      </c>
      <c r="C1274" s="44" t="s">
        <v>2295</v>
      </c>
      <c r="D1274" s="1" t="s">
        <v>2360</v>
      </c>
      <c r="E1274" s="44" t="s">
        <v>2295</v>
      </c>
      <c r="F1274" s="38" t="s">
        <v>2361</v>
      </c>
      <c r="G1274" s="45">
        <v>20000</v>
      </c>
      <c r="H1274" s="45">
        <v>200</v>
      </c>
    </row>
    <row r="1275" spans="1:8">
      <c r="A1275" s="78">
        <v>130826569483</v>
      </c>
      <c r="B1275" s="1" t="s">
        <v>8</v>
      </c>
      <c r="C1275" s="44" t="s">
        <v>2290</v>
      </c>
      <c r="D1275" s="1" t="s">
        <v>2360</v>
      </c>
      <c r="E1275" s="44" t="s">
        <v>2290</v>
      </c>
      <c r="F1275" s="38" t="s">
        <v>2361</v>
      </c>
      <c r="G1275" s="45">
        <v>82500</v>
      </c>
      <c r="H1275" s="45">
        <v>825</v>
      </c>
    </row>
    <row r="1276" spans="1:8">
      <c r="A1276" s="78">
        <v>130837987485</v>
      </c>
      <c r="B1276" s="1" t="s">
        <v>2055</v>
      </c>
      <c r="C1276" s="44" t="s">
        <v>2295</v>
      </c>
      <c r="D1276" s="1" t="s">
        <v>2360</v>
      </c>
      <c r="E1276" s="44" t="s">
        <v>2295</v>
      </c>
      <c r="F1276" s="38" t="s">
        <v>2361</v>
      </c>
      <c r="G1276" s="45">
        <v>17400</v>
      </c>
      <c r="H1276" s="45">
        <v>174</v>
      </c>
    </row>
    <row r="1277" spans="1:8">
      <c r="A1277" s="78">
        <v>130826888049</v>
      </c>
      <c r="B1277" s="1" t="s">
        <v>8</v>
      </c>
      <c r="C1277" s="44" t="s">
        <v>2290</v>
      </c>
      <c r="D1277" s="1" t="s">
        <v>2360</v>
      </c>
      <c r="E1277" s="44" t="s">
        <v>2290</v>
      </c>
      <c r="F1277" s="38" t="s">
        <v>2361</v>
      </c>
      <c r="G1277" s="45">
        <v>33400</v>
      </c>
      <c r="H1277" s="45">
        <v>334</v>
      </c>
    </row>
    <row r="1278" spans="1:8">
      <c r="A1278" s="78">
        <v>131415465152</v>
      </c>
      <c r="B1278" s="1" t="s">
        <v>8</v>
      </c>
      <c r="C1278" s="44" t="s">
        <v>2290</v>
      </c>
      <c r="D1278" s="1" t="s">
        <v>2360</v>
      </c>
      <c r="E1278" s="44" t="s">
        <v>2290</v>
      </c>
      <c r="F1278" s="38" t="s">
        <v>2361</v>
      </c>
      <c r="G1278" s="45">
        <v>13400</v>
      </c>
      <c r="H1278" s="45">
        <v>134</v>
      </c>
    </row>
    <row r="1279" spans="1:8">
      <c r="A1279" s="78">
        <v>131416326220</v>
      </c>
      <c r="B1279" s="1" t="s">
        <v>8</v>
      </c>
      <c r="C1279" s="44" t="s">
        <v>2290</v>
      </c>
      <c r="D1279" s="1" t="s">
        <v>2360</v>
      </c>
      <c r="E1279" s="44" t="s">
        <v>2290</v>
      </c>
      <c r="F1279" s="38" t="s">
        <v>2361</v>
      </c>
      <c r="G1279" s="45">
        <v>66400</v>
      </c>
      <c r="H1279" s="45">
        <v>664</v>
      </c>
    </row>
    <row r="1280" spans="1:8">
      <c r="A1280" s="78">
        <v>130829133981</v>
      </c>
      <c r="B1280" s="1" t="s">
        <v>8</v>
      </c>
      <c r="C1280" s="44" t="s">
        <v>2290</v>
      </c>
      <c r="D1280" s="1" t="s">
        <v>2360</v>
      </c>
      <c r="E1280" s="44" t="s">
        <v>2290</v>
      </c>
      <c r="F1280" s="38" t="s">
        <v>2361</v>
      </c>
      <c r="G1280" s="45">
        <v>99000</v>
      </c>
      <c r="H1280" s="45">
        <v>990</v>
      </c>
    </row>
    <row r="1281" spans="1:8">
      <c r="A1281" s="78">
        <v>131417185922</v>
      </c>
      <c r="B1281" s="1" t="s">
        <v>8</v>
      </c>
      <c r="C1281" s="44" t="s">
        <v>2290</v>
      </c>
      <c r="D1281" s="1" t="s">
        <v>2360</v>
      </c>
      <c r="E1281" s="44" t="s">
        <v>2290</v>
      </c>
      <c r="F1281" s="38" t="s">
        <v>2361</v>
      </c>
      <c r="G1281" s="45">
        <v>67200</v>
      </c>
      <c r="H1281" s="45">
        <v>672</v>
      </c>
    </row>
    <row r="1282" spans="1:8">
      <c r="A1282" s="78">
        <v>131417419112</v>
      </c>
      <c r="B1282" s="1" t="s">
        <v>8</v>
      </c>
      <c r="C1282" s="44" t="s">
        <v>2290</v>
      </c>
      <c r="D1282" s="1" t="s">
        <v>2360</v>
      </c>
      <c r="E1282" s="44" t="s">
        <v>2290</v>
      </c>
      <c r="F1282" s="38" t="s">
        <v>2361</v>
      </c>
      <c r="G1282" s="45">
        <v>78000</v>
      </c>
      <c r="H1282" s="45">
        <v>780</v>
      </c>
    </row>
    <row r="1283" spans="1:8">
      <c r="A1283" s="78">
        <v>130829609829</v>
      </c>
      <c r="B1283" s="1" t="s">
        <v>8</v>
      </c>
      <c r="C1283" s="44" t="s">
        <v>2290</v>
      </c>
      <c r="D1283" s="1" t="s">
        <v>2360</v>
      </c>
      <c r="E1283" s="44" t="s">
        <v>2290</v>
      </c>
      <c r="F1283" s="38" t="s">
        <v>2361</v>
      </c>
      <c r="G1283" s="45">
        <v>25100</v>
      </c>
      <c r="H1283" s="45">
        <v>251</v>
      </c>
    </row>
    <row r="1284" spans="1:8">
      <c r="A1284" s="78">
        <v>130829896373</v>
      </c>
      <c r="B1284" s="1" t="s">
        <v>8</v>
      </c>
      <c r="C1284" s="44" t="s">
        <v>2290</v>
      </c>
      <c r="D1284" s="1" t="s">
        <v>2360</v>
      </c>
      <c r="E1284" s="44" t="s">
        <v>2290</v>
      </c>
      <c r="F1284" s="38" t="s">
        <v>2361</v>
      </c>
      <c r="G1284" s="45">
        <v>70200</v>
      </c>
      <c r="H1284" s="45">
        <v>702</v>
      </c>
    </row>
    <row r="1285" spans="1:8">
      <c r="A1285" s="78">
        <v>131418186586</v>
      </c>
      <c r="B1285" s="1" t="s">
        <v>8</v>
      </c>
      <c r="C1285" s="44" t="s">
        <v>2290</v>
      </c>
      <c r="D1285" s="1" t="s">
        <v>2360</v>
      </c>
      <c r="E1285" s="44" t="s">
        <v>2290</v>
      </c>
      <c r="F1285" s="38" t="s">
        <v>2361</v>
      </c>
      <c r="G1285" s="45">
        <v>39000</v>
      </c>
      <c r="H1285" s="45">
        <v>390</v>
      </c>
    </row>
    <row r="1286" spans="1:8">
      <c r="A1286" s="78">
        <v>130830174093</v>
      </c>
      <c r="B1286" s="1" t="s">
        <v>8</v>
      </c>
      <c r="C1286" s="44" t="s">
        <v>2290</v>
      </c>
      <c r="D1286" s="1" t="s">
        <v>2360</v>
      </c>
      <c r="E1286" s="44" t="s">
        <v>2290</v>
      </c>
      <c r="F1286" s="38" t="s">
        <v>2361</v>
      </c>
      <c r="G1286" s="45">
        <v>44600</v>
      </c>
      <c r="H1286" s="45">
        <v>446</v>
      </c>
    </row>
    <row r="1287" spans="1:8">
      <c r="A1287" s="78">
        <v>131419980308</v>
      </c>
      <c r="B1287" s="1" t="s">
        <v>8</v>
      </c>
      <c r="C1287" s="44" t="s">
        <v>2290</v>
      </c>
      <c r="D1287" s="1" t="s">
        <v>2360</v>
      </c>
      <c r="E1287" s="44" t="s">
        <v>2290</v>
      </c>
      <c r="F1287" s="38" t="s">
        <v>2361</v>
      </c>
      <c r="G1287" s="45">
        <v>40100</v>
      </c>
      <c r="H1287" s="45">
        <v>401</v>
      </c>
    </row>
    <row r="1288" spans="1:8">
      <c r="A1288" s="78">
        <v>131420014070</v>
      </c>
      <c r="B1288" s="1" t="s">
        <v>8</v>
      </c>
      <c r="C1288" s="44" t="s">
        <v>2290</v>
      </c>
      <c r="D1288" s="1" t="s">
        <v>2360</v>
      </c>
      <c r="E1288" s="44" t="s">
        <v>2290</v>
      </c>
      <c r="F1288" s="38" t="s">
        <v>2361</v>
      </c>
      <c r="G1288" s="45">
        <v>61400</v>
      </c>
      <c r="H1288" s="45">
        <v>614</v>
      </c>
    </row>
    <row r="1289" spans="1:8">
      <c r="A1289" s="78">
        <v>130832190117</v>
      </c>
      <c r="B1289" s="1" t="s">
        <v>8</v>
      </c>
      <c r="C1289" s="44" t="s">
        <v>2290</v>
      </c>
      <c r="D1289" s="1" t="s">
        <v>2360</v>
      </c>
      <c r="E1289" s="44" t="s">
        <v>2290</v>
      </c>
      <c r="F1289" s="38" t="s">
        <v>2361</v>
      </c>
      <c r="G1289" s="45">
        <v>29500</v>
      </c>
      <c r="H1289" s="45">
        <v>295</v>
      </c>
    </row>
    <row r="1290" spans="1:8">
      <c r="A1290" s="78">
        <v>131420396454</v>
      </c>
      <c r="B1290" s="1" t="s">
        <v>8</v>
      </c>
      <c r="C1290" s="44" t="s">
        <v>2290</v>
      </c>
      <c r="D1290" s="1" t="s">
        <v>2360</v>
      </c>
      <c r="E1290" s="44" t="s">
        <v>2290</v>
      </c>
      <c r="F1290" s="38" t="s">
        <v>2361</v>
      </c>
      <c r="G1290" s="45">
        <v>74400</v>
      </c>
      <c r="H1290" s="45">
        <v>744</v>
      </c>
    </row>
    <row r="1291" spans="1:8">
      <c r="A1291" s="78">
        <v>130832438629</v>
      </c>
      <c r="B1291" s="1" t="s">
        <v>8</v>
      </c>
      <c r="C1291" s="44" t="s">
        <v>2290</v>
      </c>
      <c r="D1291" s="1" t="s">
        <v>2360</v>
      </c>
      <c r="E1291" s="44" t="s">
        <v>2290</v>
      </c>
      <c r="F1291" s="38" t="s">
        <v>2361</v>
      </c>
      <c r="G1291" s="45">
        <v>34100</v>
      </c>
      <c r="H1291" s="45">
        <v>341</v>
      </c>
    </row>
    <row r="1292" spans="1:8">
      <c r="A1292" s="78">
        <v>130832886979</v>
      </c>
      <c r="B1292" s="1" t="s">
        <v>8</v>
      </c>
      <c r="C1292" s="44" t="s">
        <v>2290</v>
      </c>
      <c r="D1292" s="1" t="s">
        <v>2360</v>
      </c>
      <c r="E1292" s="44" t="s">
        <v>2290</v>
      </c>
      <c r="F1292" s="38" t="s">
        <v>2361</v>
      </c>
      <c r="G1292" s="45">
        <v>30600</v>
      </c>
      <c r="H1292" s="45">
        <v>306</v>
      </c>
    </row>
    <row r="1293" spans="1:8">
      <c r="A1293" s="78">
        <v>130833236173</v>
      </c>
      <c r="B1293" s="1" t="s">
        <v>8</v>
      </c>
      <c r="C1293" s="44" t="s">
        <v>2290</v>
      </c>
      <c r="D1293" s="1" t="s">
        <v>2360</v>
      </c>
      <c r="E1293" s="44" t="s">
        <v>2290</v>
      </c>
      <c r="F1293" s="38" t="s">
        <v>2361</v>
      </c>
      <c r="G1293" s="45">
        <v>36000</v>
      </c>
      <c r="H1293" s="45">
        <v>360</v>
      </c>
    </row>
    <row r="1294" spans="1:8">
      <c r="A1294" s="78">
        <v>131421083902</v>
      </c>
      <c r="B1294" s="1" t="s">
        <v>8</v>
      </c>
      <c r="C1294" s="44" t="s">
        <v>2290</v>
      </c>
      <c r="D1294" s="1" t="s">
        <v>2360</v>
      </c>
      <c r="E1294" s="44" t="s">
        <v>2295</v>
      </c>
      <c r="F1294" s="38" t="s">
        <v>2361</v>
      </c>
      <c r="G1294" s="45">
        <v>207800</v>
      </c>
      <c r="H1294" s="45">
        <v>2078</v>
      </c>
    </row>
    <row r="1295" spans="1:8">
      <c r="A1295" s="78">
        <v>130833658261</v>
      </c>
      <c r="B1295" s="1" t="s">
        <v>2055</v>
      </c>
      <c r="C1295" s="44" t="s">
        <v>2290</v>
      </c>
      <c r="D1295" s="1" t="s">
        <v>2360</v>
      </c>
      <c r="E1295" s="44" t="s">
        <v>2295</v>
      </c>
      <c r="F1295" s="38" t="s">
        <v>2361</v>
      </c>
      <c r="G1295" s="45">
        <v>43800</v>
      </c>
      <c r="H1295" s="45">
        <v>438</v>
      </c>
    </row>
    <row r="1296" spans="1:8">
      <c r="A1296" s="78">
        <v>130835214777</v>
      </c>
      <c r="B1296" s="1" t="s">
        <v>8</v>
      </c>
      <c r="C1296" s="44" t="s">
        <v>2290</v>
      </c>
      <c r="D1296" s="1" t="s">
        <v>2360</v>
      </c>
      <c r="E1296" s="44" t="s">
        <v>2295</v>
      </c>
      <c r="F1296" s="38" t="s">
        <v>2361</v>
      </c>
      <c r="G1296" s="45">
        <v>9400</v>
      </c>
      <c r="H1296" s="45">
        <v>94</v>
      </c>
    </row>
    <row r="1297" spans="1:8">
      <c r="A1297" s="78">
        <v>131423917348</v>
      </c>
      <c r="B1297" s="1" t="s">
        <v>8</v>
      </c>
      <c r="C1297" s="44" t="s">
        <v>2295</v>
      </c>
      <c r="D1297" s="1" t="s">
        <v>2360</v>
      </c>
      <c r="E1297" s="44" t="s">
        <v>2295</v>
      </c>
      <c r="F1297" s="38" t="s">
        <v>2361</v>
      </c>
      <c r="G1297" s="45">
        <v>28800</v>
      </c>
      <c r="H1297" s="45">
        <v>288</v>
      </c>
    </row>
    <row r="1298" spans="1:8">
      <c r="A1298" s="78">
        <v>131769417760</v>
      </c>
      <c r="B1298" s="1" t="s">
        <v>8</v>
      </c>
      <c r="C1298" s="44" t="s">
        <v>2303</v>
      </c>
      <c r="D1298" s="1" t="s">
        <v>2360</v>
      </c>
      <c r="E1298" s="44" t="s">
        <v>2303</v>
      </c>
      <c r="F1298" s="38" t="s">
        <v>2361</v>
      </c>
      <c r="G1298" s="45">
        <v>45800</v>
      </c>
      <c r="H1298" s="45">
        <v>458</v>
      </c>
    </row>
    <row r="1299" spans="1:8">
      <c r="A1299" s="78">
        <v>131772095336</v>
      </c>
      <c r="B1299" s="1" t="s">
        <v>8</v>
      </c>
      <c r="C1299" s="44" t="s">
        <v>2303</v>
      </c>
      <c r="D1299" s="1" t="s">
        <v>2360</v>
      </c>
      <c r="E1299" s="44" t="s">
        <v>2303</v>
      </c>
      <c r="F1299" s="38" t="s">
        <v>2361</v>
      </c>
      <c r="G1299" s="45">
        <v>11999</v>
      </c>
      <c r="H1299" s="45">
        <v>119.99</v>
      </c>
    </row>
    <row r="1300" spans="1:8">
      <c r="A1300" s="78">
        <v>131181171991</v>
      </c>
      <c r="B1300" s="1" t="s">
        <v>2055</v>
      </c>
      <c r="C1300" s="44" t="s">
        <v>2303</v>
      </c>
      <c r="D1300" s="1" t="s">
        <v>2360</v>
      </c>
      <c r="E1300" s="44" t="s">
        <v>2303</v>
      </c>
      <c r="F1300" s="38" t="s">
        <v>2361</v>
      </c>
      <c r="G1300" s="45">
        <v>36699</v>
      </c>
      <c r="H1300" s="45">
        <v>366.99</v>
      </c>
    </row>
    <row r="1301" spans="1:8">
      <c r="A1301" s="78">
        <v>131778003664</v>
      </c>
      <c r="B1301" s="1" t="s">
        <v>8</v>
      </c>
      <c r="C1301" s="44" t="s">
        <v>2303</v>
      </c>
      <c r="D1301" s="1" t="s">
        <v>2360</v>
      </c>
      <c r="E1301" s="44" t="s">
        <v>2303</v>
      </c>
      <c r="F1301" s="38" t="s">
        <v>2361</v>
      </c>
      <c r="G1301" s="45">
        <v>50300</v>
      </c>
      <c r="H1301" s="45">
        <v>503</v>
      </c>
    </row>
    <row r="1302" spans="1:8">
      <c r="A1302" s="78">
        <v>131778463862</v>
      </c>
      <c r="B1302" s="1" t="s">
        <v>8</v>
      </c>
      <c r="C1302" s="44" t="s">
        <v>2303</v>
      </c>
      <c r="D1302" s="1" t="s">
        <v>2360</v>
      </c>
      <c r="E1302" s="44" t="s">
        <v>2303</v>
      </c>
      <c r="F1302" s="38" t="s">
        <v>2361</v>
      </c>
      <c r="G1302" s="45">
        <v>35997</v>
      </c>
      <c r="H1302" s="45">
        <v>359.97</v>
      </c>
    </row>
    <row r="1303" spans="1:8">
      <c r="A1303" s="78">
        <v>131778914868</v>
      </c>
      <c r="B1303" s="1" t="s">
        <v>8</v>
      </c>
      <c r="C1303" s="44" t="s">
        <v>2303</v>
      </c>
      <c r="D1303" s="1" t="s">
        <v>2360</v>
      </c>
      <c r="E1303" s="44" t="s">
        <v>2303</v>
      </c>
      <c r="F1303" s="38" t="s">
        <v>2361</v>
      </c>
      <c r="G1303" s="45">
        <v>35997</v>
      </c>
      <c r="H1303" s="45">
        <v>359.97</v>
      </c>
    </row>
    <row r="1304" spans="1:8">
      <c r="A1304" s="78">
        <v>131781695512</v>
      </c>
      <c r="B1304" s="1" t="s">
        <v>2055</v>
      </c>
      <c r="C1304" s="44" t="s">
        <v>2303</v>
      </c>
      <c r="D1304" s="1" t="s">
        <v>2360</v>
      </c>
      <c r="E1304" s="44" t="s">
        <v>2303</v>
      </c>
      <c r="F1304" s="38" t="s">
        <v>2361</v>
      </c>
      <c r="G1304" s="45">
        <v>49800</v>
      </c>
      <c r="H1304" s="45">
        <v>498</v>
      </c>
    </row>
    <row r="1305" spans="1:8">
      <c r="A1305" s="78">
        <v>131786100454</v>
      </c>
      <c r="B1305" s="1" t="s">
        <v>8</v>
      </c>
      <c r="C1305" s="44" t="s">
        <v>2303</v>
      </c>
      <c r="D1305" s="1" t="s">
        <v>2360</v>
      </c>
      <c r="E1305" s="44" t="s">
        <v>2308</v>
      </c>
      <c r="F1305" s="38" t="s">
        <v>2361</v>
      </c>
      <c r="G1305" s="45">
        <v>23998</v>
      </c>
      <c r="H1305" s="45">
        <v>239.98</v>
      </c>
    </row>
    <row r="1306" spans="1:8">
      <c r="A1306" s="78">
        <v>131774856988</v>
      </c>
      <c r="B1306" s="1" t="s">
        <v>8</v>
      </c>
      <c r="C1306" s="44" t="s">
        <v>2303</v>
      </c>
      <c r="D1306" s="1" t="s">
        <v>2360</v>
      </c>
      <c r="E1306" s="44" t="s">
        <v>2303</v>
      </c>
      <c r="F1306" s="38" t="s">
        <v>2361</v>
      </c>
      <c r="G1306" s="45">
        <v>8400</v>
      </c>
      <c r="H1306" s="45">
        <v>84</v>
      </c>
    </row>
    <row r="1307" spans="1:8">
      <c r="A1307" s="78">
        <v>131789264688</v>
      </c>
      <c r="B1307" s="1" t="s">
        <v>2055</v>
      </c>
      <c r="C1307" s="44" t="s">
        <v>2308</v>
      </c>
      <c r="D1307" s="1" t="s">
        <v>2360</v>
      </c>
      <c r="E1307" s="44" t="s">
        <v>2308</v>
      </c>
      <c r="F1307" s="38" t="s">
        <v>2361</v>
      </c>
      <c r="G1307" s="45">
        <v>20600</v>
      </c>
      <c r="H1307" s="45">
        <v>206</v>
      </c>
    </row>
    <row r="1308" spans="1:8">
      <c r="A1308" s="78">
        <v>131777732222</v>
      </c>
      <c r="B1308" s="1" t="s">
        <v>2055</v>
      </c>
      <c r="C1308" s="44" t="s">
        <v>2303</v>
      </c>
      <c r="D1308" s="1" t="s">
        <v>2360</v>
      </c>
      <c r="E1308" s="44" t="s">
        <v>2303</v>
      </c>
      <c r="F1308" s="38" t="s">
        <v>2361</v>
      </c>
      <c r="G1308" s="45">
        <v>61500</v>
      </c>
      <c r="H1308" s="45">
        <v>615</v>
      </c>
    </row>
    <row r="1309" spans="1:8">
      <c r="A1309" s="78">
        <v>131184379239</v>
      </c>
      <c r="B1309" s="1" t="s">
        <v>2055</v>
      </c>
      <c r="C1309" s="44" t="s">
        <v>2303</v>
      </c>
      <c r="D1309" s="1" t="s">
        <v>2360</v>
      </c>
      <c r="E1309" s="44" t="s">
        <v>2303</v>
      </c>
      <c r="F1309" s="38" t="s">
        <v>2361</v>
      </c>
      <c r="G1309" s="45">
        <v>23998</v>
      </c>
      <c r="H1309" s="45">
        <v>239.98</v>
      </c>
    </row>
    <row r="1310" spans="1:8">
      <c r="A1310" s="78">
        <v>131185425007</v>
      </c>
      <c r="B1310" s="1" t="s">
        <v>8</v>
      </c>
      <c r="C1310" s="44" t="s">
        <v>2303</v>
      </c>
      <c r="D1310" s="1" t="s">
        <v>2360</v>
      </c>
      <c r="E1310" s="44" t="s">
        <v>2303</v>
      </c>
      <c r="F1310" s="38" t="s">
        <v>2361</v>
      </c>
      <c r="G1310" s="45">
        <v>42000</v>
      </c>
      <c r="H1310" s="45">
        <v>420</v>
      </c>
    </row>
    <row r="1311" spans="1:8">
      <c r="A1311" s="78">
        <v>131782498642</v>
      </c>
      <c r="B1311" s="1" t="s">
        <v>8</v>
      </c>
      <c r="C1311" s="44" t="s">
        <v>2303</v>
      </c>
      <c r="D1311" s="1" t="s">
        <v>2360</v>
      </c>
      <c r="E1311" s="44" t="s">
        <v>2303</v>
      </c>
      <c r="F1311" s="38" t="s">
        <v>2361</v>
      </c>
      <c r="G1311" s="45">
        <v>108195</v>
      </c>
      <c r="H1311" s="45">
        <v>1081.95</v>
      </c>
    </row>
    <row r="1312" spans="1:8">
      <c r="A1312" s="78">
        <v>131783903282</v>
      </c>
      <c r="B1312" s="1" t="s">
        <v>8</v>
      </c>
      <c r="C1312" s="44" t="s">
        <v>2303</v>
      </c>
      <c r="D1312" s="1" t="s">
        <v>2360</v>
      </c>
      <c r="E1312" s="44" t="s">
        <v>2303</v>
      </c>
      <c r="F1312" s="38" t="s">
        <v>2361</v>
      </c>
      <c r="G1312" s="45">
        <v>48500</v>
      </c>
      <c r="H1312" s="45">
        <v>485</v>
      </c>
    </row>
    <row r="1313" spans="1:8">
      <c r="A1313" s="78">
        <v>131190834783</v>
      </c>
      <c r="B1313" s="1" t="s">
        <v>8</v>
      </c>
      <c r="C1313" s="44" t="s">
        <v>2303</v>
      </c>
      <c r="D1313" s="1" t="s">
        <v>2360</v>
      </c>
      <c r="E1313" s="44" t="s">
        <v>2308</v>
      </c>
      <c r="F1313" s="38" t="s">
        <v>2361</v>
      </c>
      <c r="G1313" s="45">
        <v>23998</v>
      </c>
      <c r="H1313" s="45">
        <v>239.98</v>
      </c>
    </row>
    <row r="1314" spans="1:8">
      <c r="A1314" s="78">
        <v>131786628190</v>
      </c>
      <c r="B1314" s="1" t="s">
        <v>8</v>
      </c>
      <c r="C1314" s="44" t="s">
        <v>2303</v>
      </c>
      <c r="D1314" s="1" t="s">
        <v>2360</v>
      </c>
      <c r="E1314" s="44" t="s">
        <v>2308</v>
      </c>
      <c r="F1314" s="38" t="s">
        <v>2361</v>
      </c>
      <c r="G1314" s="45">
        <v>22000</v>
      </c>
      <c r="H1314" s="45">
        <v>220</v>
      </c>
    </row>
    <row r="1315" spans="1:8">
      <c r="A1315" s="78">
        <v>131885222868</v>
      </c>
      <c r="B1315" s="1" t="s">
        <v>8</v>
      </c>
      <c r="C1315" s="44" t="s">
        <v>2308</v>
      </c>
      <c r="D1315" s="1" t="s">
        <v>2360</v>
      </c>
      <c r="E1315" s="44" t="s">
        <v>2308</v>
      </c>
      <c r="F1315" s="38" t="s">
        <v>2361</v>
      </c>
      <c r="G1315" s="45">
        <v>16800</v>
      </c>
      <c r="H1315" s="45">
        <v>168</v>
      </c>
    </row>
    <row r="1316" spans="1:8">
      <c r="A1316" s="78">
        <v>131293843097</v>
      </c>
      <c r="B1316" s="1" t="s">
        <v>8</v>
      </c>
      <c r="C1316" s="44" t="s">
        <v>2308</v>
      </c>
      <c r="D1316" s="1" t="s">
        <v>2360</v>
      </c>
      <c r="E1316" s="44" t="s">
        <v>2308</v>
      </c>
      <c r="F1316" s="38" t="s">
        <v>2361</v>
      </c>
      <c r="G1316" s="45">
        <v>4000</v>
      </c>
      <c r="H1316" s="45">
        <v>40</v>
      </c>
    </row>
    <row r="1317" spans="1:8">
      <c r="A1317" s="78">
        <v>131890487764</v>
      </c>
      <c r="B1317" s="1" t="s">
        <v>8</v>
      </c>
      <c r="C1317" s="44" t="s">
        <v>2308</v>
      </c>
      <c r="D1317" s="1" t="s">
        <v>2360</v>
      </c>
      <c r="E1317" s="44" t="s">
        <v>2308</v>
      </c>
      <c r="F1317" s="38" t="s">
        <v>2361</v>
      </c>
      <c r="G1317" s="45">
        <v>27800</v>
      </c>
      <c r="H1317" s="45">
        <v>278</v>
      </c>
    </row>
    <row r="1318" spans="1:8">
      <c r="A1318" s="78">
        <v>131890761018</v>
      </c>
      <c r="B1318" s="1" t="s">
        <v>8</v>
      </c>
      <c r="C1318" s="44" t="s">
        <v>2308</v>
      </c>
      <c r="D1318" s="1" t="s">
        <v>2360</v>
      </c>
      <c r="E1318" s="44" t="s">
        <v>2308</v>
      </c>
      <c r="F1318" s="38" t="s">
        <v>2361</v>
      </c>
      <c r="G1318" s="45">
        <v>46700</v>
      </c>
      <c r="H1318" s="45">
        <v>467</v>
      </c>
    </row>
    <row r="1319" spans="1:8">
      <c r="A1319" s="78">
        <v>131286438671</v>
      </c>
      <c r="B1319" s="1" t="s">
        <v>2055</v>
      </c>
      <c r="C1319" s="44" t="s">
        <v>2308</v>
      </c>
      <c r="D1319" s="1" t="s">
        <v>2360</v>
      </c>
      <c r="E1319" s="44" t="s">
        <v>2308</v>
      </c>
      <c r="F1319" s="38" t="s">
        <v>2361</v>
      </c>
      <c r="G1319" s="45">
        <v>4300</v>
      </c>
      <c r="H1319" s="45">
        <v>43</v>
      </c>
    </row>
    <row r="1320" spans="1:8">
      <c r="A1320" s="78">
        <v>131903448136</v>
      </c>
      <c r="B1320" s="1" t="s">
        <v>8</v>
      </c>
      <c r="C1320" s="44" t="s">
        <v>2308</v>
      </c>
      <c r="D1320" s="1" t="s">
        <v>2360</v>
      </c>
      <c r="E1320" s="44" t="s">
        <v>2308</v>
      </c>
      <c r="F1320" s="38" t="s">
        <v>2361</v>
      </c>
      <c r="G1320" s="45">
        <v>4800</v>
      </c>
      <c r="H1320" s="45">
        <v>48</v>
      </c>
    </row>
    <row r="1321" spans="1:8">
      <c r="A1321" s="78">
        <v>131903795584</v>
      </c>
      <c r="B1321" s="1" t="s">
        <v>2055</v>
      </c>
      <c r="C1321" s="44" t="s">
        <v>2308</v>
      </c>
      <c r="D1321" s="1" t="s">
        <v>2360</v>
      </c>
      <c r="E1321" s="44" t="s">
        <v>2308</v>
      </c>
      <c r="F1321" s="38" t="s">
        <v>2361</v>
      </c>
      <c r="G1321" s="45">
        <v>13600</v>
      </c>
      <c r="H1321" s="45">
        <v>136</v>
      </c>
    </row>
    <row r="1322" spans="1:8">
      <c r="A1322" s="78">
        <v>131306924489</v>
      </c>
      <c r="B1322" s="1" t="s">
        <v>8</v>
      </c>
      <c r="C1322" s="44" t="s">
        <v>2308</v>
      </c>
      <c r="D1322" s="1" t="s">
        <v>2360</v>
      </c>
      <c r="E1322" s="44" t="s">
        <v>2308</v>
      </c>
      <c r="F1322" s="38" t="s">
        <v>2361</v>
      </c>
      <c r="G1322" s="45">
        <v>4200</v>
      </c>
      <c r="H1322" s="45">
        <v>42</v>
      </c>
    </row>
    <row r="1323" spans="1:8">
      <c r="A1323" s="78">
        <v>131904338486</v>
      </c>
      <c r="B1323" s="1" t="s">
        <v>2055</v>
      </c>
      <c r="C1323" s="44" t="s">
        <v>2308</v>
      </c>
      <c r="D1323" s="1" t="s">
        <v>2360</v>
      </c>
      <c r="E1323" s="44" t="s">
        <v>2308</v>
      </c>
      <c r="F1323" s="38" t="s">
        <v>2361</v>
      </c>
      <c r="G1323" s="45">
        <v>11000</v>
      </c>
      <c r="H1323" s="45">
        <v>110</v>
      </c>
    </row>
    <row r="1324" spans="1:8">
      <c r="A1324" s="78">
        <v>131307691391</v>
      </c>
      <c r="B1324" s="1" t="s">
        <v>8</v>
      </c>
      <c r="C1324" s="44" t="s">
        <v>2308</v>
      </c>
      <c r="D1324" s="1" t="s">
        <v>2360</v>
      </c>
      <c r="E1324" s="44" t="s">
        <v>2308</v>
      </c>
      <c r="F1324" s="38" t="s">
        <v>2361</v>
      </c>
      <c r="G1324" s="45">
        <v>4800</v>
      </c>
      <c r="H1324" s="45">
        <v>48</v>
      </c>
    </row>
    <row r="1325" spans="1:8">
      <c r="A1325" s="78">
        <v>131308959291</v>
      </c>
      <c r="B1325" s="1" t="s">
        <v>2055</v>
      </c>
      <c r="C1325" s="44" t="s">
        <v>2308</v>
      </c>
      <c r="D1325" s="1" t="s">
        <v>2360</v>
      </c>
      <c r="E1325" s="44" t="s">
        <v>2308</v>
      </c>
      <c r="F1325" s="38" t="s">
        <v>2361</v>
      </c>
      <c r="G1325" s="45">
        <v>46000</v>
      </c>
      <c r="H1325" s="45">
        <v>460</v>
      </c>
    </row>
    <row r="1326" spans="1:8">
      <c r="A1326" s="78">
        <v>131905809004</v>
      </c>
      <c r="B1326" s="1" t="s">
        <v>8</v>
      </c>
      <c r="C1326" s="44" t="s">
        <v>2308</v>
      </c>
      <c r="D1326" s="1" t="s">
        <v>2360</v>
      </c>
      <c r="E1326" s="44" t="s">
        <v>2308</v>
      </c>
      <c r="F1326" s="38" t="s">
        <v>2361</v>
      </c>
      <c r="G1326" s="45">
        <v>4800</v>
      </c>
      <c r="H1326" s="45">
        <v>48</v>
      </c>
    </row>
    <row r="1327" spans="1:8">
      <c r="A1327" s="78">
        <v>131906789090</v>
      </c>
      <c r="B1327" s="1" t="s">
        <v>8</v>
      </c>
      <c r="C1327" s="44" t="s">
        <v>2308</v>
      </c>
      <c r="D1327" s="1" t="s">
        <v>2360</v>
      </c>
      <c r="E1327" s="44" t="s">
        <v>2308</v>
      </c>
      <c r="F1327" s="38" t="s">
        <v>2361</v>
      </c>
      <c r="G1327" s="45">
        <v>34700</v>
      </c>
      <c r="H1327" s="45">
        <v>347</v>
      </c>
    </row>
    <row r="1328" spans="1:8">
      <c r="A1328" s="78">
        <v>131907367616</v>
      </c>
      <c r="B1328" s="1" t="s">
        <v>8</v>
      </c>
      <c r="C1328" s="44" t="s">
        <v>2308</v>
      </c>
      <c r="D1328" s="1" t="s">
        <v>2360</v>
      </c>
      <c r="E1328" s="44" t="s">
        <v>2308</v>
      </c>
      <c r="F1328" s="38" t="s">
        <v>2361</v>
      </c>
      <c r="G1328" s="45">
        <v>19900</v>
      </c>
      <c r="H1328" s="45">
        <v>199</v>
      </c>
    </row>
    <row r="1329" spans="1:8">
      <c r="A1329" s="78">
        <v>131298223245</v>
      </c>
      <c r="B1329" s="1" t="s">
        <v>2055</v>
      </c>
      <c r="C1329" s="44" t="s">
        <v>2308</v>
      </c>
      <c r="D1329" s="1" t="s">
        <v>2360</v>
      </c>
      <c r="E1329" s="44" t="s">
        <v>2308</v>
      </c>
      <c r="F1329" s="38" t="s">
        <v>2361</v>
      </c>
      <c r="G1329" s="45">
        <v>8000</v>
      </c>
      <c r="H1329" s="45">
        <v>80</v>
      </c>
    </row>
    <row r="1330" spans="1:8">
      <c r="A1330" s="78">
        <v>131310713093</v>
      </c>
      <c r="B1330" s="1" t="s">
        <v>8</v>
      </c>
      <c r="C1330" s="44" t="s">
        <v>2308</v>
      </c>
      <c r="D1330" s="1" t="s">
        <v>2360</v>
      </c>
      <c r="E1330" s="44" t="s">
        <v>2308</v>
      </c>
      <c r="F1330" s="38" t="s">
        <v>2361</v>
      </c>
      <c r="G1330" s="45">
        <v>31600</v>
      </c>
      <c r="H1330" s="45">
        <v>316</v>
      </c>
    </row>
    <row r="1331" spans="1:8">
      <c r="A1331" s="78">
        <v>131310863993</v>
      </c>
      <c r="B1331" s="1" t="s">
        <v>8</v>
      </c>
      <c r="C1331" s="44" t="s">
        <v>2308</v>
      </c>
      <c r="D1331" s="1" t="s">
        <v>2360</v>
      </c>
      <c r="E1331" s="44" t="s">
        <v>2308</v>
      </c>
      <c r="F1331" s="38" t="s">
        <v>2361</v>
      </c>
      <c r="G1331" s="45">
        <v>9600</v>
      </c>
      <c r="H1331" s="45">
        <v>96</v>
      </c>
    </row>
    <row r="1332" spans="1:8">
      <c r="A1332" s="78">
        <v>131908282314</v>
      </c>
      <c r="B1332" s="1" t="s">
        <v>8</v>
      </c>
      <c r="C1332" s="44" t="s">
        <v>2308</v>
      </c>
      <c r="D1332" s="1" t="s">
        <v>2360</v>
      </c>
      <c r="E1332" s="44" t="s">
        <v>2308</v>
      </c>
      <c r="F1332" s="38" t="s">
        <v>2361</v>
      </c>
      <c r="G1332" s="45">
        <v>29900</v>
      </c>
      <c r="H1332" s="45">
        <v>299</v>
      </c>
    </row>
    <row r="1333" spans="1:8">
      <c r="A1333" s="78">
        <v>131311356653</v>
      </c>
      <c r="B1333" s="1" t="s">
        <v>8</v>
      </c>
      <c r="C1333" s="44" t="s">
        <v>2308</v>
      </c>
      <c r="D1333" s="1" t="s">
        <v>2360</v>
      </c>
      <c r="E1333" s="44" t="s">
        <v>2308</v>
      </c>
      <c r="F1333" s="38" t="s">
        <v>2361</v>
      </c>
      <c r="G1333" s="45">
        <v>16500</v>
      </c>
      <c r="H1333" s="45">
        <v>165</v>
      </c>
    </row>
    <row r="1334" spans="1:8">
      <c r="A1334" s="78">
        <v>131908241628</v>
      </c>
      <c r="B1334" s="1" t="s">
        <v>8</v>
      </c>
      <c r="C1334" s="44" t="s">
        <v>2308</v>
      </c>
      <c r="D1334" s="1" t="s">
        <v>2360</v>
      </c>
      <c r="E1334" s="44" t="s">
        <v>2308</v>
      </c>
      <c r="F1334" s="38" t="s">
        <v>2361</v>
      </c>
      <c r="G1334" s="45">
        <v>26800</v>
      </c>
      <c r="H1334" s="45">
        <v>268</v>
      </c>
    </row>
    <row r="1335" spans="1:8">
      <c r="A1335" s="78">
        <v>131311573781</v>
      </c>
      <c r="B1335" s="1" t="s">
        <v>2055</v>
      </c>
      <c r="C1335" s="44" t="s">
        <v>2308</v>
      </c>
      <c r="D1335" s="1" t="s">
        <v>2360</v>
      </c>
      <c r="E1335" s="44" t="s">
        <v>2308</v>
      </c>
      <c r="F1335" s="38" t="s">
        <v>2361</v>
      </c>
      <c r="G1335" s="45">
        <v>9600</v>
      </c>
      <c r="H1335" s="45">
        <v>96</v>
      </c>
    </row>
    <row r="1336" spans="1:8">
      <c r="A1336" s="78">
        <v>131312518579</v>
      </c>
      <c r="B1336" s="1" t="s">
        <v>8</v>
      </c>
      <c r="C1336" s="44" t="s">
        <v>2308</v>
      </c>
      <c r="D1336" s="1" t="s">
        <v>2360</v>
      </c>
      <c r="E1336" s="44" t="s">
        <v>2308</v>
      </c>
      <c r="F1336" s="38" t="s">
        <v>2361</v>
      </c>
      <c r="G1336" s="45">
        <v>25000</v>
      </c>
      <c r="H1336" s="45">
        <v>250</v>
      </c>
    </row>
    <row r="1337" spans="1:8">
      <c r="A1337" s="78">
        <v>131896819466</v>
      </c>
      <c r="B1337" s="1" t="s">
        <v>8</v>
      </c>
      <c r="C1337" s="44" t="s">
        <v>2308</v>
      </c>
      <c r="D1337" s="1" t="s">
        <v>2360</v>
      </c>
      <c r="E1337" s="44" t="s">
        <v>2308</v>
      </c>
      <c r="F1337" s="38" t="s">
        <v>2361</v>
      </c>
      <c r="G1337" s="45">
        <v>40600</v>
      </c>
      <c r="H1337" s="45">
        <v>406</v>
      </c>
    </row>
    <row r="1338" spans="1:8">
      <c r="A1338" s="78">
        <v>131312947683</v>
      </c>
      <c r="B1338" s="1" t="s">
        <v>2055</v>
      </c>
      <c r="C1338" s="44" t="s">
        <v>2308</v>
      </c>
      <c r="D1338" s="1" t="s">
        <v>2360</v>
      </c>
      <c r="E1338" s="44" t="s">
        <v>2308</v>
      </c>
      <c r="F1338" s="38" t="s">
        <v>2361</v>
      </c>
      <c r="G1338" s="45">
        <v>9200</v>
      </c>
      <c r="H1338" s="45">
        <v>92</v>
      </c>
    </row>
    <row r="1339" spans="1:8">
      <c r="A1339" s="78">
        <v>131909518870</v>
      </c>
      <c r="B1339" s="1" t="s">
        <v>8</v>
      </c>
      <c r="C1339" s="44" t="s">
        <v>2308</v>
      </c>
      <c r="D1339" s="1" t="s">
        <v>2360</v>
      </c>
      <c r="E1339" s="44" t="s">
        <v>2308</v>
      </c>
      <c r="F1339" s="38" t="s">
        <v>2361</v>
      </c>
      <c r="G1339" s="45">
        <v>41800</v>
      </c>
      <c r="H1339" s="45">
        <v>418</v>
      </c>
    </row>
    <row r="1340" spans="1:8">
      <c r="A1340" s="78">
        <v>131313176875</v>
      </c>
      <c r="B1340" s="1" t="s">
        <v>8</v>
      </c>
      <c r="C1340" s="44" t="s">
        <v>2308</v>
      </c>
      <c r="D1340" s="1" t="s">
        <v>2360</v>
      </c>
      <c r="E1340" s="44" t="s">
        <v>2308</v>
      </c>
      <c r="F1340" s="38" t="s">
        <v>2361</v>
      </c>
      <c r="G1340" s="45">
        <v>4000</v>
      </c>
      <c r="H1340" s="45">
        <v>40</v>
      </c>
    </row>
    <row r="1341" spans="1:8">
      <c r="A1341" s="78">
        <v>131313630355</v>
      </c>
      <c r="B1341" s="1" t="s">
        <v>8</v>
      </c>
      <c r="C1341" s="44" t="s">
        <v>2308</v>
      </c>
      <c r="D1341" s="1" t="s">
        <v>2360</v>
      </c>
      <c r="E1341" s="44" t="s">
        <v>2308</v>
      </c>
      <c r="F1341" s="38" t="s">
        <v>2361</v>
      </c>
      <c r="G1341" s="45">
        <v>21300</v>
      </c>
      <c r="H1341" s="45">
        <v>213</v>
      </c>
    </row>
    <row r="1342" spans="1:8">
      <c r="A1342" s="78">
        <v>131313650019</v>
      </c>
      <c r="B1342" s="1" t="s">
        <v>2055</v>
      </c>
      <c r="C1342" s="44" t="s">
        <v>2308</v>
      </c>
      <c r="D1342" s="1" t="s">
        <v>2360</v>
      </c>
      <c r="E1342" s="44" t="s">
        <v>2308</v>
      </c>
      <c r="F1342" s="38" t="s">
        <v>2361</v>
      </c>
      <c r="G1342" s="45">
        <v>88700</v>
      </c>
      <c r="H1342" s="45">
        <v>887</v>
      </c>
    </row>
    <row r="1343" spans="1:8">
      <c r="A1343" s="78">
        <v>131314138549</v>
      </c>
      <c r="B1343" s="1" t="s">
        <v>2055</v>
      </c>
      <c r="C1343" s="44" t="s">
        <v>2308</v>
      </c>
      <c r="D1343" s="1" t="s">
        <v>2360</v>
      </c>
      <c r="E1343" s="44" t="s">
        <v>2308</v>
      </c>
      <c r="F1343" s="38" t="s">
        <v>2361</v>
      </c>
      <c r="G1343" s="45">
        <v>9600</v>
      </c>
      <c r="H1343" s="45">
        <v>96</v>
      </c>
    </row>
    <row r="1344" spans="1:8">
      <c r="A1344" s="78">
        <v>131911569716</v>
      </c>
      <c r="B1344" s="1" t="s">
        <v>8</v>
      </c>
      <c r="C1344" s="44" t="s">
        <v>2308</v>
      </c>
      <c r="D1344" s="1" t="s">
        <v>2360</v>
      </c>
      <c r="E1344" s="44" t="s">
        <v>2316</v>
      </c>
      <c r="F1344" s="38" t="s">
        <v>2361</v>
      </c>
      <c r="G1344" s="45">
        <v>15700</v>
      </c>
      <c r="H1344" s="45">
        <v>157</v>
      </c>
    </row>
    <row r="1345" spans="1:8">
      <c r="A1345" s="78">
        <v>131315798133</v>
      </c>
      <c r="B1345" s="1" t="s">
        <v>2055</v>
      </c>
      <c r="C1345" s="44" t="s">
        <v>2308</v>
      </c>
      <c r="D1345" s="1" t="s">
        <v>2360</v>
      </c>
      <c r="E1345" s="44" t="s">
        <v>2316</v>
      </c>
      <c r="F1345" s="38" t="s">
        <v>2361</v>
      </c>
      <c r="G1345" s="45">
        <v>11000</v>
      </c>
      <c r="H1345" s="45">
        <v>110</v>
      </c>
    </row>
    <row r="1346" spans="1:8">
      <c r="A1346" s="78">
        <v>131315537649</v>
      </c>
      <c r="B1346" s="1" t="s">
        <v>8</v>
      </c>
      <c r="C1346" s="44" t="s">
        <v>2308</v>
      </c>
      <c r="D1346" s="1" t="s">
        <v>2360</v>
      </c>
      <c r="E1346" s="44" t="s">
        <v>2316</v>
      </c>
      <c r="F1346" s="38" t="s">
        <v>2361</v>
      </c>
      <c r="G1346" s="45">
        <v>50100</v>
      </c>
      <c r="H1346" s="45">
        <v>501</v>
      </c>
    </row>
    <row r="1347" spans="1:8">
      <c r="A1347" s="78">
        <v>131912442132</v>
      </c>
      <c r="B1347" s="1" t="s">
        <v>2055</v>
      </c>
      <c r="C1347" s="44" t="s">
        <v>2308</v>
      </c>
      <c r="D1347" s="1" t="s">
        <v>2360</v>
      </c>
      <c r="E1347" s="44" t="s">
        <v>2316</v>
      </c>
      <c r="F1347" s="38" t="s">
        <v>2361</v>
      </c>
      <c r="G1347" s="45">
        <v>9000</v>
      </c>
      <c r="H1347" s="45">
        <v>90</v>
      </c>
    </row>
    <row r="1348" spans="1:8">
      <c r="A1348" s="78">
        <v>131316170617</v>
      </c>
      <c r="B1348" s="1" t="s">
        <v>8</v>
      </c>
      <c r="C1348" s="44" t="s">
        <v>2308</v>
      </c>
      <c r="D1348" s="1" t="s">
        <v>2360</v>
      </c>
      <c r="E1348" s="44" t="s">
        <v>2316</v>
      </c>
      <c r="F1348" s="38" t="s">
        <v>2361</v>
      </c>
      <c r="G1348" s="45">
        <v>13800</v>
      </c>
      <c r="H1348" s="45">
        <v>138</v>
      </c>
    </row>
    <row r="1349" spans="1:8">
      <c r="A1349" s="78">
        <v>131901497916</v>
      </c>
      <c r="B1349" s="1" t="s">
        <v>2055</v>
      </c>
      <c r="C1349" s="44" t="s">
        <v>2308</v>
      </c>
      <c r="D1349" s="1" t="s">
        <v>2360</v>
      </c>
      <c r="E1349" s="44" t="s">
        <v>2308</v>
      </c>
      <c r="F1349" s="38" t="s">
        <v>2361</v>
      </c>
      <c r="G1349" s="45">
        <v>9600</v>
      </c>
      <c r="H1349" s="45">
        <v>96</v>
      </c>
    </row>
    <row r="1350" spans="1:8">
      <c r="A1350" s="78">
        <v>131901950294</v>
      </c>
      <c r="B1350" s="1" t="s">
        <v>8</v>
      </c>
      <c r="C1350" s="44" t="s">
        <v>2308</v>
      </c>
      <c r="D1350" s="1" t="s">
        <v>2360</v>
      </c>
      <c r="E1350" s="44" t="s">
        <v>2308</v>
      </c>
      <c r="F1350" s="38" t="s">
        <v>2361</v>
      </c>
      <c r="G1350" s="45">
        <v>5500</v>
      </c>
      <c r="H1350" s="45">
        <v>55</v>
      </c>
    </row>
    <row r="1351" spans="1:8">
      <c r="A1351" s="78">
        <v>131305593613</v>
      </c>
      <c r="B1351" s="1" t="s">
        <v>8</v>
      </c>
      <c r="C1351" s="44" t="s">
        <v>2308</v>
      </c>
      <c r="D1351" s="1" t="s">
        <v>2360</v>
      </c>
      <c r="E1351" s="44" t="s">
        <v>2308</v>
      </c>
      <c r="F1351" s="38" t="s">
        <v>2361</v>
      </c>
      <c r="G1351" s="45">
        <v>20500</v>
      </c>
      <c r="H1351" s="45">
        <v>205</v>
      </c>
    </row>
    <row r="1352" spans="1:8">
      <c r="A1352" s="78">
        <v>131305925337</v>
      </c>
      <c r="B1352" s="1" t="s">
        <v>8</v>
      </c>
      <c r="C1352" s="44" t="s">
        <v>2308</v>
      </c>
      <c r="D1352" s="1" t="s">
        <v>2360</v>
      </c>
      <c r="E1352" s="44" t="s">
        <v>2308</v>
      </c>
      <c r="F1352" s="38" t="s">
        <v>2361</v>
      </c>
      <c r="G1352" s="45">
        <v>4800</v>
      </c>
      <c r="H1352" s="45">
        <v>48</v>
      </c>
    </row>
    <row r="1353" spans="1:8">
      <c r="A1353" s="78">
        <v>131902908484</v>
      </c>
      <c r="B1353" s="1" t="s">
        <v>8</v>
      </c>
      <c r="C1353" s="44" t="s">
        <v>2308</v>
      </c>
      <c r="D1353" s="1" t="s">
        <v>2360</v>
      </c>
      <c r="E1353" s="44" t="s">
        <v>2308</v>
      </c>
      <c r="F1353" s="38" t="s">
        <v>2361</v>
      </c>
      <c r="G1353" s="45">
        <v>4000</v>
      </c>
      <c r="H1353" s="45">
        <v>40</v>
      </c>
    </row>
    <row r="1354" spans="1:8">
      <c r="A1354" s="78">
        <v>131902863112</v>
      </c>
      <c r="B1354" s="1" t="s">
        <v>2055</v>
      </c>
      <c r="C1354" s="44" t="s">
        <v>2308</v>
      </c>
      <c r="D1354" s="1" t="s">
        <v>2360</v>
      </c>
      <c r="E1354" s="44" t="s">
        <v>2308</v>
      </c>
      <c r="F1354" s="38" t="s">
        <v>2361</v>
      </c>
      <c r="G1354" s="45">
        <v>4000</v>
      </c>
      <c r="H1354" s="45">
        <v>40</v>
      </c>
    </row>
    <row r="1355" spans="1:8">
      <c r="A1355" s="78">
        <v>131913776076</v>
      </c>
      <c r="B1355" s="1" t="s">
        <v>2055</v>
      </c>
      <c r="C1355" s="44" t="s">
        <v>2308</v>
      </c>
      <c r="D1355" s="1" t="s">
        <v>2360</v>
      </c>
      <c r="E1355" s="44" t="s">
        <v>2316</v>
      </c>
      <c r="F1355" s="38" t="s">
        <v>2361</v>
      </c>
      <c r="G1355" s="45">
        <v>19200</v>
      </c>
      <c r="H1355" s="45">
        <v>192</v>
      </c>
    </row>
    <row r="1356" spans="1:8">
      <c r="A1356" s="78">
        <v>131306395943</v>
      </c>
      <c r="B1356" s="1" t="s">
        <v>8</v>
      </c>
      <c r="C1356" s="44" t="s">
        <v>2308</v>
      </c>
      <c r="D1356" s="1" t="s">
        <v>2360</v>
      </c>
      <c r="E1356" s="44" t="s">
        <v>2308</v>
      </c>
      <c r="F1356" s="38" t="s">
        <v>2361</v>
      </c>
      <c r="G1356" s="45">
        <v>2400</v>
      </c>
      <c r="H1356" s="45">
        <v>24</v>
      </c>
    </row>
    <row r="1357" spans="1:8">
      <c r="A1357" s="78">
        <v>131914000620</v>
      </c>
      <c r="B1357" s="1" t="s">
        <v>8</v>
      </c>
      <c r="C1357" s="44" t="s">
        <v>2308</v>
      </c>
      <c r="D1357" s="1" t="s">
        <v>2360</v>
      </c>
      <c r="E1357" s="44" t="s">
        <v>2316</v>
      </c>
      <c r="F1357" s="38" t="s">
        <v>2361</v>
      </c>
      <c r="G1357" s="45">
        <v>52300</v>
      </c>
      <c r="H1357" s="45">
        <v>523</v>
      </c>
    </row>
    <row r="1358" spans="1:8">
      <c r="A1358" s="78">
        <v>131317503951</v>
      </c>
      <c r="B1358" s="1" t="s">
        <v>8</v>
      </c>
      <c r="C1358" s="44" t="s">
        <v>2308</v>
      </c>
      <c r="D1358" s="1" t="s">
        <v>2360</v>
      </c>
      <c r="E1358" s="44" t="s">
        <v>2316</v>
      </c>
      <c r="F1358" s="38" t="s">
        <v>2361</v>
      </c>
      <c r="G1358" s="45">
        <v>9000</v>
      </c>
      <c r="H1358" s="45">
        <v>90</v>
      </c>
    </row>
    <row r="1359" spans="1:8">
      <c r="A1359" s="78">
        <v>131904438130</v>
      </c>
      <c r="B1359" s="1" t="s">
        <v>2055</v>
      </c>
      <c r="C1359" s="44" t="s">
        <v>2308</v>
      </c>
      <c r="D1359" s="1" t="s">
        <v>2360</v>
      </c>
      <c r="E1359" s="44" t="s">
        <v>2308</v>
      </c>
      <c r="F1359" s="38" t="s">
        <v>2361</v>
      </c>
      <c r="G1359" s="45">
        <v>5500</v>
      </c>
      <c r="H1359" s="45">
        <v>55</v>
      </c>
    </row>
    <row r="1360" spans="1:8">
      <c r="A1360" s="78">
        <v>131317701455</v>
      </c>
      <c r="B1360" s="1" t="s">
        <v>8</v>
      </c>
      <c r="C1360" s="44" t="s">
        <v>2316</v>
      </c>
      <c r="D1360" s="1" t="s">
        <v>2360</v>
      </c>
      <c r="E1360" s="44" t="s">
        <v>2316</v>
      </c>
      <c r="F1360" s="38" t="s">
        <v>2361</v>
      </c>
      <c r="G1360" s="45">
        <v>50500</v>
      </c>
      <c r="H1360" s="45">
        <v>505</v>
      </c>
    </row>
    <row r="1361" spans="1:8">
      <c r="A1361" s="78">
        <v>131317789095</v>
      </c>
      <c r="B1361" s="1" t="s">
        <v>8</v>
      </c>
      <c r="C1361" s="44" t="s">
        <v>2316</v>
      </c>
      <c r="D1361" s="1" t="s">
        <v>2360</v>
      </c>
      <c r="E1361" s="44" t="s">
        <v>2316</v>
      </c>
      <c r="F1361" s="38" t="s">
        <v>2361</v>
      </c>
      <c r="G1361" s="45">
        <v>9600</v>
      </c>
      <c r="H1361" s="45">
        <v>96</v>
      </c>
    </row>
    <row r="1362" spans="1:8">
      <c r="A1362" s="78">
        <v>131317780025</v>
      </c>
      <c r="B1362" s="1" t="s">
        <v>8</v>
      </c>
      <c r="C1362" s="44" t="s">
        <v>2316</v>
      </c>
      <c r="D1362" s="1" t="s">
        <v>2360</v>
      </c>
      <c r="E1362" s="44" t="s">
        <v>2316</v>
      </c>
      <c r="F1362" s="38" t="s">
        <v>2361</v>
      </c>
      <c r="G1362" s="45">
        <v>31200</v>
      </c>
      <c r="H1362" s="45">
        <v>312</v>
      </c>
    </row>
    <row r="1363" spans="1:8">
      <c r="A1363" s="78">
        <v>131318226099</v>
      </c>
      <c r="B1363" s="1" t="s">
        <v>2055</v>
      </c>
      <c r="C1363" s="44" t="s">
        <v>2316</v>
      </c>
      <c r="D1363" s="1" t="s">
        <v>2360</v>
      </c>
      <c r="E1363" s="44" t="s">
        <v>2316</v>
      </c>
      <c r="F1363" s="38" t="s">
        <v>2361</v>
      </c>
      <c r="G1363" s="45">
        <v>4200</v>
      </c>
      <c r="H1363" s="45">
        <v>42</v>
      </c>
    </row>
    <row r="1364" spans="1:8">
      <c r="A1364" s="78">
        <v>131905568532</v>
      </c>
      <c r="B1364" s="1" t="s">
        <v>8</v>
      </c>
      <c r="C1364" s="44" t="s">
        <v>2308</v>
      </c>
      <c r="D1364" s="1" t="s">
        <v>2360</v>
      </c>
      <c r="E1364" s="44" t="s">
        <v>2308</v>
      </c>
      <c r="F1364" s="38" t="s">
        <v>2361</v>
      </c>
      <c r="G1364" s="45">
        <v>8800</v>
      </c>
      <c r="H1364" s="45">
        <v>88</v>
      </c>
    </row>
    <row r="1365" spans="1:8">
      <c r="A1365" s="78">
        <v>131915208972</v>
      </c>
      <c r="B1365" s="1" t="s">
        <v>2055</v>
      </c>
      <c r="C1365" s="44" t="s">
        <v>2316</v>
      </c>
      <c r="D1365" s="1" t="s">
        <v>2360</v>
      </c>
      <c r="E1365" s="44" t="s">
        <v>2316</v>
      </c>
      <c r="F1365" s="38" t="s">
        <v>2361</v>
      </c>
      <c r="G1365" s="45">
        <v>9600</v>
      </c>
      <c r="H1365" s="45">
        <v>96</v>
      </c>
    </row>
    <row r="1366" spans="1:8">
      <c r="A1366" s="78">
        <v>131915199812</v>
      </c>
      <c r="B1366" s="1" t="s">
        <v>8</v>
      </c>
      <c r="C1366" s="44" t="s">
        <v>2316</v>
      </c>
      <c r="D1366" s="1" t="s">
        <v>2360</v>
      </c>
      <c r="E1366" s="44" t="s">
        <v>2316</v>
      </c>
      <c r="F1366" s="38" t="s">
        <v>2361</v>
      </c>
      <c r="G1366" s="45">
        <v>13900</v>
      </c>
      <c r="H1366" s="45">
        <v>139</v>
      </c>
    </row>
    <row r="1367" spans="1:8">
      <c r="A1367" s="78">
        <v>131915245194</v>
      </c>
      <c r="B1367" s="1" t="s">
        <v>8</v>
      </c>
      <c r="C1367" s="44" t="s">
        <v>2316</v>
      </c>
      <c r="D1367" s="1" t="s">
        <v>2360</v>
      </c>
      <c r="E1367" s="44" t="s">
        <v>2316</v>
      </c>
      <c r="F1367" s="38" t="s">
        <v>2361</v>
      </c>
      <c r="G1367" s="45">
        <v>14100</v>
      </c>
      <c r="H1367" s="45">
        <v>141</v>
      </c>
    </row>
    <row r="1368" spans="1:8">
      <c r="A1368" s="78">
        <v>131309391639</v>
      </c>
      <c r="B1368" s="1" t="s">
        <v>8</v>
      </c>
      <c r="C1368" s="44" t="s">
        <v>2308</v>
      </c>
      <c r="D1368" s="1" t="s">
        <v>2360</v>
      </c>
      <c r="E1368" s="44" t="s">
        <v>2308</v>
      </c>
      <c r="F1368" s="38" t="s">
        <v>2361</v>
      </c>
      <c r="G1368" s="45">
        <v>4600</v>
      </c>
      <c r="H1368" s="45">
        <v>46</v>
      </c>
    </row>
    <row r="1369" spans="1:8">
      <c r="A1369" s="78">
        <v>131318475295</v>
      </c>
      <c r="B1369" s="1" t="s">
        <v>8</v>
      </c>
      <c r="C1369" s="44" t="s">
        <v>2316</v>
      </c>
      <c r="D1369" s="1" t="s">
        <v>2360</v>
      </c>
      <c r="E1369" s="44" t="s">
        <v>2316</v>
      </c>
      <c r="F1369" s="38" t="s">
        <v>2361</v>
      </c>
      <c r="G1369" s="45">
        <v>16400</v>
      </c>
      <c r="H1369" s="45">
        <v>164</v>
      </c>
    </row>
    <row r="1370" spans="1:8">
      <c r="A1370" s="78">
        <v>131309712763</v>
      </c>
      <c r="B1370" s="1" t="s">
        <v>8</v>
      </c>
      <c r="C1370" s="44" t="s">
        <v>2308</v>
      </c>
      <c r="D1370" s="1" t="s">
        <v>2360</v>
      </c>
      <c r="E1370" s="44" t="s">
        <v>2308</v>
      </c>
      <c r="F1370" s="38" t="s">
        <v>2361</v>
      </c>
      <c r="G1370" s="45">
        <v>25700</v>
      </c>
      <c r="H1370" s="45">
        <v>257</v>
      </c>
    </row>
    <row r="1371" spans="1:8">
      <c r="A1371" s="78">
        <v>131915750288</v>
      </c>
      <c r="B1371" s="1" t="s">
        <v>8</v>
      </c>
      <c r="C1371" s="44" t="s">
        <v>2316</v>
      </c>
      <c r="D1371" s="1" t="s">
        <v>2360</v>
      </c>
      <c r="E1371" s="44" t="s">
        <v>2316</v>
      </c>
      <c r="F1371" s="38" t="s">
        <v>2361</v>
      </c>
      <c r="G1371" s="45">
        <v>4600</v>
      </c>
      <c r="H1371" s="45">
        <v>46</v>
      </c>
    </row>
    <row r="1372" spans="1:8">
      <c r="A1372" s="78">
        <v>131907151016</v>
      </c>
      <c r="B1372" s="1" t="s">
        <v>8</v>
      </c>
      <c r="C1372" s="44" t="s">
        <v>2308</v>
      </c>
      <c r="D1372" s="1" t="s">
        <v>2360</v>
      </c>
      <c r="E1372" s="44" t="s">
        <v>2308</v>
      </c>
      <c r="F1372" s="38" t="s">
        <v>2361</v>
      </c>
      <c r="G1372" s="45">
        <v>28600</v>
      </c>
      <c r="H1372" s="45">
        <v>286</v>
      </c>
    </row>
    <row r="1373" spans="1:8">
      <c r="A1373" s="78">
        <v>131907151510</v>
      </c>
      <c r="B1373" s="1" t="s">
        <v>8</v>
      </c>
      <c r="C1373" s="44" t="s">
        <v>2308</v>
      </c>
      <c r="D1373" s="1" t="s">
        <v>2360</v>
      </c>
      <c r="E1373" s="44" t="s">
        <v>2308</v>
      </c>
      <c r="F1373" s="38" t="s">
        <v>2361</v>
      </c>
      <c r="G1373" s="45">
        <v>4700</v>
      </c>
      <c r="H1373" s="45">
        <v>47</v>
      </c>
    </row>
    <row r="1374" spans="1:8">
      <c r="A1374" s="78">
        <v>131915932200</v>
      </c>
      <c r="B1374" s="1" t="s">
        <v>8</v>
      </c>
      <c r="C1374" s="44" t="s">
        <v>2316</v>
      </c>
      <c r="D1374" s="1" t="s">
        <v>2360</v>
      </c>
      <c r="E1374" s="44" t="s">
        <v>2316</v>
      </c>
      <c r="F1374" s="38" t="s">
        <v>2361</v>
      </c>
      <c r="G1374" s="45">
        <v>11900</v>
      </c>
      <c r="H1374" s="45">
        <v>119</v>
      </c>
    </row>
    <row r="1375" spans="1:8">
      <c r="A1375" s="78">
        <v>131310426325</v>
      </c>
      <c r="B1375" s="1" t="s">
        <v>8</v>
      </c>
      <c r="C1375" s="44" t="s">
        <v>2308</v>
      </c>
      <c r="D1375" s="1" t="s">
        <v>2360</v>
      </c>
      <c r="E1375" s="44" t="s">
        <v>2308</v>
      </c>
      <c r="F1375" s="38" t="s">
        <v>2361</v>
      </c>
      <c r="G1375" s="45">
        <v>19200</v>
      </c>
      <c r="H1375" s="45">
        <v>192</v>
      </c>
    </row>
    <row r="1376" spans="1:8">
      <c r="A1376" s="78">
        <v>131310354047</v>
      </c>
      <c r="B1376" s="1" t="s">
        <v>8</v>
      </c>
      <c r="C1376" s="44" t="s">
        <v>2308</v>
      </c>
      <c r="D1376" s="1" t="s">
        <v>2360</v>
      </c>
      <c r="E1376" s="44" t="s">
        <v>2308</v>
      </c>
      <c r="F1376" s="38" t="s">
        <v>2361</v>
      </c>
      <c r="G1376" s="45">
        <v>8000</v>
      </c>
      <c r="H1376" s="45">
        <v>80</v>
      </c>
    </row>
    <row r="1377" spans="1:8">
      <c r="A1377" s="78">
        <v>131319428755</v>
      </c>
      <c r="B1377" s="1" t="s">
        <v>8</v>
      </c>
      <c r="C1377" s="44" t="s">
        <v>2316</v>
      </c>
      <c r="D1377" s="1" t="s">
        <v>2360</v>
      </c>
      <c r="E1377" s="44" t="s">
        <v>2316</v>
      </c>
      <c r="F1377" s="38" t="s">
        <v>2361</v>
      </c>
      <c r="G1377" s="45">
        <v>16000</v>
      </c>
      <c r="H1377" s="45">
        <v>160</v>
      </c>
    </row>
    <row r="1378" spans="1:8">
      <c r="A1378" s="78">
        <v>131916032026</v>
      </c>
      <c r="B1378" s="1" t="s">
        <v>2055</v>
      </c>
      <c r="C1378" s="44" t="s">
        <v>2316</v>
      </c>
      <c r="D1378" s="1" t="s">
        <v>2360</v>
      </c>
      <c r="E1378" s="44" t="s">
        <v>2316</v>
      </c>
      <c r="F1378" s="38" t="s">
        <v>2361</v>
      </c>
      <c r="G1378" s="45">
        <v>4800</v>
      </c>
      <c r="H1378" s="45">
        <v>48</v>
      </c>
    </row>
    <row r="1379" spans="1:8">
      <c r="A1379" s="78">
        <v>131916546200</v>
      </c>
      <c r="B1379" s="1" t="s">
        <v>2055</v>
      </c>
      <c r="C1379" s="44" t="s">
        <v>2316</v>
      </c>
      <c r="D1379" s="1" t="s">
        <v>2360</v>
      </c>
      <c r="E1379" s="44" t="s">
        <v>2316</v>
      </c>
      <c r="F1379" s="38" t="s">
        <v>2361</v>
      </c>
      <c r="G1379" s="45">
        <v>4800</v>
      </c>
      <c r="H1379" s="45">
        <v>48</v>
      </c>
    </row>
    <row r="1380" spans="1:8">
      <c r="A1380" s="78">
        <v>131916575874</v>
      </c>
      <c r="B1380" s="1" t="s">
        <v>8</v>
      </c>
      <c r="C1380" s="44" t="s">
        <v>2316</v>
      </c>
      <c r="D1380" s="1" t="s">
        <v>2360</v>
      </c>
      <c r="E1380" s="44" t="s">
        <v>2316</v>
      </c>
      <c r="F1380" s="38" t="s">
        <v>2361</v>
      </c>
      <c r="G1380" s="45">
        <v>23800</v>
      </c>
      <c r="H1380" s="45">
        <v>238</v>
      </c>
    </row>
    <row r="1381" spans="1:8">
      <c r="A1381" s="78">
        <v>131311443397</v>
      </c>
      <c r="B1381" s="1" t="s">
        <v>8</v>
      </c>
      <c r="C1381" s="44" t="s">
        <v>2308</v>
      </c>
      <c r="D1381" s="1" t="s">
        <v>2360</v>
      </c>
      <c r="E1381" s="44" t="s">
        <v>2308</v>
      </c>
      <c r="F1381" s="38" t="s">
        <v>2361</v>
      </c>
      <c r="G1381" s="45">
        <v>48300</v>
      </c>
      <c r="H1381" s="45">
        <v>483</v>
      </c>
    </row>
    <row r="1382" spans="1:8">
      <c r="A1382" s="78">
        <v>131319977785</v>
      </c>
      <c r="B1382" s="1" t="s">
        <v>8</v>
      </c>
      <c r="C1382" s="44" t="s">
        <v>2316</v>
      </c>
      <c r="D1382" s="1" t="s">
        <v>2360</v>
      </c>
      <c r="E1382" s="44" t="s">
        <v>2316</v>
      </c>
      <c r="F1382" s="38" t="s">
        <v>2361</v>
      </c>
      <c r="G1382" s="45">
        <v>4800</v>
      </c>
      <c r="H1382" s="45">
        <v>48</v>
      </c>
    </row>
    <row r="1383" spans="1:8">
      <c r="A1383" s="78">
        <v>131320133169</v>
      </c>
      <c r="B1383" s="1" t="s">
        <v>2055</v>
      </c>
      <c r="C1383" s="44" t="s">
        <v>2316</v>
      </c>
      <c r="D1383" s="1" t="s">
        <v>2360</v>
      </c>
      <c r="E1383" s="44" t="s">
        <v>2316</v>
      </c>
      <c r="F1383" s="38" t="s">
        <v>2361</v>
      </c>
      <c r="G1383" s="45">
        <v>42500</v>
      </c>
      <c r="H1383" s="45">
        <v>425</v>
      </c>
    </row>
    <row r="1384" spans="1:8">
      <c r="A1384" s="78">
        <v>131320310663</v>
      </c>
      <c r="B1384" s="1" t="s">
        <v>8</v>
      </c>
      <c r="C1384" s="44" t="s">
        <v>2316</v>
      </c>
      <c r="D1384" s="1" t="s">
        <v>2360</v>
      </c>
      <c r="E1384" s="44" t="s">
        <v>2316</v>
      </c>
      <c r="F1384" s="38" t="s">
        <v>2361</v>
      </c>
      <c r="G1384" s="45">
        <v>159000</v>
      </c>
      <c r="H1384" s="45">
        <v>1590</v>
      </c>
    </row>
    <row r="1385" spans="1:8">
      <c r="A1385" s="78">
        <v>131311969845</v>
      </c>
      <c r="B1385" s="1" t="s">
        <v>8</v>
      </c>
      <c r="C1385" s="44" t="s">
        <v>2308</v>
      </c>
      <c r="D1385" s="1" t="s">
        <v>2360</v>
      </c>
      <c r="E1385" s="44" t="s">
        <v>2308</v>
      </c>
      <c r="F1385" s="38" t="s">
        <v>2361</v>
      </c>
      <c r="G1385" s="45">
        <v>8200</v>
      </c>
      <c r="H1385" s="45">
        <v>82</v>
      </c>
    </row>
    <row r="1386" spans="1:8">
      <c r="A1386" s="78">
        <v>131312526083</v>
      </c>
      <c r="B1386" s="1" t="s">
        <v>8</v>
      </c>
      <c r="C1386" s="44" t="s">
        <v>2308</v>
      </c>
      <c r="D1386" s="1" t="s">
        <v>2360</v>
      </c>
      <c r="E1386" s="44" t="s">
        <v>2308</v>
      </c>
      <c r="F1386" s="38" t="s">
        <v>2361</v>
      </c>
      <c r="G1386" s="45">
        <v>43400</v>
      </c>
      <c r="H1386" s="45">
        <v>434</v>
      </c>
    </row>
    <row r="1387" spans="1:8">
      <c r="A1387" s="78">
        <v>131312521617</v>
      </c>
      <c r="B1387" s="1" t="s">
        <v>8</v>
      </c>
      <c r="C1387" s="44" t="s">
        <v>2308</v>
      </c>
      <c r="D1387" s="1" t="s">
        <v>2360</v>
      </c>
      <c r="E1387" s="44" t="s">
        <v>2308</v>
      </c>
      <c r="F1387" s="38" t="s">
        <v>2361</v>
      </c>
      <c r="G1387" s="45">
        <v>9600</v>
      </c>
      <c r="H1387" s="45">
        <v>96</v>
      </c>
    </row>
    <row r="1388" spans="1:8">
      <c r="A1388" s="78">
        <v>131917265204</v>
      </c>
      <c r="B1388" s="1" t="s">
        <v>8</v>
      </c>
      <c r="C1388" s="44" t="s">
        <v>2316</v>
      </c>
      <c r="D1388" s="1" t="s">
        <v>2360</v>
      </c>
      <c r="E1388" s="44" t="s">
        <v>2316</v>
      </c>
      <c r="F1388" s="38" t="s">
        <v>2361</v>
      </c>
      <c r="G1388" s="45">
        <v>26800</v>
      </c>
      <c r="H1388" s="45">
        <v>268</v>
      </c>
    </row>
    <row r="1389" spans="1:8">
      <c r="A1389" s="78">
        <v>131917283282</v>
      </c>
      <c r="B1389" s="1" t="s">
        <v>8</v>
      </c>
      <c r="C1389" s="44" t="s">
        <v>2316</v>
      </c>
      <c r="D1389" s="1" t="s">
        <v>2360</v>
      </c>
      <c r="E1389" s="44" t="s">
        <v>2316</v>
      </c>
      <c r="F1389" s="38" t="s">
        <v>2361</v>
      </c>
      <c r="G1389" s="45">
        <v>8000</v>
      </c>
      <c r="H1389" s="45">
        <v>80</v>
      </c>
    </row>
    <row r="1390" spans="1:8">
      <c r="A1390" s="78">
        <v>131320695005</v>
      </c>
      <c r="B1390" s="1" t="s">
        <v>8</v>
      </c>
      <c r="C1390" s="44" t="s">
        <v>2316</v>
      </c>
      <c r="D1390" s="1" t="s">
        <v>2360</v>
      </c>
      <c r="E1390" s="44" t="s">
        <v>2316</v>
      </c>
      <c r="F1390" s="38" t="s">
        <v>2361</v>
      </c>
      <c r="G1390" s="45">
        <v>22900</v>
      </c>
      <c r="H1390" s="45">
        <v>229</v>
      </c>
    </row>
    <row r="1391" spans="1:8">
      <c r="A1391" s="78">
        <v>131312741747</v>
      </c>
      <c r="B1391" s="1" t="s">
        <v>8</v>
      </c>
      <c r="C1391" s="44" t="s">
        <v>2308</v>
      </c>
      <c r="D1391" s="1" t="s">
        <v>2360</v>
      </c>
      <c r="E1391" s="44" t="s">
        <v>2308</v>
      </c>
      <c r="F1391" s="38" t="s">
        <v>2361</v>
      </c>
      <c r="G1391" s="45">
        <v>9100</v>
      </c>
      <c r="H1391" s="45">
        <v>91</v>
      </c>
    </row>
    <row r="1392" spans="1:8">
      <c r="A1392" s="78">
        <v>131320786849</v>
      </c>
      <c r="B1392" s="1" t="s">
        <v>2055</v>
      </c>
      <c r="C1392" s="44" t="s">
        <v>2316</v>
      </c>
      <c r="D1392" s="1" t="s">
        <v>2360</v>
      </c>
      <c r="E1392" s="44" t="s">
        <v>2316</v>
      </c>
      <c r="F1392" s="38" t="s">
        <v>2361</v>
      </c>
      <c r="G1392" s="45">
        <v>9600</v>
      </c>
      <c r="H1392" s="45">
        <v>96</v>
      </c>
    </row>
    <row r="1393" spans="1:8">
      <c r="A1393" s="78">
        <v>131917566708</v>
      </c>
      <c r="B1393" s="1" t="s">
        <v>2055</v>
      </c>
      <c r="C1393" s="44" t="s">
        <v>2316</v>
      </c>
      <c r="D1393" s="1" t="s">
        <v>2360</v>
      </c>
      <c r="E1393" s="44" t="s">
        <v>2316</v>
      </c>
      <c r="F1393" s="38" t="s">
        <v>2361</v>
      </c>
      <c r="G1393" s="45">
        <v>4800</v>
      </c>
      <c r="H1393" s="45">
        <v>48</v>
      </c>
    </row>
    <row r="1394" spans="1:8">
      <c r="A1394" s="78">
        <v>131320829761</v>
      </c>
      <c r="B1394" s="1" t="s">
        <v>8</v>
      </c>
      <c r="C1394" s="44" t="s">
        <v>2316</v>
      </c>
      <c r="D1394" s="1" t="s">
        <v>2360</v>
      </c>
      <c r="E1394" s="44" t="s">
        <v>2316</v>
      </c>
      <c r="F1394" s="38" t="s">
        <v>2361</v>
      </c>
      <c r="G1394" s="45">
        <v>14200</v>
      </c>
      <c r="H1394" s="45">
        <v>142</v>
      </c>
    </row>
    <row r="1395" spans="1:8">
      <c r="A1395" s="78">
        <v>131910008744</v>
      </c>
      <c r="B1395" s="1" t="s">
        <v>8</v>
      </c>
      <c r="C1395" s="44" t="s">
        <v>2308</v>
      </c>
      <c r="D1395" s="1" t="s">
        <v>2360</v>
      </c>
      <c r="E1395" s="44" t="s">
        <v>2308</v>
      </c>
      <c r="F1395" s="38" t="s">
        <v>2361</v>
      </c>
      <c r="G1395" s="45">
        <v>4400</v>
      </c>
      <c r="H1395" s="45">
        <v>44</v>
      </c>
    </row>
    <row r="1396" spans="1:8">
      <c r="A1396" s="78">
        <v>131917669410</v>
      </c>
      <c r="B1396" s="1" t="s">
        <v>8</v>
      </c>
      <c r="C1396" s="44" t="s">
        <v>2316</v>
      </c>
      <c r="D1396" s="1" t="s">
        <v>2360</v>
      </c>
      <c r="E1396" s="44" t="s">
        <v>2316</v>
      </c>
      <c r="F1396" s="38" t="s">
        <v>2361</v>
      </c>
      <c r="G1396" s="45">
        <v>4600</v>
      </c>
      <c r="H1396" s="45">
        <v>46</v>
      </c>
    </row>
    <row r="1397" spans="1:8">
      <c r="A1397" s="78">
        <v>131910231374</v>
      </c>
      <c r="B1397" s="1" t="s">
        <v>8</v>
      </c>
      <c r="C1397" s="44" t="s">
        <v>2308</v>
      </c>
      <c r="D1397" s="1" t="s">
        <v>2360</v>
      </c>
      <c r="E1397" s="44" t="s">
        <v>2308</v>
      </c>
      <c r="F1397" s="38" t="s">
        <v>2361</v>
      </c>
      <c r="G1397" s="45">
        <v>8200</v>
      </c>
      <c r="H1397" s="45">
        <v>82</v>
      </c>
    </row>
    <row r="1398" spans="1:8">
      <c r="A1398" s="78">
        <v>131321198139</v>
      </c>
      <c r="B1398" s="1" t="s">
        <v>8</v>
      </c>
      <c r="C1398" s="44" t="s">
        <v>2316</v>
      </c>
      <c r="D1398" s="1" t="s">
        <v>2360</v>
      </c>
      <c r="E1398" s="44" t="s">
        <v>2316</v>
      </c>
      <c r="F1398" s="38" t="s">
        <v>2361</v>
      </c>
      <c r="G1398" s="45">
        <v>4800</v>
      </c>
      <c r="H1398" s="45">
        <v>48</v>
      </c>
    </row>
    <row r="1399" spans="1:8">
      <c r="A1399" s="78">
        <v>131910426998</v>
      </c>
      <c r="B1399" s="1" t="s">
        <v>8</v>
      </c>
      <c r="C1399" s="44" t="s">
        <v>2308</v>
      </c>
      <c r="D1399" s="1" t="s">
        <v>2360</v>
      </c>
      <c r="E1399" s="44" t="s">
        <v>2308</v>
      </c>
      <c r="F1399" s="38" t="s">
        <v>2361</v>
      </c>
      <c r="G1399" s="45">
        <v>34600</v>
      </c>
      <c r="H1399" s="45">
        <v>346</v>
      </c>
    </row>
    <row r="1400" spans="1:8">
      <c r="A1400" s="78">
        <v>131313557783</v>
      </c>
      <c r="B1400" s="1" t="s">
        <v>8</v>
      </c>
      <c r="C1400" s="44" t="s">
        <v>2308</v>
      </c>
      <c r="D1400" s="1" t="s">
        <v>2360</v>
      </c>
      <c r="E1400" s="44" t="s">
        <v>2308</v>
      </c>
      <c r="F1400" s="38" t="s">
        <v>2361</v>
      </c>
      <c r="G1400" s="45">
        <v>4800</v>
      </c>
      <c r="H1400" s="45">
        <v>48</v>
      </c>
    </row>
    <row r="1401" spans="1:8">
      <c r="A1401" s="78">
        <v>131910955522</v>
      </c>
      <c r="B1401" s="1" t="s">
        <v>2055</v>
      </c>
      <c r="C1401" s="44" t="s">
        <v>2308</v>
      </c>
      <c r="D1401" s="1" t="s">
        <v>2360</v>
      </c>
      <c r="E1401" s="44" t="s">
        <v>2308</v>
      </c>
      <c r="F1401" s="38" t="s">
        <v>2361</v>
      </c>
      <c r="G1401" s="45">
        <v>6000</v>
      </c>
      <c r="H1401" s="45">
        <v>60</v>
      </c>
    </row>
    <row r="1402" spans="1:8">
      <c r="A1402" s="78">
        <v>131314279823</v>
      </c>
      <c r="B1402" s="1" t="s">
        <v>8</v>
      </c>
      <c r="C1402" s="44" t="s">
        <v>2308</v>
      </c>
      <c r="D1402" s="1" t="s">
        <v>2360</v>
      </c>
      <c r="E1402" s="44" t="s">
        <v>2316</v>
      </c>
      <c r="F1402" s="38" t="s">
        <v>2361</v>
      </c>
      <c r="G1402" s="45">
        <v>48600</v>
      </c>
      <c r="H1402" s="45">
        <v>486</v>
      </c>
    </row>
    <row r="1403" spans="1:8">
      <c r="A1403" s="78">
        <v>131911758332</v>
      </c>
      <c r="B1403" s="1" t="s">
        <v>8</v>
      </c>
      <c r="C1403" s="44" t="s">
        <v>2308</v>
      </c>
      <c r="D1403" s="1" t="s">
        <v>2360</v>
      </c>
      <c r="E1403" s="44" t="s">
        <v>2316</v>
      </c>
      <c r="F1403" s="38" t="s">
        <v>2361</v>
      </c>
      <c r="G1403" s="45">
        <v>4800</v>
      </c>
      <c r="H1403" s="45">
        <v>48</v>
      </c>
    </row>
    <row r="1404" spans="1:8">
      <c r="A1404" s="78">
        <v>131911831956</v>
      </c>
      <c r="B1404" s="1" t="s">
        <v>2055</v>
      </c>
      <c r="C1404" s="44" t="s">
        <v>2308</v>
      </c>
      <c r="D1404" s="1" t="s">
        <v>2360</v>
      </c>
      <c r="E1404" s="44" t="s">
        <v>2316</v>
      </c>
      <c r="F1404" s="38" t="s">
        <v>2361</v>
      </c>
      <c r="G1404" s="45">
        <v>33950</v>
      </c>
      <c r="H1404" s="45">
        <v>339.5</v>
      </c>
    </row>
    <row r="1405" spans="1:8">
      <c r="A1405" s="78">
        <v>131315445485</v>
      </c>
      <c r="B1405" s="1" t="s">
        <v>8</v>
      </c>
      <c r="C1405" s="44" t="s">
        <v>2308</v>
      </c>
      <c r="D1405" s="1" t="s">
        <v>2360</v>
      </c>
      <c r="E1405" s="44" t="s">
        <v>2316</v>
      </c>
      <c r="F1405" s="38" t="s">
        <v>2361</v>
      </c>
      <c r="G1405" s="45">
        <v>34000</v>
      </c>
      <c r="H1405" s="45">
        <v>340</v>
      </c>
    </row>
    <row r="1406" spans="1:8">
      <c r="A1406" s="78">
        <v>131911994644</v>
      </c>
      <c r="B1406" s="1" t="s">
        <v>8</v>
      </c>
      <c r="C1406" s="44" t="s">
        <v>2308</v>
      </c>
      <c r="D1406" s="1" t="s">
        <v>2360</v>
      </c>
      <c r="E1406" s="44" t="s">
        <v>2316</v>
      </c>
      <c r="F1406" s="38" t="s">
        <v>2361</v>
      </c>
      <c r="G1406" s="45">
        <v>4000</v>
      </c>
      <c r="H1406" s="45">
        <v>40</v>
      </c>
    </row>
    <row r="1407" spans="1:8">
      <c r="A1407" s="78">
        <v>131315987293</v>
      </c>
      <c r="B1407" s="1" t="s">
        <v>2055</v>
      </c>
      <c r="C1407" s="44" t="s">
        <v>2308</v>
      </c>
      <c r="D1407" s="1" t="s">
        <v>2360</v>
      </c>
      <c r="E1407" s="44" t="s">
        <v>2316</v>
      </c>
      <c r="F1407" s="38" t="s">
        <v>2361</v>
      </c>
      <c r="G1407" s="45">
        <v>13200</v>
      </c>
      <c r="H1407" s="45">
        <v>132</v>
      </c>
    </row>
    <row r="1408" spans="1:8">
      <c r="A1408" s="78">
        <v>131316233559</v>
      </c>
      <c r="B1408" s="1" t="s">
        <v>8</v>
      </c>
      <c r="C1408" s="44" t="s">
        <v>2308</v>
      </c>
      <c r="D1408" s="1" t="s">
        <v>2360</v>
      </c>
      <c r="E1408" s="44" t="s">
        <v>2316</v>
      </c>
      <c r="F1408" s="38" t="s">
        <v>2361</v>
      </c>
      <c r="G1408" s="45">
        <v>11000</v>
      </c>
      <c r="H1408" s="45">
        <v>110</v>
      </c>
    </row>
    <row r="1409" spans="1:8">
      <c r="A1409" s="78">
        <v>131316259873</v>
      </c>
      <c r="B1409" s="1" t="s">
        <v>2055</v>
      </c>
      <c r="C1409" s="44" t="s">
        <v>2308</v>
      </c>
      <c r="D1409" s="1" t="s">
        <v>2360</v>
      </c>
      <c r="E1409" s="44" t="s">
        <v>2316</v>
      </c>
      <c r="F1409" s="38" t="s">
        <v>2361</v>
      </c>
      <c r="G1409" s="45">
        <v>33800</v>
      </c>
      <c r="H1409" s="45">
        <v>338</v>
      </c>
    </row>
    <row r="1410" spans="1:8">
      <c r="A1410" s="78">
        <v>131913233904</v>
      </c>
      <c r="B1410" s="1" t="s">
        <v>8</v>
      </c>
      <c r="C1410" s="44" t="s">
        <v>2308</v>
      </c>
      <c r="D1410" s="1" t="s">
        <v>2360</v>
      </c>
      <c r="E1410" s="44" t="s">
        <v>2316</v>
      </c>
      <c r="F1410" s="38" t="s">
        <v>2361</v>
      </c>
      <c r="G1410" s="45">
        <v>30900</v>
      </c>
      <c r="H1410" s="45">
        <v>309</v>
      </c>
    </row>
    <row r="1411" spans="1:8">
      <c r="A1411" s="78">
        <v>131913625570</v>
      </c>
      <c r="B1411" s="1" t="s">
        <v>8</v>
      </c>
      <c r="C1411" s="44" t="s">
        <v>2308</v>
      </c>
      <c r="D1411" s="1" t="s">
        <v>2360</v>
      </c>
      <c r="E1411" s="44" t="s">
        <v>2316</v>
      </c>
      <c r="F1411" s="38" t="s">
        <v>2361</v>
      </c>
      <c r="G1411" s="45">
        <v>64500</v>
      </c>
      <c r="H1411" s="45">
        <v>645</v>
      </c>
    </row>
    <row r="1412" spans="1:8">
      <c r="A1412" s="78">
        <v>131914746862</v>
      </c>
      <c r="B1412" s="1" t="s">
        <v>8</v>
      </c>
      <c r="C1412" s="44" t="s">
        <v>2316</v>
      </c>
      <c r="D1412" s="1" t="s">
        <v>2360</v>
      </c>
      <c r="E1412" s="44" t="s">
        <v>2316</v>
      </c>
      <c r="F1412" s="38" t="s">
        <v>2361</v>
      </c>
      <c r="G1412" s="45">
        <v>9600</v>
      </c>
      <c r="H1412" s="45">
        <v>96</v>
      </c>
    </row>
    <row r="1413" spans="1:8">
      <c r="A1413" s="78">
        <v>131318108529</v>
      </c>
      <c r="B1413" s="1" t="s">
        <v>8</v>
      </c>
      <c r="C1413" s="44" t="s">
        <v>2316</v>
      </c>
      <c r="D1413" s="1" t="s">
        <v>2360</v>
      </c>
      <c r="E1413" s="44" t="s">
        <v>2316</v>
      </c>
      <c r="F1413" s="38" t="s">
        <v>2361</v>
      </c>
      <c r="G1413" s="45">
        <v>16500</v>
      </c>
      <c r="H1413" s="45">
        <v>165</v>
      </c>
    </row>
    <row r="1414" spans="1:8">
      <c r="A1414" s="78">
        <v>131914914580</v>
      </c>
      <c r="B1414" s="1" t="s">
        <v>8</v>
      </c>
      <c r="C1414" s="44" t="s">
        <v>2316</v>
      </c>
      <c r="D1414" s="1" t="s">
        <v>2360</v>
      </c>
      <c r="E1414" s="44" t="s">
        <v>2316</v>
      </c>
      <c r="F1414" s="38" t="s">
        <v>2361</v>
      </c>
      <c r="G1414" s="45">
        <v>41200</v>
      </c>
      <c r="H1414" s="45">
        <v>412</v>
      </c>
    </row>
    <row r="1415" spans="1:8">
      <c r="A1415" s="78">
        <v>131318639651</v>
      </c>
      <c r="B1415" s="1" t="s">
        <v>2055</v>
      </c>
      <c r="C1415" s="44" t="s">
        <v>2316</v>
      </c>
      <c r="D1415" s="1" t="s">
        <v>2360</v>
      </c>
      <c r="E1415" s="44" t="s">
        <v>2316</v>
      </c>
      <c r="F1415" s="38" t="s">
        <v>2361</v>
      </c>
      <c r="G1415" s="45">
        <v>4400</v>
      </c>
      <c r="H1415" s="45">
        <v>44</v>
      </c>
    </row>
    <row r="1416" spans="1:8">
      <c r="A1416" s="78">
        <v>131319369569</v>
      </c>
      <c r="B1416" s="1" t="s">
        <v>8</v>
      </c>
      <c r="C1416" s="44" t="s">
        <v>2316</v>
      </c>
      <c r="D1416" s="1" t="s">
        <v>2360</v>
      </c>
      <c r="E1416" s="44" t="s">
        <v>2316</v>
      </c>
      <c r="F1416" s="38" t="s">
        <v>2361</v>
      </c>
      <c r="G1416" s="45">
        <v>9800</v>
      </c>
      <c r="H1416" s="45">
        <v>98</v>
      </c>
    </row>
    <row r="1417" spans="1:8">
      <c r="A1417" s="78">
        <v>131916342834</v>
      </c>
      <c r="B1417" s="1" t="s">
        <v>8</v>
      </c>
      <c r="C1417" s="44" t="s">
        <v>2316</v>
      </c>
      <c r="D1417" s="1" t="s">
        <v>2360</v>
      </c>
      <c r="E1417" s="44" t="s">
        <v>2316</v>
      </c>
      <c r="F1417" s="38" t="s">
        <v>2361</v>
      </c>
      <c r="G1417" s="45">
        <v>4800</v>
      </c>
      <c r="H1417" s="45">
        <v>48</v>
      </c>
    </row>
    <row r="1418" spans="1:8">
      <c r="A1418" s="78">
        <v>131916342992</v>
      </c>
      <c r="B1418" s="1" t="s">
        <v>8</v>
      </c>
      <c r="C1418" s="44" t="s">
        <v>2316</v>
      </c>
      <c r="D1418" s="1" t="s">
        <v>2360</v>
      </c>
      <c r="E1418" s="44" t="s">
        <v>2316</v>
      </c>
      <c r="F1418" s="38" t="s">
        <v>2361</v>
      </c>
      <c r="G1418" s="45">
        <v>26100</v>
      </c>
      <c r="H1418" s="45">
        <v>261</v>
      </c>
    </row>
    <row r="1419" spans="1:8">
      <c r="A1419" s="78">
        <v>131319845291</v>
      </c>
      <c r="B1419" s="1" t="s">
        <v>8</v>
      </c>
      <c r="C1419" s="44" t="s">
        <v>2316</v>
      </c>
      <c r="D1419" s="1" t="s">
        <v>2360</v>
      </c>
      <c r="E1419" s="44" t="s">
        <v>2316</v>
      </c>
      <c r="F1419" s="38" t="s">
        <v>2361</v>
      </c>
      <c r="G1419" s="45">
        <v>16500</v>
      </c>
      <c r="H1419" s="45">
        <v>165</v>
      </c>
    </row>
    <row r="1420" spans="1:8">
      <c r="A1420" s="78">
        <v>131320327125</v>
      </c>
      <c r="B1420" s="1" t="s">
        <v>8</v>
      </c>
      <c r="C1420" s="44" t="s">
        <v>2316</v>
      </c>
      <c r="D1420" s="1" t="s">
        <v>2360</v>
      </c>
      <c r="E1420" s="44" t="s">
        <v>2316</v>
      </c>
      <c r="F1420" s="38" t="s">
        <v>2361</v>
      </c>
      <c r="G1420" s="45">
        <v>8800</v>
      </c>
      <c r="H1420" s="45">
        <v>88</v>
      </c>
    </row>
    <row r="1421" spans="1:8">
      <c r="A1421" s="78">
        <v>131320643815</v>
      </c>
      <c r="B1421" s="1" t="s">
        <v>8</v>
      </c>
      <c r="C1421" s="44" t="s">
        <v>2316</v>
      </c>
      <c r="D1421" s="1" t="s">
        <v>2360</v>
      </c>
      <c r="E1421" s="44" t="s">
        <v>2316</v>
      </c>
      <c r="F1421" s="38" t="s">
        <v>2361</v>
      </c>
      <c r="G1421" s="45">
        <v>45200</v>
      </c>
      <c r="H1421" s="45">
        <v>452</v>
      </c>
    </row>
    <row r="1422" spans="1:8">
      <c r="A1422" s="78">
        <v>131917577150</v>
      </c>
      <c r="B1422" s="1" t="s">
        <v>8</v>
      </c>
      <c r="C1422" s="44" t="s">
        <v>2316</v>
      </c>
      <c r="D1422" s="1" t="s">
        <v>2360</v>
      </c>
      <c r="E1422" s="44" t="s">
        <v>2316</v>
      </c>
      <c r="F1422" s="38" t="s">
        <v>2361</v>
      </c>
      <c r="G1422" s="45">
        <v>4200</v>
      </c>
      <c r="H1422" s="45">
        <v>42</v>
      </c>
    </row>
    <row r="1423" spans="1:8">
      <c r="A1423" s="78">
        <v>131917714840</v>
      </c>
      <c r="B1423" s="1" t="s">
        <v>8</v>
      </c>
      <c r="C1423" s="44" t="s">
        <v>2316</v>
      </c>
      <c r="D1423" s="1" t="s">
        <v>2360</v>
      </c>
      <c r="E1423" s="44" t="s">
        <v>2316</v>
      </c>
      <c r="F1423" s="38" t="s">
        <v>2361</v>
      </c>
      <c r="G1423" s="45">
        <v>24800</v>
      </c>
      <c r="H1423" s="45">
        <v>248</v>
      </c>
    </row>
    <row r="1424" spans="1:8">
      <c r="A1424" s="78">
        <v>131918000406</v>
      </c>
      <c r="B1424" s="1" t="s">
        <v>8</v>
      </c>
      <c r="C1424" s="44" t="s">
        <v>2316</v>
      </c>
      <c r="D1424" s="1" t="s">
        <v>2360</v>
      </c>
      <c r="E1424" s="44" t="s">
        <v>2316</v>
      </c>
      <c r="F1424" s="38" t="s">
        <v>2361</v>
      </c>
      <c r="G1424" s="45">
        <v>26000</v>
      </c>
      <c r="H1424" s="45">
        <v>260</v>
      </c>
    </row>
    <row r="1425" spans="1:8">
      <c r="A1425" s="78">
        <v>131426444169</v>
      </c>
      <c r="B1425" s="1" t="s">
        <v>8</v>
      </c>
      <c r="C1425" s="44" t="s">
        <v>2316</v>
      </c>
      <c r="D1425" s="1" t="s">
        <v>2360</v>
      </c>
      <c r="E1425" s="44" t="s">
        <v>2316</v>
      </c>
      <c r="F1425" s="38" t="s">
        <v>2361</v>
      </c>
      <c r="G1425" s="45">
        <v>9600</v>
      </c>
      <c r="H1425" s="45">
        <v>96</v>
      </c>
    </row>
    <row r="1426" spans="1:8">
      <c r="A1426" s="78">
        <v>132024371420</v>
      </c>
      <c r="B1426" s="1" t="s">
        <v>8</v>
      </c>
      <c r="C1426" s="44" t="s">
        <v>2316</v>
      </c>
      <c r="D1426" s="1" t="s">
        <v>2360</v>
      </c>
      <c r="E1426" s="44" t="s">
        <v>2316</v>
      </c>
      <c r="F1426" s="38" t="s">
        <v>2361</v>
      </c>
      <c r="G1426" s="45">
        <v>9600</v>
      </c>
      <c r="H1426" s="45">
        <v>96</v>
      </c>
    </row>
    <row r="1427" spans="1:8">
      <c r="A1427" s="78">
        <v>131431493777</v>
      </c>
      <c r="B1427" s="1" t="s">
        <v>8</v>
      </c>
      <c r="C1427" s="44" t="s">
        <v>2316</v>
      </c>
      <c r="D1427" s="1" t="s">
        <v>2360</v>
      </c>
      <c r="E1427" s="44" t="s">
        <v>2316</v>
      </c>
      <c r="F1427" s="38" t="s">
        <v>2361</v>
      </c>
      <c r="G1427" s="45">
        <v>11800</v>
      </c>
      <c r="H1427" s="45">
        <v>118</v>
      </c>
    </row>
    <row r="1428" spans="1:8">
      <c r="A1428" s="78">
        <v>132033280404</v>
      </c>
      <c r="B1428" s="1" t="s">
        <v>8</v>
      </c>
      <c r="C1428" s="44" t="s">
        <v>2316</v>
      </c>
      <c r="D1428" s="1" t="s">
        <v>2360</v>
      </c>
      <c r="E1428" s="44" t="s">
        <v>2316</v>
      </c>
      <c r="F1428" s="38" t="s">
        <v>2361</v>
      </c>
      <c r="G1428" s="45">
        <v>19900</v>
      </c>
      <c r="H1428" s="45">
        <v>199</v>
      </c>
    </row>
    <row r="1429" spans="1:8">
      <c r="A1429" s="78">
        <v>131437180631</v>
      </c>
      <c r="B1429" s="1" t="s">
        <v>8</v>
      </c>
      <c r="C1429" s="44" t="s">
        <v>2316</v>
      </c>
      <c r="D1429" s="1" t="s">
        <v>2360</v>
      </c>
      <c r="E1429" s="44" t="s">
        <v>2316</v>
      </c>
      <c r="F1429" s="38" t="s">
        <v>2361</v>
      </c>
      <c r="G1429" s="45">
        <v>9600</v>
      </c>
      <c r="H1429" s="45">
        <v>96</v>
      </c>
    </row>
    <row r="1430" spans="1:8">
      <c r="A1430" s="78">
        <v>131438131109</v>
      </c>
      <c r="B1430" s="1" t="s">
        <v>8</v>
      </c>
      <c r="C1430" s="44" t="s">
        <v>2316</v>
      </c>
      <c r="D1430" s="1" t="s">
        <v>2360</v>
      </c>
      <c r="E1430" s="44" t="s">
        <v>2316</v>
      </c>
      <c r="F1430" s="38" t="s">
        <v>2361</v>
      </c>
      <c r="G1430" s="45">
        <v>9600</v>
      </c>
      <c r="H1430" s="45">
        <v>96</v>
      </c>
    </row>
    <row r="1431" spans="1:8">
      <c r="A1431" s="78">
        <v>131440703545</v>
      </c>
      <c r="B1431" s="1" t="s">
        <v>8</v>
      </c>
      <c r="C1431" s="44" t="s">
        <v>2316</v>
      </c>
      <c r="D1431" s="1" t="s">
        <v>2360</v>
      </c>
      <c r="E1431" s="44" t="s">
        <v>2316</v>
      </c>
      <c r="F1431" s="38" t="s">
        <v>2361</v>
      </c>
      <c r="G1431" s="45">
        <v>39800</v>
      </c>
      <c r="H1431" s="45">
        <v>398</v>
      </c>
    </row>
    <row r="1432" spans="1:8">
      <c r="A1432" s="78">
        <v>131442369167</v>
      </c>
      <c r="B1432" s="1" t="s">
        <v>8</v>
      </c>
      <c r="C1432" s="44" t="s">
        <v>2316</v>
      </c>
      <c r="D1432" s="1" t="s">
        <v>2360</v>
      </c>
      <c r="E1432" s="44" t="s">
        <v>2316</v>
      </c>
      <c r="F1432" s="38" t="s">
        <v>2361</v>
      </c>
      <c r="G1432" s="45">
        <v>33200</v>
      </c>
      <c r="H1432" s="45">
        <v>332</v>
      </c>
    </row>
    <row r="1433" spans="1:8">
      <c r="A1433" s="78">
        <v>132040086204</v>
      </c>
      <c r="B1433" s="1" t="s">
        <v>8</v>
      </c>
      <c r="C1433" s="44" t="s">
        <v>2316</v>
      </c>
      <c r="D1433" s="1" t="s">
        <v>2360</v>
      </c>
      <c r="E1433" s="44" t="s">
        <v>2316</v>
      </c>
      <c r="F1433" s="38" t="s">
        <v>2361</v>
      </c>
      <c r="G1433" s="45">
        <v>48800</v>
      </c>
      <c r="H1433" s="45">
        <v>488</v>
      </c>
    </row>
    <row r="1434" spans="1:8">
      <c r="A1434" s="78">
        <v>132026588886</v>
      </c>
      <c r="B1434" s="1" t="s">
        <v>8</v>
      </c>
      <c r="C1434" s="44" t="s">
        <v>2316</v>
      </c>
      <c r="D1434" s="1" t="s">
        <v>2360</v>
      </c>
      <c r="E1434" s="44" t="s">
        <v>2316</v>
      </c>
      <c r="F1434" s="38" t="s">
        <v>2361</v>
      </c>
      <c r="G1434" s="45">
        <v>8800</v>
      </c>
      <c r="H1434" s="45">
        <v>88</v>
      </c>
    </row>
    <row r="1435" spans="1:8">
      <c r="A1435" s="78">
        <v>131443126827</v>
      </c>
      <c r="B1435" s="1" t="s">
        <v>8</v>
      </c>
      <c r="C1435" s="44" t="s">
        <v>2316</v>
      </c>
      <c r="D1435" s="1" t="s">
        <v>2360</v>
      </c>
      <c r="E1435" s="44" t="s">
        <v>2316</v>
      </c>
      <c r="F1435" s="38" t="s">
        <v>2361</v>
      </c>
      <c r="G1435" s="45">
        <v>29200</v>
      </c>
      <c r="H1435" s="45">
        <v>292</v>
      </c>
    </row>
    <row r="1436" spans="1:8">
      <c r="A1436" s="78">
        <v>132040871854</v>
      </c>
      <c r="B1436" s="1" t="s">
        <v>2055</v>
      </c>
      <c r="C1436" s="44" t="s">
        <v>2316</v>
      </c>
      <c r="D1436" s="1" t="s">
        <v>2360</v>
      </c>
      <c r="E1436" s="44" t="s">
        <v>2316</v>
      </c>
      <c r="F1436" s="38" t="s">
        <v>2361</v>
      </c>
      <c r="G1436" s="45">
        <v>11040</v>
      </c>
      <c r="H1436" s="45">
        <v>110.4</v>
      </c>
    </row>
    <row r="1437" spans="1:8">
      <c r="A1437" s="78">
        <v>132042598568</v>
      </c>
      <c r="B1437" s="1" t="s">
        <v>2055</v>
      </c>
      <c r="C1437" s="44" t="s">
        <v>2316</v>
      </c>
      <c r="D1437" s="1" t="s">
        <v>2360</v>
      </c>
      <c r="E1437" s="44" t="s">
        <v>2316</v>
      </c>
      <c r="F1437" s="38" t="s">
        <v>2361</v>
      </c>
      <c r="G1437" s="45">
        <v>20200</v>
      </c>
      <c r="H1437" s="45">
        <v>202</v>
      </c>
    </row>
    <row r="1438" spans="1:8">
      <c r="A1438" s="78">
        <v>131445281177</v>
      </c>
      <c r="B1438" s="1" t="s">
        <v>2055</v>
      </c>
      <c r="C1438" s="44" t="s">
        <v>2316</v>
      </c>
      <c r="D1438" s="1" t="s">
        <v>2360</v>
      </c>
      <c r="E1438" s="44" t="s">
        <v>2316</v>
      </c>
      <c r="F1438" s="38" t="s">
        <v>2361</v>
      </c>
      <c r="G1438" s="45">
        <v>58100</v>
      </c>
      <c r="H1438" s="45">
        <v>581</v>
      </c>
    </row>
    <row r="1439" spans="1:8">
      <c r="A1439" s="78">
        <v>132032843916</v>
      </c>
      <c r="B1439" s="1" t="s">
        <v>2055</v>
      </c>
      <c r="C1439" s="44" t="s">
        <v>2316</v>
      </c>
      <c r="D1439" s="1" t="s">
        <v>2360</v>
      </c>
      <c r="E1439" s="44" t="s">
        <v>2316</v>
      </c>
      <c r="F1439" s="38" t="s">
        <v>2361</v>
      </c>
      <c r="G1439" s="45">
        <v>4200</v>
      </c>
      <c r="H1439" s="45">
        <v>42</v>
      </c>
    </row>
    <row r="1440" spans="1:8">
      <c r="A1440" s="78">
        <v>132035156628</v>
      </c>
      <c r="B1440" s="1" t="s">
        <v>2055</v>
      </c>
      <c r="C1440" s="44" t="s">
        <v>2316</v>
      </c>
      <c r="D1440" s="1" t="s">
        <v>2360</v>
      </c>
      <c r="E1440" s="44" t="s">
        <v>2316</v>
      </c>
      <c r="F1440" s="38" t="s">
        <v>2361</v>
      </c>
      <c r="G1440" s="45">
        <v>9600</v>
      </c>
      <c r="H1440" s="45">
        <v>96</v>
      </c>
    </row>
    <row r="1441" spans="1:8">
      <c r="A1441" s="78">
        <v>131450361471</v>
      </c>
      <c r="B1441" s="1" t="s">
        <v>8</v>
      </c>
      <c r="C1441" s="44" t="s">
        <v>2316</v>
      </c>
      <c r="D1441" s="1" t="s">
        <v>2360</v>
      </c>
      <c r="E1441" s="44" t="s">
        <v>2316</v>
      </c>
      <c r="F1441" s="38" t="s">
        <v>2361</v>
      </c>
      <c r="G1441" s="45">
        <v>47100</v>
      </c>
      <c r="H1441" s="45">
        <v>471</v>
      </c>
    </row>
    <row r="1442" spans="1:8">
      <c r="A1442" s="78">
        <v>132035989400</v>
      </c>
      <c r="B1442" s="1" t="s">
        <v>8</v>
      </c>
      <c r="C1442" s="44" t="s">
        <v>2316</v>
      </c>
      <c r="D1442" s="1" t="s">
        <v>2360</v>
      </c>
      <c r="E1442" s="44" t="s">
        <v>2316</v>
      </c>
      <c r="F1442" s="38" t="s">
        <v>2361</v>
      </c>
      <c r="G1442" s="45">
        <v>9600</v>
      </c>
      <c r="H1442" s="45">
        <v>96</v>
      </c>
    </row>
    <row r="1443" spans="1:8">
      <c r="A1443" s="78">
        <v>131451440131</v>
      </c>
      <c r="B1443" s="1" t="s">
        <v>8</v>
      </c>
      <c r="C1443" s="44" t="s">
        <v>2316</v>
      </c>
      <c r="D1443" s="1" t="s">
        <v>2360</v>
      </c>
      <c r="E1443" s="44" t="s">
        <v>2316</v>
      </c>
      <c r="F1443" s="38" t="s">
        <v>2361</v>
      </c>
      <c r="G1443" s="45">
        <v>35400</v>
      </c>
      <c r="H1443" s="45">
        <v>354</v>
      </c>
    </row>
    <row r="1444" spans="1:8">
      <c r="A1444" s="78">
        <v>132049026310</v>
      </c>
      <c r="B1444" s="1" t="s">
        <v>8</v>
      </c>
      <c r="C1444" s="44" t="s">
        <v>2316</v>
      </c>
      <c r="D1444" s="1" t="s">
        <v>2360</v>
      </c>
      <c r="E1444" s="44" t="s">
        <v>2316</v>
      </c>
      <c r="F1444" s="38" t="s">
        <v>2361</v>
      </c>
      <c r="G1444" s="45">
        <v>13000</v>
      </c>
      <c r="H1444" s="45">
        <v>130</v>
      </c>
    </row>
    <row r="1445" spans="1:8">
      <c r="A1445" s="78">
        <v>131440599777</v>
      </c>
      <c r="B1445" s="1" t="s">
        <v>2055</v>
      </c>
      <c r="C1445" s="44" t="s">
        <v>2316</v>
      </c>
      <c r="D1445" s="1" t="s">
        <v>2360</v>
      </c>
      <c r="E1445" s="44" t="s">
        <v>2316</v>
      </c>
      <c r="F1445" s="38" t="s">
        <v>2361</v>
      </c>
      <c r="G1445" s="45">
        <v>55000</v>
      </c>
      <c r="H1445" s="45">
        <v>550</v>
      </c>
    </row>
    <row r="1446" spans="1:8">
      <c r="A1446" s="78">
        <v>131454294961</v>
      </c>
      <c r="B1446" s="1" t="s">
        <v>8</v>
      </c>
      <c r="C1446" s="44" t="s">
        <v>2316</v>
      </c>
      <c r="D1446" s="1" t="s">
        <v>2360</v>
      </c>
      <c r="E1446" s="44" t="s">
        <v>2316</v>
      </c>
      <c r="F1446" s="38" t="s">
        <v>2361</v>
      </c>
      <c r="G1446" s="45">
        <v>82300</v>
      </c>
      <c r="H1446" s="45">
        <v>823</v>
      </c>
    </row>
    <row r="1447" spans="1:8">
      <c r="A1447" s="78">
        <v>132038856812</v>
      </c>
      <c r="B1447" s="1" t="s">
        <v>2055</v>
      </c>
      <c r="C1447" s="44" t="s">
        <v>2316</v>
      </c>
      <c r="D1447" s="1" t="s">
        <v>2360</v>
      </c>
      <c r="E1447" s="44" t="s">
        <v>2316</v>
      </c>
      <c r="F1447" s="38" t="s">
        <v>2361</v>
      </c>
      <c r="G1447" s="45">
        <v>43300</v>
      </c>
      <c r="H1447" s="45">
        <v>433</v>
      </c>
    </row>
    <row r="1448" spans="1:8">
      <c r="A1448" s="78">
        <v>131442820443</v>
      </c>
      <c r="B1448" s="1" t="s">
        <v>2055</v>
      </c>
      <c r="C1448" s="44" t="s">
        <v>2316</v>
      </c>
      <c r="D1448" s="1" t="s">
        <v>2360</v>
      </c>
      <c r="E1448" s="44" t="s">
        <v>2316</v>
      </c>
      <c r="F1448" s="38" t="s">
        <v>2361</v>
      </c>
      <c r="G1448" s="45">
        <v>5900</v>
      </c>
      <c r="H1448" s="45">
        <v>59</v>
      </c>
    </row>
    <row r="1449" spans="1:8">
      <c r="A1449" s="78">
        <v>131442949423</v>
      </c>
      <c r="B1449" s="1" t="s">
        <v>2055</v>
      </c>
      <c r="C1449" s="44" t="s">
        <v>2316</v>
      </c>
      <c r="D1449" s="1" t="s">
        <v>2360</v>
      </c>
      <c r="E1449" s="44" t="s">
        <v>2316</v>
      </c>
      <c r="F1449" s="38" t="s">
        <v>2361</v>
      </c>
      <c r="G1449" s="45">
        <v>28800</v>
      </c>
      <c r="H1449" s="45">
        <v>288</v>
      </c>
    </row>
    <row r="1450" spans="1:8">
      <c r="A1450" s="78">
        <v>131446697595</v>
      </c>
      <c r="B1450" s="1" t="s">
        <v>2055</v>
      </c>
      <c r="C1450" s="44" t="s">
        <v>2316</v>
      </c>
      <c r="D1450" s="1" t="s">
        <v>2360</v>
      </c>
      <c r="E1450" s="44" t="s">
        <v>2316</v>
      </c>
      <c r="F1450" s="38" t="s">
        <v>2361</v>
      </c>
      <c r="G1450" s="45">
        <v>47400</v>
      </c>
      <c r="H1450" s="45">
        <v>474</v>
      </c>
    </row>
    <row r="1451" spans="1:8">
      <c r="A1451" s="78">
        <v>131447307481</v>
      </c>
      <c r="B1451" s="1" t="s">
        <v>8</v>
      </c>
      <c r="C1451" s="44" t="s">
        <v>2316</v>
      </c>
      <c r="D1451" s="1" t="s">
        <v>2360</v>
      </c>
      <c r="E1451" s="44" t="s">
        <v>2316</v>
      </c>
      <c r="F1451" s="38" t="s">
        <v>2361</v>
      </c>
      <c r="G1451" s="45">
        <v>4800</v>
      </c>
      <c r="H1451" s="45">
        <v>48</v>
      </c>
    </row>
    <row r="1452" spans="1:8">
      <c r="A1452" s="78">
        <v>131449789851</v>
      </c>
      <c r="B1452" s="1" t="s">
        <v>8</v>
      </c>
      <c r="C1452" s="44" t="s">
        <v>2316</v>
      </c>
      <c r="D1452" s="1" t="s">
        <v>2360</v>
      </c>
      <c r="E1452" s="44" t="s">
        <v>2316</v>
      </c>
      <c r="F1452" s="38" t="s">
        <v>2361</v>
      </c>
      <c r="G1452" s="45">
        <v>64600</v>
      </c>
      <c r="H1452" s="45">
        <v>646</v>
      </c>
    </row>
    <row r="1453" spans="1:8">
      <c r="A1453" s="78">
        <v>131450205625</v>
      </c>
      <c r="B1453" s="1" t="s">
        <v>8</v>
      </c>
      <c r="C1453" s="44" t="s">
        <v>2316</v>
      </c>
      <c r="D1453" s="1" t="s">
        <v>2360</v>
      </c>
      <c r="E1453" s="44" t="s">
        <v>2316</v>
      </c>
      <c r="F1453" s="38" t="s">
        <v>2361</v>
      </c>
      <c r="G1453" s="45">
        <v>9200</v>
      </c>
      <c r="H1453" s="45">
        <v>92</v>
      </c>
    </row>
    <row r="1454" spans="1:8">
      <c r="A1454" s="78">
        <v>131450649595</v>
      </c>
      <c r="B1454" s="1" t="s">
        <v>8</v>
      </c>
      <c r="C1454" s="44" t="s">
        <v>2316</v>
      </c>
      <c r="D1454" s="1" t="s">
        <v>2360</v>
      </c>
      <c r="E1454" s="44" t="s">
        <v>2316</v>
      </c>
      <c r="F1454" s="38" t="s">
        <v>2361</v>
      </c>
      <c r="G1454" s="45">
        <v>14300</v>
      </c>
      <c r="H1454" s="45">
        <v>143</v>
      </c>
    </row>
    <row r="1455" spans="1:8">
      <c r="A1455" s="78">
        <v>132048145386</v>
      </c>
      <c r="B1455" s="1" t="s">
        <v>2055</v>
      </c>
      <c r="C1455" s="44" t="s">
        <v>2316</v>
      </c>
      <c r="D1455" s="1" t="s">
        <v>2360</v>
      </c>
      <c r="E1455" s="44" t="s">
        <v>2316</v>
      </c>
      <c r="F1455" s="38" t="s">
        <v>2361</v>
      </c>
      <c r="G1455" s="45">
        <v>59200</v>
      </c>
      <c r="H1455" s="45">
        <v>592</v>
      </c>
    </row>
    <row r="1456" spans="1:8">
      <c r="A1456" s="78">
        <v>131450909125</v>
      </c>
      <c r="B1456" s="1" t="s">
        <v>8</v>
      </c>
      <c r="C1456" s="44" t="s">
        <v>2316</v>
      </c>
      <c r="D1456" s="1" t="s">
        <v>2360</v>
      </c>
      <c r="E1456" s="44" t="s">
        <v>2316</v>
      </c>
      <c r="F1456" s="38" t="s">
        <v>2361</v>
      </c>
      <c r="G1456" s="45">
        <v>9100</v>
      </c>
      <c r="H1456" s="45">
        <v>91</v>
      </c>
    </row>
    <row r="1457" spans="1:8">
      <c r="A1457" s="78">
        <v>132048712642</v>
      </c>
      <c r="B1457" s="1" t="s">
        <v>8</v>
      </c>
      <c r="C1457" s="44" t="s">
        <v>2316</v>
      </c>
      <c r="D1457" s="1" t="s">
        <v>2360</v>
      </c>
      <c r="E1457" s="44" t="s">
        <v>2316</v>
      </c>
      <c r="F1457" s="38" t="s">
        <v>2361</v>
      </c>
      <c r="G1457" s="45">
        <v>33300</v>
      </c>
      <c r="H1457" s="45">
        <v>333</v>
      </c>
    </row>
    <row r="1458" spans="1:8">
      <c r="A1458" s="78">
        <v>132051231038</v>
      </c>
      <c r="B1458" s="1" t="s">
        <v>8</v>
      </c>
      <c r="C1458" s="44" t="s">
        <v>2316</v>
      </c>
      <c r="D1458" s="1" t="s">
        <v>2360</v>
      </c>
      <c r="E1458" s="44" t="s">
        <v>2316</v>
      </c>
      <c r="F1458" s="38" t="s">
        <v>2361</v>
      </c>
      <c r="G1458" s="45">
        <v>63200</v>
      </c>
      <c r="H1458" s="45">
        <v>632</v>
      </c>
    </row>
    <row r="1459" spans="1:8">
      <c r="A1459" s="71"/>
    </row>
    <row r="1460" spans="1:8">
      <c r="A1460" s="71"/>
      <c r="G1460" s="66">
        <f>SUM(G16:G1459)</f>
        <v>36477384</v>
      </c>
      <c r="H1460" s="66">
        <f>SUM(H16:H1459)</f>
        <v>364773.83999999991</v>
      </c>
    </row>
    <row r="1461" spans="1:8">
      <c r="A1461" s="71"/>
    </row>
    <row r="1462" spans="1:8">
      <c r="A1462" s="71"/>
    </row>
    <row r="1463" spans="1:8">
      <c r="A1463" s="71"/>
    </row>
    <row r="1464" spans="1:8">
      <c r="A1464" s="71"/>
    </row>
    <row r="1465" spans="1:8">
      <c r="A1465" s="71"/>
    </row>
    <row r="1466" spans="1:8">
      <c r="A1466" s="71"/>
    </row>
    <row r="1467" spans="1:8">
      <c r="A1467" s="71"/>
    </row>
    <row r="1468" spans="1:8">
      <c r="A1468" s="71"/>
    </row>
    <row r="1469" spans="1:8">
      <c r="A1469" s="71"/>
    </row>
    <row r="1470" spans="1:8">
      <c r="A1470" s="71"/>
    </row>
    <row r="1471" spans="1:8">
      <c r="A1471" s="71"/>
    </row>
    <row r="1472" spans="1:8">
      <c r="A1472" s="71"/>
    </row>
    <row r="1473" spans="1:1">
      <c r="A1473" s="71"/>
    </row>
    <row r="1474" spans="1:1">
      <c r="A1474" s="71"/>
    </row>
    <row r="1475" spans="1:1">
      <c r="A1475" s="71"/>
    </row>
    <row r="1476" spans="1:1">
      <c r="A1476" s="71"/>
    </row>
    <row r="1477" spans="1:1">
      <c r="A1477" s="71"/>
    </row>
    <row r="1478" spans="1:1">
      <c r="A1478" s="71"/>
    </row>
    <row r="1479" spans="1:1">
      <c r="A1479" s="71"/>
    </row>
    <row r="1480" spans="1:1">
      <c r="A1480" s="71"/>
    </row>
    <row r="1481" spans="1:1">
      <c r="A1481" s="71"/>
    </row>
    <row r="1482" spans="1:1">
      <c r="A1482" s="71"/>
    </row>
    <row r="1483" spans="1:1">
      <c r="A1483" s="71"/>
    </row>
    <row r="1484" spans="1:1">
      <c r="A1484" s="71"/>
    </row>
    <row r="1485" spans="1:1">
      <c r="A1485" s="71"/>
    </row>
    <row r="1486" spans="1:1">
      <c r="A1486" s="71"/>
    </row>
    <row r="1487" spans="1:1">
      <c r="A1487" s="71"/>
    </row>
    <row r="1488" spans="1:1">
      <c r="A1488" s="71"/>
    </row>
    <row r="1489" spans="1:1">
      <c r="A1489" s="71"/>
    </row>
    <row r="1490" spans="1:1">
      <c r="A1490" s="71"/>
    </row>
    <row r="1491" spans="1:1">
      <c r="A1491" s="71"/>
    </row>
    <row r="1492" spans="1:1">
      <c r="A1492" s="71"/>
    </row>
    <row r="1493" spans="1:1">
      <c r="A1493" s="71"/>
    </row>
    <row r="1494" spans="1:1">
      <c r="A1494" s="71"/>
    </row>
    <row r="1495" spans="1:1">
      <c r="A1495" s="71"/>
    </row>
    <row r="1496" spans="1:1">
      <c r="A1496" s="71"/>
    </row>
    <row r="1497" spans="1:1">
      <c r="A1497" s="71"/>
    </row>
    <row r="1498" spans="1:1">
      <c r="A1498" s="71"/>
    </row>
    <row r="1499" spans="1:1">
      <c r="A1499" s="71"/>
    </row>
    <row r="1500" spans="1:1">
      <c r="A1500" s="71"/>
    </row>
    <row r="1501" spans="1:1">
      <c r="A1501" s="71"/>
    </row>
    <row r="1502" spans="1:1">
      <c r="A1502" s="71"/>
    </row>
    <row r="1503" spans="1:1">
      <c r="A1503" s="71"/>
    </row>
    <row r="1504" spans="1:1">
      <c r="A1504" s="71"/>
    </row>
    <row r="1505" spans="1:1">
      <c r="A1505" s="71"/>
    </row>
    <row r="1506" spans="1:1">
      <c r="A1506" s="71"/>
    </row>
    <row r="1507" spans="1:1">
      <c r="A1507" s="71"/>
    </row>
    <row r="1508" spans="1:1">
      <c r="A1508" s="71"/>
    </row>
    <row r="1509" spans="1:1">
      <c r="A1509" s="71"/>
    </row>
    <row r="1510" spans="1:1">
      <c r="A1510" s="71"/>
    </row>
    <row r="1511" spans="1:1">
      <c r="A1511" s="71"/>
    </row>
    <row r="1512" spans="1:1">
      <c r="A1512" s="71"/>
    </row>
    <row r="1513" spans="1:1">
      <c r="A1513" s="71"/>
    </row>
    <row r="1514" spans="1:1">
      <c r="A1514" s="71"/>
    </row>
    <row r="1515" spans="1:1">
      <c r="A1515" s="71"/>
    </row>
    <row r="1516" spans="1:1">
      <c r="A1516" s="71"/>
    </row>
    <row r="1517" spans="1:1">
      <c r="A1517" s="71"/>
    </row>
    <row r="1518" spans="1:1">
      <c r="A1518" s="71"/>
    </row>
    <row r="1519" spans="1:1">
      <c r="A1519" s="71"/>
    </row>
    <row r="1520" spans="1:1">
      <c r="A1520" s="71"/>
    </row>
    <row r="1521" spans="1:1">
      <c r="A1521" s="71"/>
    </row>
    <row r="1522" spans="1:1">
      <c r="A1522" s="71"/>
    </row>
    <row r="1523" spans="1:1">
      <c r="A1523" s="71"/>
    </row>
    <row r="1524" spans="1:1">
      <c r="A1524" s="71"/>
    </row>
    <row r="1525" spans="1:1">
      <c r="A1525" s="71"/>
    </row>
    <row r="1526" spans="1:1">
      <c r="A1526" s="71"/>
    </row>
    <row r="1527" spans="1:1">
      <c r="A1527" s="71"/>
    </row>
    <row r="1528" spans="1:1">
      <c r="A1528" s="71"/>
    </row>
    <row r="1529" spans="1:1">
      <c r="A1529" s="71"/>
    </row>
    <row r="1530" spans="1:1">
      <c r="A1530" s="71"/>
    </row>
    <row r="1531" spans="1:1">
      <c r="A1531" s="71"/>
    </row>
    <row r="1532" spans="1:1">
      <c r="A1532" s="71"/>
    </row>
    <row r="1533" spans="1:1">
      <c r="A1533" s="71"/>
    </row>
    <row r="1534" spans="1:1">
      <c r="A1534" s="71"/>
    </row>
    <row r="1535" spans="1:1">
      <c r="A1535" s="71"/>
    </row>
    <row r="1536" spans="1:1">
      <c r="A1536" s="71"/>
    </row>
    <row r="1537" spans="1:1">
      <c r="A1537" s="71"/>
    </row>
    <row r="1538" spans="1:1">
      <c r="A1538" s="71"/>
    </row>
    <row r="1539" spans="1:1">
      <c r="A1539" s="71"/>
    </row>
    <row r="1540" spans="1:1">
      <c r="A1540" s="71"/>
    </row>
    <row r="1541" spans="1:1">
      <c r="A1541" s="71"/>
    </row>
    <row r="1542" spans="1:1">
      <c r="A1542" s="71"/>
    </row>
    <row r="1543" spans="1:1">
      <c r="A1543" s="71"/>
    </row>
    <row r="1544" spans="1:1">
      <c r="A1544" s="71"/>
    </row>
    <row r="1545" spans="1:1">
      <c r="A1545" s="71"/>
    </row>
    <row r="1546" spans="1:1">
      <c r="A1546" s="71"/>
    </row>
    <row r="1547" spans="1:1">
      <c r="A1547" s="71"/>
    </row>
    <row r="1548" spans="1:1">
      <c r="A1548" s="71"/>
    </row>
    <row r="1549" spans="1:1">
      <c r="A1549" s="71"/>
    </row>
    <row r="1550" spans="1:1">
      <c r="A1550" s="71"/>
    </row>
    <row r="1551" spans="1:1">
      <c r="A1551" s="71"/>
    </row>
    <row r="1552" spans="1:1">
      <c r="A1552" s="71"/>
    </row>
    <row r="1553" spans="1:1">
      <c r="A1553" s="71"/>
    </row>
    <row r="1554" spans="1:1">
      <c r="A1554" s="71"/>
    </row>
    <row r="1555" spans="1:1">
      <c r="A1555" s="71"/>
    </row>
    <row r="1556" spans="1:1">
      <c r="A1556" s="71"/>
    </row>
    <row r="1557" spans="1:1">
      <c r="A1557" s="71"/>
    </row>
    <row r="1558" spans="1:1">
      <c r="A1558" s="71"/>
    </row>
    <row r="1559" spans="1:1">
      <c r="A1559" s="71"/>
    </row>
    <row r="1560" spans="1:1">
      <c r="A1560" s="71"/>
    </row>
    <row r="1561" spans="1:1">
      <c r="A1561" s="71"/>
    </row>
    <row r="1562" spans="1:1">
      <c r="A1562" s="71"/>
    </row>
    <row r="1563" spans="1:1">
      <c r="A1563" s="71"/>
    </row>
    <row r="1564" spans="1:1">
      <c r="A1564" s="71"/>
    </row>
    <row r="1565" spans="1:1">
      <c r="A1565" s="71"/>
    </row>
    <row r="1566" spans="1:1">
      <c r="A1566" s="71"/>
    </row>
    <row r="1567" spans="1:1">
      <c r="A1567" s="71"/>
    </row>
    <row r="1568" spans="1:1">
      <c r="A1568" s="71"/>
    </row>
    <row r="1569" spans="1:1">
      <c r="A1569" s="71"/>
    </row>
    <row r="1570" spans="1:1">
      <c r="A1570" s="71"/>
    </row>
    <row r="1571" spans="1:1">
      <c r="A1571" s="71"/>
    </row>
    <row r="1572" spans="1:1">
      <c r="A1572" s="71"/>
    </row>
    <row r="1573" spans="1:1">
      <c r="A1573" s="71"/>
    </row>
    <row r="1574" spans="1:1">
      <c r="A1574" s="71"/>
    </row>
    <row r="1575" spans="1:1">
      <c r="A1575" s="71"/>
    </row>
    <row r="1576" spans="1:1">
      <c r="A1576" s="71"/>
    </row>
    <row r="1577" spans="1:1">
      <c r="A1577" s="71"/>
    </row>
    <row r="1578" spans="1:1">
      <c r="A1578" s="71"/>
    </row>
    <row r="1579" spans="1:1">
      <c r="A1579" s="71"/>
    </row>
    <row r="1580" spans="1:1">
      <c r="A1580" s="71"/>
    </row>
    <row r="1581" spans="1:1">
      <c r="A1581" s="71"/>
    </row>
    <row r="1582" spans="1:1">
      <c r="A1582" s="71"/>
    </row>
    <row r="1583" spans="1:1">
      <c r="A1583" s="71"/>
    </row>
    <row r="1584" spans="1:1">
      <c r="A1584" s="71"/>
    </row>
    <row r="1585" spans="1:1">
      <c r="A1585" s="71"/>
    </row>
    <row r="1586" spans="1:1">
      <c r="A1586" s="71"/>
    </row>
    <row r="1587" spans="1:1">
      <c r="A1587" s="71"/>
    </row>
    <row r="1588" spans="1:1">
      <c r="A1588" s="71"/>
    </row>
    <row r="1589" spans="1:1">
      <c r="A1589" s="71"/>
    </row>
    <row r="1590" spans="1:1">
      <c r="A1590" s="71"/>
    </row>
    <row r="1591" spans="1:1">
      <c r="A1591" s="71"/>
    </row>
    <row r="1592" spans="1:1">
      <c r="A1592" s="71"/>
    </row>
    <row r="1593" spans="1:1">
      <c r="A1593" s="71"/>
    </row>
    <row r="1594" spans="1:1">
      <c r="A1594" s="71"/>
    </row>
    <row r="1595" spans="1:1">
      <c r="A1595" s="71"/>
    </row>
    <row r="1596" spans="1:1">
      <c r="A1596" s="71"/>
    </row>
    <row r="1597" spans="1:1">
      <c r="A1597" s="71"/>
    </row>
    <row r="1598" spans="1:1">
      <c r="A1598" s="71"/>
    </row>
    <row r="1599" spans="1:1">
      <c r="A1599" s="71"/>
    </row>
    <row r="1600" spans="1:1">
      <c r="A1600" s="71"/>
    </row>
    <row r="1601" spans="1:1">
      <c r="A1601" s="71"/>
    </row>
    <row r="1602" spans="1:1">
      <c r="A1602" s="71"/>
    </row>
    <row r="1603" spans="1:1">
      <c r="A1603" s="71"/>
    </row>
    <row r="1604" spans="1:1">
      <c r="A1604" s="71"/>
    </row>
    <row r="1605" spans="1:1">
      <c r="A1605" s="71"/>
    </row>
    <row r="1606" spans="1:1">
      <c r="A1606" s="71"/>
    </row>
    <row r="1607" spans="1:1">
      <c r="A1607" s="71"/>
    </row>
    <row r="1608" spans="1:1">
      <c r="A1608" s="71"/>
    </row>
    <row r="1609" spans="1:1">
      <c r="A1609" s="71"/>
    </row>
    <row r="1610" spans="1:1">
      <c r="A1610" s="71"/>
    </row>
    <row r="1611" spans="1:1">
      <c r="A1611" s="71"/>
    </row>
    <row r="1612" spans="1:1">
      <c r="A1612" s="71"/>
    </row>
    <row r="1613" spans="1:1">
      <c r="A1613" s="71"/>
    </row>
    <row r="1614" spans="1:1">
      <c r="A1614" s="71"/>
    </row>
    <row r="1615" spans="1:1">
      <c r="A1615" s="71"/>
    </row>
    <row r="1616" spans="1:1">
      <c r="A1616" s="71"/>
    </row>
    <row r="1617" spans="1:1">
      <c r="A1617" s="71"/>
    </row>
    <row r="1618" spans="1:1">
      <c r="A1618" s="71"/>
    </row>
    <row r="1619" spans="1:1">
      <c r="A1619" s="71"/>
    </row>
    <row r="1620" spans="1:1">
      <c r="A1620" s="71"/>
    </row>
    <row r="1621" spans="1:1">
      <c r="A1621" s="71"/>
    </row>
    <row r="1622" spans="1:1">
      <c r="A1622" s="71"/>
    </row>
    <row r="1623" spans="1:1">
      <c r="A1623" s="71"/>
    </row>
    <row r="1624" spans="1:1">
      <c r="A1624" s="71"/>
    </row>
    <row r="1625" spans="1:1">
      <c r="A1625" s="71"/>
    </row>
    <row r="1626" spans="1:1">
      <c r="A1626" s="71"/>
    </row>
    <row r="1627" spans="1:1">
      <c r="A1627" s="71"/>
    </row>
    <row r="1628" spans="1:1">
      <c r="A1628" s="71"/>
    </row>
    <row r="1629" spans="1:1">
      <c r="A1629" s="71"/>
    </row>
    <row r="1630" spans="1:1">
      <c r="A1630" s="71"/>
    </row>
    <row r="1631" spans="1:1">
      <c r="A1631" s="71"/>
    </row>
    <row r="1632" spans="1:1">
      <c r="A1632" s="71"/>
    </row>
    <row r="1633" spans="1:1">
      <c r="A1633" s="71"/>
    </row>
    <row r="1634" spans="1:1">
      <c r="A1634" s="71"/>
    </row>
    <row r="1635" spans="1:1">
      <c r="A1635" s="71"/>
    </row>
    <row r="1636" spans="1:1">
      <c r="A1636" s="71"/>
    </row>
    <row r="1637" spans="1:1">
      <c r="A1637" s="71"/>
    </row>
    <row r="1638" spans="1:1">
      <c r="A1638" s="71"/>
    </row>
    <row r="1639" spans="1:1">
      <c r="A1639" s="71"/>
    </row>
    <row r="1640" spans="1:1">
      <c r="A1640" s="71"/>
    </row>
    <row r="1641" spans="1:1">
      <c r="A1641" s="71"/>
    </row>
    <row r="1642" spans="1:1">
      <c r="A1642" s="71"/>
    </row>
    <row r="1643" spans="1:1">
      <c r="A1643" s="71"/>
    </row>
    <row r="1644" spans="1:1">
      <c r="A1644" s="71"/>
    </row>
    <row r="1645" spans="1:1">
      <c r="A1645" s="71"/>
    </row>
    <row r="1646" spans="1:1">
      <c r="A1646" s="71"/>
    </row>
    <row r="1647" spans="1:1">
      <c r="A1647" s="71"/>
    </row>
    <row r="1648" spans="1:1">
      <c r="A1648" s="71"/>
    </row>
    <row r="1649" spans="1:1">
      <c r="A1649" s="71"/>
    </row>
    <row r="1650" spans="1:1">
      <c r="A1650" s="71"/>
    </row>
    <row r="1651" spans="1:1">
      <c r="A1651" s="71"/>
    </row>
    <row r="1652" spans="1:1">
      <c r="A1652" s="71"/>
    </row>
    <row r="1653" spans="1:1">
      <c r="A1653" s="71"/>
    </row>
    <row r="1654" spans="1:1">
      <c r="A1654" s="71"/>
    </row>
    <row r="1655" spans="1:1">
      <c r="A1655" s="71"/>
    </row>
    <row r="1656" spans="1:1">
      <c r="A1656" s="71"/>
    </row>
    <row r="1657" spans="1:1">
      <c r="A1657" s="71"/>
    </row>
    <row r="1658" spans="1:1">
      <c r="A1658" s="71"/>
    </row>
    <row r="1659" spans="1:1">
      <c r="A1659" s="71"/>
    </row>
    <row r="1660" spans="1:1">
      <c r="A1660" s="71"/>
    </row>
    <row r="1661" spans="1:1">
      <c r="A1661" s="71"/>
    </row>
    <row r="1662" spans="1:1">
      <c r="A1662" s="71"/>
    </row>
    <row r="1663" spans="1:1">
      <c r="A1663" s="71"/>
    </row>
    <row r="1664" spans="1:1">
      <c r="A1664" s="71"/>
    </row>
    <row r="1665" spans="1:1">
      <c r="A1665" s="71"/>
    </row>
    <row r="1666" spans="1:1">
      <c r="A1666" s="71"/>
    </row>
    <row r="1667" spans="1:1">
      <c r="A1667" s="71"/>
    </row>
    <row r="1668" spans="1:1">
      <c r="A1668" s="71"/>
    </row>
    <row r="1669" spans="1:1">
      <c r="A1669" s="71"/>
    </row>
    <row r="1670" spans="1:1">
      <c r="A1670" s="71"/>
    </row>
    <row r="1671" spans="1:1">
      <c r="A1671" s="71"/>
    </row>
    <row r="1672" spans="1:1">
      <c r="A1672" s="71"/>
    </row>
    <row r="1673" spans="1:1">
      <c r="A1673" s="71"/>
    </row>
    <row r="1674" spans="1:1">
      <c r="A1674" s="71"/>
    </row>
    <row r="1675" spans="1:1">
      <c r="A1675" s="71"/>
    </row>
    <row r="1676" spans="1:1">
      <c r="A1676" s="71"/>
    </row>
    <row r="1677" spans="1:1">
      <c r="A1677" s="71"/>
    </row>
    <row r="1678" spans="1:1">
      <c r="A1678" s="71"/>
    </row>
    <row r="1679" spans="1:1">
      <c r="A1679" s="71"/>
    </row>
    <row r="1680" spans="1:1">
      <c r="A1680" s="71"/>
    </row>
    <row r="1681" spans="1:1">
      <c r="A1681" s="71"/>
    </row>
    <row r="1682" spans="1:1">
      <c r="A1682" s="71"/>
    </row>
    <row r="1683" spans="1:1">
      <c r="A1683" s="71"/>
    </row>
    <row r="1684" spans="1:1">
      <c r="A1684" s="71"/>
    </row>
    <row r="1685" spans="1:1">
      <c r="A1685" s="71"/>
    </row>
    <row r="1686" spans="1:1">
      <c r="A1686" s="71"/>
    </row>
    <row r="1687" spans="1:1">
      <c r="A1687" s="71"/>
    </row>
    <row r="1688" spans="1:1">
      <c r="A1688" s="71"/>
    </row>
    <row r="1689" spans="1:1">
      <c r="A1689" s="71"/>
    </row>
    <row r="1690" spans="1:1">
      <c r="A1690" s="71"/>
    </row>
    <row r="1691" spans="1:1">
      <c r="A1691" s="71"/>
    </row>
    <row r="1692" spans="1:1">
      <c r="A1692" s="71"/>
    </row>
    <row r="1693" spans="1:1">
      <c r="A1693" s="71"/>
    </row>
    <row r="1694" spans="1:1">
      <c r="A1694" s="71"/>
    </row>
    <row r="1695" spans="1:1">
      <c r="A1695" s="71"/>
    </row>
    <row r="1696" spans="1:1">
      <c r="A1696" s="71"/>
    </row>
    <row r="1697" spans="1:1">
      <c r="A1697" s="71"/>
    </row>
    <row r="1698" spans="1:1">
      <c r="A1698" s="71"/>
    </row>
    <row r="1699" spans="1:1">
      <c r="A1699" s="71"/>
    </row>
    <row r="1700" spans="1:1">
      <c r="A1700" s="71"/>
    </row>
    <row r="1701" spans="1:1">
      <c r="A1701" s="71"/>
    </row>
    <row r="1702" spans="1:1">
      <c r="A1702" s="71"/>
    </row>
    <row r="1703" spans="1:1">
      <c r="A1703" s="71"/>
    </row>
    <row r="1704" spans="1:1">
      <c r="A1704" s="71"/>
    </row>
    <row r="1705" spans="1:1">
      <c r="A1705" s="71"/>
    </row>
    <row r="1706" spans="1:1">
      <c r="A1706" s="71"/>
    </row>
    <row r="1707" spans="1:1">
      <c r="A1707" s="71"/>
    </row>
    <row r="1708" spans="1:1">
      <c r="A1708" s="71"/>
    </row>
    <row r="1709" spans="1:1">
      <c r="A1709" s="71"/>
    </row>
    <row r="1710" spans="1:1">
      <c r="A1710" s="71"/>
    </row>
    <row r="1711" spans="1:1">
      <c r="A1711" s="71"/>
    </row>
    <row r="1712" spans="1:1">
      <c r="A1712" s="71"/>
    </row>
    <row r="1713" spans="1:1">
      <c r="A1713" s="71"/>
    </row>
    <row r="1714" spans="1:1">
      <c r="A1714" s="71"/>
    </row>
    <row r="1715" spans="1:1">
      <c r="A1715" s="71"/>
    </row>
    <row r="1716" spans="1:1">
      <c r="A1716" s="71"/>
    </row>
    <row r="1717" spans="1:1">
      <c r="A1717" s="71"/>
    </row>
    <row r="1718" spans="1:1">
      <c r="A1718" s="71"/>
    </row>
    <row r="1719" spans="1:1">
      <c r="A1719" s="71"/>
    </row>
    <row r="1720" spans="1:1">
      <c r="A1720" s="71"/>
    </row>
    <row r="1721" spans="1:1">
      <c r="A1721" s="71"/>
    </row>
    <row r="1722" spans="1:1">
      <c r="A1722" s="71"/>
    </row>
    <row r="1723" spans="1:1">
      <c r="A1723" s="71"/>
    </row>
    <row r="1724" spans="1:1">
      <c r="A1724" s="71"/>
    </row>
    <row r="1725" spans="1:1">
      <c r="A1725" s="71"/>
    </row>
    <row r="1726" spans="1:1">
      <c r="A1726" s="71"/>
    </row>
    <row r="1727" spans="1:1">
      <c r="A1727" s="71"/>
    </row>
    <row r="1728" spans="1:1">
      <c r="A1728" s="71"/>
    </row>
    <row r="1729" spans="1:1">
      <c r="A1729" s="71"/>
    </row>
    <row r="1730" spans="1:1">
      <c r="A1730" s="71"/>
    </row>
    <row r="1731" spans="1:1">
      <c r="A1731" s="71"/>
    </row>
    <row r="1732" spans="1:1">
      <c r="A1732" s="71"/>
    </row>
    <row r="1733" spans="1:1">
      <c r="A1733" s="71"/>
    </row>
    <row r="1734" spans="1:1">
      <c r="A1734" s="71"/>
    </row>
    <row r="1735" spans="1:1">
      <c r="A1735" s="71"/>
    </row>
    <row r="1736" spans="1:1">
      <c r="A1736" s="71"/>
    </row>
    <row r="1737" spans="1:1">
      <c r="A1737" s="71"/>
    </row>
    <row r="1738" spans="1:1">
      <c r="A1738" s="71"/>
    </row>
    <row r="1739" spans="1:1">
      <c r="A1739" s="71"/>
    </row>
    <row r="1740" spans="1:1">
      <c r="A1740" s="71"/>
    </row>
    <row r="1741" spans="1:1">
      <c r="A1741" s="71"/>
    </row>
    <row r="1742" spans="1:1">
      <c r="A1742" s="71"/>
    </row>
    <row r="1743" spans="1:1">
      <c r="A1743" s="71"/>
    </row>
    <row r="1744" spans="1:1">
      <c r="A1744" s="71"/>
    </row>
    <row r="1745" spans="1:1">
      <c r="A1745" s="71"/>
    </row>
    <row r="1746" spans="1:1">
      <c r="A1746" s="71"/>
    </row>
    <row r="1747" spans="1:1">
      <c r="A1747" s="71"/>
    </row>
    <row r="1748" spans="1:1">
      <c r="A1748" s="71"/>
    </row>
    <row r="1749" spans="1:1">
      <c r="A1749" s="71"/>
    </row>
    <row r="1750" spans="1:1">
      <c r="A1750" s="71"/>
    </row>
    <row r="1751" spans="1:1">
      <c r="A1751" s="71"/>
    </row>
    <row r="1752" spans="1:1">
      <c r="A1752" s="71"/>
    </row>
    <row r="1753" spans="1:1">
      <c r="A1753" s="71"/>
    </row>
    <row r="1754" spans="1:1">
      <c r="A1754" s="71"/>
    </row>
    <row r="1755" spans="1:1">
      <c r="A1755" s="71"/>
    </row>
    <row r="1756" spans="1:1">
      <c r="A1756" s="71"/>
    </row>
    <row r="1757" spans="1:1">
      <c r="A1757" s="71"/>
    </row>
    <row r="1758" spans="1:1">
      <c r="A1758" s="71"/>
    </row>
    <row r="1759" spans="1:1">
      <c r="A1759" s="71"/>
    </row>
    <row r="1760" spans="1:1">
      <c r="A1760" s="71"/>
    </row>
    <row r="1761" spans="1:1">
      <c r="A1761" s="71"/>
    </row>
    <row r="1762" spans="1:1">
      <c r="A1762" s="71"/>
    </row>
    <row r="1763" spans="1:1">
      <c r="A1763" s="71"/>
    </row>
    <row r="1764" spans="1:1">
      <c r="A1764" s="71"/>
    </row>
    <row r="1765" spans="1:1">
      <c r="A1765" s="71"/>
    </row>
    <row r="1766" spans="1:1">
      <c r="A1766" s="71"/>
    </row>
    <row r="1767" spans="1:1">
      <c r="A1767" s="71"/>
    </row>
    <row r="1768" spans="1:1">
      <c r="A1768" s="71"/>
    </row>
    <row r="1769" spans="1:1">
      <c r="A1769" s="71"/>
    </row>
    <row r="1770" spans="1:1">
      <c r="A1770" s="71"/>
    </row>
    <row r="1771" spans="1:1">
      <c r="A1771" s="71"/>
    </row>
    <row r="1772" spans="1:1">
      <c r="A1772" s="71"/>
    </row>
    <row r="1773" spans="1:1">
      <c r="A1773" s="71"/>
    </row>
    <row r="1774" spans="1:1">
      <c r="A1774" s="71"/>
    </row>
    <row r="1775" spans="1:1">
      <c r="A1775" s="71"/>
    </row>
    <row r="1776" spans="1:1">
      <c r="A1776" s="71"/>
    </row>
    <row r="1777" spans="1:1">
      <c r="A1777" s="71"/>
    </row>
    <row r="1778" spans="1:1">
      <c r="A1778" s="71"/>
    </row>
    <row r="1779" spans="1:1">
      <c r="A1779" s="71"/>
    </row>
    <row r="1780" spans="1:1">
      <c r="A1780" s="71"/>
    </row>
    <row r="1781" spans="1:1">
      <c r="A1781" s="71"/>
    </row>
    <row r="1782" spans="1:1">
      <c r="A1782" s="71"/>
    </row>
    <row r="1783" spans="1:1">
      <c r="A1783" s="71"/>
    </row>
    <row r="1784" spans="1:1">
      <c r="A1784" s="71"/>
    </row>
    <row r="1785" spans="1:1">
      <c r="A1785" s="71"/>
    </row>
    <row r="1786" spans="1:1">
      <c r="A1786" s="71"/>
    </row>
    <row r="1787" spans="1:1">
      <c r="A1787" s="71"/>
    </row>
    <row r="1788" spans="1:1">
      <c r="A1788" s="71"/>
    </row>
    <row r="1789" spans="1:1">
      <c r="A1789" s="71"/>
    </row>
    <row r="1790" spans="1:1">
      <c r="A1790" s="71"/>
    </row>
    <row r="1791" spans="1:1">
      <c r="A1791" s="71"/>
    </row>
    <row r="1792" spans="1:1">
      <c r="A1792" s="71"/>
    </row>
    <row r="1793" spans="1:1">
      <c r="A1793" s="71"/>
    </row>
    <row r="1794" spans="1:1">
      <c r="A1794" s="71"/>
    </row>
    <row r="1795" spans="1:1">
      <c r="A1795" s="71"/>
    </row>
    <row r="1796" spans="1:1">
      <c r="A1796" s="71"/>
    </row>
    <row r="1797" spans="1:1">
      <c r="A1797" s="71"/>
    </row>
    <row r="1798" spans="1:1">
      <c r="A1798" s="71"/>
    </row>
    <row r="1799" spans="1:1">
      <c r="A1799" s="71"/>
    </row>
    <row r="1800" spans="1:1">
      <c r="A1800" s="71"/>
    </row>
    <row r="1801" spans="1:1">
      <c r="A1801" s="71"/>
    </row>
    <row r="1802" spans="1:1">
      <c r="A1802" s="71"/>
    </row>
    <row r="1803" spans="1:1">
      <c r="A1803" s="71"/>
    </row>
    <row r="1804" spans="1:1">
      <c r="A1804" s="71"/>
    </row>
    <row r="1805" spans="1:1">
      <c r="A1805" s="71"/>
    </row>
    <row r="1806" spans="1:1">
      <c r="A1806" s="71"/>
    </row>
    <row r="1807" spans="1:1">
      <c r="A1807" s="71"/>
    </row>
    <row r="1808" spans="1:1">
      <c r="A1808" s="71"/>
    </row>
    <row r="1809" spans="1:1">
      <c r="A1809" s="71"/>
    </row>
    <row r="1810" spans="1:1">
      <c r="A1810" s="71"/>
    </row>
    <row r="1811" spans="1:1">
      <c r="A1811" s="71"/>
    </row>
    <row r="1812" spans="1:1">
      <c r="A1812" s="71"/>
    </row>
    <row r="1813" spans="1:1">
      <c r="A1813" s="71"/>
    </row>
    <row r="1814" spans="1:1">
      <c r="A1814" s="71"/>
    </row>
    <row r="1815" spans="1:1">
      <c r="A1815" s="71"/>
    </row>
    <row r="1816" spans="1:1">
      <c r="A1816" s="71"/>
    </row>
    <row r="1817" spans="1:1">
      <c r="A1817" s="71"/>
    </row>
    <row r="1818" spans="1:1">
      <c r="A1818" s="71"/>
    </row>
    <row r="1819" spans="1:1">
      <c r="A1819" s="71"/>
    </row>
    <row r="1820" spans="1:1">
      <c r="A1820" s="71"/>
    </row>
    <row r="1821" spans="1:1">
      <c r="A1821" s="71"/>
    </row>
    <row r="1822" spans="1:1">
      <c r="A1822" s="71"/>
    </row>
    <row r="1823" spans="1:1">
      <c r="A1823" s="71"/>
    </row>
    <row r="1824" spans="1:1">
      <c r="A1824" s="71"/>
    </row>
    <row r="1825" spans="1:1">
      <c r="A1825" s="71"/>
    </row>
    <row r="1826" spans="1:1">
      <c r="A1826" s="71"/>
    </row>
    <row r="1827" spans="1:1">
      <c r="A1827" s="71"/>
    </row>
    <row r="1828" spans="1:1">
      <c r="A1828" s="71"/>
    </row>
    <row r="1829" spans="1:1">
      <c r="A1829" s="71"/>
    </row>
    <row r="1830" spans="1:1">
      <c r="A1830" s="71"/>
    </row>
    <row r="1831" spans="1:1">
      <c r="A1831" s="71"/>
    </row>
    <row r="1832" spans="1:1">
      <c r="A1832" s="71"/>
    </row>
    <row r="1833" spans="1:1">
      <c r="A1833" s="71"/>
    </row>
    <row r="1834" spans="1:1">
      <c r="A1834" s="71"/>
    </row>
    <row r="1835" spans="1:1">
      <c r="A1835" s="71"/>
    </row>
    <row r="1836" spans="1:1">
      <c r="A1836" s="71"/>
    </row>
    <row r="1837" spans="1:1">
      <c r="A1837" s="71"/>
    </row>
    <row r="1838" spans="1:1">
      <c r="A1838" s="71"/>
    </row>
    <row r="1839" spans="1:1">
      <c r="A1839" s="71"/>
    </row>
    <row r="1840" spans="1:1">
      <c r="A1840" s="71"/>
    </row>
    <row r="1841" spans="1:1">
      <c r="A1841" s="71"/>
    </row>
    <row r="1842" spans="1:1">
      <c r="A1842" s="71"/>
    </row>
    <row r="1843" spans="1:1">
      <c r="A1843" s="71"/>
    </row>
    <row r="1844" spans="1:1">
      <c r="A1844" s="71"/>
    </row>
    <row r="1845" spans="1:1">
      <c r="A1845" s="71"/>
    </row>
    <row r="1846" spans="1:1">
      <c r="A1846" s="71"/>
    </row>
    <row r="1847" spans="1:1">
      <c r="A1847" s="71"/>
    </row>
    <row r="1848" spans="1:1">
      <c r="A1848" s="71"/>
    </row>
    <row r="1849" spans="1:1">
      <c r="A1849" s="71"/>
    </row>
    <row r="1850" spans="1:1">
      <c r="A1850" s="71"/>
    </row>
    <row r="1851" spans="1:1">
      <c r="A1851" s="71"/>
    </row>
    <row r="1852" spans="1:1">
      <c r="A1852" s="71"/>
    </row>
    <row r="1853" spans="1:1">
      <c r="A1853" s="71"/>
    </row>
    <row r="1854" spans="1:1">
      <c r="A1854" s="71"/>
    </row>
    <row r="1855" spans="1:1">
      <c r="A1855" s="71"/>
    </row>
    <row r="1856" spans="1:1">
      <c r="A1856" s="71"/>
    </row>
    <row r="1857" spans="1:1">
      <c r="A1857" s="71"/>
    </row>
    <row r="1858" spans="1:1">
      <c r="A1858" s="71"/>
    </row>
    <row r="1859" spans="1:1">
      <c r="A1859" s="71"/>
    </row>
    <row r="1860" spans="1:1">
      <c r="A1860" s="71"/>
    </row>
    <row r="1861" spans="1:1">
      <c r="A1861" s="71"/>
    </row>
    <row r="1862" spans="1:1">
      <c r="A1862" s="71"/>
    </row>
    <row r="1863" spans="1:1">
      <c r="A1863" s="71"/>
    </row>
    <row r="1864" spans="1:1">
      <c r="A1864" s="71"/>
    </row>
    <row r="1865" spans="1:1">
      <c r="A1865" s="71"/>
    </row>
    <row r="1866" spans="1:1">
      <c r="A1866" s="71"/>
    </row>
    <row r="1867" spans="1:1">
      <c r="A1867" s="71"/>
    </row>
    <row r="1868" spans="1:1">
      <c r="A1868" s="71"/>
    </row>
    <row r="1869" spans="1:1">
      <c r="A1869" s="71"/>
    </row>
    <row r="1870" spans="1:1">
      <c r="A1870" s="71"/>
    </row>
    <row r="1871" spans="1:1">
      <c r="A1871" s="71"/>
    </row>
    <row r="1872" spans="1:1">
      <c r="A1872" s="71"/>
    </row>
    <row r="1873" spans="1:1">
      <c r="A1873" s="71"/>
    </row>
    <row r="1874" spans="1:1">
      <c r="A1874" s="71"/>
    </row>
    <row r="1875" spans="1:1">
      <c r="A1875" s="71"/>
    </row>
    <row r="1876" spans="1:1">
      <c r="A1876" s="71"/>
    </row>
    <row r="1877" spans="1:1">
      <c r="A1877" s="71"/>
    </row>
    <row r="1878" spans="1:1">
      <c r="A1878" s="71"/>
    </row>
    <row r="1879" spans="1:1">
      <c r="A1879" s="71"/>
    </row>
    <row r="1880" spans="1:1">
      <c r="A1880" s="71"/>
    </row>
    <row r="1881" spans="1:1">
      <c r="A1881" s="71"/>
    </row>
    <row r="1882" spans="1:1">
      <c r="A1882" s="71"/>
    </row>
    <row r="1883" spans="1:1">
      <c r="A1883" s="71"/>
    </row>
    <row r="1884" spans="1:1">
      <c r="A1884" s="71"/>
    </row>
    <row r="1885" spans="1:1">
      <c r="A1885" s="71"/>
    </row>
    <row r="1886" spans="1:1">
      <c r="A1886" s="71"/>
    </row>
    <row r="1887" spans="1:1">
      <c r="A1887" s="71"/>
    </row>
    <row r="1888" spans="1:1">
      <c r="A1888" s="71"/>
    </row>
    <row r="1889" spans="1:1">
      <c r="A1889" s="71"/>
    </row>
    <row r="1890" spans="1:1">
      <c r="A1890" s="71"/>
    </row>
    <row r="1891" spans="1:1">
      <c r="A1891" s="71"/>
    </row>
    <row r="1892" spans="1:1">
      <c r="A1892" s="71"/>
    </row>
    <row r="1893" spans="1:1">
      <c r="A1893" s="71"/>
    </row>
    <row r="1894" spans="1:1">
      <c r="A1894" s="71"/>
    </row>
    <row r="1895" spans="1:1">
      <c r="A1895" s="71"/>
    </row>
    <row r="1896" spans="1:1">
      <c r="A1896" s="71"/>
    </row>
    <row r="1897" spans="1:1">
      <c r="A1897" s="71"/>
    </row>
    <row r="1898" spans="1:1">
      <c r="A1898" s="71"/>
    </row>
    <row r="1899" spans="1:1">
      <c r="A1899" s="71"/>
    </row>
    <row r="1900" spans="1:1">
      <c r="A1900" s="71"/>
    </row>
    <row r="1901" spans="1:1">
      <c r="A1901" s="71"/>
    </row>
    <row r="1902" spans="1:1">
      <c r="A1902" s="71"/>
    </row>
    <row r="1903" spans="1:1">
      <c r="A1903" s="71"/>
    </row>
    <row r="1904" spans="1:1">
      <c r="A1904" s="71"/>
    </row>
    <row r="1905" spans="1:1">
      <c r="A1905" s="71"/>
    </row>
    <row r="1906" spans="1:1">
      <c r="A1906" s="71"/>
    </row>
    <row r="1907" spans="1:1">
      <c r="A1907" s="71"/>
    </row>
    <row r="1908" spans="1:1">
      <c r="A1908" s="71"/>
    </row>
    <row r="1909" spans="1:1">
      <c r="A1909" s="71"/>
    </row>
    <row r="1910" spans="1:1">
      <c r="A1910" s="71"/>
    </row>
    <row r="1911" spans="1:1">
      <c r="A1911" s="71"/>
    </row>
    <row r="1912" spans="1:1">
      <c r="A1912" s="71"/>
    </row>
    <row r="1913" spans="1:1">
      <c r="A1913" s="71"/>
    </row>
    <row r="1914" spans="1:1">
      <c r="A1914" s="71"/>
    </row>
    <row r="1915" spans="1:1">
      <c r="A1915" s="71"/>
    </row>
    <row r="1916" spans="1:1">
      <c r="A1916" s="71"/>
    </row>
    <row r="1917" spans="1:1">
      <c r="A1917" s="71"/>
    </row>
    <row r="1918" spans="1:1">
      <c r="A1918" s="71"/>
    </row>
    <row r="1919" spans="1:1">
      <c r="A1919" s="71"/>
    </row>
    <row r="1920" spans="1:1">
      <c r="A1920" s="71"/>
    </row>
    <row r="1921" spans="1:1">
      <c r="A1921" s="71"/>
    </row>
    <row r="1922" spans="1:1">
      <c r="A1922" s="71"/>
    </row>
    <row r="1923" spans="1:1">
      <c r="A1923" s="71"/>
    </row>
    <row r="1924" spans="1:1">
      <c r="A1924" s="71"/>
    </row>
    <row r="1925" spans="1:1">
      <c r="A1925" s="71"/>
    </row>
    <row r="1926" spans="1:1">
      <c r="A1926" s="71"/>
    </row>
    <row r="1927" spans="1:1">
      <c r="A1927" s="71"/>
    </row>
    <row r="1928" spans="1:1">
      <c r="A1928" s="71"/>
    </row>
    <row r="1929" spans="1:1">
      <c r="A1929" s="71"/>
    </row>
    <row r="1930" spans="1:1">
      <c r="A1930" s="71"/>
    </row>
    <row r="1931" spans="1:1">
      <c r="A1931" s="71"/>
    </row>
    <row r="1932" spans="1:1">
      <c r="A1932" s="71"/>
    </row>
    <row r="1933" spans="1:1">
      <c r="A1933" s="71"/>
    </row>
    <row r="1934" spans="1:1">
      <c r="A1934" s="71"/>
    </row>
    <row r="1935" spans="1:1">
      <c r="A1935" s="71"/>
    </row>
    <row r="1936" spans="1:1">
      <c r="A1936" s="71"/>
    </row>
    <row r="1937" spans="1:1">
      <c r="A1937" s="71"/>
    </row>
    <row r="1938" spans="1:1">
      <c r="A1938" s="71"/>
    </row>
    <row r="1939" spans="1:1">
      <c r="A1939" s="71"/>
    </row>
    <row r="1940" spans="1:1">
      <c r="A1940" s="71"/>
    </row>
    <row r="1941" spans="1:1">
      <c r="A1941" s="71"/>
    </row>
    <row r="1942" spans="1:1">
      <c r="A1942" s="71"/>
    </row>
    <row r="1943" spans="1:1">
      <c r="A1943" s="71"/>
    </row>
    <row r="1944" spans="1:1">
      <c r="A1944" s="71"/>
    </row>
    <row r="1945" spans="1:1">
      <c r="A1945" s="71"/>
    </row>
    <row r="1946" spans="1:1">
      <c r="A1946" s="71"/>
    </row>
    <row r="1947" spans="1:1">
      <c r="A1947" s="71"/>
    </row>
    <row r="1948" spans="1:1">
      <c r="A1948" s="71"/>
    </row>
    <row r="1949" spans="1:1">
      <c r="A1949" s="71"/>
    </row>
    <row r="1950" spans="1:1">
      <c r="A1950" s="71"/>
    </row>
    <row r="1951" spans="1:1">
      <c r="A1951" s="71"/>
    </row>
    <row r="1952" spans="1:1">
      <c r="A1952" s="71"/>
    </row>
    <row r="1953" spans="1:1">
      <c r="A1953" s="71"/>
    </row>
    <row r="1954" spans="1:1">
      <c r="A1954" s="71"/>
    </row>
    <row r="1955" spans="1:1">
      <c r="A1955" s="71"/>
    </row>
    <row r="1956" spans="1:1">
      <c r="A1956" s="71"/>
    </row>
    <row r="1957" spans="1:1">
      <c r="A1957" s="71"/>
    </row>
    <row r="1958" spans="1:1">
      <c r="A1958" s="71"/>
    </row>
    <row r="1959" spans="1:1">
      <c r="A1959" s="71"/>
    </row>
    <row r="1960" spans="1:1">
      <c r="A1960" s="71"/>
    </row>
    <row r="1961" spans="1:1">
      <c r="A1961" s="71"/>
    </row>
    <row r="1962" spans="1:1">
      <c r="A1962" s="71"/>
    </row>
    <row r="1963" spans="1:1">
      <c r="A1963" s="71"/>
    </row>
    <row r="1964" spans="1:1">
      <c r="A1964" s="71"/>
    </row>
    <row r="1965" spans="1:1">
      <c r="A1965" s="71"/>
    </row>
    <row r="1966" spans="1:1">
      <c r="A1966" s="71"/>
    </row>
    <row r="1967" spans="1:1">
      <c r="A1967" s="71"/>
    </row>
    <row r="1968" spans="1:1">
      <c r="A1968" s="71"/>
    </row>
    <row r="1969" spans="1:1">
      <c r="A1969" s="71"/>
    </row>
    <row r="1970" spans="1:1">
      <c r="A1970" s="71"/>
    </row>
    <row r="1971" spans="1:1">
      <c r="A1971" s="71"/>
    </row>
    <row r="1972" spans="1:1">
      <c r="A1972" s="71"/>
    </row>
    <row r="1973" spans="1:1">
      <c r="A1973" s="71"/>
    </row>
    <row r="1974" spans="1:1">
      <c r="A1974" s="71"/>
    </row>
    <row r="1975" spans="1:1">
      <c r="A1975" s="71"/>
    </row>
    <row r="1976" spans="1:1">
      <c r="A1976" s="71"/>
    </row>
    <row r="1977" spans="1:1">
      <c r="A1977" s="71"/>
    </row>
    <row r="1978" spans="1:1">
      <c r="A1978" s="71"/>
    </row>
    <row r="1979" spans="1:1">
      <c r="A1979" s="71"/>
    </row>
    <row r="1980" spans="1:1">
      <c r="A1980" s="71"/>
    </row>
    <row r="1981" spans="1:1">
      <c r="A1981" s="71"/>
    </row>
    <row r="1982" spans="1:1">
      <c r="A1982" s="71"/>
    </row>
    <row r="1983" spans="1:1">
      <c r="A1983" s="71"/>
    </row>
    <row r="1984" spans="1:1">
      <c r="A1984" s="71"/>
    </row>
    <row r="1985" spans="1:1">
      <c r="A1985" s="71"/>
    </row>
    <row r="1986" spans="1:1">
      <c r="A1986" s="71"/>
    </row>
    <row r="1987" spans="1:1">
      <c r="A1987" s="71"/>
    </row>
    <row r="1988" spans="1:1">
      <c r="A1988" s="71"/>
    </row>
    <row r="1989" spans="1:1">
      <c r="A1989" s="71"/>
    </row>
    <row r="1990" spans="1:1">
      <c r="A1990" s="71"/>
    </row>
    <row r="1991" spans="1:1">
      <c r="A1991" s="71"/>
    </row>
    <row r="1992" spans="1:1">
      <c r="A1992" s="71"/>
    </row>
    <row r="1993" spans="1:1">
      <c r="A1993" s="71"/>
    </row>
    <row r="1994" spans="1:1">
      <c r="A1994" s="71"/>
    </row>
    <row r="1995" spans="1:1">
      <c r="A1995" s="71"/>
    </row>
    <row r="1996" spans="1:1">
      <c r="A1996" s="71"/>
    </row>
    <row r="1997" spans="1:1">
      <c r="A1997" s="71"/>
    </row>
    <row r="1998" spans="1:1">
      <c r="A1998" s="71"/>
    </row>
    <row r="1999" spans="1:1">
      <c r="A1999" s="71"/>
    </row>
    <row r="2000" spans="1:1">
      <c r="A2000" s="71"/>
    </row>
    <row r="2001" spans="1:1">
      <c r="A2001" s="71"/>
    </row>
    <row r="2002" spans="1:1">
      <c r="A2002" s="71"/>
    </row>
    <row r="2003" spans="1:1">
      <c r="A2003" s="71"/>
    </row>
    <row r="2004" spans="1:1">
      <c r="A2004" s="71"/>
    </row>
    <row r="2005" spans="1:1">
      <c r="A2005" s="71"/>
    </row>
    <row r="2006" spans="1:1">
      <c r="A2006" s="71"/>
    </row>
    <row r="2007" spans="1:1">
      <c r="A2007" s="71"/>
    </row>
    <row r="2008" spans="1:1">
      <c r="A2008" s="71"/>
    </row>
    <row r="2009" spans="1:1">
      <c r="A2009" s="71"/>
    </row>
    <row r="2010" spans="1:1">
      <c r="A2010" s="71"/>
    </row>
    <row r="2011" spans="1:1">
      <c r="A2011" s="71"/>
    </row>
    <row r="2012" spans="1:1">
      <c r="A2012" s="71"/>
    </row>
    <row r="2013" spans="1:1">
      <c r="A2013" s="71"/>
    </row>
    <row r="2014" spans="1:1">
      <c r="A2014" s="71"/>
    </row>
    <row r="2015" spans="1:1">
      <c r="A2015" s="71"/>
    </row>
    <row r="2016" spans="1:1">
      <c r="A2016" s="71"/>
    </row>
    <row r="2017" spans="1:1">
      <c r="A2017" s="71"/>
    </row>
    <row r="2018" spans="1:1">
      <c r="A2018" s="71"/>
    </row>
    <row r="2019" spans="1:1">
      <c r="A2019" s="71"/>
    </row>
    <row r="2020" spans="1:1">
      <c r="A2020" s="71"/>
    </row>
    <row r="2021" spans="1:1">
      <c r="A2021" s="71"/>
    </row>
    <row r="2022" spans="1:1">
      <c r="A2022" s="71"/>
    </row>
    <row r="2023" spans="1:1">
      <c r="A2023" s="71"/>
    </row>
    <row r="2024" spans="1:1">
      <c r="A2024" s="71"/>
    </row>
    <row r="2025" spans="1:1">
      <c r="A2025" s="71"/>
    </row>
    <row r="2026" spans="1:1">
      <c r="A2026" s="71"/>
    </row>
    <row r="2027" spans="1:1">
      <c r="A2027" s="71"/>
    </row>
    <row r="2028" spans="1:1">
      <c r="A2028" s="71"/>
    </row>
    <row r="2029" spans="1:1">
      <c r="A2029" s="71"/>
    </row>
    <row r="2030" spans="1:1">
      <c r="A2030" s="71"/>
    </row>
    <row r="2031" spans="1:1">
      <c r="A2031" s="71"/>
    </row>
    <row r="2032" spans="1:1">
      <c r="A2032" s="71"/>
    </row>
    <row r="2033" spans="1:1">
      <c r="A2033" s="71"/>
    </row>
    <row r="2034" spans="1:1">
      <c r="A2034" s="71"/>
    </row>
    <row r="2035" spans="1:1">
      <c r="A2035" s="71"/>
    </row>
    <row r="2036" spans="1:1">
      <c r="A2036" s="71"/>
    </row>
    <row r="2037" spans="1:1">
      <c r="A2037" s="71"/>
    </row>
    <row r="2038" spans="1:1">
      <c r="A2038" s="71"/>
    </row>
    <row r="2039" spans="1:1">
      <c r="A2039" s="71"/>
    </row>
    <row r="2040" spans="1:1">
      <c r="A2040" s="71"/>
    </row>
    <row r="2041" spans="1:1">
      <c r="A2041" s="71"/>
    </row>
    <row r="2042" spans="1:1">
      <c r="A2042" s="71"/>
    </row>
    <row r="2043" spans="1:1">
      <c r="A2043" s="71"/>
    </row>
    <row r="2044" spans="1:1">
      <c r="A2044" s="71"/>
    </row>
    <row r="2045" spans="1:1">
      <c r="A2045" s="71"/>
    </row>
    <row r="2046" spans="1:1">
      <c r="A2046" s="71"/>
    </row>
    <row r="2047" spans="1:1">
      <c r="A2047" s="71"/>
    </row>
    <row r="2048" spans="1:1">
      <c r="A2048" s="71"/>
    </row>
    <row r="2049" spans="1:1">
      <c r="A2049" s="71"/>
    </row>
    <row r="2050" spans="1:1">
      <c r="A2050" s="71"/>
    </row>
    <row r="2051" spans="1:1">
      <c r="A2051" s="71"/>
    </row>
    <row r="2052" spans="1:1">
      <c r="A2052" s="71"/>
    </row>
    <row r="2053" spans="1:1">
      <c r="A2053" s="71"/>
    </row>
    <row r="2054" spans="1:1">
      <c r="A2054" s="71"/>
    </row>
    <row r="2055" spans="1:1">
      <c r="A2055" s="71"/>
    </row>
    <row r="2056" spans="1:1">
      <c r="A2056" s="71"/>
    </row>
    <row r="2057" spans="1:1">
      <c r="A2057" s="71"/>
    </row>
    <row r="2058" spans="1:1">
      <c r="A2058" s="71"/>
    </row>
    <row r="2059" spans="1:1">
      <c r="A2059" s="71"/>
    </row>
    <row r="2060" spans="1:1">
      <c r="A2060" s="71"/>
    </row>
    <row r="2061" spans="1:1">
      <c r="A2061" s="71"/>
    </row>
    <row r="2062" spans="1:1">
      <c r="A2062" s="71"/>
    </row>
    <row r="2063" spans="1:1">
      <c r="A2063" s="71"/>
    </row>
    <row r="2064" spans="1:1">
      <c r="A2064" s="71"/>
    </row>
    <row r="2065" spans="1:1">
      <c r="A2065" s="71"/>
    </row>
    <row r="2066" spans="1:1">
      <c r="A2066" s="71"/>
    </row>
    <row r="2067" spans="1:1">
      <c r="A2067" s="71"/>
    </row>
    <row r="2068" spans="1:1">
      <c r="A2068" s="71"/>
    </row>
    <row r="2069" spans="1:1">
      <c r="A2069" s="71"/>
    </row>
    <row r="2070" spans="1:1">
      <c r="A2070" s="71"/>
    </row>
    <row r="2071" spans="1:1">
      <c r="A2071" s="71"/>
    </row>
    <row r="2072" spans="1:1">
      <c r="A2072" s="71"/>
    </row>
    <row r="2073" spans="1:1">
      <c r="A2073" s="71"/>
    </row>
    <row r="2074" spans="1:1">
      <c r="A2074" s="71"/>
    </row>
    <row r="2075" spans="1:1">
      <c r="A2075" s="71"/>
    </row>
    <row r="2076" spans="1:1">
      <c r="A2076" s="71"/>
    </row>
    <row r="2077" spans="1:1">
      <c r="A2077" s="71"/>
    </row>
    <row r="2078" spans="1:1">
      <c r="A2078" s="71"/>
    </row>
    <row r="2079" spans="1:1">
      <c r="A2079" s="71"/>
    </row>
    <row r="2080" spans="1:1">
      <c r="A2080" s="71"/>
    </row>
    <row r="2081" spans="1:1">
      <c r="A2081" s="71"/>
    </row>
    <row r="2082" spans="1:1">
      <c r="A2082" s="71"/>
    </row>
    <row r="2083" spans="1:1">
      <c r="A2083" s="71"/>
    </row>
    <row r="2084" spans="1:1">
      <c r="A2084" s="71"/>
    </row>
    <row r="2085" spans="1:1">
      <c r="A2085" s="71"/>
    </row>
    <row r="2086" spans="1:1">
      <c r="A2086" s="71"/>
    </row>
    <row r="2087" spans="1:1">
      <c r="A2087" s="71"/>
    </row>
    <row r="2088" spans="1:1">
      <c r="A2088" s="71"/>
    </row>
    <row r="2089" spans="1:1">
      <c r="A2089" s="71"/>
    </row>
    <row r="2090" spans="1:1">
      <c r="A2090" s="71"/>
    </row>
    <row r="2091" spans="1:1">
      <c r="A2091" s="71"/>
    </row>
    <row r="2092" spans="1:1">
      <c r="A2092" s="71"/>
    </row>
    <row r="2093" spans="1:1">
      <c r="A2093" s="71"/>
    </row>
    <row r="2094" spans="1:1">
      <c r="A2094" s="71"/>
    </row>
    <row r="2095" spans="1:1">
      <c r="A2095" s="71"/>
    </row>
    <row r="2096" spans="1:1">
      <c r="A2096" s="71"/>
    </row>
    <row r="2097" spans="1:1">
      <c r="A2097" s="71"/>
    </row>
    <row r="2098" spans="1:1">
      <c r="A2098" s="71"/>
    </row>
    <row r="2099" spans="1:1">
      <c r="A2099" s="71"/>
    </row>
    <row r="2100" spans="1:1">
      <c r="A2100" s="71"/>
    </row>
    <row r="2101" spans="1:1">
      <c r="A2101" s="71"/>
    </row>
    <row r="2102" spans="1:1">
      <c r="A2102" s="71"/>
    </row>
    <row r="2103" spans="1:1">
      <c r="A2103" s="71"/>
    </row>
    <row r="2104" spans="1:1">
      <c r="A2104" s="71"/>
    </row>
    <row r="2105" spans="1:1">
      <c r="A2105" s="71"/>
    </row>
    <row r="2106" spans="1:1">
      <c r="A2106" s="71"/>
    </row>
    <row r="2107" spans="1:1">
      <c r="A2107" s="71"/>
    </row>
    <row r="2108" spans="1:1">
      <c r="A2108" s="71"/>
    </row>
    <row r="2109" spans="1:1">
      <c r="A2109" s="71"/>
    </row>
    <row r="2110" spans="1:1">
      <c r="A2110" s="71"/>
    </row>
    <row r="2111" spans="1:1">
      <c r="A2111" s="71"/>
    </row>
    <row r="2112" spans="1:1">
      <c r="A2112" s="71"/>
    </row>
    <row r="2113" spans="1:1">
      <c r="A2113" s="71"/>
    </row>
    <row r="2114" spans="1:1">
      <c r="A2114" s="71"/>
    </row>
    <row r="2115" spans="1:1">
      <c r="A2115" s="71"/>
    </row>
    <row r="2116" spans="1:1">
      <c r="A2116" s="71"/>
    </row>
    <row r="2117" spans="1:1">
      <c r="A2117" s="71"/>
    </row>
    <row r="2118" spans="1:1">
      <c r="A2118" s="71"/>
    </row>
    <row r="2119" spans="1:1">
      <c r="A2119" s="71"/>
    </row>
    <row r="2120" spans="1:1">
      <c r="A2120" s="71"/>
    </row>
    <row r="2121" spans="1:1">
      <c r="A2121" s="71"/>
    </row>
    <row r="2122" spans="1:1">
      <c r="A2122" s="71"/>
    </row>
    <row r="2123" spans="1:1">
      <c r="A2123" s="71"/>
    </row>
    <row r="2124" spans="1:1">
      <c r="A2124" s="71"/>
    </row>
    <row r="2125" spans="1:1">
      <c r="A2125" s="71"/>
    </row>
    <row r="2126" spans="1:1">
      <c r="A2126" s="71"/>
    </row>
    <row r="2127" spans="1:1">
      <c r="A2127" s="71"/>
    </row>
    <row r="2128" spans="1:1">
      <c r="A2128" s="71"/>
    </row>
    <row r="2129" spans="1:1">
      <c r="A2129" s="71"/>
    </row>
    <row r="2130" spans="1:1">
      <c r="A2130" s="71"/>
    </row>
    <row r="2131" spans="1:1">
      <c r="A2131" s="71"/>
    </row>
    <row r="2132" spans="1:1">
      <c r="A2132" s="71"/>
    </row>
    <row r="2133" spans="1:1">
      <c r="A2133" s="71"/>
    </row>
    <row r="2134" spans="1:1">
      <c r="A2134" s="71"/>
    </row>
    <row r="2135" spans="1:1">
      <c r="A2135" s="71"/>
    </row>
    <row r="2136" spans="1:1">
      <c r="A2136" s="71"/>
    </row>
    <row r="2137" spans="1:1">
      <c r="A2137" s="71"/>
    </row>
    <row r="2138" spans="1:1">
      <c r="A2138" s="71"/>
    </row>
    <row r="2139" spans="1:1">
      <c r="A2139" s="71"/>
    </row>
    <row r="2140" spans="1:1">
      <c r="A2140" s="71"/>
    </row>
    <row r="2141" spans="1:1">
      <c r="A2141" s="71"/>
    </row>
    <row r="2142" spans="1:1">
      <c r="A2142" s="71"/>
    </row>
    <row r="2143" spans="1:1">
      <c r="A2143" s="71"/>
    </row>
    <row r="2144" spans="1:1">
      <c r="A2144" s="71"/>
    </row>
    <row r="2145" spans="1:1">
      <c r="A2145" s="71"/>
    </row>
    <row r="2146" spans="1:1">
      <c r="A2146" s="71"/>
    </row>
    <row r="2147" spans="1:1">
      <c r="A2147" s="71"/>
    </row>
    <row r="2148" spans="1:1">
      <c r="A2148" s="71"/>
    </row>
    <row r="2149" spans="1:1">
      <c r="A2149" s="71"/>
    </row>
    <row r="2150" spans="1:1">
      <c r="A2150" s="71"/>
    </row>
    <row r="2151" spans="1:1">
      <c r="A2151" s="71"/>
    </row>
    <row r="2152" spans="1:1">
      <c r="A2152" s="71"/>
    </row>
    <row r="2153" spans="1:1">
      <c r="A2153" s="71"/>
    </row>
    <row r="2154" spans="1:1">
      <c r="A2154" s="71"/>
    </row>
    <row r="2155" spans="1:1">
      <c r="A2155" s="71"/>
    </row>
    <row r="2156" spans="1:1">
      <c r="A2156" s="71"/>
    </row>
    <row r="2157" spans="1:1">
      <c r="A2157" s="71"/>
    </row>
    <row r="2158" spans="1:1">
      <c r="A2158" s="71"/>
    </row>
    <row r="2159" spans="1:1">
      <c r="A2159" s="71"/>
    </row>
    <row r="2160" spans="1:1">
      <c r="A2160" s="71"/>
    </row>
    <row r="2161" spans="1:1">
      <c r="A2161" s="71"/>
    </row>
    <row r="2162" spans="1:1">
      <c r="A2162" s="71"/>
    </row>
    <row r="2163" spans="1:1">
      <c r="A2163" s="71"/>
    </row>
    <row r="2164" spans="1:1">
      <c r="A2164" s="71"/>
    </row>
    <row r="2165" spans="1:1">
      <c r="A2165" s="71"/>
    </row>
    <row r="2166" spans="1:1">
      <c r="A2166" s="71"/>
    </row>
    <row r="2167" spans="1:1">
      <c r="A2167" s="71"/>
    </row>
    <row r="2168" spans="1:1">
      <c r="A2168" s="71"/>
    </row>
    <row r="2169" spans="1:1">
      <c r="A2169" s="71"/>
    </row>
    <row r="2170" spans="1:1">
      <c r="A2170" s="71"/>
    </row>
    <row r="2171" spans="1:1">
      <c r="A2171" s="71"/>
    </row>
    <row r="2172" spans="1:1">
      <c r="A2172" s="71"/>
    </row>
    <row r="2173" spans="1:1">
      <c r="A2173" s="71"/>
    </row>
    <row r="2174" spans="1:1">
      <c r="A2174" s="71"/>
    </row>
    <row r="2175" spans="1:1">
      <c r="A2175" s="71"/>
    </row>
    <row r="2176" spans="1:1">
      <c r="A2176" s="71"/>
    </row>
    <row r="2177" spans="1:1">
      <c r="A2177" s="71"/>
    </row>
    <row r="2178" spans="1:1">
      <c r="A2178" s="71"/>
    </row>
    <row r="2179" spans="1:1">
      <c r="A2179" s="71"/>
    </row>
    <row r="2180" spans="1:1">
      <c r="A2180" s="71"/>
    </row>
    <row r="2181" spans="1:1">
      <c r="A2181" s="71"/>
    </row>
    <row r="2182" spans="1:1">
      <c r="A2182" s="71"/>
    </row>
    <row r="2183" spans="1:1">
      <c r="A2183" s="71"/>
    </row>
    <row r="2184" spans="1:1">
      <c r="A2184" s="71"/>
    </row>
    <row r="2185" spans="1:1">
      <c r="A2185" s="71"/>
    </row>
    <row r="2186" spans="1:1">
      <c r="A2186" s="71"/>
    </row>
    <row r="2187" spans="1:1">
      <c r="A2187" s="71"/>
    </row>
    <row r="2188" spans="1:1">
      <c r="A2188" s="71"/>
    </row>
    <row r="2189" spans="1:1">
      <c r="A2189" s="71"/>
    </row>
    <row r="2190" spans="1:1">
      <c r="A2190" s="71"/>
    </row>
    <row r="2191" spans="1:1">
      <c r="A2191" s="71"/>
    </row>
    <row r="2192" spans="1:1">
      <c r="A2192" s="71"/>
    </row>
    <row r="2193" spans="1:1">
      <c r="A2193" s="71"/>
    </row>
    <row r="2194" spans="1:1">
      <c r="A2194" s="71"/>
    </row>
    <row r="2195" spans="1:1">
      <c r="A2195" s="71"/>
    </row>
    <row r="2196" spans="1:1">
      <c r="A2196" s="71"/>
    </row>
    <row r="2197" spans="1:1">
      <c r="A2197" s="71"/>
    </row>
    <row r="2198" spans="1:1">
      <c r="A2198" s="71"/>
    </row>
    <row r="2199" spans="1:1">
      <c r="A2199" s="71"/>
    </row>
    <row r="2200" spans="1:1">
      <c r="A2200" s="71"/>
    </row>
    <row r="2201" spans="1:1">
      <c r="A2201" s="71"/>
    </row>
    <row r="2202" spans="1:1">
      <c r="A2202" s="71"/>
    </row>
    <row r="2203" spans="1:1">
      <c r="A2203" s="71"/>
    </row>
    <row r="2204" spans="1:1">
      <c r="A2204" s="71"/>
    </row>
    <row r="2205" spans="1:1">
      <c r="A2205" s="71"/>
    </row>
    <row r="2206" spans="1:1">
      <c r="A2206" s="71"/>
    </row>
    <row r="2207" spans="1:1">
      <c r="A2207" s="71"/>
    </row>
    <row r="2208" spans="1:1">
      <c r="A2208" s="71"/>
    </row>
    <row r="2209" spans="1:1">
      <c r="A2209" s="71"/>
    </row>
    <row r="2210" spans="1:1">
      <c r="A2210" s="71"/>
    </row>
    <row r="2211" spans="1:1">
      <c r="A2211" s="71"/>
    </row>
    <row r="2212" spans="1:1">
      <c r="A2212" s="71"/>
    </row>
    <row r="2213" spans="1:1">
      <c r="A2213" s="71"/>
    </row>
    <row r="2214" spans="1:1">
      <c r="A2214" s="71"/>
    </row>
    <row r="2215" spans="1:1">
      <c r="A2215" s="71"/>
    </row>
    <row r="2216" spans="1:1">
      <c r="A2216" s="71"/>
    </row>
    <row r="2217" spans="1:1">
      <c r="A2217" s="71"/>
    </row>
    <row r="2218" spans="1:1">
      <c r="A2218" s="71"/>
    </row>
    <row r="2219" spans="1:1">
      <c r="A2219" s="71"/>
    </row>
    <row r="2220" spans="1:1">
      <c r="A2220" s="71"/>
    </row>
    <row r="2221" spans="1:1">
      <c r="A2221" s="71"/>
    </row>
    <row r="2222" spans="1:1">
      <c r="A2222" s="71"/>
    </row>
    <row r="2223" spans="1:1">
      <c r="A2223" s="71"/>
    </row>
    <row r="2224" spans="1:1">
      <c r="A2224" s="71"/>
    </row>
    <row r="2225" spans="1:1">
      <c r="A2225" s="71"/>
    </row>
    <row r="2226" spans="1:1">
      <c r="A2226" s="71"/>
    </row>
    <row r="2227" spans="1:1">
      <c r="A2227" s="71"/>
    </row>
    <row r="2228" spans="1:1">
      <c r="A2228" s="71"/>
    </row>
    <row r="2229" spans="1:1">
      <c r="A2229" s="71"/>
    </row>
    <row r="2230" spans="1:1">
      <c r="A2230" s="71"/>
    </row>
    <row r="2231" spans="1:1">
      <c r="A2231" s="71"/>
    </row>
    <row r="2232" spans="1:1">
      <c r="A2232" s="71"/>
    </row>
    <row r="2233" spans="1:1">
      <c r="A2233" s="71"/>
    </row>
    <row r="2234" spans="1:1">
      <c r="A2234" s="71"/>
    </row>
    <row r="2235" spans="1:1">
      <c r="A2235" s="71"/>
    </row>
    <row r="2236" spans="1:1">
      <c r="A2236" s="71"/>
    </row>
    <row r="2237" spans="1:1">
      <c r="A2237" s="71"/>
    </row>
    <row r="2238" spans="1:1">
      <c r="A2238" s="71"/>
    </row>
    <row r="2239" spans="1:1">
      <c r="A2239" s="71"/>
    </row>
    <row r="2240" spans="1:1">
      <c r="A2240" s="71"/>
    </row>
    <row r="2241" spans="1:1">
      <c r="A2241" s="71"/>
    </row>
    <row r="2242" spans="1:1">
      <c r="A2242" s="71"/>
    </row>
    <row r="2243" spans="1:1">
      <c r="A2243" s="71"/>
    </row>
    <row r="2244" spans="1:1">
      <c r="A2244" s="71"/>
    </row>
    <row r="2245" spans="1:1">
      <c r="A2245" s="71"/>
    </row>
    <row r="2246" spans="1:1">
      <c r="A2246" s="71"/>
    </row>
    <row r="2247" spans="1:1">
      <c r="A2247" s="71"/>
    </row>
    <row r="2248" spans="1:1">
      <c r="A2248" s="71"/>
    </row>
    <row r="2249" spans="1:1">
      <c r="A2249" s="71"/>
    </row>
    <row r="2250" spans="1:1">
      <c r="A2250" s="71"/>
    </row>
    <row r="2251" spans="1:1">
      <c r="A2251" s="71"/>
    </row>
    <row r="2252" spans="1:1">
      <c r="A2252" s="71"/>
    </row>
    <row r="2253" spans="1:1">
      <c r="A2253" s="71"/>
    </row>
    <row r="2254" spans="1:1">
      <c r="A2254" s="71"/>
    </row>
    <row r="2255" spans="1:1">
      <c r="A2255" s="71"/>
    </row>
    <row r="2256" spans="1:1">
      <c r="A2256" s="71"/>
    </row>
    <row r="2257" spans="1:1">
      <c r="A2257" s="71"/>
    </row>
    <row r="2258" spans="1:1">
      <c r="A2258" s="71"/>
    </row>
    <row r="2259" spans="1:1">
      <c r="A2259" s="71"/>
    </row>
    <row r="2260" spans="1:1">
      <c r="A2260" s="71"/>
    </row>
    <row r="2261" spans="1:1">
      <c r="A2261" s="71"/>
    </row>
    <row r="2262" spans="1:1">
      <c r="A2262" s="71"/>
    </row>
    <row r="2263" spans="1:1">
      <c r="A2263" s="71"/>
    </row>
    <row r="2264" spans="1:1">
      <c r="A2264" s="71"/>
    </row>
    <row r="2265" spans="1:1">
      <c r="A2265" s="71"/>
    </row>
    <row r="2266" spans="1:1">
      <c r="A2266" s="71"/>
    </row>
    <row r="2267" spans="1:1">
      <c r="A2267" s="71"/>
    </row>
    <row r="2268" spans="1:1">
      <c r="A2268" s="71"/>
    </row>
    <row r="2269" spans="1:1">
      <c r="A2269" s="71"/>
    </row>
    <row r="2270" spans="1:1">
      <c r="A2270" s="71"/>
    </row>
    <row r="2271" spans="1:1">
      <c r="A2271" s="71"/>
    </row>
    <row r="2272" spans="1:1">
      <c r="A2272" s="71"/>
    </row>
    <row r="2273" spans="1:1">
      <c r="A2273" s="71"/>
    </row>
    <row r="2274" spans="1:1">
      <c r="A2274" s="71"/>
    </row>
    <row r="2275" spans="1:1">
      <c r="A2275" s="71"/>
    </row>
    <row r="2276" spans="1:1">
      <c r="A2276" s="71"/>
    </row>
    <row r="2277" spans="1:1">
      <c r="A2277" s="71"/>
    </row>
    <row r="2278" spans="1:1">
      <c r="A2278" s="71"/>
    </row>
    <row r="2279" spans="1:1">
      <c r="A2279" s="71"/>
    </row>
    <row r="2280" spans="1:1">
      <c r="A2280" s="71"/>
    </row>
    <row r="2281" spans="1:1">
      <c r="A2281" s="71"/>
    </row>
    <row r="2282" spans="1:1">
      <c r="A2282" s="71"/>
    </row>
    <row r="2283" spans="1:1">
      <c r="A2283" s="71"/>
    </row>
    <row r="2284" spans="1:1">
      <c r="A2284" s="71"/>
    </row>
    <row r="2285" spans="1:1">
      <c r="A2285" s="71"/>
    </row>
    <row r="2286" spans="1:1">
      <c r="A2286" s="71"/>
    </row>
    <row r="2287" spans="1:1">
      <c r="A2287" s="71"/>
    </row>
    <row r="2288" spans="1:1">
      <c r="A2288" s="71"/>
    </row>
    <row r="2289" spans="1:1">
      <c r="A2289" s="71"/>
    </row>
    <row r="2290" spans="1:1">
      <c r="A2290" s="71"/>
    </row>
    <row r="2291" spans="1:1">
      <c r="A2291" s="71"/>
    </row>
    <row r="2292" spans="1:1">
      <c r="A2292" s="71"/>
    </row>
    <row r="2293" spans="1:1">
      <c r="A2293" s="71"/>
    </row>
    <row r="2294" spans="1:1">
      <c r="A2294" s="71"/>
    </row>
    <row r="2295" spans="1:1">
      <c r="A2295" s="71"/>
    </row>
    <row r="2296" spans="1:1">
      <c r="A2296" s="71"/>
    </row>
    <row r="2297" spans="1:1">
      <c r="A2297" s="71"/>
    </row>
    <row r="2298" spans="1:1">
      <c r="A2298" s="71"/>
    </row>
    <row r="2299" spans="1:1">
      <c r="A2299" s="71"/>
    </row>
    <row r="2300" spans="1:1">
      <c r="A2300" s="71"/>
    </row>
    <row r="2301" spans="1:1">
      <c r="A2301" s="71"/>
    </row>
    <row r="2302" spans="1:1">
      <c r="A2302" s="71"/>
    </row>
    <row r="2303" spans="1:1">
      <c r="A2303" s="71"/>
    </row>
    <row r="2304" spans="1:1">
      <c r="A2304" s="71"/>
    </row>
    <row r="2305" spans="1:1">
      <c r="A2305" s="71"/>
    </row>
    <row r="2306" spans="1:1">
      <c r="A2306" s="71"/>
    </row>
    <row r="2307" spans="1:1">
      <c r="A2307" s="71"/>
    </row>
    <row r="2308" spans="1:1">
      <c r="A2308" s="71"/>
    </row>
    <row r="2309" spans="1:1">
      <c r="A2309" s="71"/>
    </row>
    <row r="2310" spans="1:1">
      <c r="A2310" s="71"/>
    </row>
    <row r="2311" spans="1:1">
      <c r="A2311" s="71"/>
    </row>
    <row r="2312" spans="1:1">
      <c r="A2312" s="71"/>
    </row>
    <row r="2313" spans="1:1">
      <c r="A2313" s="71"/>
    </row>
    <row r="2314" spans="1:1">
      <c r="A2314" s="71"/>
    </row>
    <row r="2315" spans="1:1">
      <c r="A2315" s="71"/>
    </row>
    <row r="2316" spans="1:1">
      <c r="A2316" s="71"/>
    </row>
    <row r="2317" spans="1:1">
      <c r="A2317" s="71"/>
    </row>
    <row r="2318" spans="1:1">
      <c r="A2318" s="71"/>
    </row>
    <row r="2319" spans="1:1">
      <c r="A2319" s="71"/>
    </row>
    <row r="2320" spans="1:1">
      <c r="A2320" s="71"/>
    </row>
    <row r="2321" spans="1:1">
      <c r="A2321" s="71"/>
    </row>
    <row r="2322" spans="1:1">
      <c r="A2322" s="71"/>
    </row>
    <row r="2323" spans="1:1">
      <c r="A2323" s="71"/>
    </row>
    <row r="2324" spans="1:1">
      <c r="A2324" s="71"/>
    </row>
    <row r="2325" spans="1:1">
      <c r="A2325" s="71"/>
    </row>
    <row r="2326" spans="1:1">
      <c r="A2326" s="71"/>
    </row>
    <row r="2327" spans="1:1">
      <c r="A2327" s="71"/>
    </row>
    <row r="2328" spans="1:1">
      <c r="A2328" s="71"/>
    </row>
    <row r="2329" spans="1:1">
      <c r="A2329" s="71"/>
    </row>
    <row r="2330" spans="1:1">
      <c r="A2330" s="71"/>
    </row>
    <row r="2331" spans="1:1">
      <c r="A2331" s="71"/>
    </row>
    <row r="2332" spans="1:1">
      <c r="A2332" s="71"/>
    </row>
    <row r="2333" spans="1:1">
      <c r="A2333" s="71"/>
    </row>
    <row r="2334" spans="1:1">
      <c r="A2334" s="71"/>
    </row>
    <row r="2335" spans="1:1">
      <c r="A2335" s="71"/>
    </row>
    <row r="2336" spans="1:1">
      <c r="A2336" s="71"/>
    </row>
    <row r="2337" spans="1:1">
      <c r="A2337" s="71"/>
    </row>
    <row r="2338" spans="1:1">
      <c r="A2338" s="71"/>
    </row>
    <row r="2339" spans="1:1">
      <c r="A2339" s="71"/>
    </row>
    <row r="2340" spans="1:1">
      <c r="A2340" s="71"/>
    </row>
    <row r="2341" spans="1:1">
      <c r="A2341" s="71"/>
    </row>
    <row r="2342" spans="1:1">
      <c r="A2342" s="71"/>
    </row>
    <row r="2343" spans="1:1">
      <c r="A2343" s="71"/>
    </row>
    <row r="2344" spans="1:1">
      <c r="A2344" s="71"/>
    </row>
    <row r="2345" spans="1:1">
      <c r="A2345" s="71"/>
    </row>
    <row r="2346" spans="1:1">
      <c r="A2346" s="71"/>
    </row>
    <row r="2347" spans="1:1">
      <c r="A2347" s="71"/>
    </row>
    <row r="2348" spans="1:1">
      <c r="A2348" s="71"/>
    </row>
    <row r="2349" spans="1:1">
      <c r="A2349" s="71"/>
    </row>
    <row r="2350" spans="1:1">
      <c r="A2350" s="71"/>
    </row>
    <row r="2351" spans="1:1">
      <c r="A2351" s="71"/>
    </row>
    <row r="2352" spans="1:1">
      <c r="A2352" s="71"/>
    </row>
    <row r="2353" spans="1:1">
      <c r="A2353" s="71"/>
    </row>
    <row r="2354" spans="1:1">
      <c r="A2354" s="71"/>
    </row>
    <row r="2355" spans="1:1">
      <c r="A2355" s="71"/>
    </row>
    <row r="2356" spans="1:1">
      <c r="A2356" s="71"/>
    </row>
    <row r="2357" spans="1:1">
      <c r="A2357" s="71"/>
    </row>
    <row r="2358" spans="1:1">
      <c r="A2358" s="71"/>
    </row>
    <row r="2359" spans="1:1">
      <c r="A2359" s="71"/>
    </row>
    <row r="2360" spans="1:1">
      <c r="A2360" s="71"/>
    </row>
    <row r="2361" spans="1:1">
      <c r="A2361" s="71"/>
    </row>
    <row r="2362" spans="1:1">
      <c r="A2362" s="71"/>
    </row>
    <row r="2363" spans="1:1">
      <c r="A2363" s="71"/>
    </row>
    <row r="2364" spans="1:1">
      <c r="A2364" s="71"/>
    </row>
    <row r="2365" spans="1:1">
      <c r="A2365" s="71"/>
    </row>
    <row r="2366" spans="1:1">
      <c r="A2366" s="71"/>
    </row>
    <row r="2367" spans="1:1">
      <c r="A2367" s="71"/>
    </row>
    <row r="2368" spans="1:1">
      <c r="A2368" s="71"/>
    </row>
    <row r="2369" spans="1:1">
      <c r="A2369" s="71"/>
    </row>
    <row r="2370" spans="1:1">
      <c r="A2370" s="71"/>
    </row>
    <row r="2371" spans="1:1">
      <c r="A2371" s="71"/>
    </row>
    <row r="2372" spans="1:1">
      <c r="A2372" s="71"/>
    </row>
    <row r="2373" spans="1:1">
      <c r="A2373" s="71"/>
    </row>
    <row r="2374" spans="1:1">
      <c r="A2374" s="71"/>
    </row>
    <row r="2375" spans="1:1">
      <c r="A2375" s="71"/>
    </row>
    <row r="2376" spans="1:1">
      <c r="A2376" s="71"/>
    </row>
    <row r="2377" spans="1:1">
      <c r="A2377" s="71"/>
    </row>
    <row r="2378" spans="1:1">
      <c r="A2378" s="71"/>
    </row>
    <row r="2379" spans="1:1">
      <c r="A2379" s="71"/>
    </row>
    <row r="2380" spans="1:1">
      <c r="A2380" s="71"/>
    </row>
    <row r="2381" spans="1:1">
      <c r="A2381" s="71"/>
    </row>
    <row r="2382" spans="1:1">
      <c r="A2382" s="71"/>
    </row>
    <row r="2383" spans="1:1">
      <c r="A2383" s="71"/>
    </row>
    <row r="2384" spans="1:1">
      <c r="A2384" s="71"/>
    </row>
    <row r="2385" spans="1:1">
      <c r="A2385" s="71"/>
    </row>
    <row r="2386" spans="1:1">
      <c r="A2386" s="71"/>
    </row>
    <row r="2387" spans="1:1">
      <c r="A2387" s="71"/>
    </row>
    <row r="2388" spans="1:1">
      <c r="A2388" s="71"/>
    </row>
    <row r="2389" spans="1:1">
      <c r="A2389" s="71"/>
    </row>
    <row r="2390" spans="1:1">
      <c r="A2390" s="71"/>
    </row>
    <row r="2391" spans="1:1">
      <c r="A2391" s="71"/>
    </row>
    <row r="2392" spans="1:1">
      <c r="A2392" s="71"/>
    </row>
    <row r="2393" spans="1:1">
      <c r="A2393" s="71"/>
    </row>
    <row r="2394" spans="1:1">
      <c r="A2394" s="71"/>
    </row>
    <row r="2395" spans="1:1">
      <c r="A2395" s="71"/>
    </row>
    <row r="2396" spans="1:1">
      <c r="A2396" s="71"/>
    </row>
    <row r="2397" spans="1:1">
      <c r="A2397" s="71"/>
    </row>
    <row r="2398" spans="1:1">
      <c r="A2398" s="71"/>
    </row>
    <row r="2399" spans="1:1">
      <c r="A2399" s="71"/>
    </row>
    <row r="2400" spans="1:1">
      <c r="A2400" s="71"/>
    </row>
    <row r="2401" spans="1:1">
      <c r="A2401" s="71"/>
    </row>
    <row r="2402" spans="1:1">
      <c r="A2402" s="71"/>
    </row>
    <row r="2403" spans="1:1">
      <c r="A2403" s="71"/>
    </row>
    <row r="2404" spans="1:1">
      <c r="A2404" s="71"/>
    </row>
    <row r="2405" spans="1:1">
      <c r="A2405" s="71"/>
    </row>
    <row r="2406" spans="1:1">
      <c r="A2406" s="71"/>
    </row>
    <row r="2407" spans="1:1">
      <c r="A2407" s="71"/>
    </row>
    <row r="2408" spans="1:1">
      <c r="A2408" s="71"/>
    </row>
    <row r="2409" spans="1:1">
      <c r="A2409" s="71"/>
    </row>
    <row r="2410" spans="1:1">
      <c r="A2410" s="71"/>
    </row>
    <row r="2411" spans="1:1">
      <c r="A2411" s="71"/>
    </row>
    <row r="2412" spans="1:1">
      <c r="A2412" s="71"/>
    </row>
    <row r="2413" spans="1:1">
      <c r="A2413" s="71"/>
    </row>
    <row r="2414" spans="1:1">
      <c r="A2414" s="71"/>
    </row>
    <row r="2415" spans="1:1">
      <c r="A2415" s="71"/>
    </row>
    <row r="2416" spans="1:1">
      <c r="A2416" s="71"/>
    </row>
    <row r="2417" spans="1:1">
      <c r="A2417" s="71"/>
    </row>
    <row r="2418" spans="1:1">
      <c r="A2418" s="71"/>
    </row>
    <row r="2419" spans="1:1">
      <c r="A2419" s="71"/>
    </row>
    <row r="2420" spans="1:1">
      <c r="A2420" s="71"/>
    </row>
    <row r="2421" spans="1:1">
      <c r="A2421" s="71"/>
    </row>
    <row r="2422" spans="1:1">
      <c r="A2422" s="71"/>
    </row>
    <row r="2423" spans="1:1">
      <c r="A2423" s="71"/>
    </row>
    <row r="2424" spans="1:1">
      <c r="A2424" s="71"/>
    </row>
    <row r="2425" spans="1:1">
      <c r="A2425" s="71"/>
    </row>
    <row r="2426" spans="1:1">
      <c r="A2426" s="71"/>
    </row>
    <row r="2427" spans="1:1">
      <c r="A2427" s="71"/>
    </row>
    <row r="2428" spans="1:1">
      <c r="A2428" s="71"/>
    </row>
    <row r="2429" spans="1:1">
      <c r="A2429" s="71"/>
    </row>
    <row r="2430" spans="1:1">
      <c r="A2430" s="71"/>
    </row>
    <row r="2431" spans="1:1">
      <c r="A2431" s="71"/>
    </row>
    <row r="2432" spans="1:1">
      <c r="A2432" s="71"/>
    </row>
    <row r="2433" spans="1:1">
      <c r="A2433" s="71"/>
    </row>
    <row r="2434" spans="1:1">
      <c r="A2434" s="71"/>
    </row>
    <row r="2435" spans="1:1">
      <c r="A2435" s="71"/>
    </row>
    <row r="2436" spans="1:1">
      <c r="A2436" s="71"/>
    </row>
    <row r="2437" spans="1:1">
      <c r="A2437" s="71"/>
    </row>
    <row r="2438" spans="1:1">
      <c r="A2438" s="71"/>
    </row>
    <row r="2439" spans="1:1">
      <c r="A2439" s="71"/>
    </row>
    <row r="2440" spans="1:1">
      <c r="A2440" s="71"/>
    </row>
    <row r="2441" spans="1:1">
      <c r="A2441" s="71"/>
    </row>
    <row r="2442" spans="1:1">
      <c r="A2442" s="71"/>
    </row>
    <row r="2443" spans="1:1">
      <c r="A2443" s="71"/>
    </row>
    <row r="2444" spans="1:1">
      <c r="A2444" s="71"/>
    </row>
    <row r="2445" spans="1:1">
      <c r="A2445" s="71"/>
    </row>
    <row r="2446" spans="1:1">
      <c r="A2446" s="71"/>
    </row>
    <row r="2447" spans="1:1">
      <c r="A2447" s="71"/>
    </row>
    <row r="2448" spans="1:1">
      <c r="A2448" s="71"/>
    </row>
    <row r="2449" spans="1:1">
      <c r="A2449" s="71"/>
    </row>
    <row r="2450" spans="1:1">
      <c r="A2450" s="71"/>
    </row>
    <row r="2451" spans="1:1">
      <c r="A2451" s="71"/>
    </row>
    <row r="2452" spans="1:1">
      <c r="A2452" s="71"/>
    </row>
    <row r="2453" spans="1:1">
      <c r="A2453" s="71"/>
    </row>
    <row r="2454" spans="1:1">
      <c r="A2454" s="71"/>
    </row>
    <row r="2455" spans="1:1">
      <c r="A2455" s="71"/>
    </row>
    <row r="2456" spans="1:1">
      <c r="A2456" s="71"/>
    </row>
    <row r="2457" spans="1:1">
      <c r="A2457" s="71"/>
    </row>
    <row r="2458" spans="1:1">
      <c r="A2458" s="71"/>
    </row>
    <row r="2459" spans="1:1">
      <c r="A2459" s="71"/>
    </row>
    <row r="2460" spans="1:1">
      <c r="A2460" s="71"/>
    </row>
    <row r="2461" spans="1:1">
      <c r="A2461" s="71"/>
    </row>
    <row r="2462" spans="1:1">
      <c r="A2462" s="71"/>
    </row>
    <row r="2463" spans="1:1">
      <c r="A2463" s="71"/>
    </row>
    <row r="2464" spans="1:1">
      <c r="A2464" s="71"/>
    </row>
    <row r="2465" spans="1:1">
      <c r="A2465" s="71"/>
    </row>
    <row r="2466" spans="1:1">
      <c r="A2466" s="71"/>
    </row>
    <row r="2467" spans="1:1">
      <c r="A2467" s="71"/>
    </row>
    <row r="2468" spans="1:1">
      <c r="A2468" s="71"/>
    </row>
    <row r="2469" spans="1:1">
      <c r="A2469" s="71"/>
    </row>
    <row r="2470" spans="1:1">
      <c r="A2470" s="71"/>
    </row>
    <row r="2471" spans="1:1">
      <c r="A2471" s="71"/>
    </row>
    <row r="2472" spans="1:1">
      <c r="A2472" s="71"/>
    </row>
    <row r="2473" spans="1:1">
      <c r="A2473" s="71"/>
    </row>
    <row r="2474" spans="1:1">
      <c r="A2474" s="71"/>
    </row>
    <row r="2475" spans="1:1">
      <c r="A2475" s="71"/>
    </row>
    <row r="2476" spans="1:1">
      <c r="A2476" s="71"/>
    </row>
    <row r="2477" spans="1:1">
      <c r="A2477" s="71"/>
    </row>
    <row r="2478" spans="1:1">
      <c r="A2478" s="71"/>
    </row>
    <row r="2479" spans="1:1">
      <c r="A2479" s="71"/>
    </row>
    <row r="2480" spans="1:1">
      <c r="A2480" s="71"/>
    </row>
    <row r="2481" spans="1:1">
      <c r="A2481" s="71"/>
    </row>
    <row r="2482" spans="1:1">
      <c r="A2482" s="71"/>
    </row>
    <row r="2483" spans="1:1">
      <c r="A2483" s="71"/>
    </row>
    <row r="2484" spans="1:1">
      <c r="A2484" s="71"/>
    </row>
    <row r="2485" spans="1:1">
      <c r="A2485" s="71"/>
    </row>
    <row r="2486" spans="1:1">
      <c r="A2486" s="71"/>
    </row>
    <row r="2487" spans="1:1">
      <c r="A2487" s="71"/>
    </row>
    <row r="2488" spans="1:1">
      <c r="A2488" s="71"/>
    </row>
    <row r="2489" spans="1:1">
      <c r="A2489" s="71"/>
    </row>
    <row r="2490" spans="1:1">
      <c r="A2490" s="71"/>
    </row>
    <row r="2491" spans="1:1">
      <c r="A2491" s="71"/>
    </row>
    <row r="2492" spans="1:1">
      <c r="A2492" s="71"/>
    </row>
    <row r="2493" spans="1:1">
      <c r="A2493" s="71"/>
    </row>
    <row r="2494" spans="1:1">
      <c r="A2494" s="71"/>
    </row>
    <row r="2495" spans="1:1">
      <c r="A2495" s="71"/>
    </row>
    <row r="2496" spans="1:1">
      <c r="A2496" s="71"/>
    </row>
    <row r="2497" spans="1:1">
      <c r="A2497" s="71"/>
    </row>
    <row r="2498" spans="1:1">
      <c r="A2498" s="71"/>
    </row>
    <row r="2499" spans="1:1">
      <c r="A2499" s="71"/>
    </row>
    <row r="2500" spans="1:1">
      <c r="A2500" s="71"/>
    </row>
    <row r="2501" spans="1:1">
      <c r="A2501" s="71"/>
    </row>
    <row r="2502" spans="1:1">
      <c r="A2502" s="71"/>
    </row>
    <row r="2503" spans="1:1">
      <c r="A2503" s="71"/>
    </row>
    <row r="2504" spans="1:1">
      <c r="A2504" s="71"/>
    </row>
    <row r="2505" spans="1:1">
      <c r="A2505" s="71"/>
    </row>
    <row r="2506" spans="1:1">
      <c r="A2506" s="71"/>
    </row>
    <row r="2507" spans="1:1">
      <c r="A2507" s="71"/>
    </row>
    <row r="2508" spans="1:1">
      <c r="A2508" s="71"/>
    </row>
    <row r="2509" spans="1:1">
      <c r="A2509" s="71"/>
    </row>
    <row r="2510" spans="1:1">
      <c r="A2510" s="71"/>
    </row>
    <row r="2511" spans="1:1">
      <c r="A2511" s="71"/>
    </row>
    <row r="2512" spans="1:1">
      <c r="A2512" s="71"/>
    </row>
    <row r="2513" spans="1:1">
      <c r="A2513" s="71"/>
    </row>
    <row r="2514" spans="1:1">
      <c r="A2514" s="71"/>
    </row>
    <row r="2515" spans="1:1">
      <c r="A2515" s="71"/>
    </row>
    <row r="2516" spans="1:1">
      <c r="A2516" s="71"/>
    </row>
    <row r="2517" spans="1:1">
      <c r="A2517" s="71"/>
    </row>
    <row r="2518" spans="1:1">
      <c r="A2518" s="71"/>
    </row>
    <row r="2519" spans="1:1">
      <c r="A2519" s="71"/>
    </row>
    <row r="2520" spans="1:1">
      <c r="A2520" s="71"/>
    </row>
    <row r="2521" spans="1:1">
      <c r="A2521" s="71"/>
    </row>
    <row r="2522" spans="1:1">
      <c r="A2522" s="71"/>
    </row>
    <row r="2523" spans="1:1">
      <c r="A2523" s="71"/>
    </row>
    <row r="2524" spans="1:1">
      <c r="A2524" s="71"/>
    </row>
    <row r="2525" spans="1:1">
      <c r="A2525" s="71"/>
    </row>
    <row r="2526" spans="1:1">
      <c r="A2526" s="71"/>
    </row>
    <row r="2527" spans="1:1">
      <c r="A2527" s="71"/>
    </row>
    <row r="2528" spans="1:1">
      <c r="A2528" s="71"/>
    </row>
    <row r="2529" spans="1:1">
      <c r="A2529" s="71"/>
    </row>
    <row r="2530" spans="1:1">
      <c r="A2530" s="71"/>
    </row>
    <row r="2531" spans="1:1">
      <c r="A2531" s="71"/>
    </row>
    <row r="2532" spans="1:1">
      <c r="A2532" s="71"/>
    </row>
    <row r="2533" spans="1:1">
      <c r="A2533" s="71"/>
    </row>
    <row r="2534" spans="1:1">
      <c r="A2534" s="71"/>
    </row>
    <row r="2535" spans="1:1">
      <c r="A2535" s="71"/>
    </row>
    <row r="2536" spans="1:1">
      <c r="A2536" s="71"/>
    </row>
    <row r="2537" spans="1:1">
      <c r="A2537" s="71"/>
    </row>
    <row r="2538" spans="1:1">
      <c r="A2538" s="71"/>
    </row>
    <row r="2539" spans="1:1">
      <c r="A2539" s="71"/>
    </row>
    <row r="2540" spans="1:1">
      <c r="A2540" s="71"/>
    </row>
    <row r="2541" spans="1:1">
      <c r="A2541" s="71"/>
    </row>
    <row r="2542" spans="1:1">
      <c r="A2542" s="71"/>
    </row>
    <row r="2543" spans="1:1">
      <c r="A2543" s="71"/>
    </row>
    <row r="2544" spans="1:1">
      <c r="A2544" s="71"/>
    </row>
    <row r="2545" spans="1:1">
      <c r="A2545" s="71"/>
    </row>
    <row r="2546" spans="1:1">
      <c r="A2546" s="71"/>
    </row>
    <row r="2547" spans="1:1">
      <c r="A2547" s="71"/>
    </row>
    <row r="2548" spans="1:1">
      <c r="A2548" s="71"/>
    </row>
    <row r="2549" spans="1:1">
      <c r="A2549" s="71"/>
    </row>
    <row r="2550" spans="1:1">
      <c r="A2550" s="71"/>
    </row>
    <row r="2551" spans="1:1">
      <c r="A2551" s="71"/>
    </row>
    <row r="2552" spans="1:1">
      <c r="A2552" s="71"/>
    </row>
    <row r="2553" spans="1:1">
      <c r="A2553" s="71"/>
    </row>
    <row r="2554" spans="1:1">
      <c r="A2554" s="71"/>
    </row>
    <row r="2555" spans="1:1">
      <c r="A2555" s="71"/>
    </row>
    <row r="2556" spans="1:1">
      <c r="A2556" s="71"/>
    </row>
    <row r="2557" spans="1:1">
      <c r="A2557" s="71"/>
    </row>
    <row r="2558" spans="1:1">
      <c r="A2558" s="71"/>
    </row>
    <row r="2559" spans="1:1">
      <c r="A2559" s="71"/>
    </row>
    <row r="2560" spans="1:1">
      <c r="A2560" s="71"/>
    </row>
    <row r="2561" spans="1:1">
      <c r="A2561" s="71"/>
    </row>
    <row r="2562" spans="1:1">
      <c r="A2562" s="71"/>
    </row>
    <row r="2563" spans="1:1">
      <c r="A2563" s="71"/>
    </row>
    <row r="2564" spans="1:1">
      <c r="A2564" s="71"/>
    </row>
    <row r="2565" spans="1:1">
      <c r="A2565" s="71"/>
    </row>
    <row r="2566" spans="1:1">
      <c r="A2566" s="71"/>
    </row>
    <row r="2567" spans="1:1">
      <c r="A2567" s="71"/>
    </row>
    <row r="2568" spans="1:1">
      <c r="A2568" s="71"/>
    </row>
    <row r="2569" spans="1:1">
      <c r="A2569" s="71"/>
    </row>
    <row r="2570" spans="1:1">
      <c r="A2570" s="71"/>
    </row>
    <row r="2571" spans="1:1">
      <c r="A2571" s="71"/>
    </row>
    <row r="2572" spans="1:1">
      <c r="A2572" s="71"/>
    </row>
    <row r="2573" spans="1:1">
      <c r="A2573" s="71"/>
    </row>
    <row r="2574" spans="1:1">
      <c r="A2574" s="71"/>
    </row>
    <row r="2575" spans="1:1">
      <c r="A2575" s="71"/>
    </row>
    <row r="2576" spans="1:1">
      <c r="A2576" s="71"/>
    </row>
    <row r="2577" spans="1:1">
      <c r="A2577" s="71"/>
    </row>
    <row r="2578" spans="1:1">
      <c r="A2578" s="71"/>
    </row>
    <row r="2579" spans="1:1">
      <c r="A2579" s="71"/>
    </row>
    <row r="2580" spans="1:1">
      <c r="A2580" s="71"/>
    </row>
    <row r="2581" spans="1:1">
      <c r="A2581" s="71"/>
    </row>
    <row r="2582" spans="1:1">
      <c r="A2582" s="71"/>
    </row>
    <row r="2583" spans="1:1">
      <c r="A2583" s="71"/>
    </row>
    <row r="2584" spans="1:1">
      <c r="A2584" s="71"/>
    </row>
    <row r="2585" spans="1:1">
      <c r="A2585" s="71"/>
    </row>
    <row r="2586" spans="1:1">
      <c r="A2586" s="71"/>
    </row>
    <row r="2587" spans="1:1">
      <c r="A2587" s="71"/>
    </row>
    <row r="2588" spans="1:1">
      <c r="A2588" s="71"/>
    </row>
    <row r="2589" spans="1:1">
      <c r="A2589" s="71"/>
    </row>
    <row r="2590" spans="1:1">
      <c r="A2590" s="71"/>
    </row>
    <row r="2591" spans="1:1">
      <c r="A2591" s="71"/>
    </row>
    <row r="2592" spans="1:1">
      <c r="A2592" s="71"/>
    </row>
    <row r="2593" spans="1:1">
      <c r="A2593" s="71"/>
    </row>
    <row r="2594" spans="1:1">
      <c r="A2594" s="71"/>
    </row>
    <row r="2595" spans="1:1">
      <c r="A2595" s="71"/>
    </row>
    <row r="2596" spans="1:1">
      <c r="A2596" s="71"/>
    </row>
    <row r="2597" spans="1:1">
      <c r="A2597" s="71"/>
    </row>
    <row r="2598" spans="1:1">
      <c r="A2598" s="71"/>
    </row>
    <row r="2599" spans="1:1">
      <c r="A2599" s="71"/>
    </row>
    <row r="2600" spans="1:1">
      <c r="A2600" s="71"/>
    </row>
    <row r="2601" spans="1:1">
      <c r="A2601" s="71"/>
    </row>
    <row r="2602" spans="1:1">
      <c r="A2602" s="71"/>
    </row>
    <row r="2603" spans="1:1">
      <c r="A2603" s="71"/>
    </row>
    <row r="2604" spans="1:1">
      <c r="A2604" s="71"/>
    </row>
    <row r="2605" spans="1:1">
      <c r="A2605" s="71"/>
    </row>
    <row r="2606" spans="1:1">
      <c r="A2606" s="71"/>
    </row>
    <row r="2607" spans="1:1">
      <c r="A2607" s="71"/>
    </row>
    <row r="2608" spans="1:1">
      <c r="A2608" s="71"/>
    </row>
    <row r="2609" spans="1:1">
      <c r="A2609" s="71"/>
    </row>
    <row r="2610" spans="1:1">
      <c r="A2610" s="71"/>
    </row>
    <row r="2611" spans="1:1">
      <c r="A2611" s="71"/>
    </row>
    <row r="2612" spans="1:1">
      <c r="A2612" s="71"/>
    </row>
    <row r="2613" spans="1:1">
      <c r="A2613" s="71"/>
    </row>
    <row r="2614" spans="1:1">
      <c r="A2614" s="71"/>
    </row>
    <row r="2615" spans="1:1">
      <c r="A2615" s="71"/>
    </row>
    <row r="2616" spans="1:1">
      <c r="A2616" s="71"/>
    </row>
    <row r="2617" spans="1:1">
      <c r="A2617" s="71"/>
    </row>
    <row r="2618" spans="1:1">
      <c r="A2618" s="71"/>
    </row>
    <row r="2619" spans="1:1">
      <c r="A2619" s="71"/>
    </row>
    <row r="2620" spans="1:1">
      <c r="A2620" s="71"/>
    </row>
    <row r="2621" spans="1:1">
      <c r="A2621" s="71"/>
    </row>
    <row r="2622" spans="1:1">
      <c r="A2622" s="71"/>
    </row>
    <row r="2623" spans="1:1">
      <c r="A2623" s="71"/>
    </row>
    <row r="2624" spans="1:1">
      <c r="A2624" s="71"/>
    </row>
    <row r="2625" spans="1:1">
      <c r="A2625" s="71"/>
    </row>
    <row r="2626" spans="1:1">
      <c r="A2626" s="71"/>
    </row>
    <row r="2627" spans="1:1">
      <c r="A2627" s="71"/>
    </row>
    <row r="2628" spans="1:1">
      <c r="A2628" s="71"/>
    </row>
    <row r="2629" spans="1:1">
      <c r="A2629" s="71"/>
    </row>
    <row r="2630" spans="1:1">
      <c r="A2630" s="71"/>
    </row>
    <row r="2631" spans="1:1">
      <c r="A2631" s="71"/>
    </row>
    <row r="2632" spans="1:1">
      <c r="A2632" s="71"/>
    </row>
    <row r="2633" spans="1:1">
      <c r="A2633" s="71"/>
    </row>
    <row r="2634" spans="1:1">
      <c r="A2634" s="71"/>
    </row>
    <row r="2635" spans="1:1">
      <c r="A2635" s="71"/>
    </row>
    <row r="2636" spans="1:1">
      <c r="A2636" s="71"/>
    </row>
    <row r="2637" spans="1:1">
      <c r="A2637" s="71"/>
    </row>
    <row r="2638" spans="1:1">
      <c r="A2638" s="71"/>
    </row>
    <row r="2639" spans="1:1">
      <c r="A2639" s="71"/>
    </row>
    <row r="2640" spans="1:1">
      <c r="A2640" s="71"/>
    </row>
    <row r="2641" spans="1:1">
      <c r="A2641" s="71"/>
    </row>
    <row r="2642" spans="1:1">
      <c r="A2642" s="71"/>
    </row>
    <row r="2643" spans="1:1">
      <c r="A2643" s="71"/>
    </row>
    <row r="2644" spans="1:1">
      <c r="A2644" s="71"/>
    </row>
    <row r="2645" spans="1:1">
      <c r="A2645" s="71"/>
    </row>
    <row r="2646" spans="1:1">
      <c r="A2646" s="71"/>
    </row>
    <row r="2647" spans="1:1">
      <c r="A2647" s="71"/>
    </row>
    <row r="2648" spans="1:1">
      <c r="A2648" s="71"/>
    </row>
    <row r="2649" spans="1:1">
      <c r="A2649" s="71"/>
    </row>
    <row r="2650" spans="1:1">
      <c r="A2650" s="71"/>
    </row>
    <row r="2651" spans="1:1">
      <c r="A2651" s="71"/>
    </row>
    <row r="2652" spans="1:1">
      <c r="A2652" s="71"/>
    </row>
    <row r="2653" spans="1:1">
      <c r="A2653" s="71"/>
    </row>
    <row r="2654" spans="1:1">
      <c r="A2654" s="71"/>
    </row>
    <row r="2655" spans="1:1">
      <c r="A2655" s="71"/>
    </row>
    <row r="2656" spans="1:1">
      <c r="A2656" s="71"/>
    </row>
    <row r="2657" spans="1:1">
      <c r="A2657" s="71"/>
    </row>
    <row r="2658" spans="1:1">
      <c r="A2658" s="71"/>
    </row>
    <row r="2659" spans="1:1">
      <c r="A2659" s="71"/>
    </row>
    <row r="2660" spans="1:1">
      <c r="A2660" s="71"/>
    </row>
    <row r="2661" spans="1:1">
      <c r="A2661" s="71"/>
    </row>
    <row r="2662" spans="1:1">
      <c r="A2662" s="71"/>
    </row>
    <row r="2663" spans="1:1">
      <c r="A2663" s="71"/>
    </row>
    <row r="2664" spans="1:1">
      <c r="A2664" s="71"/>
    </row>
    <row r="2665" spans="1:1">
      <c r="A2665" s="71"/>
    </row>
    <row r="2666" spans="1:1">
      <c r="A2666" s="71"/>
    </row>
    <row r="2667" spans="1:1">
      <c r="A2667" s="71"/>
    </row>
    <row r="2668" spans="1:1">
      <c r="A2668" s="71"/>
    </row>
    <row r="2669" spans="1:1">
      <c r="A2669" s="71"/>
    </row>
    <row r="2670" spans="1:1">
      <c r="A2670" s="71"/>
    </row>
    <row r="2671" spans="1:1">
      <c r="A2671" s="71"/>
    </row>
    <row r="2672" spans="1:1">
      <c r="A2672" s="71"/>
    </row>
    <row r="2673" spans="1:1">
      <c r="A2673" s="71"/>
    </row>
    <row r="2674" spans="1:1">
      <c r="A2674" s="71"/>
    </row>
    <row r="2675" spans="1:1">
      <c r="A2675" s="71"/>
    </row>
    <row r="2676" spans="1:1">
      <c r="A2676" s="71"/>
    </row>
    <row r="2677" spans="1:1">
      <c r="A2677" s="71"/>
    </row>
    <row r="2678" spans="1:1">
      <c r="A2678" s="71"/>
    </row>
    <row r="2679" spans="1:1">
      <c r="A2679" s="71"/>
    </row>
    <row r="2680" spans="1:1">
      <c r="A2680" s="71"/>
    </row>
    <row r="2681" spans="1:1">
      <c r="A2681" s="71"/>
    </row>
    <row r="2682" spans="1:1">
      <c r="A2682" s="71"/>
    </row>
    <row r="2683" spans="1:1">
      <c r="A2683" s="71"/>
    </row>
    <row r="2684" spans="1:1">
      <c r="A2684" s="71"/>
    </row>
    <row r="2685" spans="1:1">
      <c r="A2685" s="71"/>
    </row>
    <row r="2686" spans="1:1">
      <c r="A2686" s="71"/>
    </row>
    <row r="2687" spans="1:1">
      <c r="A2687" s="71"/>
    </row>
    <row r="2688" spans="1:1">
      <c r="A2688" s="71"/>
    </row>
    <row r="2689" spans="1:1">
      <c r="A2689" s="71"/>
    </row>
    <row r="2690" spans="1:1">
      <c r="A2690" s="71"/>
    </row>
    <row r="2691" spans="1:1">
      <c r="A2691" s="71"/>
    </row>
    <row r="2692" spans="1:1">
      <c r="A2692" s="71"/>
    </row>
    <row r="2693" spans="1:1">
      <c r="A2693" s="71"/>
    </row>
    <row r="2694" spans="1:1">
      <c r="A2694" s="71"/>
    </row>
    <row r="2695" spans="1:1">
      <c r="A2695" s="71"/>
    </row>
    <row r="2696" spans="1:1">
      <c r="A2696" s="71"/>
    </row>
    <row r="2697" spans="1:1">
      <c r="A2697" s="71"/>
    </row>
    <row r="2698" spans="1:1">
      <c r="A2698" s="71"/>
    </row>
    <row r="2699" spans="1:1">
      <c r="A2699" s="71"/>
    </row>
    <row r="2700" spans="1:1">
      <c r="A2700" s="71"/>
    </row>
    <row r="2701" spans="1:1">
      <c r="A2701" s="71"/>
    </row>
    <row r="2702" spans="1:1">
      <c r="A2702" s="71"/>
    </row>
    <row r="2703" spans="1:1">
      <c r="A2703" s="71"/>
    </row>
    <row r="2704" spans="1:1">
      <c r="A2704" s="71"/>
    </row>
    <row r="2705" spans="1:1">
      <c r="A2705" s="71"/>
    </row>
    <row r="2706" spans="1:1">
      <c r="A2706" s="71"/>
    </row>
    <row r="2707" spans="1:1">
      <c r="A2707" s="71"/>
    </row>
    <row r="2708" spans="1:1">
      <c r="A2708" s="71"/>
    </row>
    <row r="2709" spans="1:1">
      <c r="A2709" s="71"/>
    </row>
    <row r="2710" spans="1:1">
      <c r="A2710" s="71"/>
    </row>
    <row r="2711" spans="1:1">
      <c r="A2711" s="71"/>
    </row>
    <row r="2712" spans="1:1">
      <c r="A2712" s="71"/>
    </row>
    <row r="2713" spans="1:1">
      <c r="A2713" s="71"/>
    </row>
    <row r="2714" spans="1:1">
      <c r="A2714" s="71"/>
    </row>
    <row r="2715" spans="1:1">
      <c r="A2715" s="71"/>
    </row>
    <row r="2716" spans="1:1">
      <c r="A2716" s="71"/>
    </row>
    <row r="2717" spans="1:1">
      <c r="A2717" s="71"/>
    </row>
    <row r="2718" spans="1:1">
      <c r="A2718" s="71"/>
    </row>
    <row r="2719" spans="1:1">
      <c r="A2719" s="71"/>
    </row>
    <row r="2720" spans="1:1">
      <c r="A2720" s="71"/>
    </row>
    <row r="2721" spans="1:1">
      <c r="A2721" s="71"/>
    </row>
    <row r="2722" spans="1:1">
      <c r="A2722" s="71"/>
    </row>
    <row r="2723" spans="1:1">
      <c r="A2723" s="71"/>
    </row>
    <row r="2724" spans="1:1">
      <c r="A2724" s="71"/>
    </row>
    <row r="2725" spans="1:1">
      <c r="A2725" s="71"/>
    </row>
    <row r="2726" spans="1:1">
      <c r="A2726" s="71"/>
    </row>
    <row r="2727" spans="1:1">
      <c r="A2727" s="71"/>
    </row>
    <row r="2728" spans="1:1">
      <c r="A2728" s="71"/>
    </row>
    <row r="2729" spans="1:1">
      <c r="A2729" s="71"/>
    </row>
    <row r="2730" spans="1:1">
      <c r="A2730" s="71"/>
    </row>
    <row r="2731" spans="1:1">
      <c r="A2731" s="71"/>
    </row>
    <row r="2732" spans="1:1">
      <c r="A2732" s="71"/>
    </row>
    <row r="2733" spans="1:1">
      <c r="A2733" s="71"/>
    </row>
    <row r="2734" spans="1:1">
      <c r="A2734" s="71"/>
    </row>
    <row r="2735" spans="1:1">
      <c r="A2735" s="71"/>
    </row>
    <row r="2736" spans="1:1">
      <c r="A2736" s="71"/>
    </row>
    <row r="2737" spans="1:1">
      <c r="A2737" s="71"/>
    </row>
    <row r="2738" spans="1:1">
      <c r="A2738" s="71"/>
    </row>
    <row r="2739" spans="1:1">
      <c r="A2739" s="71"/>
    </row>
    <row r="2740" spans="1:1">
      <c r="A2740" s="71"/>
    </row>
    <row r="2741" spans="1:1">
      <c r="A2741" s="71"/>
    </row>
    <row r="2742" spans="1:1">
      <c r="A2742" s="71"/>
    </row>
    <row r="2743" spans="1:1">
      <c r="A2743" s="71"/>
    </row>
    <row r="2744" spans="1:1">
      <c r="A2744" s="71"/>
    </row>
    <row r="2745" spans="1:1">
      <c r="A2745" s="71"/>
    </row>
    <row r="2746" spans="1:1">
      <c r="A2746" s="71"/>
    </row>
    <row r="2747" spans="1:1">
      <c r="A2747" s="71"/>
    </row>
    <row r="2748" spans="1:1">
      <c r="A2748" s="71"/>
    </row>
    <row r="2749" spans="1:1">
      <c r="A2749" s="71"/>
    </row>
    <row r="2750" spans="1:1">
      <c r="A2750" s="71"/>
    </row>
    <row r="2751" spans="1:1">
      <c r="A2751" s="71"/>
    </row>
    <row r="2752" spans="1:1">
      <c r="A2752" s="71"/>
    </row>
    <row r="2753" spans="1:1">
      <c r="A2753" s="71"/>
    </row>
    <row r="2754" spans="1:1">
      <c r="A2754" s="71"/>
    </row>
    <row r="2755" spans="1:1">
      <c r="A2755" s="71"/>
    </row>
    <row r="2756" spans="1:1">
      <c r="A2756" s="71"/>
    </row>
    <row r="2757" spans="1:1">
      <c r="A2757" s="71"/>
    </row>
    <row r="2758" spans="1:1">
      <c r="A2758" s="71"/>
    </row>
    <row r="2759" spans="1:1">
      <c r="A2759" s="71"/>
    </row>
    <row r="2760" spans="1:1">
      <c r="A2760" s="71"/>
    </row>
    <row r="2761" spans="1:1">
      <c r="A2761" s="71"/>
    </row>
    <row r="2762" spans="1:1">
      <c r="A2762" s="71"/>
    </row>
    <row r="2763" spans="1:1">
      <c r="A2763" s="71"/>
    </row>
    <row r="2764" spans="1:1">
      <c r="A2764" s="71"/>
    </row>
    <row r="2765" spans="1:1">
      <c r="A2765" s="71"/>
    </row>
    <row r="2766" spans="1:1">
      <c r="A2766" s="71"/>
    </row>
    <row r="2767" spans="1:1">
      <c r="A2767" s="71"/>
    </row>
    <row r="2768" spans="1:1">
      <c r="A2768" s="71"/>
    </row>
    <row r="2769" spans="1:1">
      <c r="A2769" s="71"/>
    </row>
    <row r="2770" spans="1:1">
      <c r="A2770" s="71"/>
    </row>
    <row r="2771" spans="1:1">
      <c r="A2771" s="71"/>
    </row>
    <row r="2772" spans="1:1">
      <c r="A2772" s="71"/>
    </row>
    <row r="2773" spans="1:1">
      <c r="A2773" s="71"/>
    </row>
    <row r="2774" spans="1:1">
      <c r="A2774" s="71"/>
    </row>
    <row r="2775" spans="1:1">
      <c r="A2775" s="71"/>
    </row>
    <row r="2776" spans="1:1">
      <c r="A2776" s="71"/>
    </row>
    <row r="2777" spans="1:1">
      <c r="A2777" s="71"/>
    </row>
    <row r="2778" spans="1:1">
      <c r="A2778" s="71"/>
    </row>
    <row r="2779" spans="1:1">
      <c r="A2779" s="71"/>
    </row>
    <row r="2780" spans="1:1">
      <c r="A2780" s="71"/>
    </row>
    <row r="2781" spans="1:1">
      <c r="A2781" s="71"/>
    </row>
    <row r="2782" spans="1:1">
      <c r="A2782" s="71"/>
    </row>
    <row r="2783" spans="1:1">
      <c r="A2783" s="71"/>
    </row>
    <row r="2784" spans="1:1">
      <c r="A2784" s="71"/>
    </row>
    <row r="2785" spans="1:1">
      <c r="A2785" s="71"/>
    </row>
    <row r="2786" spans="1:1">
      <c r="A2786" s="71"/>
    </row>
    <row r="2787" spans="1:1">
      <c r="A2787" s="71"/>
    </row>
    <row r="2788" spans="1:1">
      <c r="A2788" s="71"/>
    </row>
    <row r="2789" spans="1:1">
      <c r="A2789" s="71"/>
    </row>
    <row r="2790" spans="1:1">
      <c r="A2790" s="71"/>
    </row>
    <row r="2791" spans="1:1">
      <c r="A2791" s="71"/>
    </row>
    <row r="2792" spans="1:1">
      <c r="A2792" s="71"/>
    </row>
    <row r="2793" spans="1:1">
      <c r="A2793" s="71"/>
    </row>
    <row r="2794" spans="1:1">
      <c r="A2794" s="71"/>
    </row>
    <row r="2795" spans="1:1">
      <c r="A2795" s="71"/>
    </row>
    <row r="2796" spans="1:1">
      <c r="A2796" s="71"/>
    </row>
    <row r="2797" spans="1:1">
      <c r="A2797" s="71"/>
    </row>
    <row r="2798" spans="1:1">
      <c r="A2798" s="71"/>
    </row>
    <row r="2799" spans="1:1">
      <c r="A2799" s="71"/>
    </row>
    <row r="2800" spans="1:1">
      <c r="A2800" s="71"/>
    </row>
    <row r="2801" spans="1:1">
      <c r="A2801" s="71"/>
    </row>
    <row r="2802" spans="1:1">
      <c r="A2802" s="71"/>
    </row>
    <row r="2803" spans="1:1">
      <c r="A2803" s="71"/>
    </row>
    <row r="2804" spans="1:1">
      <c r="A2804" s="71"/>
    </row>
    <row r="2805" spans="1:1">
      <c r="A2805" s="71"/>
    </row>
    <row r="2806" spans="1:1">
      <c r="A2806" s="71"/>
    </row>
    <row r="2807" spans="1:1">
      <c r="A2807" s="71"/>
    </row>
    <row r="2808" spans="1:1">
      <c r="A2808" s="71"/>
    </row>
    <row r="2809" spans="1:1">
      <c r="A2809" s="71"/>
    </row>
    <row r="2810" spans="1:1">
      <c r="A2810" s="71"/>
    </row>
    <row r="2811" spans="1:1">
      <c r="A2811" s="71"/>
    </row>
    <row r="2812" spans="1:1">
      <c r="A2812" s="71"/>
    </row>
    <row r="2813" spans="1:1">
      <c r="A2813" s="71"/>
    </row>
    <row r="2814" spans="1:1">
      <c r="A2814" s="71"/>
    </row>
    <row r="2815" spans="1:1">
      <c r="A2815" s="71"/>
    </row>
    <row r="2816" spans="1:1">
      <c r="A2816" s="71"/>
    </row>
    <row r="2817" spans="1:1">
      <c r="A2817" s="71"/>
    </row>
    <row r="2818" spans="1:1">
      <c r="A2818" s="71"/>
    </row>
    <row r="2819" spans="1:1">
      <c r="A2819" s="71"/>
    </row>
    <row r="2820" spans="1:1">
      <c r="A2820" s="71"/>
    </row>
    <row r="2821" spans="1:1">
      <c r="A2821" s="71"/>
    </row>
    <row r="2822" spans="1:1">
      <c r="A2822" s="71"/>
    </row>
    <row r="2823" spans="1:1">
      <c r="A2823" s="71"/>
    </row>
    <row r="2824" spans="1:1">
      <c r="A2824" s="71"/>
    </row>
    <row r="2825" spans="1:1">
      <c r="A2825" s="71"/>
    </row>
    <row r="2826" spans="1:1">
      <c r="A2826" s="71"/>
    </row>
    <row r="2827" spans="1:1">
      <c r="A2827" s="71"/>
    </row>
    <row r="2828" spans="1:1">
      <c r="A2828" s="71"/>
    </row>
    <row r="2829" spans="1:1">
      <c r="A2829" s="71"/>
    </row>
    <row r="2830" spans="1:1">
      <c r="A2830" s="71"/>
    </row>
    <row r="2831" spans="1:1">
      <c r="A2831" s="71"/>
    </row>
    <row r="2832" spans="1:1">
      <c r="A2832" s="71"/>
    </row>
    <row r="2833" spans="1:1">
      <c r="A2833" s="71"/>
    </row>
    <row r="2834" spans="1:1">
      <c r="A2834" s="71"/>
    </row>
    <row r="2835" spans="1:1">
      <c r="A2835" s="71"/>
    </row>
    <row r="2836" spans="1:1">
      <c r="A2836" s="71"/>
    </row>
    <row r="2837" spans="1:1">
      <c r="A2837" s="71"/>
    </row>
    <row r="2838" spans="1:1">
      <c r="A2838" s="71"/>
    </row>
    <row r="2839" spans="1:1">
      <c r="A2839" s="71"/>
    </row>
    <row r="2840" spans="1:1">
      <c r="A2840" s="71"/>
    </row>
    <row r="2841" spans="1:1">
      <c r="A2841" s="71"/>
    </row>
    <row r="2842" spans="1:1">
      <c r="A2842" s="71"/>
    </row>
    <row r="2843" spans="1:1">
      <c r="A2843" s="71"/>
    </row>
    <row r="2844" spans="1:1">
      <c r="A2844" s="71"/>
    </row>
    <row r="2845" spans="1:1">
      <c r="A2845" s="71"/>
    </row>
    <row r="2846" spans="1:1">
      <c r="A2846" s="71"/>
    </row>
    <row r="2847" spans="1:1">
      <c r="A2847" s="71"/>
    </row>
    <row r="2848" spans="1:1">
      <c r="A2848" s="71"/>
    </row>
    <row r="2849" spans="1:1">
      <c r="A2849" s="71"/>
    </row>
    <row r="2850" spans="1:1">
      <c r="A2850" s="71"/>
    </row>
    <row r="2851" spans="1:1">
      <c r="A2851" s="71"/>
    </row>
    <row r="2852" spans="1:1">
      <c r="A2852" s="71"/>
    </row>
    <row r="2853" spans="1:1">
      <c r="A2853" s="71"/>
    </row>
    <row r="2854" spans="1:1">
      <c r="A2854" s="71"/>
    </row>
    <row r="2855" spans="1:1">
      <c r="A2855" s="71"/>
    </row>
    <row r="2856" spans="1:1">
      <c r="A2856" s="71"/>
    </row>
    <row r="2857" spans="1:1">
      <c r="A2857" s="71"/>
    </row>
    <row r="2858" spans="1:1">
      <c r="A2858" s="71"/>
    </row>
    <row r="2859" spans="1:1">
      <c r="A2859" s="71"/>
    </row>
    <row r="2860" spans="1:1">
      <c r="A2860" s="71"/>
    </row>
    <row r="2861" spans="1:1">
      <c r="A2861" s="71"/>
    </row>
    <row r="2862" spans="1:1">
      <c r="A2862" s="71"/>
    </row>
    <row r="2863" spans="1:1">
      <c r="A2863" s="71"/>
    </row>
    <row r="2864" spans="1:1">
      <c r="A2864" s="71"/>
    </row>
    <row r="2865" spans="1:1">
      <c r="A2865" s="71"/>
    </row>
    <row r="2866" spans="1:1">
      <c r="A2866" s="71"/>
    </row>
    <row r="2867" spans="1:1">
      <c r="A2867" s="71"/>
    </row>
    <row r="2868" spans="1:1">
      <c r="A2868" s="71"/>
    </row>
    <row r="2869" spans="1:1">
      <c r="A2869" s="71"/>
    </row>
    <row r="2870" spans="1:1">
      <c r="A2870" s="71"/>
    </row>
    <row r="2871" spans="1:1">
      <c r="A2871" s="71"/>
    </row>
    <row r="2872" spans="1:1">
      <c r="A2872" s="71"/>
    </row>
    <row r="2873" spans="1:1">
      <c r="A2873" s="71"/>
    </row>
    <row r="2874" spans="1:1">
      <c r="A2874" s="71"/>
    </row>
    <row r="2875" spans="1:1">
      <c r="A2875" s="71"/>
    </row>
    <row r="2876" spans="1:1">
      <c r="A2876" s="71"/>
    </row>
    <row r="2877" spans="1:1">
      <c r="A2877" s="71"/>
    </row>
    <row r="2878" spans="1:1">
      <c r="A2878" s="71"/>
    </row>
    <row r="2879" spans="1:1">
      <c r="A2879" s="71"/>
    </row>
    <row r="2880" spans="1:1">
      <c r="A2880" s="71"/>
    </row>
    <row r="2881" spans="1:1">
      <c r="A2881" s="71"/>
    </row>
    <row r="2882" spans="1:1">
      <c r="A2882" s="71"/>
    </row>
    <row r="2883" spans="1:1">
      <c r="A2883" s="71"/>
    </row>
    <row r="2884" spans="1:1">
      <c r="A2884" s="71"/>
    </row>
    <row r="2885" spans="1:1">
      <c r="A2885" s="71"/>
    </row>
    <row r="2886" spans="1:1">
      <c r="A2886" s="71"/>
    </row>
    <row r="2887" spans="1:1">
      <c r="A2887" s="71"/>
    </row>
    <row r="2888" spans="1:1">
      <c r="A2888" s="71"/>
    </row>
    <row r="2889" spans="1:1">
      <c r="A2889" s="71"/>
    </row>
    <row r="2890" spans="1:1">
      <c r="A2890" s="71"/>
    </row>
    <row r="2891" spans="1:1">
      <c r="A2891" s="71"/>
    </row>
    <row r="2892" spans="1:1">
      <c r="A2892" s="71"/>
    </row>
    <row r="2893" spans="1:1">
      <c r="A2893" s="71"/>
    </row>
    <row r="2894" spans="1:1">
      <c r="A2894" s="71"/>
    </row>
    <row r="2895" spans="1:1">
      <c r="A2895" s="71"/>
    </row>
    <row r="2896" spans="1:1">
      <c r="A2896" s="71"/>
    </row>
    <row r="2897" spans="1:1">
      <c r="A2897" s="71"/>
    </row>
    <row r="2898" spans="1:1">
      <c r="A2898" s="71"/>
    </row>
    <row r="2899" spans="1:1">
      <c r="A2899" s="71"/>
    </row>
    <row r="2900" spans="1:1">
      <c r="A2900" s="71"/>
    </row>
    <row r="2901" spans="1:1">
      <c r="A2901" s="71"/>
    </row>
    <row r="2902" spans="1:1">
      <c r="A2902" s="71"/>
    </row>
    <row r="2903" spans="1:1">
      <c r="A2903" s="71"/>
    </row>
    <row r="2904" spans="1:1">
      <c r="A2904" s="71"/>
    </row>
    <row r="2905" spans="1:1">
      <c r="A2905" s="71"/>
    </row>
    <row r="2906" spans="1:1">
      <c r="A2906" s="71"/>
    </row>
    <row r="2907" spans="1:1">
      <c r="A2907" s="71"/>
    </row>
    <row r="2908" spans="1:1">
      <c r="A2908" s="71"/>
    </row>
    <row r="2909" spans="1:1">
      <c r="A2909" s="71"/>
    </row>
    <row r="2910" spans="1:1">
      <c r="A2910" s="71"/>
    </row>
    <row r="2911" spans="1:1">
      <c r="A2911" s="71"/>
    </row>
    <row r="2912" spans="1:1">
      <c r="A2912" s="71"/>
    </row>
    <row r="2913" spans="1:1">
      <c r="A2913" s="71"/>
    </row>
    <row r="2914" spans="1:1">
      <c r="A2914" s="71"/>
    </row>
    <row r="2915" spans="1:1">
      <c r="A2915" s="71"/>
    </row>
    <row r="2916" spans="1:1">
      <c r="A2916" s="71"/>
    </row>
    <row r="2917" spans="1:1">
      <c r="A2917" s="71"/>
    </row>
    <row r="2918" spans="1:1">
      <c r="A2918" s="71"/>
    </row>
    <row r="2919" spans="1:1">
      <c r="A2919" s="71"/>
    </row>
    <row r="2920" spans="1:1">
      <c r="A2920" s="71"/>
    </row>
    <row r="2921" spans="1:1">
      <c r="A2921" s="71"/>
    </row>
    <row r="2922" spans="1:1">
      <c r="A2922" s="71"/>
    </row>
    <row r="2923" spans="1:1">
      <c r="A2923" s="71"/>
    </row>
    <row r="2924" spans="1:1">
      <c r="A2924" s="71"/>
    </row>
    <row r="2925" spans="1:1">
      <c r="A2925" s="71"/>
    </row>
    <row r="2926" spans="1:1">
      <c r="A2926" s="71"/>
    </row>
    <row r="2927" spans="1:1">
      <c r="A2927" s="71"/>
    </row>
    <row r="2928" spans="1:1">
      <c r="A2928" s="71"/>
    </row>
    <row r="2929" spans="1:1">
      <c r="A2929" s="71"/>
    </row>
    <row r="2930" spans="1:1">
      <c r="A2930" s="71"/>
    </row>
    <row r="2931" spans="1:1">
      <c r="A2931" s="71"/>
    </row>
    <row r="2932" spans="1:1">
      <c r="A2932" s="71"/>
    </row>
    <row r="2933" spans="1:1">
      <c r="A2933" s="71"/>
    </row>
    <row r="2934" spans="1:1">
      <c r="A2934" s="71"/>
    </row>
    <row r="2935" spans="1:1">
      <c r="A2935" s="71"/>
    </row>
    <row r="2936" spans="1:1">
      <c r="A2936" s="71"/>
    </row>
    <row r="2937" spans="1:1">
      <c r="A2937" s="71"/>
    </row>
    <row r="2938" spans="1:1">
      <c r="A2938" s="71"/>
    </row>
    <row r="2939" spans="1:1">
      <c r="A2939" s="71"/>
    </row>
    <row r="2940" spans="1:1">
      <c r="A2940" s="71"/>
    </row>
    <row r="2941" spans="1:1">
      <c r="A2941" s="71"/>
    </row>
    <row r="2942" spans="1:1">
      <c r="A2942" s="71"/>
    </row>
    <row r="2943" spans="1:1">
      <c r="A2943" s="71"/>
    </row>
    <row r="2944" spans="1:1">
      <c r="A2944" s="71"/>
    </row>
    <row r="2945" spans="1:1">
      <c r="A2945" s="71"/>
    </row>
    <row r="2946" spans="1:1">
      <c r="A2946" s="71"/>
    </row>
    <row r="2947" spans="1:1">
      <c r="A2947" s="71"/>
    </row>
    <row r="2948" spans="1:1">
      <c r="A2948" s="71"/>
    </row>
    <row r="2949" spans="1:1">
      <c r="A2949" s="71"/>
    </row>
    <row r="2950" spans="1:1">
      <c r="A2950" s="71"/>
    </row>
    <row r="2951" spans="1:1">
      <c r="A2951" s="71"/>
    </row>
    <row r="2952" spans="1:1">
      <c r="A2952" s="71"/>
    </row>
    <row r="2953" spans="1:1">
      <c r="A2953" s="71"/>
    </row>
    <row r="2954" spans="1:1">
      <c r="A2954" s="71"/>
    </row>
    <row r="2955" spans="1:1">
      <c r="A2955" s="71"/>
    </row>
    <row r="2956" spans="1:1">
      <c r="A2956" s="71"/>
    </row>
    <row r="2957" spans="1:1">
      <c r="A2957" s="71"/>
    </row>
    <row r="2958" spans="1:1">
      <c r="A2958" s="71"/>
    </row>
    <row r="2959" spans="1:1">
      <c r="A2959" s="71"/>
    </row>
    <row r="2960" spans="1:1">
      <c r="A2960" s="71"/>
    </row>
    <row r="2961" spans="1:1">
      <c r="A2961" s="71"/>
    </row>
    <row r="2962" spans="1:1">
      <c r="A2962" s="71"/>
    </row>
    <row r="2963" spans="1:1">
      <c r="A2963" s="71"/>
    </row>
    <row r="2964" spans="1:1">
      <c r="A2964" s="71"/>
    </row>
    <row r="2965" spans="1:1">
      <c r="A2965" s="71"/>
    </row>
    <row r="2966" spans="1:1">
      <c r="A2966" s="71"/>
    </row>
    <row r="2967" spans="1:1">
      <c r="A2967" s="71"/>
    </row>
    <row r="2968" spans="1:1">
      <c r="A2968" s="71"/>
    </row>
    <row r="2969" spans="1:1">
      <c r="A2969" s="71"/>
    </row>
    <row r="2970" spans="1:1">
      <c r="A2970" s="71"/>
    </row>
    <row r="2971" spans="1:1">
      <c r="A2971" s="71"/>
    </row>
    <row r="2972" spans="1:1">
      <c r="A2972" s="71"/>
    </row>
    <row r="2973" spans="1:1">
      <c r="A2973" s="71"/>
    </row>
    <row r="2974" spans="1:1">
      <c r="A2974" s="71"/>
    </row>
    <row r="2975" spans="1:1">
      <c r="A2975" s="71"/>
    </row>
    <row r="2976" spans="1:1">
      <c r="A2976" s="71"/>
    </row>
    <row r="2977" spans="1:1">
      <c r="A2977" s="71"/>
    </row>
    <row r="2978" spans="1:1">
      <c r="A2978" s="71"/>
    </row>
    <row r="2979" spans="1:1">
      <c r="A2979" s="71"/>
    </row>
    <row r="2980" spans="1:1">
      <c r="A2980" s="71"/>
    </row>
    <row r="2981" spans="1:1">
      <c r="A2981" s="71"/>
    </row>
    <row r="2982" spans="1:1">
      <c r="A2982" s="71"/>
    </row>
    <row r="2983" spans="1:1">
      <c r="A2983" s="71"/>
    </row>
    <row r="2984" spans="1:1">
      <c r="A2984" s="71"/>
    </row>
    <row r="2985" spans="1:1">
      <c r="A2985" s="71"/>
    </row>
    <row r="2986" spans="1:1">
      <c r="A2986" s="71"/>
    </row>
    <row r="2987" spans="1:1">
      <c r="A2987" s="71"/>
    </row>
    <row r="2988" spans="1:1">
      <c r="A2988" s="71"/>
    </row>
    <row r="2989" spans="1:1">
      <c r="A2989" s="71"/>
    </row>
    <row r="2990" spans="1:1">
      <c r="A2990" s="71"/>
    </row>
    <row r="2991" spans="1:1">
      <c r="A2991" s="71"/>
    </row>
    <row r="2992" spans="1:1">
      <c r="A2992" s="71"/>
    </row>
    <row r="2993" spans="1:1">
      <c r="A2993" s="71"/>
    </row>
    <row r="2994" spans="1:1">
      <c r="A2994" s="71"/>
    </row>
    <row r="2995" spans="1:1">
      <c r="A2995" s="71"/>
    </row>
    <row r="2996" spans="1:1">
      <c r="A2996" s="71"/>
    </row>
    <row r="2997" spans="1:1">
      <c r="A2997" s="71"/>
    </row>
    <row r="2998" spans="1:1">
      <c r="A2998" s="71"/>
    </row>
    <row r="2999" spans="1:1">
      <c r="A2999" s="71"/>
    </row>
    <row r="3000" spans="1:1">
      <c r="A3000" s="71"/>
    </row>
    <row r="3001" spans="1:1">
      <c r="A3001" s="71"/>
    </row>
    <row r="3002" spans="1:1">
      <c r="A3002" s="71"/>
    </row>
    <row r="3003" spans="1:1">
      <c r="A3003" s="71"/>
    </row>
    <row r="3004" spans="1:1">
      <c r="A3004" s="71"/>
    </row>
    <row r="3005" spans="1:1">
      <c r="A3005" s="71"/>
    </row>
    <row r="3006" spans="1:1">
      <c r="A3006" s="71"/>
    </row>
    <row r="3007" spans="1:1">
      <c r="A3007" s="71"/>
    </row>
    <row r="3008" spans="1:1">
      <c r="A3008" s="71"/>
    </row>
    <row r="3009" spans="1:1">
      <c r="A3009" s="71"/>
    </row>
    <row r="3010" spans="1:1">
      <c r="A3010" s="71"/>
    </row>
    <row r="3011" spans="1:1">
      <c r="A3011" s="71"/>
    </row>
    <row r="3012" spans="1:1">
      <c r="A3012" s="71"/>
    </row>
    <row r="3013" spans="1:1">
      <c r="A3013" s="71"/>
    </row>
    <row r="3014" spans="1:1">
      <c r="A3014" s="71"/>
    </row>
    <row r="3015" spans="1:1">
      <c r="A3015" s="71"/>
    </row>
    <row r="3016" spans="1:1">
      <c r="A3016" s="71"/>
    </row>
    <row r="3017" spans="1:1">
      <c r="A3017" s="71"/>
    </row>
    <row r="3018" spans="1:1">
      <c r="A3018" s="71"/>
    </row>
    <row r="3019" spans="1:1">
      <c r="A3019" s="71"/>
    </row>
    <row r="3020" spans="1:1">
      <c r="A3020" s="71"/>
    </row>
    <row r="3021" spans="1:1">
      <c r="A3021" s="71"/>
    </row>
    <row r="3022" spans="1:1">
      <c r="A3022" s="71"/>
    </row>
    <row r="3023" spans="1:1">
      <c r="A3023" s="71"/>
    </row>
    <row r="3024" spans="1:1">
      <c r="A3024" s="71"/>
    </row>
    <row r="3025" spans="1:1">
      <c r="A3025" s="71"/>
    </row>
    <row r="3026" spans="1:1">
      <c r="A3026" s="71"/>
    </row>
    <row r="3027" spans="1:1">
      <c r="A3027" s="71"/>
    </row>
    <row r="3028" spans="1:1">
      <c r="A3028" s="71"/>
    </row>
    <row r="3029" spans="1:1">
      <c r="A3029" s="71"/>
    </row>
    <row r="3030" spans="1:1">
      <c r="A3030" s="71"/>
    </row>
    <row r="3031" spans="1:1">
      <c r="A3031" s="71"/>
    </row>
    <row r="3032" spans="1:1">
      <c r="A3032" s="71"/>
    </row>
    <row r="3033" spans="1:1">
      <c r="A3033" s="71"/>
    </row>
    <row r="3034" spans="1:1">
      <c r="A3034" s="71"/>
    </row>
    <row r="3035" spans="1:1">
      <c r="A3035" s="71"/>
    </row>
    <row r="3036" spans="1:1">
      <c r="A3036" s="71"/>
    </row>
    <row r="3037" spans="1:1">
      <c r="A3037" s="71"/>
    </row>
    <row r="3038" spans="1:1">
      <c r="A3038" s="71"/>
    </row>
    <row r="3039" spans="1:1">
      <c r="A3039" s="71"/>
    </row>
    <row r="3040" spans="1:1">
      <c r="A3040" s="71"/>
    </row>
    <row r="3041" spans="1:1">
      <c r="A3041" s="71"/>
    </row>
    <row r="3042" spans="1:1">
      <c r="A3042" s="71"/>
    </row>
    <row r="3043" spans="1:1">
      <c r="A3043" s="71"/>
    </row>
    <row r="3044" spans="1:1">
      <c r="A3044" s="71"/>
    </row>
    <row r="3045" spans="1:1">
      <c r="A3045" s="71"/>
    </row>
    <row r="3046" spans="1:1">
      <c r="A3046" s="71"/>
    </row>
    <row r="3047" spans="1:1">
      <c r="A3047" s="71"/>
    </row>
    <row r="3048" spans="1:1">
      <c r="A3048" s="71"/>
    </row>
    <row r="3049" spans="1:1">
      <c r="A3049" s="71"/>
    </row>
    <row r="3050" spans="1:1">
      <c r="A3050" s="71"/>
    </row>
    <row r="3051" spans="1:1">
      <c r="A3051" s="71"/>
    </row>
    <row r="3052" spans="1:1">
      <c r="A3052" s="71"/>
    </row>
    <row r="3053" spans="1:1">
      <c r="A3053" s="71"/>
    </row>
    <row r="3054" spans="1:1">
      <c r="A3054" s="71"/>
    </row>
    <row r="3055" spans="1:1">
      <c r="A3055" s="71"/>
    </row>
    <row r="3056" spans="1:1">
      <c r="A3056" s="71"/>
    </row>
    <row r="3057" spans="1:1">
      <c r="A3057" s="71"/>
    </row>
    <row r="3058" spans="1:1">
      <c r="A3058" s="71"/>
    </row>
    <row r="3059" spans="1:1">
      <c r="A3059" s="71"/>
    </row>
    <row r="3060" spans="1:1">
      <c r="A3060" s="71"/>
    </row>
    <row r="3061" spans="1:1">
      <c r="A3061" s="71"/>
    </row>
    <row r="3062" spans="1:1">
      <c r="A3062" s="71"/>
    </row>
    <row r="3063" spans="1:1">
      <c r="A3063" s="71"/>
    </row>
    <row r="3064" spans="1:1">
      <c r="A3064" s="71"/>
    </row>
    <row r="3065" spans="1:1">
      <c r="A3065" s="71"/>
    </row>
    <row r="3066" spans="1:1">
      <c r="A3066" s="71"/>
    </row>
    <row r="3067" spans="1:1">
      <c r="A3067" s="71"/>
    </row>
    <row r="3068" spans="1:1">
      <c r="A3068" s="71"/>
    </row>
    <row r="3069" spans="1:1">
      <c r="A3069" s="71"/>
    </row>
    <row r="3070" spans="1:1">
      <c r="A3070" s="71"/>
    </row>
    <row r="3071" spans="1:1">
      <c r="A3071" s="71"/>
    </row>
    <row r="3072" spans="1:1">
      <c r="A3072" s="71"/>
    </row>
    <row r="3073" spans="1:1">
      <c r="A3073" s="71"/>
    </row>
    <row r="3074" spans="1:1">
      <c r="A3074" s="71"/>
    </row>
    <row r="3075" spans="1:1">
      <c r="A3075" s="71"/>
    </row>
    <row r="3076" spans="1:1">
      <c r="A3076" s="71"/>
    </row>
    <row r="3077" spans="1:1">
      <c r="A3077" s="71"/>
    </row>
    <row r="3078" spans="1:1">
      <c r="A3078" s="71"/>
    </row>
    <row r="3079" spans="1:1">
      <c r="A3079" s="71"/>
    </row>
    <row r="3080" spans="1:1">
      <c r="A3080" s="71"/>
    </row>
    <row r="3081" spans="1:1">
      <c r="A3081" s="71"/>
    </row>
    <row r="3082" spans="1:1">
      <c r="A3082" s="71"/>
    </row>
    <row r="3083" spans="1:1">
      <c r="A3083" s="71"/>
    </row>
    <row r="3084" spans="1:1">
      <c r="A3084" s="71"/>
    </row>
    <row r="3085" spans="1:1">
      <c r="A3085" s="71"/>
    </row>
    <row r="3086" spans="1:1">
      <c r="A3086" s="71"/>
    </row>
    <row r="3087" spans="1:1">
      <c r="A3087" s="71"/>
    </row>
    <row r="3088" spans="1:1">
      <c r="A3088" s="71"/>
    </row>
    <row r="3089" spans="1:1">
      <c r="A3089" s="71"/>
    </row>
    <row r="3090" spans="1:1">
      <c r="A3090" s="71"/>
    </row>
    <row r="3091" spans="1:1">
      <c r="A3091" s="71"/>
    </row>
    <row r="3092" spans="1:1">
      <c r="A3092" s="71"/>
    </row>
    <row r="3093" spans="1:1">
      <c r="A3093" s="71"/>
    </row>
    <row r="3094" spans="1:1">
      <c r="A3094" s="71"/>
    </row>
    <row r="3095" spans="1:1">
      <c r="A3095" s="71"/>
    </row>
    <row r="3096" spans="1:1">
      <c r="A3096" s="71"/>
    </row>
    <row r="3097" spans="1:1">
      <c r="A3097" s="71"/>
    </row>
    <row r="3098" spans="1:1">
      <c r="A3098" s="71"/>
    </row>
    <row r="3099" spans="1:1">
      <c r="A3099" s="71"/>
    </row>
    <row r="3100" spans="1:1">
      <c r="A3100" s="71"/>
    </row>
    <row r="3101" spans="1:1">
      <c r="A3101" s="71"/>
    </row>
    <row r="3102" spans="1:1">
      <c r="A3102" s="71"/>
    </row>
    <row r="3103" spans="1:1">
      <c r="A3103" s="71"/>
    </row>
    <row r="3104" spans="1:1">
      <c r="A3104" s="71"/>
    </row>
    <row r="3105" spans="1:1">
      <c r="A3105" s="71"/>
    </row>
    <row r="3106" spans="1:1">
      <c r="A3106" s="71"/>
    </row>
    <row r="3107" spans="1:1">
      <c r="A3107" s="71"/>
    </row>
    <row r="3108" spans="1:1">
      <c r="A3108" s="71"/>
    </row>
    <row r="3109" spans="1:1">
      <c r="A3109" s="71"/>
    </row>
    <row r="3110" spans="1:1">
      <c r="A3110" s="71"/>
    </row>
    <row r="3111" spans="1:1">
      <c r="A3111" s="71"/>
    </row>
    <row r="3112" spans="1:1">
      <c r="A3112" s="71"/>
    </row>
    <row r="3113" spans="1:1">
      <c r="A3113" s="71"/>
    </row>
    <row r="3114" spans="1:1">
      <c r="A3114" s="71"/>
    </row>
    <row r="3115" spans="1:1">
      <c r="A3115" s="71"/>
    </row>
    <row r="3116" spans="1:1">
      <c r="A3116" s="71"/>
    </row>
    <row r="3117" spans="1:1">
      <c r="A3117" s="71"/>
    </row>
    <row r="3118" spans="1:1">
      <c r="A3118" s="71"/>
    </row>
    <row r="3119" spans="1:1">
      <c r="A3119" s="71"/>
    </row>
    <row r="3120" spans="1:1">
      <c r="A3120" s="71"/>
    </row>
    <row r="3121" spans="1:1">
      <c r="A3121" s="71"/>
    </row>
    <row r="3122" spans="1:1">
      <c r="A3122" s="71"/>
    </row>
    <row r="3123" spans="1:1">
      <c r="A3123" s="71"/>
    </row>
    <row r="3124" spans="1:1">
      <c r="A3124" s="71"/>
    </row>
    <row r="3125" spans="1:1">
      <c r="A3125" s="71"/>
    </row>
    <row r="3126" spans="1:1">
      <c r="A3126" s="71"/>
    </row>
    <row r="3127" spans="1:1">
      <c r="A3127" s="71"/>
    </row>
    <row r="3128" spans="1:1">
      <c r="A3128" s="71"/>
    </row>
    <row r="3129" spans="1:1">
      <c r="A3129" s="71"/>
    </row>
    <row r="3130" spans="1:1">
      <c r="A3130" s="71"/>
    </row>
    <row r="3131" spans="1:1">
      <c r="A3131" s="71"/>
    </row>
    <row r="3132" spans="1:1">
      <c r="A3132" s="71"/>
    </row>
    <row r="3133" spans="1:1">
      <c r="A3133" s="71"/>
    </row>
    <row r="3134" spans="1:1">
      <c r="A3134" s="71"/>
    </row>
    <row r="3135" spans="1:1">
      <c r="A3135" s="71"/>
    </row>
    <row r="3136" spans="1:1">
      <c r="A3136" s="71"/>
    </row>
    <row r="3137" spans="1:1">
      <c r="A3137" s="71"/>
    </row>
    <row r="3138" spans="1:1">
      <c r="A3138" s="71"/>
    </row>
    <row r="3139" spans="1:1">
      <c r="A3139" s="71"/>
    </row>
    <row r="3140" spans="1:1">
      <c r="A3140" s="71"/>
    </row>
    <row r="3141" spans="1:1">
      <c r="A3141" s="71"/>
    </row>
    <row r="3142" spans="1:1">
      <c r="A3142" s="71"/>
    </row>
    <row r="3143" spans="1:1">
      <c r="A3143" s="71"/>
    </row>
    <row r="3144" spans="1:1">
      <c r="A3144" s="71"/>
    </row>
    <row r="3145" spans="1:1">
      <c r="A3145" s="71"/>
    </row>
    <row r="3146" spans="1:1">
      <c r="A3146" s="71"/>
    </row>
    <row r="3147" spans="1:1">
      <c r="A3147" s="71"/>
    </row>
    <row r="3148" spans="1:1">
      <c r="A3148" s="71"/>
    </row>
    <row r="3149" spans="1:1">
      <c r="A3149" s="71"/>
    </row>
    <row r="3150" spans="1:1">
      <c r="A3150" s="71"/>
    </row>
    <row r="3151" spans="1:1">
      <c r="A3151" s="71"/>
    </row>
    <row r="3152" spans="1:1">
      <c r="A3152" s="71"/>
    </row>
    <row r="3153" spans="1:1">
      <c r="A3153" s="71"/>
    </row>
    <row r="3154" spans="1:1">
      <c r="A3154" s="71"/>
    </row>
    <row r="3155" spans="1:1">
      <c r="A3155" s="71"/>
    </row>
    <row r="3156" spans="1:1">
      <c r="A3156" s="71"/>
    </row>
    <row r="3157" spans="1:1">
      <c r="A3157" s="71"/>
    </row>
    <row r="3158" spans="1:1">
      <c r="A3158" s="71"/>
    </row>
    <row r="3159" spans="1:1">
      <c r="A3159" s="71"/>
    </row>
    <row r="3160" spans="1:1">
      <c r="A3160" s="71"/>
    </row>
    <row r="3161" spans="1:1">
      <c r="A3161" s="71"/>
    </row>
    <row r="3162" spans="1:1">
      <c r="A3162" s="71"/>
    </row>
    <row r="3163" spans="1:1">
      <c r="A3163" s="71"/>
    </row>
    <row r="3164" spans="1:1">
      <c r="A3164" s="71"/>
    </row>
    <row r="3165" spans="1:1">
      <c r="A3165" s="71"/>
    </row>
    <row r="3166" spans="1:1">
      <c r="A3166" s="71"/>
    </row>
    <row r="3167" spans="1:1">
      <c r="A3167" s="71"/>
    </row>
    <row r="3168" spans="1:1">
      <c r="A3168" s="71"/>
    </row>
    <row r="3169" spans="1:1">
      <c r="A3169" s="71"/>
    </row>
    <row r="3170" spans="1:1">
      <c r="A3170" s="71"/>
    </row>
    <row r="3171" spans="1:1">
      <c r="A3171" s="71"/>
    </row>
    <row r="3172" spans="1:1">
      <c r="A3172" s="71"/>
    </row>
    <row r="3173" spans="1:1">
      <c r="A3173" s="71"/>
    </row>
    <row r="3174" spans="1:1">
      <c r="A3174" s="71"/>
    </row>
    <row r="3175" spans="1:1">
      <c r="A3175" s="71"/>
    </row>
    <row r="3176" spans="1:1">
      <c r="A3176" s="71"/>
    </row>
    <row r="3177" spans="1:1">
      <c r="A3177" s="71"/>
    </row>
    <row r="3178" spans="1:1">
      <c r="A3178" s="71"/>
    </row>
    <row r="3179" spans="1:1">
      <c r="A3179" s="71"/>
    </row>
    <row r="3180" spans="1:1">
      <c r="A3180" s="71"/>
    </row>
    <row r="3181" spans="1:1">
      <c r="A3181" s="71"/>
    </row>
    <row r="3182" spans="1:1">
      <c r="A3182" s="71"/>
    </row>
    <row r="3183" spans="1:1">
      <c r="A3183" s="71"/>
    </row>
    <row r="3184" spans="1:1">
      <c r="A3184" s="71"/>
    </row>
    <row r="3185" spans="1:1">
      <c r="A3185" s="71"/>
    </row>
    <row r="3186" spans="1:1">
      <c r="A3186" s="71"/>
    </row>
    <row r="3187" spans="1:1">
      <c r="A3187" s="71"/>
    </row>
    <row r="3188" spans="1:1">
      <c r="A3188" s="71"/>
    </row>
    <row r="3189" spans="1:1">
      <c r="A3189" s="71"/>
    </row>
    <row r="3190" spans="1:1">
      <c r="A3190" s="71"/>
    </row>
    <row r="3191" spans="1:1">
      <c r="A3191" s="71"/>
    </row>
    <row r="3192" spans="1:1">
      <c r="A3192" s="71"/>
    </row>
    <row r="3193" spans="1:1">
      <c r="A3193" s="71"/>
    </row>
    <row r="3194" spans="1:1">
      <c r="A3194" s="71"/>
    </row>
    <row r="3195" spans="1:1">
      <c r="A3195" s="71"/>
    </row>
    <row r="3196" spans="1:1">
      <c r="A3196" s="71"/>
    </row>
    <row r="3197" spans="1:1">
      <c r="A3197" s="71"/>
    </row>
    <row r="3198" spans="1:1">
      <c r="A3198" s="71"/>
    </row>
    <row r="3199" spans="1:1">
      <c r="A3199" s="71"/>
    </row>
    <row r="3200" spans="1:1">
      <c r="A3200" s="71"/>
    </row>
    <row r="3201" spans="1:1">
      <c r="A3201" s="71"/>
    </row>
    <row r="3202" spans="1:1">
      <c r="A3202" s="71"/>
    </row>
    <row r="3203" spans="1:1">
      <c r="A3203" s="71"/>
    </row>
    <row r="3204" spans="1:1">
      <c r="A3204" s="71"/>
    </row>
    <row r="3205" spans="1:1">
      <c r="A3205" s="71"/>
    </row>
    <row r="3206" spans="1:1">
      <c r="A3206" s="71"/>
    </row>
    <row r="3207" spans="1:1">
      <c r="A3207" s="71"/>
    </row>
    <row r="3208" spans="1:1">
      <c r="A3208" s="71"/>
    </row>
    <row r="3209" spans="1:1">
      <c r="A3209" s="71"/>
    </row>
    <row r="3210" spans="1:1">
      <c r="A3210" s="71"/>
    </row>
    <row r="3211" spans="1:1">
      <c r="A3211" s="71"/>
    </row>
    <row r="3212" spans="1:1">
      <c r="A3212" s="71"/>
    </row>
    <row r="3213" spans="1:1">
      <c r="A3213" s="71"/>
    </row>
    <row r="3214" spans="1:1">
      <c r="A3214" s="71"/>
    </row>
    <row r="3215" spans="1:1">
      <c r="A3215" s="71"/>
    </row>
    <row r="3216" spans="1:1">
      <c r="A3216" s="71"/>
    </row>
    <row r="3217" spans="1:1">
      <c r="A3217" s="71"/>
    </row>
    <row r="3218" spans="1:1">
      <c r="A3218" s="71"/>
    </row>
    <row r="3219" spans="1:1">
      <c r="A3219" s="71"/>
    </row>
    <row r="3220" spans="1:1">
      <c r="A3220" s="71"/>
    </row>
    <row r="3221" spans="1:1">
      <c r="A3221" s="71"/>
    </row>
    <row r="3222" spans="1:1">
      <c r="A3222" s="71"/>
    </row>
    <row r="3223" spans="1:1">
      <c r="A3223" s="71"/>
    </row>
    <row r="3224" spans="1:1">
      <c r="A3224" s="71"/>
    </row>
    <row r="3225" spans="1:1">
      <c r="A3225" s="71"/>
    </row>
    <row r="3226" spans="1:1">
      <c r="A3226" s="71"/>
    </row>
    <row r="3227" spans="1:1">
      <c r="A3227" s="71"/>
    </row>
    <row r="3228" spans="1:1">
      <c r="A3228" s="71"/>
    </row>
    <row r="3229" spans="1:1">
      <c r="A3229" s="71"/>
    </row>
    <row r="3230" spans="1:1">
      <c r="A3230" s="71"/>
    </row>
    <row r="3231" spans="1:1">
      <c r="A3231" s="71"/>
    </row>
    <row r="3232" spans="1:1">
      <c r="A3232" s="71"/>
    </row>
    <row r="3233" spans="1:1">
      <c r="A3233" s="71"/>
    </row>
    <row r="3234" spans="1:1">
      <c r="A3234" s="71"/>
    </row>
    <row r="3235" spans="1:1">
      <c r="A3235" s="71"/>
    </row>
    <row r="3236" spans="1:1">
      <c r="A3236" s="71"/>
    </row>
    <row r="3237" spans="1:1">
      <c r="A3237" s="71"/>
    </row>
    <row r="3238" spans="1:1">
      <c r="A3238" s="71"/>
    </row>
    <row r="3239" spans="1:1">
      <c r="A3239" s="71"/>
    </row>
    <row r="3240" spans="1:1">
      <c r="A3240" s="71"/>
    </row>
    <row r="3241" spans="1:1">
      <c r="A3241" s="71"/>
    </row>
    <row r="3242" spans="1:1">
      <c r="A3242" s="71"/>
    </row>
    <row r="3243" spans="1:1">
      <c r="A3243" s="71"/>
    </row>
    <row r="3244" spans="1:1">
      <c r="A3244" s="71"/>
    </row>
    <row r="3245" spans="1:1">
      <c r="A3245" s="71"/>
    </row>
    <row r="3246" spans="1:1">
      <c r="A3246" s="71"/>
    </row>
    <row r="3247" spans="1:1">
      <c r="A3247" s="71"/>
    </row>
    <row r="3248" spans="1:1">
      <c r="A3248" s="71"/>
    </row>
    <row r="3249" spans="1:1">
      <c r="A3249" s="71"/>
    </row>
    <row r="3250" spans="1:1">
      <c r="A3250" s="71"/>
    </row>
    <row r="3251" spans="1:1">
      <c r="A3251" s="71"/>
    </row>
    <row r="3252" spans="1:1">
      <c r="A3252" s="71"/>
    </row>
    <row r="3253" spans="1:1">
      <c r="A3253" s="71"/>
    </row>
    <row r="3254" spans="1:1">
      <c r="A3254" s="71"/>
    </row>
    <row r="3255" spans="1:1">
      <c r="A3255" s="71"/>
    </row>
    <row r="3256" spans="1:1">
      <c r="A3256" s="71"/>
    </row>
    <row r="3257" spans="1:1">
      <c r="A3257" s="71"/>
    </row>
    <row r="3258" spans="1:1">
      <c r="A3258" s="71"/>
    </row>
    <row r="3259" spans="1:1">
      <c r="A3259" s="71"/>
    </row>
    <row r="3260" spans="1:1">
      <c r="A3260" s="71"/>
    </row>
    <row r="3261" spans="1:1">
      <c r="A3261" s="71"/>
    </row>
    <row r="3262" spans="1:1">
      <c r="A3262" s="71"/>
    </row>
    <row r="3263" spans="1:1">
      <c r="A3263" s="71"/>
    </row>
    <row r="3264" spans="1:1">
      <c r="A3264" s="71"/>
    </row>
    <row r="3265" spans="1:1">
      <c r="A3265" s="71"/>
    </row>
    <row r="3266" spans="1:1">
      <c r="A3266" s="71"/>
    </row>
    <row r="3267" spans="1:1">
      <c r="A3267" s="71"/>
    </row>
    <row r="3268" spans="1:1">
      <c r="A3268" s="71"/>
    </row>
    <row r="3269" spans="1:1">
      <c r="A3269" s="71"/>
    </row>
    <row r="3270" spans="1:1">
      <c r="A3270" s="71"/>
    </row>
    <row r="3271" spans="1:1">
      <c r="A3271" s="71"/>
    </row>
    <row r="3272" spans="1:1">
      <c r="A3272" s="71"/>
    </row>
    <row r="3273" spans="1:1">
      <c r="A3273" s="71"/>
    </row>
    <row r="3274" spans="1:1">
      <c r="A3274" s="71"/>
    </row>
    <row r="3275" spans="1:1">
      <c r="A3275" s="71"/>
    </row>
    <row r="3276" spans="1:1">
      <c r="A3276" s="71"/>
    </row>
    <row r="3277" spans="1:1">
      <c r="A3277" s="71"/>
    </row>
    <row r="3278" spans="1:1">
      <c r="A3278" s="71"/>
    </row>
    <row r="3279" spans="1:1">
      <c r="A3279" s="71"/>
    </row>
    <row r="3280" spans="1:1">
      <c r="A3280" s="71"/>
    </row>
    <row r="3281" spans="1:1">
      <c r="A3281" s="71"/>
    </row>
    <row r="3282" spans="1:1">
      <c r="A3282" s="71"/>
    </row>
    <row r="3283" spans="1:1">
      <c r="A3283" s="71"/>
    </row>
    <row r="3284" spans="1:1">
      <c r="A3284" s="71"/>
    </row>
    <row r="3285" spans="1:1">
      <c r="A3285" s="71"/>
    </row>
    <row r="3286" spans="1:1">
      <c r="A3286" s="71"/>
    </row>
    <row r="3287" spans="1:1">
      <c r="A3287" s="71"/>
    </row>
    <row r="3288" spans="1:1">
      <c r="A3288" s="71"/>
    </row>
    <row r="3289" spans="1:1">
      <c r="A3289" s="71"/>
    </row>
    <row r="3290" spans="1:1">
      <c r="A3290" s="71"/>
    </row>
    <row r="3291" spans="1:1">
      <c r="A3291" s="71"/>
    </row>
    <row r="3292" spans="1:1">
      <c r="A3292" s="71"/>
    </row>
    <row r="3293" spans="1:1">
      <c r="A3293" s="71"/>
    </row>
    <row r="3294" spans="1:1">
      <c r="A3294" s="71"/>
    </row>
    <row r="3295" spans="1:1">
      <c r="A3295" s="71"/>
    </row>
    <row r="3296" spans="1:1">
      <c r="A3296" s="71"/>
    </row>
    <row r="3297" spans="1:1">
      <c r="A3297" s="71"/>
    </row>
    <row r="3298" spans="1:1">
      <c r="A3298" s="71"/>
    </row>
    <row r="3299" spans="1:1">
      <c r="A3299" s="71"/>
    </row>
    <row r="3300" spans="1:1">
      <c r="A3300" s="71"/>
    </row>
    <row r="3301" spans="1:1">
      <c r="A3301" s="71"/>
    </row>
    <row r="3302" spans="1:1">
      <c r="A3302" s="71"/>
    </row>
    <row r="3303" spans="1:1">
      <c r="A3303" s="71"/>
    </row>
    <row r="3304" spans="1:1">
      <c r="A3304" s="71"/>
    </row>
    <row r="3305" spans="1:1">
      <c r="A3305" s="71"/>
    </row>
    <row r="3306" spans="1:1">
      <c r="A3306" s="71"/>
    </row>
    <row r="3307" spans="1:1">
      <c r="A3307" s="71"/>
    </row>
    <row r="3308" spans="1:1">
      <c r="A3308" s="71"/>
    </row>
    <row r="3309" spans="1:1">
      <c r="A3309" s="71"/>
    </row>
    <row r="3310" spans="1:1">
      <c r="A3310" s="71"/>
    </row>
    <row r="3311" spans="1:1">
      <c r="A3311" s="71"/>
    </row>
    <row r="3312" spans="1:1">
      <c r="A3312" s="71"/>
    </row>
    <row r="3313" spans="1:1">
      <c r="A3313" s="71"/>
    </row>
    <row r="3314" spans="1:1">
      <c r="A3314" s="71"/>
    </row>
    <row r="3315" spans="1:1">
      <c r="A3315" s="71"/>
    </row>
    <row r="3316" spans="1:1">
      <c r="A3316" s="71"/>
    </row>
    <row r="3317" spans="1:1">
      <c r="A3317" s="71"/>
    </row>
    <row r="3318" spans="1:1">
      <c r="A3318" s="71"/>
    </row>
    <row r="3319" spans="1:1">
      <c r="A3319" s="71"/>
    </row>
    <row r="3320" spans="1:1">
      <c r="A3320" s="71"/>
    </row>
    <row r="3321" spans="1:1">
      <c r="A3321" s="71"/>
    </row>
    <row r="3322" spans="1:1">
      <c r="A3322" s="71"/>
    </row>
    <row r="3323" spans="1:1">
      <c r="A3323" s="71"/>
    </row>
    <row r="3324" spans="1:1">
      <c r="A3324" s="71"/>
    </row>
    <row r="3325" spans="1:1">
      <c r="A3325" s="71"/>
    </row>
    <row r="3326" spans="1:1">
      <c r="A3326" s="71"/>
    </row>
    <row r="3327" spans="1:1">
      <c r="A3327" s="71"/>
    </row>
    <row r="3328" spans="1:1">
      <c r="A3328" s="71"/>
    </row>
    <row r="3329" spans="1:1">
      <c r="A3329" s="71"/>
    </row>
    <row r="3330" spans="1:1">
      <c r="A3330" s="71"/>
    </row>
    <row r="3331" spans="1:1">
      <c r="A3331" s="71"/>
    </row>
    <row r="3332" spans="1:1">
      <c r="A3332" s="71"/>
    </row>
    <row r="3333" spans="1:1">
      <c r="A3333" s="71"/>
    </row>
    <row r="3334" spans="1:1">
      <c r="A3334" s="71"/>
    </row>
    <row r="3335" spans="1:1">
      <c r="A3335" s="71"/>
    </row>
    <row r="3336" spans="1:1">
      <c r="A3336" s="71"/>
    </row>
    <row r="3337" spans="1:1">
      <c r="A3337" s="71"/>
    </row>
    <row r="3338" spans="1:1">
      <c r="A3338" s="71"/>
    </row>
    <row r="3339" spans="1:1">
      <c r="A3339" s="71"/>
    </row>
    <row r="3340" spans="1:1">
      <c r="A3340" s="71"/>
    </row>
    <row r="3341" spans="1:1">
      <c r="A3341" s="71"/>
    </row>
    <row r="3342" spans="1:1">
      <c r="A3342" s="71"/>
    </row>
    <row r="3343" spans="1:1">
      <c r="A3343" s="71"/>
    </row>
    <row r="3344" spans="1:1">
      <c r="A3344" s="71"/>
    </row>
    <row r="3345" spans="1:1">
      <c r="A3345" s="71"/>
    </row>
    <row r="3346" spans="1:1">
      <c r="A3346" s="71"/>
    </row>
    <row r="3347" spans="1:1">
      <c r="A3347" s="71"/>
    </row>
    <row r="3348" spans="1:1">
      <c r="A3348" s="71"/>
    </row>
    <row r="3349" spans="1:1">
      <c r="A3349" s="71"/>
    </row>
    <row r="3350" spans="1:1">
      <c r="A3350" s="71"/>
    </row>
    <row r="3351" spans="1:1">
      <c r="A3351" s="71"/>
    </row>
    <row r="3352" spans="1:1">
      <c r="A3352" s="71"/>
    </row>
    <row r="3353" spans="1:1">
      <c r="A3353" s="71"/>
    </row>
    <row r="3354" spans="1:1">
      <c r="A3354" s="71"/>
    </row>
    <row r="3355" spans="1:1">
      <c r="A3355" s="71"/>
    </row>
    <row r="3356" spans="1:1">
      <c r="A3356" s="71"/>
    </row>
    <row r="3357" spans="1:1">
      <c r="A3357" s="71"/>
    </row>
    <row r="3358" spans="1:1">
      <c r="A3358" s="71"/>
    </row>
    <row r="3359" spans="1:1">
      <c r="A3359" s="71"/>
    </row>
    <row r="3360" spans="1:1">
      <c r="A3360" s="71"/>
    </row>
    <row r="3361" spans="1:1">
      <c r="A3361" s="71"/>
    </row>
    <row r="3362" spans="1:1">
      <c r="A3362" s="71"/>
    </row>
    <row r="3363" spans="1:1">
      <c r="A3363" s="71"/>
    </row>
    <row r="3364" spans="1:1">
      <c r="A3364" s="71"/>
    </row>
    <row r="3365" spans="1:1">
      <c r="A3365" s="71"/>
    </row>
    <row r="3366" spans="1:1">
      <c r="A3366" s="71"/>
    </row>
    <row r="3367" spans="1:1">
      <c r="A3367" s="71"/>
    </row>
    <row r="3368" spans="1:1">
      <c r="A3368" s="71"/>
    </row>
    <row r="3369" spans="1:1">
      <c r="A3369" s="71"/>
    </row>
    <row r="3370" spans="1:1">
      <c r="A3370" s="71"/>
    </row>
    <row r="3371" spans="1:1">
      <c r="A3371" s="71"/>
    </row>
    <row r="3372" spans="1:1">
      <c r="A3372" s="71"/>
    </row>
    <row r="3373" spans="1:1">
      <c r="A3373" s="71"/>
    </row>
    <row r="3374" spans="1:1">
      <c r="A3374" s="71"/>
    </row>
    <row r="3375" spans="1:1">
      <c r="A3375" s="71"/>
    </row>
    <row r="3376" spans="1:1">
      <c r="A3376" s="71"/>
    </row>
    <row r="3377" spans="1:1">
      <c r="A3377" s="71"/>
    </row>
    <row r="3378" spans="1:1">
      <c r="A3378" s="71"/>
    </row>
    <row r="3379" spans="1:1">
      <c r="A3379" s="71"/>
    </row>
    <row r="3380" spans="1:1">
      <c r="A3380" s="71"/>
    </row>
    <row r="3381" spans="1:1">
      <c r="A3381" s="71"/>
    </row>
    <row r="3382" spans="1:1">
      <c r="A3382" s="71"/>
    </row>
    <row r="3383" spans="1:1">
      <c r="A3383" s="71"/>
    </row>
    <row r="3384" spans="1:1">
      <c r="A3384" s="71"/>
    </row>
    <row r="3385" spans="1:1">
      <c r="A3385" s="71"/>
    </row>
    <row r="3386" spans="1:1">
      <c r="A3386" s="71"/>
    </row>
    <row r="3387" spans="1:1">
      <c r="A3387" s="71"/>
    </row>
    <row r="3388" spans="1:1">
      <c r="A3388" s="71"/>
    </row>
    <row r="3389" spans="1:1">
      <c r="A3389" s="71"/>
    </row>
    <row r="3390" spans="1:1">
      <c r="A3390" s="71"/>
    </row>
    <row r="3391" spans="1:1">
      <c r="A3391" s="71"/>
    </row>
    <row r="3392" spans="1:1">
      <c r="A3392" s="71"/>
    </row>
    <row r="3393" spans="1:1">
      <c r="A3393" s="71"/>
    </row>
    <row r="3394" spans="1:1">
      <c r="A3394" s="71"/>
    </row>
    <row r="3395" spans="1:1">
      <c r="A3395" s="71"/>
    </row>
    <row r="3396" spans="1:1">
      <c r="A3396" s="71"/>
    </row>
    <row r="3397" spans="1:1">
      <c r="A3397" s="71"/>
    </row>
    <row r="3398" spans="1:1">
      <c r="A3398" s="71"/>
    </row>
    <row r="3399" spans="1:1">
      <c r="A3399" s="71"/>
    </row>
    <row r="3400" spans="1:1">
      <c r="A3400" s="71"/>
    </row>
    <row r="3401" spans="1:1">
      <c r="A3401" s="71"/>
    </row>
    <row r="3402" spans="1:1">
      <c r="A3402" s="71"/>
    </row>
    <row r="3403" spans="1:1">
      <c r="A3403" s="71"/>
    </row>
    <row r="3404" spans="1:1">
      <c r="A3404" s="71"/>
    </row>
    <row r="3405" spans="1:1">
      <c r="A3405" s="71"/>
    </row>
    <row r="3406" spans="1:1">
      <c r="A3406" s="71"/>
    </row>
    <row r="3407" spans="1:1">
      <c r="A3407" s="71"/>
    </row>
    <row r="3408" spans="1:1">
      <c r="A3408" s="71"/>
    </row>
    <row r="3409" spans="1:1">
      <c r="A3409" s="71"/>
    </row>
    <row r="3410" spans="1:1">
      <c r="A3410" s="71"/>
    </row>
    <row r="3411" spans="1:1">
      <c r="A3411" s="71"/>
    </row>
    <row r="3412" spans="1:1">
      <c r="A3412" s="71"/>
    </row>
    <row r="3413" spans="1:1">
      <c r="A3413" s="71"/>
    </row>
    <row r="3414" spans="1:1">
      <c r="A3414" s="71"/>
    </row>
    <row r="3415" spans="1:1">
      <c r="A3415" s="71"/>
    </row>
    <row r="3416" spans="1:1">
      <c r="A3416" s="71"/>
    </row>
    <row r="3417" spans="1:1">
      <c r="A3417" s="71"/>
    </row>
    <row r="3418" spans="1:1">
      <c r="A3418" s="71"/>
    </row>
    <row r="3419" spans="1:1">
      <c r="A3419" s="71"/>
    </row>
    <row r="3420" spans="1:1">
      <c r="A3420" s="71"/>
    </row>
    <row r="3421" spans="1:1">
      <c r="A3421" s="71"/>
    </row>
    <row r="3422" spans="1:1">
      <c r="A3422" s="71"/>
    </row>
    <row r="3423" spans="1:1">
      <c r="A3423" s="71"/>
    </row>
    <row r="3424" spans="1:1">
      <c r="A3424" s="71"/>
    </row>
    <row r="3425" spans="1:1">
      <c r="A3425" s="71"/>
    </row>
    <row r="3426" spans="1:1">
      <c r="A3426" s="71"/>
    </row>
    <row r="3427" spans="1:1">
      <c r="A3427" s="71"/>
    </row>
    <row r="3428" spans="1:1">
      <c r="A3428" s="71"/>
    </row>
    <row r="3429" spans="1:1">
      <c r="A3429" s="71"/>
    </row>
    <row r="3430" spans="1:1">
      <c r="A3430" s="71"/>
    </row>
    <row r="3431" spans="1:1">
      <c r="A3431" s="71"/>
    </row>
    <row r="3432" spans="1:1">
      <c r="A3432" s="71"/>
    </row>
    <row r="3433" spans="1:1">
      <c r="A3433" s="71"/>
    </row>
    <row r="3434" spans="1:1">
      <c r="A3434" s="71"/>
    </row>
    <row r="3435" spans="1:1">
      <c r="A3435" s="71"/>
    </row>
    <row r="3436" spans="1:1">
      <c r="A3436" s="71"/>
    </row>
    <row r="3437" spans="1:1">
      <c r="A3437" s="71"/>
    </row>
    <row r="3438" spans="1:1">
      <c r="A3438" s="71"/>
    </row>
    <row r="3439" spans="1:1">
      <c r="A3439" s="71"/>
    </row>
    <row r="3440" spans="1:1">
      <c r="A3440" s="71"/>
    </row>
    <row r="3441" spans="1:1">
      <c r="A3441" s="71"/>
    </row>
    <row r="3442" spans="1:1">
      <c r="A3442" s="71"/>
    </row>
    <row r="3443" spans="1:1">
      <c r="A3443" s="71"/>
    </row>
    <row r="3444" spans="1:1">
      <c r="A3444" s="71"/>
    </row>
    <row r="3445" spans="1:1">
      <c r="A3445" s="71"/>
    </row>
    <row r="3446" spans="1:1">
      <c r="A3446" s="71"/>
    </row>
    <row r="3447" spans="1:1">
      <c r="A3447" s="71"/>
    </row>
    <row r="3448" spans="1:1">
      <c r="A3448" s="71"/>
    </row>
    <row r="3449" spans="1:1">
      <c r="A3449" s="71"/>
    </row>
    <row r="3450" spans="1:1">
      <c r="A3450" s="71"/>
    </row>
    <row r="3451" spans="1:1">
      <c r="A3451" s="71"/>
    </row>
    <row r="3452" spans="1:1">
      <c r="A3452" s="71"/>
    </row>
    <row r="3453" spans="1:1">
      <c r="A3453" s="71"/>
    </row>
    <row r="3454" spans="1:1">
      <c r="A3454" s="71"/>
    </row>
    <row r="3455" spans="1:1">
      <c r="A3455" s="71"/>
    </row>
    <row r="3456" spans="1:1">
      <c r="A3456" s="71"/>
    </row>
    <row r="3457" spans="1:1">
      <c r="A3457" s="71"/>
    </row>
    <row r="3458" spans="1:1">
      <c r="A3458" s="71"/>
    </row>
    <row r="3459" spans="1:1">
      <c r="A3459" s="71"/>
    </row>
    <row r="3460" spans="1:1">
      <c r="A3460" s="71"/>
    </row>
    <row r="3461" spans="1:1">
      <c r="A3461" s="71"/>
    </row>
    <row r="3462" spans="1:1">
      <c r="A3462" s="71"/>
    </row>
    <row r="3463" spans="1:1">
      <c r="A3463" s="71"/>
    </row>
    <row r="3464" spans="1:1">
      <c r="A3464" s="71"/>
    </row>
    <row r="3465" spans="1:1">
      <c r="A3465" s="71"/>
    </row>
    <row r="3466" spans="1:1">
      <c r="A3466" s="71"/>
    </row>
    <row r="3467" spans="1:1">
      <c r="A3467" s="71"/>
    </row>
    <row r="3468" spans="1:1">
      <c r="A3468" s="71"/>
    </row>
    <row r="3469" spans="1:1">
      <c r="A3469" s="71"/>
    </row>
    <row r="3470" spans="1:1">
      <c r="A3470" s="71"/>
    </row>
    <row r="3471" spans="1:1">
      <c r="A3471" s="71"/>
    </row>
    <row r="3472" spans="1:1">
      <c r="A3472" s="71"/>
    </row>
    <row r="3473" spans="1:1">
      <c r="A3473" s="71"/>
    </row>
    <row r="3474" spans="1:1">
      <c r="A3474" s="71"/>
    </row>
    <row r="3475" spans="1:1">
      <c r="A3475" s="71"/>
    </row>
    <row r="3476" spans="1:1">
      <c r="A3476" s="71"/>
    </row>
    <row r="3477" spans="1:1">
      <c r="A3477" s="71"/>
    </row>
    <row r="3478" spans="1:1">
      <c r="A3478" s="71"/>
    </row>
    <row r="3479" spans="1:1">
      <c r="A3479" s="71"/>
    </row>
    <row r="3480" spans="1:1">
      <c r="A3480" s="71"/>
    </row>
    <row r="3481" spans="1:1">
      <c r="A3481" s="71"/>
    </row>
    <row r="3482" spans="1:1">
      <c r="A3482" s="71"/>
    </row>
    <row r="3483" spans="1:1">
      <c r="A3483" s="71"/>
    </row>
    <row r="3484" spans="1:1">
      <c r="A3484" s="71"/>
    </row>
    <row r="3485" spans="1:1">
      <c r="A3485" s="71"/>
    </row>
    <row r="3486" spans="1:1">
      <c r="A3486" s="71"/>
    </row>
    <row r="3487" spans="1:1">
      <c r="A3487" s="71"/>
    </row>
    <row r="3488" spans="1:1">
      <c r="A3488" s="71"/>
    </row>
    <row r="3489" spans="1:1">
      <c r="A3489" s="71"/>
    </row>
    <row r="3490" spans="1:1">
      <c r="A3490" s="71"/>
    </row>
    <row r="3491" spans="1:1">
      <c r="A3491" s="71"/>
    </row>
    <row r="3492" spans="1:1">
      <c r="A3492" s="71"/>
    </row>
    <row r="3493" spans="1:1">
      <c r="A3493" s="71"/>
    </row>
    <row r="3494" spans="1:1">
      <c r="A3494" s="71"/>
    </row>
    <row r="3495" spans="1:1">
      <c r="A3495" s="71"/>
    </row>
    <row r="3496" spans="1:1">
      <c r="A3496" s="71"/>
    </row>
    <row r="3497" spans="1:1">
      <c r="A3497" s="71"/>
    </row>
    <row r="3498" spans="1:1">
      <c r="A3498" s="71"/>
    </row>
    <row r="3499" spans="1:1">
      <c r="A3499" s="71"/>
    </row>
    <row r="3500" spans="1:1">
      <c r="A3500" s="71"/>
    </row>
    <row r="3501" spans="1:1">
      <c r="A3501" s="71"/>
    </row>
    <row r="3502" spans="1:1">
      <c r="A3502" s="71"/>
    </row>
    <row r="3503" spans="1:1">
      <c r="A3503" s="71"/>
    </row>
    <row r="3504" spans="1:1">
      <c r="A3504" s="71"/>
    </row>
    <row r="3505" spans="1:1">
      <c r="A3505" s="71"/>
    </row>
    <row r="3506" spans="1:1">
      <c r="A3506" s="71"/>
    </row>
    <row r="3507" spans="1:1">
      <c r="A3507" s="71"/>
    </row>
    <row r="3508" spans="1:1">
      <c r="A3508" s="71"/>
    </row>
    <row r="3509" spans="1:1">
      <c r="A3509" s="71"/>
    </row>
    <row r="3510" spans="1:1">
      <c r="A3510" s="71"/>
    </row>
    <row r="3511" spans="1:1">
      <c r="A3511" s="71"/>
    </row>
    <row r="3512" spans="1:1">
      <c r="A3512" s="71"/>
    </row>
    <row r="3513" spans="1:1">
      <c r="A3513" s="71"/>
    </row>
    <row r="3514" spans="1:1">
      <c r="A3514" s="71"/>
    </row>
    <row r="3515" spans="1:1">
      <c r="A3515" s="71"/>
    </row>
    <row r="3516" spans="1:1">
      <c r="A3516" s="71"/>
    </row>
    <row r="3517" spans="1:1">
      <c r="A3517" s="71"/>
    </row>
    <row r="3518" spans="1:1">
      <c r="A3518" s="71"/>
    </row>
    <row r="3519" spans="1:1">
      <c r="A3519" s="71"/>
    </row>
    <row r="3520" spans="1:1">
      <c r="A3520" s="71"/>
    </row>
    <row r="3521" spans="1:1">
      <c r="A3521" s="71"/>
    </row>
    <row r="3522" spans="1:1">
      <c r="A3522" s="71"/>
    </row>
    <row r="3523" spans="1:1">
      <c r="A3523" s="71"/>
    </row>
    <row r="3524" spans="1:1">
      <c r="A3524" s="71"/>
    </row>
    <row r="3525" spans="1:1">
      <c r="A3525" s="71"/>
    </row>
    <row r="3526" spans="1:1">
      <c r="A3526" s="71"/>
    </row>
    <row r="3527" spans="1:1">
      <c r="A3527" s="71"/>
    </row>
    <row r="3528" spans="1:1">
      <c r="A3528" s="71"/>
    </row>
    <row r="3529" spans="1:1">
      <c r="A3529" s="71"/>
    </row>
    <row r="3530" spans="1:1">
      <c r="A3530" s="71"/>
    </row>
    <row r="3531" spans="1:1">
      <c r="A3531" s="71"/>
    </row>
    <row r="3532" spans="1:1">
      <c r="A3532" s="71"/>
    </row>
    <row r="3533" spans="1:1">
      <c r="A3533" s="71"/>
    </row>
    <row r="3534" spans="1:1">
      <c r="A3534" s="71"/>
    </row>
    <row r="3535" spans="1:1">
      <c r="A3535" s="71"/>
    </row>
    <row r="3536" spans="1:1">
      <c r="A3536" s="71"/>
    </row>
    <row r="3537" spans="1:1">
      <c r="A3537" s="71"/>
    </row>
    <row r="3538" spans="1:1">
      <c r="A3538" s="71"/>
    </row>
    <row r="3539" spans="1:1">
      <c r="A3539" s="71"/>
    </row>
    <row r="3540" spans="1:1">
      <c r="A3540" s="71"/>
    </row>
    <row r="3541" spans="1:1">
      <c r="A3541" s="71"/>
    </row>
    <row r="3542" spans="1:1">
      <c r="A3542" s="71"/>
    </row>
    <row r="3543" spans="1:1">
      <c r="A3543" s="71"/>
    </row>
    <row r="3544" spans="1:1">
      <c r="A3544" s="71"/>
    </row>
    <row r="3545" spans="1:1">
      <c r="A3545" s="71"/>
    </row>
    <row r="3546" spans="1:1">
      <c r="A3546" s="71"/>
    </row>
    <row r="3547" spans="1:1">
      <c r="A3547" s="71"/>
    </row>
    <row r="3548" spans="1:1">
      <c r="A3548" s="71"/>
    </row>
    <row r="3549" spans="1:1">
      <c r="A3549" s="71"/>
    </row>
    <row r="3550" spans="1:1">
      <c r="A3550" s="71"/>
    </row>
    <row r="3551" spans="1:1">
      <c r="A3551" s="71"/>
    </row>
    <row r="3552" spans="1:1">
      <c r="A3552" s="71"/>
    </row>
    <row r="3553" spans="1:1">
      <c r="A3553" s="71"/>
    </row>
    <row r="3554" spans="1:1">
      <c r="A3554" s="71"/>
    </row>
    <row r="3555" spans="1:1">
      <c r="A3555" s="71"/>
    </row>
    <row r="3556" spans="1:1">
      <c r="A3556" s="71"/>
    </row>
    <row r="3557" spans="1:1">
      <c r="A3557" s="71"/>
    </row>
    <row r="3558" spans="1:1">
      <c r="A3558" s="71"/>
    </row>
    <row r="3559" spans="1:1">
      <c r="A3559" s="71"/>
    </row>
    <row r="3560" spans="1:1">
      <c r="A3560" s="71"/>
    </row>
    <row r="3561" spans="1:1">
      <c r="A3561" s="71"/>
    </row>
    <row r="3562" spans="1:1">
      <c r="A3562" s="71"/>
    </row>
    <row r="3563" spans="1:1">
      <c r="A3563" s="71"/>
    </row>
    <row r="3564" spans="1:1">
      <c r="A3564" s="71"/>
    </row>
    <row r="3565" spans="1:1">
      <c r="A3565" s="71"/>
    </row>
    <row r="3566" spans="1:1">
      <c r="A3566" s="71"/>
    </row>
    <row r="3567" spans="1:1">
      <c r="A3567" s="71"/>
    </row>
    <row r="3568" spans="1:1">
      <c r="A3568" s="71"/>
    </row>
    <row r="3569" spans="1:1">
      <c r="A3569" s="71"/>
    </row>
    <row r="3570" spans="1:1">
      <c r="A3570" s="71"/>
    </row>
    <row r="3571" spans="1:1">
      <c r="A3571" s="71"/>
    </row>
    <row r="3572" spans="1:1">
      <c r="A3572" s="71"/>
    </row>
    <row r="3573" spans="1:1">
      <c r="A3573" s="71"/>
    </row>
    <row r="3574" spans="1:1">
      <c r="A3574" s="71"/>
    </row>
    <row r="3575" spans="1:1">
      <c r="A3575" s="71"/>
    </row>
    <row r="3576" spans="1:1">
      <c r="A3576" s="71"/>
    </row>
    <row r="3577" spans="1:1">
      <c r="A3577" s="71"/>
    </row>
    <row r="3578" spans="1:1">
      <c r="A3578" s="71"/>
    </row>
    <row r="3579" spans="1:1">
      <c r="A3579" s="71"/>
    </row>
    <row r="3580" spans="1:1">
      <c r="A3580" s="71"/>
    </row>
    <row r="3581" spans="1:1">
      <c r="A3581" s="71"/>
    </row>
    <row r="3582" spans="1:1">
      <c r="A3582" s="71"/>
    </row>
    <row r="3583" spans="1:1">
      <c r="A3583" s="71"/>
    </row>
    <row r="3584" spans="1:1">
      <c r="A3584" s="71"/>
    </row>
    <row r="3585" spans="1:1">
      <c r="A3585" s="71"/>
    </row>
    <row r="3586" spans="1:1">
      <c r="A3586" s="71"/>
    </row>
    <row r="3587" spans="1:1">
      <c r="A3587" s="71"/>
    </row>
    <row r="3588" spans="1:1">
      <c r="A3588" s="71"/>
    </row>
    <row r="3589" spans="1:1">
      <c r="A3589" s="71"/>
    </row>
    <row r="3590" spans="1:1">
      <c r="A3590" s="71"/>
    </row>
    <row r="3591" spans="1:1">
      <c r="A3591" s="71"/>
    </row>
    <row r="3592" spans="1:1">
      <c r="A3592" s="71"/>
    </row>
    <row r="3593" spans="1:1">
      <c r="A3593" s="71"/>
    </row>
    <row r="3594" spans="1:1">
      <c r="A3594" s="71"/>
    </row>
    <row r="3595" spans="1:1">
      <c r="A3595" s="71"/>
    </row>
    <row r="3596" spans="1:1">
      <c r="A3596" s="71"/>
    </row>
    <row r="3597" spans="1:1">
      <c r="A3597" s="71"/>
    </row>
    <row r="3598" spans="1:1">
      <c r="A3598" s="71"/>
    </row>
    <row r="3599" spans="1:1">
      <c r="A3599" s="71"/>
    </row>
    <row r="3600" spans="1:1">
      <c r="A3600" s="71"/>
    </row>
    <row r="3601" spans="1:1">
      <c r="A3601" s="71"/>
    </row>
    <row r="3602" spans="1:1">
      <c r="A3602" s="71"/>
    </row>
    <row r="3603" spans="1:1">
      <c r="A3603" s="71"/>
    </row>
    <row r="3604" spans="1:1">
      <c r="A3604" s="71"/>
    </row>
    <row r="3605" spans="1:1">
      <c r="A3605" s="71"/>
    </row>
    <row r="3606" spans="1:1">
      <c r="A3606" s="71"/>
    </row>
    <row r="3607" spans="1:1">
      <c r="A3607" s="71"/>
    </row>
    <row r="3608" spans="1:1">
      <c r="A3608" s="71"/>
    </row>
    <row r="3609" spans="1:1">
      <c r="A3609" s="71"/>
    </row>
    <row r="3610" spans="1:1">
      <c r="A3610" s="71"/>
    </row>
    <row r="3611" spans="1:1">
      <c r="A3611" s="71"/>
    </row>
    <row r="3612" spans="1:1">
      <c r="A3612" s="71"/>
    </row>
    <row r="3613" spans="1:1">
      <c r="A3613" s="71"/>
    </row>
    <row r="3614" spans="1:1">
      <c r="A3614" s="71"/>
    </row>
    <row r="3615" spans="1:1">
      <c r="A3615" s="71"/>
    </row>
    <row r="3616" spans="1:1">
      <c r="A3616" s="71"/>
    </row>
    <row r="3617" spans="1:1">
      <c r="A3617" s="71"/>
    </row>
    <row r="3618" spans="1:1">
      <c r="A3618" s="71"/>
    </row>
    <row r="3619" spans="1:1">
      <c r="A3619" s="71"/>
    </row>
    <row r="3620" spans="1:1">
      <c r="A3620" s="71"/>
    </row>
    <row r="3621" spans="1:1">
      <c r="A3621" s="71"/>
    </row>
    <row r="3622" spans="1:1">
      <c r="A3622" s="71"/>
    </row>
    <row r="3623" spans="1:1">
      <c r="A3623" s="71"/>
    </row>
    <row r="3624" spans="1:1">
      <c r="A3624" s="71"/>
    </row>
    <row r="3625" spans="1:1">
      <c r="A3625" s="71"/>
    </row>
    <row r="3626" spans="1:1">
      <c r="A3626" s="71"/>
    </row>
    <row r="3627" spans="1:1">
      <c r="A3627" s="71"/>
    </row>
    <row r="3628" spans="1:1">
      <c r="A3628" s="71"/>
    </row>
    <row r="3629" spans="1:1">
      <c r="A3629" s="71"/>
    </row>
    <row r="3630" spans="1:1">
      <c r="A3630" s="71"/>
    </row>
    <row r="3631" spans="1:1">
      <c r="A3631" s="71"/>
    </row>
    <row r="3632" spans="1:1">
      <c r="A3632" s="71"/>
    </row>
    <row r="3633" spans="1:1">
      <c r="A3633" s="71"/>
    </row>
    <row r="3634" spans="1:1">
      <c r="A3634" s="71"/>
    </row>
    <row r="3635" spans="1:1">
      <c r="A3635" s="71"/>
    </row>
    <row r="3636" spans="1:1">
      <c r="A3636" s="71"/>
    </row>
    <row r="3637" spans="1:1">
      <c r="A3637" s="71"/>
    </row>
    <row r="3638" spans="1:1">
      <c r="A3638" s="71"/>
    </row>
    <row r="3639" spans="1:1">
      <c r="A3639" s="71"/>
    </row>
    <row r="3640" spans="1:1">
      <c r="A3640" s="71"/>
    </row>
    <row r="3641" spans="1:1">
      <c r="A3641" s="71"/>
    </row>
    <row r="3642" spans="1:1">
      <c r="A3642" s="71"/>
    </row>
    <row r="3643" spans="1:1">
      <c r="A3643" s="71"/>
    </row>
    <row r="3644" spans="1:1">
      <c r="A3644" s="71"/>
    </row>
    <row r="3645" spans="1:1">
      <c r="A3645" s="71"/>
    </row>
    <row r="3646" spans="1:1">
      <c r="A3646" s="71"/>
    </row>
    <row r="3647" spans="1:1">
      <c r="A3647" s="71"/>
    </row>
    <row r="3648" spans="1:1">
      <c r="A3648" s="71"/>
    </row>
    <row r="3649" spans="1:1">
      <c r="A3649" s="71"/>
    </row>
    <row r="3650" spans="1:1">
      <c r="A3650" s="71"/>
    </row>
    <row r="3651" spans="1:1">
      <c r="A3651" s="71"/>
    </row>
    <row r="3652" spans="1:1">
      <c r="A3652" s="71"/>
    </row>
    <row r="3653" spans="1:1">
      <c r="A3653" s="71"/>
    </row>
    <row r="3654" spans="1:1">
      <c r="A3654" s="71"/>
    </row>
    <row r="3655" spans="1:1">
      <c r="A3655" s="71"/>
    </row>
    <row r="3656" spans="1:1">
      <c r="A3656" s="71"/>
    </row>
    <row r="3657" spans="1:1">
      <c r="A3657" s="71"/>
    </row>
    <row r="3658" spans="1:1">
      <c r="A3658" s="71"/>
    </row>
    <row r="3659" spans="1:1">
      <c r="A3659" s="71"/>
    </row>
    <row r="3660" spans="1:1">
      <c r="A3660" s="71"/>
    </row>
    <row r="3661" spans="1:1">
      <c r="A3661" s="71"/>
    </row>
    <row r="3662" spans="1:1">
      <c r="A3662" s="71"/>
    </row>
    <row r="3663" spans="1:1">
      <c r="A3663" s="71"/>
    </row>
    <row r="3664" spans="1:1">
      <c r="A3664" s="71"/>
    </row>
    <row r="3665" spans="1:1">
      <c r="A3665" s="71"/>
    </row>
    <row r="3666" spans="1:1">
      <c r="A3666" s="71"/>
    </row>
    <row r="3667" spans="1:1">
      <c r="A3667" s="71"/>
    </row>
    <row r="3668" spans="1:1">
      <c r="A3668" s="71"/>
    </row>
    <row r="3669" spans="1:1">
      <c r="A3669" s="71"/>
    </row>
    <row r="3670" spans="1:1">
      <c r="A3670" s="71"/>
    </row>
    <row r="3671" spans="1:1">
      <c r="A3671" s="71"/>
    </row>
    <row r="3672" spans="1:1">
      <c r="A3672" s="71"/>
    </row>
    <row r="3673" spans="1:1">
      <c r="A3673" s="71"/>
    </row>
    <row r="3674" spans="1:1">
      <c r="A3674" s="71"/>
    </row>
    <row r="3675" spans="1:1">
      <c r="A3675" s="71"/>
    </row>
    <row r="3676" spans="1:1">
      <c r="A3676" s="71"/>
    </row>
    <row r="3677" spans="1:1">
      <c r="A3677" s="71"/>
    </row>
    <row r="3678" spans="1:1">
      <c r="A3678" s="71"/>
    </row>
    <row r="3679" spans="1:1">
      <c r="A3679" s="71"/>
    </row>
    <row r="3680" spans="1:1">
      <c r="A3680" s="71"/>
    </row>
    <row r="3681" spans="1:1">
      <c r="A3681" s="71"/>
    </row>
    <row r="3682" spans="1:1">
      <c r="A3682" s="71"/>
    </row>
    <row r="3683" spans="1:1">
      <c r="A3683" s="71"/>
    </row>
    <row r="3684" spans="1:1">
      <c r="A3684" s="71"/>
    </row>
    <row r="3685" spans="1:1">
      <c r="A3685" s="71"/>
    </row>
    <row r="3686" spans="1:1">
      <c r="A3686" s="71"/>
    </row>
    <row r="3687" spans="1:1">
      <c r="A3687" s="71"/>
    </row>
    <row r="3688" spans="1:1">
      <c r="A3688" s="71"/>
    </row>
    <row r="3689" spans="1:1">
      <c r="A3689" s="71"/>
    </row>
    <row r="3690" spans="1:1">
      <c r="A3690" s="71"/>
    </row>
    <row r="3691" spans="1:1">
      <c r="A3691" s="71"/>
    </row>
    <row r="3692" spans="1:1">
      <c r="A3692" s="71"/>
    </row>
    <row r="3693" spans="1:1">
      <c r="A3693" s="71"/>
    </row>
    <row r="3694" spans="1:1">
      <c r="A3694" s="71"/>
    </row>
    <row r="3695" spans="1:1">
      <c r="A3695" s="71"/>
    </row>
    <row r="3696" spans="1:1">
      <c r="A3696" s="71"/>
    </row>
    <row r="3697" spans="1:1">
      <c r="A3697" s="71"/>
    </row>
    <row r="3698" spans="1:1">
      <c r="A3698" s="71"/>
    </row>
    <row r="3699" spans="1:1">
      <c r="A3699" s="71"/>
    </row>
    <row r="3700" spans="1:1">
      <c r="A3700" s="71"/>
    </row>
    <row r="3701" spans="1:1">
      <c r="A3701" s="71"/>
    </row>
    <row r="3702" spans="1:1">
      <c r="A3702" s="71"/>
    </row>
    <row r="3703" spans="1:1">
      <c r="A3703" s="71"/>
    </row>
    <row r="3704" spans="1:1">
      <c r="A3704" s="71"/>
    </row>
    <row r="3705" spans="1:1">
      <c r="A3705" s="71"/>
    </row>
    <row r="3706" spans="1:1">
      <c r="A3706" s="71"/>
    </row>
    <row r="3707" spans="1:1">
      <c r="A3707" s="71"/>
    </row>
    <row r="3708" spans="1:1">
      <c r="A3708" s="71"/>
    </row>
    <row r="3709" spans="1:1">
      <c r="A3709" s="71"/>
    </row>
    <row r="3710" spans="1:1">
      <c r="A3710" s="71"/>
    </row>
    <row r="3711" spans="1:1">
      <c r="A3711" s="71"/>
    </row>
    <row r="3712" spans="1:1">
      <c r="A3712" s="71"/>
    </row>
    <row r="3713" spans="1:1">
      <c r="A3713" s="71"/>
    </row>
    <row r="3714" spans="1:1">
      <c r="A3714" s="71"/>
    </row>
    <row r="3715" spans="1:1">
      <c r="A3715" s="71"/>
    </row>
    <row r="3716" spans="1:1">
      <c r="A3716" s="71"/>
    </row>
    <row r="3717" spans="1:1">
      <c r="A3717" s="71"/>
    </row>
    <row r="3718" spans="1:1">
      <c r="A3718" s="71"/>
    </row>
    <row r="3719" spans="1:1">
      <c r="A3719" s="71"/>
    </row>
    <row r="3720" spans="1:1">
      <c r="A3720" s="71"/>
    </row>
    <row r="3721" spans="1:1">
      <c r="A3721" s="71"/>
    </row>
    <row r="3722" spans="1:1">
      <c r="A3722" s="71"/>
    </row>
    <row r="3723" spans="1:1">
      <c r="A3723" s="71"/>
    </row>
    <row r="3724" spans="1:1">
      <c r="A3724" s="71"/>
    </row>
    <row r="3725" spans="1:1">
      <c r="A3725" s="71"/>
    </row>
    <row r="3726" spans="1:1">
      <c r="A3726" s="71"/>
    </row>
    <row r="3727" spans="1:1">
      <c r="A3727" s="71"/>
    </row>
    <row r="3728" spans="1:1">
      <c r="A3728" s="71"/>
    </row>
    <row r="3729" spans="1:1">
      <c r="A3729" s="71"/>
    </row>
    <row r="3730" spans="1:1">
      <c r="A3730" s="71"/>
    </row>
    <row r="3731" spans="1:1">
      <c r="A3731" s="71"/>
    </row>
    <row r="3732" spans="1:1">
      <c r="A3732" s="71"/>
    </row>
    <row r="3733" spans="1:1">
      <c r="A3733" s="71"/>
    </row>
    <row r="3734" spans="1:1">
      <c r="A3734" s="71"/>
    </row>
    <row r="3735" spans="1:1">
      <c r="A3735" s="71"/>
    </row>
    <row r="3736" spans="1:1">
      <c r="A3736" s="71"/>
    </row>
    <row r="3737" spans="1:1">
      <c r="A3737" s="71"/>
    </row>
    <row r="3738" spans="1:1">
      <c r="A3738" s="71"/>
    </row>
    <row r="3739" spans="1:1">
      <c r="A3739" s="71"/>
    </row>
    <row r="3740" spans="1:1">
      <c r="A3740" s="71"/>
    </row>
    <row r="3741" spans="1:1">
      <c r="A3741" s="71"/>
    </row>
    <row r="3742" spans="1:1">
      <c r="A3742" s="71"/>
    </row>
    <row r="3743" spans="1:1">
      <c r="A3743" s="71"/>
    </row>
    <row r="3744" spans="1:1">
      <c r="A3744" s="71"/>
    </row>
    <row r="3745" spans="1:1">
      <c r="A3745" s="71"/>
    </row>
    <row r="3746" spans="1:1">
      <c r="A3746" s="71"/>
    </row>
    <row r="3747" spans="1:1">
      <c r="A3747" s="71"/>
    </row>
    <row r="3748" spans="1:1">
      <c r="A3748" s="71"/>
    </row>
    <row r="3749" spans="1:1">
      <c r="A3749" s="71"/>
    </row>
    <row r="3750" spans="1:1">
      <c r="A3750" s="71"/>
    </row>
    <row r="3751" spans="1:1">
      <c r="A3751" s="71"/>
    </row>
    <row r="3752" spans="1:1">
      <c r="A3752" s="71"/>
    </row>
    <row r="3753" spans="1:1">
      <c r="A3753" s="71"/>
    </row>
    <row r="3754" spans="1:1">
      <c r="A3754" s="71"/>
    </row>
    <row r="3755" spans="1:1">
      <c r="A3755" s="71"/>
    </row>
    <row r="3756" spans="1:1">
      <c r="A3756" s="71"/>
    </row>
    <row r="3757" spans="1:1">
      <c r="A3757" s="71"/>
    </row>
    <row r="3758" spans="1:1">
      <c r="A3758" s="71"/>
    </row>
    <row r="3759" spans="1:1">
      <c r="A3759" s="71"/>
    </row>
    <row r="3760" spans="1:1">
      <c r="A3760" s="71"/>
    </row>
    <row r="3761" spans="1:1">
      <c r="A3761" s="71"/>
    </row>
    <row r="3762" spans="1:1">
      <c r="A3762" s="71"/>
    </row>
    <row r="3763" spans="1:1">
      <c r="A3763" s="71"/>
    </row>
    <row r="3764" spans="1:1">
      <c r="A3764" s="71"/>
    </row>
    <row r="3765" spans="1:1">
      <c r="A3765" s="71"/>
    </row>
    <row r="3766" spans="1:1">
      <c r="A3766" s="71"/>
    </row>
    <row r="3767" spans="1:1">
      <c r="A3767" s="71"/>
    </row>
    <row r="3768" spans="1:1">
      <c r="A3768" s="71"/>
    </row>
    <row r="3769" spans="1:1">
      <c r="A3769" s="71"/>
    </row>
    <row r="3770" spans="1:1">
      <c r="A3770" s="71"/>
    </row>
    <row r="3771" spans="1:1">
      <c r="A3771" s="71"/>
    </row>
    <row r="3772" spans="1:1">
      <c r="A3772" s="71"/>
    </row>
    <row r="3773" spans="1:1">
      <c r="A3773" s="71"/>
    </row>
    <row r="3774" spans="1:1">
      <c r="A3774" s="71"/>
    </row>
    <row r="3775" spans="1:1">
      <c r="A3775" s="71"/>
    </row>
    <row r="3776" spans="1:1">
      <c r="A3776" s="71"/>
    </row>
    <row r="3777" spans="1:1">
      <c r="A3777" s="71"/>
    </row>
    <row r="3778" spans="1:1">
      <c r="A3778" s="71"/>
    </row>
    <row r="3779" spans="1:1">
      <c r="A3779" s="71"/>
    </row>
    <row r="3780" spans="1:1">
      <c r="A3780" s="71"/>
    </row>
    <row r="3781" spans="1:1">
      <c r="A3781" s="71"/>
    </row>
    <row r="3782" spans="1:1">
      <c r="A3782" s="71"/>
    </row>
    <row r="3783" spans="1:1">
      <c r="A3783" s="71"/>
    </row>
    <row r="3784" spans="1:1">
      <c r="A3784" s="71"/>
    </row>
    <row r="3785" spans="1:1">
      <c r="A3785" s="71"/>
    </row>
    <row r="3786" spans="1:1">
      <c r="A3786" s="71"/>
    </row>
    <row r="3787" spans="1:1">
      <c r="A3787" s="71"/>
    </row>
    <row r="3788" spans="1:1">
      <c r="A3788" s="71"/>
    </row>
    <row r="3789" spans="1:1">
      <c r="A3789" s="71"/>
    </row>
    <row r="3790" spans="1:1">
      <c r="A3790" s="71"/>
    </row>
    <row r="3791" spans="1:1">
      <c r="A3791" s="71"/>
    </row>
    <row r="3792" spans="1:1">
      <c r="A3792" s="71"/>
    </row>
    <row r="3793" spans="1:1">
      <c r="A3793" s="71"/>
    </row>
    <row r="3794" spans="1:1">
      <c r="A3794" s="71"/>
    </row>
    <row r="3795" spans="1:1">
      <c r="A3795" s="71"/>
    </row>
    <row r="3796" spans="1:1">
      <c r="A3796" s="71"/>
    </row>
    <row r="3797" spans="1:1">
      <c r="A3797" s="71"/>
    </row>
    <row r="3798" spans="1:1">
      <c r="A3798" s="71"/>
    </row>
    <row r="3799" spans="1:1">
      <c r="A3799" s="71"/>
    </row>
    <row r="3800" spans="1:1">
      <c r="A3800" s="71"/>
    </row>
    <row r="3801" spans="1:1">
      <c r="A3801" s="71"/>
    </row>
    <row r="3802" spans="1:1">
      <c r="A3802" s="71"/>
    </row>
    <row r="3803" spans="1:1">
      <c r="A3803" s="71"/>
    </row>
    <row r="3804" spans="1:1">
      <c r="A3804" s="71"/>
    </row>
    <row r="3805" spans="1:1">
      <c r="A3805" s="71"/>
    </row>
    <row r="3806" spans="1:1">
      <c r="A3806" s="71"/>
    </row>
    <row r="3807" spans="1:1">
      <c r="A3807" s="71"/>
    </row>
    <row r="3808" spans="1:1">
      <c r="A3808" s="71"/>
    </row>
    <row r="3809" spans="1:1">
      <c r="A3809" s="71"/>
    </row>
    <row r="3810" spans="1:1">
      <c r="A3810" s="71"/>
    </row>
    <row r="3811" spans="1:1">
      <c r="A3811" s="71"/>
    </row>
    <row r="3812" spans="1:1">
      <c r="A3812" s="71"/>
    </row>
    <row r="3813" spans="1:1">
      <c r="A3813" s="71"/>
    </row>
    <row r="3814" spans="1:1">
      <c r="A3814" s="71"/>
    </row>
    <row r="3815" spans="1:1">
      <c r="A3815" s="71"/>
    </row>
    <row r="3816" spans="1:1">
      <c r="A3816" s="71"/>
    </row>
    <row r="3817" spans="1:1">
      <c r="A3817" s="71"/>
    </row>
    <row r="3818" spans="1:1">
      <c r="A3818" s="71"/>
    </row>
    <row r="3819" spans="1:1">
      <c r="A3819" s="71"/>
    </row>
    <row r="3820" spans="1:1">
      <c r="A3820" s="71"/>
    </row>
    <row r="3821" spans="1:1">
      <c r="A3821" s="71"/>
    </row>
    <row r="3822" spans="1:1">
      <c r="A3822" s="71"/>
    </row>
    <row r="3823" spans="1:1">
      <c r="A3823" s="71"/>
    </row>
    <row r="3824" spans="1:1">
      <c r="A3824" s="71"/>
    </row>
    <row r="3825" spans="1:1">
      <c r="A3825" s="71"/>
    </row>
    <row r="3826" spans="1:1">
      <c r="A3826" s="71"/>
    </row>
    <row r="3827" spans="1:1">
      <c r="A3827" s="71"/>
    </row>
    <row r="3828" spans="1:1">
      <c r="A3828" s="71"/>
    </row>
    <row r="3829" spans="1:1">
      <c r="A3829" s="71"/>
    </row>
    <row r="3830" spans="1:1">
      <c r="A3830" s="71"/>
    </row>
    <row r="3831" spans="1:1">
      <c r="A3831" s="71"/>
    </row>
    <row r="3832" spans="1:1">
      <c r="A3832" s="71"/>
    </row>
    <row r="3833" spans="1:1">
      <c r="A3833" s="71"/>
    </row>
    <row r="3834" spans="1:1">
      <c r="A3834" s="71"/>
    </row>
    <row r="3835" spans="1:1">
      <c r="A3835" s="71"/>
    </row>
    <row r="3836" spans="1:1">
      <c r="A3836" s="71"/>
    </row>
    <row r="3837" spans="1:1">
      <c r="A3837" s="71"/>
    </row>
    <row r="3838" spans="1:1">
      <c r="A3838" s="71"/>
    </row>
    <row r="3839" spans="1:1">
      <c r="A3839" s="71"/>
    </row>
    <row r="3840" spans="1:1">
      <c r="A3840" s="71"/>
    </row>
    <row r="3841" spans="1:1">
      <c r="A3841" s="71"/>
    </row>
    <row r="3842" spans="1:1">
      <c r="A3842" s="71"/>
    </row>
    <row r="3843" spans="1:1">
      <c r="A3843" s="71"/>
    </row>
    <row r="3844" spans="1:1">
      <c r="A3844" s="71"/>
    </row>
    <row r="3845" spans="1:1">
      <c r="A3845" s="71"/>
    </row>
    <row r="3846" spans="1:1">
      <c r="A3846" s="71"/>
    </row>
    <row r="3847" spans="1:1">
      <c r="A3847" s="71"/>
    </row>
    <row r="3848" spans="1:1">
      <c r="A3848" s="71"/>
    </row>
    <row r="3849" spans="1:1">
      <c r="A3849" s="71"/>
    </row>
    <row r="3850" spans="1:1">
      <c r="A3850" s="71"/>
    </row>
    <row r="3851" spans="1:1">
      <c r="A3851" s="71"/>
    </row>
    <row r="3852" spans="1:1">
      <c r="A3852" s="71"/>
    </row>
    <row r="3853" spans="1:1">
      <c r="A3853" s="71"/>
    </row>
    <row r="3854" spans="1:1">
      <c r="A3854" s="71"/>
    </row>
    <row r="3855" spans="1:1">
      <c r="A3855" s="71"/>
    </row>
    <row r="3856" spans="1:1">
      <c r="A3856" s="71"/>
    </row>
    <row r="3857" spans="1:1">
      <c r="A3857" s="71"/>
    </row>
    <row r="3858" spans="1:1">
      <c r="A3858" s="71"/>
    </row>
    <row r="3859" spans="1:1">
      <c r="A3859" s="71"/>
    </row>
    <row r="3860" spans="1:1">
      <c r="A3860" s="71"/>
    </row>
    <row r="3861" spans="1:1">
      <c r="A3861" s="71"/>
    </row>
    <row r="3862" spans="1:1">
      <c r="A3862" s="71"/>
    </row>
    <row r="3863" spans="1:1">
      <c r="A3863" s="71"/>
    </row>
    <row r="3864" spans="1:1">
      <c r="A3864" s="71"/>
    </row>
    <row r="3865" spans="1:1">
      <c r="A3865" s="71"/>
    </row>
    <row r="3866" spans="1:1">
      <c r="A3866" s="71"/>
    </row>
    <row r="3867" spans="1:1">
      <c r="A3867" s="71"/>
    </row>
    <row r="3868" spans="1:1">
      <c r="A3868" s="71"/>
    </row>
    <row r="3869" spans="1:1">
      <c r="A3869" s="71"/>
    </row>
    <row r="3870" spans="1:1">
      <c r="A3870" s="71"/>
    </row>
    <row r="3871" spans="1:1">
      <c r="A3871" s="71"/>
    </row>
    <row r="3872" spans="1:1">
      <c r="A3872" s="71"/>
    </row>
    <row r="3873" spans="1:1">
      <c r="A3873" s="71"/>
    </row>
    <row r="3874" spans="1:1">
      <c r="A3874" s="71"/>
    </row>
    <row r="3875" spans="1:1">
      <c r="A3875" s="71"/>
    </row>
    <row r="3876" spans="1:1">
      <c r="A3876" s="71"/>
    </row>
    <row r="3877" spans="1:1">
      <c r="A3877" s="71"/>
    </row>
    <row r="3878" spans="1:1">
      <c r="A3878" s="71"/>
    </row>
    <row r="3879" spans="1:1">
      <c r="A3879" s="71"/>
    </row>
    <row r="3880" spans="1:1">
      <c r="A3880" s="71"/>
    </row>
    <row r="3881" spans="1:1">
      <c r="A3881" s="71"/>
    </row>
    <row r="3882" spans="1:1">
      <c r="A3882" s="71"/>
    </row>
    <row r="3883" spans="1:1">
      <c r="A3883" s="71"/>
    </row>
    <row r="3884" spans="1:1">
      <c r="A3884" s="71"/>
    </row>
    <row r="3885" spans="1:1">
      <c r="A3885" s="71"/>
    </row>
    <row r="3886" spans="1:1">
      <c r="A3886" s="71"/>
    </row>
    <row r="3887" spans="1:1">
      <c r="A3887" s="71"/>
    </row>
    <row r="3888" spans="1:1">
      <c r="A3888" s="71"/>
    </row>
    <row r="3889" spans="1:1">
      <c r="A3889" s="71"/>
    </row>
    <row r="3890" spans="1:1">
      <c r="A3890" s="71"/>
    </row>
    <row r="3891" spans="1:1">
      <c r="A3891" s="71"/>
    </row>
    <row r="3892" spans="1:1">
      <c r="A3892" s="71"/>
    </row>
    <row r="3893" spans="1:1">
      <c r="A3893" s="71"/>
    </row>
    <row r="3894" spans="1:1">
      <c r="A3894" s="71"/>
    </row>
    <row r="3895" spans="1:1">
      <c r="A3895" s="71"/>
    </row>
    <row r="3896" spans="1:1">
      <c r="A3896" s="71"/>
    </row>
    <row r="3897" spans="1:1">
      <c r="A3897" s="71"/>
    </row>
    <row r="3898" spans="1:1">
      <c r="A3898" s="71"/>
    </row>
    <row r="3899" spans="1:1">
      <c r="A3899" s="71"/>
    </row>
    <row r="3900" spans="1:1">
      <c r="A3900" s="71"/>
    </row>
    <row r="3901" spans="1:1">
      <c r="A3901" s="71"/>
    </row>
    <row r="3902" spans="1:1">
      <c r="A3902" s="71"/>
    </row>
    <row r="3903" spans="1:1">
      <c r="A3903" s="71"/>
    </row>
    <row r="3904" spans="1:1">
      <c r="A3904" s="71"/>
    </row>
    <row r="3905" spans="1:1">
      <c r="A3905" s="71"/>
    </row>
    <row r="3906" spans="1:1">
      <c r="A3906" s="71"/>
    </row>
    <row r="3907" spans="1:1">
      <c r="A3907" s="71"/>
    </row>
    <row r="3908" spans="1:1">
      <c r="A3908" s="71"/>
    </row>
    <row r="3909" spans="1:1">
      <c r="A3909" s="71"/>
    </row>
    <row r="3910" spans="1:1">
      <c r="A3910" s="71"/>
    </row>
    <row r="3911" spans="1:1">
      <c r="A3911" s="71"/>
    </row>
    <row r="3912" spans="1:1">
      <c r="A3912" s="71"/>
    </row>
    <row r="3913" spans="1:1">
      <c r="A3913" s="71"/>
    </row>
    <row r="3914" spans="1:1">
      <c r="A3914" s="71"/>
    </row>
    <row r="3915" spans="1:1">
      <c r="A3915" s="71"/>
    </row>
    <row r="3916" spans="1:1">
      <c r="A3916" s="71"/>
    </row>
    <row r="3917" spans="1:1">
      <c r="A3917" s="71"/>
    </row>
    <row r="3918" spans="1:1">
      <c r="A3918" s="71"/>
    </row>
    <row r="3919" spans="1:1">
      <c r="A3919" s="71"/>
    </row>
    <row r="3920" spans="1:1">
      <c r="A3920" s="71"/>
    </row>
    <row r="3921" spans="1:1">
      <c r="A3921" s="71"/>
    </row>
    <row r="3922" spans="1:1">
      <c r="A3922" s="71"/>
    </row>
    <row r="3923" spans="1:1">
      <c r="A3923" s="71"/>
    </row>
    <row r="3924" spans="1:1">
      <c r="A3924" s="71"/>
    </row>
    <row r="3925" spans="1:1">
      <c r="A3925" s="71"/>
    </row>
    <row r="3926" spans="1:1">
      <c r="A3926" s="71"/>
    </row>
    <row r="3927" spans="1:1">
      <c r="A3927" s="71"/>
    </row>
    <row r="3928" spans="1:1">
      <c r="A3928" s="71"/>
    </row>
    <row r="3929" spans="1:1">
      <c r="A3929" s="71"/>
    </row>
    <row r="3930" spans="1:1">
      <c r="A3930" s="71"/>
    </row>
    <row r="3931" spans="1:1">
      <c r="A3931" s="71"/>
    </row>
    <row r="3932" spans="1:1">
      <c r="A3932" s="71"/>
    </row>
    <row r="3933" spans="1:1">
      <c r="A3933" s="71"/>
    </row>
    <row r="3934" spans="1:1">
      <c r="A3934" s="71"/>
    </row>
    <row r="3935" spans="1:1">
      <c r="A3935" s="71"/>
    </row>
    <row r="3936" spans="1:1">
      <c r="A3936" s="71"/>
    </row>
    <row r="3937" spans="1:1">
      <c r="A3937" s="71"/>
    </row>
    <row r="3938" spans="1:1">
      <c r="A3938" s="71"/>
    </row>
    <row r="3939" spans="1:1">
      <c r="A3939" s="71"/>
    </row>
    <row r="3940" spans="1:1">
      <c r="A3940" s="71"/>
    </row>
    <row r="3941" spans="1:1">
      <c r="A3941" s="71"/>
    </row>
    <row r="3942" spans="1:1">
      <c r="A3942" s="71"/>
    </row>
    <row r="3943" spans="1:1">
      <c r="A3943" s="71"/>
    </row>
    <row r="3944" spans="1:1">
      <c r="A3944" s="71"/>
    </row>
    <row r="3945" spans="1:1">
      <c r="A3945" s="71"/>
    </row>
    <row r="3946" spans="1:1">
      <c r="A3946" s="71"/>
    </row>
    <row r="3947" spans="1:1">
      <c r="A3947" s="71"/>
    </row>
    <row r="3948" spans="1:1">
      <c r="A3948" s="71"/>
    </row>
    <row r="3949" spans="1:1">
      <c r="A3949" s="71"/>
    </row>
    <row r="3950" spans="1:1">
      <c r="A3950" s="71"/>
    </row>
    <row r="3951" spans="1:1">
      <c r="A3951" s="71"/>
    </row>
    <row r="3952" spans="1:1">
      <c r="A3952" s="71"/>
    </row>
    <row r="3953" spans="1:1">
      <c r="A3953" s="71"/>
    </row>
    <row r="3954" spans="1:1">
      <c r="A3954" s="71"/>
    </row>
    <row r="3955" spans="1:1">
      <c r="A3955" s="71"/>
    </row>
    <row r="3956" spans="1:1">
      <c r="A3956" s="71"/>
    </row>
    <row r="3957" spans="1:1">
      <c r="A3957" s="71"/>
    </row>
    <row r="3958" spans="1:1">
      <c r="A3958" s="71"/>
    </row>
    <row r="3959" spans="1:1">
      <c r="A3959" s="71"/>
    </row>
    <row r="3960" spans="1:1">
      <c r="A3960" s="71"/>
    </row>
    <row r="3961" spans="1:1">
      <c r="A3961" s="71"/>
    </row>
    <row r="3962" spans="1:1">
      <c r="A3962" s="71"/>
    </row>
    <row r="3963" spans="1:1">
      <c r="A3963" s="71"/>
    </row>
    <row r="3964" spans="1:1">
      <c r="A3964" s="71"/>
    </row>
    <row r="3965" spans="1:1">
      <c r="A3965" s="71"/>
    </row>
    <row r="3966" spans="1:1">
      <c r="A3966" s="71"/>
    </row>
    <row r="3967" spans="1:1">
      <c r="A3967" s="71"/>
    </row>
    <row r="3968" spans="1:1">
      <c r="A3968" s="71"/>
    </row>
    <row r="3969" spans="1:1">
      <c r="A3969" s="71"/>
    </row>
    <row r="3970" spans="1:1">
      <c r="A3970" s="71"/>
    </row>
    <row r="3971" spans="1:1">
      <c r="A3971" s="71"/>
    </row>
    <row r="3972" spans="1:1">
      <c r="A3972" s="71"/>
    </row>
    <row r="3973" spans="1:1">
      <c r="A3973" s="71"/>
    </row>
    <row r="3974" spans="1:1">
      <c r="A3974" s="71"/>
    </row>
    <row r="3975" spans="1:1">
      <c r="A3975" s="71"/>
    </row>
    <row r="3976" spans="1:1">
      <c r="A3976" s="71"/>
    </row>
    <row r="3977" spans="1:1">
      <c r="A3977" s="71"/>
    </row>
    <row r="3978" spans="1:1">
      <c r="A3978" s="71"/>
    </row>
    <row r="3979" spans="1:1">
      <c r="A3979" s="71"/>
    </row>
    <row r="3980" spans="1:1">
      <c r="A3980" s="71"/>
    </row>
    <row r="3981" spans="1:1">
      <c r="A3981" s="71"/>
    </row>
    <row r="3982" spans="1:1">
      <c r="A3982" s="71"/>
    </row>
    <row r="3983" spans="1:1">
      <c r="A3983" s="71"/>
    </row>
    <row r="3984" spans="1:1">
      <c r="A3984" s="71"/>
    </row>
    <row r="3985" spans="1:1">
      <c r="A3985" s="71"/>
    </row>
    <row r="3986" spans="1:1">
      <c r="A3986" s="71"/>
    </row>
    <row r="3987" spans="1:1">
      <c r="A3987" s="71"/>
    </row>
    <row r="3988" spans="1:1">
      <c r="A3988" s="71"/>
    </row>
    <row r="3989" spans="1:1">
      <c r="A3989" s="71"/>
    </row>
    <row r="3990" spans="1:1">
      <c r="A3990" s="71"/>
    </row>
    <row r="3991" spans="1:1">
      <c r="A3991" s="71"/>
    </row>
    <row r="3992" spans="1:1">
      <c r="A3992" s="71"/>
    </row>
    <row r="3993" spans="1:1">
      <c r="A3993" s="71"/>
    </row>
    <row r="3994" spans="1:1">
      <c r="A3994" s="71"/>
    </row>
    <row r="3995" spans="1:1">
      <c r="A3995" s="71"/>
    </row>
    <row r="3996" spans="1:1">
      <c r="A3996" s="71"/>
    </row>
    <row r="3997" spans="1:1">
      <c r="A3997" s="71"/>
    </row>
    <row r="3998" spans="1:1">
      <c r="A3998" s="71"/>
    </row>
    <row r="3999" spans="1:1">
      <c r="A3999" s="71"/>
    </row>
    <row r="4000" spans="1:1">
      <c r="A4000" s="71"/>
    </row>
    <row r="4001" spans="1:1">
      <c r="A4001" s="71"/>
    </row>
    <row r="4002" spans="1:1">
      <c r="A4002" s="71"/>
    </row>
    <row r="4003" spans="1:1">
      <c r="A4003" s="71"/>
    </row>
    <row r="4004" spans="1:1">
      <c r="A4004" s="71"/>
    </row>
    <row r="4005" spans="1:1">
      <c r="A4005" s="71"/>
    </row>
    <row r="4006" spans="1:1">
      <c r="A4006" s="71"/>
    </row>
    <row r="4007" spans="1:1">
      <c r="A4007" s="71"/>
    </row>
    <row r="4008" spans="1:1">
      <c r="A4008" s="71"/>
    </row>
    <row r="4009" spans="1:1">
      <c r="A4009" s="71"/>
    </row>
    <row r="4010" spans="1:1">
      <c r="A4010" s="71"/>
    </row>
    <row r="4011" spans="1:1">
      <c r="A4011" s="71"/>
    </row>
    <row r="4012" spans="1:1">
      <c r="A4012" s="71"/>
    </row>
    <row r="4013" spans="1:1">
      <c r="A4013" s="71"/>
    </row>
    <row r="4014" spans="1:1">
      <c r="A4014" s="71"/>
    </row>
    <row r="4015" spans="1:1">
      <c r="A4015" s="71"/>
    </row>
    <row r="4016" spans="1:1">
      <c r="A4016" s="71"/>
    </row>
    <row r="4017" spans="1:1">
      <c r="A4017" s="71"/>
    </row>
    <row r="4018" spans="1:1">
      <c r="A4018" s="71"/>
    </row>
    <row r="4019" spans="1:1">
      <c r="A4019" s="71"/>
    </row>
    <row r="4020" spans="1:1">
      <c r="A4020" s="71"/>
    </row>
    <row r="4021" spans="1:1">
      <c r="A4021" s="71"/>
    </row>
    <row r="4022" spans="1:1">
      <c r="A4022" s="71"/>
    </row>
    <row r="4023" spans="1:1">
      <c r="A4023" s="71"/>
    </row>
    <row r="4024" spans="1:1">
      <c r="A4024" s="71"/>
    </row>
    <row r="4025" spans="1:1">
      <c r="A4025" s="71"/>
    </row>
    <row r="4026" spans="1:1">
      <c r="A4026" s="71"/>
    </row>
    <row r="4027" spans="1:1">
      <c r="A4027" s="71"/>
    </row>
    <row r="4028" spans="1:1">
      <c r="A4028" s="71"/>
    </row>
    <row r="4029" spans="1:1">
      <c r="A4029" s="71"/>
    </row>
    <row r="4030" spans="1:1">
      <c r="A4030" s="71"/>
    </row>
    <row r="4031" spans="1:1">
      <c r="A4031" s="71"/>
    </row>
    <row r="4032" spans="1:1">
      <c r="A4032" s="71"/>
    </row>
    <row r="4033" spans="1:1">
      <c r="A4033" s="71"/>
    </row>
    <row r="4034" spans="1:1">
      <c r="A4034" s="71"/>
    </row>
    <row r="4035" spans="1:1">
      <c r="A4035" s="71"/>
    </row>
    <row r="4036" spans="1:1">
      <c r="A4036" s="71"/>
    </row>
    <row r="4037" spans="1:1">
      <c r="A4037" s="71"/>
    </row>
    <row r="4038" spans="1:1">
      <c r="A4038" s="71"/>
    </row>
    <row r="4039" spans="1:1">
      <c r="A4039" s="71"/>
    </row>
    <row r="4040" spans="1:1">
      <c r="A4040" s="71"/>
    </row>
    <row r="4041" spans="1:1">
      <c r="A4041" s="71"/>
    </row>
    <row r="4042" spans="1:1">
      <c r="A4042" s="71"/>
    </row>
    <row r="4043" spans="1:1">
      <c r="A4043" s="71"/>
    </row>
    <row r="4044" spans="1:1">
      <c r="A4044" s="71"/>
    </row>
    <row r="4045" spans="1:1">
      <c r="A4045" s="71"/>
    </row>
    <row r="4046" spans="1:1">
      <c r="A4046" s="71"/>
    </row>
    <row r="4047" spans="1:1">
      <c r="A4047" s="71"/>
    </row>
    <row r="4048" spans="1:1">
      <c r="A4048" s="71"/>
    </row>
    <row r="4049" spans="1:1">
      <c r="A4049" s="71"/>
    </row>
    <row r="4050" spans="1:1">
      <c r="A4050" s="71"/>
    </row>
    <row r="4051" spans="1:1">
      <c r="A4051" s="71"/>
    </row>
    <row r="4052" spans="1:1">
      <c r="A4052" s="71"/>
    </row>
    <row r="4053" spans="1:1">
      <c r="A4053" s="71"/>
    </row>
    <row r="4054" spans="1:1">
      <c r="A4054" s="71"/>
    </row>
    <row r="4055" spans="1:1">
      <c r="A4055" s="71"/>
    </row>
    <row r="4056" spans="1:1">
      <c r="A4056" s="71"/>
    </row>
    <row r="4057" spans="1:1">
      <c r="A4057" s="71"/>
    </row>
    <row r="4058" spans="1:1">
      <c r="A4058" s="71"/>
    </row>
    <row r="4059" spans="1:1">
      <c r="A4059" s="71"/>
    </row>
    <row r="4060" spans="1:1">
      <c r="A4060" s="71"/>
    </row>
    <row r="4061" spans="1:1">
      <c r="A4061" s="71"/>
    </row>
    <row r="4062" spans="1:1">
      <c r="A4062" s="71"/>
    </row>
    <row r="4063" spans="1:1">
      <c r="A4063" s="71"/>
    </row>
    <row r="4064" spans="1:1">
      <c r="A4064" s="71"/>
    </row>
    <row r="4065" spans="1:1">
      <c r="A4065" s="71"/>
    </row>
    <row r="4066" spans="1:1">
      <c r="A4066" s="71"/>
    </row>
    <row r="4067" spans="1:1">
      <c r="A4067" s="71"/>
    </row>
    <row r="4068" spans="1:1">
      <c r="A4068" s="71"/>
    </row>
    <row r="4069" spans="1:1">
      <c r="A4069" s="71"/>
    </row>
    <row r="4070" spans="1:1">
      <c r="A4070" s="71"/>
    </row>
    <row r="4071" spans="1:1">
      <c r="A4071" s="71"/>
    </row>
    <row r="4072" spans="1:1">
      <c r="A4072" s="71"/>
    </row>
    <row r="4073" spans="1:1">
      <c r="A4073" s="71"/>
    </row>
    <row r="4074" spans="1:1">
      <c r="A4074" s="71"/>
    </row>
    <row r="4075" spans="1:1">
      <c r="A4075" s="71"/>
    </row>
    <row r="4076" spans="1:1">
      <c r="A4076" s="71"/>
    </row>
    <row r="4077" spans="1:1">
      <c r="A4077" s="71"/>
    </row>
    <row r="4078" spans="1:1">
      <c r="A4078" s="71"/>
    </row>
    <row r="4079" spans="1:1">
      <c r="A4079" s="71"/>
    </row>
    <row r="4080" spans="1:1">
      <c r="A4080" s="71"/>
    </row>
    <row r="4081" spans="1:1">
      <c r="A4081" s="71"/>
    </row>
    <row r="4082" spans="1:1">
      <c r="A4082" s="71"/>
    </row>
    <row r="4083" spans="1:1">
      <c r="A4083" s="71"/>
    </row>
    <row r="4084" spans="1:1">
      <c r="A4084" s="71"/>
    </row>
    <row r="4085" spans="1:1">
      <c r="A4085" s="71"/>
    </row>
    <row r="4086" spans="1:1">
      <c r="A4086" s="71"/>
    </row>
    <row r="4087" spans="1:1">
      <c r="A4087" s="71"/>
    </row>
    <row r="4088" spans="1:1">
      <c r="A4088" s="71"/>
    </row>
    <row r="4089" spans="1:1">
      <c r="A4089" s="71"/>
    </row>
    <row r="4090" spans="1:1">
      <c r="A4090" s="71"/>
    </row>
    <row r="4091" spans="1:1">
      <c r="A4091" s="71"/>
    </row>
    <row r="4092" spans="1:1">
      <c r="A4092" s="71"/>
    </row>
    <row r="4093" spans="1:1">
      <c r="A4093" s="71"/>
    </row>
    <row r="4094" spans="1:1">
      <c r="A4094" s="71"/>
    </row>
    <row r="4095" spans="1:1">
      <c r="A4095" s="71"/>
    </row>
    <row r="4096" spans="1:1">
      <c r="A4096" s="71"/>
    </row>
    <row r="4097" spans="1:1">
      <c r="A4097" s="71"/>
    </row>
    <row r="4098" spans="1:1">
      <c r="A4098" s="71"/>
    </row>
    <row r="4099" spans="1:1">
      <c r="A4099" s="71"/>
    </row>
    <row r="4100" spans="1:1">
      <c r="A4100" s="71"/>
    </row>
    <row r="4101" spans="1:1">
      <c r="A4101" s="71"/>
    </row>
    <row r="4102" spans="1:1">
      <c r="A4102" s="71"/>
    </row>
    <row r="4103" spans="1:1">
      <c r="A4103" s="71"/>
    </row>
    <row r="4104" spans="1:1">
      <c r="A4104" s="71"/>
    </row>
    <row r="4105" spans="1:1">
      <c r="A4105" s="71"/>
    </row>
    <row r="4106" spans="1:1">
      <c r="A4106" s="71"/>
    </row>
    <row r="4107" spans="1:1">
      <c r="A4107" s="71"/>
    </row>
    <row r="4108" spans="1:1">
      <c r="A4108" s="71"/>
    </row>
    <row r="4109" spans="1:1">
      <c r="A4109" s="71"/>
    </row>
    <row r="4110" spans="1:1">
      <c r="A4110" s="71"/>
    </row>
    <row r="4111" spans="1:1">
      <c r="A4111" s="71"/>
    </row>
    <row r="4112" spans="1:1">
      <c r="A4112" s="71"/>
    </row>
    <row r="4113" spans="1:1">
      <c r="A4113" s="71"/>
    </row>
    <row r="4114" spans="1:1">
      <c r="A4114" s="71"/>
    </row>
    <row r="4115" spans="1:1">
      <c r="A4115" s="71"/>
    </row>
    <row r="4116" spans="1:1">
      <c r="A4116" s="71"/>
    </row>
    <row r="4117" spans="1:1">
      <c r="A4117" s="71"/>
    </row>
    <row r="4118" spans="1:1">
      <c r="A4118" s="71"/>
    </row>
    <row r="4119" spans="1:1">
      <c r="A4119" s="71"/>
    </row>
    <row r="4120" spans="1:1">
      <c r="A4120" s="71"/>
    </row>
    <row r="4121" spans="1:1">
      <c r="A4121" s="71"/>
    </row>
    <row r="4122" spans="1:1">
      <c r="A4122" s="71"/>
    </row>
    <row r="4123" spans="1:1">
      <c r="A4123" s="71"/>
    </row>
    <row r="4124" spans="1:1">
      <c r="A4124" s="71"/>
    </row>
    <row r="4125" spans="1:1">
      <c r="A4125" s="71"/>
    </row>
    <row r="4126" spans="1:1">
      <c r="A4126" s="71"/>
    </row>
    <row r="4127" spans="1:1">
      <c r="A4127" s="71"/>
    </row>
    <row r="4128" spans="1:1">
      <c r="A4128" s="71"/>
    </row>
    <row r="4129" spans="1:1">
      <c r="A4129" s="71"/>
    </row>
    <row r="4130" spans="1:1">
      <c r="A4130" s="71"/>
    </row>
    <row r="4131" spans="1:1">
      <c r="A4131" s="71"/>
    </row>
    <row r="4132" spans="1:1">
      <c r="A4132" s="71"/>
    </row>
    <row r="4133" spans="1:1">
      <c r="A4133" s="71"/>
    </row>
    <row r="4134" spans="1:1">
      <c r="A4134" s="71"/>
    </row>
    <row r="4135" spans="1:1">
      <c r="A4135" s="71"/>
    </row>
    <row r="4136" spans="1:1">
      <c r="A4136" s="71"/>
    </row>
    <row r="4137" spans="1:1">
      <c r="A4137" s="71"/>
    </row>
    <row r="4138" spans="1:1">
      <c r="A4138" s="71"/>
    </row>
    <row r="4139" spans="1:1">
      <c r="A4139" s="71"/>
    </row>
    <row r="4140" spans="1:1">
      <c r="A4140" s="71"/>
    </row>
    <row r="4141" spans="1:1">
      <c r="A4141" s="71"/>
    </row>
    <row r="4142" spans="1:1">
      <c r="A4142" s="71"/>
    </row>
    <row r="4143" spans="1:1">
      <c r="A4143" s="71"/>
    </row>
    <row r="4144" spans="1:1">
      <c r="A4144" s="71"/>
    </row>
    <row r="4145" spans="1:1">
      <c r="A4145" s="71"/>
    </row>
    <row r="4146" spans="1:1">
      <c r="A4146" s="71"/>
    </row>
    <row r="4147" spans="1:1">
      <c r="A4147" s="71"/>
    </row>
    <row r="4148" spans="1:1">
      <c r="A4148" s="71"/>
    </row>
    <row r="4149" spans="1:1">
      <c r="A4149" s="71"/>
    </row>
    <row r="4150" spans="1:1">
      <c r="A4150" s="71"/>
    </row>
    <row r="4151" spans="1:1">
      <c r="A4151" s="71"/>
    </row>
    <row r="4152" spans="1:1">
      <c r="A4152" s="71"/>
    </row>
    <row r="4153" spans="1:1">
      <c r="A4153" s="71"/>
    </row>
    <row r="4154" spans="1:1">
      <c r="A4154" s="71"/>
    </row>
    <row r="4155" spans="1:1">
      <c r="A4155" s="71"/>
    </row>
    <row r="4156" spans="1:1">
      <c r="A4156" s="71"/>
    </row>
    <row r="4157" spans="1:1">
      <c r="A4157" s="71"/>
    </row>
    <row r="4158" spans="1:1">
      <c r="A4158" s="71"/>
    </row>
    <row r="4159" spans="1:1">
      <c r="A4159" s="71"/>
    </row>
    <row r="4160" spans="1:1">
      <c r="A4160" s="71"/>
    </row>
    <row r="4161" spans="1:1">
      <c r="A4161" s="71"/>
    </row>
    <row r="4162" spans="1:1">
      <c r="A4162" s="71"/>
    </row>
    <row r="4163" spans="1:1">
      <c r="A4163" s="71"/>
    </row>
    <row r="4164" spans="1:1">
      <c r="A4164" s="71"/>
    </row>
    <row r="4165" spans="1:1">
      <c r="A4165" s="71"/>
    </row>
    <row r="4166" spans="1:1">
      <c r="A4166" s="71"/>
    </row>
    <row r="4167" spans="1:1">
      <c r="A4167" s="71"/>
    </row>
    <row r="4168" spans="1:1">
      <c r="A4168" s="71"/>
    </row>
    <row r="4169" spans="1:1">
      <c r="A4169" s="71"/>
    </row>
    <row r="4170" spans="1:1">
      <c r="A4170" s="71"/>
    </row>
    <row r="4171" spans="1:1">
      <c r="A4171" s="71"/>
    </row>
    <row r="4172" spans="1:1">
      <c r="A4172" s="71"/>
    </row>
    <row r="4173" spans="1:1">
      <c r="A4173" s="71"/>
    </row>
    <row r="4174" spans="1:1">
      <c r="A4174" s="71"/>
    </row>
    <row r="4175" spans="1:1">
      <c r="A4175" s="71"/>
    </row>
    <row r="4176" spans="1:1">
      <c r="A4176" s="71"/>
    </row>
    <row r="4177" spans="1:1">
      <c r="A4177" s="71"/>
    </row>
    <row r="4178" spans="1:1">
      <c r="A4178" s="71"/>
    </row>
    <row r="4179" spans="1:1">
      <c r="A4179" s="71"/>
    </row>
    <row r="4180" spans="1:1">
      <c r="A4180" s="71"/>
    </row>
    <row r="4181" spans="1:1">
      <c r="A4181" s="71"/>
    </row>
    <row r="4182" spans="1:1">
      <c r="A4182" s="71"/>
    </row>
    <row r="4183" spans="1:1">
      <c r="A4183" s="71"/>
    </row>
    <row r="4184" spans="1:1">
      <c r="A4184" s="71"/>
    </row>
    <row r="4185" spans="1:1">
      <c r="A4185" s="71"/>
    </row>
    <row r="4186" spans="1:1">
      <c r="A4186" s="71"/>
    </row>
    <row r="4187" spans="1:1">
      <c r="A4187" s="71"/>
    </row>
    <row r="4188" spans="1:1">
      <c r="A4188" s="71"/>
    </row>
    <row r="4189" spans="1:1">
      <c r="A4189" s="71"/>
    </row>
    <row r="4190" spans="1:1">
      <c r="A4190" s="71"/>
    </row>
    <row r="4191" spans="1:1">
      <c r="A4191" s="71"/>
    </row>
    <row r="4192" spans="1:1">
      <c r="A4192" s="71"/>
    </row>
    <row r="4193" spans="1:1">
      <c r="A4193" s="71"/>
    </row>
    <row r="4194" spans="1:1">
      <c r="A4194" s="71"/>
    </row>
    <row r="4195" spans="1:1">
      <c r="A4195" s="71"/>
    </row>
    <row r="4196" spans="1:1">
      <c r="A4196" s="71"/>
    </row>
    <row r="4197" spans="1:1">
      <c r="A4197" s="71"/>
    </row>
    <row r="4198" spans="1:1">
      <c r="A4198" s="71"/>
    </row>
    <row r="4199" spans="1:1">
      <c r="A4199" s="71"/>
    </row>
    <row r="4200" spans="1:1">
      <c r="A4200" s="71"/>
    </row>
    <row r="4201" spans="1:1">
      <c r="A4201" s="71"/>
    </row>
    <row r="4202" spans="1:1">
      <c r="A4202" s="71"/>
    </row>
    <row r="4203" spans="1:1">
      <c r="A4203" s="71"/>
    </row>
    <row r="4204" spans="1:1">
      <c r="A4204" s="71"/>
    </row>
    <row r="4205" spans="1:1">
      <c r="A4205" s="71"/>
    </row>
    <row r="4206" spans="1:1">
      <c r="A4206" s="71"/>
    </row>
    <row r="4207" spans="1:1">
      <c r="A4207" s="71"/>
    </row>
    <row r="4208" spans="1:1">
      <c r="A4208" s="71"/>
    </row>
    <row r="4209" spans="1:1">
      <c r="A4209" s="71"/>
    </row>
    <row r="4210" spans="1:1">
      <c r="A4210" s="71"/>
    </row>
    <row r="4211" spans="1:1">
      <c r="A4211" s="71"/>
    </row>
    <row r="4212" spans="1:1">
      <c r="A4212" s="71"/>
    </row>
    <row r="4213" spans="1:1">
      <c r="A4213" s="71"/>
    </row>
    <row r="4214" spans="1:1">
      <c r="A4214" s="71"/>
    </row>
    <row r="4215" spans="1:1">
      <c r="A4215" s="71"/>
    </row>
    <row r="4216" spans="1:1">
      <c r="A4216" s="71"/>
    </row>
    <row r="4217" spans="1:1">
      <c r="A4217" s="71"/>
    </row>
    <row r="4218" spans="1:1">
      <c r="A4218" s="71"/>
    </row>
    <row r="4219" spans="1:1">
      <c r="A4219" s="71"/>
    </row>
    <row r="4220" spans="1:1">
      <c r="A4220" s="71"/>
    </row>
    <row r="4221" spans="1:1">
      <c r="A4221" s="71"/>
    </row>
    <row r="4222" spans="1:1">
      <c r="A4222" s="71"/>
    </row>
    <row r="4223" spans="1:1">
      <c r="A4223" s="71"/>
    </row>
    <row r="4224" spans="1:1">
      <c r="A4224" s="71"/>
    </row>
    <row r="4225" spans="1:1">
      <c r="A4225" s="71"/>
    </row>
    <row r="4226" spans="1:1">
      <c r="A4226" s="71"/>
    </row>
    <row r="4227" spans="1:1">
      <c r="A4227" s="71"/>
    </row>
    <row r="4228" spans="1:1">
      <c r="A4228" s="71"/>
    </row>
    <row r="4229" spans="1:1">
      <c r="A4229" s="71"/>
    </row>
    <row r="4230" spans="1:1">
      <c r="A4230" s="71"/>
    </row>
    <row r="4231" spans="1:1">
      <c r="A4231" s="71"/>
    </row>
    <row r="4232" spans="1:1">
      <c r="A4232" s="71"/>
    </row>
    <row r="4233" spans="1:1">
      <c r="A4233" s="71"/>
    </row>
    <row r="4234" spans="1:1">
      <c r="A4234" s="71"/>
    </row>
    <row r="4235" spans="1:1">
      <c r="A4235" s="71"/>
    </row>
    <row r="4236" spans="1:1">
      <c r="A4236" s="71"/>
    </row>
    <row r="4237" spans="1:1">
      <c r="A4237" s="71"/>
    </row>
    <row r="4238" spans="1:1">
      <c r="A4238" s="71"/>
    </row>
    <row r="4239" spans="1:1">
      <c r="A4239" s="71"/>
    </row>
    <row r="4240" spans="1:1">
      <c r="A4240" s="71"/>
    </row>
    <row r="4241" spans="1:1">
      <c r="A4241" s="71"/>
    </row>
    <row r="4242" spans="1:1">
      <c r="A4242" s="71"/>
    </row>
    <row r="4243" spans="1:1">
      <c r="A4243" s="71"/>
    </row>
    <row r="4244" spans="1:1">
      <c r="A4244" s="71"/>
    </row>
    <row r="4245" spans="1:1">
      <c r="A4245" s="71"/>
    </row>
    <row r="4246" spans="1:1">
      <c r="A4246" s="71"/>
    </row>
    <row r="4247" spans="1:1">
      <c r="A4247" s="71"/>
    </row>
    <row r="4248" spans="1:1">
      <c r="A4248" s="71"/>
    </row>
    <row r="4249" spans="1:1">
      <c r="A4249" s="71"/>
    </row>
    <row r="4250" spans="1:1">
      <c r="A4250" s="71"/>
    </row>
    <row r="4251" spans="1:1">
      <c r="A4251" s="71"/>
    </row>
    <row r="4252" spans="1:1">
      <c r="A4252" s="71"/>
    </row>
    <row r="4253" spans="1:1">
      <c r="A4253" s="71"/>
    </row>
    <row r="4254" spans="1:1">
      <c r="A4254" s="71"/>
    </row>
    <row r="4255" spans="1:1">
      <c r="A4255" s="71"/>
    </row>
    <row r="4256" spans="1:1">
      <c r="A4256" s="71"/>
    </row>
    <row r="4257" spans="1:1">
      <c r="A4257" s="71"/>
    </row>
    <row r="4258" spans="1:1">
      <c r="A4258" s="71"/>
    </row>
    <row r="4259" spans="1:1">
      <c r="A4259" s="71"/>
    </row>
    <row r="4260" spans="1:1">
      <c r="A4260" s="71"/>
    </row>
    <row r="4261" spans="1:1">
      <c r="A4261" s="71"/>
    </row>
    <row r="4262" spans="1:1">
      <c r="A4262" s="71"/>
    </row>
    <row r="4263" spans="1:1">
      <c r="A4263" s="71"/>
    </row>
    <row r="4264" spans="1:1">
      <c r="A4264" s="71"/>
    </row>
    <row r="4265" spans="1:1">
      <c r="A4265" s="71"/>
    </row>
    <row r="4266" spans="1:1">
      <c r="A4266" s="71"/>
    </row>
    <row r="4267" spans="1:1">
      <c r="A4267" s="71"/>
    </row>
    <row r="4268" spans="1:1">
      <c r="A4268" s="71"/>
    </row>
    <row r="4269" spans="1:1">
      <c r="A4269" s="71"/>
    </row>
    <row r="4270" spans="1:1">
      <c r="A4270" s="71"/>
    </row>
    <row r="4271" spans="1:1">
      <c r="A4271" s="71"/>
    </row>
    <row r="4272" spans="1:1">
      <c r="A4272" s="71"/>
    </row>
    <row r="4273" spans="1:1">
      <c r="A4273" s="71"/>
    </row>
    <row r="4274" spans="1:1">
      <c r="A4274" s="71"/>
    </row>
    <row r="4275" spans="1:1">
      <c r="A4275" s="71"/>
    </row>
    <row r="4276" spans="1:1">
      <c r="A4276" s="71"/>
    </row>
    <row r="4277" spans="1:1">
      <c r="A4277" s="71"/>
    </row>
    <row r="4278" spans="1:1">
      <c r="A4278" s="71"/>
    </row>
    <row r="4279" spans="1:1">
      <c r="A4279" s="71"/>
    </row>
    <row r="4280" spans="1:1">
      <c r="A4280" s="71"/>
    </row>
    <row r="4281" spans="1:1">
      <c r="A4281" s="71"/>
    </row>
    <row r="4282" spans="1:1">
      <c r="A4282" s="71"/>
    </row>
    <row r="4283" spans="1:1">
      <c r="A4283" s="71"/>
    </row>
    <row r="4284" spans="1:1">
      <c r="A4284" s="71"/>
    </row>
    <row r="4285" spans="1:1">
      <c r="A4285" s="71"/>
    </row>
    <row r="4286" spans="1:1">
      <c r="A4286" s="71"/>
    </row>
    <row r="4287" spans="1:1">
      <c r="A4287" s="71"/>
    </row>
    <row r="4288" spans="1:1">
      <c r="A4288" s="71"/>
    </row>
    <row r="4289" spans="1:1">
      <c r="A4289" s="71"/>
    </row>
    <row r="4290" spans="1:1">
      <c r="A4290" s="71"/>
    </row>
    <row r="4291" spans="1:1">
      <c r="A4291" s="71"/>
    </row>
    <row r="4292" spans="1:1">
      <c r="A4292" s="71"/>
    </row>
    <row r="4293" spans="1:1">
      <c r="A4293" s="71"/>
    </row>
    <row r="4294" spans="1:1">
      <c r="A4294" s="71"/>
    </row>
    <row r="4295" spans="1:1">
      <c r="A4295" s="71"/>
    </row>
    <row r="4296" spans="1:1">
      <c r="A4296" s="71"/>
    </row>
    <row r="4297" spans="1:1">
      <c r="A4297" s="71"/>
    </row>
    <row r="4298" spans="1:1">
      <c r="A4298" s="71"/>
    </row>
    <row r="4299" spans="1:1">
      <c r="A4299" s="71"/>
    </row>
    <row r="4300" spans="1:1">
      <c r="A4300" s="71"/>
    </row>
    <row r="4301" spans="1:1">
      <c r="A4301" s="71"/>
    </row>
    <row r="4302" spans="1:1">
      <c r="A4302" s="71"/>
    </row>
    <row r="4303" spans="1:1">
      <c r="A4303" s="71"/>
    </row>
    <row r="4304" spans="1:1">
      <c r="A4304" s="71"/>
    </row>
    <row r="4305" spans="1:1">
      <c r="A4305" s="71"/>
    </row>
    <row r="4306" spans="1:1">
      <c r="A4306" s="71"/>
    </row>
    <row r="4307" spans="1:1">
      <c r="A4307" s="71"/>
    </row>
    <row r="4308" spans="1:1">
      <c r="A4308" s="71"/>
    </row>
    <row r="4309" spans="1:1">
      <c r="A4309" s="71"/>
    </row>
    <row r="4310" spans="1:1">
      <c r="A4310" s="71"/>
    </row>
    <row r="4311" spans="1:1">
      <c r="A4311" s="71"/>
    </row>
    <row r="4312" spans="1:1">
      <c r="A4312" s="71"/>
    </row>
    <row r="4313" spans="1:1">
      <c r="A4313" s="71"/>
    </row>
    <row r="4314" spans="1:1">
      <c r="A4314" s="71"/>
    </row>
    <row r="4315" spans="1:1">
      <c r="A4315" s="71"/>
    </row>
    <row r="4316" spans="1:1">
      <c r="A4316" s="71"/>
    </row>
    <row r="4317" spans="1:1">
      <c r="A4317" s="71"/>
    </row>
    <row r="4318" spans="1:1">
      <c r="A4318" s="71"/>
    </row>
    <row r="4319" spans="1:1">
      <c r="A4319" s="71"/>
    </row>
    <row r="4320" spans="1:1">
      <c r="A4320" s="71"/>
    </row>
    <row r="4321" spans="1:1">
      <c r="A4321" s="71"/>
    </row>
    <row r="4322" spans="1:1">
      <c r="A4322" s="71"/>
    </row>
    <row r="4323" spans="1:1">
      <c r="A4323" s="71"/>
    </row>
    <row r="4324" spans="1:1">
      <c r="A4324" s="71"/>
    </row>
    <row r="4325" spans="1:1">
      <c r="A4325" s="71"/>
    </row>
    <row r="4326" spans="1:1">
      <c r="A4326" s="71"/>
    </row>
    <row r="4327" spans="1:1">
      <c r="A4327" s="71"/>
    </row>
    <row r="4328" spans="1:1">
      <c r="A4328" s="71"/>
    </row>
    <row r="4329" spans="1:1">
      <c r="A4329" s="71"/>
    </row>
    <row r="4330" spans="1:1">
      <c r="A4330" s="71"/>
    </row>
    <row r="4331" spans="1:1">
      <c r="A4331" s="71"/>
    </row>
    <row r="4332" spans="1:1">
      <c r="A4332" s="71"/>
    </row>
    <row r="4333" spans="1:1">
      <c r="A4333" s="71"/>
    </row>
    <row r="4334" spans="1:1">
      <c r="A4334" s="71"/>
    </row>
    <row r="4335" spans="1:1">
      <c r="A4335" s="71"/>
    </row>
    <row r="4336" spans="1:1">
      <c r="A4336" s="71"/>
    </row>
    <row r="4337" spans="1:1">
      <c r="A4337" s="71"/>
    </row>
    <row r="4338" spans="1:1">
      <c r="A4338" s="71"/>
    </row>
    <row r="4339" spans="1:1">
      <c r="A4339" s="71"/>
    </row>
    <row r="4340" spans="1:1">
      <c r="A4340" s="71"/>
    </row>
    <row r="4341" spans="1:1">
      <c r="A4341" s="71"/>
    </row>
    <row r="4342" spans="1:1">
      <c r="A4342" s="71"/>
    </row>
    <row r="4343" spans="1:1">
      <c r="A4343" s="71"/>
    </row>
    <row r="4344" spans="1:1">
      <c r="A4344" s="71"/>
    </row>
    <row r="4345" spans="1:1">
      <c r="A4345" s="71"/>
    </row>
    <row r="4346" spans="1:1">
      <c r="A4346" s="71"/>
    </row>
    <row r="4347" spans="1:1">
      <c r="A4347" s="71"/>
    </row>
    <row r="4348" spans="1:1">
      <c r="A4348" s="71"/>
    </row>
    <row r="4349" spans="1:1">
      <c r="A4349" s="71"/>
    </row>
    <row r="4350" spans="1:1">
      <c r="A4350" s="71"/>
    </row>
    <row r="4351" spans="1:1">
      <c r="A4351" s="71"/>
    </row>
    <row r="4352" spans="1:1">
      <c r="A4352" s="71"/>
    </row>
    <row r="4353" spans="1:1">
      <c r="A4353" s="71"/>
    </row>
    <row r="4354" spans="1:1">
      <c r="A4354" s="71"/>
    </row>
    <row r="4355" spans="1:1">
      <c r="A4355" s="71"/>
    </row>
    <row r="4356" spans="1:1">
      <c r="A4356" s="71"/>
    </row>
    <row r="4357" spans="1:1">
      <c r="A4357" s="71"/>
    </row>
    <row r="4358" spans="1:1">
      <c r="A4358" s="71"/>
    </row>
    <row r="4359" spans="1:1">
      <c r="A4359" s="71"/>
    </row>
    <row r="4360" spans="1:1">
      <c r="A4360" s="71"/>
    </row>
    <row r="4361" spans="1:1">
      <c r="A4361" s="71"/>
    </row>
    <row r="4362" spans="1:1">
      <c r="A4362" s="71"/>
    </row>
    <row r="4363" spans="1:1">
      <c r="A4363" s="71"/>
    </row>
    <row r="4364" spans="1:1">
      <c r="A4364" s="71"/>
    </row>
    <row r="4365" spans="1:1">
      <c r="A4365" s="71"/>
    </row>
    <row r="4366" spans="1:1">
      <c r="A4366" s="71"/>
    </row>
    <row r="4367" spans="1:1">
      <c r="A4367" s="71"/>
    </row>
    <row r="4368" spans="1:1">
      <c r="A4368" s="71"/>
    </row>
    <row r="4369" spans="1:1">
      <c r="A4369" s="71"/>
    </row>
    <row r="4370" spans="1:1">
      <c r="A4370" s="71"/>
    </row>
    <row r="4371" spans="1:1">
      <c r="A4371" s="71"/>
    </row>
    <row r="4372" spans="1:1">
      <c r="A4372" s="71"/>
    </row>
    <row r="4373" spans="1:1">
      <c r="A4373" s="71"/>
    </row>
    <row r="4374" spans="1:1">
      <c r="A4374" s="71"/>
    </row>
    <row r="4375" spans="1:1">
      <c r="A4375" s="71"/>
    </row>
    <row r="4376" spans="1:1">
      <c r="A4376" s="71"/>
    </row>
    <row r="4377" spans="1:1">
      <c r="A4377" s="71"/>
    </row>
    <row r="4378" spans="1:1">
      <c r="A4378" s="71"/>
    </row>
    <row r="4379" spans="1:1">
      <c r="A4379" s="71"/>
    </row>
    <row r="4380" spans="1:1">
      <c r="A4380" s="71"/>
    </row>
    <row r="4381" spans="1:1">
      <c r="A4381" s="71"/>
    </row>
    <row r="4382" spans="1:1">
      <c r="A4382" s="71"/>
    </row>
    <row r="4383" spans="1:1">
      <c r="A4383" s="71"/>
    </row>
    <row r="4384" spans="1:1">
      <c r="A4384" s="71"/>
    </row>
    <row r="4385" spans="1:1">
      <c r="A4385" s="71"/>
    </row>
    <row r="4386" spans="1:1">
      <c r="A4386" s="71"/>
    </row>
    <row r="4387" spans="1:1">
      <c r="A4387" s="71"/>
    </row>
    <row r="4388" spans="1:1">
      <c r="A4388" s="71"/>
    </row>
    <row r="4389" spans="1:1">
      <c r="A4389" s="71"/>
    </row>
    <row r="4390" spans="1:1">
      <c r="A4390" s="71"/>
    </row>
    <row r="4391" spans="1:1">
      <c r="A4391" s="71"/>
    </row>
    <row r="4392" spans="1:1">
      <c r="A4392" s="71"/>
    </row>
    <row r="4393" spans="1:1">
      <c r="A4393" s="71"/>
    </row>
    <row r="4394" spans="1:1">
      <c r="A4394" s="71"/>
    </row>
    <row r="4395" spans="1:1">
      <c r="A4395" s="71"/>
    </row>
    <row r="4396" spans="1:1">
      <c r="A4396" s="71"/>
    </row>
    <row r="4397" spans="1:1">
      <c r="A4397" s="71"/>
    </row>
    <row r="4398" spans="1:1">
      <c r="A4398" s="71"/>
    </row>
    <row r="4399" spans="1:1">
      <c r="A4399" s="71"/>
    </row>
    <row r="4400" spans="1:1">
      <c r="A4400" s="71"/>
    </row>
    <row r="4401" spans="1:1">
      <c r="A4401" s="71"/>
    </row>
    <row r="4402" spans="1:1">
      <c r="A4402" s="71"/>
    </row>
    <row r="4403" spans="1:1">
      <c r="A4403" s="71"/>
    </row>
    <row r="4404" spans="1:1">
      <c r="A4404" s="71"/>
    </row>
    <row r="4405" spans="1:1">
      <c r="A4405" s="71"/>
    </row>
    <row r="4406" spans="1:1">
      <c r="A4406" s="71"/>
    </row>
    <row r="4407" spans="1:1">
      <c r="A4407" s="71"/>
    </row>
    <row r="4408" spans="1:1">
      <c r="A4408" s="71"/>
    </row>
    <row r="4409" spans="1:1">
      <c r="A4409" s="71"/>
    </row>
    <row r="4410" spans="1:1">
      <c r="A4410" s="71"/>
    </row>
    <row r="4411" spans="1:1">
      <c r="A4411" s="71"/>
    </row>
    <row r="4412" spans="1:1">
      <c r="A4412" s="71"/>
    </row>
    <row r="4413" spans="1:1">
      <c r="A4413" s="71"/>
    </row>
    <row r="4414" spans="1:1">
      <c r="A4414" s="71"/>
    </row>
    <row r="4415" spans="1:1">
      <c r="A4415" s="71"/>
    </row>
    <row r="4416" spans="1:1">
      <c r="A4416" s="71"/>
    </row>
    <row r="4417" spans="1:1">
      <c r="A4417" s="71"/>
    </row>
    <row r="4418" spans="1:1">
      <c r="A4418" s="71"/>
    </row>
    <row r="4419" spans="1:1">
      <c r="A4419" s="71"/>
    </row>
    <row r="4420" spans="1:1">
      <c r="A4420" s="71"/>
    </row>
    <row r="4421" spans="1:1">
      <c r="A4421" s="71"/>
    </row>
    <row r="4422" spans="1:1">
      <c r="A4422" s="71"/>
    </row>
    <row r="4423" spans="1:1">
      <c r="A4423" s="71"/>
    </row>
    <row r="4424" spans="1:1">
      <c r="A4424" s="71"/>
    </row>
    <row r="4425" spans="1:1">
      <c r="A4425" s="71"/>
    </row>
    <row r="4426" spans="1:1">
      <c r="A4426" s="71"/>
    </row>
    <row r="4427" spans="1:1">
      <c r="A4427" s="71"/>
    </row>
    <row r="4428" spans="1:1">
      <c r="A4428" s="71"/>
    </row>
    <row r="4429" spans="1:1">
      <c r="A4429" s="71"/>
    </row>
    <row r="4430" spans="1:1">
      <c r="A4430" s="71"/>
    </row>
    <row r="4431" spans="1:1">
      <c r="A4431" s="71"/>
    </row>
    <row r="4432" spans="1:1">
      <c r="A4432" s="71"/>
    </row>
    <row r="4433" spans="1:1">
      <c r="A4433" s="71"/>
    </row>
    <row r="4434" spans="1:1">
      <c r="A4434" s="71"/>
    </row>
    <row r="4435" spans="1:1">
      <c r="A4435" s="71"/>
    </row>
    <row r="4436" spans="1:1">
      <c r="A4436" s="71"/>
    </row>
    <row r="4437" spans="1:1">
      <c r="A4437" s="71"/>
    </row>
    <row r="4438" spans="1:1">
      <c r="A4438" s="71"/>
    </row>
    <row r="4439" spans="1:1">
      <c r="A4439" s="71"/>
    </row>
    <row r="4440" spans="1:1">
      <c r="A4440" s="71"/>
    </row>
    <row r="4441" spans="1:1">
      <c r="A4441" s="71"/>
    </row>
    <row r="4442" spans="1:1">
      <c r="A4442" s="71"/>
    </row>
    <row r="4443" spans="1:1">
      <c r="A4443" s="71"/>
    </row>
    <row r="4444" spans="1:1">
      <c r="A4444" s="71"/>
    </row>
    <row r="4445" spans="1:1">
      <c r="A4445" s="71"/>
    </row>
    <row r="4446" spans="1:1">
      <c r="A4446" s="71"/>
    </row>
    <row r="4447" spans="1:1">
      <c r="A4447" s="71"/>
    </row>
    <row r="4448" spans="1:1">
      <c r="A4448" s="71"/>
    </row>
    <row r="4449" spans="1:1">
      <c r="A4449" s="71"/>
    </row>
    <row r="4450" spans="1:1">
      <c r="A4450" s="71"/>
    </row>
    <row r="4451" spans="1:1">
      <c r="A4451" s="71"/>
    </row>
    <row r="4452" spans="1:1">
      <c r="A4452" s="71"/>
    </row>
    <row r="4453" spans="1:1">
      <c r="A4453" s="71"/>
    </row>
    <row r="4454" spans="1:1">
      <c r="A4454" s="71"/>
    </row>
    <row r="4455" spans="1:1">
      <c r="A4455" s="71"/>
    </row>
    <row r="4456" spans="1:1">
      <c r="A4456" s="71"/>
    </row>
    <row r="4457" spans="1:1">
      <c r="A4457" s="71"/>
    </row>
    <row r="4458" spans="1:1">
      <c r="A4458" s="71"/>
    </row>
    <row r="4459" spans="1:1">
      <c r="A4459" s="71"/>
    </row>
    <row r="4460" spans="1:1">
      <c r="A4460" s="71"/>
    </row>
    <row r="4461" spans="1:1">
      <c r="A4461" s="71"/>
    </row>
    <row r="4462" spans="1:1">
      <c r="A4462" s="71"/>
    </row>
    <row r="4463" spans="1:1">
      <c r="A4463" s="71"/>
    </row>
    <row r="4464" spans="1:1">
      <c r="A4464" s="71"/>
    </row>
    <row r="4465" spans="1:1">
      <c r="A4465" s="71"/>
    </row>
    <row r="4466" spans="1:1">
      <c r="A4466" s="71"/>
    </row>
    <row r="4467" spans="1:1">
      <c r="A4467" s="71"/>
    </row>
    <row r="4468" spans="1:1">
      <c r="A4468" s="71"/>
    </row>
    <row r="4469" spans="1:1">
      <c r="A4469" s="71"/>
    </row>
    <row r="4470" spans="1:1">
      <c r="A4470" s="71"/>
    </row>
    <row r="4471" spans="1:1">
      <c r="A4471" s="71"/>
    </row>
    <row r="4472" spans="1:1">
      <c r="A4472" s="71"/>
    </row>
    <row r="4473" spans="1:1">
      <c r="A4473" s="71"/>
    </row>
    <row r="4474" spans="1:1">
      <c r="A4474" s="71"/>
    </row>
    <row r="4475" spans="1:1">
      <c r="A4475" s="71"/>
    </row>
    <row r="4476" spans="1:1">
      <c r="A4476" s="71"/>
    </row>
    <row r="4477" spans="1:1">
      <c r="A4477" s="71"/>
    </row>
    <row r="4478" spans="1:1">
      <c r="A4478" s="71"/>
    </row>
    <row r="4479" spans="1:1">
      <c r="A4479" s="71"/>
    </row>
    <row r="4480" spans="1:1">
      <c r="A4480" s="71"/>
    </row>
    <row r="4481" spans="1:1">
      <c r="A4481" s="71"/>
    </row>
    <row r="4482" spans="1:1">
      <c r="A4482" s="71"/>
    </row>
    <row r="4483" spans="1:1">
      <c r="A4483" s="71"/>
    </row>
    <row r="4484" spans="1:1">
      <c r="A4484" s="71"/>
    </row>
    <row r="4485" spans="1:1">
      <c r="A4485" s="71"/>
    </row>
    <row r="4486" spans="1:1">
      <c r="A4486" s="71"/>
    </row>
    <row r="4487" spans="1:1">
      <c r="A4487" s="71"/>
    </row>
    <row r="4488" spans="1:1">
      <c r="A4488" s="71"/>
    </row>
    <row r="4489" spans="1:1">
      <c r="A4489" s="71"/>
    </row>
    <row r="4490" spans="1:1">
      <c r="A4490" s="71"/>
    </row>
    <row r="4491" spans="1:1">
      <c r="A4491" s="71"/>
    </row>
    <row r="4492" spans="1:1">
      <c r="A4492" s="71"/>
    </row>
    <row r="4493" spans="1:1">
      <c r="A4493" s="71"/>
    </row>
    <row r="4494" spans="1:1">
      <c r="A4494" s="71"/>
    </row>
    <row r="4495" spans="1:1">
      <c r="A4495" s="71"/>
    </row>
    <row r="4496" spans="1:1">
      <c r="A4496" s="71"/>
    </row>
    <row r="4497" spans="1:1">
      <c r="A4497" s="71"/>
    </row>
    <row r="4498" spans="1:1">
      <c r="A4498" s="71"/>
    </row>
    <row r="4499" spans="1:1">
      <c r="A4499" s="71"/>
    </row>
    <row r="4500" spans="1:1">
      <c r="A4500" s="71"/>
    </row>
    <row r="4501" spans="1:1">
      <c r="A4501" s="71"/>
    </row>
    <row r="4502" spans="1:1">
      <c r="A4502" s="71"/>
    </row>
    <row r="4503" spans="1:1">
      <c r="A4503" s="71"/>
    </row>
    <row r="4504" spans="1:1">
      <c r="A4504" s="71"/>
    </row>
    <row r="4505" spans="1:1">
      <c r="A4505" s="71"/>
    </row>
    <row r="4506" spans="1:1">
      <c r="A4506" s="71"/>
    </row>
    <row r="4507" spans="1:1">
      <c r="A4507" s="71"/>
    </row>
    <row r="4508" spans="1:1">
      <c r="A4508" s="71"/>
    </row>
    <row r="4509" spans="1:1">
      <c r="A4509" s="71"/>
    </row>
    <row r="4510" spans="1:1">
      <c r="A4510" s="71"/>
    </row>
    <row r="4511" spans="1:1">
      <c r="A4511" s="71"/>
    </row>
    <row r="4512" spans="1:1">
      <c r="A4512" s="71"/>
    </row>
    <row r="4513" spans="1:1">
      <c r="A4513" s="71"/>
    </row>
    <row r="4514" spans="1:1">
      <c r="A4514" s="71"/>
    </row>
    <row r="4515" spans="1:1">
      <c r="A4515" s="71"/>
    </row>
    <row r="4516" spans="1:1">
      <c r="A4516" s="71"/>
    </row>
    <row r="4517" spans="1:1">
      <c r="A4517" s="71"/>
    </row>
    <row r="4518" spans="1:1">
      <c r="A4518" s="71"/>
    </row>
    <row r="4519" spans="1:1">
      <c r="A4519" s="71"/>
    </row>
    <row r="4520" spans="1:1">
      <c r="A4520" s="71"/>
    </row>
    <row r="4521" spans="1:1">
      <c r="A4521" s="71"/>
    </row>
    <row r="4522" spans="1:1">
      <c r="A4522" s="71"/>
    </row>
    <row r="4523" spans="1:1">
      <c r="A4523" s="71"/>
    </row>
    <row r="4524" spans="1:1">
      <c r="A4524" s="71"/>
    </row>
    <row r="4525" spans="1:1">
      <c r="A4525" s="71"/>
    </row>
    <row r="4526" spans="1:1">
      <c r="A4526" s="71"/>
    </row>
    <row r="4527" spans="1:1">
      <c r="A4527" s="71"/>
    </row>
    <row r="4528" spans="1:1">
      <c r="A4528" s="71"/>
    </row>
    <row r="4529" spans="1:1">
      <c r="A4529" s="71"/>
    </row>
    <row r="4530" spans="1:1">
      <c r="A4530" s="71"/>
    </row>
    <row r="4531" spans="1:1">
      <c r="A4531" s="71"/>
    </row>
    <row r="4532" spans="1:1">
      <c r="A4532" s="71"/>
    </row>
    <row r="4533" spans="1:1">
      <c r="A4533" s="71"/>
    </row>
    <row r="4534" spans="1:1">
      <c r="A4534" s="71"/>
    </row>
    <row r="4535" spans="1:1">
      <c r="A4535" s="71"/>
    </row>
    <row r="4536" spans="1:1">
      <c r="A4536" s="71"/>
    </row>
    <row r="4537" spans="1:1">
      <c r="A4537" s="71"/>
    </row>
    <row r="4538" spans="1:1">
      <c r="A4538" s="71"/>
    </row>
    <row r="4539" spans="1:1">
      <c r="A4539" s="71"/>
    </row>
    <row r="4540" spans="1:1">
      <c r="A4540" s="71"/>
    </row>
    <row r="4541" spans="1:1">
      <c r="A4541" s="71"/>
    </row>
    <row r="4542" spans="1:1">
      <c r="A4542" s="71"/>
    </row>
    <row r="4543" spans="1:1">
      <c r="A4543" s="71"/>
    </row>
    <row r="4544" spans="1:1">
      <c r="A4544" s="71"/>
    </row>
    <row r="4545" spans="1:1">
      <c r="A4545" s="71"/>
    </row>
    <row r="4546" spans="1:1">
      <c r="A4546" s="71"/>
    </row>
    <row r="4547" spans="1:1">
      <c r="A4547" s="71"/>
    </row>
    <row r="4548" spans="1:1">
      <c r="A4548" s="71"/>
    </row>
    <row r="4549" spans="1:1">
      <c r="A4549" s="71"/>
    </row>
    <row r="4550" spans="1:1">
      <c r="A4550" s="71"/>
    </row>
    <row r="4551" spans="1:1">
      <c r="A4551" s="71"/>
    </row>
    <row r="4552" spans="1:1">
      <c r="A4552" s="71"/>
    </row>
    <row r="4553" spans="1:1">
      <c r="A4553" s="71"/>
    </row>
    <row r="4554" spans="1:1">
      <c r="A4554" s="71"/>
    </row>
    <row r="4555" spans="1:1">
      <c r="A4555" s="71"/>
    </row>
    <row r="4556" spans="1:1">
      <c r="A4556" s="71"/>
    </row>
    <row r="4557" spans="1:1">
      <c r="A4557" s="71"/>
    </row>
    <row r="4558" spans="1:1">
      <c r="A4558" s="71"/>
    </row>
    <row r="4559" spans="1:1">
      <c r="A4559" s="71"/>
    </row>
    <row r="4560" spans="1:1">
      <c r="A4560" s="71"/>
    </row>
    <row r="4561" spans="1:1">
      <c r="A4561" s="71"/>
    </row>
    <row r="4562" spans="1:1">
      <c r="A4562" s="71"/>
    </row>
    <row r="4563" spans="1:1">
      <c r="A4563" s="71"/>
    </row>
    <row r="4564" spans="1:1">
      <c r="A4564" s="71"/>
    </row>
    <row r="4565" spans="1:1">
      <c r="A4565" s="71"/>
    </row>
    <row r="4566" spans="1:1">
      <c r="A4566" s="71"/>
    </row>
    <row r="4567" spans="1:1">
      <c r="A4567" s="71"/>
    </row>
    <row r="4568" spans="1:1">
      <c r="A4568" s="71"/>
    </row>
    <row r="4569" spans="1:1">
      <c r="A4569" s="71"/>
    </row>
    <row r="4570" spans="1:1">
      <c r="A4570" s="71"/>
    </row>
    <row r="4571" spans="1:1">
      <c r="A4571" s="71"/>
    </row>
    <row r="4572" spans="1:1">
      <c r="A4572" s="71"/>
    </row>
    <row r="4573" spans="1:1">
      <c r="A4573" s="71"/>
    </row>
    <row r="4574" spans="1:1">
      <c r="A4574" s="71"/>
    </row>
    <row r="4575" spans="1:1">
      <c r="A4575" s="71"/>
    </row>
    <row r="4576" spans="1:1">
      <c r="A4576" s="71"/>
    </row>
    <row r="4577" spans="1:1">
      <c r="A4577" s="71"/>
    </row>
    <row r="4578" spans="1:1">
      <c r="A4578" s="71"/>
    </row>
    <row r="4579" spans="1:1">
      <c r="A4579" s="71"/>
    </row>
    <row r="4580" spans="1:1">
      <c r="A4580" s="71"/>
    </row>
    <row r="4581" spans="1:1">
      <c r="A4581" s="71"/>
    </row>
    <row r="4582" spans="1:1">
      <c r="A4582" s="71"/>
    </row>
    <row r="4583" spans="1:1">
      <c r="A4583" s="71"/>
    </row>
    <row r="4584" spans="1:1">
      <c r="A4584" s="71"/>
    </row>
    <row r="4585" spans="1:1">
      <c r="A4585" s="71"/>
    </row>
    <row r="4586" spans="1:1">
      <c r="A4586" s="71"/>
    </row>
    <row r="4587" spans="1:1">
      <c r="A4587" s="71"/>
    </row>
    <row r="4588" spans="1:1">
      <c r="A4588" s="71"/>
    </row>
    <row r="4589" spans="1:1">
      <c r="A4589" s="71"/>
    </row>
    <row r="4590" spans="1:1">
      <c r="A4590" s="71"/>
    </row>
    <row r="4591" spans="1:1">
      <c r="A4591" s="71"/>
    </row>
    <row r="4592" spans="1:1">
      <c r="A4592" s="71"/>
    </row>
    <row r="4593" spans="1:1">
      <c r="A4593" s="71"/>
    </row>
    <row r="4594" spans="1:1">
      <c r="A4594" s="71"/>
    </row>
    <row r="4595" spans="1:1">
      <c r="A4595" s="71"/>
    </row>
    <row r="4596" spans="1:1">
      <c r="A4596" s="71"/>
    </row>
    <row r="4597" spans="1:1">
      <c r="A4597" s="71"/>
    </row>
    <row r="4598" spans="1:1">
      <c r="A4598" s="71"/>
    </row>
    <row r="4599" spans="1:1">
      <c r="A4599" s="71"/>
    </row>
    <row r="4600" spans="1:1">
      <c r="A4600" s="71"/>
    </row>
    <row r="4601" spans="1:1">
      <c r="A4601" s="71"/>
    </row>
    <row r="4602" spans="1:1">
      <c r="A4602" s="71"/>
    </row>
    <row r="4603" spans="1:1">
      <c r="A4603" s="71"/>
    </row>
    <row r="4604" spans="1:1">
      <c r="A4604" s="71"/>
    </row>
    <row r="4605" spans="1:1">
      <c r="A4605" s="71"/>
    </row>
    <row r="4606" spans="1:1">
      <c r="A4606" s="71"/>
    </row>
    <row r="4607" spans="1:1">
      <c r="A4607" s="71"/>
    </row>
    <row r="4608" spans="1:1">
      <c r="A4608" s="71"/>
    </row>
    <row r="4609" spans="1:1">
      <c r="A4609" s="71"/>
    </row>
    <row r="4610" spans="1:1">
      <c r="A4610" s="71"/>
    </row>
    <row r="4611" spans="1:1">
      <c r="A4611" s="71"/>
    </row>
    <row r="4612" spans="1:1">
      <c r="A4612" s="71"/>
    </row>
    <row r="4613" spans="1:1">
      <c r="A4613" s="71"/>
    </row>
    <row r="4614" spans="1:1">
      <c r="A4614" s="71"/>
    </row>
    <row r="4615" spans="1:1">
      <c r="A4615" s="71"/>
    </row>
    <row r="4616" spans="1:1">
      <c r="A4616" s="71"/>
    </row>
    <row r="4617" spans="1:1">
      <c r="A4617" s="71"/>
    </row>
    <row r="4618" spans="1:1">
      <c r="A4618" s="71"/>
    </row>
    <row r="4619" spans="1:1">
      <c r="A4619" s="71"/>
    </row>
    <row r="4620" spans="1:1">
      <c r="A4620" s="71"/>
    </row>
    <row r="4621" spans="1:1">
      <c r="A4621" s="71"/>
    </row>
    <row r="4622" spans="1:1">
      <c r="A4622" s="71"/>
    </row>
    <row r="4623" spans="1:1">
      <c r="A4623" s="71"/>
    </row>
    <row r="4624" spans="1:1">
      <c r="A4624" s="71"/>
    </row>
    <row r="4625" spans="1:1">
      <c r="A4625" s="71"/>
    </row>
    <row r="4626" spans="1:1">
      <c r="A4626" s="71"/>
    </row>
    <row r="4627" spans="1:1">
      <c r="A4627" s="71"/>
    </row>
    <row r="4628" spans="1:1">
      <c r="A4628" s="71"/>
    </row>
    <row r="4629" spans="1:1">
      <c r="A4629" s="71"/>
    </row>
    <row r="4630" spans="1:1">
      <c r="A4630" s="71"/>
    </row>
    <row r="4631" spans="1:1">
      <c r="A4631" s="71"/>
    </row>
    <row r="4632" spans="1:1">
      <c r="A4632" s="71"/>
    </row>
    <row r="4633" spans="1:1">
      <c r="A4633" s="71"/>
    </row>
    <row r="4634" spans="1:1">
      <c r="A4634" s="71"/>
    </row>
    <row r="4635" spans="1:1">
      <c r="A4635" s="71"/>
    </row>
    <row r="4636" spans="1:1">
      <c r="A4636" s="71"/>
    </row>
    <row r="4637" spans="1:1">
      <c r="A4637" s="71"/>
    </row>
    <row r="4638" spans="1:1">
      <c r="A4638" s="71"/>
    </row>
    <row r="4639" spans="1:1">
      <c r="A4639" s="71"/>
    </row>
    <row r="4640" spans="1:1">
      <c r="A4640" s="71"/>
    </row>
    <row r="4641" spans="1:1">
      <c r="A4641" s="71"/>
    </row>
    <row r="4642" spans="1:1">
      <c r="A4642" s="71"/>
    </row>
    <row r="4643" spans="1:1">
      <c r="A4643" s="71"/>
    </row>
    <row r="4644" spans="1:1">
      <c r="A4644" s="71"/>
    </row>
    <row r="4645" spans="1:1">
      <c r="A4645" s="71"/>
    </row>
    <row r="4646" spans="1:1">
      <c r="A4646" s="71"/>
    </row>
    <row r="4647" spans="1:1">
      <c r="A4647" s="71"/>
    </row>
    <row r="4648" spans="1:1">
      <c r="A4648" s="71"/>
    </row>
    <row r="4649" spans="1:1">
      <c r="A4649" s="71"/>
    </row>
    <row r="4650" spans="1:1">
      <c r="A4650" s="71"/>
    </row>
    <row r="4651" spans="1:1">
      <c r="A4651" s="71"/>
    </row>
    <row r="4652" spans="1:1">
      <c r="A4652" s="71"/>
    </row>
    <row r="4653" spans="1:1">
      <c r="A4653" s="71"/>
    </row>
    <row r="4654" spans="1:1">
      <c r="A4654" s="71"/>
    </row>
    <row r="4655" spans="1:1">
      <c r="A4655" s="71"/>
    </row>
    <row r="4656" spans="1:1">
      <c r="A4656" s="71"/>
    </row>
    <row r="4657" spans="1:1">
      <c r="A4657" s="71"/>
    </row>
    <row r="4658" spans="1:1">
      <c r="A4658" s="71"/>
    </row>
    <row r="4659" spans="1:1">
      <c r="A4659" s="71"/>
    </row>
    <row r="4660" spans="1:1">
      <c r="A4660" s="71"/>
    </row>
    <row r="4661" spans="1:1">
      <c r="A4661" s="71"/>
    </row>
    <row r="4662" spans="1:1">
      <c r="A4662" s="71"/>
    </row>
    <row r="4663" spans="1:1">
      <c r="A4663" s="71"/>
    </row>
    <row r="4664" spans="1:1">
      <c r="A4664" s="71"/>
    </row>
    <row r="4665" spans="1:1">
      <c r="A4665" s="71"/>
    </row>
    <row r="4666" spans="1:1">
      <c r="A4666" s="71"/>
    </row>
    <row r="4667" spans="1:1">
      <c r="A4667" s="71"/>
    </row>
    <row r="4668" spans="1:1">
      <c r="A4668" s="71"/>
    </row>
    <row r="4669" spans="1:1">
      <c r="A4669" s="71"/>
    </row>
    <row r="4670" spans="1:1">
      <c r="A4670" s="71"/>
    </row>
    <row r="4671" spans="1:1">
      <c r="A4671" s="71"/>
    </row>
    <row r="4672" spans="1:1">
      <c r="A4672" s="71"/>
    </row>
    <row r="4673" spans="1:1">
      <c r="A4673" s="71"/>
    </row>
    <row r="4674" spans="1:1">
      <c r="A4674" s="71"/>
    </row>
    <row r="4675" spans="1:1">
      <c r="A4675" s="71"/>
    </row>
    <row r="4676" spans="1:1">
      <c r="A4676" s="71"/>
    </row>
    <row r="4677" spans="1:1">
      <c r="A4677" s="71"/>
    </row>
    <row r="4678" spans="1:1">
      <c r="A4678" s="71"/>
    </row>
    <row r="4679" spans="1:1">
      <c r="A4679" s="71"/>
    </row>
    <row r="4680" spans="1:1">
      <c r="A4680" s="71"/>
    </row>
    <row r="4681" spans="1:1">
      <c r="A4681" s="71"/>
    </row>
    <row r="4682" spans="1:1">
      <c r="A4682" s="71"/>
    </row>
    <row r="4683" spans="1:1">
      <c r="A4683" s="71"/>
    </row>
    <row r="4684" spans="1:1">
      <c r="A4684" s="71"/>
    </row>
    <row r="4685" spans="1:1">
      <c r="A4685" s="71"/>
    </row>
    <row r="4686" spans="1:1">
      <c r="A4686" s="71"/>
    </row>
    <row r="4687" spans="1:1">
      <c r="A4687" s="71"/>
    </row>
    <row r="4688" spans="1:1">
      <c r="A4688" s="71"/>
    </row>
    <row r="4689" spans="1:1">
      <c r="A4689" s="71"/>
    </row>
    <row r="4690" spans="1:1">
      <c r="A4690" s="71"/>
    </row>
    <row r="4691" spans="1:1">
      <c r="A4691" s="71"/>
    </row>
    <row r="4692" spans="1:1">
      <c r="A4692" s="71"/>
    </row>
    <row r="4693" spans="1:1">
      <c r="A4693" s="71"/>
    </row>
    <row r="4694" spans="1:1">
      <c r="A4694" s="71"/>
    </row>
    <row r="4695" spans="1:1">
      <c r="A4695" s="71"/>
    </row>
    <row r="4696" spans="1:1">
      <c r="A4696" s="71"/>
    </row>
    <row r="4697" spans="1:1">
      <c r="A4697" s="71"/>
    </row>
    <row r="4698" spans="1:1">
      <c r="A4698" s="71"/>
    </row>
    <row r="4699" spans="1:1">
      <c r="A4699" s="71"/>
    </row>
    <row r="4700" spans="1:1">
      <c r="A4700" s="71"/>
    </row>
    <row r="4701" spans="1:1">
      <c r="A4701" s="71"/>
    </row>
    <row r="4702" spans="1:1">
      <c r="A4702" s="71"/>
    </row>
    <row r="4703" spans="1:1">
      <c r="A4703" s="71"/>
    </row>
    <row r="4704" spans="1:1">
      <c r="A4704" s="71"/>
    </row>
    <row r="4705" spans="1:1">
      <c r="A4705" s="71"/>
    </row>
    <row r="4706" spans="1:1">
      <c r="A4706" s="71"/>
    </row>
    <row r="4707" spans="1:1">
      <c r="A4707" s="71"/>
    </row>
    <row r="4708" spans="1:1">
      <c r="A4708" s="71"/>
    </row>
    <row r="4709" spans="1:1">
      <c r="A4709" s="71"/>
    </row>
    <row r="4710" spans="1:1">
      <c r="A4710" s="71"/>
    </row>
    <row r="4711" spans="1:1">
      <c r="A4711" s="71"/>
    </row>
    <row r="4712" spans="1:1">
      <c r="A4712" s="71"/>
    </row>
    <row r="4713" spans="1:1">
      <c r="A4713" s="71"/>
    </row>
    <row r="4714" spans="1:1">
      <c r="A4714" s="71"/>
    </row>
    <row r="4715" spans="1:1">
      <c r="A4715" s="71"/>
    </row>
    <row r="4716" spans="1:1">
      <c r="A4716" s="71"/>
    </row>
    <row r="4717" spans="1:1">
      <c r="A4717" s="71"/>
    </row>
    <row r="4718" spans="1:1">
      <c r="A4718" s="71"/>
    </row>
    <row r="4719" spans="1:1">
      <c r="A4719" s="71"/>
    </row>
    <row r="4720" spans="1:1">
      <c r="A4720" s="71"/>
    </row>
    <row r="4721" spans="1:1">
      <c r="A4721" s="71"/>
    </row>
    <row r="4722" spans="1:1">
      <c r="A4722" s="71"/>
    </row>
    <row r="4723" spans="1:1">
      <c r="A4723" s="71"/>
    </row>
    <row r="4724" spans="1:1">
      <c r="A4724" s="71"/>
    </row>
    <row r="4725" spans="1:1">
      <c r="A4725" s="71"/>
    </row>
    <row r="4726" spans="1:1">
      <c r="A4726" s="71"/>
    </row>
    <row r="4727" spans="1:1">
      <c r="A4727" s="71"/>
    </row>
    <row r="4728" spans="1:1">
      <c r="A4728" s="71"/>
    </row>
    <row r="4729" spans="1:1">
      <c r="A4729" s="71"/>
    </row>
    <row r="4730" spans="1:1">
      <c r="A4730" s="71"/>
    </row>
    <row r="4731" spans="1:1">
      <c r="A4731" s="71"/>
    </row>
    <row r="4732" spans="1:1">
      <c r="A4732" s="71"/>
    </row>
    <row r="4733" spans="1:1">
      <c r="A4733" s="71"/>
    </row>
    <row r="4734" spans="1:1">
      <c r="A4734" s="71"/>
    </row>
    <row r="4735" spans="1:1">
      <c r="A4735" s="71"/>
    </row>
    <row r="4736" spans="1:1">
      <c r="A4736" s="71"/>
    </row>
    <row r="4737" spans="1:1">
      <c r="A4737" s="71"/>
    </row>
    <row r="4738" spans="1:1">
      <c r="A4738" s="71"/>
    </row>
    <row r="4739" spans="1:1">
      <c r="A4739" s="71"/>
    </row>
    <row r="4740" spans="1:1">
      <c r="A4740" s="71"/>
    </row>
    <row r="4741" spans="1:1">
      <c r="A4741" s="71"/>
    </row>
    <row r="4742" spans="1:1">
      <c r="A4742" s="71"/>
    </row>
    <row r="4743" spans="1:1">
      <c r="A4743" s="71"/>
    </row>
    <row r="4744" spans="1:1">
      <c r="A4744" s="71"/>
    </row>
    <row r="4745" spans="1:1">
      <c r="A4745" s="71"/>
    </row>
    <row r="4746" spans="1:1">
      <c r="A4746" s="71"/>
    </row>
  </sheetData>
  <autoFilter ref="A15:H15"/>
  <mergeCells count="3">
    <mergeCell ref="A1:H1"/>
    <mergeCell ref="A14:D14"/>
    <mergeCell ref="E14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610"/>
  <sheetViews>
    <sheetView tabSelected="1" zoomScale="85" zoomScaleNormal="85" workbookViewId="0">
      <pane xSplit="6" ySplit="8" topLeftCell="G1597" activePane="bottomRight" state="frozen"/>
      <selection activeCell="B1496" sqref="B1496"/>
      <selection pane="topRight" activeCell="B1496" sqref="B1496"/>
      <selection pane="bottomLeft" activeCell="B1496" sqref="B1496"/>
      <selection pane="bottomRight" activeCell="J1610" sqref="J1610"/>
    </sheetView>
  </sheetViews>
  <sheetFormatPr baseColWidth="10" defaultColWidth="9.140625" defaultRowHeight="15"/>
  <cols>
    <col min="1" max="3" width="15.85546875" style="1" customWidth="1"/>
    <col min="4" max="4" width="20.85546875" style="1" customWidth="1"/>
    <col min="5" max="5" width="50.85546875" style="1" customWidth="1"/>
    <col min="6" max="6" width="15.85546875" style="1" customWidth="1"/>
    <col min="7" max="7" width="20.85546875" style="1" customWidth="1"/>
    <col min="8" max="12" width="15.85546875" style="1" customWidth="1"/>
    <col min="13" max="13" width="15.85546875" style="1" hidden="1" customWidth="1"/>
    <col min="14" max="14" width="20.85546875" style="1" hidden="1" customWidth="1"/>
    <col min="15" max="15" width="15.85546875" style="1" hidden="1" customWidth="1"/>
    <col min="16" max="16" width="20.85546875" style="1" hidden="1" customWidth="1"/>
    <col min="17" max="19" width="15.85546875" style="1" customWidth="1"/>
    <col min="20" max="20" width="40.85546875" style="1" customWidth="1"/>
    <col min="21" max="16384" width="9.140625" style="1"/>
  </cols>
  <sheetData>
    <row r="1" spans="1:20">
      <c r="A1" s="105" t="s">
        <v>2362</v>
      </c>
      <c r="B1" s="100"/>
      <c r="C1" s="106">
        <v>46125.404607094904</v>
      </c>
      <c r="D1" s="100"/>
    </row>
    <row r="2" spans="1:20">
      <c r="A2" s="50" t="s">
        <v>8</v>
      </c>
    </row>
    <row r="3" spans="1:20" ht="75" customHeight="1">
      <c r="A3" s="107" t="s">
        <v>2363</v>
      </c>
      <c r="B3" s="100"/>
      <c r="C3" s="100"/>
      <c r="D3" s="100"/>
      <c r="E3" s="100"/>
    </row>
    <row r="4" spans="1:20">
      <c r="A4" s="105" t="s">
        <v>8</v>
      </c>
      <c r="B4" s="100"/>
      <c r="C4" s="100"/>
      <c r="D4" s="100"/>
      <c r="E4" s="100"/>
    </row>
    <row r="5" spans="1:20">
      <c r="A5" s="105" t="s">
        <v>8</v>
      </c>
      <c r="B5" s="100"/>
      <c r="C5" s="100"/>
      <c r="D5" s="100"/>
      <c r="E5" s="100"/>
    </row>
    <row r="7" spans="1:20" ht="30" customHeight="1">
      <c r="A7" s="104" t="s">
        <v>2364</v>
      </c>
      <c r="B7" s="100"/>
      <c r="C7" s="100"/>
      <c r="D7" s="100"/>
      <c r="E7" s="100"/>
      <c r="F7" s="100"/>
      <c r="G7" s="100"/>
      <c r="H7" s="100"/>
      <c r="I7" s="100"/>
      <c r="J7" s="108" t="s">
        <v>2365</v>
      </c>
      <c r="K7" s="100"/>
      <c r="L7" s="100"/>
      <c r="M7" s="100"/>
      <c r="N7" s="100"/>
      <c r="O7" s="100"/>
      <c r="P7" s="100"/>
      <c r="Q7" s="100"/>
      <c r="R7" s="104" t="s">
        <v>2366</v>
      </c>
      <c r="S7" s="100"/>
      <c r="T7" s="51" t="s">
        <v>2367</v>
      </c>
    </row>
    <row r="8" spans="1:20" ht="25.5">
      <c r="A8" s="52" t="s">
        <v>2378</v>
      </c>
      <c r="B8" s="52" t="s">
        <v>2368</v>
      </c>
      <c r="C8" s="52" t="s">
        <v>2369</v>
      </c>
      <c r="D8" s="52" t="s">
        <v>2370</v>
      </c>
      <c r="E8" s="52" t="s">
        <v>2371</v>
      </c>
      <c r="F8" s="52" t="s">
        <v>2372</v>
      </c>
      <c r="G8" s="52" t="s">
        <v>2373</v>
      </c>
      <c r="H8" s="52" t="s">
        <v>2374</v>
      </c>
      <c r="I8" s="52" t="s">
        <v>2375</v>
      </c>
      <c r="J8" s="52" t="s">
        <v>2376</v>
      </c>
      <c r="K8" s="52" t="s">
        <v>2377</v>
      </c>
      <c r="L8" s="52" t="s">
        <v>2379</v>
      </c>
      <c r="M8" s="52" t="s">
        <v>2380</v>
      </c>
      <c r="N8" s="52" t="s">
        <v>2381</v>
      </c>
      <c r="O8" s="52" t="s">
        <v>2382</v>
      </c>
      <c r="P8" s="52" t="s">
        <v>2383</v>
      </c>
      <c r="Q8" s="52" t="s">
        <v>2384</v>
      </c>
      <c r="R8" s="52" t="s">
        <v>2052</v>
      </c>
      <c r="S8" s="52" t="s">
        <v>2037</v>
      </c>
      <c r="T8" s="52" t="s">
        <v>2385</v>
      </c>
    </row>
    <row r="9" spans="1:20" s="67" customFormat="1">
      <c r="A9" s="80">
        <v>127694553001</v>
      </c>
      <c r="B9" s="81" t="s">
        <v>3070</v>
      </c>
      <c r="C9" s="82">
        <v>45931</v>
      </c>
      <c r="D9" s="80">
        <v>51014460439</v>
      </c>
      <c r="E9" s="80">
        <v>2084126327393</v>
      </c>
      <c r="F9" s="83" t="s">
        <v>2401</v>
      </c>
      <c r="G9" s="83" t="s">
        <v>2388</v>
      </c>
      <c r="H9" s="83" t="s">
        <v>8</v>
      </c>
      <c r="I9" s="80" t="s">
        <v>8</v>
      </c>
      <c r="J9" s="84">
        <v>353.7</v>
      </c>
      <c r="K9" s="83" t="s">
        <v>2389</v>
      </c>
      <c r="L9" s="83" t="s">
        <v>2402</v>
      </c>
      <c r="M9" s="80" t="s">
        <v>2391</v>
      </c>
      <c r="N9" s="83" t="s">
        <v>2392</v>
      </c>
      <c r="O9" s="81" t="s">
        <v>2055</v>
      </c>
      <c r="P9" s="83" t="s">
        <v>2403</v>
      </c>
      <c r="Q9" s="84">
        <v>9000</v>
      </c>
      <c r="R9" s="85" t="s">
        <v>8</v>
      </c>
      <c r="S9" s="84" t="s">
        <v>8</v>
      </c>
      <c r="T9" s="83" t="s">
        <v>2394</v>
      </c>
    </row>
    <row r="10" spans="1:20" s="67" customFormat="1">
      <c r="A10" s="80">
        <v>127706300651</v>
      </c>
      <c r="B10" s="81" t="s">
        <v>3070</v>
      </c>
      <c r="C10" s="82">
        <v>45931</v>
      </c>
      <c r="D10" s="80">
        <v>51018944973</v>
      </c>
      <c r="E10" s="80">
        <v>2084203218691</v>
      </c>
      <c r="F10" s="83" t="s">
        <v>2387</v>
      </c>
      <c r="G10" s="83" t="s">
        <v>2388</v>
      </c>
      <c r="H10" s="83" t="s">
        <v>8</v>
      </c>
      <c r="I10" s="80" t="s">
        <v>8</v>
      </c>
      <c r="J10" s="84">
        <v>77.599999999999994</v>
      </c>
      <c r="K10" s="83" t="s">
        <v>2389</v>
      </c>
      <c r="L10" s="83" t="s">
        <v>2390</v>
      </c>
      <c r="M10" s="80" t="s">
        <v>2391</v>
      </c>
      <c r="N10" s="83" t="s">
        <v>2392</v>
      </c>
      <c r="O10" s="81" t="s">
        <v>8</v>
      </c>
      <c r="P10" s="83" t="s">
        <v>3071</v>
      </c>
      <c r="Q10" s="84">
        <v>8000</v>
      </c>
      <c r="R10" s="85" t="s">
        <v>8</v>
      </c>
      <c r="S10" s="84" t="s">
        <v>8</v>
      </c>
      <c r="T10" s="83" t="s">
        <v>2394</v>
      </c>
    </row>
    <row r="11" spans="1:20" s="67" customFormat="1">
      <c r="A11" s="80">
        <v>127707346037</v>
      </c>
      <c r="B11" s="81" t="s">
        <v>3070</v>
      </c>
      <c r="C11" s="82">
        <v>45931</v>
      </c>
      <c r="D11" s="80">
        <v>51019339506</v>
      </c>
      <c r="E11" s="80">
        <v>2084211208519</v>
      </c>
      <c r="F11" s="83" t="s">
        <v>2387</v>
      </c>
      <c r="G11" s="83" t="s">
        <v>2388</v>
      </c>
      <c r="H11" s="83" t="s">
        <v>8</v>
      </c>
      <c r="I11" s="80" t="s">
        <v>8</v>
      </c>
      <c r="J11" s="84">
        <v>87.3</v>
      </c>
      <c r="K11" s="83" t="s">
        <v>2389</v>
      </c>
      <c r="L11" s="83" t="s">
        <v>2390</v>
      </c>
      <c r="M11" s="80" t="s">
        <v>2391</v>
      </c>
      <c r="N11" s="83" t="s">
        <v>2392</v>
      </c>
      <c r="O11" s="81" t="s">
        <v>8</v>
      </c>
      <c r="P11" s="83" t="s">
        <v>3072</v>
      </c>
      <c r="Q11" s="84">
        <v>9000</v>
      </c>
      <c r="R11" s="85" t="s">
        <v>8</v>
      </c>
      <c r="S11" s="84" t="s">
        <v>8</v>
      </c>
      <c r="T11" s="83" t="s">
        <v>2394</v>
      </c>
    </row>
    <row r="12" spans="1:20" s="67" customFormat="1">
      <c r="A12" s="80">
        <v>128274716662</v>
      </c>
      <c r="B12" s="81" t="s">
        <v>3070</v>
      </c>
      <c r="C12" s="82">
        <v>45931</v>
      </c>
      <c r="D12" s="80">
        <v>51020088068</v>
      </c>
      <c r="E12" s="80">
        <v>2084225283917</v>
      </c>
      <c r="F12" s="83" t="s">
        <v>2387</v>
      </c>
      <c r="G12" s="83" t="s">
        <v>2388</v>
      </c>
      <c r="H12" s="83" t="s">
        <v>8</v>
      </c>
      <c r="I12" s="80" t="s">
        <v>8</v>
      </c>
      <c r="J12" s="84">
        <v>108.64</v>
      </c>
      <c r="K12" s="83" t="s">
        <v>2389</v>
      </c>
      <c r="L12" s="83" t="s">
        <v>2390</v>
      </c>
      <c r="M12" s="80" t="s">
        <v>2391</v>
      </c>
      <c r="N12" s="83" t="s">
        <v>2392</v>
      </c>
      <c r="O12" s="81" t="s">
        <v>8</v>
      </c>
      <c r="P12" s="83" t="s">
        <v>2560</v>
      </c>
      <c r="Q12" s="84">
        <v>11200</v>
      </c>
      <c r="R12" s="85" t="s">
        <v>8</v>
      </c>
      <c r="S12" s="84" t="s">
        <v>8</v>
      </c>
      <c r="T12" s="83" t="s">
        <v>2394</v>
      </c>
    </row>
    <row r="13" spans="1:20" s="67" customFormat="1">
      <c r="A13" s="80">
        <v>128275855374</v>
      </c>
      <c r="B13" s="81" t="s">
        <v>3070</v>
      </c>
      <c r="C13" s="82">
        <v>45931</v>
      </c>
      <c r="D13" s="80">
        <v>51020539495</v>
      </c>
      <c r="E13" s="80">
        <v>2084233597469</v>
      </c>
      <c r="F13" s="83" t="s">
        <v>2387</v>
      </c>
      <c r="G13" s="83" t="s">
        <v>2388</v>
      </c>
      <c r="H13" s="83" t="s">
        <v>8</v>
      </c>
      <c r="I13" s="80" t="s">
        <v>8</v>
      </c>
      <c r="J13" s="84">
        <v>439.37</v>
      </c>
      <c r="K13" s="83" t="s">
        <v>2389</v>
      </c>
      <c r="L13" s="83" t="s">
        <v>2390</v>
      </c>
      <c r="M13" s="80" t="s">
        <v>2391</v>
      </c>
      <c r="N13" s="83" t="s">
        <v>2392</v>
      </c>
      <c r="O13" s="81" t="s">
        <v>8</v>
      </c>
      <c r="P13" s="83" t="s">
        <v>2659</v>
      </c>
      <c r="Q13" s="84">
        <v>45296</v>
      </c>
      <c r="R13" s="85" t="s">
        <v>8</v>
      </c>
      <c r="S13" s="84" t="s">
        <v>8</v>
      </c>
      <c r="T13" s="83" t="s">
        <v>2394</v>
      </c>
    </row>
    <row r="14" spans="1:20" s="67" customFormat="1">
      <c r="A14" s="80">
        <v>127713602167</v>
      </c>
      <c r="B14" s="81" t="s">
        <v>3070</v>
      </c>
      <c r="C14" s="82">
        <v>45931</v>
      </c>
      <c r="D14" s="80">
        <v>51021737062</v>
      </c>
      <c r="E14" s="80">
        <v>2084315133774</v>
      </c>
      <c r="F14" s="83" t="s">
        <v>2387</v>
      </c>
      <c r="G14" s="83" t="s">
        <v>2388</v>
      </c>
      <c r="H14" s="83" t="s">
        <v>8</v>
      </c>
      <c r="I14" s="80" t="s">
        <v>8</v>
      </c>
      <c r="J14" s="84">
        <v>4.8499999999999996</v>
      </c>
      <c r="K14" s="83" t="s">
        <v>2389</v>
      </c>
      <c r="L14" s="83" t="s">
        <v>2390</v>
      </c>
      <c r="M14" s="80" t="s">
        <v>2391</v>
      </c>
      <c r="N14" s="83" t="s">
        <v>2392</v>
      </c>
      <c r="O14" s="81" t="s">
        <v>8</v>
      </c>
      <c r="P14" s="83" t="s">
        <v>3073</v>
      </c>
      <c r="Q14" s="84">
        <v>500</v>
      </c>
      <c r="R14" s="85" t="s">
        <v>8</v>
      </c>
      <c r="S14" s="84" t="s">
        <v>8</v>
      </c>
      <c r="T14" s="83" t="s">
        <v>2394</v>
      </c>
    </row>
    <row r="15" spans="1:20" s="67" customFormat="1">
      <c r="A15" s="80">
        <v>127715107443</v>
      </c>
      <c r="B15" s="81" t="s">
        <v>3070</v>
      </c>
      <c r="C15" s="82">
        <v>45931</v>
      </c>
      <c r="D15" s="80">
        <v>51022393777</v>
      </c>
      <c r="E15" s="80">
        <v>2084266151099</v>
      </c>
      <c r="F15" s="83" t="s">
        <v>2387</v>
      </c>
      <c r="G15" s="83" t="s">
        <v>2388</v>
      </c>
      <c r="H15" s="83" t="s">
        <v>8</v>
      </c>
      <c r="I15" s="80" t="s">
        <v>8</v>
      </c>
      <c r="J15" s="84">
        <v>299.70999999999998</v>
      </c>
      <c r="K15" s="83" t="s">
        <v>2389</v>
      </c>
      <c r="L15" s="83" t="s">
        <v>2390</v>
      </c>
      <c r="M15" s="80" t="s">
        <v>2391</v>
      </c>
      <c r="N15" s="83" t="s">
        <v>2392</v>
      </c>
      <c r="O15" s="81" t="s">
        <v>8</v>
      </c>
      <c r="P15" s="83" t="s">
        <v>3074</v>
      </c>
      <c r="Q15" s="84">
        <v>30898</v>
      </c>
      <c r="R15" s="85" t="s">
        <v>8</v>
      </c>
      <c r="S15" s="84" t="s">
        <v>8</v>
      </c>
      <c r="T15" s="83" t="s">
        <v>2394</v>
      </c>
    </row>
    <row r="16" spans="1:20" s="67" customFormat="1">
      <c r="A16" s="80">
        <v>127715769581</v>
      </c>
      <c r="B16" s="81" t="s">
        <v>3070</v>
      </c>
      <c r="C16" s="82">
        <v>45931</v>
      </c>
      <c r="D16" s="80">
        <v>51022672306</v>
      </c>
      <c r="E16" s="80">
        <v>2084331355744</v>
      </c>
      <c r="F16" s="83" t="s">
        <v>2387</v>
      </c>
      <c r="G16" s="83" t="s">
        <v>2388</v>
      </c>
      <c r="H16" s="83" t="s">
        <v>8</v>
      </c>
      <c r="I16" s="80" t="s">
        <v>8</v>
      </c>
      <c r="J16" s="84">
        <v>651.92999999999995</v>
      </c>
      <c r="K16" s="83" t="s">
        <v>2389</v>
      </c>
      <c r="L16" s="83" t="s">
        <v>2390</v>
      </c>
      <c r="M16" s="80" t="s">
        <v>2391</v>
      </c>
      <c r="N16" s="83" t="s">
        <v>2392</v>
      </c>
      <c r="O16" s="81" t="s">
        <v>8</v>
      </c>
      <c r="P16" s="83" t="s">
        <v>3075</v>
      </c>
      <c r="Q16" s="84">
        <v>39996</v>
      </c>
      <c r="R16" s="85" t="s">
        <v>8</v>
      </c>
      <c r="S16" s="84" t="s">
        <v>8</v>
      </c>
      <c r="T16" s="83" t="s">
        <v>2394</v>
      </c>
    </row>
    <row r="17" spans="1:20" s="67" customFormat="1">
      <c r="A17" s="80">
        <v>128281546618</v>
      </c>
      <c r="B17" s="81" t="s">
        <v>3070</v>
      </c>
      <c r="C17" s="82">
        <v>45931</v>
      </c>
      <c r="D17" s="80">
        <v>51022869175</v>
      </c>
      <c r="E17" s="80">
        <v>2084334575916</v>
      </c>
      <c r="F17" s="83" t="s">
        <v>2387</v>
      </c>
      <c r="G17" s="83" t="s">
        <v>2388</v>
      </c>
      <c r="H17" s="83" t="s">
        <v>8</v>
      </c>
      <c r="I17" s="80" t="s">
        <v>8</v>
      </c>
      <c r="J17" s="84">
        <v>256.08</v>
      </c>
      <c r="K17" s="83" t="s">
        <v>2389</v>
      </c>
      <c r="L17" s="83" t="s">
        <v>2390</v>
      </c>
      <c r="M17" s="80" t="s">
        <v>2391</v>
      </c>
      <c r="N17" s="83" t="s">
        <v>2392</v>
      </c>
      <c r="O17" s="81" t="s">
        <v>8</v>
      </c>
      <c r="P17" s="83" t="s">
        <v>2784</v>
      </c>
      <c r="Q17" s="84">
        <v>26400</v>
      </c>
      <c r="R17" s="85" t="s">
        <v>8</v>
      </c>
      <c r="S17" s="84" t="s">
        <v>8</v>
      </c>
      <c r="T17" s="83" t="s">
        <v>2394</v>
      </c>
    </row>
    <row r="18" spans="1:20" s="67" customFormat="1">
      <c r="A18" s="80">
        <v>128281806306</v>
      </c>
      <c r="B18" s="81" t="s">
        <v>3070</v>
      </c>
      <c r="C18" s="82">
        <v>45931</v>
      </c>
      <c r="D18" s="80">
        <v>51022961871</v>
      </c>
      <c r="E18" s="80">
        <v>2084275970685</v>
      </c>
      <c r="F18" s="83" t="s">
        <v>2387</v>
      </c>
      <c r="G18" s="83" t="s">
        <v>2388</v>
      </c>
      <c r="H18" s="83" t="s">
        <v>8</v>
      </c>
      <c r="I18" s="80" t="s">
        <v>8</v>
      </c>
      <c r="J18" s="84">
        <v>126.1</v>
      </c>
      <c r="K18" s="83" t="s">
        <v>2389</v>
      </c>
      <c r="L18" s="83" t="s">
        <v>2390</v>
      </c>
      <c r="M18" s="80" t="s">
        <v>2391</v>
      </c>
      <c r="N18" s="83" t="s">
        <v>2392</v>
      </c>
      <c r="O18" s="81" t="s">
        <v>8</v>
      </c>
      <c r="P18" s="83" t="s">
        <v>3076</v>
      </c>
      <c r="Q18" s="84">
        <v>13000</v>
      </c>
      <c r="R18" s="85" t="s">
        <v>8</v>
      </c>
      <c r="S18" s="84" t="s">
        <v>8</v>
      </c>
      <c r="T18" s="83" t="s">
        <v>2394</v>
      </c>
    </row>
    <row r="19" spans="1:20" s="67" customFormat="1">
      <c r="A19" s="80">
        <v>128282615258</v>
      </c>
      <c r="B19" s="81" t="s">
        <v>3070</v>
      </c>
      <c r="C19" s="82">
        <v>45931</v>
      </c>
      <c r="D19" s="80">
        <v>51023319638</v>
      </c>
      <c r="E19" s="80">
        <v>2084342831756</v>
      </c>
      <c r="F19" s="83" t="s">
        <v>2401</v>
      </c>
      <c r="G19" s="83" t="s">
        <v>2388</v>
      </c>
      <c r="H19" s="83" t="s">
        <v>8</v>
      </c>
      <c r="I19" s="80" t="s">
        <v>8</v>
      </c>
      <c r="J19" s="84">
        <v>840.98</v>
      </c>
      <c r="K19" s="83" t="s">
        <v>2389</v>
      </c>
      <c r="L19" s="83" t="s">
        <v>2402</v>
      </c>
      <c r="M19" s="80" t="s">
        <v>2391</v>
      </c>
      <c r="N19" s="83" t="s">
        <v>2392</v>
      </c>
      <c r="O19" s="81" t="s">
        <v>2055</v>
      </c>
      <c r="P19" s="83" t="s">
        <v>2403</v>
      </c>
      <c r="Q19" s="84">
        <v>21399</v>
      </c>
      <c r="R19" s="85" t="s">
        <v>8</v>
      </c>
      <c r="S19" s="84" t="s">
        <v>8</v>
      </c>
      <c r="T19" s="83" t="s">
        <v>2394</v>
      </c>
    </row>
    <row r="20" spans="1:20" s="67" customFormat="1">
      <c r="A20" s="80">
        <v>127717828761</v>
      </c>
      <c r="B20" s="81" t="s">
        <v>3070</v>
      </c>
      <c r="C20" s="82">
        <v>45931</v>
      </c>
      <c r="D20" s="80">
        <v>51023567216</v>
      </c>
      <c r="E20" s="80">
        <v>2084346996672</v>
      </c>
      <c r="F20" s="83" t="s">
        <v>2401</v>
      </c>
      <c r="G20" s="83" t="s">
        <v>2388</v>
      </c>
      <c r="H20" s="83" t="s">
        <v>8</v>
      </c>
      <c r="I20" s="80" t="s">
        <v>8</v>
      </c>
      <c r="J20" s="84">
        <v>3708.98</v>
      </c>
      <c r="K20" s="83" t="s">
        <v>2389</v>
      </c>
      <c r="L20" s="83" t="s">
        <v>2402</v>
      </c>
      <c r="M20" s="80" t="s">
        <v>2391</v>
      </c>
      <c r="N20" s="83" t="s">
        <v>2392</v>
      </c>
      <c r="O20" s="81" t="s">
        <v>2055</v>
      </c>
      <c r="P20" s="83" t="s">
        <v>2403</v>
      </c>
      <c r="Q20" s="84">
        <v>32998</v>
      </c>
      <c r="R20" s="85" t="s">
        <v>8</v>
      </c>
      <c r="S20" s="84" t="s">
        <v>8</v>
      </c>
      <c r="T20" s="83" t="s">
        <v>2394</v>
      </c>
    </row>
    <row r="21" spans="1:20" s="67" customFormat="1">
      <c r="A21" s="80">
        <v>127719464653</v>
      </c>
      <c r="B21" s="81" t="s">
        <v>3070</v>
      </c>
      <c r="C21" s="82">
        <v>45931</v>
      </c>
      <c r="D21" s="80">
        <v>51024212327</v>
      </c>
      <c r="E21" s="80">
        <v>2084358274976</v>
      </c>
      <c r="F21" s="83" t="s">
        <v>2387</v>
      </c>
      <c r="G21" s="83" t="s">
        <v>2388</v>
      </c>
      <c r="H21" s="83" t="s">
        <v>8</v>
      </c>
      <c r="I21" s="80" t="s">
        <v>8</v>
      </c>
      <c r="J21" s="84">
        <v>221.68</v>
      </c>
      <c r="K21" s="83" t="s">
        <v>2389</v>
      </c>
      <c r="L21" s="83" t="s">
        <v>2390</v>
      </c>
      <c r="M21" s="80" t="s">
        <v>2391</v>
      </c>
      <c r="N21" s="83" t="s">
        <v>2392</v>
      </c>
      <c r="O21" s="81" t="s">
        <v>8</v>
      </c>
      <c r="P21" s="83" t="s">
        <v>3077</v>
      </c>
      <c r="Q21" s="84">
        <v>13600</v>
      </c>
      <c r="R21" s="85" t="s">
        <v>8</v>
      </c>
      <c r="S21" s="84" t="s">
        <v>8</v>
      </c>
      <c r="T21" s="83" t="s">
        <v>2394</v>
      </c>
    </row>
    <row r="22" spans="1:20" s="67" customFormat="1">
      <c r="A22" s="80">
        <v>127719431701</v>
      </c>
      <c r="B22" s="81" t="s">
        <v>3070</v>
      </c>
      <c r="C22" s="82">
        <v>45931</v>
      </c>
      <c r="D22" s="80">
        <v>51024243433</v>
      </c>
      <c r="E22" s="80">
        <v>2084297895527</v>
      </c>
      <c r="F22" s="83" t="s">
        <v>2387</v>
      </c>
      <c r="G22" s="83" t="s">
        <v>2388</v>
      </c>
      <c r="H22" s="83" t="s">
        <v>8</v>
      </c>
      <c r="I22" s="80" t="s">
        <v>8</v>
      </c>
      <c r="J22" s="84">
        <v>193.98</v>
      </c>
      <c r="K22" s="83" t="s">
        <v>2389</v>
      </c>
      <c r="L22" s="83" t="s">
        <v>2390</v>
      </c>
      <c r="M22" s="80" t="s">
        <v>2391</v>
      </c>
      <c r="N22" s="83" t="s">
        <v>2392</v>
      </c>
      <c r="O22" s="81" t="s">
        <v>8</v>
      </c>
      <c r="P22" s="83" t="s">
        <v>3078</v>
      </c>
      <c r="Q22" s="84">
        <v>19998</v>
      </c>
      <c r="R22" s="85" t="s">
        <v>8</v>
      </c>
      <c r="S22" s="84" t="s">
        <v>8</v>
      </c>
      <c r="T22" s="83" t="s">
        <v>2394</v>
      </c>
    </row>
    <row r="23" spans="1:20" s="67" customFormat="1">
      <c r="A23" s="80">
        <v>128285003346</v>
      </c>
      <c r="B23" s="81" t="s">
        <v>3070</v>
      </c>
      <c r="C23" s="82">
        <v>45931</v>
      </c>
      <c r="D23" s="80">
        <v>51024343281</v>
      </c>
      <c r="E23" s="80">
        <v>2084360435996</v>
      </c>
      <c r="F23" s="83" t="s">
        <v>2411</v>
      </c>
      <c r="G23" s="83" t="s">
        <v>2388</v>
      </c>
      <c r="H23" s="83" t="s">
        <v>8</v>
      </c>
      <c r="I23" s="80" t="s">
        <v>8</v>
      </c>
      <c r="J23" s="84">
        <v>246.38</v>
      </c>
      <c r="K23" s="83" t="s">
        <v>2389</v>
      </c>
      <c r="L23" s="83" t="s">
        <v>2390</v>
      </c>
      <c r="M23" s="80" t="s">
        <v>2391</v>
      </c>
      <c r="N23" s="83" t="s">
        <v>2392</v>
      </c>
      <c r="O23" s="81" t="s">
        <v>8</v>
      </c>
      <c r="P23" s="83" t="s">
        <v>2412</v>
      </c>
      <c r="Q23" s="84">
        <v>25400</v>
      </c>
      <c r="R23" s="85" t="s">
        <v>8</v>
      </c>
      <c r="S23" s="84" t="s">
        <v>8</v>
      </c>
      <c r="T23" s="83" t="s">
        <v>8</v>
      </c>
    </row>
    <row r="24" spans="1:20" s="67" customFormat="1">
      <c r="A24" s="80">
        <v>127719758089</v>
      </c>
      <c r="B24" s="81" t="s">
        <v>3070</v>
      </c>
      <c r="C24" s="82">
        <v>45931</v>
      </c>
      <c r="D24" s="80">
        <v>51024399946</v>
      </c>
      <c r="E24" s="80">
        <v>2084300414123</v>
      </c>
      <c r="F24" s="83" t="s">
        <v>2387</v>
      </c>
      <c r="G24" s="83" t="s">
        <v>2388</v>
      </c>
      <c r="H24" s="83" t="s">
        <v>8</v>
      </c>
      <c r="I24" s="80" t="s">
        <v>8</v>
      </c>
      <c r="J24" s="84">
        <v>731.35</v>
      </c>
      <c r="K24" s="83" t="s">
        <v>2389</v>
      </c>
      <c r="L24" s="83" t="s">
        <v>2390</v>
      </c>
      <c r="M24" s="80" t="s">
        <v>2391</v>
      </c>
      <c r="N24" s="83" t="s">
        <v>2392</v>
      </c>
      <c r="O24" s="81" t="s">
        <v>8</v>
      </c>
      <c r="P24" s="83" t="s">
        <v>2662</v>
      </c>
      <c r="Q24" s="84">
        <v>75397</v>
      </c>
      <c r="R24" s="85" t="s">
        <v>8</v>
      </c>
      <c r="S24" s="84" t="s">
        <v>8</v>
      </c>
      <c r="T24" s="83" t="s">
        <v>2394</v>
      </c>
    </row>
    <row r="25" spans="1:20" s="67" customFormat="1">
      <c r="A25" s="80">
        <v>128285683510</v>
      </c>
      <c r="B25" s="81" t="s">
        <v>3070</v>
      </c>
      <c r="C25" s="82">
        <v>45931</v>
      </c>
      <c r="D25" s="80">
        <v>51024686385</v>
      </c>
      <c r="E25" s="80">
        <v>2084304513879</v>
      </c>
      <c r="F25" s="83" t="s">
        <v>2387</v>
      </c>
      <c r="G25" s="83" t="s">
        <v>2388</v>
      </c>
      <c r="H25" s="83" t="s">
        <v>8</v>
      </c>
      <c r="I25" s="80" t="s">
        <v>8</v>
      </c>
      <c r="J25" s="84">
        <v>388</v>
      </c>
      <c r="K25" s="83" t="s">
        <v>2389</v>
      </c>
      <c r="L25" s="83" t="s">
        <v>2390</v>
      </c>
      <c r="M25" s="80" t="s">
        <v>2391</v>
      </c>
      <c r="N25" s="83" t="s">
        <v>2392</v>
      </c>
      <c r="O25" s="81" t="s">
        <v>8</v>
      </c>
      <c r="P25" s="83" t="s">
        <v>3079</v>
      </c>
      <c r="Q25" s="84">
        <v>40000</v>
      </c>
      <c r="R25" s="85" t="s">
        <v>8</v>
      </c>
      <c r="S25" s="84" t="s">
        <v>8</v>
      </c>
      <c r="T25" s="83" t="s">
        <v>2394</v>
      </c>
    </row>
    <row r="26" spans="1:20" s="67" customFormat="1">
      <c r="A26" s="80">
        <v>127720557799</v>
      </c>
      <c r="B26" s="81" t="s">
        <v>3070</v>
      </c>
      <c r="C26" s="82">
        <v>45931</v>
      </c>
      <c r="D26" s="80">
        <v>51024777311</v>
      </c>
      <c r="E26" s="80">
        <v>2084366779882</v>
      </c>
      <c r="F26" s="83" t="s">
        <v>2411</v>
      </c>
      <c r="G26" s="83" t="s">
        <v>2388</v>
      </c>
      <c r="H26" s="83" t="s">
        <v>8</v>
      </c>
      <c r="I26" s="80" t="s">
        <v>8</v>
      </c>
      <c r="J26" s="84">
        <v>290.97000000000003</v>
      </c>
      <c r="K26" s="83" t="s">
        <v>2389</v>
      </c>
      <c r="L26" s="83" t="s">
        <v>2390</v>
      </c>
      <c r="M26" s="80" t="s">
        <v>2391</v>
      </c>
      <c r="N26" s="83" t="s">
        <v>2392</v>
      </c>
      <c r="O26" s="81" t="s">
        <v>8</v>
      </c>
      <c r="P26" s="83" t="s">
        <v>2412</v>
      </c>
      <c r="Q26" s="84">
        <v>29997</v>
      </c>
      <c r="R26" s="85" t="s">
        <v>8</v>
      </c>
      <c r="S26" s="84" t="s">
        <v>8</v>
      </c>
      <c r="T26" s="83" t="s">
        <v>8</v>
      </c>
    </row>
    <row r="27" spans="1:20" s="67" customFormat="1">
      <c r="A27" s="80">
        <v>128286715036</v>
      </c>
      <c r="B27" s="81" t="s">
        <v>3070</v>
      </c>
      <c r="C27" s="82">
        <v>45931</v>
      </c>
      <c r="D27" s="80">
        <v>51025120194</v>
      </c>
      <c r="E27" s="80">
        <v>2084311552191</v>
      </c>
      <c r="F27" s="83" t="s">
        <v>2411</v>
      </c>
      <c r="G27" s="83" t="s">
        <v>2388</v>
      </c>
      <c r="H27" s="83" t="s">
        <v>8</v>
      </c>
      <c r="I27" s="80" t="s">
        <v>8</v>
      </c>
      <c r="J27" s="84">
        <v>169.75</v>
      </c>
      <c r="K27" s="83" t="s">
        <v>2389</v>
      </c>
      <c r="L27" s="83" t="s">
        <v>2390</v>
      </c>
      <c r="M27" s="80" t="s">
        <v>2391</v>
      </c>
      <c r="N27" s="83" t="s">
        <v>2392</v>
      </c>
      <c r="O27" s="81" t="s">
        <v>8</v>
      </c>
      <c r="P27" s="83" t="s">
        <v>2412</v>
      </c>
      <c r="Q27" s="84">
        <v>17500</v>
      </c>
      <c r="R27" s="85" t="s">
        <v>8</v>
      </c>
      <c r="S27" s="84" t="s">
        <v>8</v>
      </c>
      <c r="T27" s="83" t="s">
        <v>8</v>
      </c>
    </row>
    <row r="28" spans="1:20" s="67" customFormat="1">
      <c r="A28" s="80">
        <v>128287489024</v>
      </c>
      <c r="B28" s="81" t="s">
        <v>3070</v>
      </c>
      <c r="C28" s="82">
        <v>45932</v>
      </c>
      <c r="D28" s="80">
        <v>51025508118</v>
      </c>
      <c r="E28" s="80">
        <v>2084317078519</v>
      </c>
      <c r="F28" s="83" t="s">
        <v>2387</v>
      </c>
      <c r="G28" s="83" t="s">
        <v>2388</v>
      </c>
      <c r="H28" s="83" t="s">
        <v>8</v>
      </c>
      <c r="I28" s="80" t="s">
        <v>8</v>
      </c>
      <c r="J28" s="84">
        <v>96.03</v>
      </c>
      <c r="K28" s="83" t="s">
        <v>2389</v>
      </c>
      <c r="L28" s="83" t="s">
        <v>2390</v>
      </c>
      <c r="M28" s="80" t="s">
        <v>2391</v>
      </c>
      <c r="N28" s="83" t="s">
        <v>2392</v>
      </c>
      <c r="O28" s="81" t="s">
        <v>8</v>
      </c>
      <c r="P28" s="83" t="s">
        <v>2829</v>
      </c>
      <c r="Q28" s="84">
        <v>9900</v>
      </c>
      <c r="R28" s="85" t="s">
        <v>8</v>
      </c>
      <c r="S28" s="84" t="s">
        <v>8</v>
      </c>
      <c r="T28" s="83" t="s">
        <v>2394</v>
      </c>
    </row>
    <row r="29" spans="1:20" s="67" customFormat="1">
      <c r="A29" s="80">
        <v>128287673862</v>
      </c>
      <c r="B29" s="81" t="s">
        <v>3070</v>
      </c>
      <c r="C29" s="82">
        <v>45932</v>
      </c>
      <c r="D29" s="80">
        <v>51025630028</v>
      </c>
      <c r="E29" s="80">
        <v>2084379150672</v>
      </c>
      <c r="F29" s="83" t="s">
        <v>2387</v>
      </c>
      <c r="G29" s="83" t="s">
        <v>2388</v>
      </c>
      <c r="H29" s="83" t="s">
        <v>8</v>
      </c>
      <c r="I29" s="80" t="s">
        <v>8</v>
      </c>
      <c r="J29" s="84">
        <v>142.58000000000001</v>
      </c>
      <c r="K29" s="83" t="s">
        <v>2389</v>
      </c>
      <c r="L29" s="83" t="s">
        <v>2390</v>
      </c>
      <c r="M29" s="80" t="s">
        <v>2391</v>
      </c>
      <c r="N29" s="83" t="s">
        <v>2392</v>
      </c>
      <c r="O29" s="81" t="s">
        <v>8</v>
      </c>
      <c r="P29" s="83" t="s">
        <v>2444</v>
      </c>
      <c r="Q29" s="84">
        <v>14699</v>
      </c>
      <c r="R29" s="85" t="s">
        <v>8</v>
      </c>
      <c r="S29" s="84" t="s">
        <v>8</v>
      </c>
      <c r="T29" s="83" t="s">
        <v>2394</v>
      </c>
    </row>
    <row r="30" spans="1:20" s="67" customFormat="1">
      <c r="A30" s="80">
        <v>127722493817</v>
      </c>
      <c r="B30" s="81" t="s">
        <v>3070</v>
      </c>
      <c r="C30" s="82">
        <v>45932</v>
      </c>
      <c r="D30" s="80">
        <v>51025769014</v>
      </c>
      <c r="E30" s="80">
        <v>2084320044239</v>
      </c>
      <c r="F30" s="83" t="s">
        <v>2401</v>
      </c>
      <c r="G30" s="83" t="s">
        <v>2388</v>
      </c>
      <c r="H30" s="83" t="s">
        <v>8</v>
      </c>
      <c r="I30" s="80" t="s">
        <v>8</v>
      </c>
      <c r="J30" s="84">
        <v>1371.57</v>
      </c>
      <c r="K30" s="83" t="s">
        <v>2389</v>
      </c>
      <c r="L30" s="83" t="s">
        <v>2402</v>
      </c>
      <c r="M30" s="80" t="s">
        <v>2391</v>
      </c>
      <c r="N30" s="83" t="s">
        <v>2392</v>
      </c>
      <c r="O30" s="81" t="s">
        <v>2055</v>
      </c>
      <c r="P30" s="83" t="s">
        <v>2403</v>
      </c>
      <c r="Q30" s="84">
        <v>34900</v>
      </c>
      <c r="R30" s="85" t="s">
        <v>8</v>
      </c>
      <c r="S30" s="84" t="s">
        <v>8</v>
      </c>
      <c r="T30" s="83" t="s">
        <v>2394</v>
      </c>
    </row>
    <row r="31" spans="1:20" s="67" customFormat="1">
      <c r="A31" s="80">
        <v>128288249068</v>
      </c>
      <c r="B31" s="81" t="s">
        <v>3070</v>
      </c>
      <c r="C31" s="82">
        <v>45932</v>
      </c>
      <c r="D31" s="80">
        <v>51025888777</v>
      </c>
      <c r="E31" s="80">
        <v>2084322046705</v>
      </c>
      <c r="F31" s="83" t="s">
        <v>2475</v>
      </c>
      <c r="G31" s="83" t="s">
        <v>2388</v>
      </c>
      <c r="H31" s="83" t="s">
        <v>8</v>
      </c>
      <c r="I31" s="80" t="s">
        <v>8</v>
      </c>
      <c r="J31" s="84">
        <v>559.09</v>
      </c>
      <c r="K31" s="83" t="s">
        <v>2389</v>
      </c>
      <c r="L31" s="83" t="s">
        <v>2390</v>
      </c>
      <c r="M31" s="80" t="s">
        <v>2391</v>
      </c>
      <c r="N31" s="83" t="s">
        <v>2392</v>
      </c>
      <c r="O31" s="81" t="s">
        <v>8</v>
      </c>
      <c r="P31" s="83" t="s">
        <v>2536</v>
      </c>
      <c r="Q31" s="84">
        <v>34300</v>
      </c>
      <c r="R31" s="85" t="s">
        <v>8</v>
      </c>
      <c r="S31" s="84" t="s">
        <v>8</v>
      </c>
      <c r="T31" s="83" t="s">
        <v>2394</v>
      </c>
    </row>
    <row r="32" spans="1:20" s="67" customFormat="1">
      <c r="A32" s="80">
        <v>127724766231</v>
      </c>
      <c r="B32" s="81" t="s">
        <v>3070</v>
      </c>
      <c r="C32" s="82">
        <v>45932</v>
      </c>
      <c r="D32" s="80">
        <v>51026805316</v>
      </c>
      <c r="E32" s="80">
        <v>2084336458985</v>
      </c>
      <c r="F32" s="83" t="s">
        <v>2387</v>
      </c>
      <c r="G32" s="83" t="s">
        <v>2388</v>
      </c>
      <c r="H32" s="83" t="s">
        <v>8</v>
      </c>
      <c r="I32" s="80" t="s">
        <v>8</v>
      </c>
      <c r="J32" s="84">
        <v>73.349999999999994</v>
      </c>
      <c r="K32" s="83" t="s">
        <v>2389</v>
      </c>
      <c r="L32" s="83" t="s">
        <v>2390</v>
      </c>
      <c r="M32" s="80" t="s">
        <v>2391</v>
      </c>
      <c r="N32" s="83" t="s">
        <v>2392</v>
      </c>
      <c r="O32" s="81" t="s">
        <v>8</v>
      </c>
      <c r="P32" s="83" t="s">
        <v>2432</v>
      </c>
      <c r="Q32" s="84">
        <v>4500</v>
      </c>
      <c r="R32" s="85" t="s">
        <v>8</v>
      </c>
      <c r="S32" s="84" t="s">
        <v>8</v>
      </c>
      <c r="T32" s="83" t="s">
        <v>2394</v>
      </c>
    </row>
    <row r="33" spans="1:20" s="67" customFormat="1">
      <c r="A33" s="80">
        <v>127826757701</v>
      </c>
      <c r="B33" s="81" t="s">
        <v>3070</v>
      </c>
      <c r="C33" s="82">
        <v>45932</v>
      </c>
      <c r="D33" s="80">
        <v>51065013549</v>
      </c>
      <c r="E33" s="80">
        <v>2085097455188</v>
      </c>
      <c r="F33" s="83" t="s">
        <v>2387</v>
      </c>
      <c r="G33" s="83" t="s">
        <v>2388</v>
      </c>
      <c r="H33" s="83" t="s">
        <v>8</v>
      </c>
      <c r="I33" s="80" t="s">
        <v>8</v>
      </c>
      <c r="J33" s="84">
        <v>95.06</v>
      </c>
      <c r="K33" s="83" t="s">
        <v>2389</v>
      </c>
      <c r="L33" s="83" t="s">
        <v>2390</v>
      </c>
      <c r="M33" s="80" t="s">
        <v>2391</v>
      </c>
      <c r="N33" s="83" t="s">
        <v>2392</v>
      </c>
      <c r="O33" s="81" t="s">
        <v>8</v>
      </c>
      <c r="P33" s="83" t="s">
        <v>2471</v>
      </c>
      <c r="Q33" s="84">
        <v>9800</v>
      </c>
      <c r="R33" s="85" t="s">
        <v>8</v>
      </c>
      <c r="S33" s="84" t="s">
        <v>8</v>
      </c>
      <c r="T33" s="83" t="s">
        <v>2394</v>
      </c>
    </row>
    <row r="34" spans="1:20" s="67" customFormat="1">
      <c r="A34" s="80">
        <v>128398739964</v>
      </c>
      <c r="B34" s="81" t="s">
        <v>3070</v>
      </c>
      <c r="C34" s="82">
        <v>45932</v>
      </c>
      <c r="D34" s="80">
        <v>51067161325</v>
      </c>
      <c r="E34" s="80">
        <v>2085072197011</v>
      </c>
      <c r="F34" s="83" t="s">
        <v>2387</v>
      </c>
      <c r="G34" s="83" t="s">
        <v>2388</v>
      </c>
      <c r="H34" s="83" t="s">
        <v>8</v>
      </c>
      <c r="I34" s="80" t="s">
        <v>8</v>
      </c>
      <c r="J34" s="84">
        <v>93.12</v>
      </c>
      <c r="K34" s="83" t="s">
        <v>2389</v>
      </c>
      <c r="L34" s="83" t="s">
        <v>2390</v>
      </c>
      <c r="M34" s="80" t="s">
        <v>2391</v>
      </c>
      <c r="N34" s="83" t="s">
        <v>2392</v>
      </c>
      <c r="O34" s="81" t="s">
        <v>8</v>
      </c>
      <c r="P34" s="83" t="s">
        <v>2885</v>
      </c>
      <c r="Q34" s="84">
        <v>9600</v>
      </c>
      <c r="R34" s="85" t="s">
        <v>8</v>
      </c>
      <c r="S34" s="84" t="s">
        <v>8</v>
      </c>
      <c r="T34" s="83" t="s">
        <v>2394</v>
      </c>
    </row>
    <row r="35" spans="1:20" s="67" customFormat="1">
      <c r="A35" s="80">
        <v>127834309851</v>
      </c>
      <c r="B35" s="81" t="s">
        <v>3070</v>
      </c>
      <c r="C35" s="82">
        <v>45932</v>
      </c>
      <c r="D35" s="80">
        <v>51067798581</v>
      </c>
      <c r="E35" s="80">
        <v>2085144795666</v>
      </c>
      <c r="F35" s="83" t="s">
        <v>2387</v>
      </c>
      <c r="G35" s="83" t="s">
        <v>2388</v>
      </c>
      <c r="H35" s="83" t="s">
        <v>8</v>
      </c>
      <c r="I35" s="80" t="s">
        <v>8</v>
      </c>
      <c r="J35" s="84">
        <v>138.71</v>
      </c>
      <c r="K35" s="83" t="s">
        <v>2389</v>
      </c>
      <c r="L35" s="83" t="s">
        <v>2390</v>
      </c>
      <c r="M35" s="80" t="s">
        <v>2391</v>
      </c>
      <c r="N35" s="83" t="s">
        <v>2392</v>
      </c>
      <c r="O35" s="81" t="s">
        <v>8</v>
      </c>
      <c r="P35" s="83" t="s">
        <v>3080</v>
      </c>
      <c r="Q35" s="84">
        <v>14300</v>
      </c>
      <c r="R35" s="85" t="s">
        <v>8</v>
      </c>
      <c r="S35" s="84" t="s">
        <v>8</v>
      </c>
      <c r="T35" s="83" t="s">
        <v>2394</v>
      </c>
    </row>
    <row r="36" spans="1:20" s="67" customFormat="1">
      <c r="A36" s="80">
        <v>128402388274</v>
      </c>
      <c r="B36" s="81" t="s">
        <v>3070</v>
      </c>
      <c r="C36" s="82">
        <v>45932</v>
      </c>
      <c r="D36" s="80">
        <v>51068449111</v>
      </c>
      <c r="E36" s="80">
        <v>2085094938511</v>
      </c>
      <c r="F36" s="83" t="s">
        <v>2387</v>
      </c>
      <c r="G36" s="83" t="s">
        <v>2388</v>
      </c>
      <c r="H36" s="83" t="s">
        <v>8</v>
      </c>
      <c r="I36" s="80" t="s">
        <v>8</v>
      </c>
      <c r="J36" s="84">
        <v>129.01</v>
      </c>
      <c r="K36" s="83" t="s">
        <v>2389</v>
      </c>
      <c r="L36" s="83" t="s">
        <v>2390</v>
      </c>
      <c r="M36" s="80" t="s">
        <v>2391</v>
      </c>
      <c r="N36" s="83" t="s">
        <v>2392</v>
      </c>
      <c r="O36" s="81" t="s">
        <v>8</v>
      </c>
      <c r="P36" s="83" t="s">
        <v>3081</v>
      </c>
      <c r="Q36" s="84">
        <v>13300</v>
      </c>
      <c r="R36" s="85" t="s">
        <v>8</v>
      </c>
      <c r="S36" s="84" t="s">
        <v>8</v>
      </c>
      <c r="T36" s="83" t="s">
        <v>2394</v>
      </c>
    </row>
    <row r="37" spans="1:20" s="67" customFormat="1">
      <c r="A37" s="80">
        <v>127836305261</v>
      </c>
      <c r="B37" s="81" t="s">
        <v>3070</v>
      </c>
      <c r="C37" s="82">
        <v>45932</v>
      </c>
      <c r="D37" s="80">
        <v>51068461860</v>
      </c>
      <c r="E37" s="80">
        <v>2085095314531</v>
      </c>
      <c r="F37" s="83" t="s">
        <v>2401</v>
      </c>
      <c r="G37" s="83" t="s">
        <v>2388</v>
      </c>
      <c r="H37" s="83" t="s">
        <v>8</v>
      </c>
      <c r="I37" s="80" t="s">
        <v>8</v>
      </c>
      <c r="J37" s="84">
        <v>1480.04</v>
      </c>
      <c r="K37" s="83" t="s">
        <v>2389</v>
      </c>
      <c r="L37" s="83" t="s">
        <v>2402</v>
      </c>
      <c r="M37" s="80" t="s">
        <v>2391</v>
      </c>
      <c r="N37" s="83" t="s">
        <v>2392</v>
      </c>
      <c r="O37" s="81" t="s">
        <v>2055</v>
      </c>
      <c r="P37" s="83" t="s">
        <v>2403</v>
      </c>
      <c r="Q37" s="84">
        <v>32600</v>
      </c>
      <c r="R37" s="85" t="s">
        <v>8</v>
      </c>
      <c r="S37" s="84" t="s">
        <v>8</v>
      </c>
      <c r="T37" s="83" t="s">
        <v>2394</v>
      </c>
    </row>
    <row r="38" spans="1:20" s="67" customFormat="1">
      <c r="A38" s="80">
        <v>128408491342</v>
      </c>
      <c r="B38" s="81" t="s">
        <v>3070</v>
      </c>
      <c r="C38" s="82">
        <v>45932</v>
      </c>
      <c r="D38" s="80">
        <v>51070698024</v>
      </c>
      <c r="E38" s="80">
        <v>2085199834342</v>
      </c>
      <c r="F38" s="83" t="s">
        <v>2387</v>
      </c>
      <c r="G38" s="83" t="s">
        <v>2388</v>
      </c>
      <c r="H38" s="83" t="s">
        <v>8</v>
      </c>
      <c r="I38" s="80" t="s">
        <v>8</v>
      </c>
      <c r="J38" s="84">
        <v>46.56</v>
      </c>
      <c r="K38" s="83" t="s">
        <v>2389</v>
      </c>
      <c r="L38" s="83" t="s">
        <v>2390</v>
      </c>
      <c r="M38" s="80" t="s">
        <v>2391</v>
      </c>
      <c r="N38" s="83" t="s">
        <v>2392</v>
      </c>
      <c r="O38" s="81" t="s">
        <v>8</v>
      </c>
      <c r="P38" s="83" t="s">
        <v>3082</v>
      </c>
      <c r="Q38" s="84">
        <v>4800</v>
      </c>
      <c r="R38" s="85" t="s">
        <v>8</v>
      </c>
      <c r="S38" s="84" t="s">
        <v>8</v>
      </c>
      <c r="T38" s="83" t="s">
        <v>2394</v>
      </c>
    </row>
    <row r="39" spans="1:20" s="67" customFormat="1">
      <c r="A39" s="80">
        <v>128408853332</v>
      </c>
      <c r="B39" s="81" t="s">
        <v>3070</v>
      </c>
      <c r="C39" s="82">
        <v>45932</v>
      </c>
      <c r="D39" s="80">
        <v>51070854546</v>
      </c>
      <c r="E39" s="80">
        <v>2085140680053</v>
      </c>
      <c r="F39" s="83" t="s">
        <v>2401</v>
      </c>
      <c r="G39" s="83" t="s">
        <v>2388</v>
      </c>
      <c r="H39" s="83" t="s">
        <v>8</v>
      </c>
      <c r="I39" s="80" t="s">
        <v>8</v>
      </c>
      <c r="J39" s="84">
        <v>188.64</v>
      </c>
      <c r="K39" s="83" t="s">
        <v>2389</v>
      </c>
      <c r="L39" s="83" t="s">
        <v>2402</v>
      </c>
      <c r="M39" s="80" t="s">
        <v>2391</v>
      </c>
      <c r="N39" s="83" t="s">
        <v>2392</v>
      </c>
      <c r="O39" s="81" t="s">
        <v>2055</v>
      </c>
      <c r="P39" s="83" t="s">
        <v>2403</v>
      </c>
      <c r="Q39" s="84">
        <v>4800</v>
      </c>
      <c r="R39" s="85" t="s">
        <v>8</v>
      </c>
      <c r="S39" s="84" t="s">
        <v>8</v>
      </c>
      <c r="T39" s="83" t="s">
        <v>2394</v>
      </c>
    </row>
    <row r="40" spans="1:20" s="67" customFormat="1">
      <c r="A40" s="80">
        <v>127843829541</v>
      </c>
      <c r="B40" s="81" t="s">
        <v>3070</v>
      </c>
      <c r="C40" s="82">
        <v>45932</v>
      </c>
      <c r="D40" s="80">
        <v>51071274580</v>
      </c>
      <c r="E40" s="80">
        <v>2085210592958</v>
      </c>
      <c r="F40" s="83" t="s">
        <v>2387</v>
      </c>
      <c r="G40" s="83" t="s">
        <v>2388</v>
      </c>
      <c r="H40" s="83" t="s">
        <v>8</v>
      </c>
      <c r="I40" s="80" t="s">
        <v>8</v>
      </c>
      <c r="J40" s="84">
        <v>375.39</v>
      </c>
      <c r="K40" s="83" t="s">
        <v>2389</v>
      </c>
      <c r="L40" s="83" t="s">
        <v>2390</v>
      </c>
      <c r="M40" s="80" t="s">
        <v>2391</v>
      </c>
      <c r="N40" s="83" t="s">
        <v>2392</v>
      </c>
      <c r="O40" s="81" t="s">
        <v>8</v>
      </c>
      <c r="P40" s="83" t="s">
        <v>3083</v>
      </c>
      <c r="Q40" s="84">
        <v>38700</v>
      </c>
      <c r="R40" s="85" t="s">
        <v>8</v>
      </c>
      <c r="S40" s="84" t="s">
        <v>8</v>
      </c>
      <c r="T40" s="83" t="s">
        <v>2394</v>
      </c>
    </row>
    <row r="41" spans="1:20" s="67" customFormat="1">
      <c r="A41" s="80">
        <v>127845010923</v>
      </c>
      <c r="B41" s="81" t="s">
        <v>3070</v>
      </c>
      <c r="C41" s="82">
        <v>45932</v>
      </c>
      <c r="D41" s="80">
        <v>51071698369</v>
      </c>
      <c r="E41" s="80">
        <v>2085218923540</v>
      </c>
      <c r="F41" s="83" t="s">
        <v>2387</v>
      </c>
      <c r="G41" s="83" t="s">
        <v>2388</v>
      </c>
      <c r="H41" s="83" t="s">
        <v>8</v>
      </c>
      <c r="I41" s="80" t="s">
        <v>8</v>
      </c>
      <c r="J41" s="84">
        <v>87.3</v>
      </c>
      <c r="K41" s="83" t="s">
        <v>2389</v>
      </c>
      <c r="L41" s="83" t="s">
        <v>2390</v>
      </c>
      <c r="M41" s="80" t="s">
        <v>2391</v>
      </c>
      <c r="N41" s="83" t="s">
        <v>2392</v>
      </c>
      <c r="O41" s="81" t="s">
        <v>8</v>
      </c>
      <c r="P41" s="83" t="s">
        <v>3084</v>
      </c>
      <c r="Q41" s="84">
        <v>9000</v>
      </c>
      <c r="R41" s="85" t="s">
        <v>8</v>
      </c>
      <c r="S41" s="84" t="s">
        <v>8</v>
      </c>
      <c r="T41" s="83" t="s">
        <v>2394</v>
      </c>
    </row>
    <row r="42" spans="1:20" s="67" customFormat="1">
      <c r="A42" s="80">
        <v>127845412065</v>
      </c>
      <c r="B42" s="81" t="s">
        <v>3070</v>
      </c>
      <c r="C42" s="82">
        <v>45932</v>
      </c>
      <c r="D42" s="80">
        <v>51071840848</v>
      </c>
      <c r="E42" s="80">
        <v>2085160334591</v>
      </c>
      <c r="F42" s="83" t="s">
        <v>2387</v>
      </c>
      <c r="G42" s="83" t="s">
        <v>2388</v>
      </c>
      <c r="H42" s="83" t="s">
        <v>8</v>
      </c>
      <c r="I42" s="80" t="s">
        <v>8</v>
      </c>
      <c r="J42" s="84">
        <v>46.56</v>
      </c>
      <c r="K42" s="83" t="s">
        <v>2389</v>
      </c>
      <c r="L42" s="83" t="s">
        <v>2390</v>
      </c>
      <c r="M42" s="80" t="s">
        <v>2391</v>
      </c>
      <c r="N42" s="83" t="s">
        <v>2392</v>
      </c>
      <c r="O42" s="81" t="s">
        <v>8</v>
      </c>
      <c r="P42" s="83" t="s">
        <v>3085</v>
      </c>
      <c r="Q42" s="84">
        <v>4800</v>
      </c>
      <c r="R42" s="85" t="s">
        <v>8</v>
      </c>
      <c r="S42" s="84" t="s">
        <v>8</v>
      </c>
      <c r="T42" s="83" t="s">
        <v>2394</v>
      </c>
    </row>
    <row r="43" spans="1:20" s="67" customFormat="1">
      <c r="A43" s="80">
        <v>127845621093</v>
      </c>
      <c r="B43" s="81" t="s">
        <v>3070</v>
      </c>
      <c r="C43" s="82">
        <v>45932</v>
      </c>
      <c r="D43" s="80">
        <v>51071924758</v>
      </c>
      <c r="E43" s="80">
        <v>2085223062718</v>
      </c>
      <c r="F43" s="83" t="s">
        <v>2387</v>
      </c>
      <c r="G43" s="83" t="s">
        <v>2388</v>
      </c>
      <c r="H43" s="83" t="s">
        <v>8</v>
      </c>
      <c r="I43" s="80" t="s">
        <v>8</v>
      </c>
      <c r="J43" s="84">
        <v>42.68</v>
      </c>
      <c r="K43" s="83" t="s">
        <v>2389</v>
      </c>
      <c r="L43" s="83" t="s">
        <v>2390</v>
      </c>
      <c r="M43" s="80" t="s">
        <v>2391</v>
      </c>
      <c r="N43" s="83" t="s">
        <v>2392</v>
      </c>
      <c r="O43" s="81" t="s">
        <v>8</v>
      </c>
      <c r="P43" s="83" t="s">
        <v>2972</v>
      </c>
      <c r="Q43" s="84">
        <v>4400</v>
      </c>
      <c r="R43" s="85" t="s">
        <v>8</v>
      </c>
      <c r="S43" s="84" t="s">
        <v>8</v>
      </c>
      <c r="T43" s="83" t="s">
        <v>2394</v>
      </c>
    </row>
    <row r="44" spans="1:20" s="67" customFormat="1">
      <c r="A44" s="80">
        <v>127846108405</v>
      </c>
      <c r="B44" s="81" t="s">
        <v>3070</v>
      </c>
      <c r="C44" s="82">
        <v>45932</v>
      </c>
      <c r="D44" s="80">
        <v>51072099422</v>
      </c>
      <c r="E44" s="80">
        <v>2085165091419</v>
      </c>
      <c r="F44" s="83" t="s">
        <v>2401</v>
      </c>
      <c r="G44" s="83" t="s">
        <v>2388</v>
      </c>
      <c r="H44" s="83" t="s">
        <v>8</v>
      </c>
      <c r="I44" s="80" t="s">
        <v>8</v>
      </c>
      <c r="J44" s="84">
        <v>165.06</v>
      </c>
      <c r="K44" s="83" t="s">
        <v>2389</v>
      </c>
      <c r="L44" s="83" t="s">
        <v>2402</v>
      </c>
      <c r="M44" s="80" t="s">
        <v>2391</v>
      </c>
      <c r="N44" s="83" t="s">
        <v>2392</v>
      </c>
      <c r="O44" s="81" t="s">
        <v>2055</v>
      </c>
      <c r="P44" s="83" t="s">
        <v>2403</v>
      </c>
      <c r="Q44" s="84">
        <v>4200</v>
      </c>
      <c r="R44" s="85" t="s">
        <v>8</v>
      </c>
      <c r="S44" s="84" t="s">
        <v>8</v>
      </c>
      <c r="T44" s="83" t="s">
        <v>2394</v>
      </c>
    </row>
    <row r="45" spans="1:20" s="67" customFormat="1">
      <c r="A45" s="80">
        <v>127846250789</v>
      </c>
      <c r="B45" s="81" t="s">
        <v>3070</v>
      </c>
      <c r="C45" s="82">
        <v>45932</v>
      </c>
      <c r="D45" s="80">
        <v>51072196991</v>
      </c>
      <c r="E45" s="80">
        <v>2085166593759</v>
      </c>
      <c r="F45" s="83" t="s">
        <v>2401</v>
      </c>
      <c r="G45" s="83" t="s">
        <v>2388</v>
      </c>
      <c r="H45" s="83" t="s">
        <v>8</v>
      </c>
      <c r="I45" s="80" t="s">
        <v>8</v>
      </c>
      <c r="J45" s="84">
        <v>165.06</v>
      </c>
      <c r="K45" s="83" t="s">
        <v>2389</v>
      </c>
      <c r="L45" s="83" t="s">
        <v>2402</v>
      </c>
      <c r="M45" s="80" t="s">
        <v>2391</v>
      </c>
      <c r="N45" s="83" t="s">
        <v>2392</v>
      </c>
      <c r="O45" s="81" t="s">
        <v>2055</v>
      </c>
      <c r="P45" s="83" t="s">
        <v>2403</v>
      </c>
      <c r="Q45" s="84">
        <v>4200</v>
      </c>
      <c r="R45" s="85" t="s">
        <v>8</v>
      </c>
      <c r="S45" s="84" t="s">
        <v>8</v>
      </c>
      <c r="T45" s="83" t="s">
        <v>2394</v>
      </c>
    </row>
    <row r="46" spans="1:20" s="67" customFormat="1">
      <c r="A46" s="80">
        <v>128412427806</v>
      </c>
      <c r="B46" s="81" t="s">
        <v>3070</v>
      </c>
      <c r="C46" s="82">
        <v>45932</v>
      </c>
      <c r="D46" s="80">
        <v>51072236357</v>
      </c>
      <c r="E46" s="80">
        <v>2085167340209</v>
      </c>
      <c r="F46" s="83" t="s">
        <v>2401</v>
      </c>
      <c r="G46" s="83" t="s">
        <v>2388</v>
      </c>
      <c r="H46" s="83" t="s">
        <v>8</v>
      </c>
      <c r="I46" s="80" t="s">
        <v>8</v>
      </c>
      <c r="J46" s="84">
        <v>1225.8</v>
      </c>
      <c r="K46" s="83" t="s">
        <v>2389</v>
      </c>
      <c r="L46" s="83" t="s">
        <v>2402</v>
      </c>
      <c r="M46" s="80" t="s">
        <v>2391</v>
      </c>
      <c r="N46" s="83" t="s">
        <v>2392</v>
      </c>
      <c r="O46" s="81" t="s">
        <v>2055</v>
      </c>
      <c r="P46" s="83" t="s">
        <v>2403</v>
      </c>
      <c r="Q46" s="84">
        <v>27000</v>
      </c>
      <c r="R46" s="85" t="s">
        <v>8</v>
      </c>
      <c r="S46" s="84" t="s">
        <v>8</v>
      </c>
      <c r="T46" s="83" t="s">
        <v>2394</v>
      </c>
    </row>
    <row r="47" spans="1:20" s="67" customFormat="1">
      <c r="A47" s="80">
        <v>127847014705</v>
      </c>
      <c r="B47" s="81" t="s">
        <v>3070</v>
      </c>
      <c r="C47" s="82">
        <v>45932</v>
      </c>
      <c r="D47" s="80">
        <v>51072515266</v>
      </c>
      <c r="E47" s="80">
        <v>2085234008940</v>
      </c>
      <c r="F47" s="83" t="s">
        <v>2387</v>
      </c>
      <c r="G47" s="83" t="s">
        <v>2388</v>
      </c>
      <c r="H47" s="83" t="s">
        <v>8</v>
      </c>
      <c r="I47" s="80" t="s">
        <v>8</v>
      </c>
      <c r="J47" s="84">
        <v>142.59</v>
      </c>
      <c r="K47" s="83" t="s">
        <v>2389</v>
      </c>
      <c r="L47" s="83" t="s">
        <v>2390</v>
      </c>
      <c r="M47" s="80" t="s">
        <v>2391</v>
      </c>
      <c r="N47" s="83" t="s">
        <v>2392</v>
      </c>
      <c r="O47" s="81" t="s">
        <v>8</v>
      </c>
      <c r="P47" s="83" t="s">
        <v>2872</v>
      </c>
      <c r="Q47" s="84">
        <v>14700</v>
      </c>
      <c r="R47" s="85" t="s">
        <v>8</v>
      </c>
      <c r="S47" s="84" t="s">
        <v>8</v>
      </c>
      <c r="T47" s="83" t="s">
        <v>2394</v>
      </c>
    </row>
    <row r="48" spans="1:20" s="67" customFormat="1">
      <c r="A48" s="80">
        <v>128413285526</v>
      </c>
      <c r="B48" s="81" t="s">
        <v>3070</v>
      </c>
      <c r="C48" s="82">
        <v>45932</v>
      </c>
      <c r="D48" s="80">
        <v>51072555831</v>
      </c>
      <c r="E48" s="80">
        <v>2085172947327</v>
      </c>
      <c r="F48" s="83" t="s">
        <v>2401</v>
      </c>
      <c r="G48" s="83" t="s">
        <v>2388</v>
      </c>
      <c r="H48" s="83" t="s">
        <v>8</v>
      </c>
      <c r="I48" s="80" t="s">
        <v>8</v>
      </c>
      <c r="J48" s="84">
        <v>188.64</v>
      </c>
      <c r="K48" s="83" t="s">
        <v>2389</v>
      </c>
      <c r="L48" s="83" t="s">
        <v>2402</v>
      </c>
      <c r="M48" s="80" t="s">
        <v>2391</v>
      </c>
      <c r="N48" s="83" t="s">
        <v>2392</v>
      </c>
      <c r="O48" s="81" t="s">
        <v>2055</v>
      </c>
      <c r="P48" s="83" t="s">
        <v>2403</v>
      </c>
      <c r="Q48" s="84">
        <v>4800</v>
      </c>
      <c r="R48" s="85" t="s">
        <v>8</v>
      </c>
      <c r="S48" s="84" t="s">
        <v>8</v>
      </c>
      <c r="T48" s="83" t="s">
        <v>2394</v>
      </c>
    </row>
    <row r="49" spans="1:20" s="67" customFormat="1">
      <c r="A49" s="80">
        <v>127847143045</v>
      </c>
      <c r="B49" s="81" t="s">
        <v>3070</v>
      </c>
      <c r="C49" s="82">
        <v>45932</v>
      </c>
      <c r="D49" s="80">
        <v>51072586350</v>
      </c>
      <c r="E49" s="80">
        <v>2085173844383</v>
      </c>
      <c r="F49" s="83" t="s">
        <v>2387</v>
      </c>
      <c r="G49" s="83" t="s">
        <v>2388</v>
      </c>
      <c r="H49" s="83" t="s">
        <v>8</v>
      </c>
      <c r="I49" s="80" t="s">
        <v>8</v>
      </c>
      <c r="J49" s="84">
        <v>46.56</v>
      </c>
      <c r="K49" s="83" t="s">
        <v>2389</v>
      </c>
      <c r="L49" s="83" t="s">
        <v>2390</v>
      </c>
      <c r="M49" s="80" t="s">
        <v>2391</v>
      </c>
      <c r="N49" s="83" t="s">
        <v>2392</v>
      </c>
      <c r="O49" s="81" t="s">
        <v>8</v>
      </c>
      <c r="P49" s="83" t="s">
        <v>2929</v>
      </c>
      <c r="Q49" s="84">
        <v>4800</v>
      </c>
      <c r="R49" s="85" t="s">
        <v>8</v>
      </c>
      <c r="S49" s="84" t="s">
        <v>8</v>
      </c>
      <c r="T49" s="83" t="s">
        <v>2394</v>
      </c>
    </row>
    <row r="50" spans="1:20" s="67" customFormat="1">
      <c r="A50" s="80">
        <v>128413748622</v>
      </c>
      <c r="B50" s="81" t="s">
        <v>3070</v>
      </c>
      <c r="C50" s="82">
        <v>45932</v>
      </c>
      <c r="D50" s="80">
        <v>51072713993</v>
      </c>
      <c r="E50" s="80">
        <v>2085238000716</v>
      </c>
      <c r="F50" s="83" t="s">
        <v>2387</v>
      </c>
      <c r="G50" s="83" t="s">
        <v>2388</v>
      </c>
      <c r="H50" s="83" t="s">
        <v>8</v>
      </c>
      <c r="I50" s="80" t="s">
        <v>8</v>
      </c>
      <c r="J50" s="84">
        <v>97</v>
      </c>
      <c r="K50" s="83" t="s">
        <v>2389</v>
      </c>
      <c r="L50" s="83" t="s">
        <v>2390</v>
      </c>
      <c r="M50" s="80" t="s">
        <v>2391</v>
      </c>
      <c r="N50" s="83" t="s">
        <v>2392</v>
      </c>
      <c r="O50" s="81" t="s">
        <v>8</v>
      </c>
      <c r="P50" s="83" t="s">
        <v>3086</v>
      </c>
      <c r="Q50" s="84">
        <v>10000</v>
      </c>
      <c r="R50" s="85" t="s">
        <v>8</v>
      </c>
      <c r="S50" s="84" t="s">
        <v>8</v>
      </c>
      <c r="T50" s="83" t="s">
        <v>2394</v>
      </c>
    </row>
    <row r="51" spans="1:20" s="67" customFormat="1">
      <c r="A51" s="80">
        <v>127847979869</v>
      </c>
      <c r="B51" s="81" t="s">
        <v>3070</v>
      </c>
      <c r="C51" s="82">
        <v>45932</v>
      </c>
      <c r="D51" s="80">
        <v>51072893244</v>
      </c>
      <c r="E51" s="80">
        <v>2085241422152</v>
      </c>
      <c r="F51" s="83" t="s">
        <v>2475</v>
      </c>
      <c r="G51" s="83" t="s">
        <v>2388</v>
      </c>
      <c r="H51" s="83" t="s">
        <v>8</v>
      </c>
      <c r="I51" s="80" t="s">
        <v>8</v>
      </c>
      <c r="J51" s="84">
        <v>2450.42</v>
      </c>
      <c r="K51" s="83" t="s">
        <v>2389</v>
      </c>
      <c r="L51" s="83" t="s">
        <v>2390</v>
      </c>
      <c r="M51" s="80" t="s">
        <v>2391</v>
      </c>
      <c r="N51" s="83" t="s">
        <v>2392</v>
      </c>
      <c r="O51" s="81" t="s">
        <v>8</v>
      </c>
      <c r="P51" s="83" t="s">
        <v>2477</v>
      </c>
      <c r="Q51" s="84">
        <v>32200</v>
      </c>
      <c r="R51" s="85" t="s">
        <v>8</v>
      </c>
      <c r="S51" s="84" t="s">
        <v>8</v>
      </c>
      <c r="T51" s="83" t="s">
        <v>2394</v>
      </c>
    </row>
    <row r="52" spans="1:20" s="67" customFormat="1">
      <c r="A52" s="80">
        <v>127848195943</v>
      </c>
      <c r="B52" s="81" t="s">
        <v>3070</v>
      </c>
      <c r="C52" s="82">
        <v>45932</v>
      </c>
      <c r="D52" s="80">
        <v>51072976223</v>
      </c>
      <c r="E52" s="80">
        <v>2085181177151</v>
      </c>
      <c r="F52" s="83" t="s">
        <v>2387</v>
      </c>
      <c r="G52" s="83" t="s">
        <v>2388</v>
      </c>
      <c r="H52" s="83" t="s">
        <v>8</v>
      </c>
      <c r="I52" s="80" t="s">
        <v>8</v>
      </c>
      <c r="J52" s="84">
        <v>337.56</v>
      </c>
      <c r="K52" s="83" t="s">
        <v>2389</v>
      </c>
      <c r="L52" s="83" t="s">
        <v>2390</v>
      </c>
      <c r="M52" s="80" t="s">
        <v>2391</v>
      </c>
      <c r="N52" s="83" t="s">
        <v>2392</v>
      </c>
      <c r="O52" s="81" t="s">
        <v>8</v>
      </c>
      <c r="P52" s="83" t="s">
        <v>2444</v>
      </c>
      <c r="Q52" s="84">
        <v>34800</v>
      </c>
      <c r="R52" s="85" t="s">
        <v>8</v>
      </c>
      <c r="S52" s="84" t="s">
        <v>8</v>
      </c>
      <c r="T52" s="83" t="s">
        <v>2394</v>
      </c>
    </row>
    <row r="53" spans="1:20" s="67" customFormat="1">
      <c r="A53" s="80">
        <v>128414602122</v>
      </c>
      <c r="B53" s="81" t="s">
        <v>3070</v>
      </c>
      <c r="C53" s="82">
        <v>45932</v>
      </c>
      <c r="D53" s="80">
        <v>51073043510</v>
      </c>
      <c r="E53" s="80">
        <v>2085244589088</v>
      </c>
      <c r="F53" s="83" t="s">
        <v>2401</v>
      </c>
      <c r="G53" s="83" t="s">
        <v>2388</v>
      </c>
      <c r="H53" s="83" t="s">
        <v>8</v>
      </c>
      <c r="I53" s="80" t="s">
        <v>8</v>
      </c>
      <c r="J53" s="84">
        <v>471.82</v>
      </c>
      <c r="K53" s="83" t="s">
        <v>2389</v>
      </c>
      <c r="L53" s="83" t="s">
        <v>2402</v>
      </c>
      <c r="M53" s="80" t="s">
        <v>2391</v>
      </c>
      <c r="N53" s="83" t="s">
        <v>2392</v>
      </c>
      <c r="O53" s="81" t="s">
        <v>2055</v>
      </c>
      <c r="P53" s="83" t="s">
        <v>2403</v>
      </c>
      <c r="Q53" s="84">
        <v>6200</v>
      </c>
      <c r="R53" s="85" t="s">
        <v>8</v>
      </c>
      <c r="S53" s="84" t="s">
        <v>8</v>
      </c>
      <c r="T53" s="83" t="s">
        <v>2394</v>
      </c>
    </row>
    <row r="54" spans="1:20" s="67" customFormat="1">
      <c r="A54" s="80">
        <v>127848730441</v>
      </c>
      <c r="B54" s="81" t="s">
        <v>3070</v>
      </c>
      <c r="C54" s="82">
        <v>45932</v>
      </c>
      <c r="D54" s="80">
        <v>51073144177</v>
      </c>
      <c r="E54" s="80">
        <v>2085185132833</v>
      </c>
      <c r="F54" s="83" t="s">
        <v>2387</v>
      </c>
      <c r="G54" s="83" t="s">
        <v>2388</v>
      </c>
      <c r="H54" s="83" t="s">
        <v>8</v>
      </c>
      <c r="I54" s="80" t="s">
        <v>8</v>
      </c>
      <c r="J54" s="84">
        <v>87.3</v>
      </c>
      <c r="K54" s="83" t="s">
        <v>2389</v>
      </c>
      <c r="L54" s="83" t="s">
        <v>2390</v>
      </c>
      <c r="M54" s="80" t="s">
        <v>2391</v>
      </c>
      <c r="N54" s="83" t="s">
        <v>2392</v>
      </c>
      <c r="O54" s="81" t="s">
        <v>8</v>
      </c>
      <c r="P54" s="83" t="s">
        <v>3084</v>
      </c>
      <c r="Q54" s="84">
        <v>9000</v>
      </c>
      <c r="R54" s="85" t="s">
        <v>8</v>
      </c>
      <c r="S54" s="84" t="s">
        <v>8</v>
      </c>
      <c r="T54" s="83" t="s">
        <v>2394</v>
      </c>
    </row>
    <row r="55" spans="1:20" s="67" customFormat="1">
      <c r="A55" s="80">
        <v>127849129705</v>
      </c>
      <c r="B55" s="81" t="s">
        <v>3070</v>
      </c>
      <c r="C55" s="82">
        <v>45932</v>
      </c>
      <c r="D55" s="80">
        <v>51073369185</v>
      </c>
      <c r="E55" s="80">
        <v>2085250679430</v>
      </c>
      <c r="F55" s="83" t="s">
        <v>2387</v>
      </c>
      <c r="G55" s="83" t="s">
        <v>2388</v>
      </c>
      <c r="H55" s="83" t="s">
        <v>8</v>
      </c>
      <c r="I55" s="80" t="s">
        <v>8</v>
      </c>
      <c r="J55" s="84">
        <v>46.56</v>
      </c>
      <c r="K55" s="83" t="s">
        <v>2389</v>
      </c>
      <c r="L55" s="83" t="s">
        <v>2390</v>
      </c>
      <c r="M55" s="80" t="s">
        <v>2391</v>
      </c>
      <c r="N55" s="83" t="s">
        <v>2392</v>
      </c>
      <c r="O55" s="81" t="s">
        <v>8</v>
      </c>
      <c r="P55" s="83" t="s">
        <v>3085</v>
      </c>
      <c r="Q55" s="84">
        <v>4800</v>
      </c>
      <c r="R55" s="85" t="s">
        <v>8</v>
      </c>
      <c r="S55" s="84" t="s">
        <v>8</v>
      </c>
      <c r="T55" s="83" t="s">
        <v>2394</v>
      </c>
    </row>
    <row r="56" spans="1:20" s="67" customFormat="1">
      <c r="A56" s="80">
        <v>128415782272</v>
      </c>
      <c r="B56" s="81" t="s">
        <v>3070</v>
      </c>
      <c r="C56" s="82">
        <v>45932</v>
      </c>
      <c r="D56" s="80">
        <v>51073486283</v>
      </c>
      <c r="E56" s="80">
        <v>2085252678710</v>
      </c>
      <c r="F56" s="83" t="s">
        <v>2387</v>
      </c>
      <c r="G56" s="83" t="s">
        <v>2388</v>
      </c>
      <c r="H56" s="83" t="s">
        <v>8</v>
      </c>
      <c r="I56" s="80" t="s">
        <v>8</v>
      </c>
      <c r="J56" s="84">
        <v>38.799999999999997</v>
      </c>
      <c r="K56" s="83" t="s">
        <v>2389</v>
      </c>
      <c r="L56" s="83" t="s">
        <v>2390</v>
      </c>
      <c r="M56" s="80" t="s">
        <v>2391</v>
      </c>
      <c r="N56" s="83" t="s">
        <v>2392</v>
      </c>
      <c r="O56" s="81" t="s">
        <v>8</v>
      </c>
      <c r="P56" s="83" t="s">
        <v>2578</v>
      </c>
      <c r="Q56" s="84">
        <v>4000</v>
      </c>
      <c r="R56" s="85" t="s">
        <v>8</v>
      </c>
      <c r="S56" s="84" t="s">
        <v>8</v>
      </c>
      <c r="T56" s="83" t="s">
        <v>2394</v>
      </c>
    </row>
    <row r="57" spans="1:20" s="67" customFormat="1">
      <c r="A57" s="80">
        <v>127850379377</v>
      </c>
      <c r="B57" s="81" t="s">
        <v>3070</v>
      </c>
      <c r="C57" s="82">
        <v>45932</v>
      </c>
      <c r="D57" s="80">
        <v>51073845232</v>
      </c>
      <c r="E57" s="80">
        <v>2085260059778</v>
      </c>
      <c r="F57" s="83" t="s">
        <v>2411</v>
      </c>
      <c r="G57" s="83" t="s">
        <v>2388</v>
      </c>
      <c r="H57" s="83" t="s">
        <v>8</v>
      </c>
      <c r="I57" s="80" t="s">
        <v>8</v>
      </c>
      <c r="J57" s="84">
        <v>112.52</v>
      </c>
      <c r="K57" s="83" t="s">
        <v>2389</v>
      </c>
      <c r="L57" s="83" t="s">
        <v>2390</v>
      </c>
      <c r="M57" s="80" t="s">
        <v>2391</v>
      </c>
      <c r="N57" s="83" t="s">
        <v>2392</v>
      </c>
      <c r="O57" s="81" t="s">
        <v>8</v>
      </c>
      <c r="P57" s="83" t="s">
        <v>2412</v>
      </c>
      <c r="Q57" s="84">
        <v>11600</v>
      </c>
      <c r="R57" s="85" t="s">
        <v>8</v>
      </c>
      <c r="S57" s="84" t="s">
        <v>8</v>
      </c>
      <c r="T57" s="83" t="s">
        <v>8</v>
      </c>
    </row>
    <row r="58" spans="1:20" s="67" customFormat="1">
      <c r="A58" s="80">
        <v>127850602909</v>
      </c>
      <c r="B58" s="81" t="s">
        <v>3070</v>
      </c>
      <c r="C58" s="82">
        <v>45932</v>
      </c>
      <c r="D58" s="80">
        <v>51073905240</v>
      </c>
      <c r="E58" s="80">
        <v>2085199414377</v>
      </c>
      <c r="F58" s="83" t="s">
        <v>2387</v>
      </c>
      <c r="G58" s="83" t="s">
        <v>2388</v>
      </c>
      <c r="H58" s="83" t="s">
        <v>8</v>
      </c>
      <c r="I58" s="80" t="s">
        <v>8</v>
      </c>
      <c r="J58" s="84">
        <v>38.799999999999997</v>
      </c>
      <c r="K58" s="83" t="s">
        <v>2389</v>
      </c>
      <c r="L58" s="83" t="s">
        <v>2390</v>
      </c>
      <c r="M58" s="80" t="s">
        <v>2391</v>
      </c>
      <c r="N58" s="83" t="s">
        <v>2392</v>
      </c>
      <c r="O58" s="81" t="s">
        <v>8</v>
      </c>
      <c r="P58" s="83" t="s">
        <v>3087</v>
      </c>
      <c r="Q58" s="84">
        <v>4000</v>
      </c>
      <c r="R58" s="85" t="s">
        <v>8</v>
      </c>
      <c r="S58" s="84" t="s">
        <v>8</v>
      </c>
      <c r="T58" s="83" t="s">
        <v>2394</v>
      </c>
    </row>
    <row r="59" spans="1:20" s="67" customFormat="1">
      <c r="A59" s="80">
        <v>127850717607</v>
      </c>
      <c r="B59" s="81" t="s">
        <v>3070</v>
      </c>
      <c r="C59" s="82">
        <v>45932</v>
      </c>
      <c r="D59" s="80">
        <v>51073958760</v>
      </c>
      <c r="E59" s="80">
        <v>2085262323988</v>
      </c>
      <c r="F59" s="83" t="s">
        <v>2401</v>
      </c>
      <c r="G59" s="83" t="s">
        <v>2388</v>
      </c>
      <c r="H59" s="83" t="s">
        <v>8</v>
      </c>
      <c r="I59" s="80" t="s">
        <v>8</v>
      </c>
      <c r="J59" s="84">
        <v>540.26</v>
      </c>
      <c r="K59" s="83" t="s">
        <v>2389</v>
      </c>
      <c r="L59" s="83" t="s">
        <v>2402</v>
      </c>
      <c r="M59" s="80" t="s">
        <v>2391</v>
      </c>
      <c r="N59" s="83" t="s">
        <v>2392</v>
      </c>
      <c r="O59" s="81" t="s">
        <v>2055</v>
      </c>
      <c r="P59" s="83" t="s">
        <v>2403</v>
      </c>
      <c r="Q59" s="84">
        <v>11900</v>
      </c>
      <c r="R59" s="85" t="s">
        <v>8</v>
      </c>
      <c r="S59" s="84" t="s">
        <v>8</v>
      </c>
      <c r="T59" s="83" t="s">
        <v>2394</v>
      </c>
    </row>
    <row r="60" spans="1:20" s="67" customFormat="1">
      <c r="A60" s="80">
        <v>128416983560</v>
      </c>
      <c r="B60" s="81" t="s">
        <v>3070</v>
      </c>
      <c r="C60" s="82">
        <v>45932</v>
      </c>
      <c r="D60" s="80">
        <v>51074044454</v>
      </c>
      <c r="E60" s="80">
        <v>2085263792080</v>
      </c>
      <c r="F60" s="83" t="s">
        <v>2387</v>
      </c>
      <c r="G60" s="83" t="s">
        <v>2388</v>
      </c>
      <c r="H60" s="83" t="s">
        <v>8</v>
      </c>
      <c r="I60" s="80" t="s">
        <v>8</v>
      </c>
      <c r="J60" s="84">
        <v>73.72</v>
      </c>
      <c r="K60" s="83" t="s">
        <v>2389</v>
      </c>
      <c r="L60" s="83" t="s">
        <v>2390</v>
      </c>
      <c r="M60" s="80" t="s">
        <v>2391</v>
      </c>
      <c r="N60" s="83" t="s">
        <v>2392</v>
      </c>
      <c r="O60" s="81" t="s">
        <v>8</v>
      </c>
      <c r="P60" s="83" t="s">
        <v>2812</v>
      </c>
      <c r="Q60" s="84">
        <v>7600</v>
      </c>
      <c r="R60" s="85" t="s">
        <v>8</v>
      </c>
      <c r="S60" s="84" t="s">
        <v>8</v>
      </c>
      <c r="T60" s="83" t="s">
        <v>2394</v>
      </c>
    </row>
    <row r="61" spans="1:20" s="67" customFormat="1">
      <c r="A61" s="80">
        <v>128417090472</v>
      </c>
      <c r="B61" s="81" t="s">
        <v>3070</v>
      </c>
      <c r="C61" s="82">
        <v>45932</v>
      </c>
      <c r="D61" s="80">
        <v>51074051714</v>
      </c>
      <c r="E61" s="80">
        <v>2085202513559</v>
      </c>
      <c r="F61" s="83" t="s">
        <v>2387</v>
      </c>
      <c r="G61" s="83" t="s">
        <v>2388</v>
      </c>
      <c r="H61" s="83" t="s">
        <v>8</v>
      </c>
      <c r="I61" s="80" t="s">
        <v>8</v>
      </c>
      <c r="J61" s="84">
        <v>2846.14</v>
      </c>
      <c r="K61" s="83" t="s">
        <v>2389</v>
      </c>
      <c r="L61" s="83" t="s">
        <v>2390</v>
      </c>
      <c r="M61" s="80" t="s">
        <v>2391</v>
      </c>
      <c r="N61" s="83" t="s">
        <v>2392</v>
      </c>
      <c r="O61" s="81" t="s">
        <v>8</v>
      </c>
      <c r="P61" s="83" t="s">
        <v>3088</v>
      </c>
      <c r="Q61" s="84">
        <v>37400</v>
      </c>
      <c r="R61" s="85" t="s">
        <v>8</v>
      </c>
      <c r="S61" s="84" t="s">
        <v>8</v>
      </c>
      <c r="T61" s="83" t="s">
        <v>2394</v>
      </c>
    </row>
    <row r="62" spans="1:20" s="67" customFormat="1">
      <c r="A62" s="80">
        <v>128417478168</v>
      </c>
      <c r="B62" s="81" t="s">
        <v>3070</v>
      </c>
      <c r="C62" s="82">
        <v>45932</v>
      </c>
      <c r="D62" s="80">
        <v>51074215056</v>
      </c>
      <c r="E62" s="80">
        <v>2085266862062</v>
      </c>
      <c r="F62" s="83" t="s">
        <v>2387</v>
      </c>
      <c r="G62" s="83" t="s">
        <v>2388</v>
      </c>
      <c r="H62" s="83" t="s">
        <v>8</v>
      </c>
      <c r="I62" s="80" t="s">
        <v>8</v>
      </c>
      <c r="J62" s="84">
        <v>43.65</v>
      </c>
      <c r="K62" s="83" t="s">
        <v>2389</v>
      </c>
      <c r="L62" s="83" t="s">
        <v>2390</v>
      </c>
      <c r="M62" s="80" t="s">
        <v>2391</v>
      </c>
      <c r="N62" s="83" t="s">
        <v>2392</v>
      </c>
      <c r="O62" s="81" t="s">
        <v>8</v>
      </c>
      <c r="P62" s="83" t="s">
        <v>2674</v>
      </c>
      <c r="Q62" s="84">
        <v>4500</v>
      </c>
      <c r="R62" s="85" t="s">
        <v>8</v>
      </c>
      <c r="S62" s="84" t="s">
        <v>8</v>
      </c>
      <c r="T62" s="83" t="s">
        <v>2394</v>
      </c>
    </row>
    <row r="63" spans="1:20" s="67" customFormat="1">
      <c r="A63" s="80">
        <v>127851297553</v>
      </c>
      <c r="B63" s="81" t="s">
        <v>3070</v>
      </c>
      <c r="C63" s="82">
        <v>45932</v>
      </c>
      <c r="D63" s="80">
        <v>51074220836</v>
      </c>
      <c r="E63" s="80">
        <v>2085205412193</v>
      </c>
      <c r="F63" s="83" t="s">
        <v>2401</v>
      </c>
      <c r="G63" s="83" t="s">
        <v>2388</v>
      </c>
      <c r="H63" s="83" t="s">
        <v>8</v>
      </c>
      <c r="I63" s="80" t="s">
        <v>8</v>
      </c>
      <c r="J63" s="84">
        <v>165.06</v>
      </c>
      <c r="K63" s="83" t="s">
        <v>2389</v>
      </c>
      <c r="L63" s="83" t="s">
        <v>2402</v>
      </c>
      <c r="M63" s="80" t="s">
        <v>2391</v>
      </c>
      <c r="N63" s="83" t="s">
        <v>2392</v>
      </c>
      <c r="O63" s="81" t="s">
        <v>2055</v>
      </c>
      <c r="P63" s="83" t="s">
        <v>2403</v>
      </c>
      <c r="Q63" s="84">
        <v>4200</v>
      </c>
      <c r="R63" s="85" t="s">
        <v>8</v>
      </c>
      <c r="S63" s="84" t="s">
        <v>8</v>
      </c>
      <c r="T63" s="83" t="s">
        <v>2394</v>
      </c>
    </row>
    <row r="64" spans="1:20" s="67" customFormat="1">
      <c r="A64" s="80">
        <v>127851529137</v>
      </c>
      <c r="B64" s="81" t="s">
        <v>3070</v>
      </c>
      <c r="C64" s="82">
        <v>45932</v>
      </c>
      <c r="D64" s="80">
        <v>51074283341</v>
      </c>
      <c r="E64" s="80">
        <v>2085207128339</v>
      </c>
      <c r="F64" s="83" t="s">
        <v>2387</v>
      </c>
      <c r="G64" s="83" t="s">
        <v>2388</v>
      </c>
      <c r="H64" s="83" t="s">
        <v>8</v>
      </c>
      <c r="I64" s="80" t="s">
        <v>8</v>
      </c>
      <c r="J64" s="84">
        <v>97</v>
      </c>
      <c r="K64" s="83" t="s">
        <v>2389</v>
      </c>
      <c r="L64" s="83" t="s">
        <v>2390</v>
      </c>
      <c r="M64" s="80" t="s">
        <v>2391</v>
      </c>
      <c r="N64" s="83" t="s">
        <v>2392</v>
      </c>
      <c r="O64" s="81" t="s">
        <v>8</v>
      </c>
      <c r="P64" s="83" t="s">
        <v>3086</v>
      </c>
      <c r="Q64" s="84">
        <v>10000</v>
      </c>
      <c r="R64" s="85" t="s">
        <v>8</v>
      </c>
      <c r="S64" s="84" t="s">
        <v>8</v>
      </c>
      <c r="T64" s="83" t="s">
        <v>2394</v>
      </c>
    </row>
    <row r="65" spans="1:20" s="67" customFormat="1">
      <c r="A65" s="80">
        <v>127852042311</v>
      </c>
      <c r="B65" s="81" t="s">
        <v>3070</v>
      </c>
      <c r="C65" s="82">
        <v>45932</v>
      </c>
      <c r="D65" s="80">
        <v>51074498467</v>
      </c>
      <c r="E65" s="80">
        <v>2085271773062</v>
      </c>
      <c r="F65" s="83" t="s">
        <v>2387</v>
      </c>
      <c r="G65" s="83" t="s">
        <v>2388</v>
      </c>
      <c r="H65" s="83" t="s">
        <v>8</v>
      </c>
      <c r="I65" s="80" t="s">
        <v>8</v>
      </c>
      <c r="J65" s="84">
        <v>23.28</v>
      </c>
      <c r="K65" s="83" t="s">
        <v>2389</v>
      </c>
      <c r="L65" s="83" t="s">
        <v>2390</v>
      </c>
      <c r="M65" s="80" t="s">
        <v>2391</v>
      </c>
      <c r="N65" s="83" t="s">
        <v>2392</v>
      </c>
      <c r="O65" s="81" t="s">
        <v>8</v>
      </c>
      <c r="P65" s="83" t="s">
        <v>3089</v>
      </c>
      <c r="Q65" s="84">
        <v>2400</v>
      </c>
      <c r="R65" s="85" t="s">
        <v>8</v>
      </c>
      <c r="S65" s="84" t="s">
        <v>8</v>
      </c>
      <c r="T65" s="83" t="s">
        <v>2394</v>
      </c>
    </row>
    <row r="66" spans="1:20" s="67" customFormat="1">
      <c r="A66" s="80">
        <v>127852662327</v>
      </c>
      <c r="B66" s="81" t="s">
        <v>3070</v>
      </c>
      <c r="C66" s="82">
        <v>45932</v>
      </c>
      <c r="D66" s="80">
        <v>51074740234</v>
      </c>
      <c r="E66" s="80">
        <v>2085214164687</v>
      </c>
      <c r="F66" s="83" t="s">
        <v>2387</v>
      </c>
      <c r="G66" s="83" t="s">
        <v>2388</v>
      </c>
      <c r="H66" s="83" t="s">
        <v>8</v>
      </c>
      <c r="I66" s="80" t="s">
        <v>8</v>
      </c>
      <c r="J66" s="84">
        <v>297.79000000000002</v>
      </c>
      <c r="K66" s="83" t="s">
        <v>2389</v>
      </c>
      <c r="L66" s="83" t="s">
        <v>2390</v>
      </c>
      <c r="M66" s="80" t="s">
        <v>2391</v>
      </c>
      <c r="N66" s="83" t="s">
        <v>2392</v>
      </c>
      <c r="O66" s="81" t="s">
        <v>8</v>
      </c>
      <c r="P66" s="83" t="s">
        <v>3090</v>
      </c>
      <c r="Q66" s="84">
        <v>30700</v>
      </c>
      <c r="R66" s="85" t="s">
        <v>8</v>
      </c>
      <c r="S66" s="84" t="s">
        <v>8</v>
      </c>
      <c r="T66" s="83" t="s">
        <v>2394</v>
      </c>
    </row>
    <row r="67" spans="1:20" s="67" customFormat="1">
      <c r="A67" s="80">
        <v>128418794938</v>
      </c>
      <c r="B67" s="81" t="s">
        <v>3070</v>
      </c>
      <c r="C67" s="82">
        <v>45932</v>
      </c>
      <c r="D67" s="80">
        <v>51074769774</v>
      </c>
      <c r="E67" s="80">
        <v>2085214695545</v>
      </c>
      <c r="F67" s="83" t="s">
        <v>2387</v>
      </c>
      <c r="G67" s="83" t="s">
        <v>2388</v>
      </c>
      <c r="H67" s="83" t="s">
        <v>8</v>
      </c>
      <c r="I67" s="80" t="s">
        <v>8</v>
      </c>
      <c r="J67" s="84">
        <v>38.799999999999997</v>
      </c>
      <c r="K67" s="83" t="s">
        <v>2389</v>
      </c>
      <c r="L67" s="83" t="s">
        <v>2390</v>
      </c>
      <c r="M67" s="80" t="s">
        <v>2391</v>
      </c>
      <c r="N67" s="83" t="s">
        <v>2392</v>
      </c>
      <c r="O67" s="81" t="s">
        <v>8</v>
      </c>
      <c r="P67" s="83" t="s">
        <v>3084</v>
      </c>
      <c r="Q67" s="84">
        <v>4000</v>
      </c>
      <c r="R67" s="85" t="s">
        <v>8</v>
      </c>
      <c r="S67" s="84" t="s">
        <v>8</v>
      </c>
      <c r="T67" s="83" t="s">
        <v>2394</v>
      </c>
    </row>
    <row r="68" spans="1:20" s="67" customFormat="1">
      <c r="A68" s="80">
        <v>127852972373</v>
      </c>
      <c r="B68" s="81" t="s">
        <v>3070</v>
      </c>
      <c r="C68" s="82">
        <v>45932</v>
      </c>
      <c r="D68" s="80">
        <v>51074839610</v>
      </c>
      <c r="E68" s="80">
        <v>2085277787734</v>
      </c>
      <c r="F68" s="83" t="s">
        <v>2411</v>
      </c>
      <c r="G68" s="83" t="s">
        <v>2388</v>
      </c>
      <c r="H68" s="83" t="s">
        <v>8</v>
      </c>
      <c r="I68" s="80" t="s">
        <v>8</v>
      </c>
      <c r="J68" s="84">
        <v>46.56</v>
      </c>
      <c r="K68" s="83" t="s">
        <v>2389</v>
      </c>
      <c r="L68" s="83" t="s">
        <v>2390</v>
      </c>
      <c r="M68" s="80" t="s">
        <v>2391</v>
      </c>
      <c r="N68" s="83" t="s">
        <v>2392</v>
      </c>
      <c r="O68" s="81" t="s">
        <v>8</v>
      </c>
      <c r="P68" s="83" t="s">
        <v>2412</v>
      </c>
      <c r="Q68" s="84">
        <v>4800</v>
      </c>
      <c r="R68" s="85" t="s">
        <v>8</v>
      </c>
      <c r="S68" s="84" t="s">
        <v>8</v>
      </c>
      <c r="T68" s="83" t="s">
        <v>8</v>
      </c>
    </row>
    <row r="69" spans="1:20" s="67" customFormat="1">
      <c r="A69" s="80">
        <v>128419226662</v>
      </c>
      <c r="B69" s="81" t="s">
        <v>3070</v>
      </c>
      <c r="C69" s="82">
        <v>45932</v>
      </c>
      <c r="D69" s="80">
        <v>51074929612</v>
      </c>
      <c r="E69" s="80">
        <v>2085279175928</v>
      </c>
      <c r="F69" s="83" t="s">
        <v>2401</v>
      </c>
      <c r="G69" s="83" t="s">
        <v>2388</v>
      </c>
      <c r="H69" s="83" t="s">
        <v>8</v>
      </c>
      <c r="I69" s="80" t="s">
        <v>8</v>
      </c>
      <c r="J69" s="84">
        <v>165.06</v>
      </c>
      <c r="K69" s="83" t="s">
        <v>2389</v>
      </c>
      <c r="L69" s="83" t="s">
        <v>2402</v>
      </c>
      <c r="M69" s="80" t="s">
        <v>2391</v>
      </c>
      <c r="N69" s="83" t="s">
        <v>2392</v>
      </c>
      <c r="O69" s="81" t="s">
        <v>2055</v>
      </c>
      <c r="P69" s="83" t="s">
        <v>2403</v>
      </c>
      <c r="Q69" s="84">
        <v>4200</v>
      </c>
      <c r="R69" s="85" t="s">
        <v>8</v>
      </c>
      <c r="S69" s="84" t="s">
        <v>8</v>
      </c>
      <c r="T69" s="83" t="s">
        <v>2394</v>
      </c>
    </row>
    <row r="70" spans="1:20" s="67" customFormat="1">
      <c r="A70" s="80">
        <v>128419350310</v>
      </c>
      <c r="B70" s="81" t="s">
        <v>3070</v>
      </c>
      <c r="C70" s="82">
        <v>45932</v>
      </c>
      <c r="D70" s="80">
        <v>51074996784</v>
      </c>
      <c r="E70" s="80">
        <v>2085218218651</v>
      </c>
      <c r="F70" s="83" t="s">
        <v>2387</v>
      </c>
      <c r="G70" s="83" t="s">
        <v>2388</v>
      </c>
      <c r="H70" s="83" t="s">
        <v>8</v>
      </c>
      <c r="I70" s="80" t="s">
        <v>8</v>
      </c>
      <c r="J70" s="84">
        <v>934.11</v>
      </c>
      <c r="K70" s="83" t="s">
        <v>2389</v>
      </c>
      <c r="L70" s="83" t="s">
        <v>2390</v>
      </c>
      <c r="M70" s="80" t="s">
        <v>2391</v>
      </c>
      <c r="N70" s="83" t="s">
        <v>2392</v>
      </c>
      <c r="O70" s="81" t="s">
        <v>8</v>
      </c>
      <c r="P70" s="83" t="s">
        <v>3091</v>
      </c>
      <c r="Q70" s="84">
        <v>96300</v>
      </c>
      <c r="R70" s="85" t="s">
        <v>8</v>
      </c>
      <c r="S70" s="84" t="s">
        <v>8</v>
      </c>
      <c r="T70" s="83" t="s">
        <v>2394</v>
      </c>
    </row>
    <row r="71" spans="1:20" s="67" customFormat="1">
      <c r="A71" s="80">
        <v>128419431770</v>
      </c>
      <c r="B71" s="81" t="s">
        <v>3070</v>
      </c>
      <c r="C71" s="82">
        <v>45932</v>
      </c>
      <c r="D71" s="80">
        <v>51075078022</v>
      </c>
      <c r="E71" s="80">
        <v>2085219650395</v>
      </c>
      <c r="F71" s="83" t="s">
        <v>2387</v>
      </c>
      <c r="G71" s="83" t="s">
        <v>2388</v>
      </c>
      <c r="H71" s="83" t="s">
        <v>8</v>
      </c>
      <c r="I71" s="80" t="s">
        <v>8</v>
      </c>
      <c r="J71" s="84">
        <v>236.68</v>
      </c>
      <c r="K71" s="83" t="s">
        <v>2389</v>
      </c>
      <c r="L71" s="83" t="s">
        <v>2390</v>
      </c>
      <c r="M71" s="80" t="s">
        <v>2391</v>
      </c>
      <c r="N71" s="83" t="s">
        <v>2392</v>
      </c>
      <c r="O71" s="81" t="s">
        <v>8</v>
      </c>
      <c r="P71" s="83" t="s">
        <v>3092</v>
      </c>
      <c r="Q71" s="84">
        <v>24400</v>
      </c>
      <c r="R71" s="85" t="s">
        <v>8</v>
      </c>
      <c r="S71" s="84" t="s">
        <v>8</v>
      </c>
      <c r="T71" s="83" t="s">
        <v>2394</v>
      </c>
    </row>
    <row r="72" spans="1:20" s="67" customFormat="1">
      <c r="A72" s="80">
        <v>128419732970</v>
      </c>
      <c r="B72" s="81" t="s">
        <v>3070</v>
      </c>
      <c r="C72" s="82">
        <v>45932</v>
      </c>
      <c r="D72" s="80">
        <v>51075195068</v>
      </c>
      <c r="E72" s="80">
        <v>2085282955246</v>
      </c>
      <c r="F72" s="83" t="s">
        <v>2387</v>
      </c>
      <c r="G72" s="83" t="s">
        <v>2388</v>
      </c>
      <c r="H72" s="83" t="s">
        <v>8</v>
      </c>
      <c r="I72" s="80" t="s">
        <v>8</v>
      </c>
      <c r="J72" s="84">
        <v>46.56</v>
      </c>
      <c r="K72" s="83" t="s">
        <v>2389</v>
      </c>
      <c r="L72" s="83" t="s">
        <v>2390</v>
      </c>
      <c r="M72" s="80" t="s">
        <v>2391</v>
      </c>
      <c r="N72" s="83" t="s">
        <v>2392</v>
      </c>
      <c r="O72" s="81" t="s">
        <v>8</v>
      </c>
      <c r="P72" s="83" t="s">
        <v>3093</v>
      </c>
      <c r="Q72" s="84">
        <v>4800</v>
      </c>
      <c r="R72" s="85" t="s">
        <v>8</v>
      </c>
      <c r="S72" s="84" t="s">
        <v>8</v>
      </c>
      <c r="T72" s="83" t="s">
        <v>2394</v>
      </c>
    </row>
    <row r="73" spans="1:20" s="67" customFormat="1">
      <c r="A73" s="80">
        <v>127853704713</v>
      </c>
      <c r="B73" s="81" t="s">
        <v>3070</v>
      </c>
      <c r="C73" s="82">
        <v>45932</v>
      </c>
      <c r="D73" s="80">
        <v>51075232500</v>
      </c>
      <c r="E73" s="80">
        <v>2085222175109</v>
      </c>
      <c r="F73" s="83" t="s">
        <v>2387</v>
      </c>
      <c r="G73" s="83" t="s">
        <v>2388</v>
      </c>
      <c r="H73" s="83" t="s">
        <v>8</v>
      </c>
      <c r="I73" s="80" t="s">
        <v>8</v>
      </c>
      <c r="J73" s="84">
        <v>97</v>
      </c>
      <c r="K73" s="83" t="s">
        <v>2389</v>
      </c>
      <c r="L73" s="83" t="s">
        <v>2390</v>
      </c>
      <c r="M73" s="80" t="s">
        <v>2391</v>
      </c>
      <c r="N73" s="83" t="s">
        <v>2392</v>
      </c>
      <c r="O73" s="81" t="s">
        <v>8</v>
      </c>
      <c r="P73" s="83" t="s">
        <v>3094</v>
      </c>
      <c r="Q73" s="84">
        <v>10000</v>
      </c>
      <c r="R73" s="85" t="s">
        <v>8</v>
      </c>
      <c r="S73" s="84" t="s">
        <v>8</v>
      </c>
      <c r="T73" s="83" t="s">
        <v>2394</v>
      </c>
    </row>
    <row r="74" spans="1:20" s="67" customFormat="1">
      <c r="A74" s="80">
        <v>127853815447</v>
      </c>
      <c r="B74" s="81" t="s">
        <v>3070</v>
      </c>
      <c r="C74" s="82">
        <v>45932</v>
      </c>
      <c r="D74" s="80">
        <v>51075281569</v>
      </c>
      <c r="E74" s="80">
        <v>2085223146617</v>
      </c>
      <c r="F74" s="83" t="s">
        <v>2387</v>
      </c>
      <c r="G74" s="83" t="s">
        <v>2388</v>
      </c>
      <c r="H74" s="83" t="s">
        <v>8</v>
      </c>
      <c r="I74" s="80" t="s">
        <v>8</v>
      </c>
      <c r="J74" s="84">
        <v>180.42</v>
      </c>
      <c r="K74" s="83" t="s">
        <v>2389</v>
      </c>
      <c r="L74" s="83" t="s">
        <v>2390</v>
      </c>
      <c r="M74" s="80" t="s">
        <v>2391</v>
      </c>
      <c r="N74" s="83" t="s">
        <v>2392</v>
      </c>
      <c r="O74" s="81" t="s">
        <v>8</v>
      </c>
      <c r="P74" s="83" t="s">
        <v>3095</v>
      </c>
      <c r="Q74" s="84">
        <v>18600</v>
      </c>
      <c r="R74" s="85" t="s">
        <v>8</v>
      </c>
      <c r="S74" s="84" t="s">
        <v>8</v>
      </c>
      <c r="T74" s="83" t="s">
        <v>2394</v>
      </c>
    </row>
    <row r="75" spans="1:20" s="67" customFormat="1">
      <c r="A75" s="80">
        <v>128420232980</v>
      </c>
      <c r="B75" s="81" t="s">
        <v>3070</v>
      </c>
      <c r="C75" s="82">
        <v>45932</v>
      </c>
      <c r="D75" s="80">
        <v>51075365368</v>
      </c>
      <c r="E75" s="80">
        <v>2085224164907</v>
      </c>
      <c r="F75" s="83" t="s">
        <v>2401</v>
      </c>
      <c r="G75" s="83" t="s">
        <v>2388</v>
      </c>
      <c r="H75" s="83" t="s">
        <v>8</v>
      </c>
      <c r="I75" s="80" t="s">
        <v>8</v>
      </c>
      <c r="J75" s="84">
        <v>1733.13</v>
      </c>
      <c r="K75" s="83" t="s">
        <v>2389</v>
      </c>
      <c r="L75" s="83" t="s">
        <v>2402</v>
      </c>
      <c r="M75" s="80" t="s">
        <v>2391</v>
      </c>
      <c r="N75" s="83" t="s">
        <v>2392</v>
      </c>
      <c r="O75" s="81" t="s">
        <v>2055</v>
      </c>
      <c r="P75" s="83" t="s">
        <v>2403</v>
      </c>
      <c r="Q75" s="84">
        <v>44100</v>
      </c>
      <c r="R75" s="85" t="s">
        <v>8</v>
      </c>
      <c r="S75" s="84" t="s">
        <v>8</v>
      </c>
      <c r="T75" s="83" t="s">
        <v>2394</v>
      </c>
    </row>
    <row r="76" spans="1:20" s="67" customFormat="1">
      <c r="A76" s="80">
        <v>127854076319</v>
      </c>
      <c r="B76" s="81" t="s">
        <v>3070</v>
      </c>
      <c r="C76" s="82">
        <v>45932</v>
      </c>
      <c r="D76" s="80">
        <v>51075386088</v>
      </c>
      <c r="E76" s="80">
        <v>2085286173518</v>
      </c>
      <c r="F76" s="83" t="s">
        <v>2387</v>
      </c>
      <c r="G76" s="83" t="s">
        <v>2388</v>
      </c>
      <c r="H76" s="83" t="s">
        <v>8</v>
      </c>
      <c r="I76" s="80" t="s">
        <v>8</v>
      </c>
      <c r="J76" s="84">
        <v>61.11</v>
      </c>
      <c r="K76" s="83" t="s">
        <v>2389</v>
      </c>
      <c r="L76" s="83" t="s">
        <v>2390</v>
      </c>
      <c r="M76" s="80" t="s">
        <v>2391</v>
      </c>
      <c r="N76" s="83" t="s">
        <v>2392</v>
      </c>
      <c r="O76" s="81" t="s">
        <v>8</v>
      </c>
      <c r="P76" s="83" t="s">
        <v>3096</v>
      </c>
      <c r="Q76" s="84">
        <v>6300</v>
      </c>
      <c r="R76" s="85" t="s">
        <v>8</v>
      </c>
      <c r="S76" s="84" t="s">
        <v>8</v>
      </c>
      <c r="T76" s="83" t="s">
        <v>2394</v>
      </c>
    </row>
    <row r="77" spans="1:20" s="67" customFormat="1">
      <c r="A77" s="80">
        <v>128420407042</v>
      </c>
      <c r="B77" s="81" t="s">
        <v>3070</v>
      </c>
      <c r="C77" s="82">
        <v>45932</v>
      </c>
      <c r="D77" s="80">
        <v>51075465472</v>
      </c>
      <c r="E77" s="80">
        <v>2085287326594</v>
      </c>
      <c r="F77" s="83" t="s">
        <v>2401</v>
      </c>
      <c r="G77" s="83" t="s">
        <v>2388</v>
      </c>
      <c r="H77" s="83" t="s">
        <v>8</v>
      </c>
      <c r="I77" s="80" t="s">
        <v>8</v>
      </c>
      <c r="J77" s="84">
        <v>10174.14</v>
      </c>
      <c r="K77" s="83" t="s">
        <v>2389</v>
      </c>
      <c r="L77" s="83" t="s">
        <v>2402</v>
      </c>
      <c r="M77" s="80" t="s">
        <v>2391</v>
      </c>
      <c r="N77" s="83" t="s">
        <v>2392</v>
      </c>
      <c r="O77" s="81" t="s">
        <v>2055</v>
      </c>
      <c r="P77" s="83" t="s">
        <v>2403</v>
      </c>
      <c r="Q77" s="84">
        <v>224100</v>
      </c>
      <c r="R77" s="85" t="s">
        <v>8</v>
      </c>
      <c r="S77" s="84" t="s">
        <v>8</v>
      </c>
      <c r="T77" s="83" t="s">
        <v>2394</v>
      </c>
    </row>
    <row r="78" spans="1:20" s="67" customFormat="1">
      <c r="A78" s="80">
        <v>127854278121</v>
      </c>
      <c r="B78" s="81" t="s">
        <v>3070</v>
      </c>
      <c r="C78" s="82">
        <v>45932</v>
      </c>
      <c r="D78" s="80">
        <v>51075495766</v>
      </c>
      <c r="E78" s="80">
        <v>2085226017327</v>
      </c>
      <c r="F78" s="83" t="s">
        <v>2387</v>
      </c>
      <c r="G78" s="83" t="s">
        <v>2388</v>
      </c>
      <c r="H78" s="83" t="s">
        <v>8</v>
      </c>
      <c r="I78" s="80" t="s">
        <v>8</v>
      </c>
      <c r="J78" s="84">
        <v>61.11</v>
      </c>
      <c r="K78" s="83" t="s">
        <v>2389</v>
      </c>
      <c r="L78" s="83" t="s">
        <v>2390</v>
      </c>
      <c r="M78" s="80" t="s">
        <v>2391</v>
      </c>
      <c r="N78" s="83" t="s">
        <v>2392</v>
      </c>
      <c r="O78" s="81" t="s">
        <v>8</v>
      </c>
      <c r="P78" s="83" t="s">
        <v>3096</v>
      </c>
      <c r="Q78" s="84">
        <v>6300</v>
      </c>
      <c r="R78" s="85" t="s">
        <v>8</v>
      </c>
      <c r="S78" s="84" t="s">
        <v>8</v>
      </c>
      <c r="T78" s="83" t="s">
        <v>2394</v>
      </c>
    </row>
    <row r="79" spans="1:20" s="67" customFormat="1">
      <c r="A79" s="80">
        <v>128420454022</v>
      </c>
      <c r="B79" s="81" t="s">
        <v>3070</v>
      </c>
      <c r="C79" s="82">
        <v>45932</v>
      </c>
      <c r="D79" s="80">
        <v>51075502755</v>
      </c>
      <c r="E79" s="80">
        <v>2085226497795</v>
      </c>
      <c r="F79" s="83" t="s">
        <v>2411</v>
      </c>
      <c r="G79" s="83" t="s">
        <v>2388</v>
      </c>
      <c r="H79" s="83" t="s">
        <v>8</v>
      </c>
      <c r="I79" s="80" t="s">
        <v>8</v>
      </c>
      <c r="J79" s="84">
        <v>97</v>
      </c>
      <c r="K79" s="83" t="s">
        <v>2389</v>
      </c>
      <c r="L79" s="83" t="s">
        <v>2390</v>
      </c>
      <c r="M79" s="80" t="s">
        <v>2391</v>
      </c>
      <c r="N79" s="83" t="s">
        <v>2392</v>
      </c>
      <c r="O79" s="81" t="s">
        <v>8</v>
      </c>
      <c r="P79" s="83" t="s">
        <v>2412</v>
      </c>
      <c r="Q79" s="84">
        <v>10000</v>
      </c>
      <c r="R79" s="85" t="s">
        <v>8</v>
      </c>
      <c r="S79" s="84" t="s">
        <v>8</v>
      </c>
      <c r="T79" s="83" t="s">
        <v>8</v>
      </c>
    </row>
    <row r="80" spans="1:20" s="67" customFormat="1">
      <c r="A80" s="80">
        <v>127854437157</v>
      </c>
      <c r="B80" s="81" t="s">
        <v>3070</v>
      </c>
      <c r="C80" s="82">
        <v>45932</v>
      </c>
      <c r="D80" s="80">
        <v>51075573186</v>
      </c>
      <c r="E80" s="80">
        <v>2085289416098</v>
      </c>
      <c r="F80" s="83" t="s">
        <v>2411</v>
      </c>
      <c r="G80" s="83" t="s">
        <v>2388</v>
      </c>
      <c r="H80" s="83" t="s">
        <v>8</v>
      </c>
      <c r="I80" s="80" t="s">
        <v>8</v>
      </c>
      <c r="J80" s="84">
        <v>461.72</v>
      </c>
      <c r="K80" s="83" t="s">
        <v>2389</v>
      </c>
      <c r="L80" s="83" t="s">
        <v>2390</v>
      </c>
      <c r="M80" s="80" t="s">
        <v>2391</v>
      </c>
      <c r="N80" s="83" t="s">
        <v>2392</v>
      </c>
      <c r="O80" s="81" t="s">
        <v>8</v>
      </c>
      <c r="P80" s="83" t="s">
        <v>2412</v>
      </c>
      <c r="Q80" s="84">
        <v>47600</v>
      </c>
      <c r="R80" s="85" t="s">
        <v>8</v>
      </c>
      <c r="S80" s="84" t="s">
        <v>8</v>
      </c>
      <c r="T80" s="83" t="s">
        <v>8</v>
      </c>
    </row>
    <row r="81" spans="1:20" s="67" customFormat="1">
      <c r="A81" s="80">
        <v>128420793726</v>
      </c>
      <c r="B81" s="81" t="s">
        <v>3070</v>
      </c>
      <c r="C81" s="82">
        <v>45932</v>
      </c>
      <c r="D81" s="80">
        <v>51075694431</v>
      </c>
      <c r="E81" s="80">
        <v>2085228926727</v>
      </c>
      <c r="F81" s="83" t="s">
        <v>2387</v>
      </c>
      <c r="G81" s="83" t="s">
        <v>2388</v>
      </c>
      <c r="H81" s="83" t="s">
        <v>8</v>
      </c>
      <c r="I81" s="80" t="s">
        <v>8</v>
      </c>
      <c r="J81" s="84">
        <v>70.81</v>
      </c>
      <c r="K81" s="83" t="s">
        <v>2389</v>
      </c>
      <c r="L81" s="83" t="s">
        <v>2390</v>
      </c>
      <c r="M81" s="80" t="s">
        <v>2391</v>
      </c>
      <c r="N81" s="83" t="s">
        <v>2392</v>
      </c>
      <c r="O81" s="81" t="s">
        <v>8</v>
      </c>
      <c r="P81" s="83" t="s">
        <v>2963</v>
      </c>
      <c r="Q81" s="84">
        <v>7300</v>
      </c>
      <c r="R81" s="85" t="s">
        <v>8</v>
      </c>
      <c r="S81" s="84" t="s">
        <v>8</v>
      </c>
      <c r="T81" s="83" t="s">
        <v>2394</v>
      </c>
    </row>
    <row r="82" spans="1:20" s="67" customFormat="1">
      <c r="A82" s="80">
        <v>127854884711</v>
      </c>
      <c r="B82" s="81" t="s">
        <v>3070</v>
      </c>
      <c r="C82" s="82">
        <v>45933</v>
      </c>
      <c r="D82" s="80">
        <v>51075722797</v>
      </c>
      <c r="E82" s="80">
        <v>2085291534300</v>
      </c>
      <c r="F82" s="83" t="s">
        <v>2387</v>
      </c>
      <c r="G82" s="83" t="s">
        <v>2388</v>
      </c>
      <c r="H82" s="83" t="s">
        <v>8</v>
      </c>
      <c r="I82" s="80" t="s">
        <v>8</v>
      </c>
      <c r="J82" s="84">
        <v>48.5</v>
      </c>
      <c r="K82" s="83" t="s">
        <v>2389</v>
      </c>
      <c r="L82" s="83" t="s">
        <v>2390</v>
      </c>
      <c r="M82" s="80" t="s">
        <v>2391</v>
      </c>
      <c r="N82" s="83" t="s">
        <v>2392</v>
      </c>
      <c r="O82" s="81" t="s">
        <v>8</v>
      </c>
      <c r="P82" s="83" t="s">
        <v>2615</v>
      </c>
      <c r="Q82" s="84">
        <v>5000</v>
      </c>
      <c r="R82" s="85" t="s">
        <v>8</v>
      </c>
      <c r="S82" s="84" t="s">
        <v>8</v>
      </c>
      <c r="T82" s="83" t="s">
        <v>2394</v>
      </c>
    </row>
    <row r="83" spans="1:20" s="67" customFormat="1">
      <c r="A83" s="80">
        <v>127854922579</v>
      </c>
      <c r="B83" s="81" t="s">
        <v>3070</v>
      </c>
      <c r="C83" s="82">
        <v>45933</v>
      </c>
      <c r="D83" s="80">
        <v>51075756052</v>
      </c>
      <c r="E83" s="80">
        <v>2085230249263</v>
      </c>
      <c r="F83" s="83" t="s">
        <v>2387</v>
      </c>
      <c r="G83" s="83" t="s">
        <v>2388</v>
      </c>
      <c r="H83" s="83" t="s">
        <v>8</v>
      </c>
      <c r="I83" s="80" t="s">
        <v>8</v>
      </c>
      <c r="J83" s="84">
        <v>2480.86</v>
      </c>
      <c r="K83" s="83" t="s">
        <v>2389</v>
      </c>
      <c r="L83" s="83" t="s">
        <v>2390</v>
      </c>
      <c r="M83" s="80" t="s">
        <v>2391</v>
      </c>
      <c r="N83" s="83" t="s">
        <v>2392</v>
      </c>
      <c r="O83" s="81" t="s">
        <v>8</v>
      </c>
      <c r="P83" s="83" t="s">
        <v>3097</v>
      </c>
      <c r="Q83" s="84">
        <v>32600</v>
      </c>
      <c r="R83" s="85" t="s">
        <v>8</v>
      </c>
      <c r="S83" s="84" t="s">
        <v>8</v>
      </c>
      <c r="T83" s="83" t="s">
        <v>2394</v>
      </c>
    </row>
    <row r="84" spans="1:20" s="67" customFormat="1">
      <c r="A84" s="80">
        <v>127854974679</v>
      </c>
      <c r="B84" s="81" t="s">
        <v>3070</v>
      </c>
      <c r="C84" s="82">
        <v>45933</v>
      </c>
      <c r="D84" s="80">
        <v>51075797540</v>
      </c>
      <c r="E84" s="80">
        <v>2085292620384</v>
      </c>
      <c r="F84" s="83" t="s">
        <v>2411</v>
      </c>
      <c r="G84" s="83" t="s">
        <v>2388</v>
      </c>
      <c r="H84" s="83" t="s">
        <v>8</v>
      </c>
      <c r="I84" s="80" t="s">
        <v>8</v>
      </c>
      <c r="J84" s="84">
        <v>182.36</v>
      </c>
      <c r="K84" s="83" t="s">
        <v>2389</v>
      </c>
      <c r="L84" s="83" t="s">
        <v>2390</v>
      </c>
      <c r="M84" s="80" t="s">
        <v>2391</v>
      </c>
      <c r="N84" s="83" t="s">
        <v>2392</v>
      </c>
      <c r="O84" s="81" t="s">
        <v>8</v>
      </c>
      <c r="P84" s="83" t="s">
        <v>2412</v>
      </c>
      <c r="Q84" s="84">
        <v>18800</v>
      </c>
      <c r="R84" s="85" t="s">
        <v>8</v>
      </c>
      <c r="S84" s="84" t="s">
        <v>8</v>
      </c>
      <c r="T84" s="83" t="s">
        <v>8</v>
      </c>
    </row>
    <row r="85" spans="1:20" s="67" customFormat="1">
      <c r="A85" s="80">
        <v>128421075828</v>
      </c>
      <c r="B85" s="81" t="s">
        <v>3070</v>
      </c>
      <c r="C85" s="82">
        <v>45933</v>
      </c>
      <c r="D85" s="80">
        <v>51075823571</v>
      </c>
      <c r="E85" s="80">
        <v>2085292833910</v>
      </c>
      <c r="F85" s="83" t="s">
        <v>2401</v>
      </c>
      <c r="G85" s="83" t="s">
        <v>2701</v>
      </c>
      <c r="H85" s="83" t="s">
        <v>2702</v>
      </c>
      <c r="I85" s="80" t="s">
        <v>8</v>
      </c>
      <c r="J85" s="84">
        <v>5161.9799999999996</v>
      </c>
      <c r="K85" s="83" t="s">
        <v>2389</v>
      </c>
      <c r="L85" s="83" t="s">
        <v>2402</v>
      </c>
      <c r="M85" s="80" t="s">
        <v>2391</v>
      </c>
      <c r="N85" s="83" t="s">
        <v>2392</v>
      </c>
      <c r="O85" s="81" t="s">
        <v>2055</v>
      </c>
      <c r="P85" s="83" t="s">
        <v>2403</v>
      </c>
      <c r="Q85" s="84">
        <v>113700</v>
      </c>
      <c r="R85" s="85" t="s">
        <v>8</v>
      </c>
      <c r="S85" s="84" t="s">
        <v>8</v>
      </c>
      <c r="T85" s="83" t="s">
        <v>2394</v>
      </c>
    </row>
    <row r="86" spans="1:20" s="67" customFormat="1">
      <c r="A86" s="80">
        <v>128421266626</v>
      </c>
      <c r="B86" s="81" t="s">
        <v>3070</v>
      </c>
      <c r="C86" s="82">
        <v>45933</v>
      </c>
      <c r="D86" s="80">
        <v>51075897848</v>
      </c>
      <c r="E86" s="80">
        <v>2085232092175</v>
      </c>
      <c r="F86" s="83" t="s">
        <v>2411</v>
      </c>
      <c r="G86" s="83" t="s">
        <v>2388</v>
      </c>
      <c r="H86" s="83" t="s">
        <v>8</v>
      </c>
      <c r="I86" s="80" t="s">
        <v>8</v>
      </c>
      <c r="J86" s="84">
        <v>41.71</v>
      </c>
      <c r="K86" s="83" t="s">
        <v>2389</v>
      </c>
      <c r="L86" s="83" t="s">
        <v>2390</v>
      </c>
      <c r="M86" s="80" t="s">
        <v>2391</v>
      </c>
      <c r="N86" s="83" t="s">
        <v>2392</v>
      </c>
      <c r="O86" s="81" t="s">
        <v>8</v>
      </c>
      <c r="P86" s="83" t="s">
        <v>2412</v>
      </c>
      <c r="Q86" s="84">
        <v>4300</v>
      </c>
      <c r="R86" s="85" t="s">
        <v>8</v>
      </c>
      <c r="S86" s="84" t="s">
        <v>8</v>
      </c>
      <c r="T86" s="83" t="s">
        <v>8</v>
      </c>
    </row>
    <row r="87" spans="1:20" s="67" customFormat="1">
      <c r="A87" s="80">
        <v>128421434434</v>
      </c>
      <c r="B87" s="81" t="s">
        <v>3070</v>
      </c>
      <c r="C87" s="82">
        <v>45933</v>
      </c>
      <c r="D87" s="80">
        <v>51075972722</v>
      </c>
      <c r="E87" s="80">
        <v>2085233390737</v>
      </c>
      <c r="F87" s="83" t="s">
        <v>2387</v>
      </c>
      <c r="G87" s="83" t="s">
        <v>2388</v>
      </c>
      <c r="H87" s="83" t="s">
        <v>8</v>
      </c>
      <c r="I87" s="80" t="s">
        <v>8</v>
      </c>
      <c r="J87" s="84">
        <v>93.12</v>
      </c>
      <c r="K87" s="83" t="s">
        <v>2389</v>
      </c>
      <c r="L87" s="83" t="s">
        <v>2390</v>
      </c>
      <c r="M87" s="80" t="s">
        <v>2391</v>
      </c>
      <c r="N87" s="83" t="s">
        <v>2392</v>
      </c>
      <c r="O87" s="81" t="s">
        <v>8</v>
      </c>
      <c r="P87" s="83" t="s">
        <v>2845</v>
      </c>
      <c r="Q87" s="84">
        <v>9600</v>
      </c>
      <c r="R87" s="85" t="s">
        <v>8</v>
      </c>
      <c r="S87" s="84" t="s">
        <v>8</v>
      </c>
      <c r="T87" s="83" t="s">
        <v>2394</v>
      </c>
    </row>
    <row r="88" spans="1:20" s="67" customFormat="1">
      <c r="A88" s="80">
        <v>128421490336</v>
      </c>
      <c r="B88" s="81" t="s">
        <v>3070</v>
      </c>
      <c r="C88" s="82">
        <v>45933</v>
      </c>
      <c r="D88" s="80">
        <v>51075994138</v>
      </c>
      <c r="E88" s="80">
        <v>2085233728069</v>
      </c>
      <c r="F88" s="83" t="s">
        <v>2387</v>
      </c>
      <c r="G88" s="83" t="s">
        <v>2388</v>
      </c>
      <c r="H88" s="83" t="s">
        <v>8</v>
      </c>
      <c r="I88" s="80" t="s">
        <v>8</v>
      </c>
      <c r="J88" s="84">
        <v>131.91999999999999</v>
      </c>
      <c r="K88" s="83" t="s">
        <v>2389</v>
      </c>
      <c r="L88" s="83" t="s">
        <v>2390</v>
      </c>
      <c r="M88" s="80" t="s">
        <v>2391</v>
      </c>
      <c r="N88" s="83" t="s">
        <v>2392</v>
      </c>
      <c r="O88" s="81" t="s">
        <v>8</v>
      </c>
      <c r="P88" s="83" t="s">
        <v>2424</v>
      </c>
      <c r="Q88" s="84">
        <v>13600</v>
      </c>
      <c r="R88" s="85" t="s">
        <v>8</v>
      </c>
      <c r="S88" s="84" t="s">
        <v>8</v>
      </c>
      <c r="T88" s="83" t="s">
        <v>2394</v>
      </c>
    </row>
    <row r="89" spans="1:20" s="67" customFormat="1">
      <c r="A89" s="80">
        <v>128421501412</v>
      </c>
      <c r="B89" s="81" t="s">
        <v>3070</v>
      </c>
      <c r="C89" s="82">
        <v>45933</v>
      </c>
      <c r="D89" s="80">
        <v>51076067301</v>
      </c>
      <c r="E89" s="80">
        <v>2085296128556</v>
      </c>
      <c r="F89" s="83" t="s">
        <v>2401</v>
      </c>
      <c r="G89" s="83" t="s">
        <v>2388</v>
      </c>
      <c r="H89" s="83" t="s">
        <v>8</v>
      </c>
      <c r="I89" s="80" t="s">
        <v>8</v>
      </c>
      <c r="J89" s="84">
        <v>12929.39</v>
      </c>
      <c r="K89" s="83" t="s">
        <v>2389</v>
      </c>
      <c r="L89" s="83" t="s">
        <v>2402</v>
      </c>
      <c r="M89" s="80" t="s">
        <v>2391</v>
      </c>
      <c r="N89" s="83" t="s">
        <v>2392</v>
      </c>
      <c r="O89" s="81" t="s">
        <v>2055</v>
      </c>
      <c r="P89" s="83" t="s">
        <v>2403</v>
      </c>
      <c r="Q89" s="84">
        <v>169900</v>
      </c>
      <c r="R89" s="85" t="s">
        <v>8</v>
      </c>
      <c r="S89" s="84" t="s">
        <v>8</v>
      </c>
      <c r="T89" s="83" t="s">
        <v>2394</v>
      </c>
    </row>
    <row r="90" spans="1:20" s="67" customFormat="1">
      <c r="A90" s="80">
        <v>127855461023</v>
      </c>
      <c r="B90" s="81" t="s">
        <v>3070</v>
      </c>
      <c r="C90" s="82">
        <v>45933</v>
      </c>
      <c r="D90" s="80">
        <v>51076097235</v>
      </c>
      <c r="E90" s="80">
        <v>2085234669479</v>
      </c>
      <c r="F90" s="83" t="s">
        <v>2401</v>
      </c>
      <c r="G90" s="83" t="s">
        <v>2388</v>
      </c>
      <c r="H90" s="83" t="s">
        <v>8</v>
      </c>
      <c r="I90" s="80" t="s">
        <v>8</v>
      </c>
      <c r="J90" s="84">
        <v>632.73</v>
      </c>
      <c r="K90" s="83" t="s">
        <v>2389</v>
      </c>
      <c r="L90" s="83" t="s">
        <v>2402</v>
      </c>
      <c r="M90" s="80" t="s">
        <v>2391</v>
      </c>
      <c r="N90" s="83" t="s">
        <v>2392</v>
      </c>
      <c r="O90" s="81" t="s">
        <v>2055</v>
      </c>
      <c r="P90" s="83" t="s">
        <v>2403</v>
      </c>
      <c r="Q90" s="84">
        <v>16100</v>
      </c>
      <c r="R90" s="85" t="s">
        <v>8</v>
      </c>
      <c r="S90" s="84" t="s">
        <v>8</v>
      </c>
      <c r="T90" s="83" t="s">
        <v>2394</v>
      </c>
    </row>
    <row r="91" spans="1:20" s="67" customFormat="1">
      <c r="A91" s="80">
        <v>127855560075</v>
      </c>
      <c r="B91" s="81" t="s">
        <v>3070</v>
      </c>
      <c r="C91" s="82">
        <v>45933</v>
      </c>
      <c r="D91" s="80">
        <v>51076184214</v>
      </c>
      <c r="E91" s="80">
        <v>2085297929572</v>
      </c>
      <c r="F91" s="83" t="s">
        <v>2401</v>
      </c>
      <c r="G91" s="83" t="s">
        <v>2388</v>
      </c>
      <c r="H91" s="83" t="s">
        <v>8</v>
      </c>
      <c r="I91" s="80" t="s">
        <v>8</v>
      </c>
      <c r="J91" s="84">
        <v>1216.72</v>
      </c>
      <c r="K91" s="83" t="s">
        <v>2389</v>
      </c>
      <c r="L91" s="83" t="s">
        <v>2402</v>
      </c>
      <c r="M91" s="80" t="s">
        <v>2391</v>
      </c>
      <c r="N91" s="83" t="s">
        <v>2392</v>
      </c>
      <c r="O91" s="81" t="s">
        <v>2055</v>
      </c>
      <c r="P91" s="83" t="s">
        <v>2403</v>
      </c>
      <c r="Q91" s="84">
        <v>26800</v>
      </c>
      <c r="R91" s="85" t="s">
        <v>8</v>
      </c>
      <c r="S91" s="84" t="s">
        <v>8</v>
      </c>
      <c r="T91" s="83" t="s">
        <v>2394</v>
      </c>
    </row>
    <row r="92" spans="1:20" s="67" customFormat="1">
      <c r="A92" s="80">
        <v>127855916129</v>
      </c>
      <c r="B92" s="81" t="s">
        <v>3070</v>
      </c>
      <c r="C92" s="82">
        <v>45933</v>
      </c>
      <c r="D92" s="80">
        <v>51076271763</v>
      </c>
      <c r="E92" s="80">
        <v>2085299269916</v>
      </c>
      <c r="F92" s="83" t="s">
        <v>2387</v>
      </c>
      <c r="G92" s="83" t="s">
        <v>2388</v>
      </c>
      <c r="H92" s="83" t="s">
        <v>8</v>
      </c>
      <c r="I92" s="80" t="s">
        <v>8</v>
      </c>
      <c r="J92" s="84">
        <v>74.69</v>
      </c>
      <c r="K92" s="83" t="s">
        <v>2389</v>
      </c>
      <c r="L92" s="83" t="s">
        <v>2390</v>
      </c>
      <c r="M92" s="80" t="s">
        <v>2391</v>
      </c>
      <c r="N92" s="83" t="s">
        <v>2392</v>
      </c>
      <c r="O92" s="81" t="s">
        <v>8</v>
      </c>
      <c r="P92" s="83" t="s">
        <v>2713</v>
      </c>
      <c r="Q92" s="84">
        <v>7700</v>
      </c>
      <c r="R92" s="85" t="s">
        <v>8</v>
      </c>
      <c r="S92" s="84" t="s">
        <v>8</v>
      </c>
      <c r="T92" s="83" t="s">
        <v>2394</v>
      </c>
    </row>
    <row r="93" spans="1:20" s="67" customFormat="1">
      <c r="A93" s="80">
        <v>128422197004</v>
      </c>
      <c r="B93" s="81" t="s">
        <v>3070</v>
      </c>
      <c r="C93" s="82">
        <v>45933</v>
      </c>
      <c r="D93" s="80">
        <v>51076333606</v>
      </c>
      <c r="E93" s="80">
        <v>2085238650807</v>
      </c>
      <c r="F93" s="83" t="s">
        <v>2387</v>
      </c>
      <c r="G93" s="83" t="s">
        <v>2388</v>
      </c>
      <c r="H93" s="83" t="s">
        <v>8</v>
      </c>
      <c r="I93" s="80" t="s">
        <v>8</v>
      </c>
      <c r="J93" s="84">
        <v>38.799999999999997</v>
      </c>
      <c r="K93" s="83" t="s">
        <v>2389</v>
      </c>
      <c r="L93" s="83" t="s">
        <v>2390</v>
      </c>
      <c r="M93" s="80" t="s">
        <v>2391</v>
      </c>
      <c r="N93" s="83" t="s">
        <v>2392</v>
      </c>
      <c r="O93" s="81" t="s">
        <v>8</v>
      </c>
      <c r="P93" s="83" t="s">
        <v>3098</v>
      </c>
      <c r="Q93" s="84">
        <v>4000</v>
      </c>
      <c r="R93" s="85" t="s">
        <v>8</v>
      </c>
      <c r="S93" s="84" t="s">
        <v>8</v>
      </c>
      <c r="T93" s="83" t="s">
        <v>2394</v>
      </c>
    </row>
    <row r="94" spans="1:20" s="67" customFormat="1">
      <c r="A94" s="80">
        <v>128421075828</v>
      </c>
      <c r="B94" s="81" t="s">
        <v>3070</v>
      </c>
      <c r="C94" s="82">
        <v>45933</v>
      </c>
      <c r="D94" s="80">
        <v>51076343582</v>
      </c>
      <c r="E94" s="80">
        <v>2085238848693</v>
      </c>
      <c r="F94" s="83" t="s">
        <v>3099</v>
      </c>
      <c r="G94" s="83" t="s">
        <v>2701</v>
      </c>
      <c r="H94" s="83" t="s">
        <v>8</v>
      </c>
      <c r="I94" s="80">
        <v>51075823571</v>
      </c>
      <c r="J94" s="84">
        <v>-5161.9799999999996</v>
      </c>
      <c r="K94" s="83" t="s">
        <v>2389</v>
      </c>
      <c r="L94" s="83" t="s">
        <v>2402</v>
      </c>
      <c r="M94" s="80" t="s">
        <v>2391</v>
      </c>
      <c r="N94" s="83" t="s">
        <v>2392</v>
      </c>
      <c r="O94" s="81" t="s">
        <v>2055</v>
      </c>
      <c r="P94" s="83" t="s">
        <v>2403</v>
      </c>
      <c r="Q94" s="84">
        <v>113700</v>
      </c>
      <c r="R94" s="85" t="s">
        <v>8</v>
      </c>
      <c r="S94" s="84" t="s">
        <v>8</v>
      </c>
      <c r="T94" s="83" t="s">
        <v>8</v>
      </c>
    </row>
    <row r="95" spans="1:20" s="67" customFormat="1">
      <c r="A95" s="80">
        <v>127856005159</v>
      </c>
      <c r="B95" s="81" t="s">
        <v>3070</v>
      </c>
      <c r="C95" s="82">
        <v>45933</v>
      </c>
      <c r="D95" s="80">
        <v>51076371296</v>
      </c>
      <c r="E95" s="80">
        <v>2085300884234</v>
      </c>
      <c r="F95" s="83" t="s">
        <v>2411</v>
      </c>
      <c r="G95" s="83" t="s">
        <v>2388</v>
      </c>
      <c r="H95" s="83" t="s">
        <v>8</v>
      </c>
      <c r="I95" s="80" t="s">
        <v>8</v>
      </c>
      <c r="J95" s="84">
        <v>93.12</v>
      </c>
      <c r="K95" s="83" t="s">
        <v>2389</v>
      </c>
      <c r="L95" s="83" t="s">
        <v>2390</v>
      </c>
      <c r="M95" s="80" t="s">
        <v>2391</v>
      </c>
      <c r="N95" s="83" t="s">
        <v>2392</v>
      </c>
      <c r="O95" s="81" t="s">
        <v>8</v>
      </c>
      <c r="P95" s="83" t="s">
        <v>2412</v>
      </c>
      <c r="Q95" s="84">
        <v>9600</v>
      </c>
      <c r="R95" s="85" t="s">
        <v>8</v>
      </c>
      <c r="S95" s="84" t="s">
        <v>8</v>
      </c>
      <c r="T95" s="83" t="s">
        <v>8</v>
      </c>
    </row>
    <row r="96" spans="1:20" s="67" customFormat="1">
      <c r="A96" s="80">
        <v>127856064757</v>
      </c>
      <c r="B96" s="81" t="s">
        <v>3070</v>
      </c>
      <c r="C96" s="82">
        <v>45933</v>
      </c>
      <c r="D96" s="80">
        <v>51076415056</v>
      </c>
      <c r="E96" s="80">
        <v>2085239238421</v>
      </c>
      <c r="F96" s="83" t="s">
        <v>2401</v>
      </c>
      <c r="G96" s="83" t="s">
        <v>2388</v>
      </c>
      <c r="H96" s="83" t="s">
        <v>8</v>
      </c>
      <c r="I96" s="80" t="s">
        <v>8</v>
      </c>
      <c r="J96" s="84">
        <v>1661.64</v>
      </c>
      <c r="K96" s="83" t="s">
        <v>2389</v>
      </c>
      <c r="L96" s="83" t="s">
        <v>2402</v>
      </c>
      <c r="M96" s="80" t="s">
        <v>2391</v>
      </c>
      <c r="N96" s="83" t="s">
        <v>2392</v>
      </c>
      <c r="O96" s="81" t="s">
        <v>2055</v>
      </c>
      <c r="P96" s="83" t="s">
        <v>2403</v>
      </c>
      <c r="Q96" s="84">
        <v>36600</v>
      </c>
      <c r="R96" s="85" t="s">
        <v>8</v>
      </c>
      <c r="S96" s="84" t="s">
        <v>8</v>
      </c>
      <c r="T96" s="83" t="s">
        <v>2394</v>
      </c>
    </row>
    <row r="97" spans="1:20" s="67" customFormat="1">
      <c r="A97" s="80">
        <v>127856418189</v>
      </c>
      <c r="B97" s="81" t="s">
        <v>3070</v>
      </c>
      <c r="C97" s="82">
        <v>45933</v>
      </c>
      <c r="D97" s="80">
        <v>51076504649</v>
      </c>
      <c r="E97" s="80">
        <v>2085240981129</v>
      </c>
      <c r="F97" s="83" t="s">
        <v>2387</v>
      </c>
      <c r="G97" s="83" t="s">
        <v>2388</v>
      </c>
      <c r="H97" s="83" t="s">
        <v>8</v>
      </c>
      <c r="I97" s="80" t="s">
        <v>8</v>
      </c>
      <c r="J97" s="84">
        <v>67.900000000000006</v>
      </c>
      <c r="K97" s="83" t="s">
        <v>2389</v>
      </c>
      <c r="L97" s="83" t="s">
        <v>2390</v>
      </c>
      <c r="M97" s="80" t="s">
        <v>2391</v>
      </c>
      <c r="N97" s="83" t="s">
        <v>2392</v>
      </c>
      <c r="O97" s="81" t="s">
        <v>8</v>
      </c>
      <c r="P97" s="83" t="s">
        <v>2846</v>
      </c>
      <c r="Q97" s="84">
        <v>7000</v>
      </c>
      <c r="R97" s="85" t="s">
        <v>8</v>
      </c>
      <c r="S97" s="84" t="s">
        <v>8</v>
      </c>
      <c r="T97" s="83" t="s">
        <v>2394</v>
      </c>
    </row>
    <row r="98" spans="1:20" s="67" customFormat="1">
      <c r="A98" s="80">
        <v>127856497497</v>
      </c>
      <c r="B98" s="81" t="s">
        <v>3070</v>
      </c>
      <c r="C98" s="82">
        <v>45933</v>
      </c>
      <c r="D98" s="80">
        <v>51076548535</v>
      </c>
      <c r="E98" s="80">
        <v>2085303889488</v>
      </c>
      <c r="F98" s="83" t="s">
        <v>2387</v>
      </c>
      <c r="G98" s="83" t="s">
        <v>2388</v>
      </c>
      <c r="H98" s="83" t="s">
        <v>8</v>
      </c>
      <c r="I98" s="80" t="s">
        <v>8</v>
      </c>
      <c r="J98" s="84">
        <v>40.74</v>
      </c>
      <c r="K98" s="83" t="s">
        <v>2389</v>
      </c>
      <c r="L98" s="83" t="s">
        <v>2390</v>
      </c>
      <c r="M98" s="80" t="s">
        <v>2391</v>
      </c>
      <c r="N98" s="83" t="s">
        <v>2392</v>
      </c>
      <c r="O98" s="81" t="s">
        <v>8</v>
      </c>
      <c r="P98" s="83" t="s">
        <v>3100</v>
      </c>
      <c r="Q98" s="84">
        <v>4200</v>
      </c>
      <c r="R98" s="85" t="s">
        <v>8</v>
      </c>
      <c r="S98" s="84" t="s">
        <v>8</v>
      </c>
      <c r="T98" s="83" t="s">
        <v>2394</v>
      </c>
    </row>
    <row r="99" spans="1:20" s="67" customFormat="1">
      <c r="A99" s="80">
        <v>128422949584</v>
      </c>
      <c r="B99" s="81" t="s">
        <v>3070</v>
      </c>
      <c r="C99" s="82">
        <v>45933</v>
      </c>
      <c r="D99" s="80">
        <v>51076716350</v>
      </c>
      <c r="E99" s="80">
        <v>2085307029798</v>
      </c>
      <c r="F99" s="83" t="s">
        <v>2387</v>
      </c>
      <c r="G99" s="83" t="s">
        <v>2388</v>
      </c>
      <c r="H99" s="83" t="s">
        <v>8</v>
      </c>
      <c r="I99" s="80" t="s">
        <v>8</v>
      </c>
      <c r="J99" s="84">
        <v>580.05999999999995</v>
      </c>
      <c r="K99" s="83" t="s">
        <v>2389</v>
      </c>
      <c r="L99" s="83" t="s">
        <v>2390</v>
      </c>
      <c r="M99" s="80" t="s">
        <v>2391</v>
      </c>
      <c r="N99" s="83" t="s">
        <v>2392</v>
      </c>
      <c r="O99" s="81" t="s">
        <v>8</v>
      </c>
      <c r="P99" s="83" t="s">
        <v>3101</v>
      </c>
      <c r="Q99" s="84">
        <v>59800</v>
      </c>
      <c r="R99" s="85" t="s">
        <v>8</v>
      </c>
      <c r="S99" s="84" t="s">
        <v>8</v>
      </c>
      <c r="T99" s="83" t="s">
        <v>2394</v>
      </c>
    </row>
    <row r="100" spans="1:20" s="67" customFormat="1">
      <c r="A100" s="80">
        <v>127856899443</v>
      </c>
      <c r="B100" s="81" t="s">
        <v>3070</v>
      </c>
      <c r="C100" s="82">
        <v>45933</v>
      </c>
      <c r="D100" s="80">
        <v>51076756213</v>
      </c>
      <c r="E100" s="80">
        <v>2085308111738</v>
      </c>
      <c r="F100" s="83" t="s">
        <v>2401</v>
      </c>
      <c r="G100" s="83" t="s">
        <v>2388</v>
      </c>
      <c r="H100" s="83" t="s">
        <v>8</v>
      </c>
      <c r="I100" s="80" t="s">
        <v>8</v>
      </c>
      <c r="J100" s="84">
        <v>399.52</v>
      </c>
      <c r="K100" s="83" t="s">
        <v>2389</v>
      </c>
      <c r="L100" s="83" t="s">
        <v>2402</v>
      </c>
      <c r="M100" s="80" t="s">
        <v>2391</v>
      </c>
      <c r="N100" s="83" t="s">
        <v>2392</v>
      </c>
      <c r="O100" s="81" t="s">
        <v>2055</v>
      </c>
      <c r="P100" s="83" t="s">
        <v>2403</v>
      </c>
      <c r="Q100" s="84">
        <v>8800</v>
      </c>
      <c r="R100" s="85" t="s">
        <v>8</v>
      </c>
      <c r="S100" s="84" t="s">
        <v>8</v>
      </c>
      <c r="T100" s="83" t="s">
        <v>2394</v>
      </c>
    </row>
    <row r="101" spans="1:20" s="67" customFormat="1">
      <c r="A101" s="80">
        <v>128423208738</v>
      </c>
      <c r="B101" s="81" t="s">
        <v>3070</v>
      </c>
      <c r="C101" s="82">
        <v>45933</v>
      </c>
      <c r="D101" s="80">
        <v>51076766921</v>
      </c>
      <c r="E101" s="80">
        <v>2085246316743</v>
      </c>
      <c r="F101" s="83" t="s">
        <v>2401</v>
      </c>
      <c r="G101" s="83" t="s">
        <v>2388</v>
      </c>
      <c r="H101" s="83" t="s">
        <v>8</v>
      </c>
      <c r="I101" s="80" t="s">
        <v>8</v>
      </c>
      <c r="J101" s="84">
        <v>188.64</v>
      </c>
      <c r="K101" s="83" t="s">
        <v>2389</v>
      </c>
      <c r="L101" s="83" t="s">
        <v>2402</v>
      </c>
      <c r="M101" s="80" t="s">
        <v>2391</v>
      </c>
      <c r="N101" s="83" t="s">
        <v>2392</v>
      </c>
      <c r="O101" s="81" t="s">
        <v>2055</v>
      </c>
      <c r="P101" s="83" t="s">
        <v>2403</v>
      </c>
      <c r="Q101" s="84">
        <v>4800</v>
      </c>
      <c r="R101" s="85" t="s">
        <v>8</v>
      </c>
      <c r="S101" s="84" t="s">
        <v>8</v>
      </c>
      <c r="T101" s="83" t="s">
        <v>2394</v>
      </c>
    </row>
    <row r="102" spans="1:20" s="67" customFormat="1">
      <c r="A102" s="80">
        <v>127857063969</v>
      </c>
      <c r="B102" s="81" t="s">
        <v>3070</v>
      </c>
      <c r="C102" s="82">
        <v>45933</v>
      </c>
      <c r="D102" s="80">
        <v>51076813741</v>
      </c>
      <c r="E102" s="80">
        <v>2085247875641</v>
      </c>
      <c r="F102" s="83" t="s">
        <v>2387</v>
      </c>
      <c r="G102" s="83" t="s">
        <v>2388</v>
      </c>
      <c r="H102" s="83" t="s">
        <v>8</v>
      </c>
      <c r="I102" s="80" t="s">
        <v>8</v>
      </c>
      <c r="J102" s="84">
        <v>99.91</v>
      </c>
      <c r="K102" s="83" t="s">
        <v>2389</v>
      </c>
      <c r="L102" s="83" t="s">
        <v>2390</v>
      </c>
      <c r="M102" s="80" t="s">
        <v>2391</v>
      </c>
      <c r="N102" s="83" t="s">
        <v>2392</v>
      </c>
      <c r="O102" s="81" t="s">
        <v>8</v>
      </c>
      <c r="P102" s="83" t="s">
        <v>2600</v>
      </c>
      <c r="Q102" s="84">
        <v>10300</v>
      </c>
      <c r="R102" s="85" t="s">
        <v>8</v>
      </c>
      <c r="S102" s="84" t="s">
        <v>8</v>
      </c>
      <c r="T102" s="83" t="s">
        <v>2394</v>
      </c>
    </row>
    <row r="103" spans="1:20" s="67" customFormat="1">
      <c r="A103" s="80">
        <v>128423356546</v>
      </c>
      <c r="B103" s="81" t="s">
        <v>3070</v>
      </c>
      <c r="C103" s="82">
        <v>45933</v>
      </c>
      <c r="D103" s="80">
        <v>51076818857</v>
      </c>
      <c r="E103" s="80">
        <v>2085247523599</v>
      </c>
      <c r="F103" s="83" t="s">
        <v>2411</v>
      </c>
      <c r="G103" s="83" t="s">
        <v>2388</v>
      </c>
      <c r="H103" s="83" t="s">
        <v>8</v>
      </c>
      <c r="I103" s="80" t="s">
        <v>8</v>
      </c>
      <c r="J103" s="84">
        <v>126.1</v>
      </c>
      <c r="K103" s="83" t="s">
        <v>2389</v>
      </c>
      <c r="L103" s="83" t="s">
        <v>2390</v>
      </c>
      <c r="M103" s="80" t="s">
        <v>2391</v>
      </c>
      <c r="N103" s="83" t="s">
        <v>2392</v>
      </c>
      <c r="O103" s="81" t="s">
        <v>8</v>
      </c>
      <c r="P103" s="83" t="s">
        <v>2412</v>
      </c>
      <c r="Q103" s="84">
        <v>13000</v>
      </c>
      <c r="R103" s="85" t="s">
        <v>8</v>
      </c>
      <c r="S103" s="84" t="s">
        <v>8</v>
      </c>
      <c r="T103" s="83" t="s">
        <v>8</v>
      </c>
    </row>
    <row r="104" spans="1:20" s="67" customFormat="1">
      <c r="A104" s="80">
        <v>127857363213</v>
      </c>
      <c r="B104" s="81" t="s">
        <v>3070</v>
      </c>
      <c r="C104" s="82">
        <v>45933</v>
      </c>
      <c r="D104" s="80">
        <v>51076893577</v>
      </c>
      <c r="E104" s="80">
        <v>2085311513972</v>
      </c>
      <c r="F104" s="83" t="s">
        <v>2411</v>
      </c>
      <c r="G104" s="83" t="s">
        <v>2388</v>
      </c>
      <c r="H104" s="83" t="s">
        <v>8</v>
      </c>
      <c r="I104" s="80" t="s">
        <v>8</v>
      </c>
      <c r="J104" s="84">
        <v>51.41</v>
      </c>
      <c r="K104" s="83" t="s">
        <v>2389</v>
      </c>
      <c r="L104" s="83" t="s">
        <v>2390</v>
      </c>
      <c r="M104" s="80" t="s">
        <v>2391</v>
      </c>
      <c r="N104" s="83" t="s">
        <v>2392</v>
      </c>
      <c r="O104" s="81" t="s">
        <v>8</v>
      </c>
      <c r="P104" s="83" t="s">
        <v>2412</v>
      </c>
      <c r="Q104" s="84">
        <v>5300</v>
      </c>
      <c r="R104" s="85" t="s">
        <v>8</v>
      </c>
      <c r="S104" s="84" t="s">
        <v>8</v>
      </c>
      <c r="T104" s="83" t="s">
        <v>8</v>
      </c>
    </row>
    <row r="105" spans="1:20" s="67" customFormat="1">
      <c r="A105" s="80">
        <v>128423642872</v>
      </c>
      <c r="B105" s="81" t="s">
        <v>3070</v>
      </c>
      <c r="C105" s="82">
        <v>45933</v>
      </c>
      <c r="D105" s="80">
        <v>51076951050</v>
      </c>
      <c r="E105" s="80">
        <v>2085250620295</v>
      </c>
      <c r="F105" s="83" t="s">
        <v>2387</v>
      </c>
      <c r="G105" s="83" t="s">
        <v>2388</v>
      </c>
      <c r="H105" s="83" t="s">
        <v>8</v>
      </c>
      <c r="I105" s="80" t="s">
        <v>8</v>
      </c>
      <c r="J105" s="84">
        <v>510.22</v>
      </c>
      <c r="K105" s="83" t="s">
        <v>2389</v>
      </c>
      <c r="L105" s="83" t="s">
        <v>2390</v>
      </c>
      <c r="M105" s="80" t="s">
        <v>2391</v>
      </c>
      <c r="N105" s="83" t="s">
        <v>2392</v>
      </c>
      <c r="O105" s="81" t="s">
        <v>8</v>
      </c>
      <c r="P105" s="83" t="s">
        <v>3102</v>
      </c>
      <c r="Q105" s="84">
        <v>52600</v>
      </c>
      <c r="R105" s="85" t="s">
        <v>8</v>
      </c>
      <c r="S105" s="84" t="s">
        <v>8</v>
      </c>
      <c r="T105" s="83" t="s">
        <v>2394</v>
      </c>
    </row>
    <row r="106" spans="1:20" s="67" customFormat="1">
      <c r="A106" s="80">
        <v>128423577732</v>
      </c>
      <c r="B106" s="81" t="s">
        <v>3070</v>
      </c>
      <c r="C106" s="82">
        <v>45933</v>
      </c>
      <c r="D106" s="80">
        <v>51076984733</v>
      </c>
      <c r="E106" s="80">
        <v>2085312727326</v>
      </c>
      <c r="F106" s="83" t="s">
        <v>2387</v>
      </c>
      <c r="G106" s="83" t="s">
        <v>2388</v>
      </c>
      <c r="H106" s="83" t="s">
        <v>8</v>
      </c>
      <c r="I106" s="80" t="s">
        <v>8</v>
      </c>
      <c r="J106" s="84">
        <v>685.79</v>
      </c>
      <c r="K106" s="83" t="s">
        <v>2389</v>
      </c>
      <c r="L106" s="83" t="s">
        <v>2390</v>
      </c>
      <c r="M106" s="80" t="s">
        <v>2391</v>
      </c>
      <c r="N106" s="83" t="s">
        <v>2392</v>
      </c>
      <c r="O106" s="81" t="s">
        <v>8</v>
      </c>
      <c r="P106" s="83" t="s">
        <v>3103</v>
      </c>
      <c r="Q106" s="84">
        <v>70700</v>
      </c>
      <c r="R106" s="85" t="s">
        <v>8</v>
      </c>
      <c r="S106" s="84" t="s">
        <v>8</v>
      </c>
      <c r="T106" s="83" t="s">
        <v>2394</v>
      </c>
    </row>
    <row r="107" spans="1:20" s="67" customFormat="1">
      <c r="A107" s="80">
        <v>127857712847</v>
      </c>
      <c r="B107" s="81" t="s">
        <v>3070</v>
      </c>
      <c r="C107" s="82">
        <v>45933</v>
      </c>
      <c r="D107" s="80">
        <v>51077036011</v>
      </c>
      <c r="E107" s="80">
        <v>2085252579147</v>
      </c>
      <c r="F107" s="83" t="s">
        <v>2387</v>
      </c>
      <c r="G107" s="83" t="s">
        <v>2388</v>
      </c>
      <c r="H107" s="83" t="s">
        <v>8</v>
      </c>
      <c r="I107" s="80" t="s">
        <v>8</v>
      </c>
      <c r="J107" s="84">
        <v>46.56</v>
      </c>
      <c r="K107" s="83" t="s">
        <v>2389</v>
      </c>
      <c r="L107" s="83" t="s">
        <v>2390</v>
      </c>
      <c r="M107" s="80" t="s">
        <v>2391</v>
      </c>
      <c r="N107" s="83" t="s">
        <v>2392</v>
      </c>
      <c r="O107" s="81" t="s">
        <v>8</v>
      </c>
      <c r="P107" s="83" t="s">
        <v>2855</v>
      </c>
      <c r="Q107" s="84">
        <v>4800</v>
      </c>
      <c r="R107" s="85" t="s">
        <v>8</v>
      </c>
      <c r="S107" s="84" t="s">
        <v>8</v>
      </c>
      <c r="T107" s="83" t="s">
        <v>2394</v>
      </c>
    </row>
    <row r="108" spans="1:20" s="67" customFormat="1">
      <c r="A108" s="80">
        <v>127857862671</v>
      </c>
      <c r="B108" s="81" t="s">
        <v>3070</v>
      </c>
      <c r="C108" s="82">
        <v>45933</v>
      </c>
      <c r="D108" s="80">
        <v>51077115042</v>
      </c>
      <c r="E108" s="80">
        <v>2085315941768</v>
      </c>
      <c r="F108" s="83" t="s">
        <v>2387</v>
      </c>
      <c r="G108" s="83" t="s">
        <v>2388</v>
      </c>
      <c r="H108" s="83" t="s">
        <v>8</v>
      </c>
      <c r="I108" s="80" t="s">
        <v>8</v>
      </c>
      <c r="J108" s="84">
        <v>161.99</v>
      </c>
      <c r="K108" s="83" t="s">
        <v>2389</v>
      </c>
      <c r="L108" s="83" t="s">
        <v>2390</v>
      </c>
      <c r="M108" s="80" t="s">
        <v>2391</v>
      </c>
      <c r="N108" s="83" t="s">
        <v>2392</v>
      </c>
      <c r="O108" s="81" t="s">
        <v>8</v>
      </c>
      <c r="P108" s="83" t="s">
        <v>3104</v>
      </c>
      <c r="Q108" s="84">
        <v>16700</v>
      </c>
      <c r="R108" s="85" t="s">
        <v>8</v>
      </c>
      <c r="S108" s="84" t="s">
        <v>8</v>
      </c>
      <c r="T108" s="83" t="s">
        <v>2394</v>
      </c>
    </row>
    <row r="109" spans="1:20" s="67" customFormat="1">
      <c r="A109" s="80">
        <v>127857973671</v>
      </c>
      <c r="B109" s="81" t="s">
        <v>3070</v>
      </c>
      <c r="C109" s="82">
        <v>45933</v>
      </c>
      <c r="D109" s="80">
        <v>51077204394</v>
      </c>
      <c r="E109" s="80">
        <v>2085256528765</v>
      </c>
      <c r="F109" s="83" t="s">
        <v>2387</v>
      </c>
      <c r="G109" s="83" t="s">
        <v>2388</v>
      </c>
      <c r="H109" s="83" t="s">
        <v>8</v>
      </c>
      <c r="I109" s="80" t="s">
        <v>8</v>
      </c>
      <c r="J109" s="84">
        <v>97</v>
      </c>
      <c r="K109" s="83" t="s">
        <v>2389</v>
      </c>
      <c r="L109" s="83" t="s">
        <v>2390</v>
      </c>
      <c r="M109" s="80" t="s">
        <v>2391</v>
      </c>
      <c r="N109" s="83" t="s">
        <v>2392</v>
      </c>
      <c r="O109" s="81" t="s">
        <v>8</v>
      </c>
      <c r="P109" s="83" t="s">
        <v>3105</v>
      </c>
      <c r="Q109" s="84">
        <v>10000</v>
      </c>
      <c r="R109" s="85" t="s">
        <v>8</v>
      </c>
      <c r="S109" s="84" t="s">
        <v>8</v>
      </c>
      <c r="T109" s="83" t="s">
        <v>2394</v>
      </c>
    </row>
    <row r="110" spans="1:20" s="67" customFormat="1">
      <c r="A110" s="80">
        <v>128424504454</v>
      </c>
      <c r="B110" s="81" t="s">
        <v>3070</v>
      </c>
      <c r="C110" s="82">
        <v>45933</v>
      </c>
      <c r="D110" s="80">
        <v>51077288637</v>
      </c>
      <c r="E110" s="80">
        <v>2085320084114</v>
      </c>
      <c r="F110" s="83" t="s">
        <v>2387</v>
      </c>
      <c r="G110" s="83" t="s">
        <v>2388</v>
      </c>
      <c r="H110" s="83" t="s">
        <v>8</v>
      </c>
      <c r="I110" s="80" t="s">
        <v>8</v>
      </c>
      <c r="J110" s="84">
        <v>124.16</v>
      </c>
      <c r="K110" s="83" t="s">
        <v>2389</v>
      </c>
      <c r="L110" s="83" t="s">
        <v>2390</v>
      </c>
      <c r="M110" s="80" t="s">
        <v>2391</v>
      </c>
      <c r="N110" s="83" t="s">
        <v>2392</v>
      </c>
      <c r="O110" s="81" t="s">
        <v>8</v>
      </c>
      <c r="P110" s="83" t="s">
        <v>3106</v>
      </c>
      <c r="Q110" s="84">
        <v>12800</v>
      </c>
      <c r="R110" s="85" t="s">
        <v>8</v>
      </c>
      <c r="S110" s="84" t="s">
        <v>8</v>
      </c>
      <c r="T110" s="83" t="s">
        <v>2394</v>
      </c>
    </row>
    <row r="111" spans="1:20" s="67" customFormat="1">
      <c r="A111" s="80">
        <v>127858454489</v>
      </c>
      <c r="B111" s="81" t="s">
        <v>3070</v>
      </c>
      <c r="C111" s="82">
        <v>45933</v>
      </c>
      <c r="D111" s="80">
        <v>51077332779</v>
      </c>
      <c r="E111" s="80">
        <v>2085259384027</v>
      </c>
      <c r="F111" s="83" t="s">
        <v>2387</v>
      </c>
      <c r="G111" s="83" t="s">
        <v>2388</v>
      </c>
      <c r="H111" s="83" t="s">
        <v>8</v>
      </c>
      <c r="I111" s="80" t="s">
        <v>8</v>
      </c>
      <c r="J111" s="84">
        <v>46.56</v>
      </c>
      <c r="K111" s="83" t="s">
        <v>2389</v>
      </c>
      <c r="L111" s="83" t="s">
        <v>2390</v>
      </c>
      <c r="M111" s="80" t="s">
        <v>2391</v>
      </c>
      <c r="N111" s="83" t="s">
        <v>2392</v>
      </c>
      <c r="O111" s="81" t="s">
        <v>8</v>
      </c>
      <c r="P111" s="83" t="s">
        <v>2850</v>
      </c>
      <c r="Q111" s="84">
        <v>4800</v>
      </c>
      <c r="R111" s="85" t="s">
        <v>8</v>
      </c>
      <c r="S111" s="84" t="s">
        <v>8</v>
      </c>
      <c r="T111" s="83" t="s">
        <v>2394</v>
      </c>
    </row>
    <row r="112" spans="1:20" s="67" customFormat="1">
      <c r="A112" s="80">
        <v>128424874738</v>
      </c>
      <c r="B112" s="81" t="s">
        <v>3070</v>
      </c>
      <c r="C112" s="82">
        <v>45933</v>
      </c>
      <c r="D112" s="80">
        <v>51077435770</v>
      </c>
      <c r="E112" s="80">
        <v>2085261931869</v>
      </c>
      <c r="F112" s="83" t="s">
        <v>2387</v>
      </c>
      <c r="G112" s="83" t="s">
        <v>2388</v>
      </c>
      <c r="H112" s="83" t="s">
        <v>8</v>
      </c>
      <c r="I112" s="80" t="s">
        <v>8</v>
      </c>
      <c r="J112" s="84">
        <v>200.79</v>
      </c>
      <c r="K112" s="83" t="s">
        <v>2389</v>
      </c>
      <c r="L112" s="83" t="s">
        <v>2390</v>
      </c>
      <c r="M112" s="80" t="s">
        <v>2391</v>
      </c>
      <c r="N112" s="83" t="s">
        <v>2392</v>
      </c>
      <c r="O112" s="81" t="s">
        <v>8</v>
      </c>
      <c r="P112" s="83" t="s">
        <v>3085</v>
      </c>
      <c r="Q112" s="84">
        <v>20700</v>
      </c>
      <c r="R112" s="85" t="s">
        <v>8</v>
      </c>
      <c r="S112" s="84" t="s">
        <v>8</v>
      </c>
      <c r="T112" s="83" t="s">
        <v>2394</v>
      </c>
    </row>
    <row r="113" spans="1:20" s="67" customFormat="1">
      <c r="A113" s="80">
        <v>127858844639</v>
      </c>
      <c r="B113" s="81" t="s">
        <v>3070</v>
      </c>
      <c r="C113" s="82">
        <v>45933</v>
      </c>
      <c r="D113" s="80">
        <v>51077496713</v>
      </c>
      <c r="E113" s="80">
        <v>2085325485124</v>
      </c>
      <c r="F113" s="83" t="s">
        <v>2387</v>
      </c>
      <c r="G113" s="83" t="s">
        <v>2388</v>
      </c>
      <c r="H113" s="83" t="s">
        <v>8</v>
      </c>
      <c r="I113" s="80" t="s">
        <v>8</v>
      </c>
      <c r="J113" s="84">
        <v>431.65</v>
      </c>
      <c r="K113" s="83" t="s">
        <v>2389</v>
      </c>
      <c r="L113" s="83" t="s">
        <v>2390</v>
      </c>
      <c r="M113" s="80" t="s">
        <v>2391</v>
      </c>
      <c r="N113" s="83" t="s">
        <v>2392</v>
      </c>
      <c r="O113" s="81" t="s">
        <v>8</v>
      </c>
      <c r="P113" s="83" t="s">
        <v>3107</v>
      </c>
      <c r="Q113" s="84">
        <v>44500</v>
      </c>
      <c r="R113" s="85" t="s">
        <v>8</v>
      </c>
      <c r="S113" s="84" t="s">
        <v>8</v>
      </c>
      <c r="T113" s="83" t="s">
        <v>2394</v>
      </c>
    </row>
    <row r="114" spans="1:20" s="67" customFormat="1">
      <c r="A114" s="80">
        <v>127859163129</v>
      </c>
      <c r="B114" s="81" t="s">
        <v>3070</v>
      </c>
      <c r="C114" s="82">
        <v>45933</v>
      </c>
      <c r="D114" s="80">
        <v>51077624113</v>
      </c>
      <c r="E114" s="80">
        <v>2085329234854</v>
      </c>
      <c r="F114" s="83" t="s">
        <v>2387</v>
      </c>
      <c r="G114" s="83" t="s">
        <v>2388</v>
      </c>
      <c r="H114" s="83" t="s">
        <v>8</v>
      </c>
      <c r="I114" s="80" t="s">
        <v>8</v>
      </c>
      <c r="J114" s="84">
        <v>40.74</v>
      </c>
      <c r="K114" s="83" t="s">
        <v>2389</v>
      </c>
      <c r="L114" s="83" t="s">
        <v>2390</v>
      </c>
      <c r="M114" s="80" t="s">
        <v>2391</v>
      </c>
      <c r="N114" s="83" t="s">
        <v>2392</v>
      </c>
      <c r="O114" s="81" t="s">
        <v>8</v>
      </c>
      <c r="P114" s="83" t="s">
        <v>3108</v>
      </c>
      <c r="Q114" s="84">
        <v>4200</v>
      </c>
      <c r="R114" s="85" t="s">
        <v>8</v>
      </c>
      <c r="S114" s="84" t="s">
        <v>8</v>
      </c>
      <c r="T114" s="83" t="s">
        <v>2394</v>
      </c>
    </row>
    <row r="115" spans="1:20" s="67" customFormat="1">
      <c r="A115" s="80">
        <v>128425421186</v>
      </c>
      <c r="B115" s="81" t="s">
        <v>3070</v>
      </c>
      <c r="C115" s="82">
        <v>45933</v>
      </c>
      <c r="D115" s="80">
        <v>51077657699</v>
      </c>
      <c r="E115" s="80">
        <v>2085268488455</v>
      </c>
      <c r="F115" s="83" t="s">
        <v>2387</v>
      </c>
      <c r="G115" s="83" t="s">
        <v>2388</v>
      </c>
      <c r="H115" s="83" t="s">
        <v>8</v>
      </c>
      <c r="I115" s="80" t="s">
        <v>8</v>
      </c>
      <c r="J115" s="84">
        <v>23.28</v>
      </c>
      <c r="K115" s="83" t="s">
        <v>2389</v>
      </c>
      <c r="L115" s="83" t="s">
        <v>2390</v>
      </c>
      <c r="M115" s="80" t="s">
        <v>2391</v>
      </c>
      <c r="N115" s="83" t="s">
        <v>2392</v>
      </c>
      <c r="O115" s="81" t="s">
        <v>8</v>
      </c>
      <c r="P115" s="83" t="s">
        <v>3109</v>
      </c>
      <c r="Q115" s="84">
        <v>2400</v>
      </c>
      <c r="R115" s="85" t="s">
        <v>8</v>
      </c>
      <c r="S115" s="84" t="s">
        <v>8</v>
      </c>
      <c r="T115" s="83" t="s">
        <v>2394</v>
      </c>
    </row>
    <row r="116" spans="1:20" s="67" customFormat="1">
      <c r="A116" s="80">
        <v>127859446439</v>
      </c>
      <c r="B116" s="81" t="s">
        <v>3070</v>
      </c>
      <c r="C116" s="82">
        <v>45933</v>
      </c>
      <c r="D116" s="80">
        <v>51077698921</v>
      </c>
      <c r="E116" s="80">
        <v>2085331922356</v>
      </c>
      <c r="F116" s="83" t="s">
        <v>2411</v>
      </c>
      <c r="G116" s="83" t="s">
        <v>2388</v>
      </c>
      <c r="H116" s="83" t="s">
        <v>8</v>
      </c>
      <c r="I116" s="80" t="s">
        <v>8</v>
      </c>
      <c r="J116" s="84">
        <v>125.13</v>
      </c>
      <c r="K116" s="83" t="s">
        <v>2389</v>
      </c>
      <c r="L116" s="83" t="s">
        <v>2390</v>
      </c>
      <c r="M116" s="80" t="s">
        <v>2391</v>
      </c>
      <c r="N116" s="83" t="s">
        <v>2392</v>
      </c>
      <c r="O116" s="81" t="s">
        <v>8</v>
      </c>
      <c r="P116" s="83" t="s">
        <v>2412</v>
      </c>
      <c r="Q116" s="84">
        <v>12900</v>
      </c>
      <c r="R116" s="85" t="s">
        <v>8</v>
      </c>
      <c r="S116" s="84" t="s">
        <v>8</v>
      </c>
      <c r="T116" s="83" t="s">
        <v>8</v>
      </c>
    </row>
    <row r="117" spans="1:20" s="67" customFormat="1">
      <c r="A117" s="80">
        <v>128425586550</v>
      </c>
      <c r="B117" s="81" t="s">
        <v>3070</v>
      </c>
      <c r="C117" s="82">
        <v>45933</v>
      </c>
      <c r="D117" s="80">
        <v>51077706194</v>
      </c>
      <c r="E117" s="80">
        <v>2085269464231</v>
      </c>
      <c r="F117" s="83" t="s">
        <v>2401</v>
      </c>
      <c r="G117" s="83" t="s">
        <v>2388</v>
      </c>
      <c r="H117" s="83" t="s">
        <v>8</v>
      </c>
      <c r="I117" s="80" t="s">
        <v>8</v>
      </c>
      <c r="J117" s="84">
        <v>1575.38</v>
      </c>
      <c r="K117" s="83" t="s">
        <v>2389</v>
      </c>
      <c r="L117" s="83" t="s">
        <v>2402</v>
      </c>
      <c r="M117" s="80" t="s">
        <v>2391</v>
      </c>
      <c r="N117" s="83" t="s">
        <v>2392</v>
      </c>
      <c r="O117" s="81" t="s">
        <v>2055</v>
      </c>
      <c r="P117" s="83" t="s">
        <v>2403</v>
      </c>
      <c r="Q117" s="84">
        <v>34700</v>
      </c>
      <c r="R117" s="85" t="s">
        <v>8</v>
      </c>
      <c r="S117" s="84" t="s">
        <v>8</v>
      </c>
      <c r="T117" s="83" t="s">
        <v>2394</v>
      </c>
    </row>
    <row r="118" spans="1:20" s="67" customFormat="1">
      <c r="A118" s="80">
        <v>127859588493</v>
      </c>
      <c r="B118" s="81" t="s">
        <v>3070</v>
      </c>
      <c r="C118" s="82">
        <v>45933</v>
      </c>
      <c r="D118" s="80">
        <v>51077723573</v>
      </c>
      <c r="E118" s="80">
        <v>2085270892097</v>
      </c>
      <c r="F118" s="83" t="s">
        <v>2387</v>
      </c>
      <c r="G118" s="83" t="s">
        <v>2388</v>
      </c>
      <c r="H118" s="83" t="s">
        <v>8</v>
      </c>
      <c r="I118" s="80" t="s">
        <v>8</v>
      </c>
      <c r="J118" s="84">
        <v>1556.85</v>
      </c>
      <c r="K118" s="83" t="s">
        <v>2389</v>
      </c>
      <c r="L118" s="83" t="s">
        <v>2390</v>
      </c>
      <c r="M118" s="80" t="s">
        <v>2391</v>
      </c>
      <c r="N118" s="83" t="s">
        <v>2392</v>
      </c>
      <c r="O118" s="81" t="s">
        <v>8</v>
      </c>
      <c r="P118" s="83" t="s">
        <v>3110</v>
      </c>
      <c r="Q118" s="84">
        <v>160500</v>
      </c>
      <c r="R118" s="85" t="s">
        <v>8</v>
      </c>
      <c r="S118" s="84" t="s">
        <v>8</v>
      </c>
      <c r="T118" s="83" t="s">
        <v>2394</v>
      </c>
    </row>
    <row r="119" spans="1:20" s="67" customFormat="1">
      <c r="A119" s="80">
        <v>128425881632</v>
      </c>
      <c r="B119" s="81" t="s">
        <v>3070</v>
      </c>
      <c r="C119" s="82">
        <v>45933</v>
      </c>
      <c r="D119" s="80">
        <v>51077830951</v>
      </c>
      <c r="E119" s="80">
        <v>2085336438926</v>
      </c>
      <c r="F119" s="83" t="s">
        <v>2411</v>
      </c>
      <c r="G119" s="83" t="s">
        <v>2388</v>
      </c>
      <c r="H119" s="83" t="s">
        <v>8</v>
      </c>
      <c r="I119" s="80" t="s">
        <v>8</v>
      </c>
      <c r="J119" s="84">
        <v>145.5</v>
      </c>
      <c r="K119" s="83" t="s">
        <v>2389</v>
      </c>
      <c r="L119" s="83" t="s">
        <v>2390</v>
      </c>
      <c r="M119" s="80" t="s">
        <v>2391</v>
      </c>
      <c r="N119" s="83" t="s">
        <v>2392</v>
      </c>
      <c r="O119" s="81" t="s">
        <v>8</v>
      </c>
      <c r="P119" s="83" t="s">
        <v>2412</v>
      </c>
      <c r="Q119" s="84">
        <v>15000</v>
      </c>
      <c r="R119" s="85" t="s">
        <v>8</v>
      </c>
      <c r="S119" s="84" t="s">
        <v>8</v>
      </c>
      <c r="T119" s="83" t="s">
        <v>8</v>
      </c>
    </row>
    <row r="120" spans="1:20" s="67" customFormat="1">
      <c r="A120" s="80">
        <v>128425855926</v>
      </c>
      <c r="B120" s="81" t="s">
        <v>3070</v>
      </c>
      <c r="C120" s="82">
        <v>45933</v>
      </c>
      <c r="D120" s="80">
        <v>51077855664</v>
      </c>
      <c r="E120" s="80">
        <v>2085274854025</v>
      </c>
      <c r="F120" s="83" t="s">
        <v>2401</v>
      </c>
      <c r="G120" s="83" t="s">
        <v>2388</v>
      </c>
      <c r="H120" s="83" t="s">
        <v>8</v>
      </c>
      <c r="I120" s="80" t="s">
        <v>8</v>
      </c>
      <c r="J120" s="84">
        <v>176.85</v>
      </c>
      <c r="K120" s="83" t="s">
        <v>2389</v>
      </c>
      <c r="L120" s="83" t="s">
        <v>2402</v>
      </c>
      <c r="M120" s="80" t="s">
        <v>2391</v>
      </c>
      <c r="N120" s="83" t="s">
        <v>2392</v>
      </c>
      <c r="O120" s="81" t="s">
        <v>2055</v>
      </c>
      <c r="P120" s="83" t="s">
        <v>2403</v>
      </c>
      <c r="Q120" s="84">
        <v>4500</v>
      </c>
      <c r="R120" s="85" t="s">
        <v>8</v>
      </c>
      <c r="S120" s="84" t="s">
        <v>8</v>
      </c>
      <c r="T120" s="83" t="s">
        <v>2394</v>
      </c>
    </row>
    <row r="121" spans="1:20" s="67" customFormat="1">
      <c r="A121" s="80">
        <v>127859910765</v>
      </c>
      <c r="B121" s="81" t="s">
        <v>3070</v>
      </c>
      <c r="C121" s="82">
        <v>45933</v>
      </c>
      <c r="D121" s="80">
        <v>51077884630</v>
      </c>
      <c r="E121" s="80">
        <v>2085276185317</v>
      </c>
      <c r="F121" s="83" t="s">
        <v>2387</v>
      </c>
      <c r="G121" s="83" t="s">
        <v>2388</v>
      </c>
      <c r="H121" s="83" t="s">
        <v>8</v>
      </c>
      <c r="I121" s="80" t="s">
        <v>8</v>
      </c>
      <c r="J121" s="84">
        <v>43.65</v>
      </c>
      <c r="K121" s="83" t="s">
        <v>2389</v>
      </c>
      <c r="L121" s="83" t="s">
        <v>2390</v>
      </c>
      <c r="M121" s="80" t="s">
        <v>2391</v>
      </c>
      <c r="N121" s="83" t="s">
        <v>2392</v>
      </c>
      <c r="O121" s="81" t="s">
        <v>8</v>
      </c>
      <c r="P121" s="83" t="s">
        <v>3111</v>
      </c>
      <c r="Q121" s="84">
        <v>4500</v>
      </c>
      <c r="R121" s="85" t="s">
        <v>8</v>
      </c>
      <c r="S121" s="84" t="s">
        <v>8</v>
      </c>
      <c r="T121" s="83" t="s">
        <v>2394</v>
      </c>
    </row>
    <row r="122" spans="1:20" s="67" customFormat="1">
      <c r="A122" s="80">
        <v>128426216768</v>
      </c>
      <c r="B122" s="81" t="s">
        <v>3070</v>
      </c>
      <c r="C122" s="82">
        <v>45933</v>
      </c>
      <c r="D122" s="80">
        <v>51077901558</v>
      </c>
      <c r="E122" s="80">
        <v>2085338809292</v>
      </c>
      <c r="F122" s="83" t="s">
        <v>2387</v>
      </c>
      <c r="G122" s="83" t="s">
        <v>2388</v>
      </c>
      <c r="H122" s="83" t="s">
        <v>8</v>
      </c>
      <c r="I122" s="80" t="s">
        <v>8</v>
      </c>
      <c r="J122" s="84">
        <v>46.56</v>
      </c>
      <c r="K122" s="83" t="s">
        <v>2389</v>
      </c>
      <c r="L122" s="83" t="s">
        <v>2390</v>
      </c>
      <c r="M122" s="80" t="s">
        <v>2391</v>
      </c>
      <c r="N122" s="83" t="s">
        <v>2392</v>
      </c>
      <c r="O122" s="81" t="s">
        <v>8</v>
      </c>
      <c r="P122" s="83" t="s">
        <v>2955</v>
      </c>
      <c r="Q122" s="84">
        <v>4800</v>
      </c>
      <c r="R122" s="85" t="s">
        <v>8</v>
      </c>
      <c r="S122" s="84" t="s">
        <v>8</v>
      </c>
      <c r="T122" s="83" t="s">
        <v>2394</v>
      </c>
    </row>
    <row r="123" spans="1:20" s="67" customFormat="1">
      <c r="A123" s="80">
        <v>128426358946</v>
      </c>
      <c r="B123" s="81" t="s">
        <v>3070</v>
      </c>
      <c r="C123" s="82">
        <v>45933</v>
      </c>
      <c r="D123" s="80">
        <v>51077969805</v>
      </c>
      <c r="E123" s="80">
        <v>2085341017592</v>
      </c>
      <c r="F123" s="83" t="s">
        <v>2401</v>
      </c>
      <c r="G123" s="83" t="s">
        <v>2388</v>
      </c>
      <c r="H123" s="83" t="s">
        <v>8</v>
      </c>
      <c r="I123" s="80" t="s">
        <v>8</v>
      </c>
      <c r="J123" s="84">
        <v>1658.98</v>
      </c>
      <c r="K123" s="83" t="s">
        <v>2389</v>
      </c>
      <c r="L123" s="83" t="s">
        <v>2402</v>
      </c>
      <c r="M123" s="80" t="s">
        <v>2391</v>
      </c>
      <c r="N123" s="83" t="s">
        <v>2392</v>
      </c>
      <c r="O123" s="81" t="s">
        <v>2055</v>
      </c>
      <c r="P123" s="83" t="s">
        <v>2403</v>
      </c>
      <c r="Q123" s="84">
        <v>21800</v>
      </c>
      <c r="R123" s="85" t="s">
        <v>8</v>
      </c>
      <c r="S123" s="84" t="s">
        <v>8</v>
      </c>
      <c r="T123" s="83" t="s">
        <v>2394</v>
      </c>
    </row>
    <row r="124" spans="1:20" s="67" customFormat="1">
      <c r="A124" s="80">
        <v>127860445179</v>
      </c>
      <c r="B124" s="81" t="s">
        <v>3070</v>
      </c>
      <c r="C124" s="82">
        <v>45933</v>
      </c>
      <c r="D124" s="80">
        <v>51078091018</v>
      </c>
      <c r="E124" s="80">
        <v>2085282912043</v>
      </c>
      <c r="F124" s="83" t="s">
        <v>2387</v>
      </c>
      <c r="G124" s="83" t="s">
        <v>2388</v>
      </c>
      <c r="H124" s="83" t="s">
        <v>8</v>
      </c>
      <c r="I124" s="80" t="s">
        <v>8</v>
      </c>
      <c r="J124" s="84">
        <v>226.98</v>
      </c>
      <c r="K124" s="83" t="s">
        <v>2389</v>
      </c>
      <c r="L124" s="83" t="s">
        <v>2390</v>
      </c>
      <c r="M124" s="80" t="s">
        <v>2391</v>
      </c>
      <c r="N124" s="83" t="s">
        <v>2392</v>
      </c>
      <c r="O124" s="81" t="s">
        <v>8</v>
      </c>
      <c r="P124" s="83" t="s">
        <v>2960</v>
      </c>
      <c r="Q124" s="84">
        <v>23400</v>
      </c>
      <c r="R124" s="85" t="s">
        <v>8</v>
      </c>
      <c r="S124" s="84" t="s">
        <v>8</v>
      </c>
      <c r="T124" s="83" t="s">
        <v>2394</v>
      </c>
    </row>
    <row r="125" spans="1:20" s="67" customFormat="1">
      <c r="A125" s="80">
        <v>128426737424</v>
      </c>
      <c r="B125" s="81" t="s">
        <v>3070</v>
      </c>
      <c r="C125" s="82">
        <v>45933</v>
      </c>
      <c r="D125" s="80">
        <v>51078123640</v>
      </c>
      <c r="E125" s="80">
        <v>2085284261671</v>
      </c>
      <c r="F125" s="83" t="s">
        <v>2387</v>
      </c>
      <c r="G125" s="83" t="s">
        <v>2388</v>
      </c>
      <c r="H125" s="83" t="s">
        <v>8</v>
      </c>
      <c r="I125" s="80" t="s">
        <v>8</v>
      </c>
      <c r="J125" s="84">
        <v>761</v>
      </c>
      <c r="K125" s="83" t="s">
        <v>2389</v>
      </c>
      <c r="L125" s="83" t="s">
        <v>2390</v>
      </c>
      <c r="M125" s="80" t="s">
        <v>2391</v>
      </c>
      <c r="N125" s="83" t="s">
        <v>2392</v>
      </c>
      <c r="O125" s="81" t="s">
        <v>8</v>
      </c>
      <c r="P125" s="83" t="s">
        <v>2504</v>
      </c>
      <c r="Q125" s="84">
        <v>10000</v>
      </c>
      <c r="R125" s="85" t="s">
        <v>8</v>
      </c>
      <c r="S125" s="84" t="s">
        <v>8</v>
      </c>
      <c r="T125" s="83" t="s">
        <v>2394</v>
      </c>
    </row>
    <row r="126" spans="1:20" s="67" customFormat="1">
      <c r="A126" s="80">
        <v>128426740974</v>
      </c>
      <c r="B126" s="81" t="s">
        <v>3070</v>
      </c>
      <c r="C126" s="82">
        <v>45933</v>
      </c>
      <c r="D126" s="80">
        <v>51078125776</v>
      </c>
      <c r="E126" s="80">
        <v>2085345250416</v>
      </c>
      <c r="F126" s="83" t="s">
        <v>2387</v>
      </c>
      <c r="G126" s="83" t="s">
        <v>2388</v>
      </c>
      <c r="H126" s="83" t="s">
        <v>8</v>
      </c>
      <c r="I126" s="80" t="s">
        <v>8</v>
      </c>
      <c r="J126" s="84">
        <v>135.80000000000001</v>
      </c>
      <c r="K126" s="83" t="s">
        <v>2389</v>
      </c>
      <c r="L126" s="83" t="s">
        <v>2390</v>
      </c>
      <c r="M126" s="80" t="s">
        <v>2391</v>
      </c>
      <c r="N126" s="83" t="s">
        <v>2392</v>
      </c>
      <c r="O126" s="81" t="s">
        <v>8</v>
      </c>
      <c r="P126" s="83" t="s">
        <v>3112</v>
      </c>
      <c r="Q126" s="84">
        <v>14000</v>
      </c>
      <c r="R126" s="85" t="s">
        <v>8</v>
      </c>
      <c r="S126" s="84" t="s">
        <v>8</v>
      </c>
      <c r="T126" s="83" t="s">
        <v>2394</v>
      </c>
    </row>
    <row r="127" spans="1:20" s="67" customFormat="1">
      <c r="A127" s="80">
        <v>128426964542</v>
      </c>
      <c r="B127" s="81" t="s">
        <v>3070</v>
      </c>
      <c r="C127" s="82">
        <v>45933</v>
      </c>
      <c r="D127" s="80">
        <v>51078187330</v>
      </c>
      <c r="E127" s="80">
        <v>2085347424098</v>
      </c>
      <c r="F127" s="83" t="s">
        <v>2387</v>
      </c>
      <c r="G127" s="83" t="s">
        <v>2388</v>
      </c>
      <c r="H127" s="83" t="s">
        <v>8</v>
      </c>
      <c r="I127" s="80" t="s">
        <v>8</v>
      </c>
      <c r="J127" s="84">
        <v>188.18</v>
      </c>
      <c r="K127" s="83" t="s">
        <v>2389</v>
      </c>
      <c r="L127" s="83" t="s">
        <v>2390</v>
      </c>
      <c r="M127" s="80" t="s">
        <v>2391</v>
      </c>
      <c r="N127" s="83" t="s">
        <v>2392</v>
      </c>
      <c r="O127" s="81" t="s">
        <v>8</v>
      </c>
      <c r="P127" s="83" t="s">
        <v>3113</v>
      </c>
      <c r="Q127" s="84">
        <v>19400</v>
      </c>
      <c r="R127" s="85" t="s">
        <v>8</v>
      </c>
      <c r="S127" s="84" t="s">
        <v>8</v>
      </c>
      <c r="T127" s="83" t="s">
        <v>2394</v>
      </c>
    </row>
    <row r="128" spans="1:20" s="67" customFormat="1">
      <c r="A128" s="80">
        <v>128426857870</v>
      </c>
      <c r="B128" s="81" t="s">
        <v>3070</v>
      </c>
      <c r="C128" s="82">
        <v>45933</v>
      </c>
      <c r="D128" s="80">
        <v>51078215402</v>
      </c>
      <c r="E128" s="80">
        <v>2085348669930</v>
      </c>
      <c r="F128" s="83" t="s">
        <v>2387</v>
      </c>
      <c r="G128" s="83" t="s">
        <v>2388</v>
      </c>
      <c r="H128" s="83" t="s">
        <v>8</v>
      </c>
      <c r="I128" s="80" t="s">
        <v>8</v>
      </c>
      <c r="J128" s="84">
        <v>140.65</v>
      </c>
      <c r="K128" s="83" t="s">
        <v>2389</v>
      </c>
      <c r="L128" s="83" t="s">
        <v>2390</v>
      </c>
      <c r="M128" s="80" t="s">
        <v>2391</v>
      </c>
      <c r="N128" s="83" t="s">
        <v>2392</v>
      </c>
      <c r="O128" s="81" t="s">
        <v>8</v>
      </c>
      <c r="P128" s="83" t="s">
        <v>3114</v>
      </c>
      <c r="Q128" s="84">
        <v>14500</v>
      </c>
      <c r="R128" s="85" t="s">
        <v>8</v>
      </c>
      <c r="S128" s="84" t="s">
        <v>8</v>
      </c>
      <c r="T128" s="83" t="s">
        <v>2394</v>
      </c>
    </row>
    <row r="129" spans="1:20" s="67" customFormat="1">
      <c r="A129" s="80">
        <v>127860773495</v>
      </c>
      <c r="B129" s="81" t="s">
        <v>3070</v>
      </c>
      <c r="C129" s="82">
        <v>45933</v>
      </c>
      <c r="D129" s="80">
        <v>51078245780</v>
      </c>
      <c r="E129" s="80">
        <v>2085287142761</v>
      </c>
      <c r="F129" s="83" t="s">
        <v>2387</v>
      </c>
      <c r="G129" s="83" t="s">
        <v>2388</v>
      </c>
      <c r="H129" s="83" t="s">
        <v>8</v>
      </c>
      <c r="I129" s="80" t="s">
        <v>8</v>
      </c>
      <c r="J129" s="84">
        <v>40.74</v>
      </c>
      <c r="K129" s="83" t="s">
        <v>2389</v>
      </c>
      <c r="L129" s="83" t="s">
        <v>2390</v>
      </c>
      <c r="M129" s="80" t="s">
        <v>2391</v>
      </c>
      <c r="N129" s="83" t="s">
        <v>2392</v>
      </c>
      <c r="O129" s="81" t="s">
        <v>8</v>
      </c>
      <c r="P129" s="83" t="s">
        <v>2713</v>
      </c>
      <c r="Q129" s="84">
        <v>4200</v>
      </c>
      <c r="R129" s="85" t="s">
        <v>8</v>
      </c>
      <c r="S129" s="84" t="s">
        <v>8</v>
      </c>
      <c r="T129" s="83" t="s">
        <v>2394</v>
      </c>
    </row>
    <row r="130" spans="1:20" s="67" customFormat="1">
      <c r="A130" s="80">
        <v>128427183126</v>
      </c>
      <c r="B130" s="81" t="s">
        <v>3070</v>
      </c>
      <c r="C130" s="82">
        <v>45933</v>
      </c>
      <c r="D130" s="80">
        <v>51078296179</v>
      </c>
      <c r="E130" s="80">
        <v>2085289424373</v>
      </c>
      <c r="F130" s="83" t="s">
        <v>2387</v>
      </c>
      <c r="G130" s="83" t="s">
        <v>2388</v>
      </c>
      <c r="H130" s="83" t="s">
        <v>8</v>
      </c>
      <c r="I130" s="80" t="s">
        <v>8</v>
      </c>
      <c r="J130" s="84">
        <v>378.3</v>
      </c>
      <c r="K130" s="83" t="s">
        <v>2389</v>
      </c>
      <c r="L130" s="83" t="s">
        <v>2390</v>
      </c>
      <c r="M130" s="80" t="s">
        <v>2391</v>
      </c>
      <c r="N130" s="83" t="s">
        <v>2392</v>
      </c>
      <c r="O130" s="81" t="s">
        <v>8</v>
      </c>
      <c r="P130" s="83" t="s">
        <v>3115</v>
      </c>
      <c r="Q130" s="84">
        <v>39000</v>
      </c>
      <c r="R130" s="85" t="s">
        <v>8</v>
      </c>
      <c r="S130" s="84" t="s">
        <v>8</v>
      </c>
      <c r="T130" s="83" t="s">
        <v>2394</v>
      </c>
    </row>
    <row r="131" spans="1:20" s="67" customFormat="1">
      <c r="A131" s="80">
        <v>128427296372</v>
      </c>
      <c r="B131" s="81" t="s">
        <v>3070</v>
      </c>
      <c r="C131" s="82">
        <v>45933</v>
      </c>
      <c r="D131" s="80">
        <v>51078309863</v>
      </c>
      <c r="E131" s="80">
        <v>2085289836065</v>
      </c>
      <c r="F131" s="83" t="s">
        <v>2387</v>
      </c>
      <c r="G131" s="83" t="s">
        <v>2388</v>
      </c>
      <c r="H131" s="83" t="s">
        <v>8</v>
      </c>
      <c r="I131" s="80" t="s">
        <v>8</v>
      </c>
      <c r="J131" s="84">
        <v>271.60000000000002</v>
      </c>
      <c r="K131" s="83" t="s">
        <v>2389</v>
      </c>
      <c r="L131" s="83" t="s">
        <v>2390</v>
      </c>
      <c r="M131" s="80" t="s">
        <v>2391</v>
      </c>
      <c r="N131" s="83" t="s">
        <v>2392</v>
      </c>
      <c r="O131" s="81" t="s">
        <v>8</v>
      </c>
      <c r="P131" s="83" t="s">
        <v>3116</v>
      </c>
      <c r="Q131" s="84">
        <v>28000</v>
      </c>
      <c r="R131" s="85" t="s">
        <v>8</v>
      </c>
      <c r="S131" s="84" t="s">
        <v>8</v>
      </c>
      <c r="T131" s="83" t="s">
        <v>2394</v>
      </c>
    </row>
    <row r="132" spans="1:20" s="67" customFormat="1">
      <c r="A132" s="80">
        <v>128532328060</v>
      </c>
      <c r="B132" s="81" t="s">
        <v>3070</v>
      </c>
      <c r="C132" s="82">
        <v>45933</v>
      </c>
      <c r="D132" s="80">
        <v>51115802717</v>
      </c>
      <c r="E132" s="80">
        <v>2086036173056</v>
      </c>
      <c r="F132" s="83" t="s">
        <v>2401</v>
      </c>
      <c r="G132" s="83" t="s">
        <v>2388</v>
      </c>
      <c r="H132" s="83" t="s">
        <v>8</v>
      </c>
      <c r="I132" s="80" t="s">
        <v>8</v>
      </c>
      <c r="J132" s="84">
        <v>1454.1</v>
      </c>
      <c r="K132" s="83" t="s">
        <v>2389</v>
      </c>
      <c r="L132" s="83" t="s">
        <v>2402</v>
      </c>
      <c r="M132" s="80" t="s">
        <v>2391</v>
      </c>
      <c r="N132" s="83" t="s">
        <v>2392</v>
      </c>
      <c r="O132" s="81" t="s">
        <v>2055</v>
      </c>
      <c r="P132" s="83" t="s">
        <v>2403</v>
      </c>
      <c r="Q132" s="84">
        <v>37000</v>
      </c>
      <c r="R132" s="85" t="s">
        <v>8</v>
      </c>
      <c r="S132" s="84" t="s">
        <v>8</v>
      </c>
      <c r="T132" s="83" t="s">
        <v>2394</v>
      </c>
    </row>
    <row r="133" spans="1:20" s="67" customFormat="1">
      <c r="A133" s="80">
        <v>128538963780</v>
      </c>
      <c r="B133" s="81" t="s">
        <v>3070</v>
      </c>
      <c r="C133" s="82">
        <v>45933</v>
      </c>
      <c r="D133" s="80">
        <v>51118134676</v>
      </c>
      <c r="E133" s="80">
        <v>2086013506383</v>
      </c>
      <c r="F133" s="83" t="s">
        <v>2387</v>
      </c>
      <c r="G133" s="83" t="s">
        <v>2388</v>
      </c>
      <c r="H133" s="83" t="s">
        <v>8</v>
      </c>
      <c r="I133" s="80" t="s">
        <v>8</v>
      </c>
      <c r="J133" s="84">
        <v>93.12</v>
      </c>
      <c r="K133" s="83" t="s">
        <v>2389</v>
      </c>
      <c r="L133" s="83" t="s">
        <v>2390</v>
      </c>
      <c r="M133" s="80" t="s">
        <v>2391</v>
      </c>
      <c r="N133" s="83" t="s">
        <v>2392</v>
      </c>
      <c r="O133" s="81" t="s">
        <v>8</v>
      </c>
      <c r="P133" s="83" t="s">
        <v>2885</v>
      </c>
      <c r="Q133" s="84">
        <v>9600</v>
      </c>
      <c r="R133" s="85" t="s">
        <v>8</v>
      </c>
      <c r="S133" s="84" t="s">
        <v>8</v>
      </c>
      <c r="T133" s="83" t="s">
        <v>2394</v>
      </c>
    </row>
    <row r="134" spans="1:20" s="67" customFormat="1">
      <c r="A134" s="80">
        <v>128541606502</v>
      </c>
      <c r="B134" s="81" t="s">
        <v>3070</v>
      </c>
      <c r="C134" s="82">
        <v>45933</v>
      </c>
      <c r="D134" s="80">
        <v>51119071969</v>
      </c>
      <c r="E134" s="80">
        <v>2086029531471</v>
      </c>
      <c r="F134" s="83" t="s">
        <v>2387</v>
      </c>
      <c r="G134" s="83" t="s">
        <v>2388</v>
      </c>
      <c r="H134" s="83" t="s">
        <v>8</v>
      </c>
      <c r="I134" s="80" t="s">
        <v>8</v>
      </c>
      <c r="J134" s="84">
        <v>3234.25</v>
      </c>
      <c r="K134" s="83" t="s">
        <v>2389</v>
      </c>
      <c r="L134" s="83" t="s">
        <v>2390</v>
      </c>
      <c r="M134" s="80" t="s">
        <v>2391</v>
      </c>
      <c r="N134" s="83" t="s">
        <v>2392</v>
      </c>
      <c r="O134" s="81" t="s">
        <v>8</v>
      </c>
      <c r="P134" s="83" t="s">
        <v>2527</v>
      </c>
      <c r="Q134" s="84">
        <v>42500</v>
      </c>
      <c r="R134" s="85" t="s">
        <v>8</v>
      </c>
      <c r="S134" s="84" t="s">
        <v>8</v>
      </c>
      <c r="T134" s="83" t="s">
        <v>2394</v>
      </c>
    </row>
    <row r="135" spans="1:20" s="67" customFormat="1">
      <c r="A135" s="80">
        <v>127975227343</v>
      </c>
      <c r="B135" s="81" t="s">
        <v>3070</v>
      </c>
      <c r="C135" s="82">
        <v>45933</v>
      </c>
      <c r="D135" s="80">
        <v>51119357105</v>
      </c>
      <c r="E135" s="80">
        <v>2086034616713</v>
      </c>
      <c r="F135" s="83" t="s">
        <v>2387</v>
      </c>
      <c r="G135" s="83" t="s">
        <v>2388</v>
      </c>
      <c r="H135" s="83" t="s">
        <v>8</v>
      </c>
      <c r="I135" s="80" t="s">
        <v>8</v>
      </c>
      <c r="J135" s="84">
        <v>95.06</v>
      </c>
      <c r="K135" s="83" t="s">
        <v>2389</v>
      </c>
      <c r="L135" s="83" t="s">
        <v>2390</v>
      </c>
      <c r="M135" s="80" t="s">
        <v>2391</v>
      </c>
      <c r="N135" s="83" t="s">
        <v>2392</v>
      </c>
      <c r="O135" s="81" t="s">
        <v>8</v>
      </c>
      <c r="P135" s="83" t="s">
        <v>3117</v>
      </c>
      <c r="Q135" s="84">
        <v>9800</v>
      </c>
      <c r="R135" s="85" t="s">
        <v>8</v>
      </c>
      <c r="S135" s="84" t="s">
        <v>8</v>
      </c>
      <c r="T135" s="83" t="s">
        <v>2394</v>
      </c>
    </row>
    <row r="136" spans="1:20" s="67" customFormat="1">
      <c r="A136" s="80">
        <v>127975543977</v>
      </c>
      <c r="B136" s="81" t="s">
        <v>3070</v>
      </c>
      <c r="C136" s="82">
        <v>45933</v>
      </c>
      <c r="D136" s="80">
        <v>51119504805</v>
      </c>
      <c r="E136" s="80">
        <v>2086099586848</v>
      </c>
      <c r="F136" s="83" t="s">
        <v>2387</v>
      </c>
      <c r="G136" s="83" t="s">
        <v>2388</v>
      </c>
      <c r="H136" s="83" t="s">
        <v>8</v>
      </c>
      <c r="I136" s="80" t="s">
        <v>8</v>
      </c>
      <c r="J136" s="84">
        <v>129.01</v>
      </c>
      <c r="K136" s="83" t="s">
        <v>2389</v>
      </c>
      <c r="L136" s="83" t="s">
        <v>2390</v>
      </c>
      <c r="M136" s="80" t="s">
        <v>2391</v>
      </c>
      <c r="N136" s="83" t="s">
        <v>2392</v>
      </c>
      <c r="O136" s="81" t="s">
        <v>8</v>
      </c>
      <c r="P136" s="83" t="s">
        <v>3118</v>
      </c>
      <c r="Q136" s="84">
        <v>13300</v>
      </c>
      <c r="R136" s="85" t="s">
        <v>8</v>
      </c>
      <c r="S136" s="84" t="s">
        <v>8</v>
      </c>
      <c r="T136" s="83" t="s">
        <v>2394</v>
      </c>
    </row>
    <row r="137" spans="1:20" s="67" customFormat="1">
      <c r="A137" s="80">
        <v>128544354086</v>
      </c>
      <c r="B137" s="81" t="s">
        <v>3070</v>
      </c>
      <c r="C137" s="82">
        <v>45933</v>
      </c>
      <c r="D137" s="80">
        <v>51120089039</v>
      </c>
      <c r="E137" s="80">
        <v>2086048074339</v>
      </c>
      <c r="F137" s="83" t="s">
        <v>2401</v>
      </c>
      <c r="G137" s="83" t="s">
        <v>2388</v>
      </c>
      <c r="H137" s="83" t="s">
        <v>8</v>
      </c>
      <c r="I137" s="80" t="s">
        <v>8</v>
      </c>
      <c r="J137" s="84">
        <v>1127.9100000000001</v>
      </c>
      <c r="K137" s="83" t="s">
        <v>2389</v>
      </c>
      <c r="L137" s="83" t="s">
        <v>2402</v>
      </c>
      <c r="M137" s="80" t="s">
        <v>2391</v>
      </c>
      <c r="N137" s="83" t="s">
        <v>2392</v>
      </c>
      <c r="O137" s="81" t="s">
        <v>2055</v>
      </c>
      <c r="P137" s="83" t="s">
        <v>2403</v>
      </c>
      <c r="Q137" s="84">
        <v>28700</v>
      </c>
      <c r="R137" s="85" t="s">
        <v>8</v>
      </c>
      <c r="S137" s="84" t="s">
        <v>8</v>
      </c>
      <c r="T137" s="83" t="s">
        <v>2394</v>
      </c>
    </row>
    <row r="138" spans="1:20" s="67" customFormat="1">
      <c r="A138" s="80">
        <v>127978952503</v>
      </c>
      <c r="B138" s="81" t="s">
        <v>3070</v>
      </c>
      <c r="C138" s="82">
        <v>45933</v>
      </c>
      <c r="D138" s="80">
        <v>51120584180</v>
      </c>
      <c r="E138" s="80">
        <v>2086120471634</v>
      </c>
      <c r="F138" s="83" t="s">
        <v>2387</v>
      </c>
      <c r="G138" s="83" t="s">
        <v>2388</v>
      </c>
      <c r="H138" s="83" t="s">
        <v>8</v>
      </c>
      <c r="I138" s="80" t="s">
        <v>8</v>
      </c>
      <c r="J138" s="84">
        <v>149.38</v>
      </c>
      <c r="K138" s="83" t="s">
        <v>2389</v>
      </c>
      <c r="L138" s="83" t="s">
        <v>2390</v>
      </c>
      <c r="M138" s="80" t="s">
        <v>2391</v>
      </c>
      <c r="N138" s="83" t="s">
        <v>2392</v>
      </c>
      <c r="O138" s="81" t="s">
        <v>8</v>
      </c>
      <c r="P138" s="83" t="s">
        <v>3119</v>
      </c>
      <c r="Q138" s="84">
        <v>15400</v>
      </c>
      <c r="R138" s="85" t="s">
        <v>8</v>
      </c>
      <c r="S138" s="84" t="s">
        <v>8</v>
      </c>
      <c r="T138" s="83" t="s">
        <v>2394</v>
      </c>
    </row>
    <row r="139" spans="1:20" s="67" customFormat="1">
      <c r="A139" s="80">
        <v>127978785635</v>
      </c>
      <c r="B139" s="81" t="s">
        <v>3070</v>
      </c>
      <c r="C139" s="82">
        <v>45933</v>
      </c>
      <c r="D139" s="80">
        <v>51120591358</v>
      </c>
      <c r="E139" s="80">
        <v>2086120360536</v>
      </c>
      <c r="F139" s="83" t="s">
        <v>2387</v>
      </c>
      <c r="G139" s="83" t="s">
        <v>2388</v>
      </c>
      <c r="H139" s="83" t="s">
        <v>8</v>
      </c>
      <c r="I139" s="80" t="s">
        <v>8</v>
      </c>
      <c r="J139" s="84">
        <v>77.599999999999994</v>
      </c>
      <c r="K139" s="83" t="s">
        <v>2389</v>
      </c>
      <c r="L139" s="83" t="s">
        <v>2390</v>
      </c>
      <c r="M139" s="80" t="s">
        <v>2391</v>
      </c>
      <c r="N139" s="83" t="s">
        <v>2392</v>
      </c>
      <c r="O139" s="81" t="s">
        <v>8</v>
      </c>
      <c r="P139" s="83" t="s">
        <v>2805</v>
      </c>
      <c r="Q139" s="84">
        <v>8000</v>
      </c>
      <c r="R139" s="85" t="s">
        <v>8</v>
      </c>
      <c r="S139" s="84" t="s">
        <v>8</v>
      </c>
      <c r="T139" s="83" t="s">
        <v>2394</v>
      </c>
    </row>
    <row r="140" spans="1:20" s="67" customFormat="1">
      <c r="A140" s="80">
        <v>128546191150</v>
      </c>
      <c r="B140" s="81" t="s">
        <v>3070</v>
      </c>
      <c r="C140" s="82">
        <v>45933</v>
      </c>
      <c r="D140" s="80">
        <v>51120624090</v>
      </c>
      <c r="E140" s="80">
        <v>2086058709589</v>
      </c>
      <c r="F140" s="83" t="s">
        <v>2387</v>
      </c>
      <c r="G140" s="83" t="s">
        <v>2388</v>
      </c>
      <c r="H140" s="83" t="s">
        <v>8</v>
      </c>
      <c r="I140" s="80" t="s">
        <v>8</v>
      </c>
      <c r="J140" s="84">
        <v>93.12</v>
      </c>
      <c r="K140" s="83" t="s">
        <v>2389</v>
      </c>
      <c r="L140" s="83" t="s">
        <v>2390</v>
      </c>
      <c r="M140" s="80" t="s">
        <v>2391</v>
      </c>
      <c r="N140" s="83" t="s">
        <v>2392</v>
      </c>
      <c r="O140" s="81" t="s">
        <v>8</v>
      </c>
      <c r="P140" s="83" t="s">
        <v>3120</v>
      </c>
      <c r="Q140" s="84">
        <v>9600</v>
      </c>
      <c r="R140" s="85" t="s">
        <v>8</v>
      </c>
      <c r="S140" s="84" t="s">
        <v>8</v>
      </c>
      <c r="T140" s="83" t="s">
        <v>2394</v>
      </c>
    </row>
    <row r="141" spans="1:20" s="67" customFormat="1">
      <c r="A141" s="80">
        <v>127979226453</v>
      </c>
      <c r="B141" s="81" t="s">
        <v>3070</v>
      </c>
      <c r="C141" s="82">
        <v>45933</v>
      </c>
      <c r="D141" s="80">
        <v>51120671162</v>
      </c>
      <c r="E141" s="80">
        <v>2086059336259</v>
      </c>
      <c r="F141" s="83" t="s">
        <v>2401</v>
      </c>
      <c r="G141" s="83" t="s">
        <v>2388</v>
      </c>
      <c r="H141" s="83" t="s">
        <v>8</v>
      </c>
      <c r="I141" s="80" t="s">
        <v>8</v>
      </c>
      <c r="J141" s="84">
        <v>330.12</v>
      </c>
      <c r="K141" s="83" t="s">
        <v>2389</v>
      </c>
      <c r="L141" s="83" t="s">
        <v>2402</v>
      </c>
      <c r="M141" s="80" t="s">
        <v>2391</v>
      </c>
      <c r="N141" s="83" t="s">
        <v>2392</v>
      </c>
      <c r="O141" s="81" t="s">
        <v>2055</v>
      </c>
      <c r="P141" s="83" t="s">
        <v>2403</v>
      </c>
      <c r="Q141" s="84">
        <v>8400</v>
      </c>
      <c r="R141" s="85" t="s">
        <v>8</v>
      </c>
      <c r="S141" s="84" t="s">
        <v>8</v>
      </c>
      <c r="T141" s="83" t="s">
        <v>2394</v>
      </c>
    </row>
    <row r="142" spans="1:20" s="67" customFormat="1">
      <c r="A142" s="80">
        <v>128552186160</v>
      </c>
      <c r="B142" s="81" t="s">
        <v>3070</v>
      </c>
      <c r="C142" s="82">
        <v>45933</v>
      </c>
      <c r="D142" s="80">
        <v>51122618011</v>
      </c>
      <c r="E142" s="80">
        <v>2086098646421</v>
      </c>
      <c r="F142" s="83" t="s">
        <v>2387</v>
      </c>
      <c r="G142" s="83" t="s">
        <v>2388</v>
      </c>
      <c r="H142" s="83" t="s">
        <v>8</v>
      </c>
      <c r="I142" s="80" t="s">
        <v>8</v>
      </c>
      <c r="J142" s="84">
        <v>22.31</v>
      </c>
      <c r="K142" s="83" t="s">
        <v>2389</v>
      </c>
      <c r="L142" s="83" t="s">
        <v>2390</v>
      </c>
      <c r="M142" s="80" t="s">
        <v>2391</v>
      </c>
      <c r="N142" s="83" t="s">
        <v>2392</v>
      </c>
      <c r="O142" s="81" t="s">
        <v>8</v>
      </c>
      <c r="P142" s="83" t="s">
        <v>3121</v>
      </c>
      <c r="Q142" s="84">
        <v>2300</v>
      </c>
      <c r="R142" s="85" t="s">
        <v>8</v>
      </c>
      <c r="S142" s="84" t="s">
        <v>8</v>
      </c>
      <c r="T142" s="83" t="s">
        <v>2394</v>
      </c>
    </row>
    <row r="143" spans="1:20" s="67" customFormat="1">
      <c r="A143" s="80">
        <v>128553170088</v>
      </c>
      <c r="B143" s="81" t="s">
        <v>3070</v>
      </c>
      <c r="C143" s="82">
        <v>45933</v>
      </c>
      <c r="D143" s="80">
        <v>51122972630</v>
      </c>
      <c r="E143" s="80">
        <v>2086169654132</v>
      </c>
      <c r="F143" s="83" t="s">
        <v>2387</v>
      </c>
      <c r="G143" s="83" t="s">
        <v>2388</v>
      </c>
      <c r="H143" s="83" t="s">
        <v>8</v>
      </c>
      <c r="I143" s="80" t="s">
        <v>8</v>
      </c>
      <c r="J143" s="84">
        <v>97</v>
      </c>
      <c r="K143" s="83" t="s">
        <v>2389</v>
      </c>
      <c r="L143" s="83" t="s">
        <v>2390</v>
      </c>
      <c r="M143" s="80" t="s">
        <v>2391</v>
      </c>
      <c r="N143" s="83" t="s">
        <v>2392</v>
      </c>
      <c r="O143" s="81" t="s">
        <v>8</v>
      </c>
      <c r="P143" s="83" t="s">
        <v>3122</v>
      </c>
      <c r="Q143" s="84">
        <v>10000</v>
      </c>
      <c r="R143" s="85" t="s">
        <v>8</v>
      </c>
      <c r="S143" s="84" t="s">
        <v>8</v>
      </c>
      <c r="T143" s="83" t="s">
        <v>2394</v>
      </c>
    </row>
    <row r="144" spans="1:20" s="67" customFormat="1">
      <c r="A144" s="80">
        <v>127987036961</v>
      </c>
      <c r="B144" s="81" t="s">
        <v>3070</v>
      </c>
      <c r="C144" s="82">
        <v>45933</v>
      </c>
      <c r="D144" s="80">
        <v>51123295230</v>
      </c>
      <c r="E144" s="80">
        <v>2086175406372</v>
      </c>
      <c r="F144" s="83" t="s">
        <v>2401</v>
      </c>
      <c r="G144" s="83" t="s">
        <v>2388</v>
      </c>
      <c r="H144" s="83" t="s">
        <v>8</v>
      </c>
      <c r="I144" s="80" t="s">
        <v>8</v>
      </c>
      <c r="J144" s="84">
        <v>381.36</v>
      </c>
      <c r="K144" s="83" t="s">
        <v>2389</v>
      </c>
      <c r="L144" s="83" t="s">
        <v>2402</v>
      </c>
      <c r="M144" s="80" t="s">
        <v>2391</v>
      </c>
      <c r="N144" s="83" t="s">
        <v>2392</v>
      </c>
      <c r="O144" s="81" t="s">
        <v>2055</v>
      </c>
      <c r="P144" s="83" t="s">
        <v>2403</v>
      </c>
      <c r="Q144" s="84">
        <v>8400</v>
      </c>
      <c r="R144" s="85" t="s">
        <v>8</v>
      </c>
      <c r="S144" s="84" t="s">
        <v>8</v>
      </c>
      <c r="T144" s="83" t="s">
        <v>2394</v>
      </c>
    </row>
    <row r="145" spans="1:20" s="67" customFormat="1">
      <c r="A145" s="80">
        <v>128554292288</v>
      </c>
      <c r="B145" s="81" t="s">
        <v>3070</v>
      </c>
      <c r="C145" s="82">
        <v>45933</v>
      </c>
      <c r="D145" s="80">
        <v>51123360340</v>
      </c>
      <c r="E145" s="80">
        <v>2086114554533</v>
      </c>
      <c r="F145" s="83" t="s">
        <v>2387</v>
      </c>
      <c r="G145" s="83" t="s">
        <v>2388</v>
      </c>
      <c r="H145" s="83" t="s">
        <v>8</v>
      </c>
      <c r="I145" s="80" t="s">
        <v>8</v>
      </c>
      <c r="J145" s="84">
        <v>47.53</v>
      </c>
      <c r="K145" s="83" t="s">
        <v>2389</v>
      </c>
      <c r="L145" s="83" t="s">
        <v>2390</v>
      </c>
      <c r="M145" s="80" t="s">
        <v>2391</v>
      </c>
      <c r="N145" s="83" t="s">
        <v>2392</v>
      </c>
      <c r="O145" s="81" t="s">
        <v>8</v>
      </c>
      <c r="P145" s="83" t="s">
        <v>2741</v>
      </c>
      <c r="Q145" s="84">
        <v>4900</v>
      </c>
      <c r="R145" s="85" t="s">
        <v>8</v>
      </c>
      <c r="S145" s="84" t="s">
        <v>8</v>
      </c>
      <c r="T145" s="83" t="s">
        <v>2394</v>
      </c>
    </row>
    <row r="146" spans="1:20" s="67" customFormat="1">
      <c r="A146" s="80">
        <v>127988026707</v>
      </c>
      <c r="B146" s="81" t="s">
        <v>3070</v>
      </c>
      <c r="C146" s="82">
        <v>45933</v>
      </c>
      <c r="D146" s="80">
        <v>51123658020</v>
      </c>
      <c r="E146" s="80">
        <v>2086183323430</v>
      </c>
      <c r="F146" s="83" t="s">
        <v>2475</v>
      </c>
      <c r="G146" s="83" t="s">
        <v>2388</v>
      </c>
      <c r="H146" s="83" t="s">
        <v>8</v>
      </c>
      <c r="I146" s="80" t="s">
        <v>8</v>
      </c>
      <c r="J146" s="84">
        <v>697.64</v>
      </c>
      <c r="K146" s="83" t="s">
        <v>2389</v>
      </c>
      <c r="L146" s="83" t="s">
        <v>2390</v>
      </c>
      <c r="M146" s="80" t="s">
        <v>2391</v>
      </c>
      <c r="N146" s="83" t="s">
        <v>2392</v>
      </c>
      <c r="O146" s="81" t="s">
        <v>8</v>
      </c>
      <c r="P146" s="83" t="s">
        <v>2536</v>
      </c>
      <c r="Q146" s="84">
        <v>42800</v>
      </c>
      <c r="R146" s="85" t="s">
        <v>8</v>
      </c>
      <c r="S146" s="84" t="s">
        <v>8</v>
      </c>
      <c r="T146" s="83" t="s">
        <v>2394</v>
      </c>
    </row>
    <row r="147" spans="1:20" s="67" customFormat="1">
      <c r="A147" s="80">
        <v>128557855134</v>
      </c>
      <c r="B147" s="81" t="s">
        <v>3070</v>
      </c>
      <c r="C147" s="82">
        <v>45933</v>
      </c>
      <c r="D147" s="80">
        <v>51124603360</v>
      </c>
      <c r="E147" s="80">
        <v>2086140675203</v>
      </c>
      <c r="F147" s="83" t="s">
        <v>2387</v>
      </c>
      <c r="G147" s="83" t="s">
        <v>2388</v>
      </c>
      <c r="H147" s="83" t="s">
        <v>8</v>
      </c>
      <c r="I147" s="80" t="s">
        <v>8</v>
      </c>
      <c r="J147" s="84">
        <v>334.65</v>
      </c>
      <c r="K147" s="83" t="s">
        <v>2389</v>
      </c>
      <c r="L147" s="83" t="s">
        <v>2390</v>
      </c>
      <c r="M147" s="80" t="s">
        <v>2391</v>
      </c>
      <c r="N147" s="83" t="s">
        <v>2392</v>
      </c>
      <c r="O147" s="81" t="s">
        <v>8</v>
      </c>
      <c r="P147" s="83" t="s">
        <v>3123</v>
      </c>
      <c r="Q147" s="84">
        <v>34500</v>
      </c>
      <c r="R147" s="85" t="s">
        <v>8</v>
      </c>
      <c r="S147" s="84" t="s">
        <v>8</v>
      </c>
      <c r="T147" s="83" t="s">
        <v>2394</v>
      </c>
    </row>
    <row r="148" spans="1:20" s="67" customFormat="1">
      <c r="A148" s="80">
        <v>128557987022</v>
      </c>
      <c r="B148" s="81" t="s">
        <v>3070</v>
      </c>
      <c r="C148" s="82">
        <v>45933</v>
      </c>
      <c r="D148" s="80">
        <v>51124686808</v>
      </c>
      <c r="E148" s="80">
        <v>2086141795075</v>
      </c>
      <c r="F148" s="83" t="s">
        <v>2387</v>
      </c>
      <c r="G148" s="83" t="s">
        <v>2388</v>
      </c>
      <c r="H148" s="83" t="s">
        <v>8</v>
      </c>
      <c r="I148" s="80" t="s">
        <v>8</v>
      </c>
      <c r="J148" s="84">
        <v>46.56</v>
      </c>
      <c r="K148" s="83" t="s">
        <v>2389</v>
      </c>
      <c r="L148" s="83" t="s">
        <v>2390</v>
      </c>
      <c r="M148" s="80" t="s">
        <v>2391</v>
      </c>
      <c r="N148" s="83" t="s">
        <v>2392</v>
      </c>
      <c r="O148" s="81" t="s">
        <v>8</v>
      </c>
      <c r="P148" s="83" t="s">
        <v>3124</v>
      </c>
      <c r="Q148" s="84">
        <v>4800</v>
      </c>
      <c r="R148" s="85" t="s">
        <v>8</v>
      </c>
      <c r="S148" s="84" t="s">
        <v>8</v>
      </c>
      <c r="T148" s="83" t="s">
        <v>2394</v>
      </c>
    </row>
    <row r="149" spans="1:20" s="67" customFormat="1">
      <c r="A149" s="80">
        <v>128558595664</v>
      </c>
      <c r="B149" s="81" t="s">
        <v>3070</v>
      </c>
      <c r="C149" s="82">
        <v>45933</v>
      </c>
      <c r="D149" s="80">
        <v>51124884034</v>
      </c>
      <c r="E149" s="80">
        <v>2086209330890</v>
      </c>
      <c r="F149" s="83" t="s">
        <v>2387</v>
      </c>
      <c r="G149" s="83" t="s">
        <v>2388</v>
      </c>
      <c r="H149" s="83" t="s">
        <v>8</v>
      </c>
      <c r="I149" s="80" t="s">
        <v>8</v>
      </c>
      <c r="J149" s="84">
        <v>190.12</v>
      </c>
      <c r="K149" s="83" t="s">
        <v>2389</v>
      </c>
      <c r="L149" s="83" t="s">
        <v>2390</v>
      </c>
      <c r="M149" s="80" t="s">
        <v>2391</v>
      </c>
      <c r="N149" s="83" t="s">
        <v>2392</v>
      </c>
      <c r="O149" s="81" t="s">
        <v>8</v>
      </c>
      <c r="P149" s="83" t="s">
        <v>3125</v>
      </c>
      <c r="Q149" s="84">
        <v>19600</v>
      </c>
      <c r="R149" s="85" t="s">
        <v>8</v>
      </c>
      <c r="S149" s="84" t="s">
        <v>8</v>
      </c>
      <c r="T149" s="83" t="s">
        <v>2394</v>
      </c>
    </row>
    <row r="150" spans="1:20" s="67" customFormat="1">
      <c r="A150" s="80">
        <v>128558731210</v>
      </c>
      <c r="B150" s="81" t="s">
        <v>3070</v>
      </c>
      <c r="C150" s="82">
        <v>45933</v>
      </c>
      <c r="D150" s="80">
        <v>51124939066</v>
      </c>
      <c r="E150" s="80">
        <v>2086147191525</v>
      </c>
      <c r="F150" s="83" t="s">
        <v>2387</v>
      </c>
      <c r="G150" s="83" t="s">
        <v>2388</v>
      </c>
      <c r="H150" s="83" t="s">
        <v>8</v>
      </c>
      <c r="I150" s="80" t="s">
        <v>8</v>
      </c>
      <c r="J150" s="84">
        <v>428.74</v>
      </c>
      <c r="K150" s="83" t="s">
        <v>2389</v>
      </c>
      <c r="L150" s="83" t="s">
        <v>2390</v>
      </c>
      <c r="M150" s="80" t="s">
        <v>2391</v>
      </c>
      <c r="N150" s="83" t="s">
        <v>2392</v>
      </c>
      <c r="O150" s="81" t="s">
        <v>8</v>
      </c>
      <c r="P150" s="83" t="s">
        <v>3126</v>
      </c>
      <c r="Q150" s="84">
        <v>44200</v>
      </c>
      <c r="R150" s="85" t="s">
        <v>8</v>
      </c>
      <c r="S150" s="84" t="s">
        <v>8</v>
      </c>
      <c r="T150" s="83" t="s">
        <v>2394</v>
      </c>
    </row>
    <row r="151" spans="1:20" s="67" customFormat="1">
      <c r="A151" s="80">
        <v>127994543007</v>
      </c>
      <c r="B151" s="81" t="s">
        <v>3070</v>
      </c>
      <c r="C151" s="82">
        <v>45933</v>
      </c>
      <c r="D151" s="80">
        <v>51125967663</v>
      </c>
      <c r="E151" s="80">
        <v>2086168502289</v>
      </c>
      <c r="F151" s="83" t="s">
        <v>2387</v>
      </c>
      <c r="G151" s="83" t="s">
        <v>2388</v>
      </c>
      <c r="H151" s="83" t="s">
        <v>8</v>
      </c>
      <c r="I151" s="80" t="s">
        <v>8</v>
      </c>
      <c r="J151" s="84">
        <v>624.67999999999995</v>
      </c>
      <c r="K151" s="83" t="s">
        <v>2389</v>
      </c>
      <c r="L151" s="83" t="s">
        <v>2390</v>
      </c>
      <c r="M151" s="80" t="s">
        <v>2391</v>
      </c>
      <c r="N151" s="83" t="s">
        <v>2392</v>
      </c>
      <c r="O151" s="81" t="s">
        <v>8</v>
      </c>
      <c r="P151" s="83" t="s">
        <v>3127</v>
      </c>
      <c r="Q151" s="84">
        <v>64400</v>
      </c>
      <c r="R151" s="85" t="s">
        <v>8</v>
      </c>
      <c r="S151" s="84" t="s">
        <v>8</v>
      </c>
      <c r="T151" s="83" t="s">
        <v>2394</v>
      </c>
    </row>
    <row r="152" spans="1:20" s="67" customFormat="1">
      <c r="A152" s="80">
        <v>127995227521</v>
      </c>
      <c r="B152" s="81" t="s">
        <v>3070</v>
      </c>
      <c r="C152" s="82">
        <v>45933</v>
      </c>
      <c r="D152" s="80">
        <v>51126221396</v>
      </c>
      <c r="E152" s="80">
        <v>2086173695971</v>
      </c>
      <c r="F152" s="83" t="s">
        <v>2401</v>
      </c>
      <c r="G152" s="83" t="s">
        <v>2388</v>
      </c>
      <c r="H152" s="83" t="s">
        <v>8</v>
      </c>
      <c r="I152" s="80" t="s">
        <v>8</v>
      </c>
      <c r="J152" s="84">
        <v>2118.27</v>
      </c>
      <c r="K152" s="83" t="s">
        <v>2389</v>
      </c>
      <c r="L152" s="83" t="s">
        <v>2402</v>
      </c>
      <c r="M152" s="80" t="s">
        <v>2391</v>
      </c>
      <c r="N152" s="83" t="s">
        <v>2392</v>
      </c>
      <c r="O152" s="81" t="s">
        <v>2055</v>
      </c>
      <c r="P152" s="83" t="s">
        <v>2403</v>
      </c>
      <c r="Q152" s="84">
        <v>53900</v>
      </c>
      <c r="R152" s="85" t="s">
        <v>8</v>
      </c>
      <c r="S152" s="84" t="s">
        <v>8</v>
      </c>
      <c r="T152" s="83" t="s">
        <v>2394</v>
      </c>
    </row>
    <row r="153" spans="1:20" s="67" customFormat="1">
      <c r="A153" s="80">
        <v>127996004657</v>
      </c>
      <c r="B153" s="81" t="s">
        <v>3070</v>
      </c>
      <c r="C153" s="82">
        <v>45933</v>
      </c>
      <c r="D153" s="80">
        <v>51126503699</v>
      </c>
      <c r="E153" s="80">
        <v>2086241954676</v>
      </c>
      <c r="F153" s="83" t="s">
        <v>2401</v>
      </c>
      <c r="G153" s="83" t="s">
        <v>2388</v>
      </c>
      <c r="H153" s="83" t="s">
        <v>8</v>
      </c>
      <c r="I153" s="80" t="s">
        <v>8</v>
      </c>
      <c r="J153" s="84">
        <v>1697.76</v>
      </c>
      <c r="K153" s="83" t="s">
        <v>2389</v>
      </c>
      <c r="L153" s="83" t="s">
        <v>2402</v>
      </c>
      <c r="M153" s="80" t="s">
        <v>2391</v>
      </c>
      <c r="N153" s="83" t="s">
        <v>2392</v>
      </c>
      <c r="O153" s="81" t="s">
        <v>2055</v>
      </c>
      <c r="P153" s="83" t="s">
        <v>2403</v>
      </c>
      <c r="Q153" s="84">
        <v>43200</v>
      </c>
      <c r="R153" s="85" t="s">
        <v>8</v>
      </c>
      <c r="S153" s="84" t="s">
        <v>8</v>
      </c>
      <c r="T153" s="83" t="s">
        <v>2394</v>
      </c>
    </row>
    <row r="154" spans="1:20" s="67" customFormat="1">
      <c r="A154" s="80">
        <v>127996122285</v>
      </c>
      <c r="B154" s="81" t="s">
        <v>3070</v>
      </c>
      <c r="C154" s="82">
        <v>45933</v>
      </c>
      <c r="D154" s="80">
        <v>51126561398</v>
      </c>
      <c r="E154" s="80">
        <v>2086242704702</v>
      </c>
      <c r="F154" s="83" t="s">
        <v>2411</v>
      </c>
      <c r="G154" s="83" t="s">
        <v>2388</v>
      </c>
      <c r="H154" s="83" t="s">
        <v>8</v>
      </c>
      <c r="I154" s="80" t="s">
        <v>8</v>
      </c>
      <c r="J154" s="84">
        <v>87.3</v>
      </c>
      <c r="K154" s="83" t="s">
        <v>2389</v>
      </c>
      <c r="L154" s="83" t="s">
        <v>2390</v>
      </c>
      <c r="M154" s="80" t="s">
        <v>2391</v>
      </c>
      <c r="N154" s="83" t="s">
        <v>2392</v>
      </c>
      <c r="O154" s="81" t="s">
        <v>8</v>
      </c>
      <c r="P154" s="83" t="s">
        <v>2412</v>
      </c>
      <c r="Q154" s="84">
        <v>9000</v>
      </c>
      <c r="R154" s="85" t="s">
        <v>8</v>
      </c>
      <c r="S154" s="84" t="s">
        <v>8</v>
      </c>
      <c r="T154" s="83" t="s">
        <v>8</v>
      </c>
    </row>
    <row r="155" spans="1:20" s="67" customFormat="1">
      <c r="A155" s="80">
        <v>128563250040</v>
      </c>
      <c r="B155" s="81" t="s">
        <v>3070</v>
      </c>
      <c r="C155" s="82">
        <v>45933</v>
      </c>
      <c r="D155" s="80">
        <v>51126607365</v>
      </c>
      <c r="E155" s="80">
        <v>2086243723202</v>
      </c>
      <c r="F155" s="83" t="s">
        <v>2475</v>
      </c>
      <c r="G155" s="83" t="s">
        <v>2388</v>
      </c>
      <c r="H155" s="83" t="s">
        <v>8</v>
      </c>
      <c r="I155" s="80" t="s">
        <v>8</v>
      </c>
      <c r="J155" s="84">
        <v>81.5</v>
      </c>
      <c r="K155" s="83" t="s">
        <v>2389</v>
      </c>
      <c r="L155" s="83" t="s">
        <v>2390</v>
      </c>
      <c r="M155" s="80" t="s">
        <v>2391</v>
      </c>
      <c r="N155" s="83" t="s">
        <v>2392</v>
      </c>
      <c r="O155" s="81" t="s">
        <v>8</v>
      </c>
      <c r="P155" s="83" t="s">
        <v>2536</v>
      </c>
      <c r="Q155" s="84">
        <v>5000</v>
      </c>
      <c r="R155" s="85" t="s">
        <v>8</v>
      </c>
      <c r="S155" s="84" t="s">
        <v>8</v>
      </c>
      <c r="T155" s="83" t="s">
        <v>2394</v>
      </c>
    </row>
    <row r="156" spans="1:20" s="67" customFormat="1">
      <c r="A156" s="80">
        <v>127996361007</v>
      </c>
      <c r="B156" s="81" t="s">
        <v>3070</v>
      </c>
      <c r="C156" s="82">
        <v>45933</v>
      </c>
      <c r="D156" s="80">
        <v>51126644221</v>
      </c>
      <c r="E156" s="80">
        <v>2086244653912</v>
      </c>
      <c r="F156" s="83" t="s">
        <v>2387</v>
      </c>
      <c r="G156" s="83" t="s">
        <v>2388</v>
      </c>
      <c r="H156" s="83" t="s">
        <v>8</v>
      </c>
      <c r="I156" s="80" t="s">
        <v>8</v>
      </c>
      <c r="J156" s="84">
        <v>660.57</v>
      </c>
      <c r="K156" s="83" t="s">
        <v>2389</v>
      </c>
      <c r="L156" s="83" t="s">
        <v>2390</v>
      </c>
      <c r="M156" s="80" t="s">
        <v>2391</v>
      </c>
      <c r="N156" s="83" t="s">
        <v>2392</v>
      </c>
      <c r="O156" s="81" t="s">
        <v>8</v>
      </c>
      <c r="P156" s="83" t="s">
        <v>3128</v>
      </c>
      <c r="Q156" s="84">
        <v>68100</v>
      </c>
      <c r="R156" s="85" t="s">
        <v>8</v>
      </c>
      <c r="S156" s="84" t="s">
        <v>8</v>
      </c>
      <c r="T156" s="83" t="s">
        <v>2394</v>
      </c>
    </row>
    <row r="157" spans="1:20" s="67" customFormat="1">
      <c r="A157" s="80">
        <v>127996450215</v>
      </c>
      <c r="B157" s="81" t="s">
        <v>3070</v>
      </c>
      <c r="C157" s="82">
        <v>45933</v>
      </c>
      <c r="D157" s="80">
        <v>51126696572</v>
      </c>
      <c r="E157" s="80">
        <v>2086244996826</v>
      </c>
      <c r="F157" s="83" t="s">
        <v>2475</v>
      </c>
      <c r="G157" s="83" t="s">
        <v>2388</v>
      </c>
      <c r="H157" s="83" t="s">
        <v>8</v>
      </c>
      <c r="I157" s="80" t="s">
        <v>8</v>
      </c>
      <c r="J157" s="84">
        <v>86.39</v>
      </c>
      <c r="K157" s="83" t="s">
        <v>2389</v>
      </c>
      <c r="L157" s="83" t="s">
        <v>2390</v>
      </c>
      <c r="M157" s="80" t="s">
        <v>2391</v>
      </c>
      <c r="N157" s="83" t="s">
        <v>2392</v>
      </c>
      <c r="O157" s="81" t="s">
        <v>8</v>
      </c>
      <c r="P157" s="83" t="s">
        <v>2476</v>
      </c>
      <c r="Q157" s="84">
        <v>5300</v>
      </c>
      <c r="R157" s="85" t="s">
        <v>8</v>
      </c>
      <c r="S157" s="84" t="s">
        <v>8</v>
      </c>
      <c r="T157" s="83" t="s">
        <v>2394</v>
      </c>
    </row>
    <row r="158" spans="1:20" s="67" customFormat="1">
      <c r="A158" s="80">
        <v>128563797988</v>
      </c>
      <c r="B158" s="81" t="s">
        <v>3070</v>
      </c>
      <c r="C158" s="82">
        <v>45933</v>
      </c>
      <c r="D158" s="80">
        <v>51126836071</v>
      </c>
      <c r="E158" s="80">
        <v>2086247336138</v>
      </c>
      <c r="F158" s="83" t="s">
        <v>2387</v>
      </c>
      <c r="G158" s="83" t="s">
        <v>2388</v>
      </c>
      <c r="H158" s="83" t="s">
        <v>8</v>
      </c>
      <c r="I158" s="80" t="s">
        <v>8</v>
      </c>
      <c r="J158" s="84">
        <v>161.99</v>
      </c>
      <c r="K158" s="83" t="s">
        <v>2389</v>
      </c>
      <c r="L158" s="83" t="s">
        <v>2390</v>
      </c>
      <c r="M158" s="80" t="s">
        <v>2391</v>
      </c>
      <c r="N158" s="83" t="s">
        <v>2392</v>
      </c>
      <c r="O158" s="81" t="s">
        <v>8</v>
      </c>
      <c r="P158" s="83" t="s">
        <v>3129</v>
      </c>
      <c r="Q158" s="84">
        <v>16700</v>
      </c>
      <c r="R158" s="85" t="s">
        <v>8</v>
      </c>
      <c r="S158" s="84" t="s">
        <v>8</v>
      </c>
      <c r="T158" s="83" t="s">
        <v>2394</v>
      </c>
    </row>
    <row r="159" spans="1:20" s="67" customFormat="1">
      <c r="A159" s="80">
        <v>128564070590</v>
      </c>
      <c r="B159" s="81" t="s">
        <v>3070</v>
      </c>
      <c r="C159" s="82">
        <v>45933</v>
      </c>
      <c r="D159" s="80">
        <v>51126907213</v>
      </c>
      <c r="E159" s="80">
        <v>2086185968027</v>
      </c>
      <c r="F159" s="83" t="s">
        <v>2387</v>
      </c>
      <c r="G159" s="83" t="s">
        <v>2701</v>
      </c>
      <c r="H159" s="83" t="s">
        <v>2702</v>
      </c>
      <c r="I159" s="80" t="s">
        <v>8</v>
      </c>
      <c r="J159" s="84">
        <v>425.83</v>
      </c>
      <c r="K159" s="83" t="s">
        <v>2389</v>
      </c>
      <c r="L159" s="83" t="s">
        <v>2390</v>
      </c>
      <c r="M159" s="80" t="s">
        <v>2391</v>
      </c>
      <c r="N159" s="83" t="s">
        <v>2392</v>
      </c>
      <c r="O159" s="81" t="s">
        <v>8</v>
      </c>
      <c r="P159" s="83" t="s">
        <v>3130</v>
      </c>
      <c r="Q159" s="84">
        <v>43900</v>
      </c>
      <c r="R159" s="85" t="s">
        <v>8</v>
      </c>
      <c r="S159" s="84" t="s">
        <v>8</v>
      </c>
      <c r="T159" s="83" t="s">
        <v>2394</v>
      </c>
    </row>
    <row r="160" spans="1:20" s="67" customFormat="1">
      <c r="A160" s="80">
        <v>128564105462</v>
      </c>
      <c r="B160" s="81" t="s">
        <v>3070</v>
      </c>
      <c r="C160" s="82">
        <v>45933</v>
      </c>
      <c r="D160" s="80">
        <v>51126933405</v>
      </c>
      <c r="E160" s="80">
        <v>2086249375054</v>
      </c>
      <c r="F160" s="83" t="s">
        <v>2387</v>
      </c>
      <c r="G160" s="83" t="s">
        <v>2388</v>
      </c>
      <c r="H160" s="83" t="s">
        <v>8</v>
      </c>
      <c r="I160" s="80" t="s">
        <v>8</v>
      </c>
      <c r="J160" s="84">
        <v>87.3</v>
      </c>
      <c r="K160" s="83" t="s">
        <v>2389</v>
      </c>
      <c r="L160" s="83" t="s">
        <v>2390</v>
      </c>
      <c r="M160" s="80" t="s">
        <v>2391</v>
      </c>
      <c r="N160" s="83" t="s">
        <v>2392</v>
      </c>
      <c r="O160" s="81" t="s">
        <v>8</v>
      </c>
      <c r="P160" s="83" t="s">
        <v>3131</v>
      </c>
      <c r="Q160" s="84">
        <v>9000</v>
      </c>
      <c r="R160" s="85" t="s">
        <v>8</v>
      </c>
      <c r="S160" s="84" t="s">
        <v>8</v>
      </c>
      <c r="T160" s="83" t="s">
        <v>2394</v>
      </c>
    </row>
    <row r="161" spans="1:20" s="67" customFormat="1">
      <c r="A161" s="80">
        <v>127997252239</v>
      </c>
      <c r="B161" s="81" t="s">
        <v>3070</v>
      </c>
      <c r="C161" s="82">
        <v>45933</v>
      </c>
      <c r="D161" s="80">
        <v>51126970482</v>
      </c>
      <c r="E161" s="80">
        <v>2086186941581</v>
      </c>
      <c r="F161" s="83" t="s">
        <v>2401</v>
      </c>
      <c r="G161" s="83" t="s">
        <v>2388</v>
      </c>
      <c r="H161" s="83" t="s">
        <v>8</v>
      </c>
      <c r="I161" s="80" t="s">
        <v>8</v>
      </c>
      <c r="J161" s="84">
        <v>440.38</v>
      </c>
      <c r="K161" s="83" t="s">
        <v>2389</v>
      </c>
      <c r="L161" s="83" t="s">
        <v>2402</v>
      </c>
      <c r="M161" s="80" t="s">
        <v>2391</v>
      </c>
      <c r="N161" s="83" t="s">
        <v>2392</v>
      </c>
      <c r="O161" s="81" t="s">
        <v>2055</v>
      </c>
      <c r="P161" s="83" t="s">
        <v>2403</v>
      </c>
      <c r="Q161" s="84">
        <v>9700</v>
      </c>
      <c r="R161" s="85" t="s">
        <v>8</v>
      </c>
      <c r="S161" s="84" t="s">
        <v>8</v>
      </c>
      <c r="T161" s="83" t="s">
        <v>2394</v>
      </c>
    </row>
    <row r="162" spans="1:20" s="67" customFormat="1">
      <c r="A162" s="80">
        <v>128564070590</v>
      </c>
      <c r="B162" s="81" t="s">
        <v>3070</v>
      </c>
      <c r="C162" s="82">
        <v>45933</v>
      </c>
      <c r="D162" s="80">
        <v>51127012089</v>
      </c>
      <c r="E162" s="80">
        <v>2086188000439</v>
      </c>
      <c r="F162" s="83" t="s">
        <v>2704</v>
      </c>
      <c r="G162" s="83" t="s">
        <v>2701</v>
      </c>
      <c r="H162" s="83" t="s">
        <v>8</v>
      </c>
      <c r="I162" s="80">
        <v>51126907213</v>
      </c>
      <c r="J162" s="84">
        <v>-425.83</v>
      </c>
      <c r="K162" s="83" t="s">
        <v>2389</v>
      </c>
      <c r="L162" s="83" t="s">
        <v>2390</v>
      </c>
      <c r="M162" s="80" t="s">
        <v>2391</v>
      </c>
      <c r="N162" s="83" t="s">
        <v>2392</v>
      </c>
      <c r="O162" s="81" t="s">
        <v>8</v>
      </c>
      <c r="P162" s="83" t="s">
        <v>3130</v>
      </c>
      <c r="Q162" s="84">
        <v>43900</v>
      </c>
      <c r="R162" s="85" t="s">
        <v>8</v>
      </c>
      <c r="S162" s="84" t="s">
        <v>8</v>
      </c>
      <c r="T162" s="83" t="s">
        <v>8</v>
      </c>
    </row>
    <row r="163" spans="1:20" s="67" customFormat="1">
      <c r="A163" s="80">
        <v>127997540269</v>
      </c>
      <c r="B163" s="81" t="s">
        <v>3070</v>
      </c>
      <c r="C163" s="82">
        <v>45933</v>
      </c>
      <c r="D163" s="80">
        <v>51127105765</v>
      </c>
      <c r="E163" s="80">
        <v>2086251745716</v>
      </c>
      <c r="F163" s="83" t="s">
        <v>2387</v>
      </c>
      <c r="G163" s="83" t="s">
        <v>2388</v>
      </c>
      <c r="H163" s="83" t="s">
        <v>8</v>
      </c>
      <c r="I163" s="80" t="s">
        <v>8</v>
      </c>
      <c r="J163" s="84">
        <v>336.59</v>
      </c>
      <c r="K163" s="83" t="s">
        <v>2389</v>
      </c>
      <c r="L163" s="83" t="s">
        <v>2390</v>
      </c>
      <c r="M163" s="80" t="s">
        <v>2391</v>
      </c>
      <c r="N163" s="83" t="s">
        <v>2392</v>
      </c>
      <c r="O163" s="81" t="s">
        <v>8</v>
      </c>
      <c r="P163" s="83" t="s">
        <v>3130</v>
      </c>
      <c r="Q163" s="84">
        <v>34700</v>
      </c>
      <c r="R163" s="85" t="s">
        <v>8</v>
      </c>
      <c r="S163" s="84" t="s">
        <v>8</v>
      </c>
      <c r="T163" s="83" t="s">
        <v>2394</v>
      </c>
    </row>
    <row r="164" spans="1:20" s="67" customFormat="1">
      <c r="A164" s="80">
        <v>128564579028</v>
      </c>
      <c r="B164" s="81" t="s">
        <v>3070</v>
      </c>
      <c r="C164" s="82">
        <v>45933</v>
      </c>
      <c r="D164" s="80">
        <v>51127168512</v>
      </c>
      <c r="E164" s="80">
        <v>2086189891703</v>
      </c>
      <c r="F164" s="83" t="s">
        <v>2387</v>
      </c>
      <c r="G164" s="83" t="s">
        <v>2388</v>
      </c>
      <c r="H164" s="83" t="s">
        <v>8</v>
      </c>
      <c r="I164" s="80" t="s">
        <v>8</v>
      </c>
      <c r="J164" s="84">
        <v>294.88</v>
      </c>
      <c r="K164" s="83" t="s">
        <v>2389</v>
      </c>
      <c r="L164" s="83" t="s">
        <v>2390</v>
      </c>
      <c r="M164" s="80" t="s">
        <v>2391</v>
      </c>
      <c r="N164" s="83" t="s">
        <v>2392</v>
      </c>
      <c r="O164" s="81" t="s">
        <v>8</v>
      </c>
      <c r="P164" s="83" t="s">
        <v>3132</v>
      </c>
      <c r="Q164" s="84">
        <v>30400</v>
      </c>
      <c r="R164" s="85" t="s">
        <v>8</v>
      </c>
      <c r="S164" s="84" t="s">
        <v>8</v>
      </c>
      <c r="T164" s="83" t="s">
        <v>2394</v>
      </c>
    </row>
    <row r="165" spans="1:20" s="67" customFormat="1">
      <c r="A165" s="80">
        <v>128564877302</v>
      </c>
      <c r="B165" s="81" t="s">
        <v>3070</v>
      </c>
      <c r="C165" s="82">
        <v>45933</v>
      </c>
      <c r="D165" s="80">
        <v>51127262411</v>
      </c>
      <c r="E165" s="80">
        <v>2086192202291</v>
      </c>
      <c r="F165" s="83" t="s">
        <v>2387</v>
      </c>
      <c r="G165" s="83" t="s">
        <v>2388</v>
      </c>
      <c r="H165" s="83" t="s">
        <v>8</v>
      </c>
      <c r="I165" s="80" t="s">
        <v>8</v>
      </c>
      <c r="J165" s="84">
        <v>287.12</v>
      </c>
      <c r="K165" s="83" t="s">
        <v>2389</v>
      </c>
      <c r="L165" s="83" t="s">
        <v>2390</v>
      </c>
      <c r="M165" s="80" t="s">
        <v>2391</v>
      </c>
      <c r="N165" s="83" t="s">
        <v>2392</v>
      </c>
      <c r="O165" s="81" t="s">
        <v>8</v>
      </c>
      <c r="P165" s="83" t="s">
        <v>3133</v>
      </c>
      <c r="Q165" s="84">
        <v>29600</v>
      </c>
      <c r="R165" s="85" t="s">
        <v>8</v>
      </c>
      <c r="S165" s="84" t="s">
        <v>8</v>
      </c>
      <c r="T165" s="83" t="s">
        <v>2394</v>
      </c>
    </row>
    <row r="166" spans="1:20" s="67" customFormat="1">
      <c r="A166" s="80">
        <v>127998034681</v>
      </c>
      <c r="B166" s="81" t="s">
        <v>3070</v>
      </c>
      <c r="C166" s="82">
        <v>45933</v>
      </c>
      <c r="D166" s="80">
        <v>51127319691</v>
      </c>
      <c r="E166" s="80">
        <v>2086192846033</v>
      </c>
      <c r="F166" s="83" t="s">
        <v>2387</v>
      </c>
      <c r="G166" s="83" t="s">
        <v>2388</v>
      </c>
      <c r="H166" s="83" t="s">
        <v>8</v>
      </c>
      <c r="I166" s="80" t="s">
        <v>8</v>
      </c>
      <c r="J166" s="84">
        <v>314.27999999999997</v>
      </c>
      <c r="K166" s="83" t="s">
        <v>2389</v>
      </c>
      <c r="L166" s="83" t="s">
        <v>2390</v>
      </c>
      <c r="M166" s="80" t="s">
        <v>2391</v>
      </c>
      <c r="N166" s="83" t="s">
        <v>2392</v>
      </c>
      <c r="O166" s="81" t="s">
        <v>8</v>
      </c>
      <c r="P166" s="83" t="s">
        <v>3124</v>
      </c>
      <c r="Q166" s="84">
        <v>32400</v>
      </c>
      <c r="R166" s="85" t="s">
        <v>8</v>
      </c>
      <c r="S166" s="84" t="s">
        <v>8</v>
      </c>
      <c r="T166" s="83" t="s">
        <v>2394</v>
      </c>
    </row>
    <row r="167" spans="1:20" s="67" customFormat="1">
      <c r="A167" s="80">
        <v>127998422719</v>
      </c>
      <c r="B167" s="81" t="s">
        <v>3070</v>
      </c>
      <c r="C167" s="82">
        <v>45933</v>
      </c>
      <c r="D167" s="80">
        <v>51127463794</v>
      </c>
      <c r="E167" s="80">
        <v>2086195590575</v>
      </c>
      <c r="F167" s="83" t="s">
        <v>2387</v>
      </c>
      <c r="G167" s="83" t="s">
        <v>2388</v>
      </c>
      <c r="H167" s="83" t="s">
        <v>8</v>
      </c>
      <c r="I167" s="80" t="s">
        <v>8</v>
      </c>
      <c r="J167" s="84">
        <v>396.73</v>
      </c>
      <c r="K167" s="83" t="s">
        <v>2389</v>
      </c>
      <c r="L167" s="83" t="s">
        <v>2390</v>
      </c>
      <c r="M167" s="80" t="s">
        <v>2391</v>
      </c>
      <c r="N167" s="83" t="s">
        <v>2392</v>
      </c>
      <c r="O167" s="81" t="s">
        <v>8</v>
      </c>
      <c r="P167" s="83" t="s">
        <v>3134</v>
      </c>
      <c r="Q167" s="84">
        <v>40900</v>
      </c>
      <c r="R167" s="85" t="s">
        <v>8</v>
      </c>
      <c r="S167" s="84" t="s">
        <v>8</v>
      </c>
      <c r="T167" s="83" t="s">
        <v>2394</v>
      </c>
    </row>
    <row r="168" spans="1:20" s="67" customFormat="1">
      <c r="A168" s="80">
        <v>127998530233</v>
      </c>
      <c r="B168" s="81" t="s">
        <v>3070</v>
      </c>
      <c r="C168" s="82">
        <v>45933</v>
      </c>
      <c r="D168" s="80">
        <v>51127521818</v>
      </c>
      <c r="E168" s="80">
        <v>2086196567517</v>
      </c>
      <c r="F168" s="83" t="s">
        <v>2411</v>
      </c>
      <c r="G168" s="83" t="s">
        <v>2388</v>
      </c>
      <c r="H168" s="83" t="s">
        <v>8</v>
      </c>
      <c r="I168" s="80" t="s">
        <v>8</v>
      </c>
      <c r="J168" s="84">
        <v>231.83</v>
      </c>
      <c r="K168" s="83" t="s">
        <v>2389</v>
      </c>
      <c r="L168" s="83" t="s">
        <v>2390</v>
      </c>
      <c r="M168" s="80" t="s">
        <v>2391</v>
      </c>
      <c r="N168" s="83" t="s">
        <v>2392</v>
      </c>
      <c r="O168" s="81" t="s">
        <v>8</v>
      </c>
      <c r="P168" s="83" t="s">
        <v>2412</v>
      </c>
      <c r="Q168" s="84">
        <v>23900</v>
      </c>
      <c r="R168" s="85" t="s">
        <v>8</v>
      </c>
      <c r="S168" s="84" t="s">
        <v>8</v>
      </c>
      <c r="T168" s="83" t="s">
        <v>8</v>
      </c>
    </row>
    <row r="169" spans="1:20" s="67" customFormat="1">
      <c r="A169" s="80">
        <v>127998690249</v>
      </c>
      <c r="B169" s="81" t="s">
        <v>3070</v>
      </c>
      <c r="C169" s="82">
        <v>45933</v>
      </c>
      <c r="D169" s="80">
        <v>51127581290</v>
      </c>
      <c r="E169" s="80">
        <v>2086260079766</v>
      </c>
      <c r="F169" s="83" t="s">
        <v>2411</v>
      </c>
      <c r="G169" s="83" t="s">
        <v>2388</v>
      </c>
      <c r="H169" s="83" t="s">
        <v>8</v>
      </c>
      <c r="I169" s="80" t="s">
        <v>8</v>
      </c>
      <c r="J169" s="84">
        <v>85.36</v>
      </c>
      <c r="K169" s="83" t="s">
        <v>2389</v>
      </c>
      <c r="L169" s="83" t="s">
        <v>2390</v>
      </c>
      <c r="M169" s="80" t="s">
        <v>2391</v>
      </c>
      <c r="N169" s="83" t="s">
        <v>2392</v>
      </c>
      <c r="O169" s="81" t="s">
        <v>8</v>
      </c>
      <c r="P169" s="83" t="s">
        <v>2412</v>
      </c>
      <c r="Q169" s="84">
        <v>8800</v>
      </c>
      <c r="R169" s="85" t="s">
        <v>8</v>
      </c>
      <c r="S169" s="84" t="s">
        <v>8</v>
      </c>
      <c r="T169" s="83" t="s">
        <v>8</v>
      </c>
    </row>
    <row r="170" spans="1:20" s="67" customFormat="1">
      <c r="A170" s="80">
        <v>127998789467</v>
      </c>
      <c r="B170" s="81" t="s">
        <v>3070</v>
      </c>
      <c r="C170" s="82">
        <v>45933</v>
      </c>
      <c r="D170" s="80">
        <v>51127618751</v>
      </c>
      <c r="E170" s="80">
        <v>2086261528916</v>
      </c>
      <c r="F170" s="83" t="s">
        <v>2401</v>
      </c>
      <c r="G170" s="83" t="s">
        <v>2388</v>
      </c>
      <c r="H170" s="83" t="s">
        <v>8</v>
      </c>
      <c r="I170" s="80" t="s">
        <v>8</v>
      </c>
      <c r="J170" s="84">
        <v>3226.53</v>
      </c>
      <c r="K170" s="83" t="s">
        <v>2389</v>
      </c>
      <c r="L170" s="83" t="s">
        <v>2402</v>
      </c>
      <c r="M170" s="80" t="s">
        <v>2391</v>
      </c>
      <c r="N170" s="83" t="s">
        <v>2392</v>
      </c>
      <c r="O170" s="81" t="s">
        <v>2055</v>
      </c>
      <c r="P170" s="83" t="s">
        <v>2403</v>
      </c>
      <c r="Q170" s="84">
        <v>82100</v>
      </c>
      <c r="R170" s="85" t="s">
        <v>8</v>
      </c>
      <c r="S170" s="84" t="s">
        <v>8</v>
      </c>
      <c r="T170" s="83" t="s">
        <v>2394</v>
      </c>
    </row>
    <row r="171" spans="1:20" s="67" customFormat="1">
      <c r="A171" s="80">
        <v>127998715475</v>
      </c>
      <c r="B171" s="81" t="s">
        <v>3070</v>
      </c>
      <c r="C171" s="82">
        <v>45933</v>
      </c>
      <c r="D171" s="80">
        <v>51127624405</v>
      </c>
      <c r="E171" s="80">
        <v>2086198197537</v>
      </c>
      <c r="F171" s="83" t="s">
        <v>2387</v>
      </c>
      <c r="G171" s="83" t="s">
        <v>2388</v>
      </c>
      <c r="H171" s="83" t="s">
        <v>8</v>
      </c>
      <c r="I171" s="80" t="s">
        <v>8</v>
      </c>
      <c r="J171" s="84">
        <v>856.51</v>
      </c>
      <c r="K171" s="83" t="s">
        <v>2389</v>
      </c>
      <c r="L171" s="83" t="s">
        <v>2390</v>
      </c>
      <c r="M171" s="80" t="s">
        <v>2391</v>
      </c>
      <c r="N171" s="83" t="s">
        <v>2392</v>
      </c>
      <c r="O171" s="81" t="s">
        <v>8</v>
      </c>
      <c r="P171" s="83" t="s">
        <v>3135</v>
      </c>
      <c r="Q171" s="84">
        <v>88300</v>
      </c>
      <c r="R171" s="85" t="s">
        <v>8</v>
      </c>
      <c r="S171" s="84" t="s">
        <v>8</v>
      </c>
      <c r="T171" s="83" t="s">
        <v>2394</v>
      </c>
    </row>
    <row r="172" spans="1:20" s="67" customFormat="1">
      <c r="A172" s="80">
        <v>127998958295</v>
      </c>
      <c r="B172" s="81" t="s">
        <v>3070</v>
      </c>
      <c r="C172" s="82">
        <v>45933</v>
      </c>
      <c r="D172" s="80">
        <v>51127652000</v>
      </c>
      <c r="E172" s="80">
        <v>2086199222561</v>
      </c>
      <c r="F172" s="83" t="s">
        <v>2387</v>
      </c>
      <c r="G172" s="83" t="s">
        <v>2388</v>
      </c>
      <c r="H172" s="83" t="s">
        <v>8</v>
      </c>
      <c r="I172" s="80" t="s">
        <v>8</v>
      </c>
      <c r="J172" s="84">
        <v>729.44</v>
      </c>
      <c r="K172" s="83" t="s">
        <v>2389</v>
      </c>
      <c r="L172" s="83" t="s">
        <v>2390</v>
      </c>
      <c r="M172" s="80" t="s">
        <v>2391</v>
      </c>
      <c r="N172" s="83" t="s">
        <v>2392</v>
      </c>
      <c r="O172" s="81" t="s">
        <v>8</v>
      </c>
      <c r="P172" s="83" t="s">
        <v>3136</v>
      </c>
      <c r="Q172" s="84">
        <v>75200</v>
      </c>
      <c r="R172" s="85" t="s">
        <v>8</v>
      </c>
      <c r="S172" s="84" t="s">
        <v>8</v>
      </c>
      <c r="T172" s="83" t="s">
        <v>2394</v>
      </c>
    </row>
    <row r="173" spans="1:20" s="67" customFormat="1">
      <c r="A173" s="80">
        <v>127999228319</v>
      </c>
      <c r="B173" s="81" t="s">
        <v>3070</v>
      </c>
      <c r="C173" s="82">
        <v>45933</v>
      </c>
      <c r="D173" s="80">
        <v>51127765400</v>
      </c>
      <c r="E173" s="80">
        <v>2086263385010</v>
      </c>
      <c r="F173" s="83" t="s">
        <v>2387</v>
      </c>
      <c r="G173" s="83" t="s">
        <v>2388</v>
      </c>
      <c r="H173" s="83" t="s">
        <v>8</v>
      </c>
      <c r="I173" s="80" t="s">
        <v>8</v>
      </c>
      <c r="J173" s="84">
        <v>615.95000000000005</v>
      </c>
      <c r="K173" s="83" t="s">
        <v>2389</v>
      </c>
      <c r="L173" s="83" t="s">
        <v>2390</v>
      </c>
      <c r="M173" s="80" t="s">
        <v>2391</v>
      </c>
      <c r="N173" s="83" t="s">
        <v>2392</v>
      </c>
      <c r="O173" s="81" t="s">
        <v>8</v>
      </c>
      <c r="P173" s="83" t="s">
        <v>2479</v>
      </c>
      <c r="Q173" s="84">
        <v>63500</v>
      </c>
      <c r="R173" s="85" t="s">
        <v>8</v>
      </c>
      <c r="S173" s="84" t="s">
        <v>8</v>
      </c>
      <c r="T173" s="83" t="s">
        <v>2394</v>
      </c>
    </row>
    <row r="174" spans="1:20" s="67" customFormat="1">
      <c r="A174" s="80">
        <v>128566674792</v>
      </c>
      <c r="B174" s="81" t="s">
        <v>3070</v>
      </c>
      <c r="C174" s="82">
        <v>45933</v>
      </c>
      <c r="D174" s="80">
        <v>51127913011</v>
      </c>
      <c r="E174" s="80">
        <v>2086203856627</v>
      </c>
      <c r="F174" s="83" t="s">
        <v>2387</v>
      </c>
      <c r="G174" s="83" t="s">
        <v>2388</v>
      </c>
      <c r="H174" s="83" t="s">
        <v>8</v>
      </c>
      <c r="I174" s="80" t="s">
        <v>8</v>
      </c>
      <c r="J174" s="84">
        <v>47.53</v>
      </c>
      <c r="K174" s="83" t="s">
        <v>2389</v>
      </c>
      <c r="L174" s="83" t="s">
        <v>2390</v>
      </c>
      <c r="M174" s="80" t="s">
        <v>2391</v>
      </c>
      <c r="N174" s="83" t="s">
        <v>2392</v>
      </c>
      <c r="O174" s="81" t="s">
        <v>8</v>
      </c>
      <c r="P174" s="83" t="s">
        <v>3137</v>
      </c>
      <c r="Q174" s="84">
        <v>4900</v>
      </c>
      <c r="R174" s="85" t="s">
        <v>8</v>
      </c>
      <c r="S174" s="84" t="s">
        <v>8</v>
      </c>
      <c r="T174" s="83" t="s">
        <v>2394</v>
      </c>
    </row>
    <row r="175" spans="1:20" s="67" customFormat="1">
      <c r="A175" s="80">
        <v>128566760368</v>
      </c>
      <c r="B175" s="81" t="s">
        <v>3070</v>
      </c>
      <c r="C175" s="82">
        <v>45933</v>
      </c>
      <c r="D175" s="80">
        <v>51127936813</v>
      </c>
      <c r="E175" s="80">
        <v>2086204371009</v>
      </c>
      <c r="F175" s="83" t="s">
        <v>2387</v>
      </c>
      <c r="G175" s="83" t="s">
        <v>2388</v>
      </c>
      <c r="H175" s="83" t="s">
        <v>8</v>
      </c>
      <c r="I175" s="80" t="s">
        <v>8</v>
      </c>
      <c r="J175" s="84">
        <v>1011.71</v>
      </c>
      <c r="K175" s="83" t="s">
        <v>2389</v>
      </c>
      <c r="L175" s="83" t="s">
        <v>2390</v>
      </c>
      <c r="M175" s="80" t="s">
        <v>2391</v>
      </c>
      <c r="N175" s="83" t="s">
        <v>2392</v>
      </c>
      <c r="O175" s="81" t="s">
        <v>8</v>
      </c>
      <c r="P175" s="83" t="s">
        <v>3138</v>
      </c>
      <c r="Q175" s="84">
        <v>104300</v>
      </c>
      <c r="R175" s="85" t="s">
        <v>8</v>
      </c>
      <c r="S175" s="84" t="s">
        <v>8</v>
      </c>
      <c r="T175" s="83" t="s">
        <v>2394</v>
      </c>
    </row>
    <row r="176" spans="1:20" s="67" customFormat="1">
      <c r="A176" s="80">
        <v>128000200419</v>
      </c>
      <c r="B176" s="81" t="s">
        <v>3070</v>
      </c>
      <c r="C176" s="82">
        <v>45933</v>
      </c>
      <c r="D176" s="80">
        <v>51128072843</v>
      </c>
      <c r="E176" s="80">
        <v>2086269994864</v>
      </c>
      <c r="F176" s="83" t="s">
        <v>2387</v>
      </c>
      <c r="G176" s="83" t="s">
        <v>2388</v>
      </c>
      <c r="H176" s="83" t="s">
        <v>8</v>
      </c>
      <c r="I176" s="80" t="s">
        <v>8</v>
      </c>
      <c r="J176" s="84">
        <v>393.82</v>
      </c>
      <c r="K176" s="83" t="s">
        <v>2389</v>
      </c>
      <c r="L176" s="83" t="s">
        <v>2390</v>
      </c>
      <c r="M176" s="80" t="s">
        <v>2391</v>
      </c>
      <c r="N176" s="83" t="s">
        <v>2392</v>
      </c>
      <c r="O176" s="81" t="s">
        <v>8</v>
      </c>
      <c r="P176" s="83" t="s">
        <v>3139</v>
      </c>
      <c r="Q176" s="84">
        <v>40600</v>
      </c>
      <c r="R176" s="85" t="s">
        <v>8</v>
      </c>
      <c r="S176" s="84" t="s">
        <v>8</v>
      </c>
      <c r="T176" s="83" t="s">
        <v>2394</v>
      </c>
    </row>
    <row r="177" spans="1:20" s="67" customFormat="1">
      <c r="A177" s="80">
        <v>128567047402</v>
      </c>
      <c r="B177" s="81" t="s">
        <v>3070</v>
      </c>
      <c r="C177" s="82">
        <v>45933</v>
      </c>
      <c r="D177" s="80">
        <v>51128078480</v>
      </c>
      <c r="E177" s="80">
        <v>2086269389318</v>
      </c>
      <c r="F177" s="83" t="s">
        <v>2387</v>
      </c>
      <c r="G177" s="83" t="s">
        <v>2388</v>
      </c>
      <c r="H177" s="83" t="s">
        <v>8</v>
      </c>
      <c r="I177" s="80" t="s">
        <v>8</v>
      </c>
      <c r="J177" s="84">
        <v>128.04</v>
      </c>
      <c r="K177" s="83" t="s">
        <v>2389</v>
      </c>
      <c r="L177" s="83" t="s">
        <v>2390</v>
      </c>
      <c r="M177" s="80" t="s">
        <v>2391</v>
      </c>
      <c r="N177" s="83" t="s">
        <v>2392</v>
      </c>
      <c r="O177" s="81" t="s">
        <v>8</v>
      </c>
      <c r="P177" s="83" t="s">
        <v>2841</v>
      </c>
      <c r="Q177" s="84">
        <v>13200</v>
      </c>
      <c r="R177" s="85" t="s">
        <v>8</v>
      </c>
      <c r="S177" s="84" t="s">
        <v>8</v>
      </c>
      <c r="T177" s="83" t="s">
        <v>2394</v>
      </c>
    </row>
    <row r="178" spans="1:20" s="67" customFormat="1">
      <c r="A178" s="80">
        <v>128000430537</v>
      </c>
      <c r="B178" s="81" t="s">
        <v>3070</v>
      </c>
      <c r="C178" s="82">
        <v>45933</v>
      </c>
      <c r="D178" s="80">
        <v>51128228251</v>
      </c>
      <c r="E178" s="80">
        <v>2086271921482</v>
      </c>
      <c r="F178" s="83" t="s">
        <v>2401</v>
      </c>
      <c r="G178" s="83" t="s">
        <v>2388</v>
      </c>
      <c r="H178" s="83" t="s">
        <v>8</v>
      </c>
      <c r="I178" s="80" t="s">
        <v>8</v>
      </c>
      <c r="J178" s="84">
        <v>894.38</v>
      </c>
      <c r="K178" s="83" t="s">
        <v>2389</v>
      </c>
      <c r="L178" s="83" t="s">
        <v>2402</v>
      </c>
      <c r="M178" s="80" t="s">
        <v>2391</v>
      </c>
      <c r="N178" s="83" t="s">
        <v>2392</v>
      </c>
      <c r="O178" s="81" t="s">
        <v>2055</v>
      </c>
      <c r="P178" s="83" t="s">
        <v>2403</v>
      </c>
      <c r="Q178" s="84">
        <v>19700</v>
      </c>
      <c r="R178" s="85" t="s">
        <v>8</v>
      </c>
      <c r="S178" s="84" t="s">
        <v>8</v>
      </c>
      <c r="T178" s="83" t="s">
        <v>2394</v>
      </c>
    </row>
    <row r="179" spans="1:20" s="67" customFormat="1">
      <c r="A179" s="80">
        <v>128000465631</v>
      </c>
      <c r="B179" s="81" t="s">
        <v>3070</v>
      </c>
      <c r="C179" s="82">
        <v>45934</v>
      </c>
      <c r="D179" s="80">
        <v>51128286206</v>
      </c>
      <c r="E179" s="80">
        <v>2086210120381</v>
      </c>
      <c r="F179" s="83" t="s">
        <v>2401</v>
      </c>
      <c r="G179" s="83" t="s">
        <v>2388</v>
      </c>
      <c r="H179" s="83" t="s">
        <v>8</v>
      </c>
      <c r="I179" s="80" t="s">
        <v>8</v>
      </c>
      <c r="J179" s="84">
        <v>2381.58</v>
      </c>
      <c r="K179" s="83" t="s">
        <v>2389</v>
      </c>
      <c r="L179" s="83" t="s">
        <v>2402</v>
      </c>
      <c r="M179" s="80" t="s">
        <v>2391</v>
      </c>
      <c r="N179" s="83" t="s">
        <v>2392</v>
      </c>
      <c r="O179" s="81" t="s">
        <v>2055</v>
      </c>
      <c r="P179" s="83" t="s">
        <v>2403</v>
      </c>
      <c r="Q179" s="84">
        <v>60600</v>
      </c>
      <c r="R179" s="85" t="s">
        <v>8</v>
      </c>
      <c r="S179" s="84" t="s">
        <v>8</v>
      </c>
      <c r="T179" s="83" t="s">
        <v>2394</v>
      </c>
    </row>
    <row r="180" spans="1:20" s="67" customFormat="1">
      <c r="A180" s="80">
        <v>128568081896</v>
      </c>
      <c r="B180" s="81" t="s">
        <v>3070</v>
      </c>
      <c r="C180" s="82">
        <v>45934</v>
      </c>
      <c r="D180" s="80">
        <v>51128480774</v>
      </c>
      <c r="E180" s="80">
        <v>2086276095920</v>
      </c>
      <c r="F180" s="83" t="s">
        <v>2411</v>
      </c>
      <c r="G180" s="83" t="s">
        <v>2388</v>
      </c>
      <c r="H180" s="83" t="s">
        <v>8</v>
      </c>
      <c r="I180" s="80" t="s">
        <v>8</v>
      </c>
      <c r="J180" s="84">
        <v>85.36</v>
      </c>
      <c r="K180" s="83" t="s">
        <v>2389</v>
      </c>
      <c r="L180" s="83" t="s">
        <v>2390</v>
      </c>
      <c r="M180" s="80" t="s">
        <v>2391</v>
      </c>
      <c r="N180" s="83" t="s">
        <v>2392</v>
      </c>
      <c r="O180" s="81" t="s">
        <v>8</v>
      </c>
      <c r="P180" s="83" t="s">
        <v>2412</v>
      </c>
      <c r="Q180" s="84">
        <v>8800</v>
      </c>
      <c r="R180" s="85" t="s">
        <v>8</v>
      </c>
      <c r="S180" s="84" t="s">
        <v>8</v>
      </c>
      <c r="T180" s="83" t="s">
        <v>8</v>
      </c>
    </row>
    <row r="181" spans="1:20" s="67" customFormat="1">
      <c r="A181" s="80">
        <v>128001058955</v>
      </c>
      <c r="B181" s="81" t="s">
        <v>3070</v>
      </c>
      <c r="C181" s="82">
        <v>45934</v>
      </c>
      <c r="D181" s="80">
        <v>51128525275</v>
      </c>
      <c r="E181" s="80">
        <v>2086213858783</v>
      </c>
      <c r="F181" s="83" t="s">
        <v>2411</v>
      </c>
      <c r="G181" s="83" t="s">
        <v>2388</v>
      </c>
      <c r="H181" s="83" t="s">
        <v>8</v>
      </c>
      <c r="I181" s="80" t="s">
        <v>8</v>
      </c>
      <c r="J181" s="84">
        <v>377.33</v>
      </c>
      <c r="K181" s="83" t="s">
        <v>2389</v>
      </c>
      <c r="L181" s="83" t="s">
        <v>2390</v>
      </c>
      <c r="M181" s="80" t="s">
        <v>2391</v>
      </c>
      <c r="N181" s="83" t="s">
        <v>2392</v>
      </c>
      <c r="O181" s="81" t="s">
        <v>8</v>
      </c>
      <c r="P181" s="83" t="s">
        <v>2412</v>
      </c>
      <c r="Q181" s="84">
        <v>38900</v>
      </c>
      <c r="R181" s="85" t="s">
        <v>8</v>
      </c>
      <c r="S181" s="84" t="s">
        <v>8</v>
      </c>
      <c r="T181" s="83" t="s">
        <v>8</v>
      </c>
    </row>
    <row r="182" spans="1:20" s="67" customFormat="1">
      <c r="A182" s="80">
        <v>128001109327</v>
      </c>
      <c r="B182" s="81" t="s">
        <v>3070</v>
      </c>
      <c r="C182" s="82">
        <v>45934</v>
      </c>
      <c r="D182" s="80">
        <v>51128554369</v>
      </c>
      <c r="E182" s="80">
        <v>2086214369921</v>
      </c>
      <c r="F182" s="83" t="s">
        <v>2387</v>
      </c>
      <c r="G182" s="83" t="s">
        <v>2388</v>
      </c>
      <c r="H182" s="83" t="s">
        <v>8</v>
      </c>
      <c r="I182" s="80" t="s">
        <v>8</v>
      </c>
      <c r="J182" s="84">
        <v>382.18</v>
      </c>
      <c r="K182" s="83" t="s">
        <v>2389</v>
      </c>
      <c r="L182" s="83" t="s">
        <v>2390</v>
      </c>
      <c r="M182" s="80" t="s">
        <v>2391</v>
      </c>
      <c r="N182" s="83" t="s">
        <v>2392</v>
      </c>
      <c r="O182" s="81" t="s">
        <v>8</v>
      </c>
      <c r="P182" s="83" t="s">
        <v>3140</v>
      </c>
      <c r="Q182" s="84">
        <v>39400</v>
      </c>
      <c r="R182" s="85" t="s">
        <v>8</v>
      </c>
      <c r="S182" s="84" t="s">
        <v>8</v>
      </c>
      <c r="T182" s="83" t="s">
        <v>2394</v>
      </c>
    </row>
    <row r="183" spans="1:20" s="67" customFormat="1">
      <c r="A183" s="80">
        <v>128001440707</v>
      </c>
      <c r="B183" s="81" t="s">
        <v>3070</v>
      </c>
      <c r="C183" s="82">
        <v>45934</v>
      </c>
      <c r="D183" s="80">
        <v>51128617031</v>
      </c>
      <c r="E183" s="80">
        <v>2086215700265</v>
      </c>
      <c r="F183" s="83" t="s">
        <v>2401</v>
      </c>
      <c r="G183" s="83" t="s">
        <v>2388</v>
      </c>
      <c r="H183" s="83" t="s">
        <v>8</v>
      </c>
      <c r="I183" s="80" t="s">
        <v>8</v>
      </c>
      <c r="J183" s="84">
        <v>3036.39</v>
      </c>
      <c r="K183" s="83" t="s">
        <v>2389</v>
      </c>
      <c r="L183" s="83" t="s">
        <v>2402</v>
      </c>
      <c r="M183" s="80" t="s">
        <v>2391</v>
      </c>
      <c r="N183" s="83" t="s">
        <v>2392</v>
      </c>
      <c r="O183" s="81" t="s">
        <v>2055</v>
      </c>
      <c r="P183" s="83" t="s">
        <v>2403</v>
      </c>
      <c r="Q183" s="84">
        <v>39900</v>
      </c>
      <c r="R183" s="85" t="s">
        <v>8</v>
      </c>
      <c r="S183" s="84" t="s">
        <v>8</v>
      </c>
      <c r="T183" s="83" t="s">
        <v>2394</v>
      </c>
    </row>
    <row r="184" spans="1:20" s="67" customFormat="1">
      <c r="A184" s="80">
        <v>128001644287</v>
      </c>
      <c r="B184" s="81" t="s">
        <v>3070</v>
      </c>
      <c r="C184" s="82">
        <v>45934</v>
      </c>
      <c r="D184" s="80">
        <v>51128695368</v>
      </c>
      <c r="E184" s="80">
        <v>2086279621614</v>
      </c>
      <c r="F184" s="83" t="s">
        <v>2387</v>
      </c>
      <c r="G184" s="83" t="s">
        <v>2388</v>
      </c>
      <c r="H184" s="83" t="s">
        <v>8</v>
      </c>
      <c r="I184" s="80" t="s">
        <v>8</v>
      </c>
      <c r="J184" s="84">
        <v>334.65</v>
      </c>
      <c r="K184" s="83" t="s">
        <v>2389</v>
      </c>
      <c r="L184" s="83" t="s">
        <v>2390</v>
      </c>
      <c r="M184" s="80" t="s">
        <v>2391</v>
      </c>
      <c r="N184" s="83" t="s">
        <v>2392</v>
      </c>
      <c r="O184" s="81" t="s">
        <v>8</v>
      </c>
      <c r="P184" s="83" t="s">
        <v>3141</v>
      </c>
      <c r="Q184" s="84">
        <v>34500</v>
      </c>
      <c r="R184" s="85" t="s">
        <v>8</v>
      </c>
      <c r="S184" s="84" t="s">
        <v>8</v>
      </c>
      <c r="T184" s="83" t="s">
        <v>2394</v>
      </c>
    </row>
    <row r="185" spans="1:20" s="67" customFormat="1">
      <c r="A185" s="80">
        <v>128569096724</v>
      </c>
      <c r="B185" s="81" t="s">
        <v>3070</v>
      </c>
      <c r="C185" s="82">
        <v>45934</v>
      </c>
      <c r="D185" s="80">
        <v>51128870602</v>
      </c>
      <c r="E185" s="80">
        <v>2086283989668</v>
      </c>
      <c r="F185" s="83" t="s">
        <v>2387</v>
      </c>
      <c r="G185" s="83" t="s">
        <v>2388</v>
      </c>
      <c r="H185" s="83" t="s">
        <v>8</v>
      </c>
      <c r="I185" s="80" t="s">
        <v>8</v>
      </c>
      <c r="J185" s="84">
        <v>170.72</v>
      </c>
      <c r="K185" s="83" t="s">
        <v>2389</v>
      </c>
      <c r="L185" s="83" t="s">
        <v>2390</v>
      </c>
      <c r="M185" s="80" t="s">
        <v>2391</v>
      </c>
      <c r="N185" s="83" t="s">
        <v>2392</v>
      </c>
      <c r="O185" s="81" t="s">
        <v>8</v>
      </c>
      <c r="P185" s="83" t="s">
        <v>3142</v>
      </c>
      <c r="Q185" s="84">
        <v>17600</v>
      </c>
      <c r="R185" s="85" t="s">
        <v>8</v>
      </c>
      <c r="S185" s="84" t="s">
        <v>8</v>
      </c>
      <c r="T185" s="83" t="s">
        <v>2394</v>
      </c>
    </row>
    <row r="186" spans="1:20" s="67" customFormat="1">
      <c r="A186" s="80">
        <v>128569194344</v>
      </c>
      <c r="B186" s="81" t="s">
        <v>3070</v>
      </c>
      <c r="C186" s="82">
        <v>45934</v>
      </c>
      <c r="D186" s="80">
        <v>51128905560</v>
      </c>
      <c r="E186" s="80">
        <v>2086221667405</v>
      </c>
      <c r="F186" s="83" t="s">
        <v>2387</v>
      </c>
      <c r="G186" s="83" t="s">
        <v>2388</v>
      </c>
      <c r="H186" s="83" t="s">
        <v>8</v>
      </c>
      <c r="I186" s="80" t="s">
        <v>8</v>
      </c>
      <c r="J186" s="84">
        <v>313.31</v>
      </c>
      <c r="K186" s="83" t="s">
        <v>2389</v>
      </c>
      <c r="L186" s="83" t="s">
        <v>2390</v>
      </c>
      <c r="M186" s="80" t="s">
        <v>2391</v>
      </c>
      <c r="N186" s="83" t="s">
        <v>2392</v>
      </c>
      <c r="O186" s="81" t="s">
        <v>8</v>
      </c>
      <c r="P186" s="83" t="s">
        <v>3143</v>
      </c>
      <c r="Q186" s="84">
        <v>32300</v>
      </c>
      <c r="R186" s="85" t="s">
        <v>8</v>
      </c>
      <c r="S186" s="84" t="s">
        <v>8</v>
      </c>
      <c r="T186" s="83" t="s">
        <v>2394</v>
      </c>
    </row>
    <row r="187" spans="1:20" s="67" customFormat="1">
      <c r="A187" s="80">
        <v>128569976332</v>
      </c>
      <c r="B187" s="81" t="s">
        <v>3070</v>
      </c>
      <c r="C187" s="82">
        <v>45934</v>
      </c>
      <c r="D187" s="80">
        <v>51129180621</v>
      </c>
      <c r="E187" s="80">
        <v>2086289695232</v>
      </c>
      <c r="F187" s="83" t="s">
        <v>2401</v>
      </c>
      <c r="G187" s="83" t="s">
        <v>2388</v>
      </c>
      <c r="H187" s="83" t="s">
        <v>8</v>
      </c>
      <c r="I187" s="80" t="s">
        <v>8</v>
      </c>
      <c r="J187" s="84">
        <v>1017.87</v>
      </c>
      <c r="K187" s="83" t="s">
        <v>2389</v>
      </c>
      <c r="L187" s="83" t="s">
        <v>2402</v>
      </c>
      <c r="M187" s="80" t="s">
        <v>2391</v>
      </c>
      <c r="N187" s="83" t="s">
        <v>2392</v>
      </c>
      <c r="O187" s="81" t="s">
        <v>2055</v>
      </c>
      <c r="P187" s="83" t="s">
        <v>2403</v>
      </c>
      <c r="Q187" s="84">
        <v>25900</v>
      </c>
      <c r="R187" s="85" t="s">
        <v>8</v>
      </c>
      <c r="S187" s="84" t="s">
        <v>8</v>
      </c>
      <c r="T187" s="83" t="s">
        <v>2394</v>
      </c>
    </row>
    <row r="188" spans="1:20" s="67" customFormat="1">
      <c r="A188" s="80">
        <v>128570461436</v>
      </c>
      <c r="B188" s="81" t="s">
        <v>3070</v>
      </c>
      <c r="C188" s="82">
        <v>45934</v>
      </c>
      <c r="D188" s="80">
        <v>51129484447</v>
      </c>
      <c r="E188" s="80">
        <v>2086294235510</v>
      </c>
      <c r="F188" s="83" t="s">
        <v>2387</v>
      </c>
      <c r="G188" s="83" t="s">
        <v>2388</v>
      </c>
      <c r="H188" s="83" t="s">
        <v>8</v>
      </c>
      <c r="I188" s="80" t="s">
        <v>8</v>
      </c>
      <c r="J188" s="84">
        <v>102.82</v>
      </c>
      <c r="K188" s="83" t="s">
        <v>2389</v>
      </c>
      <c r="L188" s="83" t="s">
        <v>2390</v>
      </c>
      <c r="M188" s="80" t="s">
        <v>2391</v>
      </c>
      <c r="N188" s="83" t="s">
        <v>2392</v>
      </c>
      <c r="O188" s="81" t="s">
        <v>8</v>
      </c>
      <c r="P188" s="83" t="s">
        <v>3144</v>
      </c>
      <c r="Q188" s="84">
        <v>10600</v>
      </c>
      <c r="R188" s="85" t="s">
        <v>8</v>
      </c>
      <c r="S188" s="84" t="s">
        <v>8</v>
      </c>
      <c r="T188" s="83" t="s">
        <v>2394</v>
      </c>
    </row>
    <row r="189" spans="1:20" s="67" customFormat="1">
      <c r="A189" s="80">
        <v>128571344170</v>
      </c>
      <c r="B189" s="81" t="s">
        <v>3070</v>
      </c>
      <c r="C189" s="82">
        <v>45934</v>
      </c>
      <c r="D189" s="80">
        <v>51129763850</v>
      </c>
      <c r="E189" s="80">
        <v>2086298738918</v>
      </c>
      <c r="F189" s="83" t="s">
        <v>2411</v>
      </c>
      <c r="G189" s="83" t="s">
        <v>2388</v>
      </c>
      <c r="H189" s="83" t="s">
        <v>8</v>
      </c>
      <c r="I189" s="80" t="s">
        <v>8</v>
      </c>
      <c r="J189" s="84">
        <v>225.04</v>
      </c>
      <c r="K189" s="83" t="s">
        <v>2389</v>
      </c>
      <c r="L189" s="83" t="s">
        <v>2390</v>
      </c>
      <c r="M189" s="80" t="s">
        <v>2391</v>
      </c>
      <c r="N189" s="83" t="s">
        <v>2392</v>
      </c>
      <c r="O189" s="81" t="s">
        <v>8</v>
      </c>
      <c r="P189" s="83" t="s">
        <v>2412</v>
      </c>
      <c r="Q189" s="84">
        <v>23200</v>
      </c>
      <c r="R189" s="85" t="s">
        <v>8</v>
      </c>
      <c r="S189" s="84" t="s">
        <v>8</v>
      </c>
      <c r="T189" s="83" t="s">
        <v>8</v>
      </c>
    </row>
    <row r="190" spans="1:20" s="67" customFormat="1">
      <c r="A190" s="80">
        <v>128571825428</v>
      </c>
      <c r="B190" s="81" t="s">
        <v>3070</v>
      </c>
      <c r="C190" s="82">
        <v>45934</v>
      </c>
      <c r="D190" s="80">
        <v>51130055042</v>
      </c>
      <c r="E190" s="80">
        <v>2086302799454</v>
      </c>
      <c r="F190" s="83" t="s">
        <v>2387</v>
      </c>
      <c r="G190" s="83" t="s">
        <v>2388</v>
      </c>
      <c r="H190" s="83" t="s">
        <v>8</v>
      </c>
      <c r="I190" s="80" t="s">
        <v>8</v>
      </c>
      <c r="J190" s="84">
        <v>373.45</v>
      </c>
      <c r="K190" s="83" t="s">
        <v>2389</v>
      </c>
      <c r="L190" s="83" t="s">
        <v>2390</v>
      </c>
      <c r="M190" s="80" t="s">
        <v>2391</v>
      </c>
      <c r="N190" s="83" t="s">
        <v>2392</v>
      </c>
      <c r="O190" s="81" t="s">
        <v>8</v>
      </c>
      <c r="P190" s="83" t="s">
        <v>3145</v>
      </c>
      <c r="Q190" s="84">
        <v>38500</v>
      </c>
      <c r="R190" s="85" t="s">
        <v>8</v>
      </c>
      <c r="S190" s="84" t="s">
        <v>8</v>
      </c>
      <c r="T190" s="83" t="s">
        <v>2394</v>
      </c>
    </row>
    <row r="191" spans="1:20" s="67" customFormat="1">
      <c r="A191" s="80">
        <v>128005151107</v>
      </c>
      <c r="B191" s="81" t="s">
        <v>3070</v>
      </c>
      <c r="C191" s="82">
        <v>45934</v>
      </c>
      <c r="D191" s="80">
        <v>51130227965</v>
      </c>
      <c r="E191" s="80">
        <v>2086305062550</v>
      </c>
      <c r="F191" s="83" t="s">
        <v>2387</v>
      </c>
      <c r="G191" s="83" t="s">
        <v>2388</v>
      </c>
      <c r="H191" s="83" t="s">
        <v>8</v>
      </c>
      <c r="I191" s="80" t="s">
        <v>8</v>
      </c>
      <c r="J191" s="84">
        <v>751.75</v>
      </c>
      <c r="K191" s="83" t="s">
        <v>2389</v>
      </c>
      <c r="L191" s="83" t="s">
        <v>2390</v>
      </c>
      <c r="M191" s="80" t="s">
        <v>2391</v>
      </c>
      <c r="N191" s="83" t="s">
        <v>2392</v>
      </c>
      <c r="O191" s="81" t="s">
        <v>8</v>
      </c>
      <c r="P191" s="83" t="s">
        <v>3146</v>
      </c>
      <c r="Q191" s="84">
        <v>77500</v>
      </c>
      <c r="R191" s="85" t="s">
        <v>8</v>
      </c>
      <c r="S191" s="84" t="s">
        <v>8</v>
      </c>
      <c r="T191" s="83" t="s">
        <v>2394</v>
      </c>
    </row>
    <row r="192" spans="1:20" s="67" customFormat="1">
      <c r="A192" s="80">
        <v>128572165456</v>
      </c>
      <c r="B192" s="81" t="s">
        <v>3070</v>
      </c>
      <c r="C192" s="82">
        <v>45934</v>
      </c>
      <c r="D192" s="80">
        <v>51130231328</v>
      </c>
      <c r="E192" s="80">
        <v>2086242632037</v>
      </c>
      <c r="F192" s="83" t="s">
        <v>2401</v>
      </c>
      <c r="G192" s="83" t="s">
        <v>2388</v>
      </c>
      <c r="H192" s="83" t="s">
        <v>8</v>
      </c>
      <c r="I192" s="80" t="s">
        <v>8</v>
      </c>
      <c r="J192" s="84">
        <v>322.26</v>
      </c>
      <c r="K192" s="83" t="s">
        <v>2389</v>
      </c>
      <c r="L192" s="83" t="s">
        <v>2402</v>
      </c>
      <c r="M192" s="80" t="s">
        <v>2391</v>
      </c>
      <c r="N192" s="83" t="s">
        <v>2392</v>
      </c>
      <c r="O192" s="81" t="s">
        <v>2055</v>
      </c>
      <c r="P192" s="83" t="s">
        <v>2403</v>
      </c>
      <c r="Q192" s="84">
        <v>8200</v>
      </c>
      <c r="R192" s="85" t="s">
        <v>8</v>
      </c>
      <c r="S192" s="84" t="s">
        <v>8</v>
      </c>
      <c r="T192" s="83" t="s">
        <v>2394</v>
      </c>
    </row>
    <row r="193" spans="1:20" s="67" customFormat="1">
      <c r="A193" s="80">
        <v>128572181400</v>
      </c>
      <c r="B193" s="81" t="s">
        <v>3070</v>
      </c>
      <c r="C193" s="82">
        <v>45934</v>
      </c>
      <c r="D193" s="80">
        <v>51130234001</v>
      </c>
      <c r="E193" s="80">
        <v>2086305400038</v>
      </c>
      <c r="F193" s="83" t="s">
        <v>2401</v>
      </c>
      <c r="G193" s="83" t="s">
        <v>2388</v>
      </c>
      <c r="H193" s="83" t="s">
        <v>8</v>
      </c>
      <c r="I193" s="80" t="s">
        <v>8</v>
      </c>
      <c r="J193" s="84">
        <v>923.55</v>
      </c>
      <c r="K193" s="83" t="s">
        <v>2389</v>
      </c>
      <c r="L193" s="83" t="s">
        <v>2402</v>
      </c>
      <c r="M193" s="80" t="s">
        <v>2391</v>
      </c>
      <c r="N193" s="83" t="s">
        <v>2392</v>
      </c>
      <c r="O193" s="81" t="s">
        <v>2055</v>
      </c>
      <c r="P193" s="83" t="s">
        <v>2403</v>
      </c>
      <c r="Q193" s="84">
        <v>23500</v>
      </c>
      <c r="R193" s="85" t="s">
        <v>8</v>
      </c>
      <c r="S193" s="84" t="s">
        <v>8</v>
      </c>
      <c r="T193" s="83" t="s">
        <v>2394</v>
      </c>
    </row>
    <row r="194" spans="1:20" s="67" customFormat="1">
      <c r="A194" s="80">
        <v>128005247119</v>
      </c>
      <c r="B194" s="81" t="s">
        <v>3070</v>
      </c>
      <c r="C194" s="82">
        <v>45934</v>
      </c>
      <c r="D194" s="80">
        <v>51130250652</v>
      </c>
      <c r="E194" s="80">
        <v>2086305737442</v>
      </c>
      <c r="F194" s="83" t="s">
        <v>2401</v>
      </c>
      <c r="G194" s="83" t="s">
        <v>2388</v>
      </c>
      <c r="H194" s="83" t="s">
        <v>8</v>
      </c>
      <c r="I194" s="80" t="s">
        <v>8</v>
      </c>
      <c r="J194" s="84">
        <v>1662.39</v>
      </c>
      <c r="K194" s="83" t="s">
        <v>2389</v>
      </c>
      <c r="L194" s="83" t="s">
        <v>2402</v>
      </c>
      <c r="M194" s="80" t="s">
        <v>2391</v>
      </c>
      <c r="N194" s="83" t="s">
        <v>2392</v>
      </c>
      <c r="O194" s="81" t="s">
        <v>2055</v>
      </c>
      <c r="P194" s="83" t="s">
        <v>2403</v>
      </c>
      <c r="Q194" s="84">
        <v>42300</v>
      </c>
      <c r="R194" s="85" t="s">
        <v>8</v>
      </c>
      <c r="S194" s="84" t="s">
        <v>8</v>
      </c>
      <c r="T194" s="83" t="s">
        <v>2394</v>
      </c>
    </row>
    <row r="195" spans="1:20" s="67" customFormat="1">
      <c r="A195" s="80">
        <v>128005159549</v>
      </c>
      <c r="B195" s="81" t="s">
        <v>3070</v>
      </c>
      <c r="C195" s="82">
        <v>45934</v>
      </c>
      <c r="D195" s="80">
        <v>51130254346</v>
      </c>
      <c r="E195" s="80">
        <v>2086305239872</v>
      </c>
      <c r="F195" s="83" t="s">
        <v>2411</v>
      </c>
      <c r="G195" s="83" t="s">
        <v>2388</v>
      </c>
      <c r="H195" s="83" t="s">
        <v>8</v>
      </c>
      <c r="I195" s="80" t="s">
        <v>8</v>
      </c>
      <c r="J195" s="84">
        <v>963.21</v>
      </c>
      <c r="K195" s="83" t="s">
        <v>2389</v>
      </c>
      <c r="L195" s="83" t="s">
        <v>2390</v>
      </c>
      <c r="M195" s="80" t="s">
        <v>2391</v>
      </c>
      <c r="N195" s="83" t="s">
        <v>2392</v>
      </c>
      <c r="O195" s="81" t="s">
        <v>8</v>
      </c>
      <c r="P195" s="83" t="s">
        <v>2412</v>
      </c>
      <c r="Q195" s="84">
        <v>99300</v>
      </c>
      <c r="R195" s="85" t="s">
        <v>8</v>
      </c>
      <c r="S195" s="84" t="s">
        <v>8</v>
      </c>
      <c r="T195" s="83" t="s">
        <v>8</v>
      </c>
    </row>
    <row r="196" spans="1:20" s="67" customFormat="1">
      <c r="A196" s="80">
        <v>128005725859</v>
      </c>
      <c r="B196" s="81" t="s">
        <v>3070</v>
      </c>
      <c r="C196" s="82">
        <v>45934</v>
      </c>
      <c r="D196" s="80">
        <v>51130512087</v>
      </c>
      <c r="E196" s="80">
        <v>2086309480312</v>
      </c>
      <c r="F196" s="83" t="s">
        <v>2387</v>
      </c>
      <c r="G196" s="83" t="s">
        <v>2388</v>
      </c>
      <c r="H196" s="83" t="s">
        <v>8</v>
      </c>
      <c r="I196" s="80" t="s">
        <v>8</v>
      </c>
      <c r="J196" s="84">
        <v>379.27</v>
      </c>
      <c r="K196" s="83" t="s">
        <v>2389</v>
      </c>
      <c r="L196" s="83" t="s">
        <v>2390</v>
      </c>
      <c r="M196" s="80" t="s">
        <v>2391</v>
      </c>
      <c r="N196" s="83" t="s">
        <v>2392</v>
      </c>
      <c r="O196" s="81" t="s">
        <v>8</v>
      </c>
      <c r="P196" s="83" t="s">
        <v>3147</v>
      </c>
      <c r="Q196" s="84">
        <v>39100</v>
      </c>
      <c r="R196" s="85" t="s">
        <v>8</v>
      </c>
      <c r="S196" s="84" t="s">
        <v>8</v>
      </c>
      <c r="T196" s="83" t="s">
        <v>2394</v>
      </c>
    </row>
    <row r="197" spans="1:20" s="67" customFormat="1">
      <c r="A197" s="80">
        <v>128005948841</v>
      </c>
      <c r="B197" s="81" t="s">
        <v>3070</v>
      </c>
      <c r="C197" s="82">
        <v>45934</v>
      </c>
      <c r="D197" s="80">
        <v>51130628116</v>
      </c>
      <c r="E197" s="80">
        <v>2086248081097</v>
      </c>
      <c r="F197" s="83" t="s">
        <v>2387</v>
      </c>
      <c r="G197" s="83" t="s">
        <v>2388</v>
      </c>
      <c r="H197" s="83" t="s">
        <v>8</v>
      </c>
      <c r="I197" s="80" t="s">
        <v>8</v>
      </c>
      <c r="J197" s="84">
        <v>355.02</v>
      </c>
      <c r="K197" s="83" t="s">
        <v>2389</v>
      </c>
      <c r="L197" s="83" t="s">
        <v>2390</v>
      </c>
      <c r="M197" s="80" t="s">
        <v>2391</v>
      </c>
      <c r="N197" s="83" t="s">
        <v>2392</v>
      </c>
      <c r="O197" s="81" t="s">
        <v>8</v>
      </c>
      <c r="P197" s="83" t="s">
        <v>3148</v>
      </c>
      <c r="Q197" s="84">
        <v>36600</v>
      </c>
      <c r="R197" s="85" t="s">
        <v>8</v>
      </c>
      <c r="S197" s="84" t="s">
        <v>8</v>
      </c>
      <c r="T197" s="83" t="s">
        <v>2394</v>
      </c>
    </row>
    <row r="198" spans="1:20" s="67" customFormat="1">
      <c r="A198" s="80">
        <v>128005944893</v>
      </c>
      <c r="B198" s="81" t="s">
        <v>3070</v>
      </c>
      <c r="C198" s="82">
        <v>45934</v>
      </c>
      <c r="D198" s="80">
        <v>51130636170</v>
      </c>
      <c r="E198" s="80">
        <v>2086248125757</v>
      </c>
      <c r="F198" s="83" t="s">
        <v>2401</v>
      </c>
      <c r="G198" s="83" t="s">
        <v>2388</v>
      </c>
      <c r="H198" s="83" t="s">
        <v>8</v>
      </c>
      <c r="I198" s="80" t="s">
        <v>8</v>
      </c>
      <c r="J198" s="84">
        <v>188.64</v>
      </c>
      <c r="K198" s="83" t="s">
        <v>2389</v>
      </c>
      <c r="L198" s="83" t="s">
        <v>2402</v>
      </c>
      <c r="M198" s="80" t="s">
        <v>2391</v>
      </c>
      <c r="N198" s="83" t="s">
        <v>2392</v>
      </c>
      <c r="O198" s="81" t="s">
        <v>2055</v>
      </c>
      <c r="P198" s="83" t="s">
        <v>2403</v>
      </c>
      <c r="Q198" s="84">
        <v>4800</v>
      </c>
      <c r="R198" s="85" t="s">
        <v>8</v>
      </c>
      <c r="S198" s="84" t="s">
        <v>8</v>
      </c>
      <c r="T198" s="83" t="s">
        <v>2394</v>
      </c>
    </row>
    <row r="199" spans="1:20" s="67" customFormat="1">
      <c r="A199" s="80">
        <v>128006056141</v>
      </c>
      <c r="B199" s="81" t="s">
        <v>3070</v>
      </c>
      <c r="C199" s="82">
        <v>45934</v>
      </c>
      <c r="D199" s="80">
        <v>51130642321</v>
      </c>
      <c r="E199" s="80">
        <v>2086310917726</v>
      </c>
      <c r="F199" s="83" t="s">
        <v>2475</v>
      </c>
      <c r="G199" s="83" t="s">
        <v>2388</v>
      </c>
      <c r="H199" s="83" t="s">
        <v>8</v>
      </c>
      <c r="I199" s="80" t="s">
        <v>8</v>
      </c>
      <c r="J199" s="84">
        <v>249.39</v>
      </c>
      <c r="K199" s="83" t="s">
        <v>2389</v>
      </c>
      <c r="L199" s="83" t="s">
        <v>2390</v>
      </c>
      <c r="M199" s="80" t="s">
        <v>2391</v>
      </c>
      <c r="N199" s="83" t="s">
        <v>2392</v>
      </c>
      <c r="O199" s="81" t="s">
        <v>8</v>
      </c>
      <c r="P199" s="83" t="s">
        <v>2536</v>
      </c>
      <c r="Q199" s="84">
        <v>15300</v>
      </c>
      <c r="R199" s="85" t="s">
        <v>8</v>
      </c>
      <c r="S199" s="84" t="s">
        <v>8</v>
      </c>
      <c r="T199" s="83" t="s">
        <v>2394</v>
      </c>
    </row>
    <row r="200" spans="1:20" s="67" customFormat="1">
      <c r="A200" s="80">
        <v>128006270955</v>
      </c>
      <c r="B200" s="81" t="s">
        <v>3070</v>
      </c>
      <c r="C200" s="82">
        <v>45934</v>
      </c>
      <c r="D200" s="80">
        <v>51130776120</v>
      </c>
      <c r="E200" s="80">
        <v>2086312511616</v>
      </c>
      <c r="F200" s="83" t="s">
        <v>2387</v>
      </c>
      <c r="G200" s="83" t="s">
        <v>2388</v>
      </c>
      <c r="H200" s="83" t="s">
        <v>8</v>
      </c>
      <c r="I200" s="80" t="s">
        <v>8</v>
      </c>
      <c r="J200" s="84">
        <v>256.08</v>
      </c>
      <c r="K200" s="83" t="s">
        <v>2389</v>
      </c>
      <c r="L200" s="83" t="s">
        <v>2390</v>
      </c>
      <c r="M200" s="80" t="s">
        <v>2391</v>
      </c>
      <c r="N200" s="83" t="s">
        <v>2392</v>
      </c>
      <c r="O200" s="81" t="s">
        <v>8</v>
      </c>
      <c r="P200" s="83" t="s">
        <v>3149</v>
      </c>
      <c r="Q200" s="84">
        <v>26400</v>
      </c>
      <c r="R200" s="85" t="s">
        <v>8</v>
      </c>
      <c r="S200" s="84" t="s">
        <v>8</v>
      </c>
      <c r="T200" s="83" t="s">
        <v>2394</v>
      </c>
    </row>
    <row r="201" spans="1:20" s="67" customFormat="1">
      <c r="A201" s="80">
        <v>128573428634</v>
      </c>
      <c r="B201" s="81" t="s">
        <v>3070</v>
      </c>
      <c r="C201" s="82">
        <v>45934</v>
      </c>
      <c r="D201" s="80">
        <v>51130793305</v>
      </c>
      <c r="E201" s="80">
        <v>2086312727606</v>
      </c>
      <c r="F201" s="83" t="s">
        <v>2387</v>
      </c>
      <c r="G201" s="83" t="s">
        <v>2388</v>
      </c>
      <c r="H201" s="83" t="s">
        <v>8</v>
      </c>
      <c r="I201" s="80" t="s">
        <v>8</v>
      </c>
      <c r="J201" s="84">
        <v>93.12</v>
      </c>
      <c r="K201" s="83" t="s">
        <v>2389</v>
      </c>
      <c r="L201" s="83" t="s">
        <v>2390</v>
      </c>
      <c r="M201" s="80" t="s">
        <v>2391</v>
      </c>
      <c r="N201" s="83" t="s">
        <v>2392</v>
      </c>
      <c r="O201" s="81" t="s">
        <v>8</v>
      </c>
      <c r="P201" s="83" t="s">
        <v>3150</v>
      </c>
      <c r="Q201" s="84">
        <v>9600</v>
      </c>
      <c r="R201" s="85" t="s">
        <v>8</v>
      </c>
      <c r="S201" s="84" t="s">
        <v>8</v>
      </c>
      <c r="T201" s="83" t="s">
        <v>2394</v>
      </c>
    </row>
    <row r="202" spans="1:20" s="67" customFormat="1">
      <c r="A202" s="80">
        <v>128006450347</v>
      </c>
      <c r="B202" s="81" t="s">
        <v>3070</v>
      </c>
      <c r="C202" s="82">
        <v>45934</v>
      </c>
      <c r="D202" s="80">
        <v>51130835626</v>
      </c>
      <c r="E202" s="80">
        <v>2086313213780</v>
      </c>
      <c r="F202" s="83" t="s">
        <v>2387</v>
      </c>
      <c r="G202" s="83" t="s">
        <v>2388</v>
      </c>
      <c r="H202" s="83" t="s">
        <v>8</v>
      </c>
      <c r="I202" s="80" t="s">
        <v>8</v>
      </c>
      <c r="J202" s="84">
        <v>364.72</v>
      </c>
      <c r="K202" s="83" t="s">
        <v>2389</v>
      </c>
      <c r="L202" s="83" t="s">
        <v>2390</v>
      </c>
      <c r="M202" s="80" t="s">
        <v>2391</v>
      </c>
      <c r="N202" s="83" t="s">
        <v>2392</v>
      </c>
      <c r="O202" s="81" t="s">
        <v>8</v>
      </c>
      <c r="P202" s="83" t="s">
        <v>3151</v>
      </c>
      <c r="Q202" s="84">
        <v>37600</v>
      </c>
      <c r="R202" s="85" t="s">
        <v>8</v>
      </c>
      <c r="S202" s="84" t="s">
        <v>8</v>
      </c>
      <c r="T202" s="83" t="s">
        <v>2394</v>
      </c>
    </row>
    <row r="203" spans="1:20" s="67" customFormat="1">
      <c r="A203" s="80">
        <v>128006450901</v>
      </c>
      <c r="B203" s="81" t="s">
        <v>3070</v>
      </c>
      <c r="C203" s="82">
        <v>45934</v>
      </c>
      <c r="D203" s="80">
        <v>51130855135</v>
      </c>
      <c r="E203" s="80">
        <v>2086313477366</v>
      </c>
      <c r="F203" s="83" t="s">
        <v>2475</v>
      </c>
      <c r="G203" s="83" t="s">
        <v>2388</v>
      </c>
      <c r="H203" s="83" t="s">
        <v>8</v>
      </c>
      <c r="I203" s="80" t="s">
        <v>8</v>
      </c>
      <c r="J203" s="84">
        <v>202.12</v>
      </c>
      <c r="K203" s="83" t="s">
        <v>2389</v>
      </c>
      <c r="L203" s="83" t="s">
        <v>2390</v>
      </c>
      <c r="M203" s="80" t="s">
        <v>2391</v>
      </c>
      <c r="N203" s="83" t="s">
        <v>2392</v>
      </c>
      <c r="O203" s="81" t="s">
        <v>8</v>
      </c>
      <c r="P203" s="83" t="s">
        <v>2536</v>
      </c>
      <c r="Q203" s="84">
        <v>12400</v>
      </c>
      <c r="R203" s="85" t="s">
        <v>8</v>
      </c>
      <c r="S203" s="84" t="s">
        <v>8</v>
      </c>
      <c r="T203" s="83" t="s">
        <v>2394</v>
      </c>
    </row>
    <row r="204" spans="1:20" s="67" customFormat="1">
      <c r="A204" s="80">
        <v>128006790639</v>
      </c>
      <c r="B204" s="81" t="s">
        <v>3070</v>
      </c>
      <c r="C204" s="82">
        <v>45934</v>
      </c>
      <c r="D204" s="80">
        <v>51131025980</v>
      </c>
      <c r="E204" s="80">
        <v>2086315652672</v>
      </c>
      <c r="F204" s="83" t="s">
        <v>2411</v>
      </c>
      <c r="G204" s="83" t="s">
        <v>2388</v>
      </c>
      <c r="H204" s="83" t="s">
        <v>8</v>
      </c>
      <c r="I204" s="80" t="s">
        <v>8</v>
      </c>
      <c r="J204" s="84">
        <v>85.36</v>
      </c>
      <c r="K204" s="83" t="s">
        <v>2389</v>
      </c>
      <c r="L204" s="83" t="s">
        <v>2390</v>
      </c>
      <c r="M204" s="80" t="s">
        <v>2391</v>
      </c>
      <c r="N204" s="83" t="s">
        <v>2392</v>
      </c>
      <c r="O204" s="81" t="s">
        <v>8</v>
      </c>
      <c r="P204" s="83" t="s">
        <v>2412</v>
      </c>
      <c r="Q204" s="84">
        <v>8800</v>
      </c>
      <c r="R204" s="85" t="s">
        <v>8</v>
      </c>
      <c r="S204" s="84" t="s">
        <v>8</v>
      </c>
      <c r="T204" s="83" t="s">
        <v>8</v>
      </c>
    </row>
    <row r="205" spans="1:20" s="67" customFormat="1">
      <c r="A205" s="80">
        <v>128574660704</v>
      </c>
      <c r="B205" s="81" t="s">
        <v>3070</v>
      </c>
      <c r="C205" s="82">
        <v>45934</v>
      </c>
      <c r="D205" s="80">
        <v>51131461603</v>
      </c>
      <c r="E205" s="80">
        <v>2086321215434</v>
      </c>
      <c r="F205" s="83" t="s">
        <v>2387</v>
      </c>
      <c r="G205" s="83" t="s">
        <v>2388</v>
      </c>
      <c r="H205" s="83" t="s">
        <v>8</v>
      </c>
      <c r="I205" s="80" t="s">
        <v>8</v>
      </c>
      <c r="J205" s="84">
        <v>251.23</v>
      </c>
      <c r="K205" s="83" t="s">
        <v>2389</v>
      </c>
      <c r="L205" s="83" t="s">
        <v>2390</v>
      </c>
      <c r="M205" s="80" t="s">
        <v>2391</v>
      </c>
      <c r="N205" s="83" t="s">
        <v>2392</v>
      </c>
      <c r="O205" s="81" t="s">
        <v>8</v>
      </c>
      <c r="P205" s="83" t="s">
        <v>3152</v>
      </c>
      <c r="Q205" s="84">
        <v>25900</v>
      </c>
      <c r="R205" s="85" t="s">
        <v>8</v>
      </c>
      <c r="S205" s="84" t="s">
        <v>8</v>
      </c>
      <c r="T205" s="83" t="s">
        <v>2394</v>
      </c>
    </row>
    <row r="206" spans="1:20" s="67" customFormat="1">
      <c r="A206" s="80">
        <v>128007866123</v>
      </c>
      <c r="B206" s="81" t="s">
        <v>3070</v>
      </c>
      <c r="C206" s="82">
        <v>45934</v>
      </c>
      <c r="D206" s="80">
        <v>51131575493</v>
      </c>
      <c r="E206" s="80">
        <v>2086259768797</v>
      </c>
      <c r="F206" s="83" t="s">
        <v>2387</v>
      </c>
      <c r="G206" s="83" t="s">
        <v>2388</v>
      </c>
      <c r="H206" s="83" t="s">
        <v>8</v>
      </c>
      <c r="I206" s="80" t="s">
        <v>8</v>
      </c>
      <c r="J206" s="84">
        <v>93.12</v>
      </c>
      <c r="K206" s="83" t="s">
        <v>2389</v>
      </c>
      <c r="L206" s="83" t="s">
        <v>2390</v>
      </c>
      <c r="M206" s="80" t="s">
        <v>2391</v>
      </c>
      <c r="N206" s="83" t="s">
        <v>2392</v>
      </c>
      <c r="O206" s="81" t="s">
        <v>8</v>
      </c>
      <c r="P206" s="83" t="s">
        <v>3150</v>
      </c>
      <c r="Q206" s="84">
        <v>9600</v>
      </c>
      <c r="R206" s="85" t="s">
        <v>8</v>
      </c>
      <c r="S206" s="84" t="s">
        <v>8</v>
      </c>
      <c r="T206" s="83" t="s">
        <v>2394</v>
      </c>
    </row>
    <row r="207" spans="1:20" s="67" customFormat="1">
      <c r="A207" s="80">
        <v>128008144261</v>
      </c>
      <c r="B207" s="81" t="s">
        <v>3070</v>
      </c>
      <c r="C207" s="82">
        <v>45934</v>
      </c>
      <c r="D207" s="80">
        <v>51131768298</v>
      </c>
      <c r="E207" s="80">
        <v>2086325001010</v>
      </c>
      <c r="F207" s="83" t="s">
        <v>2387</v>
      </c>
      <c r="G207" s="83" t="s">
        <v>2388</v>
      </c>
      <c r="H207" s="83" t="s">
        <v>8</v>
      </c>
      <c r="I207" s="80" t="s">
        <v>8</v>
      </c>
      <c r="J207" s="84">
        <v>563.57000000000005</v>
      </c>
      <c r="K207" s="83" t="s">
        <v>2389</v>
      </c>
      <c r="L207" s="83" t="s">
        <v>2390</v>
      </c>
      <c r="M207" s="80" t="s">
        <v>2391</v>
      </c>
      <c r="N207" s="83" t="s">
        <v>2392</v>
      </c>
      <c r="O207" s="81" t="s">
        <v>8</v>
      </c>
      <c r="P207" s="83" t="s">
        <v>3153</v>
      </c>
      <c r="Q207" s="84">
        <v>58100</v>
      </c>
      <c r="R207" s="85" t="s">
        <v>8</v>
      </c>
      <c r="S207" s="84" t="s">
        <v>8</v>
      </c>
      <c r="T207" s="83" t="s">
        <v>2394</v>
      </c>
    </row>
    <row r="208" spans="1:20" s="67" customFormat="1">
      <c r="A208" s="80">
        <v>128008194223</v>
      </c>
      <c r="B208" s="81" t="s">
        <v>3070</v>
      </c>
      <c r="C208" s="82">
        <v>45934</v>
      </c>
      <c r="D208" s="80">
        <v>51131782197</v>
      </c>
      <c r="E208" s="80">
        <v>2086262582073</v>
      </c>
      <c r="F208" s="83" t="s">
        <v>2387</v>
      </c>
      <c r="G208" s="83" t="s">
        <v>2388</v>
      </c>
      <c r="H208" s="83" t="s">
        <v>8</v>
      </c>
      <c r="I208" s="80" t="s">
        <v>8</v>
      </c>
      <c r="J208" s="84">
        <v>140.18</v>
      </c>
      <c r="K208" s="83" t="s">
        <v>2389</v>
      </c>
      <c r="L208" s="83" t="s">
        <v>2390</v>
      </c>
      <c r="M208" s="80" t="s">
        <v>2391</v>
      </c>
      <c r="N208" s="83" t="s">
        <v>2392</v>
      </c>
      <c r="O208" s="81" t="s">
        <v>8</v>
      </c>
      <c r="P208" s="83" t="s">
        <v>2432</v>
      </c>
      <c r="Q208" s="84">
        <v>8600</v>
      </c>
      <c r="R208" s="85" t="s">
        <v>8</v>
      </c>
      <c r="S208" s="84" t="s">
        <v>8</v>
      </c>
      <c r="T208" s="83" t="s">
        <v>2394</v>
      </c>
    </row>
    <row r="209" spans="1:20" s="67" customFormat="1">
      <c r="A209" s="80">
        <v>128094716841</v>
      </c>
      <c r="B209" s="81" t="s">
        <v>3070</v>
      </c>
      <c r="C209" s="82">
        <v>45934</v>
      </c>
      <c r="D209" s="80">
        <v>51166842128</v>
      </c>
      <c r="E209" s="80">
        <v>2086856564464</v>
      </c>
      <c r="F209" s="83" t="s">
        <v>2387</v>
      </c>
      <c r="G209" s="83" t="s">
        <v>2388</v>
      </c>
      <c r="H209" s="83" t="s">
        <v>8</v>
      </c>
      <c r="I209" s="80" t="s">
        <v>8</v>
      </c>
      <c r="J209" s="84">
        <v>41.71</v>
      </c>
      <c r="K209" s="83" t="s">
        <v>2389</v>
      </c>
      <c r="L209" s="83" t="s">
        <v>2390</v>
      </c>
      <c r="M209" s="80" t="s">
        <v>2391</v>
      </c>
      <c r="N209" s="83" t="s">
        <v>2392</v>
      </c>
      <c r="O209" s="81" t="s">
        <v>8</v>
      </c>
      <c r="P209" s="83" t="s">
        <v>3154</v>
      </c>
      <c r="Q209" s="84">
        <v>4300</v>
      </c>
      <c r="R209" s="85" t="s">
        <v>8</v>
      </c>
      <c r="S209" s="84" t="s">
        <v>8</v>
      </c>
      <c r="T209" s="83" t="s">
        <v>2394</v>
      </c>
    </row>
    <row r="210" spans="1:20" s="67" customFormat="1">
      <c r="A210" s="80">
        <v>128099061791</v>
      </c>
      <c r="B210" s="81" t="s">
        <v>3070</v>
      </c>
      <c r="C210" s="82">
        <v>45934</v>
      </c>
      <c r="D210" s="80">
        <v>51168475299</v>
      </c>
      <c r="E210" s="80">
        <v>2086821104223</v>
      </c>
      <c r="F210" s="83" t="s">
        <v>2387</v>
      </c>
      <c r="G210" s="83" t="s">
        <v>2388</v>
      </c>
      <c r="H210" s="83" t="s">
        <v>8</v>
      </c>
      <c r="I210" s="80" t="s">
        <v>8</v>
      </c>
      <c r="J210" s="84">
        <v>93.12</v>
      </c>
      <c r="K210" s="83" t="s">
        <v>2389</v>
      </c>
      <c r="L210" s="83" t="s">
        <v>2390</v>
      </c>
      <c r="M210" s="80" t="s">
        <v>2391</v>
      </c>
      <c r="N210" s="83" t="s">
        <v>2392</v>
      </c>
      <c r="O210" s="81" t="s">
        <v>8</v>
      </c>
      <c r="P210" s="83" t="s">
        <v>2872</v>
      </c>
      <c r="Q210" s="84">
        <v>9600</v>
      </c>
      <c r="R210" s="85" t="s">
        <v>8</v>
      </c>
      <c r="S210" s="84" t="s">
        <v>8</v>
      </c>
      <c r="T210" s="83" t="s">
        <v>2394</v>
      </c>
    </row>
    <row r="211" spans="1:20" s="67" customFormat="1">
      <c r="A211" s="80">
        <v>128100123265</v>
      </c>
      <c r="B211" s="81" t="s">
        <v>3070</v>
      </c>
      <c r="C211" s="82">
        <v>45934</v>
      </c>
      <c r="D211" s="80">
        <v>51168891318</v>
      </c>
      <c r="E211" s="80">
        <v>2086891407816</v>
      </c>
      <c r="F211" s="83" t="s">
        <v>2387</v>
      </c>
      <c r="G211" s="83" t="s">
        <v>2388</v>
      </c>
      <c r="H211" s="83" t="s">
        <v>8</v>
      </c>
      <c r="I211" s="80" t="s">
        <v>8</v>
      </c>
      <c r="J211" s="84">
        <v>47.53</v>
      </c>
      <c r="K211" s="83" t="s">
        <v>2389</v>
      </c>
      <c r="L211" s="83" t="s">
        <v>2390</v>
      </c>
      <c r="M211" s="80" t="s">
        <v>2391</v>
      </c>
      <c r="N211" s="83" t="s">
        <v>2392</v>
      </c>
      <c r="O211" s="81" t="s">
        <v>8</v>
      </c>
      <c r="P211" s="83" t="s">
        <v>3155</v>
      </c>
      <c r="Q211" s="84">
        <v>4900</v>
      </c>
      <c r="R211" s="85" t="s">
        <v>8</v>
      </c>
      <c r="S211" s="84" t="s">
        <v>8</v>
      </c>
      <c r="T211" s="83" t="s">
        <v>2394</v>
      </c>
    </row>
    <row r="212" spans="1:20" s="67" customFormat="1">
      <c r="A212" s="80">
        <v>128668277384</v>
      </c>
      <c r="B212" s="81" t="s">
        <v>3070</v>
      </c>
      <c r="C212" s="82">
        <v>45934</v>
      </c>
      <c r="D212" s="80">
        <v>51169037106</v>
      </c>
      <c r="E212" s="80">
        <v>2086893639080</v>
      </c>
      <c r="F212" s="83" t="s">
        <v>2387</v>
      </c>
      <c r="G212" s="83" t="s">
        <v>2388</v>
      </c>
      <c r="H212" s="83" t="s">
        <v>8</v>
      </c>
      <c r="I212" s="80" t="s">
        <v>8</v>
      </c>
      <c r="J212" s="84">
        <v>56.26</v>
      </c>
      <c r="K212" s="83" t="s">
        <v>2389</v>
      </c>
      <c r="L212" s="83" t="s">
        <v>2390</v>
      </c>
      <c r="M212" s="80" t="s">
        <v>2391</v>
      </c>
      <c r="N212" s="83" t="s">
        <v>2392</v>
      </c>
      <c r="O212" s="81" t="s">
        <v>8</v>
      </c>
      <c r="P212" s="83" t="s">
        <v>3155</v>
      </c>
      <c r="Q212" s="84">
        <v>5800</v>
      </c>
      <c r="R212" s="85" t="s">
        <v>8</v>
      </c>
      <c r="S212" s="84" t="s">
        <v>8</v>
      </c>
      <c r="T212" s="83" t="s">
        <v>2394</v>
      </c>
    </row>
    <row r="213" spans="1:20" s="67" customFormat="1">
      <c r="A213" s="80">
        <v>128668834886</v>
      </c>
      <c r="B213" s="81" t="s">
        <v>3070</v>
      </c>
      <c r="C213" s="82">
        <v>45934</v>
      </c>
      <c r="D213" s="80">
        <v>51169245645</v>
      </c>
      <c r="E213" s="80">
        <v>2086834438035</v>
      </c>
      <c r="F213" s="83" t="s">
        <v>2411</v>
      </c>
      <c r="G213" s="83" t="s">
        <v>2388</v>
      </c>
      <c r="H213" s="83" t="s">
        <v>8</v>
      </c>
      <c r="I213" s="80" t="s">
        <v>8</v>
      </c>
      <c r="J213" s="84">
        <v>95.06</v>
      </c>
      <c r="K213" s="83" t="s">
        <v>2389</v>
      </c>
      <c r="L213" s="83" t="s">
        <v>2390</v>
      </c>
      <c r="M213" s="80" t="s">
        <v>2391</v>
      </c>
      <c r="N213" s="83" t="s">
        <v>2392</v>
      </c>
      <c r="O213" s="81" t="s">
        <v>8</v>
      </c>
      <c r="P213" s="83" t="s">
        <v>2412</v>
      </c>
      <c r="Q213" s="84">
        <v>9800</v>
      </c>
      <c r="R213" s="85" t="s">
        <v>8</v>
      </c>
      <c r="S213" s="84" t="s">
        <v>8</v>
      </c>
      <c r="T213" s="83" t="s">
        <v>8</v>
      </c>
    </row>
    <row r="214" spans="1:20" s="67" customFormat="1">
      <c r="A214" s="80">
        <v>128102652299</v>
      </c>
      <c r="B214" s="81" t="s">
        <v>3070</v>
      </c>
      <c r="C214" s="82">
        <v>45934</v>
      </c>
      <c r="D214" s="80">
        <v>51169745206</v>
      </c>
      <c r="E214" s="80">
        <v>2086842937471</v>
      </c>
      <c r="F214" s="83" t="s">
        <v>2387</v>
      </c>
      <c r="G214" s="83" t="s">
        <v>2388</v>
      </c>
      <c r="H214" s="83" t="s">
        <v>8</v>
      </c>
      <c r="I214" s="80" t="s">
        <v>8</v>
      </c>
      <c r="J214" s="84">
        <v>168.78</v>
      </c>
      <c r="K214" s="83" t="s">
        <v>2389</v>
      </c>
      <c r="L214" s="83" t="s">
        <v>2390</v>
      </c>
      <c r="M214" s="80" t="s">
        <v>2391</v>
      </c>
      <c r="N214" s="83" t="s">
        <v>2392</v>
      </c>
      <c r="O214" s="81" t="s">
        <v>8</v>
      </c>
      <c r="P214" s="83" t="s">
        <v>3156</v>
      </c>
      <c r="Q214" s="84">
        <v>17400</v>
      </c>
      <c r="R214" s="85" t="s">
        <v>8</v>
      </c>
      <c r="S214" s="84" t="s">
        <v>8</v>
      </c>
      <c r="T214" s="83" t="s">
        <v>2394</v>
      </c>
    </row>
    <row r="215" spans="1:20" s="67" customFormat="1">
      <c r="A215" s="80">
        <v>128104746523</v>
      </c>
      <c r="B215" s="81" t="s">
        <v>3070</v>
      </c>
      <c r="C215" s="82">
        <v>45934</v>
      </c>
      <c r="D215" s="80">
        <v>51170441653</v>
      </c>
      <c r="E215" s="80">
        <v>2086918416718</v>
      </c>
      <c r="F215" s="83" t="s">
        <v>2401</v>
      </c>
      <c r="G215" s="83" t="s">
        <v>2388</v>
      </c>
      <c r="H215" s="83" t="s">
        <v>8</v>
      </c>
      <c r="I215" s="80" t="s">
        <v>8</v>
      </c>
      <c r="J215" s="84">
        <v>1862.82</v>
      </c>
      <c r="K215" s="83" t="s">
        <v>2389</v>
      </c>
      <c r="L215" s="83" t="s">
        <v>2402</v>
      </c>
      <c r="M215" s="80" t="s">
        <v>2391</v>
      </c>
      <c r="N215" s="83" t="s">
        <v>2392</v>
      </c>
      <c r="O215" s="81" t="s">
        <v>2055</v>
      </c>
      <c r="P215" s="83" t="s">
        <v>2403</v>
      </c>
      <c r="Q215" s="84">
        <v>47400</v>
      </c>
      <c r="R215" s="85" t="s">
        <v>8</v>
      </c>
      <c r="S215" s="84" t="s">
        <v>8</v>
      </c>
      <c r="T215" s="83" t="s">
        <v>2394</v>
      </c>
    </row>
    <row r="216" spans="1:20" s="67" customFormat="1">
      <c r="A216" s="80">
        <v>128106052243</v>
      </c>
      <c r="B216" s="81" t="s">
        <v>3070</v>
      </c>
      <c r="C216" s="82">
        <v>45934</v>
      </c>
      <c r="D216" s="80">
        <v>51170956156</v>
      </c>
      <c r="E216" s="80">
        <v>2086863963653</v>
      </c>
      <c r="F216" s="83" t="s">
        <v>2411</v>
      </c>
      <c r="G216" s="83" t="s">
        <v>2388</v>
      </c>
      <c r="H216" s="83" t="s">
        <v>8</v>
      </c>
      <c r="I216" s="80" t="s">
        <v>8</v>
      </c>
      <c r="J216" s="84">
        <v>307.49</v>
      </c>
      <c r="K216" s="83" t="s">
        <v>2389</v>
      </c>
      <c r="L216" s="83" t="s">
        <v>2390</v>
      </c>
      <c r="M216" s="80" t="s">
        <v>2391</v>
      </c>
      <c r="N216" s="83" t="s">
        <v>2392</v>
      </c>
      <c r="O216" s="81" t="s">
        <v>8</v>
      </c>
      <c r="P216" s="83" t="s">
        <v>2412</v>
      </c>
      <c r="Q216" s="84">
        <v>31700</v>
      </c>
      <c r="R216" s="85" t="s">
        <v>8</v>
      </c>
      <c r="S216" s="84" t="s">
        <v>8</v>
      </c>
      <c r="T216" s="83" t="s">
        <v>8</v>
      </c>
    </row>
    <row r="217" spans="1:20" s="67" customFormat="1">
      <c r="A217" s="80">
        <v>128106623785</v>
      </c>
      <c r="B217" s="81" t="s">
        <v>3070</v>
      </c>
      <c r="C217" s="82">
        <v>45934</v>
      </c>
      <c r="D217" s="80">
        <v>51171216332</v>
      </c>
      <c r="E217" s="80">
        <v>2086868474741</v>
      </c>
      <c r="F217" s="83" t="s">
        <v>2401</v>
      </c>
      <c r="G217" s="83" t="s">
        <v>2388</v>
      </c>
      <c r="H217" s="83" t="s">
        <v>8</v>
      </c>
      <c r="I217" s="80" t="s">
        <v>8</v>
      </c>
      <c r="J217" s="84">
        <v>192.57</v>
      </c>
      <c r="K217" s="83" t="s">
        <v>2389</v>
      </c>
      <c r="L217" s="83" t="s">
        <v>2402</v>
      </c>
      <c r="M217" s="80" t="s">
        <v>2391</v>
      </c>
      <c r="N217" s="83" t="s">
        <v>2392</v>
      </c>
      <c r="O217" s="81" t="s">
        <v>2055</v>
      </c>
      <c r="P217" s="83" t="s">
        <v>2403</v>
      </c>
      <c r="Q217" s="84">
        <v>4900</v>
      </c>
      <c r="R217" s="85" t="s">
        <v>8</v>
      </c>
      <c r="S217" s="84" t="s">
        <v>8</v>
      </c>
      <c r="T217" s="83" t="s">
        <v>2394</v>
      </c>
    </row>
    <row r="218" spans="1:20" s="67" customFormat="1">
      <c r="A218" s="80">
        <v>128106812525</v>
      </c>
      <c r="B218" s="81" t="s">
        <v>3070</v>
      </c>
      <c r="C218" s="82">
        <v>45934</v>
      </c>
      <c r="D218" s="80">
        <v>51171289766</v>
      </c>
      <c r="E218" s="80">
        <v>2086869397549</v>
      </c>
      <c r="F218" s="83" t="s">
        <v>2387</v>
      </c>
      <c r="G218" s="83" t="s">
        <v>2388</v>
      </c>
      <c r="H218" s="83" t="s">
        <v>8</v>
      </c>
      <c r="I218" s="80" t="s">
        <v>8</v>
      </c>
      <c r="J218" s="84">
        <v>95.06</v>
      </c>
      <c r="K218" s="83" t="s">
        <v>2389</v>
      </c>
      <c r="L218" s="83" t="s">
        <v>2390</v>
      </c>
      <c r="M218" s="80" t="s">
        <v>2391</v>
      </c>
      <c r="N218" s="83" t="s">
        <v>2392</v>
      </c>
      <c r="O218" s="81" t="s">
        <v>8</v>
      </c>
      <c r="P218" s="83" t="s">
        <v>3157</v>
      </c>
      <c r="Q218" s="84">
        <v>9800</v>
      </c>
      <c r="R218" s="85" t="s">
        <v>8</v>
      </c>
      <c r="S218" s="84" t="s">
        <v>8</v>
      </c>
      <c r="T218" s="83" t="s">
        <v>2394</v>
      </c>
    </row>
    <row r="219" spans="1:20" s="67" customFormat="1">
      <c r="A219" s="80">
        <v>128676006318</v>
      </c>
      <c r="B219" s="81" t="s">
        <v>3070</v>
      </c>
      <c r="C219" s="82">
        <v>45934</v>
      </c>
      <c r="D219" s="80">
        <v>51171805799</v>
      </c>
      <c r="E219" s="80">
        <v>2086941499858</v>
      </c>
      <c r="F219" s="83" t="s">
        <v>2401</v>
      </c>
      <c r="G219" s="83" t="s">
        <v>2388</v>
      </c>
      <c r="H219" s="83" t="s">
        <v>8</v>
      </c>
      <c r="I219" s="80" t="s">
        <v>8</v>
      </c>
      <c r="J219" s="84">
        <v>2580.0500000000002</v>
      </c>
      <c r="K219" s="83" t="s">
        <v>2389</v>
      </c>
      <c r="L219" s="83" t="s">
        <v>2402</v>
      </c>
      <c r="M219" s="80" t="s">
        <v>2391</v>
      </c>
      <c r="N219" s="83" t="s">
        <v>2392</v>
      </c>
      <c r="O219" s="81" t="s">
        <v>2055</v>
      </c>
      <c r="P219" s="83" t="s">
        <v>2403</v>
      </c>
      <c r="Q219" s="84">
        <v>65650</v>
      </c>
      <c r="R219" s="85" t="s">
        <v>8</v>
      </c>
      <c r="S219" s="84" t="s">
        <v>8</v>
      </c>
      <c r="T219" s="83" t="s">
        <v>2394</v>
      </c>
    </row>
    <row r="220" spans="1:20" s="67" customFormat="1">
      <c r="A220" s="80">
        <v>128676549330</v>
      </c>
      <c r="B220" s="81" t="s">
        <v>3070</v>
      </c>
      <c r="C220" s="82">
        <v>45934</v>
      </c>
      <c r="D220" s="80">
        <v>51172008325</v>
      </c>
      <c r="E220" s="80">
        <v>2086945385130</v>
      </c>
      <c r="F220" s="83" t="s">
        <v>2411</v>
      </c>
      <c r="G220" s="83" t="s">
        <v>2388</v>
      </c>
      <c r="H220" s="83" t="s">
        <v>8</v>
      </c>
      <c r="I220" s="80" t="s">
        <v>8</v>
      </c>
      <c r="J220" s="84">
        <v>153.26</v>
      </c>
      <c r="K220" s="83" t="s">
        <v>2389</v>
      </c>
      <c r="L220" s="83" t="s">
        <v>2390</v>
      </c>
      <c r="M220" s="80" t="s">
        <v>2391</v>
      </c>
      <c r="N220" s="83" t="s">
        <v>2392</v>
      </c>
      <c r="O220" s="81" t="s">
        <v>8</v>
      </c>
      <c r="P220" s="83" t="s">
        <v>2412</v>
      </c>
      <c r="Q220" s="84">
        <v>15800</v>
      </c>
      <c r="R220" s="85" t="s">
        <v>8</v>
      </c>
      <c r="S220" s="84" t="s">
        <v>8</v>
      </c>
      <c r="T220" s="83" t="s">
        <v>8</v>
      </c>
    </row>
    <row r="221" spans="1:20" s="67" customFormat="1">
      <c r="A221" s="80">
        <v>128678113052</v>
      </c>
      <c r="B221" s="81" t="s">
        <v>3070</v>
      </c>
      <c r="C221" s="82">
        <v>45934</v>
      </c>
      <c r="D221" s="80">
        <v>51172508651</v>
      </c>
      <c r="E221" s="80">
        <v>2086953811600</v>
      </c>
      <c r="F221" s="83" t="s">
        <v>2387</v>
      </c>
      <c r="G221" s="83" t="s">
        <v>2388</v>
      </c>
      <c r="H221" s="83" t="s">
        <v>8</v>
      </c>
      <c r="I221" s="80" t="s">
        <v>8</v>
      </c>
      <c r="J221" s="84">
        <v>251.23</v>
      </c>
      <c r="K221" s="83" t="s">
        <v>2389</v>
      </c>
      <c r="L221" s="83" t="s">
        <v>2390</v>
      </c>
      <c r="M221" s="80" t="s">
        <v>2391</v>
      </c>
      <c r="N221" s="83" t="s">
        <v>2392</v>
      </c>
      <c r="O221" s="81" t="s">
        <v>8</v>
      </c>
      <c r="P221" s="83" t="s">
        <v>3158</v>
      </c>
      <c r="Q221" s="84">
        <v>25900</v>
      </c>
      <c r="R221" s="85" t="s">
        <v>8</v>
      </c>
      <c r="S221" s="84" t="s">
        <v>8</v>
      </c>
      <c r="T221" s="83" t="s">
        <v>2394</v>
      </c>
    </row>
    <row r="222" spans="1:20" s="67" customFormat="1">
      <c r="A222" s="80">
        <v>128111836609</v>
      </c>
      <c r="B222" s="81" t="s">
        <v>3070</v>
      </c>
      <c r="C222" s="82">
        <v>45934</v>
      </c>
      <c r="D222" s="80">
        <v>51172987773</v>
      </c>
      <c r="E222" s="80">
        <v>2086961937326</v>
      </c>
      <c r="F222" s="83" t="s">
        <v>2411</v>
      </c>
      <c r="G222" s="83" t="s">
        <v>2388</v>
      </c>
      <c r="H222" s="83" t="s">
        <v>8</v>
      </c>
      <c r="I222" s="80" t="s">
        <v>8</v>
      </c>
      <c r="J222" s="84">
        <v>104.76</v>
      </c>
      <c r="K222" s="83" t="s">
        <v>2389</v>
      </c>
      <c r="L222" s="83" t="s">
        <v>2390</v>
      </c>
      <c r="M222" s="80" t="s">
        <v>2391</v>
      </c>
      <c r="N222" s="83" t="s">
        <v>2392</v>
      </c>
      <c r="O222" s="81" t="s">
        <v>8</v>
      </c>
      <c r="P222" s="83" t="s">
        <v>2412</v>
      </c>
      <c r="Q222" s="84">
        <v>10800</v>
      </c>
      <c r="R222" s="85" t="s">
        <v>8</v>
      </c>
      <c r="S222" s="84" t="s">
        <v>8</v>
      </c>
      <c r="T222" s="83" t="s">
        <v>8</v>
      </c>
    </row>
    <row r="223" spans="1:20" s="67" customFormat="1">
      <c r="A223" s="80">
        <v>128680689872</v>
      </c>
      <c r="B223" s="81" t="s">
        <v>3070</v>
      </c>
      <c r="C223" s="82">
        <v>45934</v>
      </c>
      <c r="D223" s="80">
        <v>51173438949</v>
      </c>
      <c r="E223" s="80">
        <v>2086969610174</v>
      </c>
      <c r="F223" s="83" t="s">
        <v>2387</v>
      </c>
      <c r="G223" s="83" t="s">
        <v>2388</v>
      </c>
      <c r="H223" s="83" t="s">
        <v>8</v>
      </c>
      <c r="I223" s="80" t="s">
        <v>8</v>
      </c>
      <c r="J223" s="84">
        <v>134.83000000000001</v>
      </c>
      <c r="K223" s="83" t="s">
        <v>2389</v>
      </c>
      <c r="L223" s="83" t="s">
        <v>2390</v>
      </c>
      <c r="M223" s="80" t="s">
        <v>2391</v>
      </c>
      <c r="N223" s="83" t="s">
        <v>2392</v>
      </c>
      <c r="O223" s="81" t="s">
        <v>8</v>
      </c>
      <c r="P223" s="83" t="s">
        <v>3159</v>
      </c>
      <c r="Q223" s="84">
        <v>13900</v>
      </c>
      <c r="R223" s="85" t="s">
        <v>8</v>
      </c>
      <c r="S223" s="84" t="s">
        <v>8</v>
      </c>
      <c r="T223" s="83" t="s">
        <v>2394</v>
      </c>
    </row>
    <row r="224" spans="1:20" s="67" customFormat="1">
      <c r="A224" s="80">
        <v>128113046995</v>
      </c>
      <c r="B224" s="81" t="s">
        <v>3070</v>
      </c>
      <c r="C224" s="82">
        <v>45934</v>
      </c>
      <c r="D224" s="80">
        <v>51173491473</v>
      </c>
      <c r="E224" s="80">
        <v>2086907583327</v>
      </c>
      <c r="F224" s="83" t="s">
        <v>2401</v>
      </c>
      <c r="G224" s="83" t="s">
        <v>2388</v>
      </c>
      <c r="H224" s="83" t="s">
        <v>8</v>
      </c>
      <c r="I224" s="80" t="s">
        <v>8</v>
      </c>
      <c r="J224" s="84">
        <v>522.69000000000005</v>
      </c>
      <c r="K224" s="83" t="s">
        <v>2389</v>
      </c>
      <c r="L224" s="83" t="s">
        <v>2402</v>
      </c>
      <c r="M224" s="80" t="s">
        <v>2391</v>
      </c>
      <c r="N224" s="83" t="s">
        <v>2392</v>
      </c>
      <c r="O224" s="81" t="s">
        <v>2055</v>
      </c>
      <c r="P224" s="83" t="s">
        <v>2403</v>
      </c>
      <c r="Q224" s="84">
        <v>13300</v>
      </c>
      <c r="R224" s="85" t="s">
        <v>8</v>
      </c>
      <c r="S224" s="84" t="s">
        <v>8</v>
      </c>
      <c r="T224" s="83" t="s">
        <v>2394</v>
      </c>
    </row>
    <row r="225" spans="1:20" s="67" customFormat="1">
      <c r="A225" s="80">
        <v>128113199157</v>
      </c>
      <c r="B225" s="81" t="s">
        <v>3070</v>
      </c>
      <c r="C225" s="82">
        <v>45934</v>
      </c>
      <c r="D225" s="80">
        <v>51173532611</v>
      </c>
      <c r="E225" s="80">
        <v>2086971342852</v>
      </c>
      <c r="F225" s="83" t="s">
        <v>2401</v>
      </c>
      <c r="G225" s="83" t="s">
        <v>2388</v>
      </c>
      <c r="H225" s="83" t="s">
        <v>8</v>
      </c>
      <c r="I225" s="80" t="s">
        <v>8</v>
      </c>
      <c r="J225" s="84">
        <v>1469.82</v>
      </c>
      <c r="K225" s="83" t="s">
        <v>2389</v>
      </c>
      <c r="L225" s="83" t="s">
        <v>2402</v>
      </c>
      <c r="M225" s="80" t="s">
        <v>2391</v>
      </c>
      <c r="N225" s="83" t="s">
        <v>2392</v>
      </c>
      <c r="O225" s="81" t="s">
        <v>2055</v>
      </c>
      <c r="P225" s="83" t="s">
        <v>2403</v>
      </c>
      <c r="Q225" s="84">
        <v>37400</v>
      </c>
      <c r="R225" s="85" t="s">
        <v>8</v>
      </c>
      <c r="S225" s="84" t="s">
        <v>8</v>
      </c>
      <c r="T225" s="83" t="s">
        <v>2394</v>
      </c>
    </row>
    <row r="226" spans="1:20" s="67" customFormat="1">
      <c r="A226" s="80">
        <v>128114015675</v>
      </c>
      <c r="B226" s="81" t="s">
        <v>3070</v>
      </c>
      <c r="C226" s="82">
        <v>45934</v>
      </c>
      <c r="D226" s="80">
        <v>51173754140</v>
      </c>
      <c r="E226" s="80">
        <v>2086975076840</v>
      </c>
      <c r="F226" s="83" t="s">
        <v>2401</v>
      </c>
      <c r="G226" s="83" t="s">
        <v>2388</v>
      </c>
      <c r="H226" s="83" t="s">
        <v>8</v>
      </c>
      <c r="I226" s="80" t="s">
        <v>8</v>
      </c>
      <c r="J226" s="84">
        <v>2165.4299999999998</v>
      </c>
      <c r="K226" s="83" t="s">
        <v>2389</v>
      </c>
      <c r="L226" s="83" t="s">
        <v>2402</v>
      </c>
      <c r="M226" s="80" t="s">
        <v>2391</v>
      </c>
      <c r="N226" s="83" t="s">
        <v>2392</v>
      </c>
      <c r="O226" s="81" t="s">
        <v>2055</v>
      </c>
      <c r="P226" s="83" t="s">
        <v>2403</v>
      </c>
      <c r="Q226" s="84">
        <v>55100</v>
      </c>
      <c r="R226" s="85" t="s">
        <v>8</v>
      </c>
      <c r="S226" s="84" t="s">
        <v>8</v>
      </c>
      <c r="T226" s="83" t="s">
        <v>2394</v>
      </c>
    </row>
    <row r="227" spans="1:20" s="67" customFormat="1">
      <c r="A227" s="80">
        <v>128682354308</v>
      </c>
      <c r="B227" s="81" t="s">
        <v>3070</v>
      </c>
      <c r="C227" s="82">
        <v>45934</v>
      </c>
      <c r="D227" s="80">
        <v>51174058771</v>
      </c>
      <c r="E227" s="80">
        <v>2086980013218</v>
      </c>
      <c r="F227" s="83" t="s">
        <v>2387</v>
      </c>
      <c r="G227" s="83" t="s">
        <v>2388</v>
      </c>
      <c r="H227" s="83" t="s">
        <v>8</v>
      </c>
      <c r="I227" s="80" t="s">
        <v>8</v>
      </c>
      <c r="J227" s="84">
        <v>339.5</v>
      </c>
      <c r="K227" s="83" t="s">
        <v>2389</v>
      </c>
      <c r="L227" s="83" t="s">
        <v>2390</v>
      </c>
      <c r="M227" s="80" t="s">
        <v>2391</v>
      </c>
      <c r="N227" s="83" t="s">
        <v>2392</v>
      </c>
      <c r="O227" s="81" t="s">
        <v>8</v>
      </c>
      <c r="P227" s="83" t="s">
        <v>3160</v>
      </c>
      <c r="Q227" s="84">
        <v>35000</v>
      </c>
      <c r="R227" s="85" t="s">
        <v>8</v>
      </c>
      <c r="S227" s="84" t="s">
        <v>8</v>
      </c>
      <c r="T227" s="83" t="s">
        <v>2394</v>
      </c>
    </row>
    <row r="228" spans="1:20" s="67" customFormat="1">
      <c r="A228" s="80">
        <v>128682536902</v>
      </c>
      <c r="B228" s="81" t="s">
        <v>3070</v>
      </c>
      <c r="C228" s="82">
        <v>45934</v>
      </c>
      <c r="D228" s="80">
        <v>51174129733</v>
      </c>
      <c r="E228" s="80">
        <v>2086980765506</v>
      </c>
      <c r="F228" s="83" t="s">
        <v>2387</v>
      </c>
      <c r="G228" s="83" t="s">
        <v>2388</v>
      </c>
      <c r="H228" s="83" t="s">
        <v>8</v>
      </c>
      <c r="I228" s="80" t="s">
        <v>8</v>
      </c>
      <c r="J228" s="84">
        <v>142.59</v>
      </c>
      <c r="K228" s="83" t="s">
        <v>2389</v>
      </c>
      <c r="L228" s="83" t="s">
        <v>2390</v>
      </c>
      <c r="M228" s="80" t="s">
        <v>2391</v>
      </c>
      <c r="N228" s="83" t="s">
        <v>2392</v>
      </c>
      <c r="O228" s="81" t="s">
        <v>8</v>
      </c>
      <c r="P228" s="83" t="s">
        <v>2872</v>
      </c>
      <c r="Q228" s="84">
        <v>14700</v>
      </c>
      <c r="R228" s="85" t="s">
        <v>8</v>
      </c>
      <c r="S228" s="84" t="s">
        <v>8</v>
      </c>
      <c r="T228" s="83" t="s">
        <v>2394</v>
      </c>
    </row>
    <row r="229" spans="1:20" s="67" customFormat="1">
      <c r="A229" s="80">
        <v>128682595192</v>
      </c>
      <c r="B229" s="81" t="s">
        <v>3070</v>
      </c>
      <c r="C229" s="82">
        <v>45934</v>
      </c>
      <c r="D229" s="80">
        <v>51174147316</v>
      </c>
      <c r="E229" s="80">
        <v>2086980980054</v>
      </c>
      <c r="F229" s="83" t="s">
        <v>2387</v>
      </c>
      <c r="G229" s="83" t="s">
        <v>2388</v>
      </c>
      <c r="H229" s="83" t="s">
        <v>8</v>
      </c>
      <c r="I229" s="80" t="s">
        <v>8</v>
      </c>
      <c r="J229" s="84">
        <v>987.46</v>
      </c>
      <c r="K229" s="83" t="s">
        <v>2389</v>
      </c>
      <c r="L229" s="83" t="s">
        <v>2390</v>
      </c>
      <c r="M229" s="80" t="s">
        <v>2391</v>
      </c>
      <c r="N229" s="83" t="s">
        <v>2392</v>
      </c>
      <c r="O229" s="81" t="s">
        <v>8</v>
      </c>
      <c r="P229" s="83" t="s">
        <v>3161</v>
      </c>
      <c r="Q229" s="84">
        <v>101800</v>
      </c>
      <c r="R229" s="85" t="s">
        <v>8</v>
      </c>
      <c r="S229" s="84" t="s">
        <v>8</v>
      </c>
      <c r="T229" s="83" t="s">
        <v>2394</v>
      </c>
    </row>
    <row r="230" spans="1:20" s="67" customFormat="1">
      <c r="A230" s="80">
        <v>128683315144</v>
      </c>
      <c r="B230" s="81" t="s">
        <v>3070</v>
      </c>
      <c r="C230" s="82">
        <v>45934</v>
      </c>
      <c r="D230" s="80">
        <v>51174333256</v>
      </c>
      <c r="E230" s="80">
        <v>2086921929083</v>
      </c>
      <c r="F230" s="83" t="s">
        <v>2387</v>
      </c>
      <c r="G230" s="83" t="s">
        <v>2388</v>
      </c>
      <c r="H230" s="83" t="s">
        <v>8</v>
      </c>
      <c r="I230" s="80" t="s">
        <v>8</v>
      </c>
      <c r="J230" s="84">
        <v>544.41999999999996</v>
      </c>
      <c r="K230" s="83" t="s">
        <v>2389</v>
      </c>
      <c r="L230" s="83" t="s">
        <v>2390</v>
      </c>
      <c r="M230" s="80" t="s">
        <v>2391</v>
      </c>
      <c r="N230" s="83" t="s">
        <v>2392</v>
      </c>
      <c r="O230" s="81" t="s">
        <v>8</v>
      </c>
      <c r="P230" s="83" t="s">
        <v>2444</v>
      </c>
      <c r="Q230" s="84">
        <v>33400</v>
      </c>
      <c r="R230" s="85" t="s">
        <v>8</v>
      </c>
      <c r="S230" s="84" t="s">
        <v>8</v>
      </c>
      <c r="T230" s="83" t="s">
        <v>2394</v>
      </c>
    </row>
    <row r="231" spans="1:20" s="67" customFormat="1">
      <c r="A231" s="80">
        <v>128115571549</v>
      </c>
      <c r="B231" s="81" t="s">
        <v>3070</v>
      </c>
      <c r="C231" s="82">
        <v>45934</v>
      </c>
      <c r="D231" s="80">
        <v>51174418104</v>
      </c>
      <c r="E231" s="80">
        <v>2086922689871</v>
      </c>
      <c r="F231" s="83" t="s">
        <v>2475</v>
      </c>
      <c r="G231" s="83" t="s">
        <v>2388</v>
      </c>
      <c r="H231" s="83" t="s">
        <v>8</v>
      </c>
      <c r="I231" s="80" t="s">
        <v>8</v>
      </c>
      <c r="J231" s="84">
        <v>2153.63</v>
      </c>
      <c r="K231" s="83" t="s">
        <v>2389</v>
      </c>
      <c r="L231" s="83" t="s">
        <v>2390</v>
      </c>
      <c r="M231" s="80" t="s">
        <v>2391</v>
      </c>
      <c r="N231" s="83" t="s">
        <v>2392</v>
      </c>
      <c r="O231" s="81" t="s">
        <v>8</v>
      </c>
      <c r="P231" s="83" t="s">
        <v>2477</v>
      </c>
      <c r="Q231" s="84">
        <v>28300</v>
      </c>
      <c r="R231" s="85" t="s">
        <v>8</v>
      </c>
      <c r="S231" s="84" t="s">
        <v>8</v>
      </c>
      <c r="T231" s="83" t="s">
        <v>2394</v>
      </c>
    </row>
    <row r="232" spans="1:20" s="67" customFormat="1">
      <c r="A232" s="80">
        <v>128115776901</v>
      </c>
      <c r="B232" s="81" t="s">
        <v>3070</v>
      </c>
      <c r="C232" s="82">
        <v>45934</v>
      </c>
      <c r="D232" s="80">
        <v>51174461923</v>
      </c>
      <c r="E232" s="80">
        <v>2086923815203</v>
      </c>
      <c r="F232" s="83" t="s">
        <v>2401</v>
      </c>
      <c r="G232" s="83" t="s">
        <v>2388</v>
      </c>
      <c r="H232" s="83" t="s">
        <v>8</v>
      </c>
      <c r="I232" s="80" t="s">
        <v>8</v>
      </c>
      <c r="J232" s="84">
        <v>1355.85</v>
      </c>
      <c r="K232" s="83" t="s">
        <v>2389</v>
      </c>
      <c r="L232" s="83" t="s">
        <v>2402</v>
      </c>
      <c r="M232" s="80" t="s">
        <v>2391</v>
      </c>
      <c r="N232" s="83" t="s">
        <v>2392</v>
      </c>
      <c r="O232" s="81" t="s">
        <v>2055</v>
      </c>
      <c r="P232" s="83" t="s">
        <v>2403</v>
      </c>
      <c r="Q232" s="84">
        <v>34500</v>
      </c>
      <c r="R232" s="85" t="s">
        <v>8</v>
      </c>
      <c r="S232" s="84" t="s">
        <v>8</v>
      </c>
      <c r="T232" s="83" t="s">
        <v>2394</v>
      </c>
    </row>
    <row r="233" spans="1:20" s="67" customFormat="1">
      <c r="A233" s="80">
        <v>128683578206</v>
      </c>
      <c r="B233" s="81" t="s">
        <v>3070</v>
      </c>
      <c r="C233" s="82">
        <v>45934</v>
      </c>
      <c r="D233" s="80">
        <v>51174474689</v>
      </c>
      <c r="E233" s="80">
        <v>2086923590431</v>
      </c>
      <c r="F233" s="83" t="s">
        <v>2387</v>
      </c>
      <c r="G233" s="83" t="s">
        <v>2388</v>
      </c>
      <c r="H233" s="83" t="s">
        <v>8</v>
      </c>
      <c r="I233" s="80" t="s">
        <v>8</v>
      </c>
      <c r="J233" s="84">
        <v>95.06</v>
      </c>
      <c r="K233" s="83" t="s">
        <v>2389</v>
      </c>
      <c r="L233" s="83" t="s">
        <v>2390</v>
      </c>
      <c r="M233" s="80" t="s">
        <v>2391</v>
      </c>
      <c r="N233" s="83" t="s">
        <v>2392</v>
      </c>
      <c r="O233" s="81" t="s">
        <v>8</v>
      </c>
      <c r="P233" s="83" t="s">
        <v>3157</v>
      </c>
      <c r="Q233" s="84">
        <v>9800</v>
      </c>
      <c r="R233" s="85" t="s">
        <v>8</v>
      </c>
      <c r="S233" s="84" t="s">
        <v>8</v>
      </c>
      <c r="T233" s="83" t="s">
        <v>2394</v>
      </c>
    </row>
    <row r="234" spans="1:20" s="67" customFormat="1">
      <c r="A234" s="80">
        <v>128683947738</v>
      </c>
      <c r="B234" s="81" t="s">
        <v>3070</v>
      </c>
      <c r="C234" s="82">
        <v>45934</v>
      </c>
      <c r="D234" s="80">
        <v>51174667059</v>
      </c>
      <c r="E234" s="80">
        <v>2086989772654</v>
      </c>
      <c r="F234" s="83" t="s">
        <v>2387</v>
      </c>
      <c r="G234" s="83" t="s">
        <v>2388</v>
      </c>
      <c r="H234" s="83" t="s">
        <v>8</v>
      </c>
      <c r="I234" s="80" t="s">
        <v>8</v>
      </c>
      <c r="J234" s="84">
        <v>298.29000000000002</v>
      </c>
      <c r="K234" s="83" t="s">
        <v>2389</v>
      </c>
      <c r="L234" s="83" t="s">
        <v>2390</v>
      </c>
      <c r="M234" s="80" t="s">
        <v>2391</v>
      </c>
      <c r="N234" s="83" t="s">
        <v>2392</v>
      </c>
      <c r="O234" s="81" t="s">
        <v>8</v>
      </c>
      <c r="P234" s="83" t="s">
        <v>3162</v>
      </c>
      <c r="Q234" s="84">
        <v>18300</v>
      </c>
      <c r="R234" s="85" t="s">
        <v>8</v>
      </c>
      <c r="S234" s="84" t="s">
        <v>8</v>
      </c>
      <c r="T234" s="83" t="s">
        <v>2394</v>
      </c>
    </row>
    <row r="235" spans="1:20" s="67" customFormat="1">
      <c r="A235" s="80">
        <v>128116626371</v>
      </c>
      <c r="B235" s="81" t="s">
        <v>3070</v>
      </c>
      <c r="C235" s="82">
        <v>45934</v>
      </c>
      <c r="D235" s="80">
        <v>51174706774</v>
      </c>
      <c r="E235" s="80">
        <v>2086927404051</v>
      </c>
      <c r="F235" s="83" t="s">
        <v>2387</v>
      </c>
      <c r="G235" s="83" t="s">
        <v>2388</v>
      </c>
      <c r="H235" s="83" t="s">
        <v>8</v>
      </c>
      <c r="I235" s="80" t="s">
        <v>8</v>
      </c>
      <c r="J235" s="84">
        <v>333.68</v>
      </c>
      <c r="K235" s="83" t="s">
        <v>2389</v>
      </c>
      <c r="L235" s="83" t="s">
        <v>2390</v>
      </c>
      <c r="M235" s="80" t="s">
        <v>2391</v>
      </c>
      <c r="N235" s="83" t="s">
        <v>2392</v>
      </c>
      <c r="O235" s="81" t="s">
        <v>8</v>
      </c>
      <c r="P235" s="83" t="s">
        <v>3163</v>
      </c>
      <c r="Q235" s="84">
        <v>34400</v>
      </c>
      <c r="R235" s="85" t="s">
        <v>8</v>
      </c>
      <c r="S235" s="84" t="s">
        <v>8</v>
      </c>
      <c r="T235" s="83" t="s">
        <v>2394</v>
      </c>
    </row>
    <row r="236" spans="1:20" s="67" customFormat="1">
      <c r="A236" s="80">
        <v>128117082133</v>
      </c>
      <c r="B236" s="81" t="s">
        <v>3070</v>
      </c>
      <c r="C236" s="82">
        <v>45934</v>
      </c>
      <c r="D236" s="80">
        <v>51174886542</v>
      </c>
      <c r="E236" s="80">
        <v>2086993339726</v>
      </c>
      <c r="F236" s="83" t="s">
        <v>2387</v>
      </c>
      <c r="G236" s="83" t="s">
        <v>2388</v>
      </c>
      <c r="H236" s="83" t="s">
        <v>8</v>
      </c>
      <c r="I236" s="80" t="s">
        <v>8</v>
      </c>
      <c r="J236" s="84">
        <v>332.71</v>
      </c>
      <c r="K236" s="83" t="s">
        <v>2389</v>
      </c>
      <c r="L236" s="83" t="s">
        <v>2390</v>
      </c>
      <c r="M236" s="80" t="s">
        <v>2391</v>
      </c>
      <c r="N236" s="83" t="s">
        <v>2392</v>
      </c>
      <c r="O236" s="81" t="s">
        <v>8</v>
      </c>
      <c r="P236" s="83" t="s">
        <v>3164</v>
      </c>
      <c r="Q236" s="84">
        <v>34300</v>
      </c>
      <c r="R236" s="85" t="s">
        <v>8</v>
      </c>
      <c r="S236" s="84" t="s">
        <v>8</v>
      </c>
      <c r="T236" s="83" t="s">
        <v>2394</v>
      </c>
    </row>
    <row r="237" spans="1:20" s="67" customFormat="1">
      <c r="A237" s="80">
        <v>128118062595</v>
      </c>
      <c r="B237" s="81" t="s">
        <v>3070</v>
      </c>
      <c r="C237" s="82">
        <v>45934</v>
      </c>
      <c r="D237" s="80">
        <v>51175284151</v>
      </c>
      <c r="E237" s="80">
        <v>2086937387745</v>
      </c>
      <c r="F237" s="83" t="s">
        <v>2411</v>
      </c>
      <c r="G237" s="83" t="s">
        <v>2388</v>
      </c>
      <c r="H237" s="83" t="s">
        <v>8</v>
      </c>
      <c r="I237" s="80" t="s">
        <v>8</v>
      </c>
      <c r="J237" s="84">
        <v>217.28</v>
      </c>
      <c r="K237" s="83" t="s">
        <v>2389</v>
      </c>
      <c r="L237" s="83" t="s">
        <v>2390</v>
      </c>
      <c r="M237" s="80" t="s">
        <v>2391</v>
      </c>
      <c r="N237" s="83" t="s">
        <v>2392</v>
      </c>
      <c r="O237" s="81" t="s">
        <v>8</v>
      </c>
      <c r="P237" s="83" t="s">
        <v>2412</v>
      </c>
      <c r="Q237" s="84">
        <v>22400</v>
      </c>
      <c r="R237" s="85" t="s">
        <v>8</v>
      </c>
      <c r="S237" s="84" t="s">
        <v>8</v>
      </c>
      <c r="T237" s="83" t="s">
        <v>8</v>
      </c>
    </row>
    <row r="238" spans="1:20" s="67" customFormat="1">
      <c r="A238" s="80">
        <v>128118169295</v>
      </c>
      <c r="B238" s="81" t="s">
        <v>3070</v>
      </c>
      <c r="C238" s="82">
        <v>45934</v>
      </c>
      <c r="D238" s="80">
        <v>51175354970</v>
      </c>
      <c r="E238" s="80">
        <v>2087001169646</v>
      </c>
      <c r="F238" s="83" t="s">
        <v>2387</v>
      </c>
      <c r="G238" s="83" t="s">
        <v>2388</v>
      </c>
      <c r="H238" s="83" t="s">
        <v>8</v>
      </c>
      <c r="I238" s="80" t="s">
        <v>8</v>
      </c>
      <c r="J238" s="84">
        <v>57.23</v>
      </c>
      <c r="K238" s="83" t="s">
        <v>2389</v>
      </c>
      <c r="L238" s="83" t="s">
        <v>2390</v>
      </c>
      <c r="M238" s="80" t="s">
        <v>2391</v>
      </c>
      <c r="N238" s="83" t="s">
        <v>2392</v>
      </c>
      <c r="O238" s="81" t="s">
        <v>8</v>
      </c>
      <c r="P238" s="83" t="s">
        <v>3165</v>
      </c>
      <c r="Q238" s="84">
        <v>5900</v>
      </c>
      <c r="R238" s="85" t="s">
        <v>8</v>
      </c>
      <c r="S238" s="84" t="s">
        <v>8</v>
      </c>
      <c r="T238" s="83" t="s">
        <v>2394</v>
      </c>
    </row>
    <row r="239" spans="1:20" s="67" customFormat="1">
      <c r="A239" s="80">
        <v>128118353155</v>
      </c>
      <c r="B239" s="81" t="s">
        <v>3070</v>
      </c>
      <c r="C239" s="82">
        <v>45934</v>
      </c>
      <c r="D239" s="80">
        <v>51175427367</v>
      </c>
      <c r="E239" s="80">
        <v>2087002552980</v>
      </c>
      <c r="F239" s="83" t="s">
        <v>2401</v>
      </c>
      <c r="G239" s="83" t="s">
        <v>2388</v>
      </c>
      <c r="H239" s="83" t="s">
        <v>8</v>
      </c>
      <c r="I239" s="80" t="s">
        <v>8</v>
      </c>
      <c r="J239" s="84">
        <v>636.66</v>
      </c>
      <c r="K239" s="83" t="s">
        <v>2389</v>
      </c>
      <c r="L239" s="83" t="s">
        <v>2402</v>
      </c>
      <c r="M239" s="80" t="s">
        <v>2391</v>
      </c>
      <c r="N239" s="83" t="s">
        <v>2392</v>
      </c>
      <c r="O239" s="81" t="s">
        <v>2055</v>
      </c>
      <c r="P239" s="83" t="s">
        <v>2403</v>
      </c>
      <c r="Q239" s="84">
        <v>16200</v>
      </c>
      <c r="R239" s="85" t="s">
        <v>8</v>
      </c>
      <c r="S239" s="84" t="s">
        <v>8</v>
      </c>
      <c r="T239" s="83" t="s">
        <v>2394</v>
      </c>
    </row>
    <row r="240" spans="1:20" s="67" customFormat="1">
      <c r="A240" s="80">
        <v>128687029470</v>
      </c>
      <c r="B240" s="81" t="s">
        <v>3070</v>
      </c>
      <c r="C240" s="82">
        <v>45934</v>
      </c>
      <c r="D240" s="80">
        <v>51175803289</v>
      </c>
      <c r="E240" s="80">
        <v>2086945862709</v>
      </c>
      <c r="F240" s="83" t="s">
        <v>2387</v>
      </c>
      <c r="G240" s="83" t="s">
        <v>2388</v>
      </c>
      <c r="H240" s="83" t="s">
        <v>8</v>
      </c>
      <c r="I240" s="80" t="s">
        <v>8</v>
      </c>
      <c r="J240" s="84">
        <v>368.6</v>
      </c>
      <c r="K240" s="83" t="s">
        <v>2389</v>
      </c>
      <c r="L240" s="83" t="s">
        <v>2390</v>
      </c>
      <c r="M240" s="80" t="s">
        <v>2391</v>
      </c>
      <c r="N240" s="83" t="s">
        <v>2392</v>
      </c>
      <c r="O240" s="81" t="s">
        <v>8</v>
      </c>
      <c r="P240" s="83" t="s">
        <v>3166</v>
      </c>
      <c r="Q240" s="84">
        <v>38000</v>
      </c>
      <c r="R240" s="85" t="s">
        <v>8</v>
      </c>
      <c r="S240" s="84" t="s">
        <v>8</v>
      </c>
      <c r="T240" s="83" t="s">
        <v>2394</v>
      </c>
    </row>
    <row r="241" spans="1:20" s="67" customFormat="1">
      <c r="A241" s="80">
        <v>128119642609</v>
      </c>
      <c r="B241" s="81" t="s">
        <v>3070</v>
      </c>
      <c r="C241" s="82">
        <v>45934</v>
      </c>
      <c r="D241" s="80">
        <v>51175813085</v>
      </c>
      <c r="E241" s="80">
        <v>2087009256948</v>
      </c>
      <c r="F241" s="83" t="s">
        <v>2401</v>
      </c>
      <c r="G241" s="83" t="s">
        <v>2388</v>
      </c>
      <c r="H241" s="83" t="s">
        <v>8</v>
      </c>
      <c r="I241" s="80" t="s">
        <v>8</v>
      </c>
      <c r="J241" s="84">
        <v>538.41</v>
      </c>
      <c r="K241" s="83" t="s">
        <v>2389</v>
      </c>
      <c r="L241" s="83" t="s">
        <v>2402</v>
      </c>
      <c r="M241" s="80" t="s">
        <v>2391</v>
      </c>
      <c r="N241" s="83" t="s">
        <v>2392</v>
      </c>
      <c r="O241" s="81" t="s">
        <v>2055</v>
      </c>
      <c r="P241" s="83" t="s">
        <v>2403</v>
      </c>
      <c r="Q241" s="84">
        <v>13700</v>
      </c>
      <c r="R241" s="85" t="s">
        <v>8</v>
      </c>
      <c r="S241" s="84" t="s">
        <v>8</v>
      </c>
      <c r="T241" s="83" t="s">
        <v>2394</v>
      </c>
    </row>
    <row r="242" spans="1:20" s="67" customFormat="1">
      <c r="A242" s="80">
        <v>128120103931</v>
      </c>
      <c r="B242" s="81" t="s">
        <v>3070</v>
      </c>
      <c r="C242" s="82">
        <v>45934</v>
      </c>
      <c r="D242" s="80">
        <v>51176070209</v>
      </c>
      <c r="E242" s="80">
        <v>2086950259769</v>
      </c>
      <c r="F242" s="83" t="s">
        <v>2411</v>
      </c>
      <c r="G242" s="83" t="s">
        <v>2388</v>
      </c>
      <c r="H242" s="83" t="s">
        <v>8</v>
      </c>
      <c r="I242" s="80" t="s">
        <v>8</v>
      </c>
      <c r="J242" s="84">
        <v>93.12</v>
      </c>
      <c r="K242" s="83" t="s">
        <v>2389</v>
      </c>
      <c r="L242" s="83" t="s">
        <v>2390</v>
      </c>
      <c r="M242" s="80" t="s">
        <v>2391</v>
      </c>
      <c r="N242" s="83" t="s">
        <v>2392</v>
      </c>
      <c r="O242" s="81" t="s">
        <v>8</v>
      </c>
      <c r="P242" s="83" t="s">
        <v>2412</v>
      </c>
      <c r="Q242" s="84">
        <v>9600</v>
      </c>
      <c r="R242" s="85" t="s">
        <v>8</v>
      </c>
      <c r="S242" s="84" t="s">
        <v>8</v>
      </c>
      <c r="T242" s="83" t="s">
        <v>8</v>
      </c>
    </row>
    <row r="243" spans="1:20" s="67" customFormat="1">
      <c r="A243" s="80">
        <v>128120410601</v>
      </c>
      <c r="B243" s="81" t="s">
        <v>3070</v>
      </c>
      <c r="C243" s="82">
        <v>45934</v>
      </c>
      <c r="D243" s="80">
        <v>51176155120</v>
      </c>
      <c r="E243" s="80">
        <v>2086951619909</v>
      </c>
      <c r="F243" s="83" t="s">
        <v>2401</v>
      </c>
      <c r="G243" s="83" t="s">
        <v>2388</v>
      </c>
      <c r="H243" s="83" t="s">
        <v>8</v>
      </c>
      <c r="I243" s="80" t="s">
        <v>8</v>
      </c>
      <c r="J243" s="84">
        <v>2406.1999999999998</v>
      </c>
      <c r="K243" s="83" t="s">
        <v>2389</v>
      </c>
      <c r="L243" s="83" t="s">
        <v>2402</v>
      </c>
      <c r="M243" s="80" t="s">
        <v>2391</v>
      </c>
      <c r="N243" s="83" t="s">
        <v>2392</v>
      </c>
      <c r="O243" s="81" t="s">
        <v>2055</v>
      </c>
      <c r="P243" s="83" t="s">
        <v>2403</v>
      </c>
      <c r="Q243" s="84">
        <v>53000</v>
      </c>
      <c r="R243" s="85" t="s">
        <v>8</v>
      </c>
      <c r="S243" s="84" t="s">
        <v>8</v>
      </c>
      <c r="T243" s="83" t="s">
        <v>2394</v>
      </c>
    </row>
    <row r="244" spans="1:20" s="67" customFormat="1">
      <c r="A244" s="80">
        <v>128689106092</v>
      </c>
      <c r="B244" s="81" t="s">
        <v>3070</v>
      </c>
      <c r="C244" s="82">
        <v>45934</v>
      </c>
      <c r="D244" s="80">
        <v>51176554216</v>
      </c>
      <c r="E244" s="80">
        <v>2087021347894</v>
      </c>
      <c r="F244" s="83" t="s">
        <v>2401</v>
      </c>
      <c r="G244" s="83" t="s">
        <v>2388</v>
      </c>
      <c r="H244" s="83" t="s">
        <v>8</v>
      </c>
      <c r="I244" s="80" t="s">
        <v>8</v>
      </c>
      <c r="J244" s="84">
        <v>227</v>
      </c>
      <c r="K244" s="83" t="s">
        <v>2389</v>
      </c>
      <c r="L244" s="83" t="s">
        <v>2402</v>
      </c>
      <c r="M244" s="80" t="s">
        <v>2391</v>
      </c>
      <c r="N244" s="83" t="s">
        <v>2392</v>
      </c>
      <c r="O244" s="81" t="s">
        <v>2055</v>
      </c>
      <c r="P244" s="83" t="s">
        <v>2403</v>
      </c>
      <c r="Q244" s="84">
        <v>5000</v>
      </c>
      <c r="R244" s="85" t="s">
        <v>8</v>
      </c>
      <c r="S244" s="84" t="s">
        <v>8</v>
      </c>
      <c r="T244" s="83" t="s">
        <v>2394</v>
      </c>
    </row>
    <row r="245" spans="1:20" s="67" customFormat="1">
      <c r="A245" s="80">
        <v>128689516614</v>
      </c>
      <c r="B245" s="81" t="s">
        <v>3070</v>
      </c>
      <c r="C245" s="82">
        <v>45934</v>
      </c>
      <c r="D245" s="80">
        <v>51176679097</v>
      </c>
      <c r="E245" s="80">
        <v>2086960025679</v>
      </c>
      <c r="F245" s="83" t="s">
        <v>2401</v>
      </c>
      <c r="G245" s="83" t="s">
        <v>2388</v>
      </c>
      <c r="H245" s="83" t="s">
        <v>8</v>
      </c>
      <c r="I245" s="80" t="s">
        <v>8</v>
      </c>
      <c r="J245" s="84">
        <v>2537.86</v>
      </c>
      <c r="K245" s="83" t="s">
        <v>2389</v>
      </c>
      <c r="L245" s="83" t="s">
        <v>2402</v>
      </c>
      <c r="M245" s="80" t="s">
        <v>2391</v>
      </c>
      <c r="N245" s="83" t="s">
        <v>2392</v>
      </c>
      <c r="O245" s="81" t="s">
        <v>2055</v>
      </c>
      <c r="P245" s="83" t="s">
        <v>2403</v>
      </c>
      <c r="Q245" s="84">
        <v>55900</v>
      </c>
      <c r="R245" s="85" t="s">
        <v>8</v>
      </c>
      <c r="S245" s="84" t="s">
        <v>8</v>
      </c>
      <c r="T245" s="83" t="s">
        <v>2394</v>
      </c>
    </row>
    <row r="246" spans="1:20" s="67" customFormat="1">
      <c r="A246" s="80">
        <v>128122214151</v>
      </c>
      <c r="B246" s="81" t="s">
        <v>3070</v>
      </c>
      <c r="C246" s="82">
        <v>45934</v>
      </c>
      <c r="D246" s="80">
        <v>51176784627</v>
      </c>
      <c r="E246" s="80">
        <v>2087024724640</v>
      </c>
      <c r="F246" s="83" t="s">
        <v>2387</v>
      </c>
      <c r="G246" s="83" t="s">
        <v>2388</v>
      </c>
      <c r="H246" s="83" t="s">
        <v>8</v>
      </c>
      <c r="I246" s="80" t="s">
        <v>8</v>
      </c>
      <c r="J246" s="84">
        <v>36.86</v>
      </c>
      <c r="K246" s="83" t="s">
        <v>2389</v>
      </c>
      <c r="L246" s="83" t="s">
        <v>2390</v>
      </c>
      <c r="M246" s="80" t="s">
        <v>2391</v>
      </c>
      <c r="N246" s="83" t="s">
        <v>2392</v>
      </c>
      <c r="O246" s="81" t="s">
        <v>8</v>
      </c>
      <c r="P246" s="83" t="s">
        <v>2420</v>
      </c>
      <c r="Q246" s="84">
        <v>3800</v>
      </c>
      <c r="R246" s="85" t="s">
        <v>8</v>
      </c>
      <c r="S246" s="84" t="s">
        <v>8</v>
      </c>
      <c r="T246" s="83" t="s">
        <v>2394</v>
      </c>
    </row>
    <row r="247" spans="1:20" s="67" customFormat="1">
      <c r="A247" s="80">
        <v>128690050246</v>
      </c>
      <c r="B247" s="81" t="s">
        <v>3070</v>
      </c>
      <c r="C247" s="82">
        <v>45934</v>
      </c>
      <c r="D247" s="80">
        <v>51176815682</v>
      </c>
      <c r="E247" s="80">
        <v>2087025245452</v>
      </c>
      <c r="F247" s="83" t="s">
        <v>2387</v>
      </c>
      <c r="G247" s="83" t="s">
        <v>2388</v>
      </c>
      <c r="H247" s="83" t="s">
        <v>8</v>
      </c>
      <c r="I247" s="80" t="s">
        <v>8</v>
      </c>
      <c r="J247" s="84">
        <v>40.74</v>
      </c>
      <c r="K247" s="83" t="s">
        <v>2389</v>
      </c>
      <c r="L247" s="83" t="s">
        <v>2390</v>
      </c>
      <c r="M247" s="80" t="s">
        <v>2391</v>
      </c>
      <c r="N247" s="83" t="s">
        <v>2392</v>
      </c>
      <c r="O247" s="81" t="s">
        <v>8</v>
      </c>
      <c r="P247" s="83" t="s">
        <v>2423</v>
      </c>
      <c r="Q247" s="84">
        <v>4200</v>
      </c>
      <c r="R247" s="85" t="s">
        <v>8</v>
      </c>
      <c r="S247" s="84" t="s">
        <v>8</v>
      </c>
      <c r="T247" s="83" t="s">
        <v>2394</v>
      </c>
    </row>
    <row r="248" spans="1:20" s="67" customFormat="1">
      <c r="A248" s="80">
        <v>128122283721</v>
      </c>
      <c r="B248" s="81" t="s">
        <v>3070</v>
      </c>
      <c r="C248" s="82">
        <v>45934</v>
      </c>
      <c r="D248" s="80">
        <v>51176849893</v>
      </c>
      <c r="E248" s="80">
        <v>2086962867625</v>
      </c>
      <c r="F248" s="83" t="s">
        <v>2387</v>
      </c>
      <c r="G248" s="83" t="s">
        <v>2388</v>
      </c>
      <c r="H248" s="83" t="s">
        <v>8</v>
      </c>
      <c r="I248" s="80" t="s">
        <v>8</v>
      </c>
      <c r="J248" s="84">
        <v>48.5</v>
      </c>
      <c r="K248" s="83" t="s">
        <v>2389</v>
      </c>
      <c r="L248" s="83" t="s">
        <v>2390</v>
      </c>
      <c r="M248" s="80" t="s">
        <v>2391</v>
      </c>
      <c r="N248" s="83" t="s">
        <v>2392</v>
      </c>
      <c r="O248" s="81" t="s">
        <v>8</v>
      </c>
      <c r="P248" s="83" t="s">
        <v>3167</v>
      </c>
      <c r="Q248" s="84">
        <v>5000</v>
      </c>
      <c r="R248" s="85" t="s">
        <v>8</v>
      </c>
      <c r="S248" s="84" t="s">
        <v>8</v>
      </c>
      <c r="T248" s="83" t="s">
        <v>2394</v>
      </c>
    </row>
    <row r="249" spans="1:20" s="67" customFormat="1">
      <c r="A249" s="80">
        <v>128690199068</v>
      </c>
      <c r="B249" s="81" t="s">
        <v>3070</v>
      </c>
      <c r="C249" s="82">
        <v>45934</v>
      </c>
      <c r="D249" s="80">
        <v>51176862843</v>
      </c>
      <c r="E249" s="80">
        <v>2086963395313</v>
      </c>
      <c r="F249" s="83" t="s">
        <v>2411</v>
      </c>
      <c r="G249" s="83" t="s">
        <v>2388</v>
      </c>
      <c r="H249" s="83" t="s">
        <v>8</v>
      </c>
      <c r="I249" s="80" t="s">
        <v>8</v>
      </c>
      <c r="J249" s="84">
        <v>93.12</v>
      </c>
      <c r="K249" s="83" t="s">
        <v>2389</v>
      </c>
      <c r="L249" s="83" t="s">
        <v>2390</v>
      </c>
      <c r="M249" s="80" t="s">
        <v>2391</v>
      </c>
      <c r="N249" s="83" t="s">
        <v>2392</v>
      </c>
      <c r="O249" s="81" t="s">
        <v>8</v>
      </c>
      <c r="P249" s="83" t="s">
        <v>2412</v>
      </c>
      <c r="Q249" s="84">
        <v>9600</v>
      </c>
      <c r="R249" s="85" t="s">
        <v>8</v>
      </c>
      <c r="S249" s="84" t="s">
        <v>8</v>
      </c>
      <c r="T249" s="83" t="s">
        <v>8</v>
      </c>
    </row>
    <row r="250" spans="1:20" s="67" customFormat="1">
      <c r="A250" s="80">
        <v>128690444386</v>
      </c>
      <c r="B250" s="81" t="s">
        <v>3070</v>
      </c>
      <c r="C250" s="82">
        <v>45934</v>
      </c>
      <c r="D250" s="80">
        <v>51176923634</v>
      </c>
      <c r="E250" s="80">
        <v>2087027469516</v>
      </c>
      <c r="F250" s="83" t="s">
        <v>2387</v>
      </c>
      <c r="G250" s="83" t="s">
        <v>2388</v>
      </c>
      <c r="H250" s="83" t="s">
        <v>8</v>
      </c>
      <c r="I250" s="80" t="s">
        <v>8</v>
      </c>
      <c r="J250" s="84">
        <v>362.78</v>
      </c>
      <c r="K250" s="83" t="s">
        <v>2389</v>
      </c>
      <c r="L250" s="83" t="s">
        <v>2390</v>
      </c>
      <c r="M250" s="80" t="s">
        <v>2391</v>
      </c>
      <c r="N250" s="83" t="s">
        <v>2392</v>
      </c>
      <c r="O250" s="81" t="s">
        <v>8</v>
      </c>
      <c r="P250" s="83" t="s">
        <v>2743</v>
      </c>
      <c r="Q250" s="84">
        <v>37400</v>
      </c>
      <c r="R250" s="85" t="s">
        <v>8</v>
      </c>
      <c r="S250" s="84" t="s">
        <v>8</v>
      </c>
      <c r="T250" s="83" t="s">
        <v>2394</v>
      </c>
    </row>
    <row r="251" spans="1:20" s="67" customFormat="1">
      <c r="A251" s="80">
        <v>128123405379</v>
      </c>
      <c r="B251" s="81" t="s">
        <v>3070</v>
      </c>
      <c r="C251" s="82">
        <v>45934</v>
      </c>
      <c r="D251" s="80">
        <v>51177198017</v>
      </c>
      <c r="E251" s="80">
        <v>2086968867115</v>
      </c>
      <c r="F251" s="83" t="s">
        <v>2387</v>
      </c>
      <c r="G251" s="83" t="s">
        <v>2388</v>
      </c>
      <c r="H251" s="83" t="s">
        <v>8</v>
      </c>
      <c r="I251" s="80" t="s">
        <v>8</v>
      </c>
      <c r="J251" s="84">
        <v>93.12</v>
      </c>
      <c r="K251" s="83" t="s">
        <v>2389</v>
      </c>
      <c r="L251" s="83" t="s">
        <v>2390</v>
      </c>
      <c r="M251" s="80" t="s">
        <v>2391</v>
      </c>
      <c r="N251" s="83" t="s">
        <v>2392</v>
      </c>
      <c r="O251" s="81" t="s">
        <v>8</v>
      </c>
      <c r="P251" s="83" t="s">
        <v>3168</v>
      </c>
      <c r="Q251" s="84">
        <v>9600</v>
      </c>
      <c r="R251" s="85" t="s">
        <v>8</v>
      </c>
      <c r="S251" s="84" t="s">
        <v>8</v>
      </c>
      <c r="T251" s="83" t="s">
        <v>2394</v>
      </c>
    </row>
    <row r="252" spans="1:20" s="67" customFormat="1">
      <c r="A252" s="80">
        <v>128691126746</v>
      </c>
      <c r="B252" s="81" t="s">
        <v>3070</v>
      </c>
      <c r="C252" s="82">
        <v>45934</v>
      </c>
      <c r="D252" s="80">
        <v>51177294982</v>
      </c>
      <c r="E252" s="80">
        <v>2087032839302</v>
      </c>
      <c r="F252" s="83" t="s">
        <v>2387</v>
      </c>
      <c r="G252" s="83" t="s">
        <v>2388</v>
      </c>
      <c r="H252" s="83" t="s">
        <v>8</v>
      </c>
      <c r="I252" s="80" t="s">
        <v>8</v>
      </c>
      <c r="J252" s="84">
        <v>89.24</v>
      </c>
      <c r="K252" s="83" t="s">
        <v>2389</v>
      </c>
      <c r="L252" s="83" t="s">
        <v>2390</v>
      </c>
      <c r="M252" s="80" t="s">
        <v>2391</v>
      </c>
      <c r="N252" s="83" t="s">
        <v>2392</v>
      </c>
      <c r="O252" s="81" t="s">
        <v>8</v>
      </c>
      <c r="P252" s="83" t="s">
        <v>3169</v>
      </c>
      <c r="Q252" s="84">
        <v>9200</v>
      </c>
      <c r="R252" s="85" t="s">
        <v>8</v>
      </c>
      <c r="S252" s="84" t="s">
        <v>8</v>
      </c>
      <c r="T252" s="83" t="s">
        <v>2394</v>
      </c>
    </row>
    <row r="253" spans="1:20" s="67" customFormat="1">
      <c r="A253" s="80">
        <v>128123744661</v>
      </c>
      <c r="B253" s="81" t="s">
        <v>3070</v>
      </c>
      <c r="C253" s="82">
        <v>45934</v>
      </c>
      <c r="D253" s="80">
        <v>51177308402</v>
      </c>
      <c r="E253" s="80">
        <v>2087033643888</v>
      </c>
      <c r="F253" s="83" t="s">
        <v>2401</v>
      </c>
      <c r="G253" s="83" t="s">
        <v>2388</v>
      </c>
      <c r="H253" s="83" t="s">
        <v>8</v>
      </c>
      <c r="I253" s="80" t="s">
        <v>8</v>
      </c>
      <c r="J253" s="84">
        <v>1414.8</v>
      </c>
      <c r="K253" s="83" t="s">
        <v>2389</v>
      </c>
      <c r="L253" s="83" t="s">
        <v>2402</v>
      </c>
      <c r="M253" s="80" t="s">
        <v>2391</v>
      </c>
      <c r="N253" s="83" t="s">
        <v>2392</v>
      </c>
      <c r="O253" s="81" t="s">
        <v>2055</v>
      </c>
      <c r="P253" s="83" t="s">
        <v>2403</v>
      </c>
      <c r="Q253" s="84">
        <v>36000</v>
      </c>
      <c r="R253" s="85" t="s">
        <v>8</v>
      </c>
      <c r="S253" s="84" t="s">
        <v>8</v>
      </c>
      <c r="T253" s="83" t="s">
        <v>2394</v>
      </c>
    </row>
    <row r="254" spans="1:20" s="67" customFormat="1">
      <c r="A254" s="80">
        <v>128691506480</v>
      </c>
      <c r="B254" s="81" t="s">
        <v>3070</v>
      </c>
      <c r="C254" s="82">
        <v>45934</v>
      </c>
      <c r="D254" s="80">
        <v>51177398066</v>
      </c>
      <c r="E254" s="80">
        <v>2087034938686</v>
      </c>
      <c r="F254" s="83" t="s">
        <v>2475</v>
      </c>
      <c r="G254" s="83" t="s">
        <v>2388</v>
      </c>
      <c r="H254" s="83" t="s">
        <v>8</v>
      </c>
      <c r="I254" s="80" t="s">
        <v>8</v>
      </c>
      <c r="J254" s="84">
        <v>854.12</v>
      </c>
      <c r="K254" s="83" t="s">
        <v>2389</v>
      </c>
      <c r="L254" s="83" t="s">
        <v>2390</v>
      </c>
      <c r="M254" s="80" t="s">
        <v>2391</v>
      </c>
      <c r="N254" s="83" t="s">
        <v>2392</v>
      </c>
      <c r="O254" s="81" t="s">
        <v>8</v>
      </c>
      <c r="P254" s="83" t="s">
        <v>2476</v>
      </c>
      <c r="Q254" s="84">
        <v>52400</v>
      </c>
      <c r="R254" s="85" t="s">
        <v>8</v>
      </c>
      <c r="S254" s="84" t="s">
        <v>8</v>
      </c>
      <c r="T254" s="83" t="s">
        <v>2394</v>
      </c>
    </row>
    <row r="255" spans="1:20" s="67" customFormat="1">
      <c r="A255" s="80">
        <v>128691509296</v>
      </c>
      <c r="B255" s="81" t="s">
        <v>3070</v>
      </c>
      <c r="C255" s="82">
        <v>45934</v>
      </c>
      <c r="D255" s="80">
        <v>51177429153</v>
      </c>
      <c r="E255" s="80">
        <v>2087035337812</v>
      </c>
      <c r="F255" s="83" t="s">
        <v>2387</v>
      </c>
      <c r="G255" s="83" t="s">
        <v>2388</v>
      </c>
      <c r="H255" s="83" t="s">
        <v>8</v>
      </c>
      <c r="I255" s="80" t="s">
        <v>8</v>
      </c>
      <c r="J255" s="84">
        <v>506.34</v>
      </c>
      <c r="K255" s="83" t="s">
        <v>2389</v>
      </c>
      <c r="L255" s="83" t="s">
        <v>2390</v>
      </c>
      <c r="M255" s="80" t="s">
        <v>2391</v>
      </c>
      <c r="N255" s="83" t="s">
        <v>2392</v>
      </c>
      <c r="O255" s="81" t="s">
        <v>8</v>
      </c>
      <c r="P255" s="83" t="s">
        <v>2767</v>
      </c>
      <c r="Q255" s="84">
        <v>52200</v>
      </c>
      <c r="R255" s="85" t="s">
        <v>8</v>
      </c>
      <c r="S255" s="84" t="s">
        <v>8</v>
      </c>
      <c r="T255" s="83" t="s">
        <v>2394</v>
      </c>
    </row>
    <row r="256" spans="1:20" s="67" customFormat="1">
      <c r="A256" s="80">
        <v>128124030985</v>
      </c>
      <c r="B256" s="81" t="s">
        <v>3070</v>
      </c>
      <c r="C256" s="82">
        <v>45934</v>
      </c>
      <c r="D256" s="80">
        <v>51177465134</v>
      </c>
      <c r="E256" s="80">
        <v>2087035652432</v>
      </c>
      <c r="F256" s="83" t="s">
        <v>2387</v>
      </c>
      <c r="G256" s="83" t="s">
        <v>2388</v>
      </c>
      <c r="H256" s="83" t="s">
        <v>8</v>
      </c>
      <c r="I256" s="80" t="s">
        <v>8</v>
      </c>
      <c r="J256" s="84">
        <v>949.63</v>
      </c>
      <c r="K256" s="83" t="s">
        <v>2389</v>
      </c>
      <c r="L256" s="83" t="s">
        <v>2390</v>
      </c>
      <c r="M256" s="80" t="s">
        <v>2391</v>
      </c>
      <c r="N256" s="83" t="s">
        <v>2392</v>
      </c>
      <c r="O256" s="81" t="s">
        <v>8</v>
      </c>
      <c r="P256" s="83" t="s">
        <v>3004</v>
      </c>
      <c r="Q256" s="84">
        <v>97900</v>
      </c>
      <c r="R256" s="85" t="s">
        <v>8</v>
      </c>
      <c r="S256" s="84" t="s">
        <v>8</v>
      </c>
      <c r="T256" s="83" t="s">
        <v>2394</v>
      </c>
    </row>
    <row r="257" spans="1:20" s="67" customFormat="1">
      <c r="A257" s="80">
        <v>128691751928</v>
      </c>
      <c r="B257" s="81" t="s">
        <v>3070</v>
      </c>
      <c r="C257" s="82">
        <v>45934</v>
      </c>
      <c r="D257" s="80">
        <v>51177515427</v>
      </c>
      <c r="E257" s="80">
        <v>2086973445645</v>
      </c>
      <c r="F257" s="83" t="s">
        <v>2387</v>
      </c>
      <c r="G257" s="83" t="s">
        <v>2388</v>
      </c>
      <c r="H257" s="83" t="s">
        <v>8</v>
      </c>
      <c r="I257" s="80" t="s">
        <v>8</v>
      </c>
      <c r="J257" s="84">
        <v>77.599999999999994</v>
      </c>
      <c r="K257" s="83" t="s">
        <v>2389</v>
      </c>
      <c r="L257" s="83" t="s">
        <v>2390</v>
      </c>
      <c r="M257" s="80" t="s">
        <v>2391</v>
      </c>
      <c r="N257" s="83" t="s">
        <v>2392</v>
      </c>
      <c r="O257" s="81" t="s">
        <v>8</v>
      </c>
      <c r="P257" s="83" t="s">
        <v>2938</v>
      </c>
      <c r="Q257" s="84">
        <v>8000</v>
      </c>
      <c r="R257" s="85" t="s">
        <v>8</v>
      </c>
      <c r="S257" s="84" t="s">
        <v>8</v>
      </c>
      <c r="T257" s="83" t="s">
        <v>2394</v>
      </c>
    </row>
    <row r="258" spans="1:20" s="67" customFormat="1">
      <c r="A258" s="80">
        <v>128692018414</v>
      </c>
      <c r="B258" s="81" t="s">
        <v>3070</v>
      </c>
      <c r="C258" s="82">
        <v>45934</v>
      </c>
      <c r="D258" s="80">
        <v>51177519735</v>
      </c>
      <c r="E258" s="80">
        <v>2087037128708</v>
      </c>
      <c r="F258" s="83" t="s">
        <v>2401</v>
      </c>
      <c r="G258" s="83" t="s">
        <v>2388</v>
      </c>
      <c r="H258" s="83" t="s">
        <v>8</v>
      </c>
      <c r="I258" s="80" t="s">
        <v>8</v>
      </c>
      <c r="J258" s="84">
        <v>948.86</v>
      </c>
      <c r="K258" s="83" t="s">
        <v>2389</v>
      </c>
      <c r="L258" s="83" t="s">
        <v>2402</v>
      </c>
      <c r="M258" s="80" t="s">
        <v>2391</v>
      </c>
      <c r="N258" s="83" t="s">
        <v>2392</v>
      </c>
      <c r="O258" s="81" t="s">
        <v>2055</v>
      </c>
      <c r="P258" s="83" t="s">
        <v>2403</v>
      </c>
      <c r="Q258" s="84">
        <v>20900</v>
      </c>
      <c r="R258" s="85" t="s">
        <v>8</v>
      </c>
      <c r="S258" s="84" t="s">
        <v>8</v>
      </c>
      <c r="T258" s="83" t="s">
        <v>2394</v>
      </c>
    </row>
    <row r="259" spans="1:20" s="67" customFormat="1">
      <c r="A259" s="80">
        <v>128692041006</v>
      </c>
      <c r="B259" s="81" t="s">
        <v>3070</v>
      </c>
      <c r="C259" s="82">
        <v>45934</v>
      </c>
      <c r="D259" s="80">
        <v>51177567681</v>
      </c>
      <c r="E259" s="80">
        <v>2087037618262</v>
      </c>
      <c r="F259" s="83" t="s">
        <v>2387</v>
      </c>
      <c r="G259" s="83" t="s">
        <v>2388</v>
      </c>
      <c r="H259" s="83" t="s">
        <v>8</v>
      </c>
      <c r="I259" s="80" t="s">
        <v>8</v>
      </c>
      <c r="J259" s="84">
        <v>48.5</v>
      </c>
      <c r="K259" s="83" t="s">
        <v>2389</v>
      </c>
      <c r="L259" s="83" t="s">
        <v>2390</v>
      </c>
      <c r="M259" s="80" t="s">
        <v>2391</v>
      </c>
      <c r="N259" s="83" t="s">
        <v>2392</v>
      </c>
      <c r="O259" s="81" t="s">
        <v>8</v>
      </c>
      <c r="P259" s="83" t="s">
        <v>3170</v>
      </c>
      <c r="Q259" s="84">
        <v>5000</v>
      </c>
      <c r="R259" s="85" t="s">
        <v>8</v>
      </c>
      <c r="S259" s="84" t="s">
        <v>8</v>
      </c>
      <c r="T259" s="83" t="s">
        <v>2394</v>
      </c>
    </row>
    <row r="260" spans="1:20">
      <c r="A260" s="55">
        <v>128124351663</v>
      </c>
      <c r="B260" s="53" t="s">
        <v>2386</v>
      </c>
      <c r="C260" s="54">
        <v>45935</v>
      </c>
      <c r="D260" s="55">
        <v>51177628289</v>
      </c>
      <c r="E260" s="55">
        <v>2087038369658</v>
      </c>
      <c r="F260" s="56" t="s">
        <v>2387</v>
      </c>
      <c r="G260" s="56" t="s">
        <v>2388</v>
      </c>
      <c r="H260" s="56" t="s">
        <v>8</v>
      </c>
      <c r="I260" s="55" t="s">
        <v>8</v>
      </c>
      <c r="J260" s="57">
        <v>145.5</v>
      </c>
      <c r="K260" s="56" t="s">
        <v>2389</v>
      </c>
      <c r="L260" s="56" t="s">
        <v>2390</v>
      </c>
      <c r="M260" s="55" t="s">
        <v>2391</v>
      </c>
      <c r="N260" s="56" t="s">
        <v>2392</v>
      </c>
      <c r="O260" s="53" t="s">
        <v>8</v>
      </c>
      <c r="P260" s="56" t="s">
        <v>2393</v>
      </c>
      <c r="Q260" s="57">
        <v>15000</v>
      </c>
      <c r="R260" s="58" t="s">
        <v>8</v>
      </c>
      <c r="S260" s="57" t="s">
        <v>8</v>
      </c>
      <c r="T260" s="56" t="s">
        <v>2394</v>
      </c>
    </row>
    <row r="261" spans="1:20">
      <c r="A261" s="55">
        <v>128692668536</v>
      </c>
      <c r="B261" s="53" t="s">
        <v>2386</v>
      </c>
      <c r="C261" s="54">
        <v>45935</v>
      </c>
      <c r="D261" s="55">
        <v>51177836724</v>
      </c>
      <c r="E261" s="55">
        <v>2087041618352</v>
      </c>
      <c r="F261" s="56" t="s">
        <v>2387</v>
      </c>
      <c r="G261" s="56" t="s">
        <v>2388</v>
      </c>
      <c r="H261" s="56" t="s">
        <v>8</v>
      </c>
      <c r="I261" s="55" t="s">
        <v>8</v>
      </c>
      <c r="J261" s="57">
        <v>5639.01</v>
      </c>
      <c r="K261" s="56" t="s">
        <v>2389</v>
      </c>
      <c r="L261" s="56" t="s">
        <v>2390</v>
      </c>
      <c r="M261" s="55" t="s">
        <v>2391</v>
      </c>
      <c r="N261" s="56" t="s">
        <v>2392</v>
      </c>
      <c r="O261" s="53" t="s">
        <v>8</v>
      </c>
      <c r="P261" s="56" t="s">
        <v>2395</v>
      </c>
      <c r="Q261" s="57">
        <v>74100</v>
      </c>
      <c r="R261" s="58" t="s">
        <v>8</v>
      </c>
      <c r="S261" s="57" t="s">
        <v>8</v>
      </c>
      <c r="T261" s="56" t="s">
        <v>2394</v>
      </c>
    </row>
    <row r="262" spans="1:20">
      <c r="A262" s="55">
        <v>128125043391</v>
      </c>
      <c r="B262" s="53" t="s">
        <v>2386</v>
      </c>
      <c r="C262" s="54">
        <v>45935</v>
      </c>
      <c r="D262" s="55">
        <v>51177887902</v>
      </c>
      <c r="E262" s="55">
        <v>2087041902188</v>
      </c>
      <c r="F262" s="56" t="s">
        <v>2387</v>
      </c>
      <c r="G262" s="56" t="s">
        <v>2388</v>
      </c>
      <c r="H262" s="56" t="s">
        <v>8</v>
      </c>
      <c r="I262" s="55" t="s">
        <v>8</v>
      </c>
      <c r="J262" s="57">
        <v>380.5</v>
      </c>
      <c r="K262" s="56" t="s">
        <v>2389</v>
      </c>
      <c r="L262" s="56" t="s">
        <v>2390</v>
      </c>
      <c r="M262" s="55" t="s">
        <v>2391</v>
      </c>
      <c r="N262" s="56" t="s">
        <v>2392</v>
      </c>
      <c r="O262" s="53" t="s">
        <v>8</v>
      </c>
      <c r="P262" s="56" t="s">
        <v>2396</v>
      </c>
      <c r="Q262" s="57">
        <v>5000</v>
      </c>
      <c r="R262" s="58" t="s">
        <v>8</v>
      </c>
      <c r="S262" s="57" t="s">
        <v>8</v>
      </c>
      <c r="T262" s="56" t="s">
        <v>2394</v>
      </c>
    </row>
    <row r="263" spans="1:20">
      <c r="A263" s="55">
        <v>128692773100</v>
      </c>
      <c r="B263" s="53" t="s">
        <v>2386</v>
      </c>
      <c r="C263" s="54">
        <v>45935</v>
      </c>
      <c r="D263" s="55">
        <v>51177925762</v>
      </c>
      <c r="E263" s="55">
        <v>2086979243735</v>
      </c>
      <c r="F263" s="56" t="s">
        <v>2387</v>
      </c>
      <c r="G263" s="56" t="s">
        <v>2388</v>
      </c>
      <c r="H263" s="56" t="s">
        <v>8</v>
      </c>
      <c r="I263" s="55" t="s">
        <v>8</v>
      </c>
      <c r="J263" s="57">
        <v>48.5</v>
      </c>
      <c r="K263" s="56" t="s">
        <v>2389</v>
      </c>
      <c r="L263" s="56" t="s">
        <v>2390</v>
      </c>
      <c r="M263" s="55" t="s">
        <v>2391</v>
      </c>
      <c r="N263" s="56" t="s">
        <v>2392</v>
      </c>
      <c r="O263" s="53" t="s">
        <v>8</v>
      </c>
      <c r="P263" s="56" t="s">
        <v>2397</v>
      </c>
      <c r="Q263" s="57">
        <v>5000</v>
      </c>
      <c r="R263" s="58" t="s">
        <v>8</v>
      </c>
      <c r="S263" s="57" t="s">
        <v>8</v>
      </c>
      <c r="T263" s="56" t="s">
        <v>2394</v>
      </c>
    </row>
    <row r="264" spans="1:20">
      <c r="A264" s="55">
        <v>128125341977</v>
      </c>
      <c r="B264" s="53" t="s">
        <v>2386</v>
      </c>
      <c r="C264" s="54">
        <v>45935</v>
      </c>
      <c r="D264" s="55">
        <v>51178008135</v>
      </c>
      <c r="E264" s="55">
        <v>2087043515706</v>
      </c>
      <c r="F264" s="56" t="s">
        <v>2387</v>
      </c>
      <c r="G264" s="56" t="s">
        <v>2388</v>
      </c>
      <c r="H264" s="56" t="s">
        <v>8</v>
      </c>
      <c r="I264" s="55" t="s">
        <v>8</v>
      </c>
      <c r="J264" s="57">
        <v>38.799999999999997</v>
      </c>
      <c r="K264" s="56" t="s">
        <v>2389</v>
      </c>
      <c r="L264" s="56" t="s">
        <v>2390</v>
      </c>
      <c r="M264" s="55" t="s">
        <v>2391</v>
      </c>
      <c r="N264" s="56" t="s">
        <v>2392</v>
      </c>
      <c r="O264" s="53" t="s">
        <v>8</v>
      </c>
      <c r="P264" s="56" t="s">
        <v>2398</v>
      </c>
      <c r="Q264" s="57">
        <v>4000</v>
      </c>
      <c r="R264" s="58" t="s">
        <v>8</v>
      </c>
      <c r="S264" s="57" t="s">
        <v>8</v>
      </c>
      <c r="T264" s="56" t="s">
        <v>2394</v>
      </c>
    </row>
    <row r="265" spans="1:20">
      <c r="A265" s="55">
        <v>128125660361</v>
      </c>
      <c r="B265" s="53" t="s">
        <v>2386</v>
      </c>
      <c r="C265" s="54">
        <v>45935</v>
      </c>
      <c r="D265" s="55">
        <v>51178105488</v>
      </c>
      <c r="E265" s="55">
        <v>2086981995403</v>
      </c>
      <c r="F265" s="56" t="s">
        <v>2387</v>
      </c>
      <c r="G265" s="56" t="s">
        <v>2388</v>
      </c>
      <c r="H265" s="56" t="s">
        <v>8</v>
      </c>
      <c r="I265" s="55" t="s">
        <v>8</v>
      </c>
      <c r="J265" s="57">
        <v>48.5</v>
      </c>
      <c r="K265" s="56" t="s">
        <v>2389</v>
      </c>
      <c r="L265" s="56" t="s">
        <v>2390</v>
      </c>
      <c r="M265" s="55" t="s">
        <v>2391</v>
      </c>
      <c r="N265" s="56" t="s">
        <v>2392</v>
      </c>
      <c r="O265" s="53" t="s">
        <v>8</v>
      </c>
      <c r="P265" s="56" t="s">
        <v>2399</v>
      </c>
      <c r="Q265" s="57">
        <v>5000</v>
      </c>
      <c r="R265" s="58" t="s">
        <v>8</v>
      </c>
      <c r="S265" s="57" t="s">
        <v>8</v>
      </c>
      <c r="T265" s="56" t="s">
        <v>2394</v>
      </c>
    </row>
    <row r="266" spans="1:20">
      <c r="A266" s="55">
        <v>128693181950</v>
      </c>
      <c r="B266" s="53" t="s">
        <v>2386</v>
      </c>
      <c r="C266" s="54">
        <v>45935</v>
      </c>
      <c r="D266" s="55">
        <v>51178168234</v>
      </c>
      <c r="E266" s="55">
        <v>2087045580270</v>
      </c>
      <c r="F266" s="56" t="s">
        <v>2387</v>
      </c>
      <c r="G266" s="56" t="s">
        <v>2388</v>
      </c>
      <c r="H266" s="56" t="s">
        <v>8</v>
      </c>
      <c r="I266" s="55" t="s">
        <v>8</v>
      </c>
      <c r="J266" s="57">
        <v>77.599999999999994</v>
      </c>
      <c r="K266" s="56" t="s">
        <v>2389</v>
      </c>
      <c r="L266" s="56" t="s">
        <v>2390</v>
      </c>
      <c r="M266" s="55" t="s">
        <v>2391</v>
      </c>
      <c r="N266" s="56" t="s">
        <v>2392</v>
      </c>
      <c r="O266" s="53" t="s">
        <v>8</v>
      </c>
      <c r="P266" s="56" t="s">
        <v>2400</v>
      </c>
      <c r="Q266" s="57">
        <v>8000</v>
      </c>
      <c r="R266" s="58" t="s">
        <v>8</v>
      </c>
      <c r="S266" s="57" t="s">
        <v>8</v>
      </c>
      <c r="T266" s="56" t="s">
        <v>2394</v>
      </c>
    </row>
    <row r="267" spans="1:20">
      <c r="A267" s="55">
        <v>128694166558</v>
      </c>
      <c r="B267" s="53" t="s">
        <v>2386</v>
      </c>
      <c r="C267" s="54">
        <v>45935</v>
      </c>
      <c r="D267" s="55">
        <v>51178511670</v>
      </c>
      <c r="E267" s="55">
        <v>2087050107934</v>
      </c>
      <c r="F267" s="56" t="s">
        <v>2401</v>
      </c>
      <c r="G267" s="56" t="s">
        <v>2388</v>
      </c>
      <c r="H267" s="56" t="s">
        <v>8</v>
      </c>
      <c r="I267" s="55" t="s">
        <v>8</v>
      </c>
      <c r="J267" s="57">
        <v>2373.7199999999998</v>
      </c>
      <c r="K267" s="56" t="s">
        <v>2389</v>
      </c>
      <c r="L267" s="56" t="s">
        <v>2402</v>
      </c>
      <c r="M267" s="55" t="s">
        <v>2391</v>
      </c>
      <c r="N267" s="56" t="s">
        <v>2392</v>
      </c>
      <c r="O267" s="53" t="s">
        <v>2055</v>
      </c>
      <c r="P267" s="56" t="s">
        <v>2403</v>
      </c>
      <c r="Q267" s="57">
        <v>60400</v>
      </c>
      <c r="R267" s="58" t="s">
        <v>8</v>
      </c>
      <c r="S267" s="57" t="s">
        <v>8</v>
      </c>
      <c r="T267" s="56" t="s">
        <v>2394</v>
      </c>
    </row>
    <row r="268" spans="1:20">
      <c r="A268" s="55">
        <v>128694134194</v>
      </c>
      <c r="B268" s="53" t="s">
        <v>2386</v>
      </c>
      <c r="C268" s="54">
        <v>45935</v>
      </c>
      <c r="D268" s="55">
        <v>51178525273</v>
      </c>
      <c r="E268" s="55">
        <v>2087049584546</v>
      </c>
      <c r="F268" s="56" t="s">
        <v>2387</v>
      </c>
      <c r="G268" s="56" t="s">
        <v>2388</v>
      </c>
      <c r="H268" s="56" t="s">
        <v>8</v>
      </c>
      <c r="I268" s="55" t="s">
        <v>8</v>
      </c>
      <c r="J268" s="57">
        <v>149.38</v>
      </c>
      <c r="K268" s="56" t="s">
        <v>2389</v>
      </c>
      <c r="L268" s="56" t="s">
        <v>2390</v>
      </c>
      <c r="M268" s="55" t="s">
        <v>2391</v>
      </c>
      <c r="N268" s="56" t="s">
        <v>2392</v>
      </c>
      <c r="O268" s="53" t="s">
        <v>8</v>
      </c>
      <c r="P268" s="56" t="s">
        <v>2404</v>
      </c>
      <c r="Q268" s="57">
        <v>15400</v>
      </c>
      <c r="R268" s="58" t="s">
        <v>8</v>
      </c>
      <c r="S268" s="57" t="s">
        <v>8</v>
      </c>
      <c r="T268" s="56" t="s">
        <v>2394</v>
      </c>
    </row>
    <row r="269" spans="1:20">
      <c r="A269" s="55">
        <v>128126371521</v>
      </c>
      <c r="B269" s="53" t="s">
        <v>2386</v>
      </c>
      <c r="C269" s="54">
        <v>45935</v>
      </c>
      <c r="D269" s="55">
        <v>51178567644</v>
      </c>
      <c r="E269" s="55">
        <v>2087050645922</v>
      </c>
      <c r="F269" s="56" t="s">
        <v>2387</v>
      </c>
      <c r="G269" s="56" t="s">
        <v>2388</v>
      </c>
      <c r="H269" s="56" t="s">
        <v>8</v>
      </c>
      <c r="I269" s="55" t="s">
        <v>8</v>
      </c>
      <c r="J269" s="57">
        <v>421.95</v>
      </c>
      <c r="K269" s="56" t="s">
        <v>2389</v>
      </c>
      <c r="L269" s="56" t="s">
        <v>2390</v>
      </c>
      <c r="M269" s="55" t="s">
        <v>2391</v>
      </c>
      <c r="N269" s="56" t="s">
        <v>2392</v>
      </c>
      <c r="O269" s="53" t="s">
        <v>8</v>
      </c>
      <c r="P269" s="56" t="s">
        <v>2405</v>
      </c>
      <c r="Q269" s="57">
        <v>43500</v>
      </c>
      <c r="R269" s="58" t="s">
        <v>8</v>
      </c>
      <c r="S269" s="57" t="s">
        <v>8</v>
      </c>
      <c r="T269" s="56" t="s">
        <v>2394</v>
      </c>
    </row>
    <row r="270" spans="1:20">
      <c r="A270" s="55">
        <v>128126531575</v>
      </c>
      <c r="B270" s="53" t="s">
        <v>2386</v>
      </c>
      <c r="C270" s="54">
        <v>45935</v>
      </c>
      <c r="D270" s="55">
        <v>51178656402</v>
      </c>
      <c r="E270" s="55">
        <v>2087051444434</v>
      </c>
      <c r="F270" s="56" t="s">
        <v>2387</v>
      </c>
      <c r="G270" s="56" t="s">
        <v>2388</v>
      </c>
      <c r="H270" s="56" t="s">
        <v>8</v>
      </c>
      <c r="I270" s="55" t="s">
        <v>8</v>
      </c>
      <c r="J270" s="57">
        <v>373.45</v>
      </c>
      <c r="K270" s="56" t="s">
        <v>2389</v>
      </c>
      <c r="L270" s="56" t="s">
        <v>2390</v>
      </c>
      <c r="M270" s="55" t="s">
        <v>2391</v>
      </c>
      <c r="N270" s="56" t="s">
        <v>2392</v>
      </c>
      <c r="O270" s="53" t="s">
        <v>8</v>
      </c>
      <c r="P270" s="56" t="s">
        <v>2406</v>
      </c>
      <c r="Q270" s="57">
        <v>38500</v>
      </c>
      <c r="R270" s="58" t="s">
        <v>8</v>
      </c>
      <c r="S270" s="57" t="s">
        <v>8</v>
      </c>
      <c r="T270" s="56" t="s">
        <v>2394</v>
      </c>
    </row>
    <row r="271" spans="1:20">
      <c r="A271" s="55">
        <v>128694438198</v>
      </c>
      <c r="B271" s="53" t="s">
        <v>2386</v>
      </c>
      <c r="C271" s="54">
        <v>45935</v>
      </c>
      <c r="D271" s="55">
        <v>51178673200</v>
      </c>
      <c r="E271" s="55">
        <v>2086989056457</v>
      </c>
      <c r="F271" s="56" t="s">
        <v>2401</v>
      </c>
      <c r="G271" s="56" t="s">
        <v>2388</v>
      </c>
      <c r="H271" s="56" t="s">
        <v>8</v>
      </c>
      <c r="I271" s="55" t="s">
        <v>8</v>
      </c>
      <c r="J271" s="57">
        <v>1524.84</v>
      </c>
      <c r="K271" s="56" t="s">
        <v>2389</v>
      </c>
      <c r="L271" s="56" t="s">
        <v>2402</v>
      </c>
      <c r="M271" s="55" t="s">
        <v>2391</v>
      </c>
      <c r="N271" s="56" t="s">
        <v>2392</v>
      </c>
      <c r="O271" s="53" t="s">
        <v>2055</v>
      </c>
      <c r="P271" s="56" t="s">
        <v>2403</v>
      </c>
      <c r="Q271" s="57">
        <v>38800</v>
      </c>
      <c r="R271" s="58" t="s">
        <v>8</v>
      </c>
      <c r="S271" s="57" t="s">
        <v>8</v>
      </c>
      <c r="T271" s="56" t="s">
        <v>2394</v>
      </c>
    </row>
    <row r="272" spans="1:20">
      <c r="A272" s="55">
        <v>128126798957</v>
      </c>
      <c r="B272" s="53" t="s">
        <v>2386</v>
      </c>
      <c r="C272" s="54">
        <v>45935</v>
      </c>
      <c r="D272" s="55">
        <v>51178699815</v>
      </c>
      <c r="E272" s="55">
        <v>2087052339322</v>
      </c>
      <c r="F272" s="56" t="s">
        <v>2387</v>
      </c>
      <c r="G272" s="56" t="s">
        <v>2388</v>
      </c>
      <c r="H272" s="56" t="s">
        <v>8</v>
      </c>
      <c r="I272" s="55" t="s">
        <v>8</v>
      </c>
      <c r="J272" s="57">
        <v>563.57000000000005</v>
      </c>
      <c r="K272" s="56" t="s">
        <v>2389</v>
      </c>
      <c r="L272" s="56" t="s">
        <v>2390</v>
      </c>
      <c r="M272" s="55" t="s">
        <v>2391</v>
      </c>
      <c r="N272" s="56" t="s">
        <v>2392</v>
      </c>
      <c r="O272" s="53" t="s">
        <v>8</v>
      </c>
      <c r="P272" s="56" t="s">
        <v>2407</v>
      </c>
      <c r="Q272" s="57">
        <v>58100</v>
      </c>
      <c r="R272" s="58" t="s">
        <v>8</v>
      </c>
      <c r="S272" s="57" t="s">
        <v>8</v>
      </c>
      <c r="T272" s="56" t="s">
        <v>2394</v>
      </c>
    </row>
    <row r="273" spans="1:20">
      <c r="A273" s="55">
        <v>128694674936</v>
      </c>
      <c r="B273" s="53" t="s">
        <v>2386</v>
      </c>
      <c r="C273" s="54">
        <v>45935</v>
      </c>
      <c r="D273" s="55">
        <v>51178850715</v>
      </c>
      <c r="E273" s="55">
        <v>2086990856265</v>
      </c>
      <c r="F273" s="56" t="s">
        <v>2387</v>
      </c>
      <c r="G273" s="56" t="s">
        <v>2388</v>
      </c>
      <c r="H273" s="56" t="s">
        <v>8</v>
      </c>
      <c r="I273" s="55" t="s">
        <v>8</v>
      </c>
      <c r="J273" s="57">
        <v>149.38</v>
      </c>
      <c r="K273" s="56" t="s">
        <v>2389</v>
      </c>
      <c r="L273" s="56" t="s">
        <v>2390</v>
      </c>
      <c r="M273" s="55" t="s">
        <v>2391</v>
      </c>
      <c r="N273" s="56" t="s">
        <v>2392</v>
      </c>
      <c r="O273" s="53" t="s">
        <v>8</v>
      </c>
      <c r="P273" s="56" t="s">
        <v>2408</v>
      </c>
      <c r="Q273" s="57">
        <v>15400</v>
      </c>
      <c r="R273" s="58" t="s">
        <v>8</v>
      </c>
      <c r="S273" s="57" t="s">
        <v>8</v>
      </c>
      <c r="T273" s="56" t="s">
        <v>2394</v>
      </c>
    </row>
    <row r="274" spans="1:20">
      <c r="A274" s="55">
        <v>128694718052</v>
      </c>
      <c r="B274" s="53" t="s">
        <v>2386</v>
      </c>
      <c r="C274" s="54">
        <v>45935</v>
      </c>
      <c r="D274" s="55">
        <v>51178902267</v>
      </c>
      <c r="E274" s="55">
        <v>2087054588274</v>
      </c>
      <c r="F274" s="56" t="s">
        <v>2387</v>
      </c>
      <c r="G274" s="56" t="s">
        <v>2388</v>
      </c>
      <c r="H274" s="56" t="s">
        <v>8</v>
      </c>
      <c r="I274" s="55" t="s">
        <v>8</v>
      </c>
      <c r="J274" s="57">
        <v>415.16</v>
      </c>
      <c r="K274" s="56" t="s">
        <v>2389</v>
      </c>
      <c r="L274" s="56" t="s">
        <v>2390</v>
      </c>
      <c r="M274" s="55" t="s">
        <v>2391</v>
      </c>
      <c r="N274" s="56" t="s">
        <v>2392</v>
      </c>
      <c r="O274" s="53" t="s">
        <v>8</v>
      </c>
      <c r="P274" s="56" t="s">
        <v>2409</v>
      </c>
      <c r="Q274" s="57">
        <v>42800</v>
      </c>
      <c r="R274" s="58" t="s">
        <v>8</v>
      </c>
      <c r="S274" s="57" t="s">
        <v>8</v>
      </c>
      <c r="T274" s="56" t="s">
        <v>2394</v>
      </c>
    </row>
    <row r="275" spans="1:20">
      <c r="A275" s="55">
        <v>128127401801</v>
      </c>
      <c r="B275" s="53" t="s">
        <v>2386</v>
      </c>
      <c r="C275" s="54">
        <v>45935</v>
      </c>
      <c r="D275" s="55">
        <v>51178972540</v>
      </c>
      <c r="E275" s="55">
        <v>2086993008257</v>
      </c>
      <c r="F275" s="56" t="s">
        <v>2401</v>
      </c>
      <c r="G275" s="56" t="s">
        <v>2388</v>
      </c>
      <c r="H275" s="56" t="s">
        <v>8</v>
      </c>
      <c r="I275" s="55" t="s">
        <v>8</v>
      </c>
      <c r="J275" s="57">
        <v>330.12</v>
      </c>
      <c r="K275" s="56" t="s">
        <v>2389</v>
      </c>
      <c r="L275" s="56" t="s">
        <v>2402</v>
      </c>
      <c r="M275" s="55" t="s">
        <v>2391</v>
      </c>
      <c r="N275" s="56" t="s">
        <v>2392</v>
      </c>
      <c r="O275" s="53" t="s">
        <v>2055</v>
      </c>
      <c r="P275" s="56" t="s">
        <v>2403</v>
      </c>
      <c r="Q275" s="57">
        <v>8400</v>
      </c>
      <c r="R275" s="58" t="s">
        <v>8</v>
      </c>
      <c r="S275" s="57" t="s">
        <v>8</v>
      </c>
      <c r="T275" s="56" t="s">
        <v>2394</v>
      </c>
    </row>
    <row r="276" spans="1:20">
      <c r="A276" s="55">
        <v>128127545875</v>
      </c>
      <c r="B276" s="53" t="s">
        <v>2386</v>
      </c>
      <c r="C276" s="54">
        <v>45935</v>
      </c>
      <c r="D276" s="55">
        <v>51179051593</v>
      </c>
      <c r="E276" s="55">
        <v>2087057103938</v>
      </c>
      <c r="F276" s="56" t="s">
        <v>2387</v>
      </c>
      <c r="G276" s="56" t="s">
        <v>2388</v>
      </c>
      <c r="H276" s="56" t="s">
        <v>8</v>
      </c>
      <c r="I276" s="55" t="s">
        <v>8</v>
      </c>
      <c r="J276" s="57">
        <v>93.12</v>
      </c>
      <c r="K276" s="56" t="s">
        <v>2389</v>
      </c>
      <c r="L276" s="56" t="s">
        <v>2390</v>
      </c>
      <c r="M276" s="55" t="s">
        <v>2391</v>
      </c>
      <c r="N276" s="56" t="s">
        <v>2392</v>
      </c>
      <c r="O276" s="53" t="s">
        <v>8</v>
      </c>
      <c r="P276" s="56" t="s">
        <v>2410</v>
      </c>
      <c r="Q276" s="57">
        <v>9600</v>
      </c>
      <c r="R276" s="58" t="s">
        <v>8</v>
      </c>
      <c r="S276" s="57" t="s">
        <v>8</v>
      </c>
      <c r="T276" s="56" t="s">
        <v>2394</v>
      </c>
    </row>
    <row r="277" spans="1:20">
      <c r="A277" s="55">
        <v>128695678908</v>
      </c>
      <c r="B277" s="53" t="s">
        <v>2386</v>
      </c>
      <c r="C277" s="54">
        <v>45935</v>
      </c>
      <c r="D277" s="55">
        <v>51179225239</v>
      </c>
      <c r="E277" s="55">
        <v>2087059312262</v>
      </c>
      <c r="F277" s="56" t="s">
        <v>2411</v>
      </c>
      <c r="G277" s="56" t="s">
        <v>2388</v>
      </c>
      <c r="H277" s="56" t="s">
        <v>8</v>
      </c>
      <c r="I277" s="55" t="s">
        <v>8</v>
      </c>
      <c r="J277" s="57">
        <v>51.41</v>
      </c>
      <c r="K277" s="56" t="s">
        <v>2389</v>
      </c>
      <c r="L277" s="56" t="s">
        <v>2390</v>
      </c>
      <c r="M277" s="55" t="s">
        <v>2391</v>
      </c>
      <c r="N277" s="56" t="s">
        <v>2392</v>
      </c>
      <c r="O277" s="53" t="s">
        <v>8</v>
      </c>
      <c r="P277" s="56" t="s">
        <v>2412</v>
      </c>
      <c r="Q277" s="57">
        <v>5300</v>
      </c>
      <c r="R277" s="58" t="s">
        <v>8</v>
      </c>
      <c r="S277" s="57" t="s">
        <v>8</v>
      </c>
      <c r="T277" s="56" t="s">
        <v>8</v>
      </c>
    </row>
    <row r="278" spans="1:20">
      <c r="A278" s="55">
        <v>128695784506</v>
      </c>
      <c r="B278" s="53" t="s">
        <v>2386</v>
      </c>
      <c r="C278" s="54">
        <v>45935</v>
      </c>
      <c r="D278" s="55">
        <v>51179233655</v>
      </c>
      <c r="E278" s="55">
        <v>2086996736197</v>
      </c>
      <c r="F278" s="56" t="s">
        <v>2401</v>
      </c>
      <c r="G278" s="56" t="s">
        <v>2388</v>
      </c>
      <c r="H278" s="56" t="s">
        <v>8</v>
      </c>
      <c r="I278" s="55" t="s">
        <v>8</v>
      </c>
      <c r="J278" s="57">
        <v>454</v>
      </c>
      <c r="K278" s="56" t="s">
        <v>2389</v>
      </c>
      <c r="L278" s="56" t="s">
        <v>2402</v>
      </c>
      <c r="M278" s="55" t="s">
        <v>2391</v>
      </c>
      <c r="N278" s="56" t="s">
        <v>2392</v>
      </c>
      <c r="O278" s="53" t="s">
        <v>2055</v>
      </c>
      <c r="P278" s="56" t="s">
        <v>2403</v>
      </c>
      <c r="Q278" s="57">
        <v>10000</v>
      </c>
      <c r="R278" s="58" t="s">
        <v>8</v>
      </c>
      <c r="S278" s="57" t="s">
        <v>8</v>
      </c>
      <c r="T278" s="56" t="s">
        <v>2394</v>
      </c>
    </row>
    <row r="279" spans="1:20">
      <c r="A279" s="55">
        <v>128128083733</v>
      </c>
      <c r="B279" s="53" t="s">
        <v>2386</v>
      </c>
      <c r="C279" s="54">
        <v>45935</v>
      </c>
      <c r="D279" s="55">
        <v>51179303831</v>
      </c>
      <c r="E279" s="55">
        <v>2086997590389</v>
      </c>
      <c r="F279" s="56" t="s">
        <v>2387</v>
      </c>
      <c r="G279" s="56" t="s">
        <v>2388</v>
      </c>
      <c r="H279" s="56" t="s">
        <v>8</v>
      </c>
      <c r="I279" s="55" t="s">
        <v>8</v>
      </c>
      <c r="J279" s="57">
        <v>85.36</v>
      </c>
      <c r="K279" s="56" t="s">
        <v>2389</v>
      </c>
      <c r="L279" s="56" t="s">
        <v>2390</v>
      </c>
      <c r="M279" s="55" t="s">
        <v>2391</v>
      </c>
      <c r="N279" s="56" t="s">
        <v>2392</v>
      </c>
      <c r="O279" s="53" t="s">
        <v>8</v>
      </c>
      <c r="P279" s="56" t="s">
        <v>2413</v>
      </c>
      <c r="Q279" s="57">
        <v>8800</v>
      </c>
      <c r="R279" s="58" t="s">
        <v>8</v>
      </c>
      <c r="S279" s="57" t="s">
        <v>8</v>
      </c>
      <c r="T279" s="56" t="s">
        <v>2394</v>
      </c>
    </row>
    <row r="280" spans="1:20">
      <c r="A280" s="55">
        <v>128695856532</v>
      </c>
      <c r="B280" s="53" t="s">
        <v>2386</v>
      </c>
      <c r="C280" s="54">
        <v>45935</v>
      </c>
      <c r="D280" s="55">
        <v>51179309868</v>
      </c>
      <c r="E280" s="55">
        <v>2086997579157</v>
      </c>
      <c r="F280" s="56" t="s">
        <v>2411</v>
      </c>
      <c r="G280" s="56" t="s">
        <v>2388</v>
      </c>
      <c r="H280" s="56" t="s">
        <v>8</v>
      </c>
      <c r="I280" s="55" t="s">
        <v>8</v>
      </c>
      <c r="J280" s="57">
        <v>614.98</v>
      </c>
      <c r="K280" s="56" t="s">
        <v>2389</v>
      </c>
      <c r="L280" s="56" t="s">
        <v>2390</v>
      </c>
      <c r="M280" s="55" t="s">
        <v>2391</v>
      </c>
      <c r="N280" s="56" t="s">
        <v>2392</v>
      </c>
      <c r="O280" s="53" t="s">
        <v>8</v>
      </c>
      <c r="P280" s="56" t="s">
        <v>2412</v>
      </c>
      <c r="Q280" s="57">
        <v>63400</v>
      </c>
      <c r="R280" s="58" t="s">
        <v>8</v>
      </c>
      <c r="S280" s="57" t="s">
        <v>8</v>
      </c>
      <c r="T280" s="56" t="s">
        <v>8</v>
      </c>
    </row>
    <row r="281" spans="1:20">
      <c r="A281" s="55">
        <v>128696084622</v>
      </c>
      <c r="B281" s="53" t="s">
        <v>2386</v>
      </c>
      <c r="C281" s="54">
        <v>45935</v>
      </c>
      <c r="D281" s="55">
        <v>51179419107</v>
      </c>
      <c r="E281" s="55">
        <v>2087062161848</v>
      </c>
      <c r="F281" s="56" t="s">
        <v>2387</v>
      </c>
      <c r="G281" s="56" t="s">
        <v>2388</v>
      </c>
      <c r="H281" s="56" t="s">
        <v>8</v>
      </c>
      <c r="I281" s="55" t="s">
        <v>8</v>
      </c>
      <c r="J281" s="57">
        <v>248.32</v>
      </c>
      <c r="K281" s="56" t="s">
        <v>2389</v>
      </c>
      <c r="L281" s="56" t="s">
        <v>2390</v>
      </c>
      <c r="M281" s="55" t="s">
        <v>2391</v>
      </c>
      <c r="N281" s="56" t="s">
        <v>2392</v>
      </c>
      <c r="O281" s="53" t="s">
        <v>8</v>
      </c>
      <c r="P281" s="56" t="s">
        <v>2414</v>
      </c>
      <c r="Q281" s="57">
        <v>25600</v>
      </c>
      <c r="R281" s="58" t="s">
        <v>8</v>
      </c>
      <c r="S281" s="57" t="s">
        <v>8</v>
      </c>
      <c r="T281" s="56" t="s">
        <v>2394</v>
      </c>
    </row>
    <row r="282" spans="1:20">
      <c r="A282" s="55">
        <v>128128642373</v>
      </c>
      <c r="B282" s="53" t="s">
        <v>2386</v>
      </c>
      <c r="C282" s="54">
        <v>45935</v>
      </c>
      <c r="D282" s="55">
        <v>51179460956</v>
      </c>
      <c r="E282" s="55">
        <v>2087062612878</v>
      </c>
      <c r="F282" s="56" t="s">
        <v>2387</v>
      </c>
      <c r="G282" s="56" t="s">
        <v>2388</v>
      </c>
      <c r="H282" s="56" t="s">
        <v>8</v>
      </c>
      <c r="I282" s="55" t="s">
        <v>8</v>
      </c>
      <c r="J282" s="57">
        <v>213.4</v>
      </c>
      <c r="K282" s="56" t="s">
        <v>2389</v>
      </c>
      <c r="L282" s="56" t="s">
        <v>2390</v>
      </c>
      <c r="M282" s="55" t="s">
        <v>2391</v>
      </c>
      <c r="N282" s="56" t="s">
        <v>2392</v>
      </c>
      <c r="O282" s="53" t="s">
        <v>8</v>
      </c>
      <c r="P282" s="56" t="s">
        <v>2415</v>
      </c>
      <c r="Q282" s="57">
        <v>22000</v>
      </c>
      <c r="R282" s="58" t="s">
        <v>8</v>
      </c>
      <c r="S282" s="57" t="s">
        <v>8</v>
      </c>
      <c r="T282" s="56" t="s">
        <v>2394</v>
      </c>
    </row>
    <row r="283" spans="1:20">
      <c r="A283" s="55">
        <v>128696182418</v>
      </c>
      <c r="B283" s="53" t="s">
        <v>2386</v>
      </c>
      <c r="C283" s="54">
        <v>45935</v>
      </c>
      <c r="D283" s="55">
        <v>51179465593</v>
      </c>
      <c r="E283" s="55">
        <v>2086999852119</v>
      </c>
      <c r="F283" s="56" t="s">
        <v>2387</v>
      </c>
      <c r="G283" s="56" t="s">
        <v>2388</v>
      </c>
      <c r="H283" s="56" t="s">
        <v>8</v>
      </c>
      <c r="I283" s="55" t="s">
        <v>8</v>
      </c>
      <c r="J283" s="57">
        <v>388</v>
      </c>
      <c r="K283" s="56" t="s">
        <v>2389</v>
      </c>
      <c r="L283" s="56" t="s">
        <v>2390</v>
      </c>
      <c r="M283" s="55" t="s">
        <v>2391</v>
      </c>
      <c r="N283" s="56" t="s">
        <v>2392</v>
      </c>
      <c r="O283" s="53" t="s">
        <v>8</v>
      </c>
      <c r="P283" s="56" t="s">
        <v>2416</v>
      </c>
      <c r="Q283" s="57">
        <v>40000</v>
      </c>
      <c r="R283" s="58" t="s">
        <v>8</v>
      </c>
      <c r="S283" s="57" t="s">
        <v>8</v>
      </c>
      <c r="T283" s="56" t="s">
        <v>2394</v>
      </c>
    </row>
    <row r="284" spans="1:20">
      <c r="A284" s="55">
        <v>128696455684</v>
      </c>
      <c r="B284" s="53" t="s">
        <v>2386</v>
      </c>
      <c r="C284" s="54">
        <v>45935</v>
      </c>
      <c r="D284" s="55">
        <v>51179599905</v>
      </c>
      <c r="E284" s="55">
        <v>2087065095214</v>
      </c>
      <c r="F284" s="56" t="s">
        <v>2387</v>
      </c>
      <c r="G284" s="56" t="s">
        <v>2388</v>
      </c>
      <c r="H284" s="56" t="s">
        <v>8</v>
      </c>
      <c r="I284" s="55" t="s">
        <v>8</v>
      </c>
      <c r="J284" s="57">
        <v>955.45</v>
      </c>
      <c r="K284" s="56" t="s">
        <v>2389</v>
      </c>
      <c r="L284" s="56" t="s">
        <v>2390</v>
      </c>
      <c r="M284" s="55" t="s">
        <v>2391</v>
      </c>
      <c r="N284" s="56" t="s">
        <v>2392</v>
      </c>
      <c r="O284" s="53" t="s">
        <v>8</v>
      </c>
      <c r="P284" s="56" t="s">
        <v>2417</v>
      </c>
      <c r="Q284" s="57">
        <v>98500</v>
      </c>
      <c r="R284" s="58" t="s">
        <v>8</v>
      </c>
      <c r="S284" s="57" t="s">
        <v>8</v>
      </c>
      <c r="T284" s="56" t="s">
        <v>2394</v>
      </c>
    </row>
    <row r="285" spans="1:20">
      <c r="A285" s="55">
        <v>128128996829</v>
      </c>
      <c r="B285" s="53" t="s">
        <v>2386</v>
      </c>
      <c r="C285" s="54">
        <v>45935</v>
      </c>
      <c r="D285" s="55">
        <v>51179622941</v>
      </c>
      <c r="E285" s="55">
        <v>2087065395540</v>
      </c>
      <c r="F285" s="56" t="s">
        <v>2387</v>
      </c>
      <c r="G285" s="56" t="s">
        <v>2388</v>
      </c>
      <c r="H285" s="56" t="s">
        <v>8</v>
      </c>
      <c r="I285" s="55" t="s">
        <v>8</v>
      </c>
      <c r="J285" s="57">
        <v>119.31</v>
      </c>
      <c r="K285" s="56" t="s">
        <v>2389</v>
      </c>
      <c r="L285" s="56" t="s">
        <v>2390</v>
      </c>
      <c r="M285" s="55" t="s">
        <v>2391</v>
      </c>
      <c r="N285" s="56" t="s">
        <v>2392</v>
      </c>
      <c r="O285" s="53" t="s">
        <v>8</v>
      </c>
      <c r="P285" s="56" t="s">
        <v>2418</v>
      </c>
      <c r="Q285" s="57">
        <v>12300</v>
      </c>
      <c r="R285" s="58" t="s">
        <v>8</v>
      </c>
      <c r="S285" s="57" t="s">
        <v>8</v>
      </c>
      <c r="T285" s="56" t="s">
        <v>2394</v>
      </c>
    </row>
    <row r="286" spans="1:20">
      <c r="A286" s="55">
        <v>128696800288</v>
      </c>
      <c r="B286" s="53" t="s">
        <v>2386</v>
      </c>
      <c r="C286" s="54">
        <v>45935</v>
      </c>
      <c r="D286" s="55">
        <v>51179658152</v>
      </c>
      <c r="E286" s="55">
        <v>2087002678369</v>
      </c>
      <c r="F286" s="56" t="s">
        <v>2387</v>
      </c>
      <c r="G286" s="56" t="s">
        <v>2388</v>
      </c>
      <c r="H286" s="56" t="s">
        <v>8</v>
      </c>
      <c r="I286" s="55" t="s">
        <v>8</v>
      </c>
      <c r="J286" s="57">
        <v>379.27</v>
      </c>
      <c r="K286" s="56" t="s">
        <v>2389</v>
      </c>
      <c r="L286" s="56" t="s">
        <v>2390</v>
      </c>
      <c r="M286" s="55" t="s">
        <v>2391</v>
      </c>
      <c r="N286" s="56" t="s">
        <v>2392</v>
      </c>
      <c r="O286" s="53" t="s">
        <v>8</v>
      </c>
      <c r="P286" s="56" t="s">
        <v>2419</v>
      </c>
      <c r="Q286" s="57">
        <v>39100</v>
      </c>
      <c r="R286" s="58" t="s">
        <v>8</v>
      </c>
      <c r="S286" s="57" t="s">
        <v>8</v>
      </c>
      <c r="T286" s="56" t="s">
        <v>2394</v>
      </c>
    </row>
    <row r="287" spans="1:20">
      <c r="A287" s="55">
        <v>128128980033</v>
      </c>
      <c r="B287" s="53" t="s">
        <v>2386</v>
      </c>
      <c r="C287" s="54">
        <v>45935</v>
      </c>
      <c r="D287" s="55">
        <v>51179658690</v>
      </c>
      <c r="E287" s="55">
        <v>2087065987414</v>
      </c>
      <c r="F287" s="56" t="s">
        <v>2401</v>
      </c>
      <c r="G287" s="56" t="s">
        <v>2388</v>
      </c>
      <c r="H287" s="56" t="s">
        <v>8</v>
      </c>
      <c r="I287" s="55" t="s">
        <v>8</v>
      </c>
      <c r="J287" s="57">
        <v>2169.36</v>
      </c>
      <c r="K287" s="56" t="s">
        <v>2389</v>
      </c>
      <c r="L287" s="56" t="s">
        <v>2402</v>
      </c>
      <c r="M287" s="55" t="s">
        <v>2391</v>
      </c>
      <c r="N287" s="56" t="s">
        <v>2392</v>
      </c>
      <c r="O287" s="53" t="s">
        <v>2055</v>
      </c>
      <c r="P287" s="56" t="s">
        <v>2403</v>
      </c>
      <c r="Q287" s="57">
        <v>55200</v>
      </c>
      <c r="R287" s="58" t="s">
        <v>8</v>
      </c>
      <c r="S287" s="57" t="s">
        <v>8</v>
      </c>
      <c r="T287" s="56" t="s">
        <v>2394</v>
      </c>
    </row>
    <row r="288" spans="1:20">
      <c r="A288" s="55">
        <v>128129163917</v>
      </c>
      <c r="B288" s="53" t="s">
        <v>2386</v>
      </c>
      <c r="C288" s="54">
        <v>45935</v>
      </c>
      <c r="D288" s="55">
        <v>51179753051</v>
      </c>
      <c r="E288" s="55">
        <v>2087067232998</v>
      </c>
      <c r="F288" s="56" t="s">
        <v>2387</v>
      </c>
      <c r="G288" s="56" t="s">
        <v>2388</v>
      </c>
      <c r="H288" s="56" t="s">
        <v>8</v>
      </c>
      <c r="I288" s="55" t="s">
        <v>8</v>
      </c>
      <c r="J288" s="57">
        <v>36.86</v>
      </c>
      <c r="K288" s="56" t="s">
        <v>2389</v>
      </c>
      <c r="L288" s="56" t="s">
        <v>2390</v>
      </c>
      <c r="M288" s="55" t="s">
        <v>2391</v>
      </c>
      <c r="N288" s="56" t="s">
        <v>2392</v>
      </c>
      <c r="O288" s="53" t="s">
        <v>8</v>
      </c>
      <c r="P288" s="56" t="s">
        <v>2420</v>
      </c>
      <c r="Q288" s="57">
        <v>3800</v>
      </c>
      <c r="R288" s="58" t="s">
        <v>8</v>
      </c>
      <c r="S288" s="57" t="s">
        <v>8</v>
      </c>
      <c r="T288" s="56" t="s">
        <v>2394</v>
      </c>
    </row>
    <row r="289" spans="1:20">
      <c r="A289" s="55">
        <v>128129860457</v>
      </c>
      <c r="B289" s="53" t="s">
        <v>2386</v>
      </c>
      <c r="C289" s="54">
        <v>45935</v>
      </c>
      <c r="D289" s="55">
        <v>51179970765</v>
      </c>
      <c r="E289" s="55">
        <v>2087070061058</v>
      </c>
      <c r="F289" s="56" t="s">
        <v>2401</v>
      </c>
      <c r="G289" s="56" t="s">
        <v>2388</v>
      </c>
      <c r="H289" s="56" t="s">
        <v>8</v>
      </c>
      <c r="I289" s="55" t="s">
        <v>8</v>
      </c>
      <c r="J289" s="57">
        <v>1984.65</v>
      </c>
      <c r="K289" s="56" t="s">
        <v>2389</v>
      </c>
      <c r="L289" s="56" t="s">
        <v>2402</v>
      </c>
      <c r="M289" s="55" t="s">
        <v>2391</v>
      </c>
      <c r="N289" s="56" t="s">
        <v>2392</v>
      </c>
      <c r="O289" s="53" t="s">
        <v>2055</v>
      </c>
      <c r="P289" s="56" t="s">
        <v>2403</v>
      </c>
      <c r="Q289" s="57">
        <v>50500</v>
      </c>
      <c r="R289" s="58" t="s">
        <v>8</v>
      </c>
      <c r="S289" s="57" t="s">
        <v>8</v>
      </c>
      <c r="T289" s="56" t="s">
        <v>2394</v>
      </c>
    </row>
    <row r="290" spans="1:20">
      <c r="A290" s="55">
        <v>128697427892</v>
      </c>
      <c r="B290" s="53" t="s">
        <v>2386</v>
      </c>
      <c r="C290" s="54">
        <v>45935</v>
      </c>
      <c r="D290" s="55">
        <v>51179986981</v>
      </c>
      <c r="E290" s="55">
        <v>2087007651873</v>
      </c>
      <c r="F290" s="56" t="s">
        <v>2387</v>
      </c>
      <c r="G290" s="56" t="s">
        <v>2388</v>
      </c>
      <c r="H290" s="56" t="s">
        <v>8</v>
      </c>
      <c r="I290" s="55" t="s">
        <v>8</v>
      </c>
      <c r="J290" s="57">
        <v>154.22999999999999</v>
      </c>
      <c r="K290" s="56" t="s">
        <v>2389</v>
      </c>
      <c r="L290" s="56" t="s">
        <v>2390</v>
      </c>
      <c r="M290" s="55" t="s">
        <v>2391</v>
      </c>
      <c r="N290" s="56" t="s">
        <v>2392</v>
      </c>
      <c r="O290" s="53" t="s">
        <v>8</v>
      </c>
      <c r="P290" s="56" t="s">
        <v>2421</v>
      </c>
      <c r="Q290" s="57">
        <v>15900</v>
      </c>
      <c r="R290" s="58" t="s">
        <v>8</v>
      </c>
      <c r="S290" s="57" t="s">
        <v>8</v>
      </c>
      <c r="T290" s="56" t="s">
        <v>2394</v>
      </c>
    </row>
    <row r="291" spans="1:20">
      <c r="A291" s="55">
        <v>128129982957</v>
      </c>
      <c r="B291" s="53" t="s">
        <v>2386</v>
      </c>
      <c r="C291" s="54">
        <v>45935</v>
      </c>
      <c r="D291" s="55">
        <v>51179999925</v>
      </c>
      <c r="E291" s="55">
        <v>2087071042938</v>
      </c>
      <c r="F291" s="56" t="s">
        <v>2401</v>
      </c>
      <c r="G291" s="56" t="s">
        <v>2388</v>
      </c>
      <c r="H291" s="56" t="s">
        <v>8</v>
      </c>
      <c r="I291" s="55" t="s">
        <v>8</v>
      </c>
      <c r="J291" s="57">
        <v>1253.67</v>
      </c>
      <c r="K291" s="56" t="s">
        <v>2389</v>
      </c>
      <c r="L291" s="56" t="s">
        <v>2402</v>
      </c>
      <c r="M291" s="55" t="s">
        <v>2391</v>
      </c>
      <c r="N291" s="56" t="s">
        <v>2392</v>
      </c>
      <c r="O291" s="53" t="s">
        <v>2055</v>
      </c>
      <c r="P291" s="56" t="s">
        <v>2403</v>
      </c>
      <c r="Q291" s="57">
        <v>31900</v>
      </c>
      <c r="R291" s="58" t="s">
        <v>8</v>
      </c>
      <c r="S291" s="57" t="s">
        <v>8</v>
      </c>
      <c r="T291" s="56" t="s">
        <v>2394</v>
      </c>
    </row>
    <row r="292" spans="1:20">
      <c r="A292" s="55">
        <v>128129968953</v>
      </c>
      <c r="B292" s="53" t="s">
        <v>2386</v>
      </c>
      <c r="C292" s="54">
        <v>45935</v>
      </c>
      <c r="D292" s="55">
        <v>51180010027</v>
      </c>
      <c r="E292" s="55">
        <v>2087007733387</v>
      </c>
      <c r="F292" s="56" t="s">
        <v>2387</v>
      </c>
      <c r="G292" s="56" t="s">
        <v>2388</v>
      </c>
      <c r="H292" s="56" t="s">
        <v>8</v>
      </c>
      <c r="I292" s="55" t="s">
        <v>8</v>
      </c>
      <c r="J292" s="57">
        <v>366.75</v>
      </c>
      <c r="K292" s="56" t="s">
        <v>2389</v>
      </c>
      <c r="L292" s="56" t="s">
        <v>2390</v>
      </c>
      <c r="M292" s="55" t="s">
        <v>2391</v>
      </c>
      <c r="N292" s="56" t="s">
        <v>2392</v>
      </c>
      <c r="O292" s="53" t="s">
        <v>8</v>
      </c>
      <c r="P292" s="56" t="s">
        <v>2422</v>
      </c>
      <c r="Q292" s="57">
        <v>22500</v>
      </c>
      <c r="R292" s="58" t="s">
        <v>8</v>
      </c>
      <c r="S292" s="57" t="s">
        <v>8</v>
      </c>
      <c r="T292" s="56" t="s">
        <v>2394</v>
      </c>
    </row>
    <row r="293" spans="1:20">
      <c r="A293" s="55">
        <v>128130086803</v>
      </c>
      <c r="B293" s="53" t="s">
        <v>2386</v>
      </c>
      <c r="C293" s="54">
        <v>45935</v>
      </c>
      <c r="D293" s="55">
        <v>51180023837</v>
      </c>
      <c r="E293" s="55">
        <v>2087071838302</v>
      </c>
      <c r="F293" s="56" t="s">
        <v>2387</v>
      </c>
      <c r="G293" s="56" t="s">
        <v>2388</v>
      </c>
      <c r="H293" s="56" t="s">
        <v>8</v>
      </c>
      <c r="I293" s="55" t="s">
        <v>8</v>
      </c>
      <c r="J293" s="57">
        <v>280.33</v>
      </c>
      <c r="K293" s="56" t="s">
        <v>2389</v>
      </c>
      <c r="L293" s="56" t="s">
        <v>2390</v>
      </c>
      <c r="M293" s="55" t="s">
        <v>2391</v>
      </c>
      <c r="N293" s="56" t="s">
        <v>2392</v>
      </c>
      <c r="O293" s="53" t="s">
        <v>8</v>
      </c>
      <c r="P293" s="56" t="s">
        <v>2423</v>
      </c>
      <c r="Q293" s="57">
        <v>28900</v>
      </c>
      <c r="R293" s="58" t="s">
        <v>8</v>
      </c>
      <c r="S293" s="57" t="s">
        <v>8</v>
      </c>
      <c r="T293" s="56" t="s">
        <v>2394</v>
      </c>
    </row>
    <row r="294" spans="1:20">
      <c r="A294" s="55">
        <v>128697505462</v>
      </c>
      <c r="B294" s="53" t="s">
        <v>2386</v>
      </c>
      <c r="C294" s="54">
        <v>45935</v>
      </c>
      <c r="D294" s="55">
        <v>51180026999</v>
      </c>
      <c r="E294" s="55">
        <v>2087071187778</v>
      </c>
      <c r="F294" s="56" t="s">
        <v>2387</v>
      </c>
      <c r="G294" s="56" t="s">
        <v>2388</v>
      </c>
      <c r="H294" s="56" t="s">
        <v>8</v>
      </c>
      <c r="I294" s="55" t="s">
        <v>8</v>
      </c>
      <c r="J294" s="57">
        <v>141.62</v>
      </c>
      <c r="K294" s="56" t="s">
        <v>2389</v>
      </c>
      <c r="L294" s="56" t="s">
        <v>2390</v>
      </c>
      <c r="M294" s="55" t="s">
        <v>2391</v>
      </c>
      <c r="N294" s="56" t="s">
        <v>2392</v>
      </c>
      <c r="O294" s="53" t="s">
        <v>8</v>
      </c>
      <c r="P294" s="56" t="s">
        <v>2424</v>
      </c>
      <c r="Q294" s="57">
        <v>14600</v>
      </c>
      <c r="R294" s="58" t="s">
        <v>8</v>
      </c>
      <c r="S294" s="57" t="s">
        <v>8</v>
      </c>
      <c r="T294" s="56" t="s">
        <v>2394</v>
      </c>
    </row>
    <row r="295" spans="1:20">
      <c r="A295" s="55">
        <v>128129983705</v>
      </c>
      <c r="B295" s="53" t="s">
        <v>2386</v>
      </c>
      <c r="C295" s="54">
        <v>45935</v>
      </c>
      <c r="D295" s="55">
        <v>51180055128</v>
      </c>
      <c r="E295" s="55">
        <v>2087071241504</v>
      </c>
      <c r="F295" s="56" t="s">
        <v>2387</v>
      </c>
      <c r="G295" s="56" t="s">
        <v>2388</v>
      </c>
      <c r="H295" s="56" t="s">
        <v>8</v>
      </c>
      <c r="I295" s="55" t="s">
        <v>8</v>
      </c>
      <c r="J295" s="57">
        <v>267.72000000000003</v>
      </c>
      <c r="K295" s="56" t="s">
        <v>2389</v>
      </c>
      <c r="L295" s="56" t="s">
        <v>2390</v>
      </c>
      <c r="M295" s="55" t="s">
        <v>2391</v>
      </c>
      <c r="N295" s="56" t="s">
        <v>2392</v>
      </c>
      <c r="O295" s="53" t="s">
        <v>8</v>
      </c>
      <c r="P295" s="56" t="s">
        <v>2425</v>
      </c>
      <c r="Q295" s="57">
        <v>27600</v>
      </c>
      <c r="R295" s="58" t="s">
        <v>8</v>
      </c>
      <c r="S295" s="57" t="s">
        <v>8</v>
      </c>
      <c r="T295" s="56" t="s">
        <v>2394</v>
      </c>
    </row>
    <row r="296" spans="1:20">
      <c r="A296" s="55">
        <v>128697707428</v>
      </c>
      <c r="B296" s="53" t="s">
        <v>2386</v>
      </c>
      <c r="C296" s="54">
        <v>45935</v>
      </c>
      <c r="D296" s="55">
        <v>51180101392</v>
      </c>
      <c r="E296" s="55">
        <v>2087009429369</v>
      </c>
      <c r="F296" s="56" t="s">
        <v>2387</v>
      </c>
      <c r="G296" s="56" t="s">
        <v>2388</v>
      </c>
      <c r="H296" s="56" t="s">
        <v>8</v>
      </c>
      <c r="I296" s="55" t="s">
        <v>8</v>
      </c>
      <c r="J296" s="57">
        <v>162.96</v>
      </c>
      <c r="K296" s="56" t="s">
        <v>2389</v>
      </c>
      <c r="L296" s="56" t="s">
        <v>2390</v>
      </c>
      <c r="M296" s="55" t="s">
        <v>2391</v>
      </c>
      <c r="N296" s="56" t="s">
        <v>2392</v>
      </c>
      <c r="O296" s="53" t="s">
        <v>8</v>
      </c>
      <c r="P296" s="56" t="s">
        <v>2426</v>
      </c>
      <c r="Q296" s="57">
        <v>16800</v>
      </c>
      <c r="R296" s="58" t="s">
        <v>8</v>
      </c>
      <c r="S296" s="57" t="s">
        <v>8</v>
      </c>
      <c r="T296" s="56" t="s">
        <v>2394</v>
      </c>
    </row>
    <row r="297" spans="1:20">
      <c r="A297" s="55">
        <v>128698164204</v>
      </c>
      <c r="B297" s="53" t="s">
        <v>2386</v>
      </c>
      <c r="C297" s="54">
        <v>45935</v>
      </c>
      <c r="D297" s="55">
        <v>51180182058</v>
      </c>
      <c r="E297" s="55">
        <v>2087073680462</v>
      </c>
      <c r="F297" s="56" t="s">
        <v>2387</v>
      </c>
      <c r="G297" s="56" t="s">
        <v>2388</v>
      </c>
      <c r="H297" s="56" t="s">
        <v>8</v>
      </c>
      <c r="I297" s="55" t="s">
        <v>8</v>
      </c>
      <c r="J297" s="57">
        <v>271.60000000000002</v>
      </c>
      <c r="K297" s="56" t="s">
        <v>2389</v>
      </c>
      <c r="L297" s="56" t="s">
        <v>2390</v>
      </c>
      <c r="M297" s="55" t="s">
        <v>2391</v>
      </c>
      <c r="N297" s="56" t="s">
        <v>2392</v>
      </c>
      <c r="O297" s="53" t="s">
        <v>8</v>
      </c>
      <c r="P297" s="56" t="s">
        <v>2427</v>
      </c>
      <c r="Q297" s="57">
        <v>28000</v>
      </c>
      <c r="R297" s="58" t="s">
        <v>8</v>
      </c>
      <c r="S297" s="57" t="s">
        <v>8</v>
      </c>
      <c r="T297" s="56" t="s">
        <v>2394</v>
      </c>
    </row>
    <row r="298" spans="1:20">
      <c r="A298" s="55">
        <v>128698205804</v>
      </c>
      <c r="B298" s="53" t="s">
        <v>2386</v>
      </c>
      <c r="C298" s="54">
        <v>45935</v>
      </c>
      <c r="D298" s="55">
        <v>51180223219</v>
      </c>
      <c r="E298" s="55">
        <v>2087011818343</v>
      </c>
      <c r="F298" s="56" t="s">
        <v>2387</v>
      </c>
      <c r="G298" s="56" t="s">
        <v>2388</v>
      </c>
      <c r="H298" s="56" t="s">
        <v>8</v>
      </c>
      <c r="I298" s="55" t="s">
        <v>8</v>
      </c>
      <c r="J298" s="57">
        <v>120.28</v>
      </c>
      <c r="K298" s="56" t="s">
        <v>2389</v>
      </c>
      <c r="L298" s="56" t="s">
        <v>2390</v>
      </c>
      <c r="M298" s="55" t="s">
        <v>2391</v>
      </c>
      <c r="N298" s="56" t="s">
        <v>2392</v>
      </c>
      <c r="O298" s="53" t="s">
        <v>8</v>
      </c>
      <c r="P298" s="56" t="s">
        <v>2428</v>
      </c>
      <c r="Q298" s="57">
        <v>12400</v>
      </c>
      <c r="R298" s="58" t="s">
        <v>8</v>
      </c>
      <c r="S298" s="57" t="s">
        <v>8</v>
      </c>
      <c r="T298" s="56" t="s">
        <v>2394</v>
      </c>
    </row>
    <row r="299" spans="1:20">
      <c r="A299" s="55">
        <v>128130535797</v>
      </c>
      <c r="B299" s="53" t="s">
        <v>2386</v>
      </c>
      <c r="C299" s="54">
        <v>45935</v>
      </c>
      <c r="D299" s="55">
        <v>51180331388</v>
      </c>
      <c r="E299" s="55">
        <v>2087012735699</v>
      </c>
      <c r="F299" s="56" t="s">
        <v>2401</v>
      </c>
      <c r="G299" s="56" t="s">
        <v>2388</v>
      </c>
      <c r="H299" s="56" t="s">
        <v>8</v>
      </c>
      <c r="I299" s="55" t="s">
        <v>8</v>
      </c>
      <c r="J299" s="57">
        <v>345.84</v>
      </c>
      <c r="K299" s="56" t="s">
        <v>2389</v>
      </c>
      <c r="L299" s="56" t="s">
        <v>2402</v>
      </c>
      <c r="M299" s="55" t="s">
        <v>2391</v>
      </c>
      <c r="N299" s="56" t="s">
        <v>2392</v>
      </c>
      <c r="O299" s="53" t="s">
        <v>2055</v>
      </c>
      <c r="P299" s="56" t="s">
        <v>2403</v>
      </c>
      <c r="Q299" s="57">
        <v>8800</v>
      </c>
      <c r="R299" s="58" t="s">
        <v>8</v>
      </c>
      <c r="S299" s="57" t="s">
        <v>8</v>
      </c>
      <c r="T299" s="56" t="s">
        <v>2394</v>
      </c>
    </row>
    <row r="300" spans="1:20">
      <c r="A300" s="55">
        <v>128130627097</v>
      </c>
      <c r="B300" s="53" t="s">
        <v>2386</v>
      </c>
      <c r="C300" s="54">
        <v>45935</v>
      </c>
      <c r="D300" s="55">
        <v>51180357615</v>
      </c>
      <c r="E300" s="55">
        <v>2087012746851</v>
      </c>
      <c r="F300" s="56" t="s">
        <v>2401</v>
      </c>
      <c r="G300" s="56" t="s">
        <v>2388</v>
      </c>
      <c r="H300" s="56" t="s">
        <v>8</v>
      </c>
      <c r="I300" s="55" t="s">
        <v>8</v>
      </c>
      <c r="J300" s="57">
        <v>314.39999999999998</v>
      </c>
      <c r="K300" s="56" t="s">
        <v>2389</v>
      </c>
      <c r="L300" s="56" t="s">
        <v>2402</v>
      </c>
      <c r="M300" s="55" t="s">
        <v>2391</v>
      </c>
      <c r="N300" s="56" t="s">
        <v>2392</v>
      </c>
      <c r="O300" s="53" t="s">
        <v>2055</v>
      </c>
      <c r="P300" s="56" t="s">
        <v>2403</v>
      </c>
      <c r="Q300" s="57">
        <v>8000</v>
      </c>
      <c r="R300" s="58" t="s">
        <v>8</v>
      </c>
      <c r="S300" s="57" t="s">
        <v>8</v>
      </c>
      <c r="T300" s="56" t="s">
        <v>2394</v>
      </c>
    </row>
    <row r="301" spans="1:20">
      <c r="A301" s="55">
        <v>128130687417</v>
      </c>
      <c r="B301" s="53" t="s">
        <v>2386</v>
      </c>
      <c r="C301" s="54">
        <v>45935</v>
      </c>
      <c r="D301" s="55">
        <v>51180373615</v>
      </c>
      <c r="E301" s="55">
        <v>2087076165928</v>
      </c>
      <c r="F301" s="56" t="s">
        <v>2401</v>
      </c>
      <c r="G301" s="56" t="s">
        <v>2388</v>
      </c>
      <c r="H301" s="56" t="s">
        <v>8</v>
      </c>
      <c r="I301" s="55" t="s">
        <v>8</v>
      </c>
      <c r="J301" s="57">
        <v>723.12</v>
      </c>
      <c r="K301" s="56" t="s">
        <v>2389</v>
      </c>
      <c r="L301" s="56" t="s">
        <v>2402</v>
      </c>
      <c r="M301" s="55" t="s">
        <v>2391</v>
      </c>
      <c r="N301" s="56" t="s">
        <v>2392</v>
      </c>
      <c r="O301" s="53" t="s">
        <v>2055</v>
      </c>
      <c r="P301" s="56" t="s">
        <v>2403</v>
      </c>
      <c r="Q301" s="57">
        <v>18400</v>
      </c>
      <c r="R301" s="58" t="s">
        <v>8</v>
      </c>
      <c r="S301" s="57" t="s">
        <v>8</v>
      </c>
      <c r="T301" s="56" t="s">
        <v>2394</v>
      </c>
    </row>
    <row r="302" spans="1:20">
      <c r="A302" s="55">
        <v>128698509452</v>
      </c>
      <c r="B302" s="53" t="s">
        <v>2386</v>
      </c>
      <c r="C302" s="54">
        <v>45935</v>
      </c>
      <c r="D302" s="55">
        <v>51180437512</v>
      </c>
      <c r="E302" s="55">
        <v>2087013813333</v>
      </c>
      <c r="F302" s="56" t="s">
        <v>2401</v>
      </c>
      <c r="G302" s="56" t="s">
        <v>2388</v>
      </c>
      <c r="H302" s="56" t="s">
        <v>8</v>
      </c>
      <c r="I302" s="55" t="s">
        <v>8</v>
      </c>
      <c r="J302" s="57">
        <v>1035.1199999999999</v>
      </c>
      <c r="K302" s="56" t="s">
        <v>2389</v>
      </c>
      <c r="L302" s="56" t="s">
        <v>2402</v>
      </c>
      <c r="M302" s="55" t="s">
        <v>2391</v>
      </c>
      <c r="N302" s="56" t="s">
        <v>2392</v>
      </c>
      <c r="O302" s="53" t="s">
        <v>2055</v>
      </c>
      <c r="P302" s="56" t="s">
        <v>2403</v>
      </c>
      <c r="Q302" s="57">
        <v>22800</v>
      </c>
      <c r="R302" s="58" t="s">
        <v>8</v>
      </c>
      <c r="S302" s="57" t="s">
        <v>8</v>
      </c>
      <c r="T302" s="56" t="s">
        <v>2394</v>
      </c>
    </row>
    <row r="303" spans="1:20">
      <c r="A303" s="55">
        <v>128698656838</v>
      </c>
      <c r="B303" s="53" t="s">
        <v>2386</v>
      </c>
      <c r="C303" s="54">
        <v>45935</v>
      </c>
      <c r="D303" s="55">
        <v>51180487699</v>
      </c>
      <c r="E303" s="55">
        <v>2087014615251</v>
      </c>
      <c r="F303" s="56" t="s">
        <v>2401</v>
      </c>
      <c r="G303" s="56" t="s">
        <v>2388</v>
      </c>
      <c r="H303" s="56" t="s">
        <v>8</v>
      </c>
      <c r="I303" s="55" t="s">
        <v>8</v>
      </c>
      <c r="J303" s="57">
        <v>1582.88</v>
      </c>
      <c r="K303" s="56" t="s">
        <v>2389</v>
      </c>
      <c r="L303" s="56" t="s">
        <v>2402</v>
      </c>
      <c r="M303" s="55" t="s">
        <v>2391</v>
      </c>
      <c r="N303" s="56" t="s">
        <v>2392</v>
      </c>
      <c r="O303" s="53" t="s">
        <v>2055</v>
      </c>
      <c r="P303" s="56" t="s">
        <v>2403</v>
      </c>
      <c r="Q303" s="57">
        <v>20800</v>
      </c>
      <c r="R303" s="58" t="s">
        <v>8</v>
      </c>
      <c r="S303" s="57" t="s">
        <v>8</v>
      </c>
      <c r="T303" s="56" t="s">
        <v>2394</v>
      </c>
    </row>
    <row r="304" spans="1:20">
      <c r="A304" s="55">
        <v>128131119009</v>
      </c>
      <c r="B304" s="53" t="s">
        <v>2386</v>
      </c>
      <c r="C304" s="54">
        <v>45935</v>
      </c>
      <c r="D304" s="55">
        <v>51180514913</v>
      </c>
      <c r="E304" s="55">
        <v>2087014922887</v>
      </c>
      <c r="F304" s="56" t="s">
        <v>2401</v>
      </c>
      <c r="G304" s="56" t="s">
        <v>2388</v>
      </c>
      <c r="H304" s="56" t="s">
        <v>8</v>
      </c>
      <c r="I304" s="55" t="s">
        <v>8</v>
      </c>
      <c r="J304" s="57">
        <v>742.77</v>
      </c>
      <c r="K304" s="56" t="s">
        <v>2389</v>
      </c>
      <c r="L304" s="56" t="s">
        <v>2402</v>
      </c>
      <c r="M304" s="55" t="s">
        <v>2391</v>
      </c>
      <c r="N304" s="56" t="s">
        <v>2392</v>
      </c>
      <c r="O304" s="53" t="s">
        <v>2055</v>
      </c>
      <c r="P304" s="56" t="s">
        <v>2403</v>
      </c>
      <c r="Q304" s="57">
        <v>18900</v>
      </c>
      <c r="R304" s="58" t="s">
        <v>8</v>
      </c>
      <c r="S304" s="57" t="s">
        <v>8</v>
      </c>
      <c r="T304" s="56" t="s">
        <v>2394</v>
      </c>
    </row>
    <row r="305" spans="1:20">
      <c r="A305" s="55">
        <v>128698830486</v>
      </c>
      <c r="B305" s="53" t="s">
        <v>2386</v>
      </c>
      <c r="C305" s="54">
        <v>45935</v>
      </c>
      <c r="D305" s="55">
        <v>51180546436</v>
      </c>
      <c r="E305" s="55">
        <v>2087015709545</v>
      </c>
      <c r="F305" s="56" t="s">
        <v>2387</v>
      </c>
      <c r="G305" s="56" t="s">
        <v>2388</v>
      </c>
      <c r="H305" s="56" t="s">
        <v>8</v>
      </c>
      <c r="I305" s="55" t="s">
        <v>8</v>
      </c>
      <c r="J305" s="57">
        <v>209.52</v>
      </c>
      <c r="K305" s="56" t="s">
        <v>2389</v>
      </c>
      <c r="L305" s="56" t="s">
        <v>2390</v>
      </c>
      <c r="M305" s="55" t="s">
        <v>2391</v>
      </c>
      <c r="N305" s="56" t="s">
        <v>2392</v>
      </c>
      <c r="O305" s="53" t="s">
        <v>8</v>
      </c>
      <c r="P305" s="56" t="s">
        <v>2429</v>
      </c>
      <c r="Q305" s="57">
        <v>21600</v>
      </c>
      <c r="R305" s="58" t="s">
        <v>8</v>
      </c>
      <c r="S305" s="57" t="s">
        <v>8</v>
      </c>
      <c r="T305" s="56" t="s">
        <v>2394</v>
      </c>
    </row>
    <row r="306" spans="1:20">
      <c r="A306" s="55">
        <v>128131338741</v>
      </c>
      <c r="B306" s="53" t="s">
        <v>2386</v>
      </c>
      <c r="C306" s="54">
        <v>45935</v>
      </c>
      <c r="D306" s="55">
        <v>51180577734</v>
      </c>
      <c r="E306" s="55">
        <v>2087079276872</v>
      </c>
      <c r="F306" s="56" t="s">
        <v>2401</v>
      </c>
      <c r="G306" s="56" t="s">
        <v>2388</v>
      </c>
      <c r="H306" s="56" t="s">
        <v>8</v>
      </c>
      <c r="I306" s="55" t="s">
        <v>8</v>
      </c>
      <c r="J306" s="57">
        <v>691.68</v>
      </c>
      <c r="K306" s="56" t="s">
        <v>2389</v>
      </c>
      <c r="L306" s="56" t="s">
        <v>2402</v>
      </c>
      <c r="M306" s="55" t="s">
        <v>2391</v>
      </c>
      <c r="N306" s="56" t="s">
        <v>2392</v>
      </c>
      <c r="O306" s="53" t="s">
        <v>2055</v>
      </c>
      <c r="P306" s="56" t="s">
        <v>2403</v>
      </c>
      <c r="Q306" s="57">
        <v>17600</v>
      </c>
      <c r="R306" s="58" t="s">
        <v>8</v>
      </c>
      <c r="S306" s="57" t="s">
        <v>8</v>
      </c>
      <c r="T306" s="56" t="s">
        <v>2394</v>
      </c>
    </row>
    <row r="307" spans="1:20">
      <c r="A307" s="55">
        <v>128699142146</v>
      </c>
      <c r="B307" s="53" t="s">
        <v>2386</v>
      </c>
      <c r="C307" s="54">
        <v>45935</v>
      </c>
      <c r="D307" s="55">
        <v>51180601716</v>
      </c>
      <c r="E307" s="55">
        <v>2087016912357</v>
      </c>
      <c r="F307" s="56" t="s">
        <v>2401</v>
      </c>
      <c r="G307" s="56" t="s">
        <v>2388</v>
      </c>
      <c r="H307" s="56" t="s">
        <v>8</v>
      </c>
      <c r="I307" s="55" t="s">
        <v>8</v>
      </c>
      <c r="J307" s="57">
        <v>165.06</v>
      </c>
      <c r="K307" s="56" t="s">
        <v>2389</v>
      </c>
      <c r="L307" s="56" t="s">
        <v>2402</v>
      </c>
      <c r="M307" s="55" t="s">
        <v>2391</v>
      </c>
      <c r="N307" s="56" t="s">
        <v>2392</v>
      </c>
      <c r="O307" s="53" t="s">
        <v>2055</v>
      </c>
      <c r="P307" s="56" t="s">
        <v>2403</v>
      </c>
      <c r="Q307" s="57">
        <v>4200</v>
      </c>
      <c r="R307" s="58" t="s">
        <v>8</v>
      </c>
      <c r="S307" s="57" t="s">
        <v>8</v>
      </c>
      <c r="T307" s="56" t="s">
        <v>2394</v>
      </c>
    </row>
    <row r="308" spans="1:20">
      <c r="A308" s="55">
        <v>128131671691</v>
      </c>
      <c r="B308" s="53" t="s">
        <v>2386</v>
      </c>
      <c r="C308" s="54">
        <v>45935</v>
      </c>
      <c r="D308" s="55">
        <v>51180782950</v>
      </c>
      <c r="E308" s="55">
        <v>2087019415191</v>
      </c>
      <c r="F308" s="56" t="s">
        <v>2387</v>
      </c>
      <c r="G308" s="56" t="s">
        <v>2388</v>
      </c>
      <c r="H308" s="56" t="s">
        <v>8</v>
      </c>
      <c r="I308" s="55" t="s">
        <v>8</v>
      </c>
      <c r="J308" s="57">
        <v>173.63</v>
      </c>
      <c r="K308" s="56" t="s">
        <v>2389</v>
      </c>
      <c r="L308" s="56" t="s">
        <v>2390</v>
      </c>
      <c r="M308" s="55" t="s">
        <v>2391</v>
      </c>
      <c r="N308" s="56" t="s">
        <v>2392</v>
      </c>
      <c r="O308" s="53" t="s">
        <v>8</v>
      </c>
      <c r="P308" s="56" t="s">
        <v>2430</v>
      </c>
      <c r="Q308" s="57">
        <v>17900</v>
      </c>
      <c r="R308" s="58" t="s">
        <v>8</v>
      </c>
      <c r="S308" s="57" t="s">
        <v>8</v>
      </c>
      <c r="T308" s="56" t="s">
        <v>2394</v>
      </c>
    </row>
    <row r="309" spans="1:20">
      <c r="A309" s="55">
        <v>128131837387</v>
      </c>
      <c r="B309" s="53" t="s">
        <v>2386</v>
      </c>
      <c r="C309" s="54">
        <v>45935</v>
      </c>
      <c r="D309" s="55">
        <v>51180841923</v>
      </c>
      <c r="E309" s="55">
        <v>2087020334447</v>
      </c>
      <c r="F309" s="56" t="s">
        <v>2411</v>
      </c>
      <c r="G309" s="56" t="s">
        <v>2388</v>
      </c>
      <c r="H309" s="56" t="s">
        <v>8</v>
      </c>
      <c r="I309" s="55" t="s">
        <v>8</v>
      </c>
      <c r="J309" s="57">
        <v>154.22999999999999</v>
      </c>
      <c r="K309" s="56" t="s">
        <v>2389</v>
      </c>
      <c r="L309" s="56" t="s">
        <v>2390</v>
      </c>
      <c r="M309" s="55" t="s">
        <v>2391</v>
      </c>
      <c r="N309" s="56" t="s">
        <v>2392</v>
      </c>
      <c r="O309" s="53" t="s">
        <v>8</v>
      </c>
      <c r="P309" s="56" t="s">
        <v>2412</v>
      </c>
      <c r="Q309" s="57">
        <v>15900</v>
      </c>
      <c r="R309" s="58" t="s">
        <v>8</v>
      </c>
      <c r="S309" s="57" t="s">
        <v>8</v>
      </c>
      <c r="T309" s="56" t="s">
        <v>8</v>
      </c>
    </row>
    <row r="310" spans="1:20">
      <c r="A310" s="55">
        <v>128132363197</v>
      </c>
      <c r="B310" s="53" t="s">
        <v>2386</v>
      </c>
      <c r="C310" s="54">
        <v>45935</v>
      </c>
      <c r="D310" s="55">
        <v>51181032466</v>
      </c>
      <c r="E310" s="55">
        <v>2087085946890</v>
      </c>
      <c r="F310" s="56" t="s">
        <v>2387</v>
      </c>
      <c r="G310" s="56" t="s">
        <v>2388</v>
      </c>
      <c r="H310" s="56" t="s">
        <v>8</v>
      </c>
      <c r="I310" s="55" t="s">
        <v>8</v>
      </c>
      <c r="J310" s="57">
        <v>97</v>
      </c>
      <c r="K310" s="56" t="s">
        <v>2389</v>
      </c>
      <c r="L310" s="56" t="s">
        <v>2390</v>
      </c>
      <c r="M310" s="55" t="s">
        <v>2391</v>
      </c>
      <c r="N310" s="56" t="s">
        <v>2392</v>
      </c>
      <c r="O310" s="53" t="s">
        <v>8</v>
      </c>
      <c r="P310" s="56" t="s">
        <v>2431</v>
      </c>
      <c r="Q310" s="57">
        <v>10000</v>
      </c>
      <c r="R310" s="58" t="s">
        <v>8</v>
      </c>
      <c r="S310" s="57" t="s">
        <v>8</v>
      </c>
      <c r="T310" s="56" t="s">
        <v>2394</v>
      </c>
    </row>
    <row r="311" spans="1:20">
      <c r="A311" s="55">
        <v>128699839998</v>
      </c>
      <c r="B311" s="53" t="s">
        <v>2386</v>
      </c>
      <c r="C311" s="54">
        <v>45935</v>
      </c>
      <c r="D311" s="55">
        <v>51181056037</v>
      </c>
      <c r="E311" s="55">
        <v>2087022849605</v>
      </c>
      <c r="F311" s="56" t="s">
        <v>2387</v>
      </c>
      <c r="G311" s="56" t="s">
        <v>2388</v>
      </c>
      <c r="H311" s="56" t="s">
        <v>8</v>
      </c>
      <c r="I311" s="55" t="s">
        <v>8</v>
      </c>
      <c r="J311" s="57">
        <v>1346.97</v>
      </c>
      <c r="K311" s="56" t="s">
        <v>2389</v>
      </c>
      <c r="L311" s="56" t="s">
        <v>2390</v>
      </c>
      <c r="M311" s="55" t="s">
        <v>2391</v>
      </c>
      <c r="N311" s="56" t="s">
        <v>2392</v>
      </c>
      <c r="O311" s="53" t="s">
        <v>8</v>
      </c>
      <c r="P311" s="56" t="s">
        <v>2432</v>
      </c>
      <c r="Q311" s="57">
        <v>17700</v>
      </c>
      <c r="R311" s="58" t="s">
        <v>8</v>
      </c>
      <c r="S311" s="57" t="s">
        <v>8</v>
      </c>
      <c r="T311" s="56" t="s">
        <v>2394</v>
      </c>
    </row>
    <row r="312" spans="1:20">
      <c r="A312" s="55">
        <v>128201339295</v>
      </c>
      <c r="B312" s="53" t="s">
        <v>2386</v>
      </c>
      <c r="C312" s="54">
        <v>45935</v>
      </c>
      <c r="D312" s="55">
        <v>51212140144</v>
      </c>
      <c r="E312" s="55">
        <v>2087450271887</v>
      </c>
      <c r="F312" s="56" t="s">
        <v>2401</v>
      </c>
      <c r="G312" s="56" t="s">
        <v>2388</v>
      </c>
      <c r="H312" s="56" t="s">
        <v>8</v>
      </c>
      <c r="I312" s="55" t="s">
        <v>8</v>
      </c>
      <c r="J312" s="57">
        <v>561.99</v>
      </c>
      <c r="K312" s="56" t="s">
        <v>2389</v>
      </c>
      <c r="L312" s="56" t="s">
        <v>2402</v>
      </c>
      <c r="M312" s="55" t="s">
        <v>2391</v>
      </c>
      <c r="N312" s="56" t="s">
        <v>2392</v>
      </c>
      <c r="O312" s="53" t="s">
        <v>2055</v>
      </c>
      <c r="P312" s="56" t="s">
        <v>2403</v>
      </c>
      <c r="Q312" s="57">
        <v>14300</v>
      </c>
      <c r="R312" s="58" t="s">
        <v>8</v>
      </c>
      <c r="S312" s="57" t="s">
        <v>8</v>
      </c>
      <c r="T312" s="56" t="s">
        <v>2394</v>
      </c>
    </row>
    <row r="313" spans="1:20">
      <c r="A313" s="55">
        <v>128771504152</v>
      </c>
      <c r="B313" s="53" t="s">
        <v>2386</v>
      </c>
      <c r="C313" s="54">
        <v>45935</v>
      </c>
      <c r="D313" s="55">
        <v>51212914170</v>
      </c>
      <c r="E313" s="55">
        <v>2087525194874</v>
      </c>
      <c r="F313" s="56" t="s">
        <v>2387</v>
      </c>
      <c r="G313" s="56" t="s">
        <v>2388</v>
      </c>
      <c r="H313" s="56" t="s">
        <v>8</v>
      </c>
      <c r="I313" s="55" t="s">
        <v>8</v>
      </c>
      <c r="J313" s="57">
        <v>47.53</v>
      </c>
      <c r="K313" s="56" t="s">
        <v>2389</v>
      </c>
      <c r="L313" s="56" t="s">
        <v>2390</v>
      </c>
      <c r="M313" s="55" t="s">
        <v>2391</v>
      </c>
      <c r="N313" s="56" t="s">
        <v>2392</v>
      </c>
      <c r="O313" s="53" t="s">
        <v>8</v>
      </c>
      <c r="P313" s="56" t="s">
        <v>2433</v>
      </c>
      <c r="Q313" s="57">
        <v>4900</v>
      </c>
      <c r="R313" s="58" t="s">
        <v>8</v>
      </c>
      <c r="S313" s="57" t="s">
        <v>8</v>
      </c>
      <c r="T313" s="56" t="s">
        <v>2394</v>
      </c>
    </row>
    <row r="314" spans="1:20">
      <c r="A314" s="55">
        <v>128205853491</v>
      </c>
      <c r="B314" s="53" t="s">
        <v>2386</v>
      </c>
      <c r="C314" s="54">
        <v>45935</v>
      </c>
      <c r="D314" s="55">
        <v>51213996868</v>
      </c>
      <c r="E314" s="55">
        <v>2087478304417</v>
      </c>
      <c r="F314" s="56" t="s">
        <v>2387</v>
      </c>
      <c r="G314" s="56" t="s">
        <v>2388</v>
      </c>
      <c r="H314" s="56" t="s">
        <v>8</v>
      </c>
      <c r="I314" s="55" t="s">
        <v>8</v>
      </c>
      <c r="J314" s="57">
        <v>42.68</v>
      </c>
      <c r="K314" s="56" t="s">
        <v>2389</v>
      </c>
      <c r="L314" s="56" t="s">
        <v>2390</v>
      </c>
      <c r="M314" s="55" t="s">
        <v>2391</v>
      </c>
      <c r="N314" s="56" t="s">
        <v>2392</v>
      </c>
      <c r="O314" s="53" t="s">
        <v>8</v>
      </c>
      <c r="P314" s="56" t="s">
        <v>2434</v>
      </c>
      <c r="Q314" s="57">
        <v>4400</v>
      </c>
      <c r="R314" s="58" t="s">
        <v>8</v>
      </c>
      <c r="S314" s="57" t="s">
        <v>8</v>
      </c>
      <c r="T314" s="56" t="s">
        <v>2394</v>
      </c>
    </row>
    <row r="315" spans="1:20">
      <c r="A315" s="55">
        <v>128206530723</v>
      </c>
      <c r="B315" s="53" t="s">
        <v>2386</v>
      </c>
      <c r="C315" s="54">
        <v>45935</v>
      </c>
      <c r="D315" s="55">
        <v>51214286758</v>
      </c>
      <c r="E315" s="55">
        <v>2087482196591</v>
      </c>
      <c r="F315" s="56" t="s">
        <v>2387</v>
      </c>
      <c r="G315" s="56" t="s">
        <v>2388</v>
      </c>
      <c r="H315" s="56" t="s">
        <v>8</v>
      </c>
      <c r="I315" s="55" t="s">
        <v>8</v>
      </c>
      <c r="J315" s="57">
        <v>47.53</v>
      </c>
      <c r="K315" s="56" t="s">
        <v>2389</v>
      </c>
      <c r="L315" s="56" t="s">
        <v>2390</v>
      </c>
      <c r="M315" s="55" t="s">
        <v>2391</v>
      </c>
      <c r="N315" s="56" t="s">
        <v>2392</v>
      </c>
      <c r="O315" s="53" t="s">
        <v>8</v>
      </c>
      <c r="P315" s="56" t="s">
        <v>2435</v>
      </c>
      <c r="Q315" s="57">
        <v>4900</v>
      </c>
      <c r="R315" s="58" t="s">
        <v>8</v>
      </c>
      <c r="S315" s="57" t="s">
        <v>8</v>
      </c>
      <c r="T315" s="56" t="s">
        <v>2394</v>
      </c>
    </row>
    <row r="316" spans="1:20">
      <c r="A316" s="55">
        <v>128775011128</v>
      </c>
      <c r="B316" s="53" t="s">
        <v>2386</v>
      </c>
      <c r="C316" s="54">
        <v>45935</v>
      </c>
      <c r="D316" s="55">
        <v>51214420719</v>
      </c>
      <c r="E316" s="55">
        <v>2087484904231</v>
      </c>
      <c r="F316" s="56" t="s">
        <v>2401</v>
      </c>
      <c r="G316" s="56" t="s">
        <v>2388</v>
      </c>
      <c r="H316" s="56" t="s">
        <v>8</v>
      </c>
      <c r="I316" s="55" t="s">
        <v>8</v>
      </c>
      <c r="J316" s="57">
        <v>707.4</v>
      </c>
      <c r="K316" s="56" t="s">
        <v>2389</v>
      </c>
      <c r="L316" s="56" t="s">
        <v>2402</v>
      </c>
      <c r="M316" s="55" t="s">
        <v>2391</v>
      </c>
      <c r="N316" s="56" t="s">
        <v>2392</v>
      </c>
      <c r="O316" s="53" t="s">
        <v>2055</v>
      </c>
      <c r="P316" s="56" t="s">
        <v>2403</v>
      </c>
      <c r="Q316" s="57">
        <v>18000</v>
      </c>
      <c r="R316" s="58" t="s">
        <v>8</v>
      </c>
      <c r="S316" s="57" t="s">
        <v>8</v>
      </c>
      <c r="T316" s="56" t="s">
        <v>2394</v>
      </c>
    </row>
    <row r="317" spans="1:20">
      <c r="A317" s="55">
        <v>128775661428</v>
      </c>
      <c r="B317" s="53" t="s">
        <v>2386</v>
      </c>
      <c r="C317" s="54">
        <v>45935</v>
      </c>
      <c r="D317" s="55">
        <v>51214707046</v>
      </c>
      <c r="E317" s="55">
        <v>2087488813473</v>
      </c>
      <c r="F317" s="56" t="s">
        <v>2387</v>
      </c>
      <c r="G317" s="56" t="s">
        <v>2388</v>
      </c>
      <c r="H317" s="56" t="s">
        <v>8</v>
      </c>
      <c r="I317" s="55" t="s">
        <v>8</v>
      </c>
      <c r="J317" s="57">
        <v>136.77000000000001</v>
      </c>
      <c r="K317" s="56" t="s">
        <v>2389</v>
      </c>
      <c r="L317" s="56" t="s">
        <v>2390</v>
      </c>
      <c r="M317" s="55" t="s">
        <v>2391</v>
      </c>
      <c r="N317" s="56" t="s">
        <v>2392</v>
      </c>
      <c r="O317" s="53" t="s">
        <v>8</v>
      </c>
      <c r="P317" s="56" t="s">
        <v>2436</v>
      </c>
      <c r="Q317" s="57">
        <v>14100</v>
      </c>
      <c r="R317" s="58" t="s">
        <v>8</v>
      </c>
      <c r="S317" s="57" t="s">
        <v>8</v>
      </c>
      <c r="T317" s="56" t="s">
        <v>2394</v>
      </c>
    </row>
    <row r="318" spans="1:20">
      <c r="A318" s="55">
        <v>128208989895</v>
      </c>
      <c r="B318" s="53" t="s">
        <v>2386</v>
      </c>
      <c r="C318" s="54">
        <v>45935</v>
      </c>
      <c r="D318" s="55">
        <v>51215319988</v>
      </c>
      <c r="E318" s="55">
        <v>2087498313777</v>
      </c>
      <c r="F318" s="56" t="s">
        <v>2387</v>
      </c>
      <c r="G318" s="56" t="s">
        <v>2388</v>
      </c>
      <c r="H318" s="56" t="s">
        <v>8</v>
      </c>
      <c r="I318" s="55" t="s">
        <v>8</v>
      </c>
      <c r="J318" s="57">
        <v>250.26</v>
      </c>
      <c r="K318" s="56" t="s">
        <v>2389</v>
      </c>
      <c r="L318" s="56" t="s">
        <v>2390</v>
      </c>
      <c r="M318" s="55" t="s">
        <v>2391</v>
      </c>
      <c r="N318" s="56" t="s">
        <v>2392</v>
      </c>
      <c r="O318" s="53" t="s">
        <v>8</v>
      </c>
      <c r="P318" s="56" t="s">
        <v>2437</v>
      </c>
      <c r="Q318" s="57">
        <v>25800</v>
      </c>
      <c r="R318" s="58" t="s">
        <v>8</v>
      </c>
      <c r="S318" s="57" t="s">
        <v>8</v>
      </c>
      <c r="T318" s="56" t="s">
        <v>2394</v>
      </c>
    </row>
    <row r="319" spans="1:20">
      <c r="A319" s="55">
        <v>128210325155</v>
      </c>
      <c r="B319" s="53" t="s">
        <v>2386</v>
      </c>
      <c r="C319" s="54">
        <v>45935</v>
      </c>
      <c r="D319" s="55">
        <v>51215840367</v>
      </c>
      <c r="E319" s="55">
        <v>2087506032409</v>
      </c>
      <c r="F319" s="56" t="s">
        <v>2387</v>
      </c>
      <c r="G319" s="56" t="s">
        <v>2388</v>
      </c>
      <c r="H319" s="56" t="s">
        <v>8</v>
      </c>
      <c r="I319" s="55" t="s">
        <v>8</v>
      </c>
      <c r="J319" s="57">
        <v>1362.19</v>
      </c>
      <c r="K319" s="56" t="s">
        <v>2389</v>
      </c>
      <c r="L319" s="56" t="s">
        <v>2390</v>
      </c>
      <c r="M319" s="55" t="s">
        <v>2391</v>
      </c>
      <c r="N319" s="56" t="s">
        <v>2392</v>
      </c>
      <c r="O319" s="53" t="s">
        <v>8</v>
      </c>
      <c r="P319" s="56" t="s">
        <v>2438</v>
      </c>
      <c r="Q319" s="57">
        <v>17900</v>
      </c>
      <c r="R319" s="58" t="s">
        <v>8</v>
      </c>
      <c r="S319" s="57" t="s">
        <v>8</v>
      </c>
      <c r="T319" s="56" t="s">
        <v>2394</v>
      </c>
    </row>
    <row r="320" spans="1:20">
      <c r="A320" s="55">
        <v>128210631029</v>
      </c>
      <c r="B320" s="53" t="s">
        <v>2386</v>
      </c>
      <c r="C320" s="54">
        <v>45935</v>
      </c>
      <c r="D320" s="55">
        <v>51215959081</v>
      </c>
      <c r="E320" s="55">
        <v>2087508115989</v>
      </c>
      <c r="F320" s="56" t="s">
        <v>2401</v>
      </c>
      <c r="G320" s="56" t="s">
        <v>2388</v>
      </c>
      <c r="H320" s="56" t="s">
        <v>8</v>
      </c>
      <c r="I320" s="55" t="s">
        <v>8</v>
      </c>
      <c r="J320" s="57">
        <v>644.52</v>
      </c>
      <c r="K320" s="56" t="s">
        <v>2389</v>
      </c>
      <c r="L320" s="56" t="s">
        <v>2402</v>
      </c>
      <c r="M320" s="55" t="s">
        <v>2391</v>
      </c>
      <c r="N320" s="56" t="s">
        <v>2392</v>
      </c>
      <c r="O320" s="53" t="s">
        <v>2055</v>
      </c>
      <c r="P320" s="56" t="s">
        <v>2403</v>
      </c>
      <c r="Q320" s="57">
        <v>16400</v>
      </c>
      <c r="R320" s="58" t="s">
        <v>8</v>
      </c>
      <c r="S320" s="57" t="s">
        <v>8</v>
      </c>
      <c r="T320" s="56" t="s">
        <v>2394</v>
      </c>
    </row>
    <row r="321" spans="1:20">
      <c r="A321" s="55">
        <v>128779285828</v>
      </c>
      <c r="B321" s="53" t="s">
        <v>2386</v>
      </c>
      <c r="C321" s="54">
        <v>45935</v>
      </c>
      <c r="D321" s="55">
        <v>51216180728</v>
      </c>
      <c r="E321" s="55">
        <v>2087511105559</v>
      </c>
      <c r="F321" s="56" t="s">
        <v>2387</v>
      </c>
      <c r="G321" s="56" t="s">
        <v>2388</v>
      </c>
      <c r="H321" s="56" t="s">
        <v>8</v>
      </c>
      <c r="I321" s="55" t="s">
        <v>8</v>
      </c>
      <c r="J321" s="57">
        <v>316.22000000000003</v>
      </c>
      <c r="K321" s="56" t="s">
        <v>2389</v>
      </c>
      <c r="L321" s="56" t="s">
        <v>2390</v>
      </c>
      <c r="M321" s="55" t="s">
        <v>2391</v>
      </c>
      <c r="N321" s="56" t="s">
        <v>2392</v>
      </c>
      <c r="O321" s="53" t="s">
        <v>8</v>
      </c>
      <c r="P321" s="56" t="s">
        <v>2439</v>
      </c>
      <c r="Q321" s="57">
        <v>32600</v>
      </c>
      <c r="R321" s="58" t="s">
        <v>8</v>
      </c>
      <c r="S321" s="57" t="s">
        <v>8</v>
      </c>
      <c r="T321" s="56" t="s">
        <v>2394</v>
      </c>
    </row>
    <row r="322" spans="1:20">
      <c r="A322" s="55">
        <v>128211723845</v>
      </c>
      <c r="B322" s="53" t="s">
        <v>2386</v>
      </c>
      <c r="C322" s="54">
        <v>45935</v>
      </c>
      <c r="D322" s="55">
        <v>51216477091</v>
      </c>
      <c r="E322" s="55">
        <v>2087515149495</v>
      </c>
      <c r="F322" s="56" t="s">
        <v>2387</v>
      </c>
      <c r="G322" s="56" t="s">
        <v>2388</v>
      </c>
      <c r="H322" s="56" t="s">
        <v>8</v>
      </c>
      <c r="I322" s="55" t="s">
        <v>8</v>
      </c>
      <c r="J322" s="57">
        <v>258.02</v>
      </c>
      <c r="K322" s="56" t="s">
        <v>2389</v>
      </c>
      <c r="L322" s="56" t="s">
        <v>2390</v>
      </c>
      <c r="M322" s="55" t="s">
        <v>2391</v>
      </c>
      <c r="N322" s="56" t="s">
        <v>2392</v>
      </c>
      <c r="O322" s="53" t="s">
        <v>8</v>
      </c>
      <c r="P322" s="56" t="s">
        <v>2440</v>
      </c>
      <c r="Q322" s="57">
        <v>26600</v>
      </c>
      <c r="R322" s="58" t="s">
        <v>8</v>
      </c>
      <c r="S322" s="57" t="s">
        <v>8</v>
      </c>
      <c r="T322" s="56" t="s">
        <v>2394</v>
      </c>
    </row>
    <row r="323" spans="1:20">
      <c r="A323" s="55">
        <v>128780279488</v>
      </c>
      <c r="B323" s="53" t="s">
        <v>2386</v>
      </c>
      <c r="C323" s="54">
        <v>45935</v>
      </c>
      <c r="D323" s="55">
        <v>51216634327</v>
      </c>
      <c r="E323" s="55">
        <v>2087517648403</v>
      </c>
      <c r="F323" s="56" t="s">
        <v>2387</v>
      </c>
      <c r="G323" s="56" t="s">
        <v>2388</v>
      </c>
      <c r="H323" s="56" t="s">
        <v>8</v>
      </c>
      <c r="I323" s="55" t="s">
        <v>8</v>
      </c>
      <c r="J323" s="57">
        <v>387.03</v>
      </c>
      <c r="K323" s="56" t="s">
        <v>2389</v>
      </c>
      <c r="L323" s="56" t="s">
        <v>2390</v>
      </c>
      <c r="M323" s="55" t="s">
        <v>2391</v>
      </c>
      <c r="N323" s="56" t="s">
        <v>2392</v>
      </c>
      <c r="O323" s="53" t="s">
        <v>8</v>
      </c>
      <c r="P323" s="56" t="s">
        <v>2441</v>
      </c>
      <c r="Q323" s="57">
        <v>39900</v>
      </c>
      <c r="R323" s="58" t="s">
        <v>8</v>
      </c>
      <c r="S323" s="57" t="s">
        <v>8</v>
      </c>
      <c r="T323" s="56" t="s">
        <v>2394</v>
      </c>
    </row>
    <row r="324" spans="1:20">
      <c r="A324" s="55">
        <v>128212250343</v>
      </c>
      <c r="B324" s="53" t="s">
        <v>2386</v>
      </c>
      <c r="C324" s="54">
        <v>45935</v>
      </c>
      <c r="D324" s="55">
        <v>51216643399</v>
      </c>
      <c r="E324" s="55">
        <v>2087580600180</v>
      </c>
      <c r="F324" s="56" t="s">
        <v>2387</v>
      </c>
      <c r="G324" s="56" t="s">
        <v>2388</v>
      </c>
      <c r="H324" s="56" t="s">
        <v>8</v>
      </c>
      <c r="I324" s="55" t="s">
        <v>8</v>
      </c>
      <c r="J324" s="57">
        <v>93.12</v>
      </c>
      <c r="K324" s="56" t="s">
        <v>2389</v>
      </c>
      <c r="L324" s="56" t="s">
        <v>2390</v>
      </c>
      <c r="M324" s="55" t="s">
        <v>2391</v>
      </c>
      <c r="N324" s="56" t="s">
        <v>2392</v>
      </c>
      <c r="O324" s="53" t="s">
        <v>8</v>
      </c>
      <c r="P324" s="56" t="s">
        <v>2440</v>
      </c>
      <c r="Q324" s="57">
        <v>9600</v>
      </c>
      <c r="R324" s="58" t="s">
        <v>8</v>
      </c>
      <c r="S324" s="57" t="s">
        <v>8</v>
      </c>
      <c r="T324" s="56" t="s">
        <v>2394</v>
      </c>
    </row>
    <row r="325" spans="1:20">
      <c r="A325" s="55">
        <v>128212590833</v>
      </c>
      <c r="B325" s="53" t="s">
        <v>2386</v>
      </c>
      <c r="C325" s="54">
        <v>45935</v>
      </c>
      <c r="D325" s="55">
        <v>51216790759</v>
      </c>
      <c r="E325" s="55">
        <v>2087519795249</v>
      </c>
      <c r="F325" s="56" t="s">
        <v>2387</v>
      </c>
      <c r="G325" s="56" t="s">
        <v>2388</v>
      </c>
      <c r="H325" s="56" t="s">
        <v>8</v>
      </c>
      <c r="I325" s="55" t="s">
        <v>8</v>
      </c>
      <c r="J325" s="57">
        <v>341.44</v>
      </c>
      <c r="K325" s="56" t="s">
        <v>2389</v>
      </c>
      <c r="L325" s="56" t="s">
        <v>2390</v>
      </c>
      <c r="M325" s="55" t="s">
        <v>2391</v>
      </c>
      <c r="N325" s="56" t="s">
        <v>2392</v>
      </c>
      <c r="O325" s="53" t="s">
        <v>8</v>
      </c>
      <c r="P325" s="56" t="s">
        <v>2442</v>
      </c>
      <c r="Q325" s="57">
        <v>35200</v>
      </c>
      <c r="R325" s="58" t="s">
        <v>8</v>
      </c>
      <c r="S325" s="57" t="s">
        <v>8</v>
      </c>
      <c r="T325" s="56" t="s">
        <v>2394</v>
      </c>
    </row>
    <row r="326" spans="1:20">
      <c r="A326" s="55">
        <v>128213127005</v>
      </c>
      <c r="B326" s="53" t="s">
        <v>2386</v>
      </c>
      <c r="C326" s="54">
        <v>45935</v>
      </c>
      <c r="D326" s="55">
        <v>51217023688</v>
      </c>
      <c r="E326" s="55">
        <v>2087523269381</v>
      </c>
      <c r="F326" s="56" t="s">
        <v>2387</v>
      </c>
      <c r="G326" s="56" t="s">
        <v>2388</v>
      </c>
      <c r="H326" s="56" t="s">
        <v>8</v>
      </c>
      <c r="I326" s="55" t="s">
        <v>8</v>
      </c>
      <c r="J326" s="57">
        <v>46.56</v>
      </c>
      <c r="K326" s="56" t="s">
        <v>2389</v>
      </c>
      <c r="L326" s="56" t="s">
        <v>2390</v>
      </c>
      <c r="M326" s="55" t="s">
        <v>2391</v>
      </c>
      <c r="N326" s="56" t="s">
        <v>2392</v>
      </c>
      <c r="O326" s="53" t="s">
        <v>8</v>
      </c>
      <c r="P326" s="56" t="s">
        <v>2443</v>
      </c>
      <c r="Q326" s="57">
        <v>4800</v>
      </c>
      <c r="R326" s="58" t="s">
        <v>8</v>
      </c>
      <c r="S326" s="57" t="s">
        <v>8</v>
      </c>
      <c r="T326" s="56" t="s">
        <v>2394</v>
      </c>
    </row>
    <row r="327" spans="1:20">
      <c r="A327" s="55">
        <v>128213687353</v>
      </c>
      <c r="B327" s="53" t="s">
        <v>2386</v>
      </c>
      <c r="C327" s="54">
        <v>45935</v>
      </c>
      <c r="D327" s="55">
        <v>51217290379</v>
      </c>
      <c r="E327" s="55">
        <v>2087590022584</v>
      </c>
      <c r="F327" s="56" t="s">
        <v>2387</v>
      </c>
      <c r="G327" s="56" t="s">
        <v>2388</v>
      </c>
      <c r="H327" s="56" t="s">
        <v>8</v>
      </c>
      <c r="I327" s="55" t="s">
        <v>8</v>
      </c>
      <c r="J327" s="57">
        <v>484.11</v>
      </c>
      <c r="K327" s="56" t="s">
        <v>2389</v>
      </c>
      <c r="L327" s="56" t="s">
        <v>2390</v>
      </c>
      <c r="M327" s="55" t="s">
        <v>2391</v>
      </c>
      <c r="N327" s="56" t="s">
        <v>2392</v>
      </c>
      <c r="O327" s="53" t="s">
        <v>8</v>
      </c>
      <c r="P327" s="56" t="s">
        <v>2444</v>
      </c>
      <c r="Q327" s="57">
        <v>29700</v>
      </c>
      <c r="R327" s="58" t="s">
        <v>8</v>
      </c>
      <c r="S327" s="57" t="s">
        <v>8</v>
      </c>
      <c r="T327" s="56" t="s">
        <v>2394</v>
      </c>
    </row>
    <row r="328" spans="1:20">
      <c r="A328" s="55">
        <v>128782344294</v>
      </c>
      <c r="B328" s="53" t="s">
        <v>2386</v>
      </c>
      <c r="C328" s="54">
        <v>45935</v>
      </c>
      <c r="D328" s="55">
        <v>51217466278</v>
      </c>
      <c r="E328" s="55">
        <v>2087592678140</v>
      </c>
      <c r="F328" s="56" t="s">
        <v>2401</v>
      </c>
      <c r="G328" s="56" t="s">
        <v>2388</v>
      </c>
      <c r="H328" s="56" t="s">
        <v>8</v>
      </c>
      <c r="I328" s="55" t="s">
        <v>8</v>
      </c>
      <c r="J328" s="57">
        <v>994.29</v>
      </c>
      <c r="K328" s="56" t="s">
        <v>2389</v>
      </c>
      <c r="L328" s="56" t="s">
        <v>2402</v>
      </c>
      <c r="M328" s="55" t="s">
        <v>2391</v>
      </c>
      <c r="N328" s="56" t="s">
        <v>2392</v>
      </c>
      <c r="O328" s="53" t="s">
        <v>2055</v>
      </c>
      <c r="P328" s="56" t="s">
        <v>2403</v>
      </c>
      <c r="Q328" s="57">
        <v>25300</v>
      </c>
      <c r="R328" s="58" t="s">
        <v>8</v>
      </c>
      <c r="S328" s="57" t="s">
        <v>8</v>
      </c>
      <c r="T328" s="56" t="s">
        <v>2394</v>
      </c>
    </row>
    <row r="329" spans="1:20">
      <c r="A329" s="55">
        <v>128215264657</v>
      </c>
      <c r="B329" s="53" t="s">
        <v>2386</v>
      </c>
      <c r="C329" s="54">
        <v>45935</v>
      </c>
      <c r="D329" s="55">
        <v>51217932286</v>
      </c>
      <c r="E329" s="55">
        <v>2087599256986</v>
      </c>
      <c r="F329" s="56" t="s">
        <v>2401</v>
      </c>
      <c r="G329" s="56" t="s">
        <v>2388</v>
      </c>
      <c r="H329" s="56" t="s">
        <v>8</v>
      </c>
      <c r="I329" s="55" t="s">
        <v>8</v>
      </c>
      <c r="J329" s="57">
        <v>565.91999999999996</v>
      </c>
      <c r="K329" s="56" t="s">
        <v>2389</v>
      </c>
      <c r="L329" s="56" t="s">
        <v>2402</v>
      </c>
      <c r="M329" s="55" t="s">
        <v>2391</v>
      </c>
      <c r="N329" s="56" t="s">
        <v>2392</v>
      </c>
      <c r="O329" s="53" t="s">
        <v>2055</v>
      </c>
      <c r="P329" s="56" t="s">
        <v>2403</v>
      </c>
      <c r="Q329" s="57">
        <v>14400</v>
      </c>
      <c r="R329" s="58" t="s">
        <v>8</v>
      </c>
      <c r="S329" s="57" t="s">
        <v>8</v>
      </c>
      <c r="T329" s="56" t="s">
        <v>2394</v>
      </c>
    </row>
    <row r="330" spans="1:20">
      <c r="A330" s="55">
        <v>128783583224</v>
      </c>
      <c r="B330" s="53" t="s">
        <v>2386</v>
      </c>
      <c r="C330" s="54">
        <v>45935</v>
      </c>
      <c r="D330" s="55">
        <v>51218040761</v>
      </c>
      <c r="E330" s="55">
        <v>2087600829208</v>
      </c>
      <c r="F330" s="56" t="s">
        <v>2387</v>
      </c>
      <c r="G330" s="56" t="s">
        <v>2388</v>
      </c>
      <c r="H330" s="56" t="s">
        <v>8</v>
      </c>
      <c r="I330" s="55" t="s">
        <v>8</v>
      </c>
      <c r="J330" s="57">
        <v>169.75</v>
      </c>
      <c r="K330" s="56" t="s">
        <v>2389</v>
      </c>
      <c r="L330" s="56" t="s">
        <v>2390</v>
      </c>
      <c r="M330" s="55" t="s">
        <v>2391</v>
      </c>
      <c r="N330" s="56" t="s">
        <v>2392</v>
      </c>
      <c r="O330" s="53" t="s">
        <v>8</v>
      </c>
      <c r="P330" s="56" t="s">
        <v>2445</v>
      </c>
      <c r="Q330" s="57">
        <v>17500</v>
      </c>
      <c r="R330" s="58" t="s">
        <v>8</v>
      </c>
      <c r="S330" s="57" t="s">
        <v>8</v>
      </c>
      <c r="T330" s="56" t="s">
        <v>2394</v>
      </c>
    </row>
    <row r="331" spans="1:20">
      <c r="A331" s="55">
        <v>128216639471</v>
      </c>
      <c r="B331" s="53" t="s">
        <v>2386</v>
      </c>
      <c r="C331" s="54">
        <v>45935</v>
      </c>
      <c r="D331" s="55">
        <v>51218542713</v>
      </c>
      <c r="E331" s="55">
        <v>2087608195310</v>
      </c>
      <c r="F331" s="56" t="s">
        <v>2411</v>
      </c>
      <c r="G331" s="56" t="s">
        <v>2388</v>
      </c>
      <c r="H331" s="56" t="s">
        <v>8</v>
      </c>
      <c r="I331" s="55" t="s">
        <v>8</v>
      </c>
      <c r="J331" s="57">
        <v>300.7</v>
      </c>
      <c r="K331" s="56" t="s">
        <v>2389</v>
      </c>
      <c r="L331" s="56" t="s">
        <v>2390</v>
      </c>
      <c r="M331" s="55" t="s">
        <v>2391</v>
      </c>
      <c r="N331" s="56" t="s">
        <v>2392</v>
      </c>
      <c r="O331" s="53" t="s">
        <v>8</v>
      </c>
      <c r="P331" s="56" t="s">
        <v>2412</v>
      </c>
      <c r="Q331" s="57">
        <v>31000</v>
      </c>
      <c r="R331" s="58" t="s">
        <v>8</v>
      </c>
      <c r="S331" s="57" t="s">
        <v>8</v>
      </c>
      <c r="T331" s="56" t="s">
        <v>8</v>
      </c>
    </row>
    <row r="332" spans="1:20">
      <c r="A332" s="55">
        <v>128785272946</v>
      </c>
      <c r="B332" s="53" t="s">
        <v>2386</v>
      </c>
      <c r="C332" s="54">
        <v>45935</v>
      </c>
      <c r="D332" s="55">
        <v>51218777162</v>
      </c>
      <c r="E332" s="55">
        <v>2087611201686</v>
      </c>
      <c r="F332" s="56" t="s">
        <v>2411</v>
      </c>
      <c r="G332" s="56" t="s">
        <v>2388</v>
      </c>
      <c r="H332" s="56" t="s">
        <v>8</v>
      </c>
      <c r="I332" s="55" t="s">
        <v>8</v>
      </c>
      <c r="J332" s="57">
        <v>420.98</v>
      </c>
      <c r="K332" s="56" t="s">
        <v>2389</v>
      </c>
      <c r="L332" s="56" t="s">
        <v>2390</v>
      </c>
      <c r="M332" s="55" t="s">
        <v>2391</v>
      </c>
      <c r="N332" s="56" t="s">
        <v>2392</v>
      </c>
      <c r="O332" s="53" t="s">
        <v>8</v>
      </c>
      <c r="P332" s="56" t="s">
        <v>2412</v>
      </c>
      <c r="Q332" s="57">
        <v>43400</v>
      </c>
      <c r="R332" s="58" t="s">
        <v>8</v>
      </c>
      <c r="S332" s="57" t="s">
        <v>8</v>
      </c>
      <c r="T332" s="56" t="s">
        <v>8</v>
      </c>
    </row>
    <row r="333" spans="1:20">
      <c r="A333" s="55">
        <v>128217976781</v>
      </c>
      <c r="B333" s="53" t="s">
        <v>2386</v>
      </c>
      <c r="C333" s="54">
        <v>45935</v>
      </c>
      <c r="D333" s="55">
        <v>51219103176</v>
      </c>
      <c r="E333" s="55">
        <v>2087552792531</v>
      </c>
      <c r="F333" s="56" t="s">
        <v>2401</v>
      </c>
      <c r="G333" s="56" t="s">
        <v>2388</v>
      </c>
      <c r="H333" s="56" t="s">
        <v>8</v>
      </c>
      <c r="I333" s="55" t="s">
        <v>8</v>
      </c>
      <c r="J333" s="57">
        <v>628.79999999999995</v>
      </c>
      <c r="K333" s="56" t="s">
        <v>2389</v>
      </c>
      <c r="L333" s="56" t="s">
        <v>2402</v>
      </c>
      <c r="M333" s="55" t="s">
        <v>2391</v>
      </c>
      <c r="N333" s="56" t="s">
        <v>2392</v>
      </c>
      <c r="O333" s="53" t="s">
        <v>2055</v>
      </c>
      <c r="P333" s="56" t="s">
        <v>2403</v>
      </c>
      <c r="Q333" s="57">
        <v>16000</v>
      </c>
      <c r="R333" s="58" t="s">
        <v>8</v>
      </c>
      <c r="S333" s="57" t="s">
        <v>8</v>
      </c>
      <c r="T333" s="56" t="s">
        <v>2394</v>
      </c>
    </row>
    <row r="334" spans="1:20">
      <c r="A334" s="55">
        <v>128218880657</v>
      </c>
      <c r="B334" s="53" t="s">
        <v>2386</v>
      </c>
      <c r="C334" s="54">
        <v>45935</v>
      </c>
      <c r="D334" s="55">
        <v>51219525341</v>
      </c>
      <c r="E334" s="55">
        <v>2087558520435</v>
      </c>
      <c r="F334" s="56" t="s">
        <v>2411</v>
      </c>
      <c r="G334" s="56" t="s">
        <v>2388</v>
      </c>
      <c r="H334" s="56" t="s">
        <v>8</v>
      </c>
      <c r="I334" s="55" t="s">
        <v>8</v>
      </c>
      <c r="J334" s="57">
        <v>292.94</v>
      </c>
      <c r="K334" s="56" t="s">
        <v>2389</v>
      </c>
      <c r="L334" s="56" t="s">
        <v>2390</v>
      </c>
      <c r="M334" s="55" t="s">
        <v>2391</v>
      </c>
      <c r="N334" s="56" t="s">
        <v>2392</v>
      </c>
      <c r="O334" s="53" t="s">
        <v>8</v>
      </c>
      <c r="P334" s="56" t="s">
        <v>2412</v>
      </c>
      <c r="Q334" s="57">
        <v>30200</v>
      </c>
      <c r="R334" s="58" t="s">
        <v>8</v>
      </c>
      <c r="S334" s="57" t="s">
        <v>8</v>
      </c>
      <c r="T334" s="56" t="s">
        <v>8</v>
      </c>
    </row>
    <row r="335" spans="1:20">
      <c r="A335" s="55">
        <v>128220831145</v>
      </c>
      <c r="B335" s="53" t="s">
        <v>2386</v>
      </c>
      <c r="C335" s="54">
        <v>45936</v>
      </c>
      <c r="D335" s="55">
        <v>51220412816</v>
      </c>
      <c r="E335" s="55">
        <v>2087571725763</v>
      </c>
      <c r="F335" s="56" t="s">
        <v>2387</v>
      </c>
      <c r="G335" s="56" t="s">
        <v>2388</v>
      </c>
      <c r="H335" s="56" t="s">
        <v>8</v>
      </c>
      <c r="I335" s="55" t="s">
        <v>8</v>
      </c>
      <c r="J335" s="57">
        <v>130.4</v>
      </c>
      <c r="K335" s="56" t="s">
        <v>2389</v>
      </c>
      <c r="L335" s="56" t="s">
        <v>2390</v>
      </c>
      <c r="M335" s="55" t="s">
        <v>2391</v>
      </c>
      <c r="N335" s="56" t="s">
        <v>2392</v>
      </c>
      <c r="O335" s="53" t="s">
        <v>8</v>
      </c>
      <c r="P335" s="56" t="s">
        <v>2446</v>
      </c>
      <c r="Q335" s="57">
        <v>8000</v>
      </c>
      <c r="R335" s="58" t="s">
        <v>8</v>
      </c>
      <c r="S335" s="57" t="s">
        <v>8</v>
      </c>
      <c r="T335" s="56" t="s">
        <v>2394</v>
      </c>
    </row>
    <row r="336" spans="1:20">
      <c r="A336" s="55">
        <v>128221923389</v>
      </c>
      <c r="B336" s="53" t="s">
        <v>2386</v>
      </c>
      <c r="C336" s="54">
        <v>45936</v>
      </c>
      <c r="D336" s="55">
        <v>51221122545</v>
      </c>
      <c r="E336" s="55">
        <v>2087643695514</v>
      </c>
      <c r="F336" s="56" t="s">
        <v>2411</v>
      </c>
      <c r="G336" s="56" t="s">
        <v>2388</v>
      </c>
      <c r="H336" s="56" t="s">
        <v>8</v>
      </c>
      <c r="I336" s="55" t="s">
        <v>8</v>
      </c>
      <c r="J336" s="57">
        <v>489.85</v>
      </c>
      <c r="K336" s="56" t="s">
        <v>2389</v>
      </c>
      <c r="L336" s="56" t="s">
        <v>2390</v>
      </c>
      <c r="M336" s="55" t="s">
        <v>2391</v>
      </c>
      <c r="N336" s="56" t="s">
        <v>2392</v>
      </c>
      <c r="O336" s="53" t="s">
        <v>8</v>
      </c>
      <c r="P336" s="56" t="s">
        <v>2412</v>
      </c>
      <c r="Q336" s="57">
        <v>50500</v>
      </c>
      <c r="R336" s="58" t="s">
        <v>8</v>
      </c>
      <c r="S336" s="57" t="s">
        <v>8</v>
      </c>
      <c r="T336" s="56" t="s">
        <v>8</v>
      </c>
    </row>
    <row r="337" spans="1:20">
      <c r="A337" s="55">
        <v>128222367735</v>
      </c>
      <c r="B337" s="53" t="s">
        <v>2386</v>
      </c>
      <c r="C337" s="54">
        <v>45936</v>
      </c>
      <c r="D337" s="55">
        <v>51221495021</v>
      </c>
      <c r="E337" s="55">
        <v>2087584965175</v>
      </c>
      <c r="F337" s="56" t="s">
        <v>2401</v>
      </c>
      <c r="G337" s="56" t="s">
        <v>2388</v>
      </c>
      <c r="H337" s="56" t="s">
        <v>8</v>
      </c>
      <c r="I337" s="55" t="s">
        <v>8</v>
      </c>
      <c r="J337" s="57">
        <v>669.68</v>
      </c>
      <c r="K337" s="56" t="s">
        <v>2389</v>
      </c>
      <c r="L337" s="56" t="s">
        <v>2402</v>
      </c>
      <c r="M337" s="55" t="s">
        <v>2391</v>
      </c>
      <c r="N337" s="56" t="s">
        <v>2392</v>
      </c>
      <c r="O337" s="53" t="s">
        <v>2055</v>
      </c>
      <c r="P337" s="56" t="s">
        <v>2403</v>
      </c>
      <c r="Q337" s="57">
        <v>8800</v>
      </c>
      <c r="R337" s="58" t="s">
        <v>8</v>
      </c>
      <c r="S337" s="57" t="s">
        <v>8</v>
      </c>
      <c r="T337" s="56" t="s">
        <v>2394</v>
      </c>
    </row>
    <row r="338" spans="1:20">
      <c r="A338" s="55">
        <v>129181979010</v>
      </c>
      <c r="B338" s="53" t="s">
        <v>2386</v>
      </c>
      <c r="C338" s="54">
        <v>45938</v>
      </c>
      <c r="D338" s="55">
        <v>51369437480</v>
      </c>
      <c r="E338" s="55">
        <v>2090307772284</v>
      </c>
      <c r="F338" s="56" t="s">
        <v>2401</v>
      </c>
      <c r="G338" s="56" t="s">
        <v>2388</v>
      </c>
      <c r="H338" s="56" t="s">
        <v>8</v>
      </c>
      <c r="I338" s="55" t="s">
        <v>8</v>
      </c>
      <c r="J338" s="57">
        <v>188.64</v>
      </c>
      <c r="K338" s="56" t="s">
        <v>2389</v>
      </c>
      <c r="L338" s="56" t="s">
        <v>2402</v>
      </c>
      <c r="M338" s="55" t="s">
        <v>2391</v>
      </c>
      <c r="N338" s="56" t="s">
        <v>2392</v>
      </c>
      <c r="O338" s="53" t="s">
        <v>2055</v>
      </c>
      <c r="P338" s="56" t="s">
        <v>2403</v>
      </c>
      <c r="Q338" s="57">
        <v>4800</v>
      </c>
      <c r="R338" s="58" t="s">
        <v>8</v>
      </c>
      <c r="S338" s="57" t="s">
        <v>8</v>
      </c>
      <c r="T338" s="56" t="s">
        <v>2394</v>
      </c>
    </row>
    <row r="339" spans="1:20">
      <c r="A339" s="55">
        <v>129185058794</v>
      </c>
      <c r="B339" s="53" t="s">
        <v>2386</v>
      </c>
      <c r="C339" s="54">
        <v>45938</v>
      </c>
      <c r="D339" s="55">
        <v>51370555954</v>
      </c>
      <c r="E339" s="55">
        <v>2090260736599</v>
      </c>
      <c r="F339" s="56" t="s">
        <v>2387</v>
      </c>
      <c r="G339" s="56" t="s">
        <v>2388</v>
      </c>
      <c r="H339" s="56" t="s">
        <v>8</v>
      </c>
      <c r="I339" s="55" t="s">
        <v>8</v>
      </c>
      <c r="J339" s="57">
        <v>1050.18</v>
      </c>
      <c r="K339" s="56" t="s">
        <v>2389</v>
      </c>
      <c r="L339" s="56" t="s">
        <v>2390</v>
      </c>
      <c r="M339" s="55" t="s">
        <v>2391</v>
      </c>
      <c r="N339" s="56" t="s">
        <v>2392</v>
      </c>
      <c r="O339" s="53" t="s">
        <v>8</v>
      </c>
      <c r="P339" s="56" t="s">
        <v>2447</v>
      </c>
      <c r="Q339" s="57">
        <v>13800</v>
      </c>
      <c r="R339" s="58" t="s">
        <v>8</v>
      </c>
      <c r="S339" s="57" t="s">
        <v>8</v>
      </c>
      <c r="T339" s="56" t="s">
        <v>2394</v>
      </c>
    </row>
    <row r="340" spans="1:20">
      <c r="A340" s="55">
        <v>129187574742</v>
      </c>
      <c r="B340" s="53" t="s">
        <v>2386</v>
      </c>
      <c r="C340" s="54">
        <v>45938</v>
      </c>
      <c r="D340" s="55">
        <v>51371402293</v>
      </c>
      <c r="E340" s="55">
        <v>2090276401849</v>
      </c>
      <c r="F340" s="56" t="s">
        <v>2401</v>
      </c>
      <c r="G340" s="56" t="s">
        <v>2388</v>
      </c>
      <c r="H340" s="56" t="s">
        <v>8</v>
      </c>
      <c r="I340" s="55" t="s">
        <v>8</v>
      </c>
      <c r="J340" s="57">
        <v>660.24</v>
      </c>
      <c r="K340" s="56" t="s">
        <v>2389</v>
      </c>
      <c r="L340" s="56" t="s">
        <v>2402</v>
      </c>
      <c r="M340" s="55" t="s">
        <v>2391</v>
      </c>
      <c r="N340" s="56" t="s">
        <v>2392</v>
      </c>
      <c r="O340" s="53" t="s">
        <v>2055</v>
      </c>
      <c r="P340" s="56" t="s">
        <v>2403</v>
      </c>
      <c r="Q340" s="57">
        <v>16800</v>
      </c>
      <c r="R340" s="58" t="s">
        <v>8</v>
      </c>
      <c r="S340" s="57" t="s">
        <v>8</v>
      </c>
      <c r="T340" s="56" t="s">
        <v>2394</v>
      </c>
    </row>
    <row r="341" spans="1:20">
      <c r="A341" s="55">
        <v>128623220757</v>
      </c>
      <c r="B341" s="53" t="s">
        <v>2386</v>
      </c>
      <c r="C341" s="54">
        <v>45938</v>
      </c>
      <c r="D341" s="55">
        <v>51373749024</v>
      </c>
      <c r="E341" s="55">
        <v>2090382709818</v>
      </c>
      <c r="F341" s="56" t="s">
        <v>2401</v>
      </c>
      <c r="G341" s="56" t="s">
        <v>2388</v>
      </c>
      <c r="H341" s="56" t="s">
        <v>8</v>
      </c>
      <c r="I341" s="55" t="s">
        <v>8</v>
      </c>
      <c r="J341" s="57">
        <v>235.8</v>
      </c>
      <c r="K341" s="56" t="s">
        <v>2389</v>
      </c>
      <c r="L341" s="56" t="s">
        <v>2402</v>
      </c>
      <c r="M341" s="55" t="s">
        <v>2391</v>
      </c>
      <c r="N341" s="56" t="s">
        <v>2392</v>
      </c>
      <c r="O341" s="53" t="s">
        <v>2055</v>
      </c>
      <c r="P341" s="56" t="s">
        <v>2403</v>
      </c>
      <c r="Q341" s="57">
        <v>6000</v>
      </c>
      <c r="R341" s="58" t="s">
        <v>8</v>
      </c>
      <c r="S341" s="57" t="s">
        <v>8</v>
      </c>
      <c r="T341" s="56" t="s">
        <v>2394</v>
      </c>
    </row>
    <row r="342" spans="1:20">
      <c r="A342" s="55">
        <v>129194128550</v>
      </c>
      <c r="B342" s="53" t="s">
        <v>2386</v>
      </c>
      <c r="C342" s="54">
        <v>45938</v>
      </c>
      <c r="D342" s="55">
        <v>51373812294</v>
      </c>
      <c r="E342" s="55">
        <v>2090383973422</v>
      </c>
      <c r="F342" s="56" t="s">
        <v>2411</v>
      </c>
      <c r="G342" s="56" t="s">
        <v>2388</v>
      </c>
      <c r="H342" s="56" t="s">
        <v>8</v>
      </c>
      <c r="I342" s="55" t="s">
        <v>8</v>
      </c>
      <c r="J342" s="57">
        <v>29.1</v>
      </c>
      <c r="K342" s="56" t="s">
        <v>2389</v>
      </c>
      <c r="L342" s="56" t="s">
        <v>2390</v>
      </c>
      <c r="M342" s="55" t="s">
        <v>2391</v>
      </c>
      <c r="N342" s="56" t="s">
        <v>2392</v>
      </c>
      <c r="O342" s="53" t="s">
        <v>8</v>
      </c>
      <c r="P342" s="56" t="s">
        <v>2412</v>
      </c>
      <c r="Q342" s="57">
        <v>3000</v>
      </c>
      <c r="R342" s="58" t="s">
        <v>8</v>
      </c>
      <c r="S342" s="57" t="s">
        <v>8</v>
      </c>
      <c r="T342" s="56" t="s">
        <v>8</v>
      </c>
    </row>
    <row r="343" spans="1:20">
      <c r="A343" s="55">
        <v>129195133392</v>
      </c>
      <c r="B343" s="53" t="s">
        <v>2386</v>
      </c>
      <c r="C343" s="54">
        <v>45938</v>
      </c>
      <c r="D343" s="55">
        <v>51374191933</v>
      </c>
      <c r="E343" s="55">
        <v>2090325675241</v>
      </c>
      <c r="F343" s="56" t="s">
        <v>2411</v>
      </c>
      <c r="G343" s="56" t="s">
        <v>2388</v>
      </c>
      <c r="H343" s="56" t="s">
        <v>8</v>
      </c>
      <c r="I343" s="55" t="s">
        <v>8</v>
      </c>
      <c r="J343" s="57">
        <v>58.2</v>
      </c>
      <c r="K343" s="56" t="s">
        <v>2389</v>
      </c>
      <c r="L343" s="56" t="s">
        <v>2390</v>
      </c>
      <c r="M343" s="55" t="s">
        <v>2391</v>
      </c>
      <c r="N343" s="56" t="s">
        <v>2392</v>
      </c>
      <c r="O343" s="53" t="s">
        <v>8</v>
      </c>
      <c r="P343" s="56" t="s">
        <v>2412</v>
      </c>
      <c r="Q343" s="57">
        <v>6000</v>
      </c>
      <c r="R343" s="58" t="s">
        <v>8</v>
      </c>
      <c r="S343" s="57" t="s">
        <v>8</v>
      </c>
      <c r="T343" s="56" t="s">
        <v>8</v>
      </c>
    </row>
    <row r="344" spans="1:20">
      <c r="A344" s="55">
        <v>128624814139</v>
      </c>
      <c r="B344" s="53" t="s">
        <v>2386</v>
      </c>
      <c r="C344" s="54">
        <v>45938</v>
      </c>
      <c r="D344" s="55">
        <v>51374283105</v>
      </c>
      <c r="E344" s="55">
        <v>2090327207403</v>
      </c>
      <c r="F344" s="56" t="s">
        <v>2387</v>
      </c>
      <c r="G344" s="56" t="s">
        <v>2388</v>
      </c>
      <c r="H344" s="56" t="s">
        <v>8</v>
      </c>
      <c r="I344" s="55" t="s">
        <v>8</v>
      </c>
      <c r="J344" s="57">
        <v>29.1</v>
      </c>
      <c r="K344" s="56" t="s">
        <v>2389</v>
      </c>
      <c r="L344" s="56" t="s">
        <v>2390</v>
      </c>
      <c r="M344" s="55" t="s">
        <v>2391</v>
      </c>
      <c r="N344" s="56" t="s">
        <v>2392</v>
      </c>
      <c r="O344" s="53" t="s">
        <v>8</v>
      </c>
      <c r="P344" s="56" t="s">
        <v>2448</v>
      </c>
      <c r="Q344" s="57">
        <v>3000</v>
      </c>
      <c r="R344" s="58" t="s">
        <v>8</v>
      </c>
      <c r="S344" s="57" t="s">
        <v>8</v>
      </c>
      <c r="T344" s="56" t="s">
        <v>2394</v>
      </c>
    </row>
    <row r="345" spans="1:20">
      <c r="A345" s="55">
        <v>129197916964</v>
      </c>
      <c r="B345" s="53" t="s">
        <v>2386</v>
      </c>
      <c r="C345" s="54">
        <v>45938</v>
      </c>
      <c r="D345" s="55">
        <v>51375160594</v>
      </c>
      <c r="E345" s="55">
        <v>2090409338506</v>
      </c>
      <c r="F345" s="56" t="s">
        <v>2401</v>
      </c>
      <c r="G345" s="56" t="s">
        <v>2388</v>
      </c>
      <c r="H345" s="56" t="s">
        <v>8</v>
      </c>
      <c r="I345" s="55" t="s">
        <v>8</v>
      </c>
      <c r="J345" s="57">
        <v>235.8</v>
      </c>
      <c r="K345" s="56" t="s">
        <v>2389</v>
      </c>
      <c r="L345" s="56" t="s">
        <v>2402</v>
      </c>
      <c r="M345" s="55" t="s">
        <v>2391</v>
      </c>
      <c r="N345" s="56" t="s">
        <v>2392</v>
      </c>
      <c r="O345" s="53" t="s">
        <v>2055</v>
      </c>
      <c r="P345" s="56" t="s">
        <v>2403</v>
      </c>
      <c r="Q345" s="57">
        <v>6000</v>
      </c>
      <c r="R345" s="58" t="s">
        <v>8</v>
      </c>
      <c r="S345" s="57" t="s">
        <v>8</v>
      </c>
      <c r="T345" s="56" t="s">
        <v>2394</v>
      </c>
    </row>
    <row r="346" spans="1:20">
      <c r="A346" s="55">
        <v>128628824137</v>
      </c>
      <c r="B346" s="53" t="s">
        <v>2386</v>
      </c>
      <c r="C346" s="54">
        <v>45938</v>
      </c>
      <c r="D346" s="55">
        <v>51375726681</v>
      </c>
      <c r="E346" s="55">
        <v>2090354463427</v>
      </c>
      <c r="F346" s="56" t="s">
        <v>2387</v>
      </c>
      <c r="G346" s="56" t="s">
        <v>2388</v>
      </c>
      <c r="H346" s="56" t="s">
        <v>8</v>
      </c>
      <c r="I346" s="55" t="s">
        <v>8</v>
      </c>
      <c r="J346" s="57">
        <v>46.56</v>
      </c>
      <c r="K346" s="56" t="s">
        <v>2389</v>
      </c>
      <c r="L346" s="56" t="s">
        <v>2390</v>
      </c>
      <c r="M346" s="55" t="s">
        <v>2391</v>
      </c>
      <c r="N346" s="56" t="s">
        <v>2392</v>
      </c>
      <c r="O346" s="53" t="s">
        <v>8</v>
      </c>
      <c r="P346" s="56" t="s">
        <v>2449</v>
      </c>
      <c r="Q346" s="57">
        <v>4800</v>
      </c>
      <c r="R346" s="58" t="s">
        <v>8</v>
      </c>
      <c r="S346" s="57" t="s">
        <v>8</v>
      </c>
      <c r="T346" s="56" t="s">
        <v>2394</v>
      </c>
    </row>
    <row r="347" spans="1:20">
      <c r="A347" s="55">
        <v>128628953665</v>
      </c>
      <c r="B347" s="53" t="s">
        <v>2386</v>
      </c>
      <c r="C347" s="54">
        <v>45938</v>
      </c>
      <c r="D347" s="55">
        <v>51375811138</v>
      </c>
      <c r="E347" s="55">
        <v>2090421659566</v>
      </c>
      <c r="F347" s="56" t="s">
        <v>2411</v>
      </c>
      <c r="G347" s="56" t="s">
        <v>2388</v>
      </c>
      <c r="H347" s="56" t="s">
        <v>8</v>
      </c>
      <c r="I347" s="55" t="s">
        <v>8</v>
      </c>
      <c r="J347" s="57">
        <v>29.1</v>
      </c>
      <c r="K347" s="56" t="s">
        <v>2389</v>
      </c>
      <c r="L347" s="56" t="s">
        <v>2390</v>
      </c>
      <c r="M347" s="55" t="s">
        <v>2391</v>
      </c>
      <c r="N347" s="56" t="s">
        <v>2392</v>
      </c>
      <c r="O347" s="53" t="s">
        <v>8</v>
      </c>
      <c r="P347" s="56" t="s">
        <v>2412</v>
      </c>
      <c r="Q347" s="57">
        <v>3000</v>
      </c>
      <c r="R347" s="58" t="s">
        <v>8</v>
      </c>
      <c r="S347" s="57" t="s">
        <v>8</v>
      </c>
      <c r="T347" s="56" t="s">
        <v>8</v>
      </c>
    </row>
    <row r="348" spans="1:20">
      <c r="A348" s="55">
        <v>129201065142</v>
      </c>
      <c r="B348" s="53" t="s">
        <v>2386</v>
      </c>
      <c r="C348" s="54">
        <v>45938</v>
      </c>
      <c r="D348" s="55">
        <v>51376298406</v>
      </c>
      <c r="E348" s="55">
        <v>2090431670550</v>
      </c>
      <c r="F348" s="56" t="s">
        <v>2401</v>
      </c>
      <c r="G348" s="56" t="s">
        <v>2388</v>
      </c>
      <c r="H348" s="56" t="s">
        <v>8</v>
      </c>
      <c r="I348" s="55" t="s">
        <v>8</v>
      </c>
      <c r="J348" s="57">
        <v>1159.3499999999999</v>
      </c>
      <c r="K348" s="56" t="s">
        <v>2389</v>
      </c>
      <c r="L348" s="56" t="s">
        <v>2402</v>
      </c>
      <c r="M348" s="55" t="s">
        <v>2391</v>
      </c>
      <c r="N348" s="56" t="s">
        <v>2392</v>
      </c>
      <c r="O348" s="53" t="s">
        <v>2055</v>
      </c>
      <c r="P348" s="56" t="s">
        <v>2403</v>
      </c>
      <c r="Q348" s="57">
        <v>29500</v>
      </c>
      <c r="R348" s="58" t="s">
        <v>8</v>
      </c>
      <c r="S348" s="57" t="s">
        <v>8</v>
      </c>
      <c r="T348" s="56" t="s">
        <v>2394</v>
      </c>
    </row>
    <row r="349" spans="1:20">
      <c r="A349" s="55">
        <v>129201225626</v>
      </c>
      <c r="B349" s="53" t="s">
        <v>2386</v>
      </c>
      <c r="C349" s="54">
        <v>45938</v>
      </c>
      <c r="D349" s="55">
        <v>51376362237</v>
      </c>
      <c r="E349" s="55">
        <v>2090367641085</v>
      </c>
      <c r="F349" s="56" t="s">
        <v>2387</v>
      </c>
      <c r="G349" s="56" t="s">
        <v>2388</v>
      </c>
      <c r="H349" s="56" t="s">
        <v>8</v>
      </c>
      <c r="I349" s="55" t="s">
        <v>8</v>
      </c>
      <c r="J349" s="57">
        <v>97</v>
      </c>
      <c r="K349" s="56" t="s">
        <v>2389</v>
      </c>
      <c r="L349" s="56" t="s">
        <v>2390</v>
      </c>
      <c r="M349" s="55" t="s">
        <v>2391</v>
      </c>
      <c r="N349" s="56" t="s">
        <v>2392</v>
      </c>
      <c r="O349" s="53" t="s">
        <v>8</v>
      </c>
      <c r="P349" s="56" t="s">
        <v>2450</v>
      </c>
      <c r="Q349" s="57">
        <v>10000</v>
      </c>
      <c r="R349" s="58" t="s">
        <v>8</v>
      </c>
      <c r="S349" s="57" t="s">
        <v>8</v>
      </c>
      <c r="T349" s="56" t="s">
        <v>2394</v>
      </c>
    </row>
    <row r="350" spans="1:20">
      <c r="A350" s="55">
        <v>128630753069</v>
      </c>
      <c r="B350" s="53" t="s">
        <v>2386</v>
      </c>
      <c r="C350" s="54">
        <v>45938</v>
      </c>
      <c r="D350" s="55">
        <v>51376394129</v>
      </c>
      <c r="E350" s="55">
        <v>2090434376600</v>
      </c>
      <c r="F350" s="56" t="s">
        <v>2387</v>
      </c>
      <c r="G350" s="56" t="s">
        <v>2388</v>
      </c>
      <c r="H350" s="56" t="s">
        <v>8</v>
      </c>
      <c r="I350" s="55" t="s">
        <v>8</v>
      </c>
      <c r="J350" s="57">
        <v>382.18</v>
      </c>
      <c r="K350" s="56" t="s">
        <v>2389</v>
      </c>
      <c r="L350" s="56" t="s">
        <v>2390</v>
      </c>
      <c r="M350" s="55" t="s">
        <v>2391</v>
      </c>
      <c r="N350" s="56" t="s">
        <v>2392</v>
      </c>
      <c r="O350" s="53" t="s">
        <v>8</v>
      </c>
      <c r="P350" s="56" t="s">
        <v>2451</v>
      </c>
      <c r="Q350" s="57">
        <v>39400</v>
      </c>
      <c r="R350" s="58" t="s">
        <v>8</v>
      </c>
      <c r="S350" s="57" t="s">
        <v>8</v>
      </c>
      <c r="T350" s="56" t="s">
        <v>2394</v>
      </c>
    </row>
    <row r="351" spans="1:20">
      <c r="A351" s="55">
        <v>128631028957</v>
      </c>
      <c r="B351" s="53" t="s">
        <v>2386</v>
      </c>
      <c r="C351" s="54">
        <v>45938</v>
      </c>
      <c r="D351" s="55">
        <v>51376533057</v>
      </c>
      <c r="E351" s="55">
        <v>2090436267480</v>
      </c>
      <c r="F351" s="56" t="s">
        <v>2401</v>
      </c>
      <c r="G351" s="56" t="s">
        <v>2388</v>
      </c>
      <c r="H351" s="56" t="s">
        <v>8</v>
      </c>
      <c r="I351" s="55" t="s">
        <v>8</v>
      </c>
      <c r="J351" s="57">
        <v>1017.87</v>
      </c>
      <c r="K351" s="56" t="s">
        <v>2389</v>
      </c>
      <c r="L351" s="56" t="s">
        <v>2402</v>
      </c>
      <c r="M351" s="55" t="s">
        <v>2391</v>
      </c>
      <c r="N351" s="56" t="s">
        <v>2392</v>
      </c>
      <c r="O351" s="53" t="s">
        <v>2055</v>
      </c>
      <c r="P351" s="56" t="s">
        <v>2403</v>
      </c>
      <c r="Q351" s="57">
        <v>25900</v>
      </c>
      <c r="R351" s="58" t="s">
        <v>8</v>
      </c>
      <c r="S351" s="57" t="s">
        <v>8</v>
      </c>
      <c r="T351" s="56" t="s">
        <v>2394</v>
      </c>
    </row>
    <row r="352" spans="1:20">
      <c r="A352" s="55">
        <v>129201952360</v>
      </c>
      <c r="B352" s="53" t="s">
        <v>2386</v>
      </c>
      <c r="C352" s="54">
        <v>45938</v>
      </c>
      <c r="D352" s="55">
        <v>51376587950</v>
      </c>
      <c r="E352" s="55">
        <v>2090437157668</v>
      </c>
      <c r="F352" s="56" t="s">
        <v>2387</v>
      </c>
      <c r="G352" s="56" t="s">
        <v>2388</v>
      </c>
      <c r="H352" s="56" t="s">
        <v>8</v>
      </c>
      <c r="I352" s="55" t="s">
        <v>8</v>
      </c>
      <c r="J352" s="57">
        <v>36.86</v>
      </c>
      <c r="K352" s="56" t="s">
        <v>2389</v>
      </c>
      <c r="L352" s="56" t="s">
        <v>2390</v>
      </c>
      <c r="M352" s="55" t="s">
        <v>2391</v>
      </c>
      <c r="N352" s="56" t="s">
        <v>2392</v>
      </c>
      <c r="O352" s="53" t="s">
        <v>8</v>
      </c>
      <c r="P352" s="56" t="s">
        <v>2452</v>
      </c>
      <c r="Q352" s="57">
        <v>3800</v>
      </c>
      <c r="R352" s="58" t="s">
        <v>8</v>
      </c>
      <c r="S352" s="57" t="s">
        <v>8</v>
      </c>
      <c r="T352" s="56" t="s">
        <v>2394</v>
      </c>
    </row>
    <row r="353" spans="1:20">
      <c r="A353" s="55">
        <v>128631398585</v>
      </c>
      <c r="B353" s="53" t="s">
        <v>2386</v>
      </c>
      <c r="C353" s="54">
        <v>45938</v>
      </c>
      <c r="D353" s="55">
        <v>51376651437</v>
      </c>
      <c r="E353" s="55">
        <v>2090438704768</v>
      </c>
      <c r="F353" s="56" t="s">
        <v>2387</v>
      </c>
      <c r="G353" s="56" t="s">
        <v>2388</v>
      </c>
      <c r="H353" s="56" t="s">
        <v>8</v>
      </c>
      <c r="I353" s="55" t="s">
        <v>8</v>
      </c>
      <c r="J353" s="57">
        <v>93.12</v>
      </c>
      <c r="K353" s="56" t="s">
        <v>2389</v>
      </c>
      <c r="L353" s="56" t="s">
        <v>2390</v>
      </c>
      <c r="M353" s="55" t="s">
        <v>2391</v>
      </c>
      <c r="N353" s="56" t="s">
        <v>2392</v>
      </c>
      <c r="O353" s="53" t="s">
        <v>8</v>
      </c>
      <c r="P353" s="56" t="s">
        <v>2453</v>
      </c>
      <c r="Q353" s="57">
        <v>9600</v>
      </c>
      <c r="R353" s="58" t="s">
        <v>8</v>
      </c>
      <c r="S353" s="57" t="s">
        <v>8</v>
      </c>
      <c r="T353" s="56" t="s">
        <v>2394</v>
      </c>
    </row>
    <row r="354" spans="1:20">
      <c r="A354" s="55">
        <v>128632421311</v>
      </c>
      <c r="B354" s="53" t="s">
        <v>2386</v>
      </c>
      <c r="C354" s="54">
        <v>45938</v>
      </c>
      <c r="D354" s="55">
        <v>51377018929</v>
      </c>
      <c r="E354" s="55">
        <v>2090445861860</v>
      </c>
      <c r="F354" s="56" t="s">
        <v>2401</v>
      </c>
      <c r="G354" s="56" t="s">
        <v>2388</v>
      </c>
      <c r="H354" s="56" t="s">
        <v>8</v>
      </c>
      <c r="I354" s="55" t="s">
        <v>8</v>
      </c>
      <c r="J354" s="57">
        <v>149.34</v>
      </c>
      <c r="K354" s="56" t="s">
        <v>2389</v>
      </c>
      <c r="L354" s="56" t="s">
        <v>2402</v>
      </c>
      <c r="M354" s="55" t="s">
        <v>2391</v>
      </c>
      <c r="N354" s="56" t="s">
        <v>2392</v>
      </c>
      <c r="O354" s="53" t="s">
        <v>2055</v>
      </c>
      <c r="P354" s="56" t="s">
        <v>2403</v>
      </c>
      <c r="Q354" s="57">
        <v>3800</v>
      </c>
      <c r="R354" s="58" t="s">
        <v>8</v>
      </c>
      <c r="S354" s="57" t="s">
        <v>8</v>
      </c>
      <c r="T354" s="56" t="s">
        <v>2394</v>
      </c>
    </row>
    <row r="355" spans="1:20">
      <c r="A355" s="55">
        <v>129203149610</v>
      </c>
      <c r="B355" s="53" t="s">
        <v>2386</v>
      </c>
      <c r="C355" s="54">
        <v>45938</v>
      </c>
      <c r="D355" s="55">
        <v>51377076915</v>
      </c>
      <c r="E355" s="55">
        <v>2090381182159</v>
      </c>
      <c r="F355" s="56" t="s">
        <v>2401</v>
      </c>
      <c r="G355" s="56" t="s">
        <v>2388</v>
      </c>
      <c r="H355" s="56" t="s">
        <v>8</v>
      </c>
      <c r="I355" s="55" t="s">
        <v>8</v>
      </c>
      <c r="J355" s="57">
        <v>377.28</v>
      </c>
      <c r="K355" s="56" t="s">
        <v>2389</v>
      </c>
      <c r="L355" s="56" t="s">
        <v>2402</v>
      </c>
      <c r="M355" s="55" t="s">
        <v>2391</v>
      </c>
      <c r="N355" s="56" t="s">
        <v>2392</v>
      </c>
      <c r="O355" s="53" t="s">
        <v>2055</v>
      </c>
      <c r="P355" s="56" t="s">
        <v>2403</v>
      </c>
      <c r="Q355" s="57">
        <v>9600</v>
      </c>
      <c r="R355" s="58" t="s">
        <v>8</v>
      </c>
      <c r="S355" s="57" t="s">
        <v>8</v>
      </c>
      <c r="T355" s="56" t="s">
        <v>2394</v>
      </c>
    </row>
    <row r="356" spans="1:20">
      <c r="A356" s="55">
        <v>129204840076</v>
      </c>
      <c r="B356" s="53" t="s">
        <v>2386</v>
      </c>
      <c r="C356" s="54">
        <v>45938</v>
      </c>
      <c r="D356" s="55">
        <v>51377691151</v>
      </c>
      <c r="E356" s="55">
        <v>2090393775147</v>
      </c>
      <c r="F356" s="56" t="s">
        <v>2401</v>
      </c>
      <c r="G356" s="56" t="s">
        <v>2388</v>
      </c>
      <c r="H356" s="56" t="s">
        <v>8</v>
      </c>
      <c r="I356" s="55" t="s">
        <v>8</v>
      </c>
      <c r="J356" s="57">
        <v>188.64</v>
      </c>
      <c r="K356" s="56" t="s">
        <v>2389</v>
      </c>
      <c r="L356" s="56" t="s">
        <v>2402</v>
      </c>
      <c r="M356" s="55" t="s">
        <v>2391</v>
      </c>
      <c r="N356" s="56" t="s">
        <v>2392</v>
      </c>
      <c r="O356" s="53" t="s">
        <v>2055</v>
      </c>
      <c r="P356" s="56" t="s">
        <v>2403</v>
      </c>
      <c r="Q356" s="57">
        <v>4800</v>
      </c>
      <c r="R356" s="58" t="s">
        <v>8</v>
      </c>
      <c r="S356" s="57" t="s">
        <v>8</v>
      </c>
      <c r="T356" s="56" t="s">
        <v>2394</v>
      </c>
    </row>
    <row r="357" spans="1:20">
      <c r="A357" s="55">
        <v>129205192540</v>
      </c>
      <c r="B357" s="53" t="s">
        <v>2386</v>
      </c>
      <c r="C357" s="54">
        <v>45938</v>
      </c>
      <c r="D357" s="55">
        <v>51377796790</v>
      </c>
      <c r="E357" s="55">
        <v>2090461251916</v>
      </c>
      <c r="F357" s="56" t="s">
        <v>2387</v>
      </c>
      <c r="G357" s="56" t="s">
        <v>2388</v>
      </c>
      <c r="H357" s="56" t="s">
        <v>8</v>
      </c>
      <c r="I357" s="55" t="s">
        <v>8</v>
      </c>
      <c r="J357" s="57">
        <v>271.60000000000002</v>
      </c>
      <c r="K357" s="56" t="s">
        <v>2389</v>
      </c>
      <c r="L357" s="56" t="s">
        <v>2390</v>
      </c>
      <c r="M357" s="55" t="s">
        <v>2391</v>
      </c>
      <c r="N357" s="56" t="s">
        <v>2392</v>
      </c>
      <c r="O357" s="53" t="s">
        <v>8</v>
      </c>
      <c r="P357" s="56" t="s">
        <v>2454</v>
      </c>
      <c r="Q357" s="57">
        <v>28000</v>
      </c>
      <c r="R357" s="58" t="s">
        <v>8</v>
      </c>
      <c r="S357" s="57" t="s">
        <v>8</v>
      </c>
      <c r="T357" s="56" t="s">
        <v>2394</v>
      </c>
    </row>
    <row r="358" spans="1:20">
      <c r="A358" s="55">
        <v>129205482260</v>
      </c>
      <c r="B358" s="53" t="s">
        <v>2386</v>
      </c>
      <c r="C358" s="54">
        <v>45938</v>
      </c>
      <c r="D358" s="55">
        <v>51377905775</v>
      </c>
      <c r="E358" s="55">
        <v>2090397781709</v>
      </c>
      <c r="F358" s="56" t="s">
        <v>2401</v>
      </c>
      <c r="G358" s="56" t="s">
        <v>2388</v>
      </c>
      <c r="H358" s="56" t="s">
        <v>8</v>
      </c>
      <c r="I358" s="55" t="s">
        <v>8</v>
      </c>
      <c r="J358" s="57">
        <v>1284.82</v>
      </c>
      <c r="K358" s="56" t="s">
        <v>2389</v>
      </c>
      <c r="L358" s="56" t="s">
        <v>2402</v>
      </c>
      <c r="M358" s="55" t="s">
        <v>2391</v>
      </c>
      <c r="N358" s="56" t="s">
        <v>2392</v>
      </c>
      <c r="O358" s="53" t="s">
        <v>2055</v>
      </c>
      <c r="P358" s="56" t="s">
        <v>2403</v>
      </c>
      <c r="Q358" s="57">
        <v>28300</v>
      </c>
      <c r="R358" s="58" t="s">
        <v>8</v>
      </c>
      <c r="S358" s="57" t="s">
        <v>8</v>
      </c>
      <c r="T358" s="56" t="s">
        <v>2394</v>
      </c>
    </row>
    <row r="359" spans="1:20">
      <c r="A359" s="55">
        <v>129205653322</v>
      </c>
      <c r="B359" s="53" t="s">
        <v>2386</v>
      </c>
      <c r="C359" s="54">
        <v>45938</v>
      </c>
      <c r="D359" s="55">
        <v>51377988518</v>
      </c>
      <c r="E359" s="55">
        <v>2090465190204</v>
      </c>
      <c r="F359" s="56" t="s">
        <v>2387</v>
      </c>
      <c r="G359" s="56" t="s">
        <v>2388</v>
      </c>
      <c r="H359" s="56" t="s">
        <v>8</v>
      </c>
      <c r="I359" s="55" t="s">
        <v>8</v>
      </c>
      <c r="J359" s="57">
        <v>56.26</v>
      </c>
      <c r="K359" s="56" t="s">
        <v>2389</v>
      </c>
      <c r="L359" s="56" t="s">
        <v>2390</v>
      </c>
      <c r="M359" s="55" t="s">
        <v>2391</v>
      </c>
      <c r="N359" s="56" t="s">
        <v>2392</v>
      </c>
      <c r="O359" s="53" t="s">
        <v>8</v>
      </c>
      <c r="P359" s="56" t="s">
        <v>2455</v>
      </c>
      <c r="Q359" s="57">
        <v>5800</v>
      </c>
      <c r="R359" s="58" t="s">
        <v>8</v>
      </c>
      <c r="S359" s="57" t="s">
        <v>8</v>
      </c>
      <c r="T359" s="56" t="s">
        <v>2394</v>
      </c>
    </row>
    <row r="360" spans="1:20">
      <c r="A360" s="55">
        <v>128636419289</v>
      </c>
      <c r="B360" s="53" t="s">
        <v>2386</v>
      </c>
      <c r="C360" s="54">
        <v>45938</v>
      </c>
      <c r="D360" s="55">
        <v>51378553024</v>
      </c>
      <c r="E360" s="55">
        <v>2090410639691</v>
      </c>
      <c r="F360" s="56" t="s">
        <v>2387</v>
      </c>
      <c r="G360" s="56" t="s">
        <v>2388</v>
      </c>
      <c r="H360" s="56" t="s">
        <v>8</v>
      </c>
      <c r="I360" s="55" t="s">
        <v>8</v>
      </c>
      <c r="J360" s="57">
        <v>36.86</v>
      </c>
      <c r="K360" s="56" t="s">
        <v>2389</v>
      </c>
      <c r="L360" s="56" t="s">
        <v>2390</v>
      </c>
      <c r="M360" s="55" t="s">
        <v>2391</v>
      </c>
      <c r="N360" s="56" t="s">
        <v>2392</v>
      </c>
      <c r="O360" s="53" t="s">
        <v>8</v>
      </c>
      <c r="P360" s="56" t="s">
        <v>2456</v>
      </c>
      <c r="Q360" s="57">
        <v>3800</v>
      </c>
      <c r="R360" s="58" t="s">
        <v>8</v>
      </c>
      <c r="S360" s="57" t="s">
        <v>8</v>
      </c>
      <c r="T360" s="56" t="s">
        <v>2394</v>
      </c>
    </row>
    <row r="361" spans="1:20">
      <c r="A361" s="55">
        <v>128636662801</v>
      </c>
      <c r="B361" s="53" t="s">
        <v>2386</v>
      </c>
      <c r="C361" s="54">
        <v>45938</v>
      </c>
      <c r="D361" s="55">
        <v>51378631337</v>
      </c>
      <c r="E361" s="55">
        <v>2090411952633</v>
      </c>
      <c r="F361" s="56" t="s">
        <v>2401</v>
      </c>
      <c r="G361" s="56" t="s">
        <v>2388</v>
      </c>
      <c r="H361" s="56" t="s">
        <v>8</v>
      </c>
      <c r="I361" s="55" t="s">
        <v>8</v>
      </c>
      <c r="J361" s="57">
        <v>1261.45</v>
      </c>
      <c r="K361" s="56" t="s">
        <v>2389</v>
      </c>
      <c r="L361" s="56" t="s">
        <v>2402</v>
      </c>
      <c r="M361" s="55" t="s">
        <v>2391</v>
      </c>
      <c r="N361" s="56" t="s">
        <v>2392</v>
      </c>
      <c r="O361" s="53" t="s">
        <v>2055</v>
      </c>
      <c r="P361" s="56" t="s">
        <v>2403</v>
      </c>
      <c r="Q361" s="57">
        <v>32098</v>
      </c>
      <c r="R361" s="58" t="s">
        <v>8</v>
      </c>
      <c r="S361" s="57" t="s">
        <v>8</v>
      </c>
      <c r="T361" s="56" t="s">
        <v>2394</v>
      </c>
    </row>
    <row r="362" spans="1:20">
      <c r="A362" s="55">
        <v>128637622361</v>
      </c>
      <c r="B362" s="53" t="s">
        <v>2386</v>
      </c>
      <c r="C362" s="54">
        <v>45938</v>
      </c>
      <c r="D362" s="55">
        <v>51379149170</v>
      </c>
      <c r="E362" s="55">
        <v>2090421208153</v>
      </c>
      <c r="F362" s="56" t="s">
        <v>2411</v>
      </c>
      <c r="G362" s="56" t="s">
        <v>2388</v>
      </c>
      <c r="H362" s="56" t="s">
        <v>8</v>
      </c>
      <c r="I362" s="55" t="s">
        <v>8</v>
      </c>
      <c r="J362" s="57">
        <v>346.28</v>
      </c>
      <c r="K362" s="56" t="s">
        <v>2389</v>
      </c>
      <c r="L362" s="56" t="s">
        <v>2390</v>
      </c>
      <c r="M362" s="55" t="s">
        <v>2391</v>
      </c>
      <c r="N362" s="56" t="s">
        <v>2392</v>
      </c>
      <c r="O362" s="53" t="s">
        <v>8</v>
      </c>
      <c r="P362" s="56" t="s">
        <v>2412</v>
      </c>
      <c r="Q362" s="57">
        <v>35699</v>
      </c>
      <c r="R362" s="58" t="s">
        <v>8</v>
      </c>
      <c r="S362" s="57" t="s">
        <v>8</v>
      </c>
      <c r="T362" s="56" t="s">
        <v>8</v>
      </c>
    </row>
    <row r="363" spans="1:20">
      <c r="A363" s="55">
        <v>129208894410</v>
      </c>
      <c r="B363" s="53" t="s">
        <v>2386</v>
      </c>
      <c r="C363" s="54">
        <v>45938</v>
      </c>
      <c r="D363" s="55">
        <v>51379254213</v>
      </c>
      <c r="E363" s="55">
        <v>2090489340100</v>
      </c>
      <c r="F363" s="56" t="s">
        <v>2401</v>
      </c>
      <c r="G363" s="56" t="s">
        <v>2388</v>
      </c>
      <c r="H363" s="56" t="s">
        <v>8</v>
      </c>
      <c r="I363" s="55" t="s">
        <v>8</v>
      </c>
      <c r="J363" s="57">
        <v>1458.03</v>
      </c>
      <c r="K363" s="56" t="s">
        <v>2389</v>
      </c>
      <c r="L363" s="56" t="s">
        <v>2402</v>
      </c>
      <c r="M363" s="55" t="s">
        <v>2391</v>
      </c>
      <c r="N363" s="56" t="s">
        <v>2392</v>
      </c>
      <c r="O363" s="53" t="s">
        <v>2055</v>
      </c>
      <c r="P363" s="56" t="s">
        <v>2403</v>
      </c>
      <c r="Q363" s="57">
        <v>37100</v>
      </c>
      <c r="R363" s="58" t="s">
        <v>8</v>
      </c>
      <c r="S363" s="57" t="s">
        <v>8</v>
      </c>
      <c r="T363" s="56" t="s">
        <v>2394</v>
      </c>
    </row>
    <row r="364" spans="1:20">
      <c r="A364" s="55">
        <v>128639452327</v>
      </c>
      <c r="B364" s="53" t="s">
        <v>2386</v>
      </c>
      <c r="C364" s="54">
        <v>45938</v>
      </c>
      <c r="D364" s="55">
        <v>51379753623</v>
      </c>
      <c r="E364" s="55">
        <v>2090432554559</v>
      </c>
      <c r="F364" s="56" t="s">
        <v>2387</v>
      </c>
      <c r="G364" s="56" t="s">
        <v>2388</v>
      </c>
      <c r="H364" s="56" t="s">
        <v>8</v>
      </c>
      <c r="I364" s="55" t="s">
        <v>8</v>
      </c>
      <c r="J364" s="57">
        <v>1090.23</v>
      </c>
      <c r="K364" s="56" t="s">
        <v>2389</v>
      </c>
      <c r="L364" s="56" t="s">
        <v>2390</v>
      </c>
      <c r="M364" s="55" t="s">
        <v>2391</v>
      </c>
      <c r="N364" s="56" t="s">
        <v>2392</v>
      </c>
      <c r="O364" s="53" t="s">
        <v>8</v>
      </c>
      <c r="P364" s="56" t="s">
        <v>2457</v>
      </c>
      <c r="Q364" s="57">
        <v>112395</v>
      </c>
      <c r="R364" s="58" t="s">
        <v>8</v>
      </c>
      <c r="S364" s="57" t="s">
        <v>8</v>
      </c>
      <c r="T364" s="56" t="s">
        <v>2394</v>
      </c>
    </row>
    <row r="365" spans="1:20">
      <c r="A365" s="55">
        <v>128639945425</v>
      </c>
      <c r="B365" s="53" t="s">
        <v>2386</v>
      </c>
      <c r="C365" s="54">
        <v>45938</v>
      </c>
      <c r="D365" s="55">
        <v>51380007388</v>
      </c>
      <c r="E365" s="55">
        <v>2090437038429</v>
      </c>
      <c r="F365" s="56" t="s">
        <v>2387</v>
      </c>
      <c r="G365" s="56" t="s">
        <v>2388</v>
      </c>
      <c r="H365" s="56" t="s">
        <v>8</v>
      </c>
      <c r="I365" s="55" t="s">
        <v>8</v>
      </c>
      <c r="J365" s="57">
        <v>310.38</v>
      </c>
      <c r="K365" s="56" t="s">
        <v>2389</v>
      </c>
      <c r="L365" s="56" t="s">
        <v>2390</v>
      </c>
      <c r="M365" s="55" t="s">
        <v>2391</v>
      </c>
      <c r="N365" s="56" t="s">
        <v>2392</v>
      </c>
      <c r="O365" s="53" t="s">
        <v>8</v>
      </c>
      <c r="P365" s="56" t="s">
        <v>2458</v>
      </c>
      <c r="Q365" s="57">
        <v>31998</v>
      </c>
      <c r="R365" s="58" t="s">
        <v>8</v>
      </c>
      <c r="S365" s="57" t="s">
        <v>8</v>
      </c>
      <c r="T365" s="56" t="s">
        <v>2394</v>
      </c>
    </row>
    <row r="366" spans="1:20">
      <c r="A366" s="55">
        <v>128640132077</v>
      </c>
      <c r="B366" s="53" t="s">
        <v>2386</v>
      </c>
      <c r="C366" s="54">
        <v>45938</v>
      </c>
      <c r="D366" s="55">
        <v>51380082140</v>
      </c>
      <c r="E366" s="55">
        <v>2090438888691</v>
      </c>
      <c r="F366" s="56" t="s">
        <v>2411</v>
      </c>
      <c r="G366" s="56" t="s">
        <v>2388</v>
      </c>
      <c r="H366" s="56" t="s">
        <v>8</v>
      </c>
      <c r="I366" s="55" t="s">
        <v>8</v>
      </c>
      <c r="J366" s="57">
        <v>240.56</v>
      </c>
      <c r="K366" s="56" t="s">
        <v>2389</v>
      </c>
      <c r="L366" s="56" t="s">
        <v>2390</v>
      </c>
      <c r="M366" s="55" t="s">
        <v>2391</v>
      </c>
      <c r="N366" s="56" t="s">
        <v>2392</v>
      </c>
      <c r="O366" s="53" t="s">
        <v>8</v>
      </c>
      <c r="P366" s="56" t="s">
        <v>2412</v>
      </c>
      <c r="Q366" s="57">
        <v>24800</v>
      </c>
      <c r="R366" s="58" t="s">
        <v>8</v>
      </c>
      <c r="S366" s="57" t="s">
        <v>8</v>
      </c>
      <c r="T366" s="56" t="s">
        <v>8</v>
      </c>
    </row>
    <row r="367" spans="1:20">
      <c r="A367" s="55">
        <v>129211094160</v>
      </c>
      <c r="B367" s="53" t="s">
        <v>2386</v>
      </c>
      <c r="C367" s="54">
        <v>45938</v>
      </c>
      <c r="D367" s="55">
        <v>51380164838</v>
      </c>
      <c r="E367" s="55">
        <v>2090505532604</v>
      </c>
      <c r="F367" s="56" t="s">
        <v>2387</v>
      </c>
      <c r="G367" s="56" t="s">
        <v>2388</v>
      </c>
      <c r="H367" s="56" t="s">
        <v>8</v>
      </c>
      <c r="I367" s="55" t="s">
        <v>8</v>
      </c>
      <c r="J367" s="57">
        <v>408.37</v>
      </c>
      <c r="K367" s="56" t="s">
        <v>2389</v>
      </c>
      <c r="L367" s="56" t="s">
        <v>2390</v>
      </c>
      <c r="M367" s="55" t="s">
        <v>2391</v>
      </c>
      <c r="N367" s="56" t="s">
        <v>2392</v>
      </c>
      <c r="O367" s="53" t="s">
        <v>8</v>
      </c>
      <c r="P367" s="56" t="s">
        <v>2459</v>
      </c>
      <c r="Q367" s="57">
        <v>42100</v>
      </c>
      <c r="R367" s="58" t="s">
        <v>8</v>
      </c>
      <c r="S367" s="57" t="s">
        <v>8</v>
      </c>
      <c r="T367" s="56" t="s">
        <v>2394</v>
      </c>
    </row>
    <row r="368" spans="1:20">
      <c r="A368" s="55">
        <v>128640479035</v>
      </c>
      <c r="B368" s="53" t="s">
        <v>2386</v>
      </c>
      <c r="C368" s="54">
        <v>45938</v>
      </c>
      <c r="D368" s="55">
        <v>51380181713</v>
      </c>
      <c r="E368" s="55">
        <v>2090440987021</v>
      </c>
      <c r="F368" s="56" t="s">
        <v>2387</v>
      </c>
      <c r="G368" s="56" t="s">
        <v>2388</v>
      </c>
      <c r="H368" s="56" t="s">
        <v>8</v>
      </c>
      <c r="I368" s="55" t="s">
        <v>8</v>
      </c>
      <c r="J368" s="57">
        <v>360.83</v>
      </c>
      <c r="K368" s="56" t="s">
        <v>2389</v>
      </c>
      <c r="L368" s="56" t="s">
        <v>2390</v>
      </c>
      <c r="M368" s="55" t="s">
        <v>2391</v>
      </c>
      <c r="N368" s="56" t="s">
        <v>2392</v>
      </c>
      <c r="O368" s="53" t="s">
        <v>8</v>
      </c>
      <c r="P368" s="56" t="s">
        <v>2460</v>
      </c>
      <c r="Q368" s="57">
        <v>37199</v>
      </c>
      <c r="R368" s="58" t="s">
        <v>8</v>
      </c>
      <c r="S368" s="57" t="s">
        <v>8</v>
      </c>
      <c r="T368" s="56" t="s">
        <v>2394</v>
      </c>
    </row>
    <row r="369" spans="1:20">
      <c r="A369" s="55">
        <v>129211293332</v>
      </c>
      <c r="B369" s="53" t="s">
        <v>2386</v>
      </c>
      <c r="C369" s="54">
        <v>45938</v>
      </c>
      <c r="D369" s="55">
        <v>51380243566</v>
      </c>
      <c r="E369" s="55">
        <v>2090507757948</v>
      </c>
      <c r="F369" s="56" t="s">
        <v>2387</v>
      </c>
      <c r="G369" s="56" t="s">
        <v>2388</v>
      </c>
      <c r="H369" s="56" t="s">
        <v>8</v>
      </c>
      <c r="I369" s="55" t="s">
        <v>8</v>
      </c>
      <c r="J369" s="57">
        <v>178.47</v>
      </c>
      <c r="K369" s="56" t="s">
        <v>2389</v>
      </c>
      <c r="L369" s="56" t="s">
        <v>2390</v>
      </c>
      <c r="M369" s="55" t="s">
        <v>2391</v>
      </c>
      <c r="N369" s="56" t="s">
        <v>2392</v>
      </c>
      <c r="O369" s="53" t="s">
        <v>8</v>
      </c>
      <c r="P369" s="56" t="s">
        <v>2461</v>
      </c>
      <c r="Q369" s="57">
        <v>18399</v>
      </c>
      <c r="R369" s="58" t="s">
        <v>8</v>
      </c>
      <c r="S369" s="57" t="s">
        <v>8</v>
      </c>
      <c r="T369" s="56" t="s">
        <v>2394</v>
      </c>
    </row>
    <row r="370" spans="1:20">
      <c r="A370" s="55">
        <v>129211696806</v>
      </c>
      <c r="B370" s="53" t="s">
        <v>2386</v>
      </c>
      <c r="C370" s="54">
        <v>45938</v>
      </c>
      <c r="D370" s="55">
        <v>51380382805</v>
      </c>
      <c r="E370" s="55">
        <v>2090510618118</v>
      </c>
      <c r="F370" s="56" t="s">
        <v>2401</v>
      </c>
      <c r="G370" s="56" t="s">
        <v>2388</v>
      </c>
      <c r="H370" s="56" t="s">
        <v>8</v>
      </c>
      <c r="I370" s="55" t="s">
        <v>8</v>
      </c>
      <c r="J370" s="57">
        <v>2247.96</v>
      </c>
      <c r="K370" s="56" t="s">
        <v>2389</v>
      </c>
      <c r="L370" s="56" t="s">
        <v>2402</v>
      </c>
      <c r="M370" s="55" t="s">
        <v>2391</v>
      </c>
      <c r="N370" s="56" t="s">
        <v>2392</v>
      </c>
      <c r="O370" s="53" t="s">
        <v>2055</v>
      </c>
      <c r="P370" s="56" t="s">
        <v>2403</v>
      </c>
      <c r="Q370" s="57">
        <v>57200</v>
      </c>
      <c r="R370" s="58" t="s">
        <v>8</v>
      </c>
      <c r="S370" s="57" t="s">
        <v>8</v>
      </c>
      <c r="T370" s="56" t="s">
        <v>2394</v>
      </c>
    </row>
    <row r="371" spans="1:20">
      <c r="A371" s="55">
        <v>128641318431</v>
      </c>
      <c r="B371" s="53" t="s">
        <v>2386</v>
      </c>
      <c r="C371" s="54">
        <v>45938</v>
      </c>
      <c r="D371" s="55">
        <v>51380521052</v>
      </c>
      <c r="E371" s="55">
        <v>2090447359169</v>
      </c>
      <c r="F371" s="56" t="s">
        <v>2387</v>
      </c>
      <c r="G371" s="56" t="s">
        <v>2388</v>
      </c>
      <c r="H371" s="56" t="s">
        <v>8</v>
      </c>
      <c r="I371" s="55" t="s">
        <v>8</v>
      </c>
      <c r="J371" s="57">
        <v>422.17</v>
      </c>
      <c r="K371" s="56" t="s">
        <v>2389</v>
      </c>
      <c r="L371" s="56" t="s">
        <v>2390</v>
      </c>
      <c r="M371" s="55" t="s">
        <v>2391</v>
      </c>
      <c r="N371" s="56" t="s">
        <v>2392</v>
      </c>
      <c r="O371" s="53" t="s">
        <v>8</v>
      </c>
      <c r="P371" s="56" t="s">
        <v>2462</v>
      </c>
      <c r="Q371" s="57">
        <v>25900</v>
      </c>
      <c r="R371" s="58" t="s">
        <v>8</v>
      </c>
      <c r="S371" s="57" t="s">
        <v>8</v>
      </c>
      <c r="T371" s="56" t="s">
        <v>2394</v>
      </c>
    </row>
    <row r="372" spans="1:20">
      <c r="A372" s="55">
        <v>129214442224</v>
      </c>
      <c r="B372" s="53" t="s">
        <v>2386</v>
      </c>
      <c r="C372" s="54">
        <v>45938</v>
      </c>
      <c r="D372" s="55">
        <v>51381716603</v>
      </c>
      <c r="E372" s="55">
        <v>2090532341560</v>
      </c>
      <c r="F372" s="56" t="s">
        <v>2401</v>
      </c>
      <c r="G372" s="56" t="s">
        <v>2388</v>
      </c>
      <c r="H372" s="56" t="s">
        <v>8</v>
      </c>
      <c r="I372" s="55" t="s">
        <v>8</v>
      </c>
      <c r="J372" s="57">
        <v>3600.22</v>
      </c>
      <c r="K372" s="56" t="s">
        <v>2389</v>
      </c>
      <c r="L372" s="56" t="s">
        <v>2402</v>
      </c>
      <c r="M372" s="55" t="s">
        <v>2391</v>
      </c>
      <c r="N372" s="56" t="s">
        <v>2392</v>
      </c>
      <c r="O372" s="53" t="s">
        <v>2055</v>
      </c>
      <c r="P372" s="56" t="s">
        <v>2403</v>
      </c>
      <c r="Q372" s="57">
        <v>79300</v>
      </c>
      <c r="R372" s="58" t="s">
        <v>8</v>
      </c>
      <c r="S372" s="57" t="s">
        <v>8</v>
      </c>
      <c r="T372" s="56" t="s">
        <v>2394</v>
      </c>
    </row>
    <row r="373" spans="1:20">
      <c r="A373" s="55">
        <v>128643965667</v>
      </c>
      <c r="B373" s="53" t="s">
        <v>2386</v>
      </c>
      <c r="C373" s="54">
        <v>45938</v>
      </c>
      <c r="D373" s="55">
        <v>51381853861</v>
      </c>
      <c r="E373" s="55">
        <v>2090468781331</v>
      </c>
      <c r="F373" s="56" t="s">
        <v>2387</v>
      </c>
      <c r="G373" s="56" t="s">
        <v>2388</v>
      </c>
      <c r="H373" s="56" t="s">
        <v>8</v>
      </c>
      <c r="I373" s="55" t="s">
        <v>8</v>
      </c>
      <c r="J373" s="57">
        <v>553.87</v>
      </c>
      <c r="K373" s="56" t="s">
        <v>2389</v>
      </c>
      <c r="L373" s="56" t="s">
        <v>2390</v>
      </c>
      <c r="M373" s="55" t="s">
        <v>2391</v>
      </c>
      <c r="N373" s="56" t="s">
        <v>2392</v>
      </c>
      <c r="O373" s="53" t="s">
        <v>8</v>
      </c>
      <c r="P373" s="56" t="s">
        <v>2463</v>
      </c>
      <c r="Q373" s="57">
        <v>57100</v>
      </c>
      <c r="R373" s="58" t="s">
        <v>8</v>
      </c>
      <c r="S373" s="57" t="s">
        <v>8</v>
      </c>
      <c r="T373" s="56" t="s">
        <v>2394</v>
      </c>
    </row>
    <row r="374" spans="1:20">
      <c r="A374" s="55">
        <v>129214866634</v>
      </c>
      <c r="B374" s="53" t="s">
        <v>2386</v>
      </c>
      <c r="C374" s="54">
        <v>45938</v>
      </c>
      <c r="D374" s="55">
        <v>51381958096</v>
      </c>
      <c r="E374" s="55">
        <v>2090469776245</v>
      </c>
      <c r="F374" s="56" t="s">
        <v>2387</v>
      </c>
      <c r="G374" s="56" t="s">
        <v>2388</v>
      </c>
      <c r="H374" s="56" t="s">
        <v>8</v>
      </c>
      <c r="I374" s="55" t="s">
        <v>8</v>
      </c>
      <c r="J374" s="57">
        <v>629.47</v>
      </c>
      <c r="K374" s="56" t="s">
        <v>2389</v>
      </c>
      <c r="L374" s="56" t="s">
        <v>2390</v>
      </c>
      <c r="M374" s="55" t="s">
        <v>2391</v>
      </c>
      <c r="N374" s="56" t="s">
        <v>2392</v>
      </c>
      <c r="O374" s="53" t="s">
        <v>8</v>
      </c>
      <c r="P374" s="56" t="s">
        <v>2464</v>
      </c>
      <c r="Q374" s="57">
        <v>64894</v>
      </c>
      <c r="R374" s="58" t="s">
        <v>8</v>
      </c>
      <c r="S374" s="57" t="s">
        <v>8</v>
      </c>
      <c r="T374" s="56" t="s">
        <v>2394</v>
      </c>
    </row>
    <row r="375" spans="1:20">
      <c r="A375" s="55">
        <v>128644211883</v>
      </c>
      <c r="B375" s="53" t="s">
        <v>2386</v>
      </c>
      <c r="C375" s="54">
        <v>45938</v>
      </c>
      <c r="D375" s="55">
        <v>51382044375</v>
      </c>
      <c r="E375" s="55">
        <v>2090536409496</v>
      </c>
      <c r="F375" s="56" t="s">
        <v>2401</v>
      </c>
      <c r="G375" s="56" t="s">
        <v>2388</v>
      </c>
      <c r="H375" s="56" t="s">
        <v>8</v>
      </c>
      <c r="I375" s="55" t="s">
        <v>8</v>
      </c>
      <c r="J375" s="57">
        <v>435.84</v>
      </c>
      <c r="K375" s="56" t="s">
        <v>2389</v>
      </c>
      <c r="L375" s="56" t="s">
        <v>2402</v>
      </c>
      <c r="M375" s="55" t="s">
        <v>2391</v>
      </c>
      <c r="N375" s="56" t="s">
        <v>2392</v>
      </c>
      <c r="O375" s="53" t="s">
        <v>2055</v>
      </c>
      <c r="P375" s="56" t="s">
        <v>2403</v>
      </c>
      <c r="Q375" s="57">
        <v>9600</v>
      </c>
      <c r="R375" s="58" t="s">
        <v>8</v>
      </c>
      <c r="S375" s="57" t="s">
        <v>8</v>
      </c>
      <c r="T375" s="56" t="s">
        <v>2394</v>
      </c>
    </row>
    <row r="376" spans="1:20">
      <c r="A376" s="55">
        <v>128644890325</v>
      </c>
      <c r="B376" s="53" t="s">
        <v>2386</v>
      </c>
      <c r="C376" s="54">
        <v>45938</v>
      </c>
      <c r="D376" s="55">
        <v>51382357462</v>
      </c>
      <c r="E376" s="55">
        <v>2090474865959</v>
      </c>
      <c r="F376" s="56" t="s">
        <v>2387</v>
      </c>
      <c r="G376" s="56" t="s">
        <v>2388</v>
      </c>
      <c r="H376" s="56" t="s">
        <v>8</v>
      </c>
      <c r="I376" s="55" t="s">
        <v>8</v>
      </c>
      <c r="J376" s="57">
        <v>474.33</v>
      </c>
      <c r="K376" s="56" t="s">
        <v>2389</v>
      </c>
      <c r="L376" s="56" t="s">
        <v>2390</v>
      </c>
      <c r="M376" s="55" t="s">
        <v>2391</v>
      </c>
      <c r="N376" s="56" t="s">
        <v>2392</v>
      </c>
      <c r="O376" s="53" t="s">
        <v>8</v>
      </c>
      <c r="P376" s="56" t="s">
        <v>2465</v>
      </c>
      <c r="Q376" s="57">
        <v>48900</v>
      </c>
      <c r="R376" s="58" t="s">
        <v>8</v>
      </c>
      <c r="S376" s="57" t="s">
        <v>8</v>
      </c>
      <c r="T376" s="56" t="s">
        <v>2394</v>
      </c>
    </row>
    <row r="377" spans="1:20">
      <c r="A377" s="55">
        <v>129215579718</v>
      </c>
      <c r="B377" s="53" t="s">
        <v>2386</v>
      </c>
      <c r="C377" s="54">
        <v>45938</v>
      </c>
      <c r="D377" s="55">
        <v>51382402484</v>
      </c>
      <c r="E377" s="55">
        <v>2090475607665</v>
      </c>
      <c r="F377" s="56" t="s">
        <v>2387</v>
      </c>
      <c r="G377" s="56" t="s">
        <v>2388</v>
      </c>
      <c r="H377" s="56" t="s">
        <v>8</v>
      </c>
      <c r="I377" s="55" t="s">
        <v>8</v>
      </c>
      <c r="J377" s="57">
        <v>387.96</v>
      </c>
      <c r="K377" s="56" t="s">
        <v>2389</v>
      </c>
      <c r="L377" s="56" t="s">
        <v>2390</v>
      </c>
      <c r="M377" s="55" t="s">
        <v>2391</v>
      </c>
      <c r="N377" s="56" t="s">
        <v>2392</v>
      </c>
      <c r="O377" s="53" t="s">
        <v>8</v>
      </c>
      <c r="P377" s="56" t="s">
        <v>2466</v>
      </c>
      <c r="Q377" s="57">
        <v>39996</v>
      </c>
      <c r="R377" s="58" t="s">
        <v>8</v>
      </c>
      <c r="S377" s="57" t="s">
        <v>8</v>
      </c>
      <c r="T377" s="56" t="s">
        <v>2394</v>
      </c>
    </row>
    <row r="378" spans="1:20">
      <c r="A378" s="55">
        <v>128645459167</v>
      </c>
      <c r="B378" s="53" t="s">
        <v>2386</v>
      </c>
      <c r="C378" s="54">
        <v>45939</v>
      </c>
      <c r="D378" s="55">
        <v>51382751363</v>
      </c>
      <c r="E378" s="55">
        <v>2090545233312</v>
      </c>
      <c r="F378" s="56" t="s">
        <v>2387</v>
      </c>
      <c r="G378" s="56" t="s">
        <v>2388</v>
      </c>
      <c r="H378" s="56" t="s">
        <v>8</v>
      </c>
      <c r="I378" s="55" t="s">
        <v>8</v>
      </c>
      <c r="J378" s="57">
        <v>366.63</v>
      </c>
      <c r="K378" s="56" t="s">
        <v>2389</v>
      </c>
      <c r="L378" s="56" t="s">
        <v>2390</v>
      </c>
      <c r="M378" s="55" t="s">
        <v>2391</v>
      </c>
      <c r="N378" s="56" t="s">
        <v>2392</v>
      </c>
      <c r="O378" s="53" t="s">
        <v>8</v>
      </c>
      <c r="P378" s="56" t="s">
        <v>2467</v>
      </c>
      <c r="Q378" s="57">
        <v>37797</v>
      </c>
      <c r="R378" s="58" t="s">
        <v>8</v>
      </c>
      <c r="S378" s="57" t="s">
        <v>8</v>
      </c>
      <c r="T378" s="56" t="s">
        <v>2394</v>
      </c>
    </row>
    <row r="379" spans="1:20">
      <c r="A379" s="55">
        <v>129217039132</v>
      </c>
      <c r="B379" s="53" t="s">
        <v>2386</v>
      </c>
      <c r="C379" s="54">
        <v>45939</v>
      </c>
      <c r="D379" s="55">
        <v>51383215595</v>
      </c>
      <c r="E379" s="55">
        <v>2090552394660</v>
      </c>
      <c r="F379" s="56" t="s">
        <v>2387</v>
      </c>
      <c r="G379" s="56" t="s">
        <v>2388</v>
      </c>
      <c r="H379" s="56" t="s">
        <v>8</v>
      </c>
      <c r="I379" s="55" t="s">
        <v>8</v>
      </c>
      <c r="J379" s="57">
        <v>79.540000000000006</v>
      </c>
      <c r="K379" s="56" t="s">
        <v>2389</v>
      </c>
      <c r="L379" s="56" t="s">
        <v>2390</v>
      </c>
      <c r="M379" s="55" t="s">
        <v>2391</v>
      </c>
      <c r="N379" s="56" t="s">
        <v>2392</v>
      </c>
      <c r="O379" s="53" t="s">
        <v>8</v>
      </c>
      <c r="P379" s="56" t="s">
        <v>2468</v>
      </c>
      <c r="Q379" s="57">
        <v>8200</v>
      </c>
      <c r="R379" s="58" t="s">
        <v>8</v>
      </c>
      <c r="S379" s="57" t="s">
        <v>8</v>
      </c>
      <c r="T379" s="56" t="s">
        <v>2394</v>
      </c>
    </row>
    <row r="380" spans="1:20">
      <c r="A380" s="55">
        <v>129217612156</v>
      </c>
      <c r="B380" s="53" t="s">
        <v>2386</v>
      </c>
      <c r="C380" s="54">
        <v>45939</v>
      </c>
      <c r="D380" s="55">
        <v>51383414079</v>
      </c>
      <c r="E380" s="55">
        <v>2090556537850</v>
      </c>
      <c r="F380" s="56" t="s">
        <v>2387</v>
      </c>
      <c r="G380" s="56" t="s">
        <v>2388</v>
      </c>
      <c r="H380" s="56" t="s">
        <v>8</v>
      </c>
      <c r="I380" s="55" t="s">
        <v>8</v>
      </c>
      <c r="J380" s="57">
        <v>730.56</v>
      </c>
      <c r="K380" s="56" t="s">
        <v>2389</v>
      </c>
      <c r="L380" s="56" t="s">
        <v>2390</v>
      </c>
      <c r="M380" s="55" t="s">
        <v>2391</v>
      </c>
      <c r="N380" s="56" t="s">
        <v>2392</v>
      </c>
      <c r="O380" s="53" t="s">
        <v>8</v>
      </c>
      <c r="P380" s="56" t="s">
        <v>2469</v>
      </c>
      <c r="Q380" s="57">
        <v>9600</v>
      </c>
      <c r="R380" s="58" t="s">
        <v>8</v>
      </c>
      <c r="S380" s="57" t="s">
        <v>8</v>
      </c>
      <c r="T380" s="56" t="s">
        <v>2394</v>
      </c>
    </row>
    <row r="381" spans="1:20">
      <c r="A381" s="55">
        <v>129217833188</v>
      </c>
      <c r="B381" s="53" t="s">
        <v>2386</v>
      </c>
      <c r="C381" s="54">
        <v>45939</v>
      </c>
      <c r="D381" s="55">
        <v>51383514167</v>
      </c>
      <c r="E381" s="55">
        <v>2090493141599</v>
      </c>
      <c r="F381" s="56" t="s">
        <v>2411</v>
      </c>
      <c r="G381" s="56" t="s">
        <v>2388</v>
      </c>
      <c r="H381" s="56" t="s">
        <v>8</v>
      </c>
      <c r="I381" s="55" t="s">
        <v>8</v>
      </c>
      <c r="J381" s="57">
        <v>613.02</v>
      </c>
      <c r="K381" s="56" t="s">
        <v>2389</v>
      </c>
      <c r="L381" s="56" t="s">
        <v>2390</v>
      </c>
      <c r="M381" s="55" t="s">
        <v>2391</v>
      </c>
      <c r="N381" s="56" t="s">
        <v>2392</v>
      </c>
      <c r="O381" s="53" t="s">
        <v>8</v>
      </c>
      <c r="P381" s="56" t="s">
        <v>2412</v>
      </c>
      <c r="Q381" s="57">
        <v>63198</v>
      </c>
      <c r="R381" s="58" t="s">
        <v>8</v>
      </c>
      <c r="S381" s="57" t="s">
        <v>8</v>
      </c>
      <c r="T381" s="56" t="s">
        <v>8</v>
      </c>
    </row>
    <row r="382" spans="1:20">
      <c r="A382" s="55">
        <v>129217652034</v>
      </c>
      <c r="B382" s="53" t="s">
        <v>2386</v>
      </c>
      <c r="C382" s="54">
        <v>45939</v>
      </c>
      <c r="D382" s="55">
        <v>51383517487</v>
      </c>
      <c r="E382" s="55">
        <v>2090492394879</v>
      </c>
      <c r="F382" s="56" t="s">
        <v>2387</v>
      </c>
      <c r="G382" s="56" t="s">
        <v>2388</v>
      </c>
      <c r="H382" s="56" t="s">
        <v>8</v>
      </c>
      <c r="I382" s="55" t="s">
        <v>8</v>
      </c>
      <c r="J382" s="57">
        <v>403.52</v>
      </c>
      <c r="K382" s="56" t="s">
        <v>2389</v>
      </c>
      <c r="L382" s="56" t="s">
        <v>2390</v>
      </c>
      <c r="M382" s="55" t="s">
        <v>2391</v>
      </c>
      <c r="N382" s="56" t="s">
        <v>2392</v>
      </c>
      <c r="O382" s="53" t="s">
        <v>8</v>
      </c>
      <c r="P382" s="56" t="s">
        <v>2470</v>
      </c>
      <c r="Q382" s="57">
        <v>41600</v>
      </c>
      <c r="R382" s="58" t="s">
        <v>8</v>
      </c>
      <c r="S382" s="57" t="s">
        <v>8</v>
      </c>
      <c r="T382" s="56" t="s">
        <v>2394</v>
      </c>
    </row>
    <row r="383" spans="1:20">
      <c r="A383" s="55">
        <v>128647665951</v>
      </c>
      <c r="B383" s="53" t="s">
        <v>2386</v>
      </c>
      <c r="C383" s="54">
        <v>45939</v>
      </c>
      <c r="D383" s="55">
        <v>51383822685</v>
      </c>
      <c r="E383" s="55">
        <v>2090498996179</v>
      </c>
      <c r="F383" s="56" t="s">
        <v>2401</v>
      </c>
      <c r="G383" s="56" t="s">
        <v>2388</v>
      </c>
      <c r="H383" s="56" t="s">
        <v>8</v>
      </c>
      <c r="I383" s="55" t="s">
        <v>8</v>
      </c>
      <c r="J383" s="57">
        <v>785.96</v>
      </c>
      <c r="K383" s="56" t="s">
        <v>2389</v>
      </c>
      <c r="L383" s="56" t="s">
        <v>2402</v>
      </c>
      <c r="M383" s="55" t="s">
        <v>2391</v>
      </c>
      <c r="N383" s="56" t="s">
        <v>2392</v>
      </c>
      <c r="O383" s="53" t="s">
        <v>2055</v>
      </c>
      <c r="P383" s="56" t="s">
        <v>2403</v>
      </c>
      <c r="Q383" s="57">
        <v>19999</v>
      </c>
      <c r="R383" s="58" t="s">
        <v>8</v>
      </c>
      <c r="S383" s="57" t="s">
        <v>8</v>
      </c>
      <c r="T383" s="56" t="s">
        <v>2394</v>
      </c>
    </row>
    <row r="384" spans="1:20">
      <c r="A384" s="55">
        <v>128648656617</v>
      </c>
      <c r="B384" s="53" t="s">
        <v>2386</v>
      </c>
      <c r="C384" s="54">
        <v>45939</v>
      </c>
      <c r="D384" s="55">
        <v>51384215407</v>
      </c>
      <c r="E384" s="55">
        <v>2090573018762</v>
      </c>
      <c r="F384" s="56" t="s">
        <v>2411</v>
      </c>
      <c r="G384" s="56" t="s">
        <v>2388</v>
      </c>
      <c r="H384" s="56" t="s">
        <v>8</v>
      </c>
      <c r="I384" s="55" t="s">
        <v>8</v>
      </c>
      <c r="J384" s="57">
        <v>83.42</v>
      </c>
      <c r="K384" s="56" t="s">
        <v>2389</v>
      </c>
      <c r="L384" s="56" t="s">
        <v>2390</v>
      </c>
      <c r="M384" s="55" t="s">
        <v>2391</v>
      </c>
      <c r="N384" s="56" t="s">
        <v>2392</v>
      </c>
      <c r="O384" s="53" t="s">
        <v>8</v>
      </c>
      <c r="P384" s="56" t="s">
        <v>2412</v>
      </c>
      <c r="Q384" s="57">
        <v>8600</v>
      </c>
      <c r="R384" s="58" t="s">
        <v>8</v>
      </c>
      <c r="S384" s="57" t="s">
        <v>8</v>
      </c>
      <c r="T384" s="56" t="s">
        <v>8</v>
      </c>
    </row>
    <row r="385" spans="1:20">
      <c r="A385" s="55">
        <v>128649386055</v>
      </c>
      <c r="B385" s="53" t="s">
        <v>2386</v>
      </c>
      <c r="C385" s="54">
        <v>45939</v>
      </c>
      <c r="D385" s="55">
        <v>51384568280</v>
      </c>
      <c r="E385" s="55">
        <v>2090518046527</v>
      </c>
      <c r="F385" s="56" t="s">
        <v>2411</v>
      </c>
      <c r="G385" s="56" t="s">
        <v>2388</v>
      </c>
      <c r="H385" s="56" t="s">
        <v>8</v>
      </c>
      <c r="I385" s="55" t="s">
        <v>8</v>
      </c>
      <c r="J385" s="57">
        <v>301.67</v>
      </c>
      <c r="K385" s="56" t="s">
        <v>2389</v>
      </c>
      <c r="L385" s="56" t="s">
        <v>2390</v>
      </c>
      <c r="M385" s="55" t="s">
        <v>2391</v>
      </c>
      <c r="N385" s="56" t="s">
        <v>2392</v>
      </c>
      <c r="O385" s="53" t="s">
        <v>8</v>
      </c>
      <c r="P385" s="56" t="s">
        <v>2412</v>
      </c>
      <c r="Q385" s="57">
        <v>31100</v>
      </c>
      <c r="R385" s="58" t="s">
        <v>8</v>
      </c>
      <c r="S385" s="57" t="s">
        <v>8</v>
      </c>
      <c r="T385" s="56" t="s">
        <v>8</v>
      </c>
    </row>
    <row r="386" spans="1:20">
      <c r="A386" s="55">
        <v>128752625367</v>
      </c>
      <c r="B386" s="53" t="s">
        <v>2386</v>
      </c>
      <c r="C386" s="54">
        <v>45939</v>
      </c>
      <c r="D386" s="55">
        <v>51422689775</v>
      </c>
      <c r="E386" s="55">
        <v>2091217376909</v>
      </c>
      <c r="F386" s="56" t="s">
        <v>2387</v>
      </c>
      <c r="G386" s="56" t="s">
        <v>2388</v>
      </c>
      <c r="H386" s="56" t="s">
        <v>8</v>
      </c>
      <c r="I386" s="55" t="s">
        <v>8</v>
      </c>
      <c r="J386" s="57">
        <v>95.06</v>
      </c>
      <c r="K386" s="56" t="s">
        <v>2389</v>
      </c>
      <c r="L386" s="56" t="s">
        <v>2390</v>
      </c>
      <c r="M386" s="55" t="s">
        <v>2391</v>
      </c>
      <c r="N386" s="56" t="s">
        <v>2392</v>
      </c>
      <c r="O386" s="53" t="s">
        <v>8</v>
      </c>
      <c r="P386" s="56" t="s">
        <v>2471</v>
      </c>
      <c r="Q386" s="57">
        <v>9800</v>
      </c>
      <c r="R386" s="58" t="s">
        <v>8</v>
      </c>
      <c r="S386" s="57" t="s">
        <v>8</v>
      </c>
      <c r="T386" s="56" t="s">
        <v>2394</v>
      </c>
    </row>
    <row r="387" spans="1:20">
      <c r="A387" s="55">
        <v>129331762974</v>
      </c>
      <c r="B387" s="53" t="s">
        <v>2386</v>
      </c>
      <c r="C387" s="54">
        <v>45939</v>
      </c>
      <c r="D387" s="55">
        <v>51425496152</v>
      </c>
      <c r="E387" s="55">
        <v>2091264124533</v>
      </c>
      <c r="F387" s="56" t="s">
        <v>2387</v>
      </c>
      <c r="G387" s="56" t="s">
        <v>2388</v>
      </c>
      <c r="H387" s="56" t="s">
        <v>8</v>
      </c>
      <c r="I387" s="55" t="s">
        <v>8</v>
      </c>
      <c r="J387" s="57">
        <v>159.08000000000001</v>
      </c>
      <c r="K387" s="56" t="s">
        <v>2389</v>
      </c>
      <c r="L387" s="56" t="s">
        <v>2390</v>
      </c>
      <c r="M387" s="55" t="s">
        <v>2391</v>
      </c>
      <c r="N387" s="56" t="s">
        <v>2392</v>
      </c>
      <c r="O387" s="53" t="s">
        <v>8</v>
      </c>
      <c r="P387" s="56" t="s">
        <v>2472</v>
      </c>
      <c r="Q387" s="57">
        <v>16400</v>
      </c>
      <c r="R387" s="58" t="s">
        <v>8</v>
      </c>
      <c r="S387" s="57" t="s">
        <v>8</v>
      </c>
      <c r="T387" s="56" t="s">
        <v>2394</v>
      </c>
    </row>
    <row r="388" spans="1:20">
      <c r="A388" s="55">
        <v>129337187158</v>
      </c>
      <c r="B388" s="53" t="s">
        <v>2386</v>
      </c>
      <c r="C388" s="54">
        <v>45939</v>
      </c>
      <c r="D388" s="55">
        <v>51427422767</v>
      </c>
      <c r="E388" s="55">
        <v>2091297702675</v>
      </c>
      <c r="F388" s="56" t="s">
        <v>2387</v>
      </c>
      <c r="G388" s="56" t="s">
        <v>2388</v>
      </c>
      <c r="H388" s="56" t="s">
        <v>8</v>
      </c>
      <c r="I388" s="55" t="s">
        <v>8</v>
      </c>
      <c r="J388" s="57">
        <v>46.56</v>
      </c>
      <c r="K388" s="56" t="s">
        <v>2389</v>
      </c>
      <c r="L388" s="56" t="s">
        <v>2390</v>
      </c>
      <c r="M388" s="55" t="s">
        <v>2391</v>
      </c>
      <c r="N388" s="56" t="s">
        <v>2392</v>
      </c>
      <c r="O388" s="53" t="s">
        <v>8</v>
      </c>
      <c r="P388" s="56" t="s">
        <v>2472</v>
      </c>
      <c r="Q388" s="57">
        <v>4800</v>
      </c>
      <c r="R388" s="58" t="s">
        <v>8</v>
      </c>
      <c r="S388" s="57" t="s">
        <v>8</v>
      </c>
      <c r="T388" s="56" t="s">
        <v>2394</v>
      </c>
    </row>
    <row r="389" spans="1:20">
      <c r="A389" s="55">
        <v>128765691223</v>
      </c>
      <c r="B389" s="53" t="s">
        <v>2386</v>
      </c>
      <c r="C389" s="54">
        <v>45939</v>
      </c>
      <c r="D389" s="55">
        <v>51427470523</v>
      </c>
      <c r="E389" s="55">
        <v>2091298375301</v>
      </c>
      <c r="F389" s="56" t="s">
        <v>2411</v>
      </c>
      <c r="G389" s="56" t="s">
        <v>2388</v>
      </c>
      <c r="H389" s="56" t="s">
        <v>8</v>
      </c>
      <c r="I389" s="55" t="s">
        <v>8</v>
      </c>
      <c r="J389" s="57">
        <v>43.65</v>
      </c>
      <c r="K389" s="56" t="s">
        <v>2389</v>
      </c>
      <c r="L389" s="56" t="s">
        <v>2390</v>
      </c>
      <c r="M389" s="55" t="s">
        <v>2391</v>
      </c>
      <c r="N389" s="56" t="s">
        <v>2392</v>
      </c>
      <c r="O389" s="53" t="s">
        <v>8</v>
      </c>
      <c r="P389" s="56" t="s">
        <v>2412</v>
      </c>
      <c r="Q389" s="57">
        <v>4500</v>
      </c>
      <c r="R389" s="58" t="s">
        <v>8</v>
      </c>
      <c r="S389" s="57" t="s">
        <v>8</v>
      </c>
      <c r="T389" s="56" t="s">
        <v>8</v>
      </c>
    </row>
    <row r="390" spans="1:20">
      <c r="A390" s="55">
        <v>128769499515</v>
      </c>
      <c r="B390" s="53" t="s">
        <v>2386</v>
      </c>
      <c r="C390" s="54">
        <v>45939</v>
      </c>
      <c r="D390" s="55">
        <v>51428862295</v>
      </c>
      <c r="E390" s="55">
        <v>2091390525322</v>
      </c>
      <c r="F390" s="56" t="s">
        <v>2387</v>
      </c>
      <c r="G390" s="56" t="s">
        <v>2388</v>
      </c>
      <c r="H390" s="56" t="s">
        <v>8</v>
      </c>
      <c r="I390" s="55" t="s">
        <v>8</v>
      </c>
      <c r="J390" s="57">
        <v>104.76</v>
      </c>
      <c r="K390" s="56" t="s">
        <v>2389</v>
      </c>
      <c r="L390" s="56" t="s">
        <v>2390</v>
      </c>
      <c r="M390" s="55" t="s">
        <v>2391</v>
      </c>
      <c r="N390" s="56" t="s">
        <v>2392</v>
      </c>
      <c r="O390" s="53" t="s">
        <v>8</v>
      </c>
      <c r="P390" s="56" t="s">
        <v>2473</v>
      </c>
      <c r="Q390" s="57">
        <v>10800</v>
      </c>
      <c r="R390" s="58" t="s">
        <v>8</v>
      </c>
      <c r="S390" s="57" t="s">
        <v>8</v>
      </c>
      <c r="T390" s="56" t="s">
        <v>2394</v>
      </c>
    </row>
    <row r="391" spans="1:20">
      <c r="A391" s="55">
        <v>129342703028</v>
      </c>
      <c r="B391" s="53" t="s">
        <v>2386</v>
      </c>
      <c r="C391" s="54">
        <v>45939</v>
      </c>
      <c r="D391" s="55">
        <v>51429460432</v>
      </c>
      <c r="E391" s="55">
        <v>2091402410054</v>
      </c>
      <c r="F391" s="56" t="s">
        <v>2401</v>
      </c>
      <c r="G391" s="56" t="s">
        <v>2388</v>
      </c>
      <c r="H391" s="56" t="s">
        <v>8</v>
      </c>
      <c r="I391" s="55" t="s">
        <v>8</v>
      </c>
      <c r="J391" s="57">
        <v>1493.4</v>
      </c>
      <c r="K391" s="56" t="s">
        <v>2389</v>
      </c>
      <c r="L391" s="56" t="s">
        <v>2402</v>
      </c>
      <c r="M391" s="55" t="s">
        <v>2391</v>
      </c>
      <c r="N391" s="56" t="s">
        <v>2392</v>
      </c>
      <c r="O391" s="53" t="s">
        <v>2055</v>
      </c>
      <c r="P391" s="56" t="s">
        <v>2403</v>
      </c>
      <c r="Q391" s="57">
        <v>38000</v>
      </c>
      <c r="R391" s="58" t="s">
        <v>8</v>
      </c>
      <c r="S391" s="57" t="s">
        <v>8</v>
      </c>
      <c r="T391" s="56" t="s">
        <v>2394</v>
      </c>
    </row>
    <row r="392" spans="1:20">
      <c r="A392" s="55">
        <v>129342704022</v>
      </c>
      <c r="B392" s="53" t="s">
        <v>2386</v>
      </c>
      <c r="C392" s="54">
        <v>45939</v>
      </c>
      <c r="D392" s="55">
        <v>51429481061</v>
      </c>
      <c r="E392" s="55">
        <v>2091336454885</v>
      </c>
      <c r="F392" s="56" t="s">
        <v>2401</v>
      </c>
      <c r="G392" s="56" t="s">
        <v>2388</v>
      </c>
      <c r="H392" s="56" t="s">
        <v>8</v>
      </c>
      <c r="I392" s="55" t="s">
        <v>8</v>
      </c>
      <c r="J392" s="57">
        <v>890.37</v>
      </c>
      <c r="K392" s="56" t="s">
        <v>2389</v>
      </c>
      <c r="L392" s="56" t="s">
        <v>2402</v>
      </c>
      <c r="M392" s="55" t="s">
        <v>2391</v>
      </c>
      <c r="N392" s="56" t="s">
        <v>2392</v>
      </c>
      <c r="O392" s="53" t="s">
        <v>2055</v>
      </c>
      <c r="P392" s="56" t="s">
        <v>2403</v>
      </c>
      <c r="Q392" s="57">
        <v>11700</v>
      </c>
      <c r="R392" s="58" t="s">
        <v>8</v>
      </c>
      <c r="S392" s="57" t="s">
        <v>8</v>
      </c>
      <c r="T392" s="56" t="s">
        <v>2394</v>
      </c>
    </row>
    <row r="393" spans="1:20">
      <c r="A393" s="55">
        <v>128771413605</v>
      </c>
      <c r="B393" s="53" t="s">
        <v>2386</v>
      </c>
      <c r="C393" s="54">
        <v>45939</v>
      </c>
      <c r="D393" s="55">
        <v>51429489897</v>
      </c>
      <c r="E393" s="55">
        <v>2091403357612</v>
      </c>
      <c r="F393" s="56" t="s">
        <v>2387</v>
      </c>
      <c r="G393" s="56" t="s">
        <v>2388</v>
      </c>
      <c r="H393" s="56" t="s">
        <v>8</v>
      </c>
      <c r="I393" s="55" t="s">
        <v>8</v>
      </c>
      <c r="J393" s="57">
        <v>279.36</v>
      </c>
      <c r="K393" s="56" t="s">
        <v>2389</v>
      </c>
      <c r="L393" s="56" t="s">
        <v>2390</v>
      </c>
      <c r="M393" s="55" t="s">
        <v>2391</v>
      </c>
      <c r="N393" s="56" t="s">
        <v>2392</v>
      </c>
      <c r="O393" s="53" t="s">
        <v>8</v>
      </c>
      <c r="P393" s="56" t="s">
        <v>2474</v>
      </c>
      <c r="Q393" s="57">
        <v>28800</v>
      </c>
      <c r="R393" s="58" t="s">
        <v>8</v>
      </c>
      <c r="S393" s="57" t="s">
        <v>8</v>
      </c>
      <c r="T393" s="56" t="s">
        <v>2394</v>
      </c>
    </row>
    <row r="394" spans="1:20">
      <c r="A394" s="55">
        <v>129342935088</v>
      </c>
      <c r="B394" s="53" t="s">
        <v>2386</v>
      </c>
      <c r="C394" s="54">
        <v>45939</v>
      </c>
      <c r="D394" s="55">
        <v>51429532982</v>
      </c>
      <c r="E394" s="55">
        <v>2091337784559</v>
      </c>
      <c r="F394" s="56" t="s">
        <v>2401</v>
      </c>
      <c r="G394" s="56" t="s">
        <v>2388</v>
      </c>
      <c r="H394" s="56" t="s">
        <v>8</v>
      </c>
      <c r="I394" s="55" t="s">
        <v>8</v>
      </c>
      <c r="J394" s="57">
        <v>188.64</v>
      </c>
      <c r="K394" s="56" t="s">
        <v>2389</v>
      </c>
      <c r="L394" s="56" t="s">
        <v>2402</v>
      </c>
      <c r="M394" s="55" t="s">
        <v>2391</v>
      </c>
      <c r="N394" s="56" t="s">
        <v>2392</v>
      </c>
      <c r="O394" s="53" t="s">
        <v>2055</v>
      </c>
      <c r="P394" s="56" t="s">
        <v>2403</v>
      </c>
      <c r="Q394" s="57">
        <v>4800</v>
      </c>
      <c r="R394" s="58" t="s">
        <v>8</v>
      </c>
      <c r="S394" s="57" t="s">
        <v>8</v>
      </c>
      <c r="T394" s="56" t="s">
        <v>2394</v>
      </c>
    </row>
    <row r="395" spans="1:20">
      <c r="A395" s="55">
        <v>128771982633</v>
      </c>
      <c r="B395" s="53" t="s">
        <v>2386</v>
      </c>
      <c r="C395" s="54">
        <v>45939</v>
      </c>
      <c r="D395" s="55">
        <v>51429668439</v>
      </c>
      <c r="E395" s="55">
        <v>2091406882004</v>
      </c>
      <c r="F395" s="56" t="s">
        <v>2401</v>
      </c>
      <c r="G395" s="56" t="s">
        <v>2388</v>
      </c>
      <c r="H395" s="56" t="s">
        <v>8</v>
      </c>
      <c r="I395" s="55" t="s">
        <v>8</v>
      </c>
      <c r="J395" s="57">
        <v>188.64</v>
      </c>
      <c r="K395" s="56" t="s">
        <v>2389</v>
      </c>
      <c r="L395" s="56" t="s">
        <v>2402</v>
      </c>
      <c r="M395" s="55" t="s">
        <v>2391</v>
      </c>
      <c r="N395" s="56" t="s">
        <v>2392</v>
      </c>
      <c r="O395" s="53" t="s">
        <v>2055</v>
      </c>
      <c r="P395" s="56" t="s">
        <v>2403</v>
      </c>
      <c r="Q395" s="57">
        <v>4800</v>
      </c>
      <c r="R395" s="58" t="s">
        <v>8</v>
      </c>
      <c r="S395" s="57" t="s">
        <v>8</v>
      </c>
      <c r="T395" s="56" t="s">
        <v>2394</v>
      </c>
    </row>
    <row r="396" spans="1:20">
      <c r="A396" s="55">
        <v>128772013963</v>
      </c>
      <c r="B396" s="53" t="s">
        <v>2386</v>
      </c>
      <c r="C396" s="54">
        <v>45939</v>
      </c>
      <c r="D396" s="55">
        <v>51429727898</v>
      </c>
      <c r="E396" s="55">
        <v>2091341428013</v>
      </c>
      <c r="F396" s="56" t="s">
        <v>2411</v>
      </c>
      <c r="G396" s="56" t="s">
        <v>2388</v>
      </c>
      <c r="H396" s="56" t="s">
        <v>8</v>
      </c>
      <c r="I396" s="55" t="s">
        <v>8</v>
      </c>
      <c r="J396" s="57">
        <v>46.56</v>
      </c>
      <c r="K396" s="56" t="s">
        <v>2389</v>
      </c>
      <c r="L396" s="56" t="s">
        <v>2390</v>
      </c>
      <c r="M396" s="55" t="s">
        <v>2391</v>
      </c>
      <c r="N396" s="56" t="s">
        <v>2392</v>
      </c>
      <c r="O396" s="53" t="s">
        <v>8</v>
      </c>
      <c r="P396" s="56" t="s">
        <v>2412</v>
      </c>
      <c r="Q396" s="57">
        <v>4800</v>
      </c>
      <c r="R396" s="58" t="s">
        <v>8</v>
      </c>
      <c r="S396" s="57" t="s">
        <v>8</v>
      </c>
      <c r="T396" s="56" t="s">
        <v>8</v>
      </c>
    </row>
    <row r="397" spans="1:20">
      <c r="A397" s="55">
        <v>129343775616</v>
      </c>
      <c r="B397" s="53" t="s">
        <v>2386</v>
      </c>
      <c r="C397" s="54">
        <v>45939</v>
      </c>
      <c r="D397" s="55">
        <v>51429804329</v>
      </c>
      <c r="E397" s="55">
        <v>2091410284650</v>
      </c>
      <c r="F397" s="56" t="s">
        <v>2475</v>
      </c>
      <c r="G397" s="56" t="s">
        <v>2388</v>
      </c>
      <c r="H397" s="56" t="s">
        <v>8</v>
      </c>
      <c r="I397" s="55" t="s">
        <v>8</v>
      </c>
      <c r="J397" s="57">
        <v>319.62</v>
      </c>
      <c r="K397" s="56" t="s">
        <v>2389</v>
      </c>
      <c r="L397" s="56" t="s">
        <v>2390</v>
      </c>
      <c r="M397" s="55" t="s">
        <v>2391</v>
      </c>
      <c r="N397" s="56" t="s">
        <v>2392</v>
      </c>
      <c r="O397" s="53" t="s">
        <v>8</v>
      </c>
      <c r="P397" s="56" t="s">
        <v>2476</v>
      </c>
      <c r="Q397" s="57">
        <v>4200</v>
      </c>
      <c r="R397" s="58" t="s">
        <v>8</v>
      </c>
      <c r="S397" s="57" t="s">
        <v>8</v>
      </c>
      <c r="T397" s="56" t="s">
        <v>2394</v>
      </c>
    </row>
    <row r="398" spans="1:20">
      <c r="A398" s="55">
        <v>128774456603</v>
      </c>
      <c r="B398" s="53" t="s">
        <v>2386</v>
      </c>
      <c r="C398" s="54">
        <v>45939</v>
      </c>
      <c r="D398" s="55">
        <v>51430520853</v>
      </c>
      <c r="E398" s="55">
        <v>2091425081910</v>
      </c>
      <c r="F398" s="56" t="s">
        <v>2401</v>
      </c>
      <c r="G398" s="56" t="s">
        <v>2388</v>
      </c>
      <c r="H398" s="56" t="s">
        <v>8</v>
      </c>
      <c r="I398" s="55" t="s">
        <v>8</v>
      </c>
      <c r="J398" s="57">
        <v>217.92</v>
      </c>
      <c r="K398" s="56" t="s">
        <v>2389</v>
      </c>
      <c r="L398" s="56" t="s">
        <v>2402</v>
      </c>
      <c r="M398" s="55" t="s">
        <v>2391</v>
      </c>
      <c r="N398" s="56" t="s">
        <v>2392</v>
      </c>
      <c r="O398" s="53" t="s">
        <v>2055</v>
      </c>
      <c r="P398" s="56" t="s">
        <v>2403</v>
      </c>
      <c r="Q398" s="57">
        <v>4800</v>
      </c>
      <c r="R398" s="58" t="s">
        <v>8</v>
      </c>
      <c r="S398" s="57" t="s">
        <v>8</v>
      </c>
      <c r="T398" s="56" t="s">
        <v>2394</v>
      </c>
    </row>
    <row r="399" spans="1:20">
      <c r="A399" s="55">
        <v>128774562893</v>
      </c>
      <c r="B399" s="53" t="s">
        <v>2386</v>
      </c>
      <c r="C399" s="54">
        <v>45939</v>
      </c>
      <c r="D399" s="55">
        <v>51430560743</v>
      </c>
      <c r="E399" s="55">
        <v>2091425913762</v>
      </c>
      <c r="F399" s="56" t="s">
        <v>2401</v>
      </c>
      <c r="G399" s="56" t="s">
        <v>2388</v>
      </c>
      <c r="H399" s="56" t="s">
        <v>8</v>
      </c>
      <c r="I399" s="55" t="s">
        <v>8</v>
      </c>
      <c r="J399" s="57">
        <v>188.64</v>
      </c>
      <c r="K399" s="56" t="s">
        <v>2389</v>
      </c>
      <c r="L399" s="56" t="s">
        <v>2402</v>
      </c>
      <c r="M399" s="55" t="s">
        <v>2391</v>
      </c>
      <c r="N399" s="56" t="s">
        <v>2392</v>
      </c>
      <c r="O399" s="53" t="s">
        <v>2055</v>
      </c>
      <c r="P399" s="56" t="s">
        <v>2403</v>
      </c>
      <c r="Q399" s="57">
        <v>4800</v>
      </c>
      <c r="R399" s="58" t="s">
        <v>8</v>
      </c>
      <c r="S399" s="57" t="s">
        <v>8</v>
      </c>
      <c r="T399" s="56" t="s">
        <v>2394</v>
      </c>
    </row>
    <row r="400" spans="1:20">
      <c r="A400" s="55">
        <v>128774751883</v>
      </c>
      <c r="B400" s="53" t="s">
        <v>2386</v>
      </c>
      <c r="C400" s="54">
        <v>45939</v>
      </c>
      <c r="D400" s="55">
        <v>51430677976</v>
      </c>
      <c r="E400" s="55">
        <v>2091361294353</v>
      </c>
      <c r="F400" s="56" t="s">
        <v>2475</v>
      </c>
      <c r="G400" s="56" t="s">
        <v>2388</v>
      </c>
      <c r="H400" s="56" t="s">
        <v>8</v>
      </c>
      <c r="I400" s="55" t="s">
        <v>8</v>
      </c>
      <c r="J400" s="57">
        <v>365.28</v>
      </c>
      <c r="K400" s="56" t="s">
        <v>2389</v>
      </c>
      <c r="L400" s="56" t="s">
        <v>2390</v>
      </c>
      <c r="M400" s="55" t="s">
        <v>2391</v>
      </c>
      <c r="N400" s="56" t="s">
        <v>2392</v>
      </c>
      <c r="O400" s="53" t="s">
        <v>8</v>
      </c>
      <c r="P400" s="56" t="s">
        <v>2477</v>
      </c>
      <c r="Q400" s="57">
        <v>4800</v>
      </c>
      <c r="R400" s="58" t="s">
        <v>8</v>
      </c>
      <c r="S400" s="57" t="s">
        <v>8</v>
      </c>
      <c r="T400" s="56" t="s">
        <v>2394</v>
      </c>
    </row>
    <row r="401" spans="1:20">
      <c r="A401" s="55">
        <v>128775176401</v>
      </c>
      <c r="B401" s="53" t="s">
        <v>2386</v>
      </c>
      <c r="C401" s="54">
        <v>45939</v>
      </c>
      <c r="D401" s="55">
        <v>51430783966</v>
      </c>
      <c r="E401" s="55">
        <v>2091430276526</v>
      </c>
      <c r="F401" s="56" t="s">
        <v>2387</v>
      </c>
      <c r="G401" s="56" t="s">
        <v>2388</v>
      </c>
      <c r="H401" s="56" t="s">
        <v>8</v>
      </c>
      <c r="I401" s="55" t="s">
        <v>8</v>
      </c>
      <c r="J401" s="57">
        <v>46.56</v>
      </c>
      <c r="K401" s="56" t="s">
        <v>2389</v>
      </c>
      <c r="L401" s="56" t="s">
        <v>2390</v>
      </c>
      <c r="M401" s="55" t="s">
        <v>2391</v>
      </c>
      <c r="N401" s="56" t="s">
        <v>2392</v>
      </c>
      <c r="O401" s="53" t="s">
        <v>8</v>
      </c>
      <c r="P401" s="56" t="s">
        <v>2478</v>
      </c>
      <c r="Q401" s="57">
        <v>4800</v>
      </c>
      <c r="R401" s="58" t="s">
        <v>8</v>
      </c>
      <c r="S401" s="57" t="s">
        <v>8</v>
      </c>
      <c r="T401" s="56" t="s">
        <v>2394</v>
      </c>
    </row>
    <row r="402" spans="1:20">
      <c r="A402" s="55">
        <v>128775151897</v>
      </c>
      <c r="B402" s="53" t="s">
        <v>2386</v>
      </c>
      <c r="C402" s="54">
        <v>45939</v>
      </c>
      <c r="D402" s="55">
        <v>51430846471</v>
      </c>
      <c r="E402" s="55">
        <v>2091364522687</v>
      </c>
      <c r="F402" s="56" t="s">
        <v>2387</v>
      </c>
      <c r="G402" s="56" t="s">
        <v>2388</v>
      </c>
      <c r="H402" s="56" t="s">
        <v>8</v>
      </c>
      <c r="I402" s="55" t="s">
        <v>8</v>
      </c>
      <c r="J402" s="57">
        <v>46.56</v>
      </c>
      <c r="K402" s="56" t="s">
        <v>2389</v>
      </c>
      <c r="L402" s="56" t="s">
        <v>2390</v>
      </c>
      <c r="M402" s="55" t="s">
        <v>2391</v>
      </c>
      <c r="N402" s="56" t="s">
        <v>2392</v>
      </c>
      <c r="O402" s="53" t="s">
        <v>8</v>
      </c>
      <c r="P402" s="56" t="s">
        <v>2479</v>
      </c>
      <c r="Q402" s="57">
        <v>4800</v>
      </c>
      <c r="R402" s="58" t="s">
        <v>8</v>
      </c>
      <c r="S402" s="57" t="s">
        <v>8</v>
      </c>
      <c r="T402" s="56" t="s">
        <v>2394</v>
      </c>
    </row>
    <row r="403" spans="1:20">
      <c r="A403" s="55">
        <v>129347015590</v>
      </c>
      <c r="B403" s="53" t="s">
        <v>2386</v>
      </c>
      <c r="C403" s="54">
        <v>45939</v>
      </c>
      <c r="D403" s="55">
        <v>51430981124</v>
      </c>
      <c r="E403" s="55">
        <v>2091434047228</v>
      </c>
      <c r="F403" s="56" t="s">
        <v>2401</v>
      </c>
      <c r="G403" s="56" t="s">
        <v>2388</v>
      </c>
      <c r="H403" s="56" t="s">
        <v>8</v>
      </c>
      <c r="I403" s="55" t="s">
        <v>8</v>
      </c>
      <c r="J403" s="57">
        <v>1135.77</v>
      </c>
      <c r="K403" s="56" t="s">
        <v>2389</v>
      </c>
      <c r="L403" s="56" t="s">
        <v>2402</v>
      </c>
      <c r="M403" s="55" t="s">
        <v>2391</v>
      </c>
      <c r="N403" s="56" t="s">
        <v>2392</v>
      </c>
      <c r="O403" s="53" t="s">
        <v>2055</v>
      </c>
      <c r="P403" s="56" t="s">
        <v>2403</v>
      </c>
      <c r="Q403" s="57">
        <v>28900</v>
      </c>
      <c r="R403" s="58" t="s">
        <v>8</v>
      </c>
      <c r="S403" s="57" t="s">
        <v>8</v>
      </c>
      <c r="T403" s="56" t="s">
        <v>2394</v>
      </c>
    </row>
    <row r="404" spans="1:20">
      <c r="A404" s="55">
        <v>128775704947</v>
      </c>
      <c r="B404" s="53" t="s">
        <v>2386</v>
      </c>
      <c r="C404" s="54">
        <v>45939</v>
      </c>
      <c r="D404" s="55">
        <v>51431046339</v>
      </c>
      <c r="E404" s="55">
        <v>2091368520885</v>
      </c>
      <c r="F404" s="56" t="s">
        <v>2387</v>
      </c>
      <c r="G404" s="56" t="s">
        <v>2388</v>
      </c>
      <c r="H404" s="56" t="s">
        <v>8</v>
      </c>
      <c r="I404" s="55" t="s">
        <v>8</v>
      </c>
      <c r="J404" s="57">
        <v>537.38</v>
      </c>
      <c r="K404" s="56" t="s">
        <v>2389</v>
      </c>
      <c r="L404" s="56" t="s">
        <v>2390</v>
      </c>
      <c r="M404" s="55" t="s">
        <v>2391</v>
      </c>
      <c r="N404" s="56" t="s">
        <v>2392</v>
      </c>
      <c r="O404" s="53" t="s">
        <v>8</v>
      </c>
      <c r="P404" s="56" t="s">
        <v>2480</v>
      </c>
      <c r="Q404" s="57">
        <v>55400</v>
      </c>
      <c r="R404" s="58" t="s">
        <v>8</v>
      </c>
      <c r="S404" s="57" t="s">
        <v>8</v>
      </c>
      <c r="T404" s="56" t="s">
        <v>2394</v>
      </c>
    </row>
    <row r="405" spans="1:20">
      <c r="A405" s="55">
        <v>129347413210</v>
      </c>
      <c r="B405" s="53" t="s">
        <v>2386</v>
      </c>
      <c r="C405" s="54">
        <v>45939</v>
      </c>
      <c r="D405" s="55">
        <v>51431103613</v>
      </c>
      <c r="E405" s="55">
        <v>2091436441758</v>
      </c>
      <c r="F405" s="56" t="s">
        <v>2387</v>
      </c>
      <c r="G405" s="56" t="s">
        <v>2388</v>
      </c>
      <c r="H405" s="56" t="s">
        <v>8</v>
      </c>
      <c r="I405" s="55" t="s">
        <v>8</v>
      </c>
      <c r="J405" s="57">
        <v>38.799999999999997</v>
      </c>
      <c r="K405" s="56" t="s">
        <v>2389</v>
      </c>
      <c r="L405" s="56" t="s">
        <v>2390</v>
      </c>
      <c r="M405" s="55" t="s">
        <v>2391</v>
      </c>
      <c r="N405" s="56" t="s">
        <v>2392</v>
      </c>
      <c r="O405" s="53" t="s">
        <v>8</v>
      </c>
      <c r="P405" s="56" t="s">
        <v>2481</v>
      </c>
      <c r="Q405" s="57">
        <v>4000</v>
      </c>
      <c r="R405" s="58" t="s">
        <v>8</v>
      </c>
      <c r="S405" s="57" t="s">
        <v>8</v>
      </c>
      <c r="T405" s="56" t="s">
        <v>2394</v>
      </c>
    </row>
    <row r="406" spans="1:20">
      <c r="A406" s="55">
        <v>129348090922</v>
      </c>
      <c r="B406" s="53" t="s">
        <v>2386</v>
      </c>
      <c r="C406" s="54">
        <v>45939</v>
      </c>
      <c r="D406" s="55">
        <v>51431376917</v>
      </c>
      <c r="E406" s="55">
        <v>2091374506953</v>
      </c>
      <c r="F406" s="56" t="s">
        <v>2387</v>
      </c>
      <c r="G406" s="56" t="s">
        <v>2388</v>
      </c>
      <c r="H406" s="56" t="s">
        <v>8</v>
      </c>
      <c r="I406" s="55" t="s">
        <v>8</v>
      </c>
      <c r="J406" s="57">
        <v>40.74</v>
      </c>
      <c r="K406" s="56" t="s">
        <v>2389</v>
      </c>
      <c r="L406" s="56" t="s">
        <v>2390</v>
      </c>
      <c r="M406" s="55" t="s">
        <v>2391</v>
      </c>
      <c r="N406" s="56" t="s">
        <v>2392</v>
      </c>
      <c r="O406" s="53" t="s">
        <v>8</v>
      </c>
      <c r="P406" s="56" t="s">
        <v>2482</v>
      </c>
      <c r="Q406" s="57">
        <v>4200</v>
      </c>
      <c r="R406" s="58" t="s">
        <v>8</v>
      </c>
      <c r="S406" s="57" t="s">
        <v>8</v>
      </c>
      <c r="T406" s="56" t="s">
        <v>2394</v>
      </c>
    </row>
    <row r="407" spans="1:20">
      <c r="A407" s="55">
        <v>128776692003</v>
      </c>
      <c r="B407" s="53" t="s">
        <v>2386</v>
      </c>
      <c r="C407" s="54">
        <v>45939</v>
      </c>
      <c r="D407" s="55">
        <v>51431433445</v>
      </c>
      <c r="E407" s="55">
        <v>2091376314053</v>
      </c>
      <c r="F407" s="56" t="s">
        <v>2387</v>
      </c>
      <c r="G407" s="56" t="s">
        <v>2388</v>
      </c>
      <c r="H407" s="56" t="s">
        <v>8</v>
      </c>
      <c r="I407" s="55" t="s">
        <v>8</v>
      </c>
      <c r="J407" s="57">
        <v>43.65</v>
      </c>
      <c r="K407" s="56" t="s">
        <v>2389</v>
      </c>
      <c r="L407" s="56" t="s">
        <v>2390</v>
      </c>
      <c r="M407" s="55" t="s">
        <v>2391</v>
      </c>
      <c r="N407" s="56" t="s">
        <v>2392</v>
      </c>
      <c r="O407" s="53" t="s">
        <v>8</v>
      </c>
      <c r="P407" s="56" t="s">
        <v>2483</v>
      </c>
      <c r="Q407" s="57">
        <v>4500</v>
      </c>
      <c r="R407" s="58" t="s">
        <v>8</v>
      </c>
      <c r="S407" s="57" t="s">
        <v>8</v>
      </c>
      <c r="T407" s="56" t="s">
        <v>2394</v>
      </c>
    </row>
    <row r="408" spans="1:20">
      <c r="A408" s="55">
        <v>128777868789</v>
      </c>
      <c r="B408" s="53" t="s">
        <v>2386</v>
      </c>
      <c r="C408" s="54">
        <v>45939</v>
      </c>
      <c r="D408" s="55">
        <v>51431856724</v>
      </c>
      <c r="E408" s="55">
        <v>2091450713930</v>
      </c>
      <c r="F408" s="56" t="s">
        <v>2387</v>
      </c>
      <c r="G408" s="56" t="s">
        <v>2388</v>
      </c>
      <c r="H408" s="56" t="s">
        <v>8</v>
      </c>
      <c r="I408" s="55" t="s">
        <v>8</v>
      </c>
      <c r="J408" s="57">
        <v>39.119999999999997</v>
      </c>
      <c r="K408" s="56" t="s">
        <v>2389</v>
      </c>
      <c r="L408" s="56" t="s">
        <v>2390</v>
      </c>
      <c r="M408" s="55" t="s">
        <v>2391</v>
      </c>
      <c r="N408" s="56" t="s">
        <v>2392</v>
      </c>
      <c r="O408" s="53" t="s">
        <v>8</v>
      </c>
      <c r="P408" s="56" t="s">
        <v>2484</v>
      </c>
      <c r="Q408" s="57">
        <v>2400</v>
      </c>
      <c r="R408" s="58" t="s">
        <v>8</v>
      </c>
      <c r="S408" s="57" t="s">
        <v>8</v>
      </c>
      <c r="T408" s="56" t="s">
        <v>2394</v>
      </c>
    </row>
    <row r="409" spans="1:20">
      <c r="A409" s="55">
        <v>129349865056</v>
      </c>
      <c r="B409" s="53" t="s">
        <v>2386</v>
      </c>
      <c r="C409" s="54">
        <v>45939</v>
      </c>
      <c r="D409" s="55">
        <v>51431980157</v>
      </c>
      <c r="E409" s="55">
        <v>2091453455264</v>
      </c>
      <c r="F409" s="56" t="s">
        <v>2387</v>
      </c>
      <c r="G409" s="56" t="s">
        <v>2388</v>
      </c>
      <c r="H409" s="56" t="s">
        <v>8</v>
      </c>
      <c r="I409" s="55" t="s">
        <v>8</v>
      </c>
      <c r="J409" s="57">
        <v>58.2</v>
      </c>
      <c r="K409" s="56" t="s">
        <v>2389</v>
      </c>
      <c r="L409" s="56" t="s">
        <v>2390</v>
      </c>
      <c r="M409" s="55" t="s">
        <v>2391</v>
      </c>
      <c r="N409" s="56" t="s">
        <v>2392</v>
      </c>
      <c r="O409" s="53" t="s">
        <v>8</v>
      </c>
      <c r="P409" s="56" t="s">
        <v>2485</v>
      </c>
      <c r="Q409" s="57">
        <v>6000</v>
      </c>
      <c r="R409" s="58" t="s">
        <v>8</v>
      </c>
      <c r="S409" s="57" t="s">
        <v>8</v>
      </c>
      <c r="T409" s="56" t="s">
        <v>2394</v>
      </c>
    </row>
    <row r="410" spans="1:20">
      <c r="A410" s="55">
        <v>128778387735</v>
      </c>
      <c r="B410" s="53" t="s">
        <v>2386</v>
      </c>
      <c r="C410" s="54">
        <v>45939</v>
      </c>
      <c r="D410" s="55">
        <v>51432082111</v>
      </c>
      <c r="E410" s="55">
        <v>2091389078837</v>
      </c>
      <c r="F410" s="56" t="s">
        <v>2411</v>
      </c>
      <c r="G410" s="56" t="s">
        <v>2388</v>
      </c>
      <c r="H410" s="56" t="s">
        <v>8</v>
      </c>
      <c r="I410" s="55" t="s">
        <v>8</v>
      </c>
      <c r="J410" s="57">
        <v>51.41</v>
      </c>
      <c r="K410" s="56" t="s">
        <v>2389</v>
      </c>
      <c r="L410" s="56" t="s">
        <v>2390</v>
      </c>
      <c r="M410" s="55" t="s">
        <v>2391</v>
      </c>
      <c r="N410" s="56" t="s">
        <v>2392</v>
      </c>
      <c r="O410" s="53" t="s">
        <v>8</v>
      </c>
      <c r="P410" s="56" t="s">
        <v>2412</v>
      </c>
      <c r="Q410" s="57">
        <v>5300</v>
      </c>
      <c r="R410" s="58" t="s">
        <v>8</v>
      </c>
      <c r="S410" s="57" t="s">
        <v>8</v>
      </c>
      <c r="T410" s="56" t="s">
        <v>8</v>
      </c>
    </row>
    <row r="411" spans="1:20">
      <c r="A411" s="55">
        <v>129351184458</v>
      </c>
      <c r="B411" s="53" t="s">
        <v>2386</v>
      </c>
      <c r="C411" s="54">
        <v>45939</v>
      </c>
      <c r="D411" s="55">
        <v>51432446092</v>
      </c>
      <c r="E411" s="55">
        <v>2091462872648</v>
      </c>
      <c r="F411" s="56" t="s">
        <v>2401</v>
      </c>
      <c r="G411" s="56" t="s">
        <v>2388</v>
      </c>
      <c r="H411" s="56" t="s">
        <v>8</v>
      </c>
      <c r="I411" s="55" t="s">
        <v>8</v>
      </c>
      <c r="J411" s="57">
        <v>703.47</v>
      </c>
      <c r="K411" s="56" t="s">
        <v>2389</v>
      </c>
      <c r="L411" s="56" t="s">
        <v>2402</v>
      </c>
      <c r="M411" s="55" t="s">
        <v>2391</v>
      </c>
      <c r="N411" s="56" t="s">
        <v>2392</v>
      </c>
      <c r="O411" s="53" t="s">
        <v>2055</v>
      </c>
      <c r="P411" s="56" t="s">
        <v>2403</v>
      </c>
      <c r="Q411" s="57">
        <v>17900</v>
      </c>
      <c r="R411" s="58" t="s">
        <v>8</v>
      </c>
      <c r="S411" s="57" t="s">
        <v>8</v>
      </c>
      <c r="T411" s="56" t="s">
        <v>2394</v>
      </c>
    </row>
    <row r="412" spans="1:20">
      <c r="A412" s="55">
        <v>129351342590</v>
      </c>
      <c r="B412" s="53" t="s">
        <v>2386</v>
      </c>
      <c r="C412" s="54">
        <v>45939</v>
      </c>
      <c r="D412" s="55">
        <v>51432474803</v>
      </c>
      <c r="E412" s="55">
        <v>2091396768637</v>
      </c>
      <c r="F412" s="56" t="s">
        <v>2387</v>
      </c>
      <c r="G412" s="56" t="s">
        <v>2388</v>
      </c>
      <c r="H412" s="56" t="s">
        <v>8</v>
      </c>
      <c r="I412" s="55" t="s">
        <v>8</v>
      </c>
      <c r="J412" s="57">
        <v>46.56</v>
      </c>
      <c r="K412" s="56" t="s">
        <v>2389</v>
      </c>
      <c r="L412" s="56" t="s">
        <v>2390</v>
      </c>
      <c r="M412" s="55" t="s">
        <v>2391</v>
      </c>
      <c r="N412" s="56" t="s">
        <v>2392</v>
      </c>
      <c r="O412" s="53" t="s">
        <v>8</v>
      </c>
      <c r="P412" s="56" t="s">
        <v>2486</v>
      </c>
      <c r="Q412" s="57">
        <v>4800</v>
      </c>
      <c r="R412" s="58" t="s">
        <v>8</v>
      </c>
      <c r="S412" s="57" t="s">
        <v>8</v>
      </c>
      <c r="T412" s="56" t="s">
        <v>2394</v>
      </c>
    </row>
    <row r="413" spans="1:20">
      <c r="A413" s="55">
        <v>129351319166</v>
      </c>
      <c r="B413" s="53" t="s">
        <v>2386</v>
      </c>
      <c r="C413" s="54">
        <v>45939</v>
      </c>
      <c r="D413" s="55">
        <v>51432479421</v>
      </c>
      <c r="E413" s="55">
        <v>2091397290495</v>
      </c>
      <c r="F413" s="56" t="s">
        <v>2475</v>
      </c>
      <c r="G413" s="56" t="s">
        <v>2388</v>
      </c>
      <c r="H413" s="56" t="s">
        <v>8</v>
      </c>
      <c r="I413" s="55" t="s">
        <v>8</v>
      </c>
      <c r="J413" s="57">
        <v>32.6</v>
      </c>
      <c r="K413" s="56" t="s">
        <v>2389</v>
      </c>
      <c r="L413" s="56" t="s">
        <v>2390</v>
      </c>
      <c r="M413" s="55" t="s">
        <v>2391</v>
      </c>
      <c r="N413" s="56" t="s">
        <v>2392</v>
      </c>
      <c r="O413" s="53" t="s">
        <v>8</v>
      </c>
      <c r="P413" s="56" t="s">
        <v>2476</v>
      </c>
      <c r="Q413" s="57">
        <v>2000</v>
      </c>
      <c r="R413" s="58" t="s">
        <v>8</v>
      </c>
      <c r="S413" s="57" t="s">
        <v>8</v>
      </c>
      <c r="T413" s="56" t="s">
        <v>2394</v>
      </c>
    </row>
    <row r="414" spans="1:20">
      <c r="A414" s="55">
        <v>129351544106</v>
      </c>
      <c r="B414" s="53" t="s">
        <v>2386</v>
      </c>
      <c r="C414" s="54">
        <v>45939</v>
      </c>
      <c r="D414" s="55">
        <v>51432555082</v>
      </c>
      <c r="E414" s="55">
        <v>2091398472541</v>
      </c>
      <c r="F414" s="56" t="s">
        <v>2387</v>
      </c>
      <c r="G414" s="56" t="s">
        <v>2388</v>
      </c>
      <c r="H414" s="56" t="s">
        <v>8</v>
      </c>
      <c r="I414" s="55" t="s">
        <v>8</v>
      </c>
      <c r="J414" s="57">
        <v>76.63</v>
      </c>
      <c r="K414" s="56" t="s">
        <v>2389</v>
      </c>
      <c r="L414" s="56" t="s">
        <v>2390</v>
      </c>
      <c r="M414" s="55" t="s">
        <v>2391</v>
      </c>
      <c r="N414" s="56" t="s">
        <v>2392</v>
      </c>
      <c r="O414" s="53" t="s">
        <v>8</v>
      </c>
      <c r="P414" s="56" t="s">
        <v>2487</v>
      </c>
      <c r="Q414" s="57">
        <v>7900</v>
      </c>
      <c r="R414" s="58" t="s">
        <v>8</v>
      </c>
      <c r="S414" s="57" t="s">
        <v>8</v>
      </c>
      <c r="T414" s="56" t="s">
        <v>2394</v>
      </c>
    </row>
    <row r="415" spans="1:20">
      <c r="A415" s="55">
        <v>128779755299</v>
      </c>
      <c r="B415" s="53" t="s">
        <v>2386</v>
      </c>
      <c r="C415" s="54">
        <v>45939</v>
      </c>
      <c r="D415" s="55">
        <v>51432580519</v>
      </c>
      <c r="E415" s="55">
        <v>2091399280881</v>
      </c>
      <c r="F415" s="56" t="s">
        <v>2401</v>
      </c>
      <c r="G415" s="56" t="s">
        <v>2388</v>
      </c>
      <c r="H415" s="56" t="s">
        <v>8</v>
      </c>
      <c r="I415" s="55" t="s">
        <v>8</v>
      </c>
      <c r="J415" s="57">
        <v>1257.5999999999999</v>
      </c>
      <c r="K415" s="56" t="s">
        <v>2389</v>
      </c>
      <c r="L415" s="56" t="s">
        <v>2402</v>
      </c>
      <c r="M415" s="55" t="s">
        <v>2391</v>
      </c>
      <c r="N415" s="56" t="s">
        <v>2392</v>
      </c>
      <c r="O415" s="53" t="s">
        <v>2055</v>
      </c>
      <c r="P415" s="56" t="s">
        <v>2403</v>
      </c>
      <c r="Q415" s="57">
        <v>32000</v>
      </c>
      <c r="R415" s="58" t="s">
        <v>8</v>
      </c>
      <c r="S415" s="57" t="s">
        <v>8</v>
      </c>
      <c r="T415" s="56" t="s">
        <v>2394</v>
      </c>
    </row>
    <row r="416" spans="1:20">
      <c r="A416" s="55">
        <v>128779823515</v>
      </c>
      <c r="B416" s="53" t="s">
        <v>2386</v>
      </c>
      <c r="C416" s="54">
        <v>45939</v>
      </c>
      <c r="D416" s="55">
        <v>51432599716</v>
      </c>
      <c r="E416" s="55">
        <v>2091466068068</v>
      </c>
      <c r="F416" s="56" t="s">
        <v>2387</v>
      </c>
      <c r="G416" s="56" t="s">
        <v>2388</v>
      </c>
      <c r="H416" s="56" t="s">
        <v>8</v>
      </c>
      <c r="I416" s="55" t="s">
        <v>8</v>
      </c>
      <c r="J416" s="57">
        <v>46.56</v>
      </c>
      <c r="K416" s="56" t="s">
        <v>2389</v>
      </c>
      <c r="L416" s="56" t="s">
        <v>2390</v>
      </c>
      <c r="M416" s="55" t="s">
        <v>2391</v>
      </c>
      <c r="N416" s="56" t="s">
        <v>2392</v>
      </c>
      <c r="O416" s="53" t="s">
        <v>8</v>
      </c>
      <c r="P416" s="56" t="s">
        <v>2488</v>
      </c>
      <c r="Q416" s="57">
        <v>4800</v>
      </c>
      <c r="R416" s="58" t="s">
        <v>8</v>
      </c>
      <c r="S416" s="57" t="s">
        <v>8</v>
      </c>
      <c r="T416" s="56" t="s">
        <v>2394</v>
      </c>
    </row>
    <row r="417" spans="1:20">
      <c r="A417" s="55">
        <v>129351615426</v>
      </c>
      <c r="B417" s="53" t="s">
        <v>2386</v>
      </c>
      <c r="C417" s="54">
        <v>45939</v>
      </c>
      <c r="D417" s="55">
        <v>51432648962</v>
      </c>
      <c r="E417" s="55">
        <v>2091467227582</v>
      </c>
      <c r="F417" s="56" t="s">
        <v>2411</v>
      </c>
      <c r="G417" s="56" t="s">
        <v>2388</v>
      </c>
      <c r="H417" s="56" t="s">
        <v>8</v>
      </c>
      <c r="I417" s="55" t="s">
        <v>8</v>
      </c>
      <c r="J417" s="57">
        <v>46.56</v>
      </c>
      <c r="K417" s="56" t="s">
        <v>2389</v>
      </c>
      <c r="L417" s="56" t="s">
        <v>2390</v>
      </c>
      <c r="M417" s="55" t="s">
        <v>2391</v>
      </c>
      <c r="N417" s="56" t="s">
        <v>2392</v>
      </c>
      <c r="O417" s="53" t="s">
        <v>8</v>
      </c>
      <c r="P417" s="56" t="s">
        <v>2412</v>
      </c>
      <c r="Q417" s="57">
        <v>4800</v>
      </c>
      <c r="R417" s="58" t="s">
        <v>8</v>
      </c>
      <c r="S417" s="57" t="s">
        <v>8</v>
      </c>
      <c r="T417" s="56" t="s">
        <v>8</v>
      </c>
    </row>
    <row r="418" spans="1:20">
      <c r="A418" s="55">
        <v>129352021290</v>
      </c>
      <c r="B418" s="53" t="s">
        <v>2386</v>
      </c>
      <c r="C418" s="54">
        <v>45939</v>
      </c>
      <c r="D418" s="55">
        <v>51432773504</v>
      </c>
      <c r="E418" s="55">
        <v>2091470127272</v>
      </c>
      <c r="F418" s="56" t="s">
        <v>2387</v>
      </c>
      <c r="G418" s="56" t="s">
        <v>2388</v>
      </c>
      <c r="H418" s="56" t="s">
        <v>8</v>
      </c>
      <c r="I418" s="55" t="s">
        <v>8</v>
      </c>
      <c r="J418" s="57">
        <v>46.56</v>
      </c>
      <c r="K418" s="56" t="s">
        <v>2389</v>
      </c>
      <c r="L418" s="56" t="s">
        <v>2390</v>
      </c>
      <c r="M418" s="55" t="s">
        <v>2391</v>
      </c>
      <c r="N418" s="56" t="s">
        <v>2392</v>
      </c>
      <c r="O418" s="53" t="s">
        <v>8</v>
      </c>
      <c r="P418" s="56" t="s">
        <v>2489</v>
      </c>
      <c r="Q418" s="57">
        <v>4800</v>
      </c>
      <c r="R418" s="58" t="s">
        <v>8</v>
      </c>
      <c r="S418" s="57" t="s">
        <v>8</v>
      </c>
      <c r="T418" s="56" t="s">
        <v>2394</v>
      </c>
    </row>
    <row r="419" spans="1:20">
      <c r="A419" s="55">
        <v>128780337091</v>
      </c>
      <c r="B419" s="53" t="s">
        <v>2386</v>
      </c>
      <c r="C419" s="54">
        <v>45939</v>
      </c>
      <c r="D419" s="55">
        <v>51432785468</v>
      </c>
      <c r="E419" s="55">
        <v>2091469654338</v>
      </c>
      <c r="F419" s="56" t="s">
        <v>2387</v>
      </c>
      <c r="G419" s="56" t="s">
        <v>2388</v>
      </c>
      <c r="H419" s="56" t="s">
        <v>8</v>
      </c>
      <c r="I419" s="55" t="s">
        <v>8</v>
      </c>
      <c r="J419" s="57">
        <v>334.84</v>
      </c>
      <c r="K419" s="56" t="s">
        <v>2389</v>
      </c>
      <c r="L419" s="56" t="s">
        <v>2390</v>
      </c>
      <c r="M419" s="55" t="s">
        <v>2391</v>
      </c>
      <c r="N419" s="56" t="s">
        <v>2392</v>
      </c>
      <c r="O419" s="53" t="s">
        <v>8</v>
      </c>
      <c r="P419" s="56" t="s">
        <v>2490</v>
      </c>
      <c r="Q419" s="57">
        <v>4400</v>
      </c>
      <c r="R419" s="58" t="s">
        <v>8</v>
      </c>
      <c r="S419" s="57" t="s">
        <v>8</v>
      </c>
      <c r="T419" s="56" t="s">
        <v>2394</v>
      </c>
    </row>
    <row r="420" spans="1:20">
      <c r="A420" s="55">
        <v>129352179438</v>
      </c>
      <c r="B420" s="53" t="s">
        <v>2386</v>
      </c>
      <c r="C420" s="54">
        <v>45939</v>
      </c>
      <c r="D420" s="55">
        <v>51432888456</v>
      </c>
      <c r="E420" s="55">
        <v>2091405210603</v>
      </c>
      <c r="F420" s="56" t="s">
        <v>2401</v>
      </c>
      <c r="G420" s="56" t="s">
        <v>2388</v>
      </c>
      <c r="H420" s="56" t="s">
        <v>8</v>
      </c>
      <c r="I420" s="55" t="s">
        <v>8</v>
      </c>
      <c r="J420" s="57">
        <v>565.91999999999996</v>
      </c>
      <c r="K420" s="56" t="s">
        <v>2389</v>
      </c>
      <c r="L420" s="56" t="s">
        <v>2402</v>
      </c>
      <c r="M420" s="55" t="s">
        <v>2391</v>
      </c>
      <c r="N420" s="56" t="s">
        <v>2392</v>
      </c>
      <c r="O420" s="53" t="s">
        <v>2055</v>
      </c>
      <c r="P420" s="56" t="s">
        <v>2403</v>
      </c>
      <c r="Q420" s="57">
        <v>14400</v>
      </c>
      <c r="R420" s="58" t="s">
        <v>8</v>
      </c>
      <c r="S420" s="57" t="s">
        <v>8</v>
      </c>
      <c r="T420" s="56" t="s">
        <v>2394</v>
      </c>
    </row>
    <row r="421" spans="1:20">
      <c r="A421" s="55">
        <v>128780754643</v>
      </c>
      <c r="B421" s="53" t="s">
        <v>2386</v>
      </c>
      <c r="C421" s="54">
        <v>45939</v>
      </c>
      <c r="D421" s="55">
        <v>51432934213</v>
      </c>
      <c r="E421" s="55">
        <v>2091473009536</v>
      </c>
      <c r="F421" s="56" t="s">
        <v>2401</v>
      </c>
      <c r="G421" s="56" t="s">
        <v>2388</v>
      </c>
      <c r="H421" s="56" t="s">
        <v>8</v>
      </c>
      <c r="I421" s="55" t="s">
        <v>8</v>
      </c>
      <c r="J421" s="57">
        <v>608.79999999999995</v>
      </c>
      <c r="K421" s="56" t="s">
        <v>2389</v>
      </c>
      <c r="L421" s="56" t="s">
        <v>2402</v>
      </c>
      <c r="M421" s="55" t="s">
        <v>2391</v>
      </c>
      <c r="N421" s="56" t="s">
        <v>2392</v>
      </c>
      <c r="O421" s="53" t="s">
        <v>2055</v>
      </c>
      <c r="P421" s="56" t="s">
        <v>2403</v>
      </c>
      <c r="Q421" s="57">
        <v>8000</v>
      </c>
      <c r="R421" s="58" t="s">
        <v>8</v>
      </c>
      <c r="S421" s="57" t="s">
        <v>8</v>
      </c>
      <c r="T421" s="56" t="s">
        <v>2394</v>
      </c>
    </row>
    <row r="422" spans="1:20">
      <c r="A422" s="55">
        <v>128780927843</v>
      </c>
      <c r="B422" s="53" t="s">
        <v>2386</v>
      </c>
      <c r="C422" s="54">
        <v>45939</v>
      </c>
      <c r="D422" s="55">
        <v>51433010358</v>
      </c>
      <c r="E422" s="55">
        <v>2091408070929</v>
      </c>
      <c r="F422" s="56" t="s">
        <v>2387</v>
      </c>
      <c r="G422" s="56" t="s">
        <v>2388</v>
      </c>
      <c r="H422" s="56" t="s">
        <v>8</v>
      </c>
      <c r="I422" s="55" t="s">
        <v>8</v>
      </c>
      <c r="J422" s="57">
        <v>46.56</v>
      </c>
      <c r="K422" s="56" t="s">
        <v>2389</v>
      </c>
      <c r="L422" s="56" t="s">
        <v>2390</v>
      </c>
      <c r="M422" s="55" t="s">
        <v>2391</v>
      </c>
      <c r="N422" s="56" t="s">
        <v>2392</v>
      </c>
      <c r="O422" s="53" t="s">
        <v>8</v>
      </c>
      <c r="P422" s="56" t="s">
        <v>2491</v>
      </c>
      <c r="Q422" s="57">
        <v>4800</v>
      </c>
      <c r="R422" s="58" t="s">
        <v>8</v>
      </c>
      <c r="S422" s="57" t="s">
        <v>8</v>
      </c>
      <c r="T422" s="56" t="s">
        <v>2394</v>
      </c>
    </row>
    <row r="423" spans="1:20">
      <c r="A423" s="55">
        <v>128781427399</v>
      </c>
      <c r="B423" s="53" t="s">
        <v>2386</v>
      </c>
      <c r="C423" s="54">
        <v>45939</v>
      </c>
      <c r="D423" s="55">
        <v>51433196925</v>
      </c>
      <c r="E423" s="55">
        <v>2091478261934</v>
      </c>
      <c r="F423" s="56" t="s">
        <v>2387</v>
      </c>
      <c r="G423" s="56" t="s">
        <v>2388</v>
      </c>
      <c r="H423" s="56" t="s">
        <v>8</v>
      </c>
      <c r="I423" s="55" t="s">
        <v>8</v>
      </c>
      <c r="J423" s="57">
        <v>107.67</v>
      </c>
      <c r="K423" s="56" t="s">
        <v>2389</v>
      </c>
      <c r="L423" s="56" t="s">
        <v>2390</v>
      </c>
      <c r="M423" s="55" t="s">
        <v>2391</v>
      </c>
      <c r="N423" s="56" t="s">
        <v>2392</v>
      </c>
      <c r="O423" s="53" t="s">
        <v>8</v>
      </c>
      <c r="P423" s="56" t="s">
        <v>2492</v>
      </c>
      <c r="Q423" s="57">
        <v>11100</v>
      </c>
      <c r="R423" s="58" t="s">
        <v>8</v>
      </c>
      <c r="S423" s="57" t="s">
        <v>8</v>
      </c>
      <c r="T423" s="56" t="s">
        <v>2394</v>
      </c>
    </row>
    <row r="424" spans="1:20">
      <c r="A424" s="55">
        <v>128781810467</v>
      </c>
      <c r="B424" s="53" t="s">
        <v>2386</v>
      </c>
      <c r="C424" s="54">
        <v>45939</v>
      </c>
      <c r="D424" s="55">
        <v>51433330630</v>
      </c>
      <c r="E424" s="55">
        <v>2091414395887</v>
      </c>
      <c r="F424" s="56" t="s">
        <v>2387</v>
      </c>
      <c r="G424" s="56" t="s">
        <v>2388</v>
      </c>
      <c r="H424" s="56" t="s">
        <v>8</v>
      </c>
      <c r="I424" s="55" t="s">
        <v>8</v>
      </c>
      <c r="J424" s="57">
        <v>69.84</v>
      </c>
      <c r="K424" s="56" t="s">
        <v>2389</v>
      </c>
      <c r="L424" s="56" t="s">
        <v>2390</v>
      </c>
      <c r="M424" s="55" t="s">
        <v>2391</v>
      </c>
      <c r="N424" s="56" t="s">
        <v>2392</v>
      </c>
      <c r="O424" s="53" t="s">
        <v>8</v>
      </c>
      <c r="P424" s="56" t="s">
        <v>2493</v>
      </c>
      <c r="Q424" s="57">
        <v>7200</v>
      </c>
      <c r="R424" s="58" t="s">
        <v>8</v>
      </c>
      <c r="S424" s="57" t="s">
        <v>8</v>
      </c>
      <c r="T424" s="56" t="s">
        <v>2394</v>
      </c>
    </row>
    <row r="425" spans="1:20">
      <c r="A425" s="55">
        <v>128782418285</v>
      </c>
      <c r="B425" s="53" t="s">
        <v>2386</v>
      </c>
      <c r="C425" s="54">
        <v>45939</v>
      </c>
      <c r="D425" s="55">
        <v>51433536275</v>
      </c>
      <c r="E425" s="55">
        <v>2091418745693</v>
      </c>
      <c r="F425" s="56" t="s">
        <v>2411</v>
      </c>
      <c r="G425" s="56" t="s">
        <v>2388</v>
      </c>
      <c r="H425" s="56" t="s">
        <v>8</v>
      </c>
      <c r="I425" s="55" t="s">
        <v>8</v>
      </c>
      <c r="J425" s="57">
        <v>432.62</v>
      </c>
      <c r="K425" s="56" t="s">
        <v>2389</v>
      </c>
      <c r="L425" s="56" t="s">
        <v>2390</v>
      </c>
      <c r="M425" s="55" t="s">
        <v>2391</v>
      </c>
      <c r="N425" s="56" t="s">
        <v>2392</v>
      </c>
      <c r="O425" s="53" t="s">
        <v>8</v>
      </c>
      <c r="P425" s="56" t="s">
        <v>2412</v>
      </c>
      <c r="Q425" s="57">
        <v>44600</v>
      </c>
      <c r="R425" s="58" t="s">
        <v>8</v>
      </c>
      <c r="S425" s="57" t="s">
        <v>8</v>
      </c>
      <c r="T425" s="56" t="s">
        <v>8</v>
      </c>
    </row>
    <row r="426" spans="1:20">
      <c r="A426" s="55">
        <v>128782524989</v>
      </c>
      <c r="B426" s="53" t="s">
        <v>2386</v>
      </c>
      <c r="C426" s="54">
        <v>45939</v>
      </c>
      <c r="D426" s="55">
        <v>51433589209</v>
      </c>
      <c r="E426" s="55">
        <v>2091419970269</v>
      </c>
      <c r="F426" s="56" t="s">
        <v>2411</v>
      </c>
      <c r="G426" s="56" t="s">
        <v>2388</v>
      </c>
      <c r="H426" s="56" t="s">
        <v>8</v>
      </c>
      <c r="I426" s="55" t="s">
        <v>8</v>
      </c>
      <c r="J426" s="57">
        <v>154.22999999999999</v>
      </c>
      <c r="K426" s="56" t="s">
        <v>2389</v>
      </c>
      <c r="L426" s="56" t="s">
        <v>2390</v>
      </c>
      <c r="M426" s="55" t="s">
        <v>2391</v>
      </c>
      <c r="N426" s="56" t="s">
        <v>2392</v>
      </c>
      <c r="O426" s="53" t="s">
        <v>8</v>
      </c>
      <c r="P426" s="56" t="s">
        <v>2412</v>
      </c>
      <c r="Q426" s="57">
        <v>15900</v>
      </c>
      <c r="R426" s="58" t="s">
        <v>8</v>
      </c>
      <c r="S426" s="57" t="s">
        <v>8</v>
      </c>
      <c r="T426" s="56" t="s">
        <v>8</v>
      </c>
    </row>
    <row r="427" spans="1:20">
      <c r="A427" s="55">
        <v>129354374886</v>
      </c>
      <c r="B427" s="53" t="s">
        <v>2386</v>
      </c>
      <c r="C427" s="54">
        <v>45939</v>
      </c>
      <c r="D427" s="55">
        <v>51433664949</v>
      </c>
      <c r="E427" s="55">
        <v>2091487401550</v>
      </c>
      <c r="F427" s="56" t="s">
        <v>2387</v>
      </c>
      <c r="G427" s="56" t="s">
        <v>2388</v>
      </c>
      <c r="H427" s="56" t="s">
        <v>8</v>
      </c>
      <c r="I427" s="55" t="s">
        <v>8</v>
      </c>
      <c r="J427" s="57">
        <v>139.68</v>
      </c>
      <c r="K427" s="56" t="s">
        <v>2389</v>
      </c>
      <c r="L427" s="56" t="s">
        <v>2390</v>
      </c>
      <c r="M427" s="55" t="s">
        <v>2391</v>
      </c>
      <c r="N427" s="56" t="s">
        <v>2392</v>
      </c>
      <c r="O427" s="53" t="s">
        <v>8</v>
      </c>
      <c r="P427" s="56" t="s">
        <v>2494</v>
      </c>
      <c r="Q427" s="57">
        <v>14400</v>
      </c>
      <c r="R427" s="58" t="s">
        <v>8</v>
      </c>
      <c r="S427" s="57" t="s">
        <v>8</v>
      </c>
      <c r="T427" s="56" t="s">
        <v>2394</v>
      </c>
    </row>
    <row r="428" spans="1:20">
      <c r="A428" s="55">
        <v>128782887399</v>
      </c>
      <c r="B428" s="53" t="s">
        <v>2386</v>
      </c>
      <c r="C428" s="54">
        <v>45939</v>
      </c>
      <c r="D428" s="55">
        <v>51433816163</v>
      </c>
      <c r="E428" s="55">
        <v>2091490156550</v>
      </c>
      <c r="F428" s="56" t="s">
        <v>2387</v>
      </c>
      <c r="G428" s="56" t="s">
        <v>2388</v>
      </c>
      <c r="H428" s="56" t="s">
        <v>8</v>
      </c>
      <c r="I428" s="55" t="s">
        <v>8</v>
      </c>
      <c r="J428" s="57">
        <v>98.94</v>
      </c>
      <c r="K428" s="56" t="s">
        <v>2389</v>
      </c>
      <c r="L428" s="56" t="s">
        <v>2390</v>
      </c>
      <c r="M428" s="55" t="s">
        <v>2391</v>
      </c>
      <c r="N428" s="56" t="s">
        <v>2392</v>
      </c>
      <c r="O428" s="53" t="s">
        <v>8</v>
      </c>
      <c r="P428" s="56" t="s">
        <v>2495</v>
      </c>
      <c r="Q428" s="57">
        <v>10200</v>
      </c>
      <c r="R428" s="58" t="s">
        <v>8</v>
      </c>
      <c r="S428" s="57" t="s">
        <v>8</v>
      </c>
      <c r="T428" s="56" t="s">
        <v>2394</v>
      </c>
    </row>
    <row r="429" spans="1:20">
      <c r="A429" s="55">
        <v>128782949597</v>
      </c>
      <c r="B429" s="53" t="s">
        <v>2386</v>
      </c>
      <c r="C429" s="54">
        <v>45939</v>
      </c>
      <c r="D429" s="55">
        <v>51433835683</v>
      </c>
      <c r="E429" s="55">
        <v>2091424107843</v>
      </c>
      <c r="F429" s="56" t="s">
        <v>2401</v>
      </c>
      <c r="G429" s="56" t="s">
        <v>2388</v>
      </c>
      <c r="H429" s="56" t="s">
        <v>8</v>
      </c>
      <c r="I429" s="55" t="s">
        <v>8</v>
      </c>
      <c r="J429" s="57">
        <v>1983.98</v>
      </c>
      <c r="K429" s="56" t="s">
        <v>2389</v>
      </c>
      <c r="L429" s="56" t="s">
        <v>2402</v>
      </c>
      <c r="M429" s="55" t="s">
        <v>2391</v>
      </c>
      <c r="N429" s="56" t="s">
        <v>2392</v>
      </c>
      <c r="O429" s="53" t="s">
        <v>2055</v>
      </c>
      <c r="P429" s="56" t="s">
        <v>2403</v>
      </c>
      <c r="Q429" s="57">
        <v>43700</v>
      </c>
      <c r="R429" s="58" t="s">
        <v>8</v>
      </c>
      <c r="S429" s="57" t="s">
        <v>8</v>
      </c>
      <c r="T429" s="56" t="s">
        <v>2394</v>
      </c>
    </row>
    <row r="430" spans="1:20">
      <c r="A430" s="55">
        <v>129354954934</v>
      </c>
      <c r="B430" s="53" t="s">
        <v>2386</v>
      </c>
      <c r="C430" s="54">
        <v>45939</v>
      </c>
      <c r="D430" s="55">
        <v>51433858869</v>
      </c>
      <c r="E430" s="55">
        <v>2091424493759</v>
      </c>
      <c r="F430" s="56" t="s">
        <v>2387</v>
      </c>
      <c r="G430" s="56" t="s">
        <v>2388</v>
      </c>
      <c r="H430" s="56" t="s">
        <v>8</v>
      </c>
      <c r="I430" s="55" t="s">
        <v>8</v>
      </c>
      <c r="J430" s="57">
        <v>90.21</v>
      </c>
      <c r="K430" s="56" t="s">
        <v>2389</v>
      </c>
      <c r="L430" s="56" t="s">
        <v>2390</v>
      </c>
      <c r="M430" s="55" t="s">
        <v>2391</v>
      </c>
      <c r="N430" s="56" t="s">
        <v>2392</v>
      </c>
      <c r="O430" s="53" t="s">
        <v>8</v>
      </c>
      <c r="P430" s="56" t="s">
        <v>2496</v>
      </c>
      <c r="Q430" s="57">
        <v>9300</v>
      </c>
      <c r="R430" s="58" t="s">
        <v>8</v>
      </c>
      <c r="S430" s="57" t="s">
        <v>8</v>
      </c>
      <c r="T430" s="56" t="s">
        <v>2394</v>
      </c>
    </row>
    <row r="431" spans="1:20">
      <c r="A431" s="55">
        <v>129354903714</v>
      </c>
      <c r="B431" s="53" t="s">
        <v>2386</v>
      </c>
      <c r="C431" s="54">
        <v>45939</v>
      </c>
      <c r="D431" s="55">
        <v>51433907186</v>
      </c>
      <c r="E431" s="55">
        <v>2091425254259</v>
      </c>
      <c r="F431" s="56" t="s">
        <v>2411</v>
      </c>
      <c r="G431" s="56" t="s">
        <v>2388</v>
      </c>
      <c r="H431" s="56" t="s">
        <v>8</v>
      </c>
      <c r="I431" s="55" t="s">
        <v>8</v>
      </c>
      <c r="J431" s="57">
        <v>314.27999999999997</v>
      </c>
      <c r="K431" s="56" t="s">
        <v>2389</v>
      </c>
      <c r="L431" s="56" t="s">
        <v>2390</v>
      </c>
      <c r="M431" s="55" t="s">
        <v>2391</v>
      </c>
      <c r="N431" s="56" t="s">
        <v>2392</v>
      </c>
      <c r="O431" s="53" t="s">
        <v>8</v>
      </c>
      <c r="P431" s="56" t="s">
        <v>2412</v>
      </c>
      <c r="Q431" s="57">
        <v>32400</v>
      </c>
      <c r="R431" s="58" t="s">
        <v>8</v>
      </c>
      <c r="S431" s="57" t="s">
        <v>8</v>
      </c>
      <c r="T431" s="56" t="s">
        <v>8</v>
      </c>
    </row>
    <row r="432" spans="1:20">
      <c r="A432" s="55">
        <v>129355508304</v>
      </c>
      <c r="B432" s="53" t="s">
        <v>2386</v>
      </c>
      <c r="C432" s="54">
        <v>45939</v>
      </c>
      <c r="D432" s="55">
        <v>51434054580</v>
      </c>
      <c r="E432" s="55">
        <v>2091494233686</v>
      </c>
      <c r="F432" s="56" t="s">
        <v>2387</v>
      </c>
      <c r="G432" s="56" t="s">
        <v>2388</v>
      </c>
      <c r="H432" s="56" t="s">
        <v>8</v>
      </c>
      <c r="I432" s="55" t="s">
        <v>8</v>
      </c>
      <c r="J432" s="57">
        <v>139.68</v>
      </c>
      <c r="K432" s="56" t="s">
        <v>2389</v>
      </c>
      <c r="L432" s="56" t="s">
        <v>2390</v>
      </c>
      <c r="M432" s="55" t="s">
        <v>2391</v>
      </c>
      <c r="N432" s="56" t="s">
        <v>2392</v>
      </c>
      <c r="O432" s="53" t="s">
        <v>8</v>
      </c>
      <c r="P432" s="56" t="s">
        <v>2497</v>
      </c>
      <c r="Q432" s="57">
        <v>14400</v>
      </c>
      <c r="R432" s="58" t="s">
        <v>8</v>
      </c>
      <c r="S432" s="57" t="s">
        <v>8</v>
      </c>
      <c r="T432" s="56" t="s">
        <v>2394</v>
      </c>
    </row>
    <row r="433" spans="1:20">
      <c r="A433" s="55">
        <v>129355425330</v>
      </c>
      <c r="B433" s="53" t="s">
        <v>2386</v>
      </c>
      <c r="C433" s="54">
        <v>45939</v>
      </c>
      <c r="D433" s="55">
        <v>51434088036</v>
      </c>
      <c r="E433" s="55">
        <v>2091495076232</v>
      </c>
      <c r="F433" s="56" t="s">
        <v>2411</v>
      </c>
      <c r="G433" s="56" t="s">
        <v>2388</v>
      </c>
      <c r="H433" s="56" t="s">
        <v>8</v>
      </c>
      <c r="I433" s="55" t="s">
        <v>8</v>
      </c>
      <c r="J433" s="57">
        <v>93.12</v>
      </c>
      <c r="K433" s="56" t="s">
        <v>2389</v>
      </c>
      <c r="L433" s="56" t="s">
        <v>2390</v>
      </c>
      <c r="M433" s="55" t="s">
        <v>2391</v>
      </c>
      <c r="N433" s="56" t="s">
        <v>2392</v>
      </c>
      <c r="O433" s="53" t="s">
        <v>8</v>
      </c>
      <c r="P433" s="56" t="s">
        <v>2412</v>
      </c>
      <c r="Q433" s="57">
        <v>9600</v>
      </c>
      <c r="R433" s="58" t="s">
        <v>8</v>
      </c>
      <c r="S433" s="57" t="s">
        <v>8</v>
      </c>
      <c r="T433" s="56" t="s">
        <v>8</v>
      </c>
    </row>
    <row r="434" spans="1:20">
      <c r="A434" s="55">
        <v>128784178315</v>
      </c>
      <c r="B434" s="53" t="s">
        <v>2386</v>
      </c>
      <c r="C434" s="54">
        <v>45939</v>
      </c>
      <c r="D434" s="55">
        <v>51434170991</v>
      </c>
      <c r="E434" s="55">
        <v>2091429985389</v>
      </c>
      <c r="F434" s="56" t="s">
        <v>2411</v>
      </c>
      <c r="G434" s="56" t="s">
        <v>2388</v>
      </c>
      <c r="H434" s="56" t="s">
        <v>8</v>
      </c>
      <c r="I434" s="55" t="s">
        <v>8</v>
      </c>
      <c r="J434" s="57">
        <v>325.92</v>
      </c>
      <c r="K434" s="56" t="s">
        <v>2389</v>
      </c>
      <c r="L434" s="56" t="s">
        <v>2390</v>
      </c>
      <c r="M434" s="55" t="s">
        <v>2391</v>
      </c>
      <c r="N434" s="56" t="s">
        <v>2392</v>
      </c>
      <c r="O434" s="53" t="s">
        <v>8</v>
      </c>
      <c r="P434" s="56" t="s">
        <v>2412</v>
      </c>
      <c r="Q434" s="57">
        <v>33600</v>
      </c>
      <c r="R434" s="58" t="s">
        <v>8</v>
      </c>
      <c r="S434" s="57" t="s">
        <v>8</v>
      </c>
      <c r="T434" s="56" t="s">
        <v>8</v>
      </c>
    </row>
    <row r="435" spans="1:20">
      <c r="A435" s="55">
        <v>128784830517</v>
      </c>
      <c r="B435" s="53" t="s">
        <v>2386</v>
      </c>
      <c r="C435" s="54">
        <v>45939</v>
      </c>
      <c r="D435" s="55">
        <v>51434484995</v>
      </c>
      <c r="E435" s="55">
        <v>2091435048911</v>
      </c>
      <c r="F435" s="56" t="s">
        <v>2411</v>
      </c>
      <c r="G435" s="56" t="s">
        <v>2388</v>
      </c>
      <c r="H435" s="56" t="s">
        <v>8</v>
      </c>
      <c r="I435" s="55" t="s">
        <v>8</v>
      </c>
      <c r="J435" s="57">
        <v>46.56</v>
      </c>
      <c r="K435" s="56" t="s">
        <v>2389</v>
      </c>
      <c r="L435" s="56" t="s">
        <v>2390</v>
      </c>
      <c r="M435" s="55" t="s">
        <v>2391</v>
      </c>
      <c r="N435" s="56" t="s">
        <v>2392</v>
      </c>
      <c r="O435" s="53" t="s">
        <v>8</v>
      </c>
      <c r="P435" s="56" t="s">
        <v>2412</v>
      </c>
      <c r="Q435" s="57">
        <v>4800</v>
      </c>
      <c r="R435" s="58" t="s">
        <v>8</v>
      </c>
      <c r="S435" s="57" t="s">
        <v>8</v>
      </c>
      <c r="T435" s="56" t="s">
        <v>8</v>
      </c>
    </row>
    <row r="436" spans="1:20">
      <c r="A436" s="55">
        <v>128785545873</v>
      </c>
      <c r="B436" s="53" t="s">
        <v>2386</v>
      </c>
      <c r="C436" s="54">
        <v>45939</v>
      </c>
      <c r="D436" s="55">
        <v>51434830331</v>
      </c>
      <c r="E436" s="55">
        <v>2091508250874</v>
      </c>
      <c r="F436" s="56" t="s">
        <v>2387</v>
      </c>
      <c r="G436" s="56" t="s">
        <v>2388</v>
      </c>
      <c r="H436" s="56" t="s">
        <v>8</v>
      </c>
      <c r="I436" s="55" t="s">
        <v>8</v>
      </c>
      <c r="J436" s="57">
        <v>276.45</v>
      </c>
      <c r="K436" s="56" t="s">
        <v>2389</v>
      </c>
      <c r="L436" s="56" t="s">
        <v>2390</v>
      </c>
      <c r="M436" s="55" t="s">
        <v>2391</v>
      </c>
      <c r="N436" s="56" t="s">
        <v>2392</v>
      </c>
      <c r="O436" s="53" t="s">
        <v>8</v>
      </c>
      <c r="P436" s="56" t="s">
        <v>2492</v>
      </c>
      <c r="Q436" s="57">
        <v>28500</v>
      </c>
      <c r="R436" s="58" t="s">
        <v>8</v>
      </c>
      <c r="S436" s="57" t="s">
        <v>8</v>
      </c>
      <c r="T436" s="56" t="s">
        <v>2394</v>
      </c>
    </row>
    <row r="437" spans="1:20">
      <c r="A437" s="55">
        <v>129357668936</v>
      </c>
      <c r="B437" s="53" t="s">
        <v>2386</v>
      </c>
      <c r="C437" s="54">
        <v>45939</v>
      </c>
      <c r="D437" s="55">
        <v>51434920154</v>
      </c>
      <c r="E437" s="55">
        <v>2091509638348</v>
      </c>
      <c r="F437" s="56" t="s">
        <v>2387</v>
      </c>
      <c r="G437" s="56" t="s">
        <v>2388</v>
      </c>
      <c r="H437" s="56" t="s">
        <v>8</v>
      </c>
      <c r="I437" s="55" t="s">
        <v>8</v>
      </c>
      <c r="J437" s="57">
        <v>241.24</v>
      </c>
      <c r="K437" s="56" t="s">
        <v>2389</v>
      </c>
      <c r="L437" s="56" t="s">
        <v>2390</v>
      </c>
      <c r="M437" s="55" t="s">
        <v>2391</v>
      </c>
      <c r="N437" s="56" t="s">
        <v>2392</v>
      </c>
      <c r="O437" s="53" t="s">
        <v>8</v>
      </c>
      <c r="P437" s="56" t="s">
        <v>2498</v>
      </c>
      <c r="Q437" s="57">
        <v>14800</v>
      </c>
      <c r="R437" s="58" t="s">
        <v>8</v>
      </c>
      <c r="S437" s="57" t="s">
        <v>8</v>
      </c>
      <c r="T437" s="56" t="s">
        <v>2394</v>
      </c>
    </row>
    <row r="438" spans="1:20">
      <c r="A438" s="55">
        <v>128786337459</v>
      </c>
      <c r="B438" s="53" t="s">
        <v>2386</v>
      </c>
      <c r="C438" s="54">
        <v>45940</v>
      </c>
      <c r="D438" s="55">
        <v>51435131907</v>
      </c>
      <c r="E438" s="55">
        <v>2091446338535</v>
      </c>
      <c r="F438" s="56" t="s">
        <v>2401</v>
      </c>
      <c r="G438" s="56" t="s">
        <v>2388</v>
      </c>
      <c r="H438" s="56" t="s">
        <v>8</v>
      </c>
      <c r="I438" s="55" t="s">
        <v>8</v>
      </c>
      <c r="J438" s="57">
        <v>2986.8</v>
      </c>
      <c r="K438" s="56" t="s">
        <v>2389</v>
      </c>
      <c r="L438" s="56" t="s">
        <v>2402</v>
      </c>
      <c r="M438" s="55" t="s">
        <v>2391</v>
      </c>
      <c r="N438" s="56" t="s">
        <v>2392</v>
      </c>
      <c r="O438" s="53" t="s">
        <v>2055</v>
      </c>
      <c r="P438" s="56" t="s">
        <v>2403</v>
      </c>
      <c r="Q438" s="57">
        <v>76000</v>
      </c>
      <c r="R438" s="58" t="s">
        <v>8</v>
      </c>
      <c r="S438" s="57" t="s">
        <v>8</v>
      </c>
      <c r="T438" s="56" t="s">
        <v>2394</v>
      </c>
    </row>
    <row r="439" spans="1:20">
      <c r="A439" s="55">
        <v>129358276472</v>
      </c>
      <c r="B439" s="53" t="s">
        <v>2386</v>
      </c>
      <c r="C439" s="54">
        <v>45940</v>
      </c>
      <c r="D439" s="55">
        <v>51435159069</v>
      </c>
      <c r="E439" s="55">
        <v>2091513299568</v>
      </c>
      <c r="F439" s="56" t="s">
        <v>2387</v>
      </c>
      <c r="G439" s="56" t="s">
        <v>2388</v>
      </c>
      <c r="H439" s="56" t="s">
        <v>8</v>
      </c>
      <c r="I439" s="55" t="s">
        <v>8</v>
      </c>
      <c r="J439" s="57">
        <v>93.12</v>
      </c>
      <c r="K439" s="56" t="s">
        <v>2389</v>
      </c>
      <c r="L439" s="56" t="s">
        <v>2390</v>
      </c>
      <c r="M439" s="55" t="s">
        <v>2391</v>
      </c>
      <c r="N439" s="56" t="s">
        <v>2392</v>
      </c>
      <c r="O439" s="53" t="s">
        <v>8</v>
      </c>
      <c r="P439" s="56" t="s">
        <v>2499</v>
      </c>
      <c r="Q439" s="57">
        <v>9600</v>
      </c>
      <c r="R439" s="58" t="s">
        <v>8</v>
      </c>
      <c r="S439" s="57" t="s">
        <v>8</v>
      </c>
      <c r="T439" s="56" t="s">
        <v>2394</v>
      </c>
    </row>
    <row r="440" spans="1:20">
      <c r="A440" s="55">
        <v>128786584557</v>
      </c>
      <c r="B440" s="53" t="s">
        <v>2386</v>
      </c>
      <c r="C440" s="54">
        <v>45940</v>
      </c>
      <c r="D440" s="55">
        <v>51435274705</v>
      </c>
      <c r="E440" s="55">
        <v>2091514869590</v>
      </c>
      <c r="F440" s="56" t="s">
        <v>2401</v>
      </c>
      <c r="G440" s="56" t="s">
        <v>2388</v>
      </c>
      <c r="H440" s="56" t="s">
        <v>8</v>
      </c>
      <c r="I440" s="55" t="s">
        <v>8</v>
      </c>
      <c r="J440" s="57">
        <v>188.64</v>
      </c>
      <c r="K440" s="56" t="s">
        <v>2389</v>
      </c>
      <c r="L440" s="56" t="s">
        <v>2402</v>
      </c>
      <c r="M440" s="55" t="s">
        <v>2391</v>
      </c>
      <c r="N440" s="56" t="s">
        <v>2392</v>
      </c>
      <c r="O440" s="53" t="s">
        <v>2055</v>
      </c>
      <c r="P440" s="56" t="s">
        <v>2403</v>
      </c>
      <c r="Q440" s="57">
        <v>4800</v>
      </c>
      <c r="R440" s="58" t="s">
        <v>8</v>
      </c>
      <c r="S440" s="57" t="s">
        <v>8</v>
      </c>
      <c r="T440" s="56" t="s">
        <v>2394</v>
      </c>
    </row>
    <row r="441" spans="1:20">
      <c r="A441" s="55">
        <v>128786717157</v>
      </c>
      <c r="B441" s="53" t="s">
        <v>2386</v>
      </c>
      <c r="C441" s="54">
        <v>45940</v>
      </c>
      <c r="D441" s="55">
        <v>51435342040</v>
      </c>
      <c r="E441" s="55">
        <v>2091449091165</v>
      </c>
      <c r="F441" s="56" t="s">
        <v>2401</v>
      </c>
      <c r="G441" s="56" t="s">
        <v>2388</v>
      </c>
      <c r="H441" s="56" t="s">
        <v>8</v>
      </c>
      <c r="I441" s="55" t="s">
        <v>8</v>
      </c>
      <c r="J441" s="57">
        <v>5037.82</v>
      </c>
      <c r="K441" s="56" t="s">
        <v>2389</v>
      </c>
      <c r="L441" s="56" t="s">
        <v>2402</v>
      </c>
      <c r="M441" s="55" t="s">
        <v>2391</v>
      </c>
      <c r="N441" s="56" t="s">
        <v>2392</v>
      </c>
      <c r="O441" s="53" t="s">
        <v>2055</v>
      </c>
      <c r="P441" s="56" t="s">
        <v>2403</v>
      </c>
      <c r="Q441" s="57">
        <v>66200</v>
      </c>
      <c r="R441" s="58" t="s">
        <v>8</v>
      </c>
      <c r="S441" s="57" t="s">
        <v>8</v>
      </c>
      <c r="T441" s="56" t="s">
        <v>2394</v>
      </c>
    </row>
    <row r="442" spans="1:20">
      <c r="A442" s="55">
        <v>129358860160</v>
      </c>
      <c r="B442" s="53" t="s">
        <v>2386</v>
      </c>
      <c r="C442" s="54">
        <v>45940</v>
      </c>
      <c r="D442" s="55">
        <v>51435477802</v>
      </c>
      <c r="E442" s="55">
        <v>2091517244220</v>
      </c>
      <c r="F442" s="56" t="s">
        <v>2411</v>
      </c>
      <c r="G442" s="56" t="s">
        <v>2388</v>
      </c>
      <c r="H442" s="56" t="s">
        <v>8</v>
      </c>
      <c r="I442" s="55" t="s">
        <v>8</v>
      </c>
      <c r="J442" s="57">
        <v>263.83999999999997</v>
      </c>
      <c r="K442" s="56" t="s">
        <v>2389</v>
      </c>
      <c r="L442" s="56" t="s">
        <v>2390</v>
      </c>
      <c r="M442" s="55" t="s">
        <v>2391</v>
      </c>
      <c r="N442" s="56" t="s">
        <v>2392</v>
      </c>
      <c r="O442" s="53" t="s">
        <v>8</v>
      </c>
      <c r="P442" s="56" t="s">
        <v>2412</v>
      </c>
      <c r="Q442" s="57">
        <v>27200</v>
      </c>
      <c r="R442" s="58" t="s">
        <v>8</v>
      </c>
      <c r="S442" s="57" t="s">
        <v>8</v>
      </c>
      <c r="T442" s="56" t="s">
        <v>8</v>
      </c>
    </row>
    <row r="443" spans="1:20">
      <c r="A443" s="55">
        <v>129358822738</v>
      </c>
      <c r="B443" s="53" t="s">
        <v>2386</v>
      </c>
      <c r="C443" s="54">
        <v>45940</v>
      </c>
      <c r="D443" s="55">
        <v>51435491307</v>
      </c>
      <c r="E443" s="55">
        <v>2091450832379</v>
      </c>
      <c r="F443" s="56" t="s">
        <v>2401</v>
      </c>
      <c r="G443" s="56" t="s">
        <v>2388</v>
      </c>
      <c r="H443" s="56" t="s">
        <v>8</v>
      </c>
      <c r="I443" s="55" t="s">
        <v>8</v>
      </c>
      <c r="J443" s="57">
        <v>9991.93</v>
      </c>
      <c r="K443" s="56" t="s">
        <v>2389</v>
      </c>
      <c r="L443" s="56" t="s">
        <v>2402</v>
      </c>
      <c r="M443" s="55" t="s">
        <v>2391</v>
      </c>
      <c r="N443" s="56" t="s">
        <v>2392</v>
      </c>
      <c r="O443" s="53" t="s">
        <v>2055</v>
      </c>
      <c r="P443" s="56" t="s">
        <v>2403</v>
      </c>
      <c r="Q443" s="57">
        <v>131300</v>
      </c>
      <c r="R443" s="58" t="s">
        <v>8</v>
      </c>
      <c r="S443" s="57" t="s">
        <v>8</v>
      </c>
      <c r="T443" s="56" t="s">
        <v>2394</v>
      </c>
    </row>
    <row r="444" spans="1:20">
      <c r="A444" s="55">
        <v>129359324040</v>
      </c>
      <c r="B444" s="53" t="s">
        <v>2386</v>
      </c>
      <c r="C444" s="54">
        <v>45940</v>
      </c>
      <c r="D444" s="55">
        <v>51435878473</v>
      </c>
      <c r="E444" s="55">
        <v>2091455336929</v>
      </c>
      <c r="F444" s="56" t="s">
        <v>2387</v>
      </c>
      <c r="G444" s="56" t="s">
        <v>2388</v>
      </c>
      <c r="H444" s="56" t="s">
        <v>8</v>
      </c>
      <c r="I444" s="55" t="s">
        <v>8</v>
      </c>
      <c r="J444" s="57">
        <v>77.599999999999994</v>
      </c>
      <c r="K444" s="56" t="s">
        <v>2389</v>
      </c>
      <c r="L444" s="56" t="s">
        <v>2390</v>
      </c>
      <c r="M444" s="55" t="s">
        <v>2391</v>
      </c>
      <c r="N444" s="56" t="s">
        <v>2392</v>
      </c>
      <c r="O444" s="53" t="s">
        <v>8</v>
      </c>
      <c r="P444" s="56" t="s">
        <v>2500</v>
      </c>
      <c r="Q444" s="57">
        <v>8000</v>
      </c>
      <c r="R444" s="58" t="s">
        <v>8</v>
      </c>
      <c r="S444" s="57" t="s">
        <v>8</v>
      </c>
      <c r="T444" s="56" t="s">
        <v>2394</v>
      </c>
    </row>
    <row r="445" spans="1:20">
      <c r="A445" s="55">
        <v>128787883001</v>
      </c>
      <c r="B445" s="53" t="s">
        <v>2386</v>
      </c>
      <c r="C445" s="54">
        <v>45940</v>
      </c>
      <c r="D445" s="55">
        <v>51435943063</v>
      </c>
      <c r="E445" s="55">
        <v>2091522640606</v>
      </c>
      <c r="F445" s="56" t="s">
        <v>2387</v>
      </c>
      <c r="G445" s="56" t="s">
        <v>2388</v>
      </c>
      <c r="H445" s="56" t="s">
        <v>8</v>
      </c>
      <c r="I445" s="55" t="s">
        <v>8</v>
      </c>
      <c r="J445" s="57">
        <v>69.84</v>
      </c>
      <c r="K445" s="56" t="s">
        <v>2389</v>
      </c>
      <c r="L445" s="56" t="s">
        <v>2390</v>
      </c>
      <c r="M445" s="55" t="s">
        <v>2391</v>
      </c>
      <c r="N445" s="56" t="s">
        <v>2392</v>
      </c>
      <c r="O445" s="53" t="s">
        <v>8</v>
      </c>
      <c r="P445" s="56" t="s">
        <v>2493</v>
      </c>
      <c r="Q445" s="57">
        <v>7200</v>
      </c>
      <c r="R445" s="58" t="s">
        <v>8</v>
      </c>
      <c r="S445" s="57" t="s">
        <v>8</v>
      </c>
      <c r="T445" s="56" t="s">
        <v>2394</v>
      </c>
    </row>
    <row r="446" spans="1:20">
      <c r="A446" s="55">
        <v>129359661112</v>
      </c>
      <c r="B446" s="53" t="s">
        <v>2386</v>
      </c>
      <c r="C446" s="54">
        <v>45940</v>
      </c>
      <c r="D446" s="55">
        <v>51436051036</v>
      </c>
      <c r="E446" s="55">
        <v>2091523763222</v>
      </c>
      <c r="F446" s="56" t="s">
        <v>2387</v>
      </c>
      <c r="G446" s="56" t="s">
        <v>2388</v>
      </c>
      <c r="H446" s="56" t="s">
        <v>8</v>
      </c>
      <c r="I446" s="55" t="s">
        <v>8</v>
      </c>
      <c r="J446" s="57">
        <v>921.5</v>
      </c>
      <c r="K446" s="56" t="s">
        <v>2389</v>
      </c>
      <c r="L446" s="56" t="s">
        <v>2390</v>
      </c>
      <c r="M446" s="55" t="s">
        <v>2391</v>
      </c>
      <c r="N446" s="56" t="s">
        <v>2392</v>
      </c>
      <c r="O446" s="53" t="s">
        <v>8</v>
      </c>
      <c r="P446" s="56" t="s">
        <v>2501</v>
      </c>
      <c r="Q446" s="57">
        <v>95000</v>
      </c>
      <c r="R446" s="58" t="s">
        <v>8</v>
      </c>
      <c r="S446" s="57" t="s">
        <v>8</v>
      </c>
      <c r="T446" s="56" t="s">
        <v>2394</v>
      </c>
    </row>
    <row r="447" spans="1:20">
      <c r="A447" s="55">
        <v>128788061399</v>
      </c>
      <c r="B447" s="53" t="s">
        <v>2386</v>
      </c>
      <c r="C447" s="54">
        <v>45940</v>
      </c>
      <c r="D447" s="55">
        <v>51436063423</v>
      </c>
      <c r="E447" s="55">
        <v>2091457200307</v>
      </c>
      <c r="F447" s="56" t="s">
        <v>2401</v>
      </c>
      <c r="G447" s="56" t="s">
        <v>2388</v>
      </c>
      <c r="H447" s="56" t="s">
        <v>8</v>
      </c>
      <c r="I447" s="55" t="s">
        <v>8</v>
      </c>
      <c r="J447" s="57">
        <v>565.91999999999996</v>
      </c>
      <c r="K447" s="56" t="s">
        <v>2389</v>
      </c>
      <c r="L447" s="56" t="s">
        <v>2402</v>
      </c>
      <c r="M447" s="55" t="s">
        <v>2391</v>
      </c>
      <c r="N447" s="56" t="s">
        <v>2392</v>
      </c>
      <c r="O447" s="53" t="s">
        <v>2055</v>
      </c>
      <c r="P447" s="56" t="s">
        <v>2403</v>
      </c>
      <c r="Q447" s="57">
        <v>14400</v>
      </c>
      <c r="R447" s="58" t="s">
        <v>8</v>
      </c>
      <c r="S447" s="57" t="s">
        <v>8</v>
      </c>
      <c r="T447" s="56" t="s">
        <v>2394</v>
      </c>
    </row>
    <row r="448" spans="1:20">
      <c r="A448" s="55">
        <v>129359893986</v>
      </c>
      <c r="B448" s="53" t="s">
        <v>2386</v>
      </c>
      <c r="C448" s="54">
        <v>45940</v>
      </c>
      <c r="D448" s="55">
        <v>51436267891</v>
      </c>
      <c r="E448" s="55">
        <v>2091525666320</v>
      </c>
      <c r="F448" s="56" t="s">
        <v>2387</v>
      </c>
      <c r="G448" s="56" t="s">
        <v>2388</v>
      </c>
      <c r="H448" s="56" t="s">
        <v>8</v>
      </c>
      <c r="I448" s="55" t="s">
        <v>8</v>
      </c>
      <c r="J448" s="57">
        <v>1059.24</v>
      </c>
      <c r="K448" s="56" t="s">
        <v>2389</v>
      </c>
      <c r="L448" s="56" t="s">
        <v>2390</v>
      </c>
      <c r="M448" s="55" t="s">
        <v>2391</v>
      </c>
      <c r="N448" s="56" t="s">
        <v>2392</v>
      </c>
      <c r="O448" s="53" t="s">
        <v>8</v>
      </c>
      <c r="P448" s="56" t="s">
        <v>2502</v>
      </c>
      <c r="Q448" s="57">
        <v>109200</v>
      </c>
      <c r="R448" s="58" t="s">
        <v>8</v>
      </c>
      <c r="S448" s="57" t="s">
        <v>8</v>
      </c>
      <c r="T448" s="56" t="s">
        <v>2394</v>
      </c>
    </row>
    <row r="449" spans="1:20">
      <c r="A449" s="55">
        <v>129360081230</v>
      </c>
      <c r="B449" s="53" t="s">
        <v>2386</v>
      </c>
      <c r="C449" s="54">
        <v>45940</v>
      </c>
      <c r="D449" s="55">
        <v>51436351148</v>
      </c>
      <c r="E449" s="55">
        <v>2091460207793</v>
      </c>
      <c r="F449" s="56" t="s">
        <v>2387</v>
      </c>
      <c r="G449" s="56" t="s">
        <v>2388</v>
      </c>
      <c r="H449" s="56" t="s">
        <v>8</v>
      </c>
      <c r="I449" s="55" t="s">
        <v>8</v>
      </c>
      <c r="J449" s="57">
        <v>131.91999999999999</v>
      </c>
      <c r="K449" s="56" t="s">
        <v>2389</v>
      </c>
      <c r="L449" s="56" t="s">
        <v>2390</v>
      </c>
      <c r="M449" s="55" t="s">
        <v>2391</v>
      </c>
      <c r="N449" s="56" t="s">
        <v>2392</v>
      </c>
      <c r="O449" s="53" t="s">
        <v>8</v>
      </c>
      <c r="P449" s="56" t="s">
        <v>2503</v>
      </c>
      <c r="Q449" s="57">
        <v>13600</v>
      </c>
      <c r="R449" s="58" t="s">
        <v>8</v>
      </c>
      <c r="S449" s="57" t="s">
        <v>8</v>
      </c>
      <c r="T449" s="56" t="s">
        <v>2394</v>
      </c>
    </row>
    <row r="450" spans="1:20">
      <c r="A450" s="55">
        <v>129360210616</v>
      </c>
      <c r="B450" s="53" t="s">
        <v>2386</v>
      </c>
      <c r="C450" s="54">
        <v>45940</v>
      </c>
      <c r="D450" s="55">
        <v>51436416841</v>
      </c>
      <c r="E450" s="55">
        <v>2091527517600</v>
      </c>
      <c r="F450" s="56" t="s">
        <v>2387</v>
      </c>
      <c r="G450" s="56" t="s">
        <v>2388</v>
      </c>
      <c r="H450" s="56" t="s">
        <v>8</v>
      </c>
      <c r="I450" s="55" t="s">
        <v>8</v>
      </c>
      <c r="J450" s="57">
        <v>274.51</v>
      </c>
      <c r="K450" s="56" t="s">
        <v>2389</v>
      </c>
      <c r="L450" s="56" t="s">
        <v>2390</v>
      </c>
      <c r="M450" s="55" t="s">
        <v>2391</v>
      </c>
      <c r="N450" s="56" t="s">
        <v>2392</v>
      </c>
      <c r="O450" s="53" t="s">
        <v>8</v>
      </c>
      <c r="P450" s="56" t="s">
        <v>2483</v>
      </c>
      <c r="Q450" s="57">
        <v>28300</v>
      </c>
      <c r="R450" s="58" t="s">
        <v>8</v>
      </c>
      <c r="S450" s="57" t="s">
        <v>8</v>
      </c>
      <c r="T450" s="56" t="s">
        <v>2394</v>
      </c>
    </row>
    <row r="451" spans="1:20">
      <c r="A451" s="55">
        <v>129360246626</v>
      </c>
      <c r="B451" s="53" t="s">
        <v>2386</v>
      </c>
      <c r="C451" s="54">
        <v>45940</v>
      </c>
      <c r="D451" s="55">
        <v>51436436315</v>
      </c>
      <c r="E451" s="55">
        <v>2091460907225</v>
      </c>
      <c r="F451" s="56" t="s">
        <v>2401</v>
      </c>
      <c r="G451" s="56" t="s">
        <v>2388</v>
      </c>
      <c r="H451" s="56" t="s">
        <v>8</v>
      </c>
      <c r="I451" s="55" t="s">
        <v>8</v>
      </c>
      <c r="J451" s="57">
        <v>1100.4000000000001</v>
      </c>
      <c r="K451" s="56" t="s">
        <v>2389</v>
      </c>
      <c r="L451" s="56" t="s">
        <v>2402</v>
      </c>
      <c r="M451" s="55" t="s">
        <v>2391</v>
      </c>
      <c r="N451" s="56" t="s">
        <v>2392</v>
      </c>
      <c r="O451" s="53" t="s">
        <v>2055</v>
      </c>
      <c r="P451" s="56" t="s">
        <v>2403</v>
      </c>
      <c r="Q451" s="57">
        <v>28000</v>
      </c>
      <c r="R451" s="58" t="s">
        <v>8</v>
      </c>
      <c r="S451" s="57" t="s">
        <v>8</v>
      </c>
      <c r="T451" s="56" t="s">
        <v>2394</v>
      </c>
    </row>
    <row r="452" spans="1:20">
      <c r="A452" s="55">
        <v>128788563757</v>
      </c>
      <c r="B452" s="53" t="s">
        <v>2386</v>
      </c>
      <c r="C452" s="54">
        <v>45940</v>
      </c>
      <c r="D452" s="55">
        <v>51436501752</v>
      </c>
      <c r="E452" s="55">
        <v>2091461482919</v>
      </c>
      <c r="F452" s="56" t="s">
        <v>2401</v>
      </c>
      <c r="G452" s="56" t="s">
        <v>2388</v>
      </c>
      <c r="H452" s="56" t="s">
        <v>8</v>
      </c>
      <c r="I452" s="55" t="s">
        <v>8</v>
      </c>
      <c r="J452" s="57">
        <v>188.64</v>
      </c>
      <c r="K452" s="56" t="s">
        <v>2389</v>
      </c>
      <c r="L452" s="56" t="s">
        <v>2402</v>
      </c>
      <c r="M452" s="55" t="s">
        <v>2391</v>
      </c>
      <c r="N452" s="56" t="s">
        <v>2392</v>
      </c>
      <c r="O452" s="53" t="s">
        <v>2055</v>
      </c>
      <c r="P452" s="56" t="s">
        <v>2403</v>
      </c>
      <c r="Q452" s="57">
        <v>4800</v>
      </c>
      <c r="R452" s="58" t="s">
        <v>8</v>
      </c>
      <c r="S452" s="57" t="s">
        <v>8</v>
      </c>
      <c r="T452" s="56" t="s">
        <v>2394</v>
      </c>
    </row>
    <row r="453" spans="1:20">
      <c r="A453" s="55">
        <v>129360446764</v>
      </c>
      <c r="B453" s="53" t="s">
        <v>2386</v>
      </c>
      <c r="C453" s="54">
        <v>45940</v>
      </c>
      <c r="D453" s="55">
        <v>51436533062</v>
      </c>
      <c r="E453" s="55">
        <v>2091528556194</v>
      </c>
      <c r="F453" s="56" t="s">
        <v>2387</v>
      </c>
      <c r="G453" s="56" t="s">
        <v>2388</v>
      </c>
      <c r="H453" s="56" t="s">
        <v>8</v>
      </c>
      <c r="I453" s="55" t="s">
        <v>8</v>
      </c>
      <c r="J453" s="57">
        <v>761</v>
      </c>
      <c r="K453" s="56" t="s">
        <v>2389</v>
      </c>
      <c r="L453" s="56" t="s">
        <v>2390</v>
      </c>
      <c r="M453" s="55" t="s">
        <v>2391</v>
      </c>
      <c r="N453" s="56" t="s">
        <v>2392</v>
      </c>
      <c r="O453" s="53" t="s">
        <v>8</v>
      </c>
      <c r="P453" s="56" t="s">
        <v>2504</v>
      </c>
      <c r="Q453" s="57">
        <v>10000</v>
      </c>
      <c r="R453" s="58" t="s">
        <v>8</v>
      </c>
      <c r="S453" s="57" t="s">
        <v>8</v>
      </c>
      <c r="T453" s="56" t="s">
        <v>2394</v>
      </c>
    </row>
    <row r="454" spans="1:20">
      <c r="A454" s="55">
        <v>128788905379</v>
      </c>
      <c r="B454" s="53" t="s">
        <v>2386</v>
      </c>
      <c r="C454" s="54">
        <v>45940</v>
      </c>
      <c r="D454" s="55">
        <v>51436728951</v>
      </c>
      <c r="E454" s="55">
        <v>2091463753693</v>
      </c>
      <c r="F454" s="56" t="s">
        <v>2387</v>
      </c>
      <c r="G454" s="56" t="s">
        <v>2388</v>
      </c>
      <c r="H454" s="56" t="s">
        <v>8</v>
      </c>
      <c r="I454" s="55" t="s">
        <v>8</v>
      </c>
      <c r="J454" s="57">
        <v>93.12</v>
      </c>
      <c r="K454" s="56" t="s">
        <v>2389</v>
      </c>
      <c r="L454" s="56" t="s">
        <v>2390</v>
      </c>
      <c r="M454" s="55" t="s">
        <v>2391</v>
      </c>
      <c r="N454" s="56" t="s">
        <v>2392</v>
      </c>
      <c r="O454" s="53" t="s">
        <v>8</v>
      </c>
      <c r="P454" s="56" t="s">
        <v>2505</v>
      </c>
      <c r="Q454" s="57">
        <v>9600</v>
      </c>
      <c r="R454" s="58" t="s">
        <v>8</v>
      </c>
      <c r="S454" s="57" t="s">
        <v>8</v>
      </c>
      <c r="T454" s="56" t="s">
        <v>2394</v>
      </c>
    </row>
    <row r="455" spans="1:20">
      <c r="A455" s="55">
        <v>128788985481</v>
      </c>
      <c r="B455" s="53" t="s">
        <v>2386</v>
      </c>
      <c r="C455" s="54">
        <v>45940</v>
      </c>
      <c r="D455" s="55">
        <v>51436802328</v>
      </c>
      <c r="E455" s="55">
        <v>2091464007581</v>
      </c>
      <c r="F455" s="56" t="s">
        <v>2387</v>
      </c>
      <c r="G455" s="56" t="s">
        <v>2388</v>
      </c>
      <c r="H455" s="56" t="s">
        <v>8</v>
      </c>
      <c r="I455" s="55" t="s">
        <v>8</v>
      </c>
      <c r="J455" s="57">
        <v>1476.34</v>
      </c>
      <c r="K455" s="56" t="s">
        <v>2389</v>
      </c>
      <c r="L455" s="56" t="s">
        <v>2390</v>
      </c>
      <c r="M455" s="55" t="s">
        <v>2391</v>
      </c>
      <c r="N455" s="56" t="s">
        <v>2392</v>
      </c>
      <c r="O455" s="53" t="s">
        <v>8</v>
      </c>
      <c r="P455" s="56" t="s">
        <v>2506</v>
      </c>
      <c r="Q455" s="57">
        <v>152200</v>
      </c>
      <c r="R455" s="58" t="s">
        <v>8</v>
      </c>
      <c r="S455" s="57" t="s">
        <v>8</v>
      </c>
      <c r="T455" s="56" t="s">
        <v>2394</v>
      </c>
    </row>
    <row r="456" spans="1:20">
      <c r="A456" s="55">
        <v>129360713754</v>
      </c>
      <c r="B456" s="53" t="s">
        <v>2386</v>
      </c>
      <c r="C456" s="54">
        <v>45940</v>
      </c>
      <c r="D456" s="55">
        <v>51436947416</v>
      </c>
      <c r="E456" s="55">
        <v>2091532059888</v>
      </c>
      <c r="F456" s="56" t="s">
        <v>2387</v>
      </c>
      <c r="G456" s="56" t="s">
        <v>2388</v>
      </c>
      <c r="H456" s="56" t="s">
        <v>8</v>
      </c>
      <c r="I456" s="55" t="s">
        <v>8</v>
      </c>
      <c r="J456" s="57">
        <v>419.04</v>
      </c>
      <c r="K456" s="56" t="s">
        <v>2389</v>
      </c>
      <c r="L456" s="56" t="s">
        <v>2390</v>
      </c>
      <c r="M456" s="55" t="s">
        <v>2391</v>
      </c>
      <c r="N456" s="56" t="s">
        <v>2392</v>
      </c>
      <c r="O456" s="53" t="s">
        <v>8</v>
      </c>
      <c r="P456" s="56" t="s">
        <v>2489</v>
      </c>
      <c r="Q456" s="57">
        <v>43200</v>
      </c>
      <c r="R456" s="58" t="s">
        <v>8</v>
      </c>
      <c r="S456" s="57" t="s">
        <v>8</v>
      </c>
      <c r="T456" s="56" t="s">
        <v>2394</v>
      </c>
    </row>
    <row r="457" spans="1:20">
      <c r="A457" s="55">
        <v>128789258661</v>
      </c>
      <c r="B457" s="53" t="s">
        <v>2386</v>
      </c>
      <c r="C457" s="54">
        <v>45940</v>
      </c>
      <c r="D457" s="55">
        <v>51437017565</v>
      </c>
      <c r="E457" s="55">
        <v>2091532440328</v>
      </c>
      <c r="F457" s="56" t="s">
        <v>2387</v>
      </c>
      <c r="G457" s="56" t="s">
        <v>2388</v>
      </c>
      <c r="H457" s="56" t="s">
        <v>8</v>
      </c>
      <c r="I457" s="55" t="s">
        <v>8</v>
      </c>
      <c r="J457" s="57">
        <v>577.15</v>
      </c>
      <c r="K457" s="56" t="s">
        <v>2389</v>
      </c>
      <c r="L457" s="56" t="s">
        <v>2390</v>
      </c>
      <c r="M457" s="55" t="s">
        <v>2391</v>
      </c>
      <c r="N457" s="56" t="s">
        <v>2392</v>
      </c>
      <c r="O457" s="53" t="s">
        <v>8</v>
      </c>
      <c r="P457" s="56" t="s">
        <v>2507</v>
      </c>
      <c r="Q457" s="57">
        <v>59500</v>
      </c>
      <c r="R457" s="58" t="s">
        <v>8</v>
      </c>
      <c r="S457" s="57" t="s">
        <v>8</v>
      </c>
      <c r="T457" s="56" t="s">
        <v>2394</v>
      </c>
    </row>
    <row r="458" spans="1:20">
      <c r="A458" s="55">
        <v>128789235121</v>
      </c>
      <c r="B458" s="53" t="s">
        <v>2386</v>
      </c>
      <c r="C458" s="54">
        <v>45940</v>
      </c>
      <c r="D458" s="55">
        <v>51437046183</v>
      </c>
      <c r="E458" s="55">
        <v>2091532683894</v>
      </c>
      <c r="F458" s="56" t="s">
        <v>2387</v>
      </c>
      <c r="G458" s="56" t="s">
        <v>2388</v>
      </c>
      <c r="H458" s="56" t="s">
        <v>8</v>
      </c>
      <c r="I458" s="55" t="s">
        <v>8</v>
      </c>
      <c r="J458" s="57">
        <v>145.5</v>
      </c>
      <c r="K458" s="56" t="s">
        <v>2389</v>
      </c>
      <c r="L458" s="56" t="s">
        <v>2390</v>
      </c>
      <c r="M458" s="55" t="s">
        <v>2391</v>
      </c>
      <c r="N458" s="56" t="s">
        <v>2392</v>
      </c>
      <c r="O458" s="53" t="s">
        <v>8</v>
      </c>
      <c r="P458" s="56" t="s">
        <v>2439</v>
      </c>
      <c r="Q458" s="57">
        <v>15000</v>
      </c>
      <c r="R458" s="58" t="s">
        <v>8</v>
      </c>
      <c r="S458" s="57" t="s">
        <v>8</v>
      </c>
      <c r="T458" s="56" t="s">
        <v>2394</v>
      </c>
    </row>
    <row r="459" spans="1:20">
      <c r="A459" s="55">
        <v>128789281509</v>
      </c>
      <c r="B459" s="53" t="s">
        <v>2386</v>
      </c>
      <c r="C459" s="54">
        <v>45940</v>
      </c>
      <c r="D459" s="55">
        <v>51437146450</v>
      </c>
      <c r="E459" s="55">
        <v>2091533404596</v>
      </c>
      <c r="F459" s="56" t="s">
        <v>2387</v>
      </c>
      <c r="G459" s="56" t="s">
        <v>2388</v>
      </c>
      <c r="H459" s="56" t="s">
        <v>8</v>
      </c>
      <c r="I459" s="55" t="s">
        <v>8</v>
      </c>
      <c r="J459" s="57">
        <v>46.56</v>
      </c>
      <c r="K459" s="56" t="s">
        <v>2389</v>
      </c>
      <c r="L459" s="56" t="s">
        <v>2390</v>
      </c>
      <c r="M459" s="55" t="s">
        <v>2391</v>
      </c>
      <c r="N459" s="56" t="s">
        <v>2392</v>
      </c>
      <c r="O459" s="53" t="s">
        <v>8</v>
      </c>
      <c r="P459" s="56" t="s">
        <v>2508</v>
      </c>
      <c r="Q459" s="57">
        <v>4800</v>
      </c>
      <c r="R459" s="58" t="s">
        <v>8</v>
      </c>
      <c r="S459" s="57" t="s">
        <v>8</v>
      </c>
      <c r="T459" s="56" t="s">
        <v>2394</v>
      </c>
    </row>
    <row r="460" spans="1:20">
      <c r="A460" s="55">
        <v>128789469169</v>
      </c>
      <c r="B460" s="53" t="s">
        <v>2386</v>
      </c>
      <c r="C460" s="54">
        <v>45940</v>
      </c>
      <c r="D460" s="55">
        <v>51437189091</v>
      </c>
      <c r="E460" s="55">
        <v>2091467437475</v>
      </c>
      <c r="F460" s="56" t="s">
        <v>2387</v>
      </c>
      <c r="G460" s="56" t="s">
        <v>2388</v>
      </c>
      <c r="H460" s="56" t="s">
        <v>8</v>
      </c>
      <c r="I460" s="55" t="s">
        <v>8</v>
      </c>
      <c r="J460" s="57">
        <v>145.5</v>
      </c>
      <c r="K460" s="56" t="s">
        <v>2389</v>
      </c>
      <c r="L460" s="56" t="s">
        <v>2390</v>
      </c>
      <c r="M460" s="55" t="s">
        <v>2391</v>
      </c>
      <c r="N460" s="56" t="s">
        <v>2392</v>
      </c>
      <c r="O460" s="53" t="s">
        <v>8</v>
      </c>
      <c r="P460" s="56" t="s">
        <v>2509</v>
      </c>
      <c r="Q460" s="57">
        <v>15000</v>
      </c>
      <c r="R460" s="58" t="s">
        <v>8</v>
      </c>
      <c r="S460" s="57" t="s">
        <v>8</v>
      </c>
      <c r="T460" s="56" t="s">
        <v>2394</v>
      </c>
    </row>
    <row r="461" spans="1:20">
      <c r="A461" s="55">
        <v>128789583003</v>
      </c>
      <c r="B461" s="53" t="s">
        <v>2386</v>
      </c>
      <c r="C461" s="54">
        <v>45940</v>
      </c>
      <c r="D461" s="55">
        <v>51437253829</v>
      </c>
      <c r="E461" s="55">
        <v>2091468081209</v>
      </c>
      <c r="F461" s="56" t="s">
        <v>2411</v>
      </c>
      <c r="G461" s="56" t="s">
        <v>2388</v>
      </c>
      <c r="H461" s="56" t="s">
        <v>8</v>
      </c>
      <c r="I461" s="55" t="s">
        <v>8</v>
      </c>
      <c r="J461" s="57">
        <v>93.12</v>
      </c>
      <c r="K461" s="56" t="s">
        <v>2389</v>
      </c>
      <c r="L461" s="56" t="s">
        <v>2390</v>
      </c>
      <c r="M461" s="55" t="s">
        <v>2391</v>
      </c>
      <c r="N461" s="56" t="s">
        <v>2392</v>
      </c>
      <c r="O461" s="53" t="s">
        <v>8</v>
      </c>
      <c r="P461" s="56" t="s">
        <v>2412</v>
      </c>
      <c r="Q461" s="57">
        <v>9600</v>
      </c>
      <c r="R461" s="58" t="s">
        <v>8</v>
      </c>
      <c r="S461" s="57" t="s">
        <v>8</v>
      </c>
      <c r="T461" s="56" t="s">
        <v>8</v>
      </c>
    </row>
    <row r="462" spans="1:20">
      <c r="A462" s="55">
        <v>129361253914</v>
      </c>
      <c r="B462" s="53" t="s">
        <v>2386</v>
      </c>
      <c r="C462" s="54">
        <v>45940</v>
      </c>
      <c r="D462" s="55">
        <v>51437335464</v>
      </c>
      <c r="E462" s="55">
        <v>2091535249502</v>
      </c>
      <c r="F462" s="56" t="s">
        <v>2411</v>
      </c>
      <c r="G462" s="56" t="s">
        <v>2388</v>
      </c>
      <c r="H462" s="56" t="s">
        <v>8</v>
      </c>
      <c r="I462" s="55" t="s">
        <v>8</v>
      </c>
      <c r="J462" s="57">
        <v>46.56</v>
      </c>
      <c r="K462" s="56" t="s">
        <v>2389</v>
      </c>
      <c r="L462" s="56" t="s">
        <v>2390</v>
      </c>
      <c r="M462" s="55" t="s">
        <v>2391</v>
      </c>
      <c r="N462" s="56" t="s">
        <v>2392</v>
      </c>
      <c r="O462" s="53" t="s">
        <v>8</v>
      </c>
      <c r="P462" s="56" t="s">
        <v>2412</v>
      </c>
      <c r="Q462" s="57">
        <v>4800</v>
      </c>
      <c r="R462" s="58" t="s">
        <v>8</v>
      </c>
      <c r="S462" s="57" t="s">
        <v>8</v>
      </c>
      <c r="T462" s="56" t="s">
        <v>8</v>
      </c>
    </row>
    <row r="463" spans="1:20">
      <c r="A463" s="55">
        <v>129361803564</v>
      </c>
      <c r="B463" s="53" t="s">
        <v>2386</v>
      </c>
      <c r="C463" s="54">
        <v>45940</v>
      </c>
      <c r="D463" s="55">
        <v>51437590800</v>
      </c>
      <c r="E463" s="55">
        <v>2091471749599</v>
      </c>
      <c r="F463" s="56" t="s">
        <v>2387</v>
      </c>
      <c r="G463" s="56" t="s">
        <v>2388</v>
      </c>
      <c r="H463" s="56" t="s">
        <v>8</v>
      </c>
      <c r="I463" s="55" t="s">
        <v>8</v>
      </c>
      <c r="J463" s="57">
        <v>51.41</v>
      </c>
      <c r="K463" s="56" t="s">
        <v>2389</v>
      </c>
      <c r="L463" s="56" t="s">
        <v>2390</v>
      </c>
      <c r="M463" s="55" t="s">
        <v>2391</v>
      </c>
      <c r="N463" s="56" t="s">
        <v>2392</v>
      </c>
      <c r="O463" s="53" t="s">
        <v>8</v>
      </c>
      <c r="P463" s="56" t="s">
        <v>2510</v>
      </c>
      <c r="Q463" s="57">
        <v>5300</v>
      </c>
      <c r="R463" s="58" t="s">
        <v>8</v>
      </c>
      <c r="S463" s="57" t="s">
        <v>8</v>
      </c>
      <c r="T463" s="56" t="s">
        <v>2394</v>
      </c>
    </row>
    <row r="464" spans="1:20">
      <c r="A464" s="55">
        <v>129361895776</v>
      </c>
      <c r="B464" s="53" t="s">
        <v>2386</v>
      </c>
      <c r="C464" s="54">
        <v>45940</v>
      </c>
      <c r="D464" s="55">
        <v>51437713442</v>
      </c>
      <c r="E464" s="55">
        <v>2091539884428</v>
      </c>
      <c r="F464" s="56" t="s">
        <v>2387</v>
      </c>
      <c r="G464" s="56" t="s">
        <v>2388</v>
      </c>
      <c r="H464" s="56" t="s">
        <v>8</v>
      </c>
      <c r="I464" s="55" t="s">
        <v>8</v>
      </c>
      <c r="J464" s="57">
        <v>116.4</v>
      </c>
      <c r="K464" s="56" t="s">
        <v>2389</v>
      </c>
      <c r="L464" s="56" t="s">
        <v>2390</v>
      </c>
      <c r="M464" s="55" t="s">
        <v>2391</v>
      </c>
      <c r="N464" s="56" t="s">
        <v>2392</v>
      </c>
      <c r="O464" s="53" t="s">
        <v>8</v>
      </c>
      <c r="P464" s="56" t="s">
        <v>2511</v>
      </c>
      <c r="Q464" s="57">
        <v>12000</v>
      </c>
      <c r="R464" s="58" t="s">
        <v>8</v>
      </c>
      <c r="S464" s="57" t="s">
        <v>8</v>
      </c>
      <c r="T464" s="56" t="s">
        <v>2394</v>
      </c>
    </row>
    <row r="465" spans="1:20">
      <c r="A465" s="55">
        <v>128790136019</v>
      </c>
      <c r="B465" s="53" t="s">
        <v>2386</v>
      </c>
      <c r="C465" s="54">
        <v>45940</v>
      </c>
      <c r="D465" s="55">
        <v>51437750544</v>
      </c>
      <c r="E465" s="55">
        <v>2091540387796</v>
      </c>
      <c r="F465" s="56" t="s">
        <v>2387</v>
      </c>
      <c r="G465" s="56" t="s">
        <v>2388</v>
      </c>
      <c r="H465" s="56" t="s">
        <v>8</v>
      </c>
      <c r="I465" s="55" t="s">
        <v>8</v>
      </c>
      <c r="J465" s="57">
        <v>374.42</v>
      </c>
      <c r="K465" s="56" t="s">
        <v>2389</v>
      </c>
      <c r="L465" s="56" t="s">
        <v>2390</v>
      </c>
      <c r="M465" s="55" t="s">
        <v>2391</v>
      </c>
      <c r="N465" s="56" t="s">
        <v>2392</v>
      </c>
      <c r="O465" s="53" t="s">
        <v>8</v>
      </c>
      <c r="P465" s="56" t="s">
        <v>2486</v>
      </c>
      <c r="Q465" s="57">
        <v>38600</v>
      </c>
      <c r="R465" s="58" t="s">
        <v>8</v>
      </c>
      <c r="S465" s="57" t="s">
        <v>8</v>
      </c>
      <c r="T465" s="56" t="s">
        <v>2394</v>
      </c>
    </row>
    <row r="466" spans="1:20">
      <c r="A466" s="55">
        <v>129362011648</v>
      </c>
      <c r="B466" s="53" t="s">
        <v>2386</v>
      </c>
      <c r="C466" s="54">
        <v>45940</v>
      </c>
      <c r="D466" s="55">
        <v>51437794339</v>
      </c>
      <c r="E466" s="55">
        <v>2091540708048</v>
      </c>
      <c r="F466" s="56" t="s">
        <v>2387</v>
      </c>
      <c r="G466" s="56" t="s">
        <v>2388</v>
      </c>
      <c r="H466" s="56" t="s">
        <v>8</v>
      </c>
      <c r="I466" s="55" t="s">
        <v>8</v>
      </c>
      <c r="J466" s="57">
        <v>145.5</v>
      </c>
      <c r="K466" s="56" t="s">
        <v>2389</v>
      </c>
      <c r="L466" s="56" t="s">
        <v>2390</v>
      </c>
      <c r="M466" s="55" t="s">
        <v>2391</v>
      </c>
      <c r="N466" s="56" t="s">
        <v>2392</v>
      </c>
      <c r="O466" s="53" t="s">
        <v>8</v>
      </c>
      <c r="P466" s="56" t="s">
        <v>2512</v>
      </c>
      <c r="Q466" s="57">
        <v>15000</v>
      </c>
      <c r="R466" s="58" t="s">
        <v>8</v>
      </c>
      <c r="S466" s="57" t="s">
        <v>8</v>
      </c>
      <c r="T466" s="56" t="s">
        <v>2394</v>
      </c>
    </row>
    <row r="467" spans="1:20">
      <c r="A467" s="55">
        <v>129362129768</v>
      </c>
      <c r="B467" s="53" t="s">
        <v>2386</v>
      </c>
      <c r="C467" s="54">
        <v>45940</v>
      </c>
      <c r="D467" s="55">
        <v>51437811094</v>
      </c>
      <c r="E467" s="55">
        <v>2091541636424</v>
      </c>
      <c r="F467" s="56" t="s">
        <v>2401</v>
      </c>
      <c r="G467" s="56" t="s">
        <v>2388</v>
      </c>
      <c r="H467" s="56" t="s">
        <v>8</v>
      </c>
      <c r="I467" s="55" t="s">
        <v>8</v>
      </c>
      <c r="J467" s="57">
        <v>6719.63</v>
      </c>
      <c r="K467" s="56" t="s">
        <v>2389</v>
      </c>
      <c r="L467" s="56" t="s">
        <v>2402</v>
      </c>
      <c r="M467" s="55" t="s">
        <v>2391</v>
      </c>
      <c r="N467" s="56" t="s">
        <v>2392</v>
      </c>
      <c r="O467" s="53" t="s">
        <v>2055</v>
      </c>
      <c r="P467" s="56" t="s">
        <v>2403</v>
      </c>
      <c r="Q467" s="57">
        <v>88300</v>
      </c>
      <c r="R467" s="58" t="s">
        <v>8</v>
      </c>
      <c r="S467" s="57" t="s">
        <v>8</v>
      </c>
      <c r="T467" s="56" t="s">
        <v>2394</v>
      </c>
    </row>
    <row r="468" spans="1:20">
      <c r="A468" s="55">
        <v>129362203494</v>
      </c>
      <c r="B468" s="53" t="s">
        <v>2386</v>
      </c>
      <c r="C468" s="54">
        <v>45940</v>
      </c>
      <c r="D468" s="55">
        <v>51437831891</v>
      </c>
      <c r="E468" s="55">
        <v>2091474790649</v>
      </c>
      <c r="F468" s="56" t="s">
        <v>2401</v>
      </c>
      <c r="G468" s="56" t="s">
        <v>2388</v>
      </c>
      <c r="H468" s="56" t="s">
        <v>8</v>
      </c>
      <c r="I468" s="55" t="s">
        <v>8</v>
      </c>
      <c r="J468" s="57">
        <v>3698.13</v>
      </c>
      <c r="K468" s="56" t="s">
        <v>2389</v>
      </c>
      <c r="L468" s="56" t="s">
        <v>2402</v>
      </c>
      <c r="M468" s="55" t="s">
        <v>2391</v>
      </c>
      <c r="N468" s="56" t="s">
        <v>2392</v>
      </c>
      <c r="O468" s="53" t="s">
        <v>2055</v>
      </c>
      <c r="P468" s="56" t="s">
        <v>2403</v>
      </c>
      <c r="Q468" s="57">
        <v>94100</v>
      </c>
      <c r="R468" s="58" t="s">
        <v>8</v>
      </c>
      <c r="S468" s="57" t="s">
        <v>8</v>
      </c>
      <c r="T468" s="56" t="s">
        <v>2394</v>
      </c>
    </row>
    <row r="469" spans="1:20">
      <c r="A469" s="55">
        <v>128790311633</v>
      </c>
      <c r="B469" s="53" t="s">
        <v>2386</v>
      </c>
      <c r="C469" s="54">
        <v>45940</v>
      </c>
      <c r="D469" s="55">
        <v>51437860757</v>
      </c>
      <c r="E469" s="55">
        <v>2091475878741</v>
      </c>
      <c r="F469" s="56" t="s">
        <v>2387</v>
      </c>
      <c r="G469" s="56" t="s">
        <v>2388</v>
      </c>
      <c r="H469" s="56" t="s">
        <v>8</v>
      </c>
      <c r="I469" s="55" t="s">
        <v>8</v>
      </c>
      <c r="J469" s="57">
        <v>150.35</v>
      </c>
      <c r="K469" s="56" t="s">
        <v>2389</v>
      </c>
      <c r="L469" s="56" t="s">
        <v>2390</v>
      </c>
      <c r="M469" s="55" t="s">
        <v>2391</v>
      </c>
      <c r="N469" s="56" t="s">
        <v>2392</v>
      </c>
      <c r="O469" s="53" t="s">
        <v>8</v>
      </c>
      <c r="P469" s="56" t="s">
        <v>2513</v>
      </c>
      <c r="Q469" s="57">
        <v>15500</v>
      </c>
      <c r="R469" s="58" t="s">
        <v>8</v>
      </c>
      <c r="S469" s="57" t="s">
        <v>8</v>
      </c>
      <c r="T469" s="56" t="s">
        <v>2394</v>
      </c>
    </row>
    <row r="470" spans="1:20">
      <c r="A470" s="55">
        <v>128790376827</v>
      </c>
      <c r="B470" s="53" t="s">
        <v>2386</v>
      </c>
      <c r="C470" s="54">
        <v>45940</v>
      </c>
      <c r="D470" s="55">
        <v>51437866385</v>
      </c>
      <c r="E470" s="55">
        <v>2091475268409</v>
      </c>
      <c r="F470" s="56" t="s">
        <v>2387</v>
      </c>
      <c r="G470" s="56" t="s">
        <v>2388</v>
      </c>
      <c r="H470" s="56" t="s">
        <v>8</v>
      </c>
      <c r="I470" s="55" t="s">
        <v>8</v>
      </c>
      <c r="J470" s="57">
        <v>76.63</v>
      </c>
      <c r="K470" s="56" t="s">
        <v>2389</v>
      </c>
      <c r="L470" s="56" t="s">
        <v>2390</v>
      </c>
      <c r="M470" s="55" t="s">
        <v>2391</v>
      </c>
      <c r="N470" s="56" t="s">
        <v>2392</v>
      </c>
      <c r="O470" s="53" t="s">
        <v>8</v>
      </c>
      <c r="P470" s="56" t="s">
        <v>2514</v>
      </c>
      <c r="Q470" s="57">
        <v>7900</v>
      </c>
      <c r="R470" s="58" t="s">
        <v>8</v>
      </c>
      <c r="S470" s="57" t="s">
        <v>8</v>
      </c>
      <c r="T470" s="56" t="s">
        <v>2394</v>
      </c>
    </row>
    <row r="471" spans="1:20">
      <c r="A471" s="55">
        <v>128790427367</v>
      </c>
      <c r="B471" s="53" t="s">
        <v>2386</v>
      </c>
      <c r="C471" s="54">
        <v>45940</v>
      </c>
      <c r="D471" s="55">
        <v>51437924528</v>
      </c>
      <c r="E471" s="55">
        <v>2091542634068</v>
      </c>
      <c r="F471" s="56" t="s">
        <v>2387</v>
      </c>
      <c r="G471" s="56" t="s">
        <v>2388</v>
      </c>
      <c r="H471" s="56" t="s">
        <v>8</v>
      </c>
      <c r="I471" s="55" t="s">
        <v>8</v>
      </c>
      <c r="J471" s="57">
        <v>39.770000000000003</v>
      </c>
      <c r="K471" s="56" t="s">
        <v>2389</v>
      </c>
      <c r="L471" s="56" t="s">
        <v>2390</v>
      </c>
      <c r="M471" s="55" t="s">
        <v>2391</v>
      </c>
      <c r="N471" s="56" t="s">
        <v>2392</v>
      </c>
      <c r="O471" s="53" t="s">
        <v>8</v>
      </c>
      <c r="P471" s="56" t="s">
        <v>2468</v>
      </c>
      <c r="Q471" s="57">
        <v>4100</v>
      </c>
      <c r="R471" s="58" t="s">
        <v>8</v>
      </c>
      <c r="S471" s="57" t="s">
        <v>8</v>
      </c>
      <c r="T471" s="56" t="s">
        <v>2394</v>
      </c>
    </row>
    <row r="472" spans="1:20">
      <c r="A472" s="55">
        <v>129362542858</v>
      </c>
      <c r="B472" s="53" t="s">
        <v>2386</v>
      </c>
      <c r="C472" s="54">
        <v>45940</v>
      </c>
      <c r="D472" s="55">
        <v>51438045803</v>
      </c>
      <c r="E472" s="55">
        <v>2091478358969</v>
      </c>
      <c r="F472" s="56" t="s">
        <v>2387</v>
      </c>
      <c r="G472" s="56" t="s">
        <v>2388</v>
      </c>
      <c r="H472" s="56" t="s">
        <v>8</v>
      </c>
      <c r="I472" s="55" t="s">
        <v>8</v>
      </c>
      <c r="J472" s="57">
        <v>43.65</v>
      </c>
      <c r="K472" s="56" t="s">
        <v>2389</v>
      </c>
      <c r="L472" s="56" t="s">
        <v>2390</v>
      </c>
      <c r="M472" s="55" t="s">
        <v>2391</v>
      </c>
      <c r="N472" s="56" t="s">
        <v>2392</v>
      </c>
      <c r="O472" s="53" t="s">
        <v>8</v>
      </c>
      <c r="P472" s="56" t="s">
        <v>2410</v>
      </c>
      <c r="Q472" s="57">
        <v>4500</v>
      </c>
      <c r="R472" s="58" t="s">
        <v>8</v>
      </c>
      <c r="S472" s="57" t="s">
        <v>8</v>
      </c>
      <c r="T472" s="56" t="s">
        <v>2394</v>
      </c>
    </row>
    <row r="473" spans="1:20">
      <c r="A473" s="55">
        <v>128790671665</v>
      </c>
      <c r="B473" s="53" t="s">
        <v>2386</v>
      </c>
      <c r="C473" s="54">
        <v>45940</v>
      </c>
      <c r="D473" s="55">
        <v>51438087357</v>
      </c>
      <c r="E473" s="55">
        <v>2091479181997</v>
      </c>
      <c r="F473" s="56" t="s">
        <v>2411</v>
      </c>
      <c r="G473" s="56" t="s">
        <v>2388</v>
      </c>
      <c r="H473" s="56" t="s">
        <v>8</v>
      </c>
      <c r="I473" s="55" t="s">
        <v>8</v>
      </c>
      <c r="J473" s="57">
        <v>38.799999999999997</v>
      </c>
      <c r="K473" s="56" t="s">
        <v>2389</v>
      </c>
      <c r="L473" s="56" t="s">
        <v>2390</v>
      </c>
      <c r="M473" s="55" t="s">
        <v>2391</v>
      </c>
      <c r="N473" s="56" t="s">
        <v>2392</v>
      </c>
      <c r="O473" s="53" t="s">
        <v>8</v>
      </c>
      <c r="P473" s="56" t="s">
        <v>2412</v>
      </c>
      <c r="Q473" s="57">
        <v>4000</v>
      </c>
      <c r="R473" s="58" t="s">
        <v>8</v>
      </c>
      <c r="S473" s="57" t="s">
        <v>8</v>
      </c>
      <c r="T473" s="56" t="s">
        <v>8</v>
      </c>
    </row>
    <row r="474" spans="1:20">
      <c r="A474" s="55">
        <v>128790802443</v>
      </c>
      <c r="B474" s="53" t="s">
        <v>2386</v>
      </c>
      <c r="C474" s="54">
        <v>45940</v>
      </c>
      <c r="D474" s="55">
        <v>51438114355</v>
      </c>
      <c r="E474" s="55">
        <v>2091479358967</v>
      </c>
      <c r="F474" s="56" t="s">
        <v>2387</v>
      </c>
      <c r="G474" s="56" t="s">
        <v>2388</v>
      </c>
      <c r="H474" s="56" t="s">
        <v>8</v>
      </c>
      <c r="I474" s="55" t="s">
        <v>8</v>
      </c>
      <c r="J474" s="57">
        <v>116.4</v>
      </c>
      <c r="K474" s="56" t="s">
        <v>2389</v>
      </c>
      <c r="L474" s="56" t="s">
        <v>2390</v>
      </c>
      <c r="M474" s="55" t="s">
        <v>2391</v>
      </c>
      <c r="N474" s="56" t="s">
        <v>2392</v>
      </c>
      <c r="O474" s="53" t="s">
        <v>8</v>
      </c>
      <c r="P474" s="56" t="s">
        <v>2515</v>
      </c>
      <c r="Q474" s="57">
        <v>12000</v>
      </c>
      <c r="R474" s="58" t="s">
        <v>8</v>
      </c>
      <c r="S474" s="57" t="s">
        <v>8</v>
      </c>
      <c r="T474" s="56" t="s">
        <v>2394</v>
      </c>
    </row>
    <row r="475" spans="1:20">
      <c r="A475" s="55">
        <v>129362629610</v>
      </c>
      <c r="B475" s="53" t="s">
        <v>2386</v>
      </c>
      <c r="C475" s="54">
        <v>45940</v>
      </c>
      <c r="D475" s="55">
        <v>51438117617</v>
      </c>
      <c r="E475" s="55">
        <v>2091479840763</v>
      </c>
      <c r="F475" s="56" t="s">
        <v>2387</v>
      </c>
      <c r="G475" s="56" t="s">
        <v>2388</v>
      </c>
      <c r="H475" s="56" t="s">
        <v>8</v>
      </c>
      <c r="I475" s="55" t="s">
        <v>8</v>
      </c>
      <c r="J475" s="57">
        <v>523.79999999999995</v>
      </c>
      <c r="K475" s="56" t="s">
        <v>2389</v>
      </c>
      <c r="L475" s="56" t="s">
        <v>2390</v>
      </c>
      <c r="M475" s="55" t="s">
        <v>2391</v>
      </c>
      <c r="N475" s="56" t="s">
        <v>2392</v>
      </c>
      <c r="O475" s="53" t="s">
        <v>8</v>
      </c>
      <c r="P475" s="56" t="s">
        <v>2478</v>
      </c>
      <c r="Q475" s="57">
        <v>54000</v>
      </c>
      <c r="R475" s="58" t="s">
        <v>8</v>
      </c>
      <c r="S475" s="57" t="s">
        <v>8</v>
      </c>
      <c r="T475" s="56" t="s">
        <v>2394</v>
      </c>
    </row>
    <row r="476" spans="1:20">
      <c r="A476" s="55">
        <v>128790813097</v>
      </c>
      <c r="B476" s="53" t="s">
        <v>2386</v>
      </c>
      <c r="C476" s="54">
        <v>45940</v>
      </c>
      <c r="D476" s="55">
        <v>51438141642</v>
      </c>
      <c r="E476" s="55">
        <v>2091547102550</v>
      </c>
      <c r="F476" s="56" t="s">
        <v>2387</v>
      </c>
      <c r="G476" s="56" t="s">
        <v>2388</v>
      </c>
      <c r="H476" s="56" t="s">
        <v>8</v>
      </c>
      <c r="I476" s="55" t="s">
        <v>8</v>
      </c>
      <c r="J476" s="57">
        <v>46.56</v>
      </c>
      <c r="K476" s="56" t="s">
        <v>2389</v>
      </c>
      <c r="L476" s="56" t="s">
        <v>2390</v>
      </c>
      <c r="M476" s="55" t="s">
        <v>2391</v>
      </c>
      <c r="N476" s="56" t="s">
        <v>2392</v>
      </c>
      <c r="O476" s="53" t="s">
        <v>8</v>
      </c>
      <c r="P476" s="56" t="s">
        <v>2516</v>
      </c>
      <c r="Q476" s="57">
        <v>4800</v>
      </c>
      <c r="R476" s="58" t="s">
        <v>8</v>
      </c>
      <c r="S476" s="57" t="s">
        <v>8</v>
      </c>
      <c r="T476" s="56" t="s">
        <v>2394</v>
      </c>
    </row>
    <row r="477" spans="1:20">
      <c r="A477" s="55">
        <v>128791038125</v>
      </c>
      <c r="B477" s="53" t="s">
        <v>2386</v>
      </c>
      <c r="C477" s="54">
        <v>45940</v>
      </c>
      <c r="D477" s="55">
        <v>51438148680</v>
      </c>
      <c r="E477" s="55">
        <v>2091479949389</v>
      </c>
      <c r="F477" s="56" t="s">
        <v>2475</v>
      </c>
      <c r="G477" s="56" t="s">
        <v>2388</v>
      </c>
      <c r="H477" s="56" t="s">
        <v>8</v>
      </c>
      <c r="I477" s="55" t="s">
        <v>8</v>
      </c>
      <c r="J477" s="57">
        <v>70.09</v>
      </c>
      <c r="K477" s="56" t="s">
        <v>2389</v>
      </c>
      <c r="L477" s="56" t="s">
        <v>2390</v>
      </c>
      <c r="M477" s="55" t="s">
        <v>2391</v>
      </c>
      <c r="N477" s="56" t="s">
        <v>2392</v>
      </c>
      <c r="O477" s="53" t="s">
        <v>8</v>
      </c>
      <c r="P477" s="56" t="s">
        <v>2476</v>
      </c>
      <c r="Q477" s="57">
        <v>4300</v>
      </c>
      <c r="R477" s="58" t="s">
        <v>8</v>
      </c>
      <c r="S477" s="57" t="s">
        <v>8</v>
      </c>
      <c r="T477" s="56" t="s">
        <v>2394</v>
      </c>
    </row>
    <row r="478" spans="1:20">
      <c r="A478" s="55">
        <v>129362779056</v>
      </c>
      <c r="B478" s="53" t="s">
        <v>2386</v>
      </c>
      <c r="C478" s="54">
        <v>45940</v>
      </c>
      <c r="D478" s="55">
        <v>51438187477</v>
      </c>
      <c r="E478" s="55">
        <v>2091547281894</v>
      </c>
      <c r="F478" s="56" t="s">
        <v>2387</v>
      </c>
      <c r="G478" s="56" t="s">
        <v>2388</v>
      </c>
      <c r="H478" s="56" t="s">
        <v>8</v>
      </c>
      <c r="I478" s="55" t="s">
        <v>8</v>
      </c>
      <c r="J478" s="57">
        <v>93.12</v>
      </c>
      <c r="K478" s="56" t="s">
        <v>2389</v>
      </c>
      <c r="L478" s="56" t="s">
        <v>2390</v>
      </c>
      <c r="M478" s="55" t="s">
        <v>2391</v>
      </c>
      <c r="N478" s="56" t="s">
        <v>2392</v>
      </c>
      <c r="O478" s="53" t="s">
        <v>8</v>
      </c>
      <c r="P478" s="56" t="s">
        <v>2517</v>
      </c>
      <c r="Q478" s="57">
        <v>9600</v>
      </c>
      <c r="R478" s="58" t="s">
        <v>8</v>
      </c>
      <c r="S478" s="57" t="s">
        <v>8</v>
      </c>
      <c r="T478" s="56" t="s">
        <v>2394</v>
      </c>
    </row>
    <row r="479" spans="1:20">
      <c r="A479" s="55">
        <v>128791039201</v>
      </c>
      <c r="B479" s="53" t="s">
        <v>2386</v>
      </c>
      <c r="C479" s="54">
        <v>45940</v>
      </c>
      <c r="D479" s="55">
        <v>51438228624</v>
      </c>
      <c r="E479" s="55">
        <v>2091548561180</v>
      </c>
      <c r="F479" s="56" t="s">
        <v>2401</v>
      </c>
      <c r="G479" s="56" t="s">
        <v>2388</v>
      </c>
      <c r="H479" s="56" t="s">
        <v>8</v>
      </c>
      <c r="I479" s="55" t="s">
        <v>8</v>
      </c>
      <c r="J479" s="57">
        <v>196.5</v>
      </c>
      <c r="K479" s="56" t="s">
        <v>2389</v>
      </c>
      <c r="L479" s="56" t="s">
        <v>2402</v>
      </c>
      <c r="M479" s="55" t="s">
        <v>2391</v>
      </c>
      <c r="N479" s="56" t="s">
        <v>2392</v>
      </c>
      <c r="O479" s="53" t="s">
        <v>2055</v>
      </c>
      <c r="P479" s="56" t="s">
        <v>2403</v>
      </c>
      <c r="Q479" s="57">
        <v>5000</v>
      </c>
      <c r="R479" s="58" t="s">
        <v>8</v>
      </c>
      <c r="S479" s="57" t="s">
        <v>8</v>
      </c>
      <c r="T479" s="56" t="s">
        <v>2394</v>
      </c>
    </row>
    <row r="480" spans="1:20">
      <c r="A480" s="55">
        <v>128790975673</v>
      </c>
      <c r="B480" s="53" t="s">
        <v>2386</v>
      </c>
      <c r="C480" s="54">
        <v>45940</v>
      </c>
      <c r="D480" s="55">
        <v>51438241434</v>
      </c>
      <c r="E480" s="55">
        <v>2091482368681</v>
      </c>
      <c r="F480" s="56" t="s">
        <v>2411</v>
      </c>
      <c r="G480" s="56" t="s">
        <v>2388</v>
      </c>
      <c r="H480" s="56" t="s">
        <v>8</v>
      </c>
      <c r="I480" s="55" t="s">
        <v>8</v>
      </c>
      <c r="J480" s="57">
        <v>582</v>
      </c>
      <c r="K480" s="56" t="s">
        <v>2389</v>
      </c>
      <c r="L480" s="56" t="s">
        <v>2390</v>
      </c>
      <c r="M480" s="55" t="s">
        <v>2391</v>
      </c>
      <c r="N480" s="56" t="s">
        <v>2392</v>
      </c>
      <c r="O480" s="53" t="s">
        <v>8</v>
      </c>
      <c r="P480" s="56" t="s">
        <v>2412</v>
      </c>
      <c r="Q480" s="57">
        <v>60000</v>
      </c>
      <c r="R480" s="58" t="s">
        <v>8</v>
      </c>
      <c r="S480" s="57" t="s">
        <v>8</v>
      </c>
      <c r="T480" s="56" t="s">
        <v>8</v>
      </c>
    </row>
    <row r="481" spans="1:20">
      <c r="A481" s="55">
        <v>129362926804</v>
      </c>
      <c r="B481" s="53" t="s">
        <v>2386</v>
      </c>
      <c r="C481" s="54">
        <v>45940</v>
      </c>
      <c r="D481" s="55">
        <v>51438270186</v>
      </c>
      <c r="E481" s="55">
        <v>2091482449879</v>
      </c>
      <c r="F481" s="56" t="s">
        <v>2387</v>
      </c>
      <c r="G481" s="56" t="s">
        <v>2388</v>
      </c>
      <c r="H481" s="56" t="s">
        <v>8</v>
      </c>
      <c r="I481" s="55" t="s">
        <v>8</v>
      </c>
      <c r="J481" s="57">
        <v>488.88</v>
      </c>
      <c r="K481" s="56" t="s">
        <v>2389</v>
      </c>
      <c r="L481" s="56" t="s">
        <v>2390</v>
      </c>
      <c r="M481" s="55" t="s">
        <v>2391</v>
      </c>
      <c r="N481" s="56" t="s">
        <v>2392</v>
      </c>
      <c r="O481" s="53" t="s">
        <v>8</v>
      </c>
      <c r="P481" s="56" t="s">
        <v>2518</v>
      </c>
      <c r="Q481" s="57">
        <v>50400</v>
      </c>
      <c r="R481" s="58" t="s">
        <v>8</v>
      </c>
      <c r="S481" s="57" t="s">
        <v>8</v>
      </c>
      <c r="T481" s="56" t="s">
        <v>2394</v>
      </c>
    </row>
    <row r="482" spans="1:20">
      <c r="A482" s="55">
        <v>129363235724</v>
      </c>
      <c r="B482" s="53" t="s">
        <v>2386</v>
      </c>
      <c r="C482" s="54">
        <v>45940</v>
      </c>
      <c r="D482" s="55">
        <v>51438477435</v>
      </c>
      <c r="E482" s="55">
        <v>2091486277335</v>
      </c>
      <c r="F482" s="56" t="s">
        <v>2387</v>
      </c>
      <c r="G482" s="56" t="s">
        <v>2388</v>
      </c>
      <c r="H482" s="56" t="s">
        <v>8</v>
      </c>
      <c r="I482" s="55" t="s">
        <v>8</v>
      </c>
      <c r="J482" s="57">
        <v>126.1</v>
      </c>
      <c r="K482" s="56" t="s">
        <v>2389</v>
      </c>
      <c r="L482" s="56" t="s">
        <v>2390</v>
      </c>
      <c r="M482" s="55" t="s">
        <v>2391</v>
      </c>
      <c r="N482" s="56" t="s">
        <v>2392</v>
      </c>
      <c r="O482" s="53" t="s">
        <v>8</v>
      </c>
      <c r="P482" s="56" t="s">
        <v>2519</v>
      </c>
      <c r="Q482" s="57">
        <v>13000</v>
      </c>
      <c r="R482" s="58" t="s">
        <v>8</v>
      </c>
      <c r="S482" s="57" t="s">
        <v>8</v>
      </c>
      <c r="T482" s="56" t="s">
        <v>2394</v>
      </c>
    </row>
    <row r="483" spans="1:20">
      <c r="A483" s="55">
        <v>129363422332</v>
      </c>
      <c r="B483" s="53" t="s">
        <v>2386</v>
      </c>
      <c r="C483" s="54">
        <v>45940</v>
      </c>
      <c r="D483" s="55">
        <v>51438555704</v>
      </c>
      <c r="E483" s="55">
        <v>2091553872918</v>
      </c>
      <c r="F483" s="56" t="s">
        <v>2401</v>
      </c>
      <c r="G483" s="56" t="s">
        <v>2388</v>
      </c>
      <c r="H483" s="56" t="s">
        <v>8</v>
      </c>
      <c r="I483" s="55" t="s">
        <v>8</v>
      </c>
      <c r="J483" s="57">
        <v>365.49</v>
      </c>
      <c r="K483" s="56" t="s">
        <v>2389</v>
      </c>
      <c r="L483" s="56" t="s">
        <v>2402</v>
      </c>
      <c r="M483" s="55" t="s">
        <v>2391</v>
      </c>
      <c r="N483" s="56" t="s">
        <v>2392</v>
      </c>
      <c r="O483" s="53" t="s">
        <v>2055</v>
      </c>
      <c r="P483" s="56" t="s">
        <v>2403</v>
      </c>
      <c r="Q483" s="57">
        <v>9300</v>
      </c>
      <c r="R483" s="58" t="s">
        <v>8</v>
      </c>
      <c r="S483" s="57" t="s">
        <v>8</v>
      </c>
      <c r="T483" s="56" t="s">
        <v>2394</v>
      </c>
    </row>
    <row r="484" spans="1:20">
      <c r="A484" s="55">
        <v>129363361660</v>
      </c>
      <c r="B484" s="53" t="s">
        <v>2386</v>
      </c>
      <c r="C484" s="54">
        <v>45940</v>
      </c>
      <c r="D484" s="55">
        <v>51438645743</v>
      </c>
      <c r="E484" s="55">
        <v>2091488091033</v>
      </c>
      <c r="F484" s="56" t="s">
        <v>2401</v>
      </c>
      <c r="G484" s="56" t="s">
        <v>2388</v>
      </c>
      <c r="H484" s="56" t="s">
        <v>8</v>
      </c>
      <c r="I484" s="55" t="s">
        <v>8</v>
      </c>
      <c r="J484" s="57">
        <v>282.95999999999998</v>
      </c>
      <c r="K484" s="56" t="s">
        <v>2389</v>
      </c>
      <c r="L484" s="56" t="s">
        <v>2402</v>
      </c>
      <c r="M484" s="55" t="s">
        <v>2391</v>
      </c>
      <c r="N484" s="56" t="s">
        <v>2392</v>
      </c>
      <c r="O484" s="53" t="s">
        <v>2055</v>
      </c>
      <c r="P484" s="56" t="s">
        <v>2403</v>
      </c>
      <c r="Q484" s="57">
        <v>7200</v>
      </c>
      <c r="R484" s="58" t="s">
        <v>8</v>
      </c>
      <c r="S484" s="57" t="s">
        <v>8</v>
      </c>
      <c r="T484" s="56" t="s">
        <v>2394</v>
      </c>
    </row>
    <row r="485" spans="1:20">
      <c r="A485" s="55">
        <v>128791843481</v>
      </c>
      <c r="B485" s="53" t="s">
        <v>2386</v>
      </c>
      <c r="C485" s="54">
        <v>45940</v>
      </c>
      <c r="D485" s="55">
        <v>51438680195</v>
      </c>
      <c r="E485" s="55">
        <v>2091555753048</v>
      </c>
      <c r="F485" s="56" t="s">
        <v>2401</v>
      </c>
      <c r="G485" s="56" t="s">
        <v>2388</v>
      </c>
      <c r="H485" s="56" t="s">
        <v>8</v>
      </c>
      <c r="I485" s="55" t="s">
        <v>8</v>
      </c>
      <c r="J485" s="57">
        <v>330.12</v>
      </c>
      <c r="K485" s="56" t="s">
        <v>2389</v>
      </c>
      <c r="L485" s="56" t="s">
        <v>2402</v>
      </c>
      <c r="M485" s="55" t="s">
        <v>2391</v>
      </c>
      <c r="N485" s="56" t="s">
        <v>2392</v>
      </c>
      <c r="O485" s="53" t="s">
        <v>2055</v>
      </c>
      <c r="P485" s="56" t="s">
        <v>2403</v>
      </c>
      <c r="Q485" s="57">
        <v>8400</v>
      </c>
      <c r="R485" s="58" t="s">
        <v>8</v>
      </c>
      <c r="S485" s="57" t="s">
        <v>8</v>
      </c>
      <c r="T485" s="56" t="s">
        <v>2394</v>
      </c>
    </row>
    <row r="486" spans="1:20">
      <c r="A486" s="55">
        <v>128791965351</v>
      </c>
      <c r="B486" s="53" t="s">
        <v>2386</v>
      </c>
      <c r="C486" s="54">
        <v>45940</v>
      </c>
      <c r="D486" s="55">
        <v>51438770972</v>
      </c>
      <c r="E486" s="55">
        <v>2091490029469</v>
      </c>
      <c r="F486" s="56" t="s">
        <v>2411</v>
      </c>
      <c r="G486" s="56" t="s">
        <v>2388</v>
      </c>
      <c r="H486" s="56" t="s">
        <v>8</v>
      </c>
      <c r="I486" s="55" t="s">
        <v>8</v>
      </c>
      <c r="J486" s="57">
        <v>46.56</v>
      </c>
      <c r="K486" s="56" t="s">
        <v>2389</v>
      </c>
      <c r="L486" s="56" t="s">
        <v>2390</v>
      </c>
      <c r="M486" s="55" t="s">
        <v>2391</v>
      </c>
      <c r="N486" s="56" t="s">
        <v>2392</v>
      </c>
      <c r="O486" s="53" t="s">
        <v>8</v>
      </c>
      <c r="P486" s="56" t="s">
        <v>2412</v>
      </c>
      <c r="Q486" s="57">
        <v>4800</v>
      </c>
      <c r="R486" s="58" t="s">
        <v>8</v>
      </c>
      <c r="S486" s="57" t="s">
        <v>8</v>
      </c>
      <c r="T486" s="56" t="s">
        <v>8</v>
      </c>
    </row>
    <row r="487" spans="1:20">
      <c r="A487" s="55">
        <v>128792088431</v>
      </c>
      <c r="B487" s="53" t="s">
        <v>2386</v>
      </c>
      <c r="C487" s="54">
        <v>45940</v>
      </c>
      <c r="D487" s="55">
        <v>51438805490</v>
      </c>
      <c r="E487" s="55">
        <v>2091490464493</v>
      </c>
      <c r="F487" s="56" t="s">
        <v>2411</v>
      </c>
      <c r="G487" s="56" t="s">
        <v>2388</v>
      </c>
      <c r="H487" s="56" t="s">
        <v>8</v>
      </c>
      <c r="I487" s="55" t="s">
        <v>8</v>
      </c>
      <c r="J487" s="57">
        <v>46.56</v>
      </c>
      <c r="K487" s="56" t="s">
        <v>2389</v>
      </c>
      <c r="L487" s="56" t="s">
        <v>2390</v>
      </c>
      <c r="M487" s="55" t="s">
        <v>2391</v>
      </c>
      <c r="N487" s="56" t="s">
        <v>2392</v>
      </c>
      <c r="O487" s="53" t="s">
        <v>8</v>
      </c>
      <c r="P487" s="56" t="s">
        <v>2412</v>
      </c>
      <c r="Q487" s="57">
        <v>4800</v>
      </c>
      <c r="R487" s="58" t="s">
        <v>8</v>
      </c>
      <c r="S487" s="57" t="s">
        <v>8</v>
      </c>
      <c r="T487" s="56" t="s">
        <v>8</v>
      </c>
    </row>
    <row r="488" spans="1:20">
      <c r="A488" s="55">
        <v>129363795578</v>
      </c>
      <c r="B488" s="53" t="s">
        <v>2386</v>
      </c>
      <c r="C488" s="54">
        <v>45940</v>
      </c>
      <c r="D488" s="55">
        <v>51438857935</v>
      </c>
      <c r="E488" s="55">
        <v>2091558594828</v>
      </c>
      <c r="F488" s="56" t="s">
        <v>2411</v>
      </c>
      <c r="G488" s="56" t="s">
        <v>2388</v>
      </c>
      <c r="H488" s="56" t="s">
        <v>8</v>
      </c>
      <c r="I488" s="55" t="s">
        <v>8</v>
      </c>
      <c r="J488" s="57">
        <v>198.85</v>
      </c>
      <c r="K488" s="56" t="s">
        <v>2389</v>
      </c>
      <c r="L488" s="56" t="s">
        <v>2390</v>
      </c>
      <c r="M488" s="55" t="s">
        <v>2391</v>
      </c>
      <c r="N488" s="56" t="s">
        <v>2392</v>
      </c>
      <c r="O488" s="53" t="s">
        <v>8</v>
      </c>
      <c r="P488" s="56" t="s">
        <v>2412</v>
      </c>
      <c r="Q488" s="57">
        <v>20500</v>
      </c>
      <c r="R488" s="58" t="s">
        <v>8</v>
      </c>
      <c r="S488" s="57" t="s">
        <v>8</v>
      </c>
      <c r="T488" s="56" t="s">
        <v>8</v>
      </c>
    </row>
    <row r="489" spans="1:20">
      <c r="A489" s="55">
        <v>128792091581</v>
      </c>
      <c r="B489" s="53" t="s">
        <v>2386</v>
      </c>
      <c r="C489" s="54">
        <v>45940</v>
      </c>
      <c r="D489" s="55">
        <v>51438876341</v>
      </c>
      <c r="E489" s="55">
        <v>2091492123569</v>
      </c>
      <c r="F489" s="56" t="s">
        <v>2387</v>
      </c>
      <c r="G489" s="56" t="s">
        <v>2388</v>
      </c>
      <c r="H489" s="56" t="s">
        <v>8</v>
      </c>
      <c r="I489" s="55" t="s">
        <v>8</v>
      </c>
      <c r="J489" s="57">
        <v>89.24</v>
      </c>
      <c r="K489" s="56" t="s">
        <v>2389</v>
      </c>
      <c r="L489" s="56" t="s">
        <v>2390</v>
      </c>
      <c r="M489" s="55" t="s">
        <v>2391</v>
      </c>
      <c r="N489" s="56" t="s">
        <v>2392</v>
      </c>
      <c r="O489" s="53" t="s">
        <v>8</v>
      </c>
      <c r="P489" s="56" t="s">
        <v>2520</v>
      </c>
      <c r="Q489" s="57">
        <v>9200</v>
      </c>
      <c r="R489" s="58" t="s">
        <v>8</v>
      </c>
      <c r="S489" s="57" t="s">
        <v>8</v>
      </c>
      <c r="T489" s="56" t="s">
        <v>2394</v>
      </c>
    </row>
    <row r="490" spans="1:20">
      <c r="A490" s="55">
        <v>128792133789</v>
      </c>
      <c r="B490" s="53" t="s">
        <v>2386</v>
      </c>
      <c r="C490" s="54">
        <v>45940</v>
      </c>
      <c r="D490" s="55">
        <v>51438881752</v>
      </c>
      <c r="E490" s="55">
        <v>2091492622877</v>
      </c>
      <c r="F490" s="56" t="s">
        <v>2401</v>
      </c>
      <c r="G490" s="56" t="s">
        <v>2388</v>
      </c>
      <c r="H490" s="56" t="s">
        <v>8</v>
      </c>
      <c r="I490" s="55" t="s">
        <v>8</v>
      </c>
      <c r="J490" s="57">
        <v>1116.1199999999999</v>
      </c>
      <c r="K490" s="56" t="s">
        <v>2389</v>
      </c>
      <c r="L490" s="56" t="s">
        <v>2402</v>
      </c>
      <c r="M490" s="55" t="s">
        <v>2391</v>
      </c>
      <c r="N490" s="56" t="s">
        <v>2392</v>
      </c>
      <c r="O490" s="53" t="s">
        <v>2055</v>
      </c>
      <c r="P490" s="56" t="s">
        <v>2403</v>
      </c>
      <c r="Q490" s="57">
        <v>28400</v>
      </c>
      <c r="R490" s="58" t="s">
        <v>8</v>
      </c>
      <c r="S490" s="57" t="s">
        <v>8</v>
      </c>
      <c r="T490" s="56" t="s">
        <v>2394</v>
      </c>
    </row>
    <row r="491" spans="1:20">
      <c r="A491" s="55">
        <v>129364048342</v>
      </c>
      <c r="B491" s="53" t="s">
        <v>2386</v>
      </c>
      <c r="C491" s="54">
        <v>45940</v>
      </c>
      <c r="D491" s="55">
        <v>51438959330</v>
      </c>
      <c r="E491" s="55">
        <v>2091493627963</v>
      </c>
      <c r="F491" s="56" t="s">
        <v>2387</v>
      </c>
      <c r="G491" s="56" t="s">
        <v>2388</v>
      </c>
      <c r="H491" s="56" t="s">
        <v>8</v>
      </c>
      <c r="I491" s="55" t="s">
        <v>8</v>
      </c>
      <c r="J491" s="57">
        <v>69.84</v>
      </c>
      <c r="K491" s="56" t="s">
        <v>2389</v>
      </c>
      <c r="L491" s="56" t="s">
        <v>2390</v>
      </c>
      <c r="M491" s="55" t="s">
        <v>2391</v>
      </c>
      <c r="N491" s="56" t="s">
        <v>2392</v>
      </c>
      <c r="O491" s="53" t="s">
        <v>8</v>
      </c>
      <c r="P491" s="56" t="s">
        <v>2508</v>
      </c>
      <c r="Q491" s="57">
        <v>7200</v>
      </c>
      <c r="R491" s="58" t="s">
        <v>8</v>
      </c>
      <c r="S491" s="57" t="s">
        <v>8</v>
      </c>
      <c r="T491" s="56" t="s">
        <v>2394</v>
      </c>
    </row>
    <row r="492" spans="1:20">
      <c r="A492" s="55">
        <v>128792488121</v>
      </c>
      <c r="B492" s="53" t="s">
        <v>2386</v>
      </c>
      <c r="C492" s="54">
        <v>45940</v>
      </c>
      <c r="D492" s="55">
        <v>51439039812</v>
      </c>
      <c r="E492" s="55">
        <v>2091494906729</v>
      </c>
      <c r="F492" s="56" t="s">
        <v>2387</v>
      </c>
      <c r="G492" s="56" t="s">
        <v>2388</v>
      </c>
      <c r="H492" s="56" t="s">
        <v>8</v>
      </c>
      <c r="I492" s="55" t="s">
        <v>8</v>
      </c>
      <c r="J492" s="57">
        <v>442.32</v>
      </c>
      <c r="K492" s="56" t="s">
        <v>2389</v>
      </c>
      <c r="L492" s="56" t="s">
        <v>2390</v>
      </c>
      <c r="M492" s="55" t="s">
        <v>2391</v>
      </c>
      <c r="N492" s="56" t="s">
        <v>2392</v>
      </c>
      <c r="O492" s="53" t="s">
        <v>8</v>
      </c>
      <c r="P492" s="56" t="s">
        <v>2521</v>
      </c>
      <c r="Q492" s="57">
        <v>45600</v>
      </c>
      <c r="R492" s="58" t="s">
        <v>8</v>
      </c>
      <c r="S492" s="57" t="s">
        <v>8</v>
      </c>
      <c r="T492" s="56" t="s">
        <v>2394</v>
      </c>
    </row>
    <row r="493" spans="1:20">
      <c r="A493" s="55">
        <v>128792450817</v>
      </c>
      <c r="B493" s="53" t="s">
        <v>2386</v>
      </c>
      <c r="C493" s="54">
        <v>45940</v>
      </c>
      <c r="D493" s="55">
        <v>51439067562</v>
      </c>
      <c r="E493" s="55">
        <v>2091494857357</v>
      </c>
      <c r="F493" s="56" t="s">
        <v>2401</v>
      </c>
      <c r="G493" s="56" t="s">
        <v>2388</v>
      </c>
      <c r="H493" s="56" t="s">
        <v>8</v>
      </c>
      <c r="I493" s="55" t="s">
        <v>8</v>
      </c>
      <c r="J493" s="57">
        <v>78.599999999999994</v>
      </c>
      <c r="K493" s="56" t="s">
        <v>2389</v>
      </c>
      <c r="L493" s="56" t="s">
        <v>2402</v>
      </c>
      <c r="M493" s="55" t="s">
        <v>2391</v>
      </c>
      <c r="N493" s="56" t="s">
        <v>2392</v>
      </c>
      <c r="O493" s="53" t="s">
        <v>2055</v>
      </c>
      <c r="P493" s="56" t="s">
        <v>2403</v>
      </c>
      <c r="Q493" s="57">
        <v>2000</v>
      </c>
      <c r="R493" s="58" t="s">
        <v>8</v>
      </c>
      <c r="S493" s="57" t="s">
        <v>8</v>
      </c>
      <c r="T493" s="56" t="s">
        <v>2394</v>
      </c>
    </row>
    <row r="494" spans="1:20">
      <c r="A494" s="55">
        <v>129364171508</v>
      </c>
      <c r="B494" s="53" t="s">
        <v>2386</v>
      </c>
      <c r="C494" s="54">
        <v>45940</v>
      </c>
      <c r="D494" s="55">
        <v>51439215812</v>
      </c>
      <c r="E494" s="55">
        <v>2091563142684</v>
      </c>
      <c r="F494" s="56" t="s">
        <v>2401</v>
      </c>
      <c r="G494" s="56" t="s">
        <v>2388</v>
      </c>
      <c r="H494" s="56" t="s">
        <v>8</v>
      </c>
      <c r="I494" s="55" t="s">
        <v>8</v>
      </c>
      <c r="J494" s="57">
        <v>377.28</v>
      </c>
      <c r="K494" s="56" t="s">
        <v>2389</v>
      </c>
      <c r="L494" s="56" t="s">
        <v>2402</v>
      </c>
      <c r="M494" s="55" t="s">
        <v>2391</v>
      </c>
      <c r="N494" s="56" t="s">
        <v>2392</v>
      </c>
      <c r="O494" s="53" t="s">
        <v>2055</v>
      </c>
      <c r="P494" s="56" t="s">
        <v>2403</v>
      </c>
      <c r="Q494" s="57">
        <v>9600</v>
      </c>
      <c r="R494" s="58" t="s">
        <v>8</v>
      </c>
      <c r="S494" s="57" t="s">
        <v>8</v>
      </c>
      <c r="T494" s="56" t="s">
        <v>2394</v>
      </c>
    </row>
    <row r="495" spans="1:20">
      <c r="A495" s="55">
        <v>129364305216</v>
      </c>
      <c r="B495" s="53" t="s">
        <v>2386</v>
      </c>
      <c r="C495" s="54">
        <v>45940</v>
      </c>
      <c r="D495" s="55">
        <v>51439244334</v>
      </c>
      <c r="E495" s="55">
        <v>2091563749988</v>
      </c>
      <c r="F495" s="56" t="s">
        <v>2387</v>
      </c>
      <c r="G495" s="56" t="s">
        <v>2388</v>
      </c>
      <c r="H495" s="56" t="s">
        <v>8</v>
      </c>
      <c r="I495" s="55" t="s">
        <v>8</v>
      </c>
      <c r="J495" s="57">
        <v>11.64</v>
      </c>
      <c r="K495" s="56" t="s">
        <v>2389</v>
      </c>
      <c r="L495" s="56" t="s">
        <v>2390</v>
      </c>
      <c r="M495" s="55" t="s">
        <v>2391</v>
      </c>
      <c r="N495" s="56" t="s">
        <v>2392</v>
      </c>
      <c r="O495" s="53" t="s">
        <v>8</v>
      </c>
      <c r="P495" s="56" t="s">
        <v>2522</v>
      </c>
      <c r="Q495" s="57">
        <v>1200</v>
      </c>
      <c r="R495" s="58" t="s">
        <v>8</v>
      </c>
      <c r="S495" s="57" t="s">
        <v>8</v>
      </c>
      <c r="T495" s="56" t="s">
        <v>2394</v>
      </c>
    </row>
    <row r="496" spans="1:20">
      <c r="A496" s="55">
        <v>128792696797</v>
      </c>
      <c r="B496" s="53" t="s">
        <v>2386</v>
      </c>
      <c r="C496" s="54">
        <v>45940</v>
      </c>
      <c r="D496" s="55">
        <v>51439358515</v>
      </c>
      <c r="E496" s="55">
        <v>2091564774170</v>
      </c>
      <c r="F496" s="56" t="s">
        <v>2411</v>
      </c>
      <c r="G496" s="56" t="s">
        <v>2388</v>
      </c>
      <c r="H496" s="56" t="s">
        <v>8</v>
      </c>
      <c r="I496" s="55" t="s">
        <v>8</v>
      </c>
      <c r="J496" s="57">
        <v>331.74</v>
      </c>
      <c r="K496" s="56" t="s">
        <v>2389</v>
      </c>
      <c r="L496" s="56" t="s">
        <v>2390</v>
      </c>
      <c r="M496" s="55" t="s">
        <v>2391</v>
      </c>
      <c r="N496" s="56" t="s">
        <v>2392</v>
      </c>
      <c r="O496" s="53" t="s">
        <v>8</v>
      </c>
      <c r="P496" s="56" t="s">
        <v>2412</v>
      </c>
      <c r="Q496" s="57">
        <v>34200</v>
      </c>
      <c r="R496" s="58" t="s">
        <v>8</v>
      </c>
      <c r="S496" s="57" t="s">
        <v>8</v>
      </c>
      <c r="T496" s="56" t="s">
        <v>8</v>
      </c>
    </row>
    <row r="497" spans="1:20">
      <c r="A497" s="55">
        <v>129457594142</v>
      </c>
      <c r="B497" s="53" t="s">
        <v>2386</v>
      </c>
      <c r="C497" s="54">
        <v>45940</v>
      </c>
      <c r="D497" s="55">
        <v>51474602484</v>
      </c>
      <c r="E497" s="55">
        <v>2092070165727</v>
      </c>
      <c r="F497" s="56" t="s">
        <v>2387</v>
      </c>
      <c r="G497" s="56" t="s">
        <v>2388</v>
      </c>
      <c r="H497" s="56" t="s">
        <v>8</v>
      </c>
      <c r="I497" s="55" t="s">
        <v>8</v>
      </c>
      <c r="J497" s="57">
        <v>46.56</v>
      </c>
      <c r="K497" s="56" t="s">
        <v>2389</v>
      </c>
      <c r="L497" s="56" t="s">
        <v>2390</v>
      </c>
      <c r="M497" s="55" t="s">
        <v>2391</v>
      </c>
      <c r="N497" s="56" t="s">
        <v>2392</v>
      </c>
      <c r="O497" s="53" t="s">
        <v>8</v>
      </c>
      <c r="P497" s="56" t="s">
        <v>2523</v>
      </c>
      <c r="Q497" s="57">
        <v>4800</v>
      </c>
      <c r="R497" s="58" t="s">
        <v>8</v>
      </c>
      <c r="S497" s="57" t="s">
        <v>8</v>
      </c>
      <c r="T497" s="56" t="s">
        <v>2394</v>
      </c>
    </row>
    <row r="498" spans="1:20">
      <c r="A498" s="55">
        <v>128887204983</v>
      </c>
      <c r="B498" s="53" t="s">
        <v>2386</v>
      </c>
      <c r="C498" s="54">
        <v>45940</v>
      </c>
      <c r="D498" s="55">
        <v>51475458028</v>
      </c>
      <c r="E498" s="55">
        <v>2092151257298</v>
      </c>
      <c r="F498" s="56" t="s">
        <v>2387</v>
      </c>
      <c r="G498" s="56" t="s">
        <v>2388</v>
      </c>
      <c r="H498" s="56" t="s">
        <v>8</v>
      </c>
      <c r="I498" s="55" t="s">
        <v>8</v>
      </c>
      <c r="J498" s="57">
        <v>91.18</v>
      </c>
      <c r="K498" s="56" t="s">
        <v>2389</v>
      </c>
      <c r="L498" s="56" t="s">
        <v>2390</v>
      </c>
      <c r="M498" s="55" t="s">
        <v>2391</v>
      </c>
      <c r="N498" s="56" t="s">
        <v>2392</v>
      </c>
      <c r="O498" s="53" t="s">
        <v>8</v>
      </c>
      <c r="P498" s="56" t="s">
        <v>2524</v>
      </c>
      <c r="Q498" s="57">
        <v>9400</v>
      </c>
      <c r="R498" s="58" t="s">
        <v>8</v>
      </c>
      <c r="S498" s="57" t="s">
        <v>8</v>
      </c>
      <c r="T498" s="56" t="s">
        <v>2394</v>
      </c>
    </row>
    <row r="499" spans="1:20">
      <c r="A499" s="55">
        <v>129461153768</v>
      </c>
      <c r="B499" s="53" t="s">
        <v>2386</v>
      </c>
      <c r="C499" s="54">
        <v>45940</v>
      </c>
      <c r="D499" s="55">
        <v>51475990299</v>
      </c>
      <c r="E499" s="55">
        <v>2092160341998</v>
      </c>
      <c r="F499" s="56" t="s">
        <v>2387</v>
      </c>
      <c r="G499" s="56" t="s">
        <v>2388</v>
      </c>
      <c r="H499" s="56" t="s">
        <v>8</v>
      </c>
      <c r="I499" s="55" t="s">
        <v>8</v>
      </c>
      <c r="J499" s="57">
        <v>46.56</v>
      </c>
      <c r="K499" s="56" t="s">
        <v>2389</v>
      </c>
      <c r="L499" s="56" t="s">
        <v>2390</v>
      </c>
      <c r="M499" s="55" t="s">
        <v>2391</v>
      </c>
      <c r="N499" s="56" t="s">
        <v>2392</v>
      </c>
      <c r="O499" s="53" t="s">
        <v>8</v>
      </c>
      <c r="P499" s="56" t="s">
        <v>2523</v>
      </c>
      <c r="Q499" s="57">
        <v>4800</v>
      </c>
      <c r="R499" s="58" t="s">
        <v>8</v>
      </c>
      <c r="S499" s="57" t="s">
        <v>8</v>
      </c>
      <c r="T499" s="56" t="s">
        <v>2394</v>
      </c>
    </row>
    <row r="500" spans="1:20">
      <c r="A500" s="55">
        <v>129462582556</v>
      </c>
      <c r="B500" s="53" t="s">
        <v>2386</v>
      </c>
      <c r="C500" s="54">
        <v>45940</v>
      </c>
      <c r="D500" s="55">
        <v>51476540416</v>
      </c>
      <c r="E500" s="55">
        <v>2092102240071</v>
      </c>
      <c r="F500" s="56" t="s">
        <v>2387</v>
      </c>
      <c r="G500" s="56" t="s">
        <v>2388</v>
      </c>
      <c r="H500" s="56" t="s">
        <v>8</v>
      </c>
      <c r="I500" s="55" t="s">
        <v>8</v>
      </c>
      <c r="J500" s="57">
        <v>81.48</v>
      </c>
      <c r="K500" s="56" t="s">
        <v>2389</v>
      </c>
      <c r="L500" s="56" t="s">
        <v>2390</v>
      </c>
      <c r="M500" s="55" t="s">
        <v>2391</v>
      </c>
      <c r="N500" s="56" t="s">
        <v>2392</v>
      </c>
      <c r="O500" s="53" t="s">
        <v>8</v>
      </c>
      <c r="P500" s="56" t="s">
        <v>2525</v>
      </c>
      <c r="Q500" s="57">
        <v>8400</v>
      </c>
      <c r="R500" s="58" t="s">
        <v>8</v>
      </c>
      <c r="S500" s="57" t="s">
        <v>8</v>
      </c>
      <c r="T500" s="56" t="s">
        <v>2394</v>
      </c>
    </row>
    <row r="501" spans="1:20">
      <c r="A501" s="55">
        <v>128892698657</v>
      </c>
      <c r="B501" s="53" t="s">
        <v>2386</v>
      </c>
      <c r="C501" s="54">
        <v>45940</v>
      </c>
      <c r="D501" s="55">
        <v>51477576008</v>
      </c>
      <c r="E501" s="55">
        <v>2092186582050</v>
      </c>
      <c r="F501" s="56" t="s">
        <v>2387</v>
      </c>
      <c r="G501" s="56" t="s">
        <v>2388</v>
      </c>
      <c r="H501" s="56" t="s">
        <v>8</v>
      </c>
      <c r="I501" s="55" t="s">
        <v>8</v>
      </c>
      <c r="J501" s="57">
        <v>209.52</v>
      </c>
      <c r="K501" s="56" t="s">
        <v>2389</v>
      </c>
      <c r="L501" s="56" t="s">
        <v>2390</v>
      </c>
      <c r="M501" s="55" t="s">
        <v>2391</v>
      </c>
      <c r="N501" s="56" t="s">
        <v>2392</v>
      </c>
      <c r="O501" s="53" t="s">
        <v>8</v>
      </c>
      <c r="P501" s="56" t="s">
        <v>2526</v>
      </c>
      <c r="Q501" s="57">
        <v>21600</v>
      </c>
      <c r="R501" s="58" t="s">
        <v>8</v>
      </c>
      <c r="S501" s="57" t="s">
        <v>8</v>
      </c>
      <c r="T501" s="56" t="s">
        <v>2394</v>
      </c>
    </row>
    <row r="502" spans="1:20">
      <c r="A502" s="55">
        <v>129466450092</v>
      </c>
      <c r="B502" s="53" t="s">
        <v>2386</v>
      </c>
      <c r="C502" s="54">
        <v>45940</v>
      </c>
      <c r="D502" s="55">
        <v>51478040877</v>
      </c>
      <c r="E502" s="55">
        <v>2092126504205</v>
      </c>
      <c r="F502" s="56" t="s">
        <v>2387</v>
      </c>
      <c r="G502" s="56" t="s">
        <v>2388</v>
      </c>
      <c r="H502" s="56" t="s">
        <v>8</v>
      </c>
      <c r="I502" s="55" t="s">
        <v>8</v>
      </c>
      <c r="J502" s="57">
        <v>1963.38</v>
      </c>
      <c r="K502" s="56" t="s">
        <v>2389</v>
      </c>
      <c r="L502" s="56" t="s">
        <v>2390</v>
      </c>
      <c r="M502" s="55" t="s">
        <v>2391</v>
      </c>
      <c r="N502" s="56" t="s">
        <v>2392</v>
      </c>
      <c r="O502" s="53" t="s">
        <v>8</v>
      </c>
      <c r="P502" s="56" t="s">
        <v>2527</v>
      </c>
      <c r="Q502" s="57">
        <v>25800</v>
      </c>
      <c r="R502" s="58" t="s">
        <v>8</v>
      </c>
      <c r="S502" s="57" t="s">
        <v>8</v>
      </c>
      <c r="T502" s="56" t="s">
        <v>2394</v>
      </c>
    </row>
    <row r="503" spans="1:20">
      <c r="A503" s="55">
        <v>128896844399</v>
      </c>
      <c r="B503" s="53" t="s">
        <v>2386</v>
      </c>
      <c r="C503" s="54">
        <v>45940</v>
      </c>
      <c r="D503" s="55">
        <v>51479072650</v>
      </c>
      <c r="E503" s="55">
        <v>2092211687652</v>
      </c>
      <c r="F503" s="56" t="s">
        <v>2411</v>
      </c>
      <c r="G503" s="56" t="s">
        <v>2388</v>
      </c>
      <c r="H503" s="56" t="s">
        <v>8</v>
      </c>
      <c r="I503" s="55" t="s">
        <v>8</v>
      </c>
      <c r="J503" s="57">
        <v>112.52</v>
      </c>
      <c r="K503" s="56" t="s">
        <v>2389</v>
      </c>
      <c r="L503" s="56" t="s">
        <v>2390</v>
      </c>
      <c r="M503" s="55" t="s">
        <v>2391</v>
      </c>
      <c r="N503" s="56" t="s">
        <v>2392</v>
      </c>
      <c r="O503" s="53" t="s">
        <v>8</v>
      </c>
      <c r="P503" s="56" t="s">
        <v>2412</v>
      </c>
      <c r="Q503" s="57">
        <v>11600</v>
      </c>
      <c r="R503" s="58" t="s">
        <v>8</v>
      </c>
      <c r="S503" s="57" t="s">
        <v>8</v>
      </c>
      <c r="T503" s="56" t="s">
        <v>8</v>
      </c>
    </row>
    <row r="504" spans="1:20">
      <c r="A504" s="55">
        <v>129470560460</v>
      </c>
      <c r="B504" s="53" t="s">
        <v>2386</v>
      </c>
      <c r="C504" s="54">
        <v>45940</v>
      </c>
      <c r="D504" s="55">
        <v>51479435233</v>
      </c>
      <c r="E504" s="55">
        <v>2092150879351</v>
      </c>
      <c r="F504" s="56" t="s">
        <v>2401</v>
      </c>
      <c r="G504" s="56" t="s">
        <v>2388</v>
      </c>
      <c r="H504" s="56" t="s">
        <v>8</v>
      </c>
      <c r="I504" s="55" t="s">
        <v>8</v>
      </c>
      <c r="J504" s="57">
        <v>6118.44</v>
      </c>
      <c r="K504" s="56" t="s">
        <v>2389</v>
      </c>
      <c r="L504" s="56" t="s">
        <v>2402</v>
      </c>
      <c r="M504" s="55" t="s">
        <v>2391</v>
      </c>
      <c r="N504" s="56" t="s">
        <v>2392</v>
      </c>
      <c r="O504" s="53" t="s">
        <v>2055</v>
      </c>
      <c r="P504" s="56" t="s">
        <v>2403</v>
      </c>
      <c r="Q504" s="57">
        <v>80400</v>
      </c>
      <c r="R504" s="58" t="s">
        <v>8</v>
      </c>
      <c r="S504" s="57" t="s">
        <v>8</v>
      </c>
      <c r="T504" s="56" t="s">
        <v>2394</v>
      </c>
    </row>
    <row r="505" spans="1:20">
      <c r="A505" s="55">
        <v>128897966025</v>
      </c>
      <c r="B505" s="53" t="s">
        <v>2386</v>
      </c>
      <c r="C505" s="54">
        <v>45940</v>
      </c>
      <c r="D505" s="55">
        <v>51479590942</v>
      </c>
      <c r="E505" s="55">
        <v>2092153290445</v>
      </c>
      <c r="F505" s="56" t="s">
        <v>2387</v>
      </c>
      <c r="G505" s="56" t="s">
        <v>2388</v>
      </c>
      <c r="H505" s="56" t="s">
        <v>8</v>
      </c>
      <c r="I505" s="55" t="s">
        <v>8</v>
      </c>
      <c r="J505" s="57">
        <v>94.09</v>
      </c>
      <c r="K505" s="56" t="s">
        <v>2389</v>
      </c>
      <c r="L505" s="56" t="s">
        <v>2390</v>
      </c>
      <c r="M505" s="55" t="s">
        <v>2391</v>
      </c>
      <c r="N505" s="56" t="s">
        <v>2392</v>
      </c>
      <c r="O505" s="53" t="s">
        <v>8</v>
      </c>
      <c r="P505" s="56" t="s">
        <v>2528</v>
      </c>
      <c r="Q505" s="57">
        <v>9700</v>
      </c>
      <c r="R505" s="58" t="s">
        <v>8</v>
      </c>
      <c r="S505" s="57" t="s">
        <v>8</v>
      </c>
      <c r="T505" s="56" t="s">
        <v>2394</v>
      </c>
    </row>
    <row r="506" spans="1:20">
      <c r="A506" s="55">
        <v>129475831332</v>
      </c>
      <c r="B506" s="53" t="s">
        <v>2386</v>
      </c>
      <c r="C506" s="54">
        <v>45940</v>
      </c>
      <c r="D506" s="55">
        <v>51481357847</v>
      </c>
      <c r="E506" s="55">
        <v>2092187516967</v>
      </c>
      <c r="F506" s="56" t="s">
        <v>2387</v>
      </c>
      <c r="G506" s="56" t="s">
        <v>2388</v>
      </c>
      <c r="H506" s="56" t="s">
        <v>8</v>
      </c>
      <c r="I506" s="55" t="s">
        <v>8</v>
      </c>
      <c r="J506" s="57">
        <v>41.71</v>
      </c>
      <c r="K506" s="56" t="s">
        <v>2389</v>
      </c>
      <c r="L506" s="56" t="s">
        <v>2390</v>
      </c>
      <c r="M506" s="55" t="s">
        <v>2391</v>
      </c>
      <c r="N506" s="56" t="s">
        <v>2392</v>
      </c>
      <c r="O506" s="53" t="s">
        <v>8</v>
      </c>
      <c r="P506" s="56" t="s">
        <v>2529</v>
      </c>
      <c r="Q506" s="57">
        <v>4300</v>
      </c>
      <c r="R506" s="58" t="s">
        <v>8</v>
      </c>
      <c r="S506" s="57" t="s">
        <v>8</v>
      </c>
      <c r="T506" s="56" t="s">
        <v>2394</v>
      </c>
    </row>
    <row r="507" spans="1:20">
      <c r="A507" s="55">
        <v>129476370902</v>
      </c>
      <c r="B507" s="53" t="s">
        <v>2386</v>
      </c>
      <c r="C507" s="54">
        <v>45940</v>
      </c>
      <c r="D507" s="55">
        <v>51481533854</v>
      </c>
      <c r="E507" s="55">
        <v>2092259155016</v>
      </c>
      <c r="F507" s="56" t="s">
        <v>2411</v>
      </c>
      <c r="G507" s="56" t="s">
        <v>2388</v>
      </c>
      <c r="H507" s="56" t="s">
        <v>8</v>
      </c>
      <c r="I507" s="55" t="s">
        <v>8</v>
      </c>
      <c r="J507" s="57">
        <v>186.24</v>
      </c>
      <c r="K507" s="56" t="s">
        <v>2389</v>
      </c>
      <c r="L507" s="56" t="s">
        <v>2390</v>
      </c>
      <c r="M507" s="55" t="s">
        <v>2391</v>
      </c>
      <c r="N507" s="56" t="s">
        <v>2392</v>
      </c>
      <c r="O507" s="53" t="s">
        <v>8</v>
      </c>
      <c r="P507" s="56" t="s">
        <v>2412</v>
      </c>
      <c r="Q507" s="57">
        <v>19200</v>
      </c>
      <c r="R507" s="58" t="s">
        <v>8</v>
      </c>
      <c r="S507" s="57" t="s">
        <v>8</v>
      </c>
      <c r="T507" s="56" t="s">
        <v>8</v>
      </c>
    </row>
    <row r="508" spans="1:20">
      <c r="A508" s="55">
        <v>128906379869</v>
      </c>
      <c r="B508" s="53" t="s">
        <v>2386</v>
      </c>
      <c r="C508" s="54">
        <v>45940</v>
      </c>
      <c r="D508" s="55">
        <v>51482480017</v>
      </c>
      <c r="E508" s="55">
        <v>2092210058931</v>
      </c>
      <c r="F508" s="56" t="s">
        <v>2401</v>
      </c>
      <c r="G508" s="56" t="s">
        <v>2388</v>
      </c>
      <c r="H508" s="56" t="s">
        <v>8</v>
      </c>
      <c r="I508" s="55" t="s">
        <v>8</v>
      </c>
      <c r="J508" s="57">
        <v>935.34</v>
      </c>
      <c r="K508" s="56" t="s">
        <v>2389</v>
      </c>
      <c r="L508" s="56" t="s">
        <v>2402</v>
      </c>
      <c r="M508" s="55" t="s">
        <v>2391</v>
      </c>
      <c r="N508" s="56" t="s">
        <v>2392</v>
      </c>
      <c r="O508" s="53" t="s">
        <v>2055</v>
      </c>
      <c r="P508" s="56" t="s">
        <v>2403</v>
      </c>
      <c r="Q508" s="57">
        <v>23800</v>
      </c>
      <c r="R508" s="58" t="s">
        <v>8</v>
      </c>
      <c r="S508" s="57" t="s">
        <v>8</v>
      </c>
      <c r="T508" s="56" t="s">
        <v>2394</v>
      </c>
    </row>
    <row r="509" spans="1:20">
      <c r="A509" s="55">
        <v>128907134521</v>
      </c>
      <c r="B509" s="53" t="s">
        <v>2386</v>
      </c>
      <c r="C509" s="54">
        <v>45940</v>
      </c>
      <c r="D509" s="55">
        <v>51482631904</v>
      </c>
      <c r="E509" s="55">
        <v>2092279931440</v>
      </c>
      <c r="F509" s="56" t="s">
        <v>2387</v>
      </c>
      <c r="G509" s="56" t="s">
        <v>2388</v>
      </c>
      <c r="H509" s="56" t="s">
        <v>8</v>
      </c>
      <c r="I509" s="55" t="s">
        <v>8</v>
      </c>
      <c r="J509" s="57">
        <v>95.06</v>
      </c>
      <c r="K509" s="56" t="s">
        <v>2389</v>
      </c>
      <c r="L509" s="56" t="s">
        <v>2390</v>
      </c>
      <c r="M509" s="55" t="s">
        <v>2391</v>
      </c>
      <c r="N509" s="56" t="s">
        <v>2392</v>
      </c>
      <c r="O509" s="53" t="s">
        <v>8</v>
      </c>
      <c r="P509" s="56" t="s">
        <v>2530</v>
      </c>
      <c r="Q509" s="57">
        <v>9800</v>
      </c>
      <c r="R509" s="58" t="s">
        <v>8</v>
      </c>
      <c r="S509" s="57" t="s">
        <v>8</v>
      </c>
      <c r="T509" s="56" t="s">
        <v>2394</v>
      </c>
    </row>
    <row r="510" spans="1:20">
      <c r="A510" s="55">
        <v>128907143061</v>
      </c>
      <c r="B510" s="53" t="s">
        <v>2386</v>
      </c>
      <c r="C510" s="54">
        <v>45940</v>
      </c>
      <c r="D510" s="55">
        <v>51482659896</v>
      </c>
      <c r="E510" s="55">
        <v>2092280918070</v>
      </c>
      <c r="F510" s="56" t="s">
        <v>2401</v>
      </c>
      <c r="G510" s="56" t="s">
        <v>2388</v>
      </c>
      <c r="H510" s="56" t="s">
        <v>8</v>
      </c>
      <c r="I510" s="55" t="s">
        <v>8</v>
      </c>
      <c r="J510" s="57">
        <v>2392.58</v>
      </c>
      <c r="K510" s="56" t="s">
        <v>2389</v>
      </c>
      <c r="L510" s="56" t="s">
        <v>2402</v>
      </c>
      <c r="M510" s="55" t="s">
        <v>2391</v>
      </c>
      <c r="N510" s="56" t="s">
        <v>2392</v>
      </c>
      <c r="O510" s="53" t="s">
        <v>2055</v>
      </c>
      <c r="P510" s="56" t="s">
        <v>2403</v>
      </c>
      <c r="Q510" s="57">
        <v>52700</v>
      </c>
      <c r="R510" s="58" t="s">
        <v>8</v>
      </c>
      <c r="S510" s="57" t="s">
        <v>8</v>
      </c>
      <c r="T510" s="56" t="s">
        <v>2394</v>
      </c>
    </row>
    <row r="511" spans="1:20">
      <c r="A511" s="55">
        <v>129481762152</v>
      </c>
      <c r="B511" s="53" t="s">
        <v>2386</v>
      </c>
      <c r="C511" s="54">
        <v>45940</v>
      </c>
      <c r="D511" s="55">
        <v>51483350727</v>
      </c>
      <c r="E511" s="55">
        <v>2092294414560</v>
      </c>
      <c r="F511" s="56" t="s">
        <v>2401</v>
      </c>
      <c r="G511" s="56" t="s">
        <v>2388</v>
      </c>
      <c r="H511" s="56" t="s">
        <v>8</v>
      </c>
      <c r="I511" s="55" t="s">
        <v>8</v>
      </c>
      <c r="J511" s="57">
        <v>565.91999999999996</v>
      </c>
      <c r="K511" s="56" t="s">
        <v>2389</v>
      </c>
      <c r="L511" s="56" t="s">
        <v>2402</v>
      </c>
      <c r="M511" s="55" t="s">
        <v>2391</v>
      </c>
      <c r="N511" s="56" t="s">
        <v>2392</v>
      </c>
      <c r="O511" s="53" t="s">
        <v>2055</v>
      </c>
      <c r="P511" s="56" t="s">
        <v>2403</v>
      </c>
      <c r="Q511" s="57">
        <v>14400</v>
      </c>
      <c r="R511" s="58" t="s">
        <v>8</v>
      </c>
      <c r="S511" s="57" t="s">
        <v>8</v>
      </c>
      <c r="T511" s="56" t="s">
        <v>2394</v>
      </c>
    </row>
    <row r="512" spans="1:20">
      <c r="A512" s="55">
        <v>129483019148</v>
      </c>
      <c r="B512" s="53" t="s">
        <v>2386</v>
      </c>
      <c r="C512" s="54">
        <v>45940</v>
      </c>
      <c r="D512" s="55">
        <v>51483732978</v>
      </c>
      <c r="E512" s="55">
        <v>2092234593279</v>
      </c>
      <c r="F512" s="56" t="s">
        <v>2401</v>
      </c>
      <c r="G512" s="56" t="s">
        <v>2388</v>
      </c>
      <c r="H512" s="56" t="s">
        <v>8</v>
      </c>
      <c r="I512" s="55" t="s">
        <v>8</v>
      </c>
      <c r="J512" s="57">
        <v>5068.26</v>
      </c>
      <c r="K512" s="56" t="s">
        <v>2389</v>
      </c>
      <c r="L512" s="56" t="s">
        <v>2402</v>
      </c>
      <c r="M512" s="55" t="s">
        <v>2391</v>
      </c>
      <c r="N512" s="56" t="s">
        <v>2392</v>
      </c>
      <c r="O512" s="53" t="s">
        <v>2055</v>
      </c>
      <c r="P512" s="56" t="s">
        <v>2403</v>
      </c>
      <c r="Q512" s="57">
        <v>66600</v>
      </c>
      <c r="R512" s="58" t="s">
        <v>8</v>
      </c>
      <c r="S512" s="57" t="s">
        <v>8</v>
      </c>
      <c r="T512" s="56" t="s">
        <v>2394</v>
      </c>
    </row>
    <row r="513" spans="1:20">
      <c r="A513" s="55">
        <v>128910094011</v>
      </c>
      <c r="B513" s="53" t="s">
        <v>2386</v>
      </c>
      <c r="C513" s="54">
        <v>45940</v>
      </c>
      <c r="D513" s="55">
        <v>51483811620</v>
      </c>
      <c r="E513" s="55">
        <v>2092235561933</v>
      </c>
      <c r="F513" s="56" t="s">
        <v>2401</v>
      </c>
      <c r="G513" s="56" t="s">
        <v>2388</v>
      </c>
      <c r="H513" s="56" t="s">
        <v>8</v>
      </c>
      <c r="I513" s="55" t="s">
        <v>8</v>
      </c>
      <c r="J513" s="57">
        <v>8865.65</v>
      </c>
      <c r="K513" s="56" t="s">
        <v>2389</v>
      </c>
      <c r="L513" s="56" t="s">
        <v>2402</v>
      </c>
      <c r="M513" s="55" t="s">
        <v>2391</v>
      </c>
      <c r="N513" s="56" t="s">
        <v>2392</v>
      </c>
      <c r="O513" s="53" t="s">
        <v>2055</v>
      </c>
      <c r="P513" s="56" t="s">
        <v>2403</v>
      </c>
      <c r="Q513" s="57">
        <v>116500</v>
      </c>
      <c r="R513" s="58" t="s">
        <v>8</v>
      </c>
      <c r="S513" s="57" t="s">
        <v>8</v>
      </c>
      <c r="T513" s="56" t="s">
        <v>2394</v>
      </c>
    </row>
    <row r="514" spans="1:20">
      <c r="A514" s="55">
        <v>128913553137</v>
      </c>
      <c r="B514" s="53" t="s">
        <v>2386</v>
      </c>
      <c r="C514" s="54">
        <v>45940</v>
      </c>
      <c r="D514" s="55">
        <v>51485026962</v>
      </c>
      <c r="E514" s="55">
        <v>2092257249677</v>
      </c>
      <c r="F514" s="56" t="s">
        <v>2401</v>
      </c>
      <c r="G514" s="56" t="s">
        <v>2388</v>
      </c>
      <c r="H514" s="56" t="s">
        <v>8</v>
      </c>
      <c r="I514" s="55" t="s">
        <v>8</v>
      </c>
      <c r="J514" s="57">
        <v>4162.67</v>
      </c>
      <c r="K514" s="56" t="s">
        <v>2389</v>
      </c>
      <c r="L514" s="56" t="s">
        <v>2402</v>
      </c>
      <c r="M514" s="55" t="s">
        <v>2391</v>
      </c>
      <c r="N514" s="56" t="s">
        <v>2392</v>
      </c>
      <c r="O514" s="53" t="s">
        <v>2055</v>
      </c>
      <c r="P514" s="56" t="s">
        <v>2403</v>
      </c>
      <c r="Q514" s="57">
        <v>54700</v>
      </c>
      <c r="R514" s="58" t="s">
        <v>8</v>
      </c>
      <c r="S514" s="57" t="s">
        <v>8</v>
      </c>
      <c r="T514" s="56" t="s">
        <v>2394</v>
      </c>
    </row>
    <row r="515" spans="1:20">
      <c r="A515" s="55">
        <v>128913776569</v>
      </c>
      <c r="B515" s="53" t="s">
        <v>2386</v>
      </c>
      <c r="C515" s="54">
        <v>45940</v>
      </c>
      <c r="D515" s="55">
        <v>51485078965</v>
      </c>
      <c r="E515" s="55">
        <v>2092258712565</v>
      </c>
      <c r="F515" s="56" t="s">
        <v>2401</v>
      </c>
      <c r="G515" s="56" t="s">
        <v>2388</v>
      </c>
      <c r="H515" s="56" t="s">
        <v>8</v>
      </c>
      <c r="I515" s="55" t="s">
        <v>8</v>
      </c>
      <c r="J515" s="57">
        <v>2541.7399999999998</v>
      </c>
      <c r="K515" s="56" t="s">
        <v>2389</v>
      </c>
      <c r="L515" s="56" t="s">
        <v>2402</v>
      </c>
      <c r="M515" s="55" t="s">
        <v>2391</v>
      </c>
      <c r="N515" s="56" t="s">
        <v>2392</v>
      </c>
      <c r="O515" s="53" t="s">
        <v>2055</v>
      </c>
      <c r="P515" s="56" t="s">
        <v>2403</v>
      </c>
      <c r="Q515" s="57">
        <v>33400</v>
      </c>
      <c r="R515" s="58" t="s">
        <v>8</v>
      </c>
      <c r="S515" s="57" t="s">
        <v>8</v>
      </c>
      <c r="T515" s="56" t="s">
        <v>2394</v>
      </c>
    </row>
    <row r="516" spans="1:20">
      <c r="A516" s="55">
        <v>129486752692</v>
      </c>
      <c r="B516" s="53" t="s">
        <v>2386</v>
      </c>
      <c r="C516" s="54">
        <v>45940</v>
      </c>
      <c r="D516" s="55">
        <v>51485200516</v>
      </c>
      <c r="E516" s="55">
        <v>2092260541571</v>
      </c>
      <c r="F516" s="56" t="s">
        <v>2401</v>
      </c>
      <c r="G516" s="56" t="s">
        <v>2388</v>
      </c>
      <c r="H516" s="56" t="s">
        <v>8</v>
      </c>
      <c r="I516" s="55" t="s">
        <v>8</v>
      </c>
      <c r="J516" s="57">
        <v>829.23</v>
      </c>
      <c r="K516" s="56" t="s">
        <v>2389</v>
      </c>
      <c r="L516" s="56" t="s">
        <v>2402</v>
      </c>
      <c r="M516" s="55" t="s">
        <v>2391</v>
      </c>
      <c r="N516" s="56" t="s">
        <v>2392</v>
      </c>
      <c r="O516" s="53" t="s">
        <v>2055</v>
      </c>
      <c r="P516" s="56" t="s">
        <v>2403</v>
      </c>
      <c r="Q516" s="57">
        <v>21100</v>
      </c>
      <c r="R516" s="58" t="s">
        <v>8</v>
      </c>
      <c r="S516" s="57" t="s">
        <v>8</v>
      </c>
      <c r="T516" s="56" t="s">
        <v>2394</v>
      </c>
    </row>
    <row r="517" spans="1:20">
      <c r="A517" s="55">
        <v>129486918346</v>
      </c>
      <c r="B517" s="53" t="s">
        <v>2386</v>
      </c>
      <c r="C517" s="54">
        <v>45940</v>
      </c>
      <c r="D517" s="55">
        <v>51485256184</v>
      </c>
      <c r="E517" s="55">
        <v>2092329015638</v>
      </c>
      <c r="F517" s="56" t="s">
        <v>2401</v>
      </c>
      <c r="G517" s="56" t="s">
        <v>2388</v>
      </c>
      <c r="H517" s="56" t="s">
        <v>8</v>
      </c>
      <c r="I517" s="55" t="s">
        <v>8</v>
      </c>
      <c r="J517" s="57">
        <v>222.46</v>
      </c>
      <c r="K517" s="56" t="s">
        <v>2389</v>
      </c>
      <c r="L517" s="56" t="s">
        <v>2402</v>
      </c>
      <c r="M517" s="55" t="s">
        <v>2391</v>
      </c>
      <c r="N517" s="56" t="s">
        <v>2392</v>
      </c>
      <c r="O517" s="53" t="s">
        <v>2055</v>
      </c>
      <c r="P517" s="56" t="s">
        <v>2403</v>
      </c>
      <c r="Q517" s="57">
        <v>4900</v>
      </c>
      <c r="R517" s="58" t="s">
        <v>8</v>
      </c>
      <c r="S517" s="57" t="s">
        <v>8</v>
      </c>
      <c r="T517" s="56" t="s">
        <v>2394</v>
      </c>
    </row>
    <row r="518" spans="1:20">
      <c r="A518" s="55">
        <v>128915102153</v>
      </c>
      <c r="B518" s="53" t="s">
        <v>2386</v>
      </c>
      <c r="C518" s="54">
        <v>45940</v>
      </c>
      <c r="D518" s="55">
        <v>51485486360</v>
      </c>
      <c r="E518" s="55">
        <v>2092265872805</v>
      </c>
      <c r="F518" s="56" t="s">
        <v>2387</v>
      </c>
      <c r="G518" s="56" t="s">
        <v>2388</v>
      </c>
      <c r="H518" s="56" t="s">
        <v>8</v>
      </c>
      <c r="I518" s="55" t="s">
        <v>8</v>
      </c>
      <c r="J518" s="57">
        <v>240.56</v>
      </c>
      <c r="K518" s="56" t="s">
        <v>2389</v>
      </c>
      <c r="L518" s="56" t="s">
        <v>2390</v>
      </c>
      <c r="M518" s="55" t="s">
        <v>2391</v>
      </c>
      <c r="N518" s="56" t="s">
        <v>2392</v>
      </c>
      <c r="O518" s="53" t="s">
        <v>8</v>
      </c>
      <c r="P518" s="56" t="s">
        <v>2531</v>
      </c>
      <c r="Q518" s="57">
        <v>24800</v>
      </c>
      <c r="R518" s="58" t="s">
        <v>8</v>
      </c>
      <c r="S518" s="57" t="s">
        <v>8</v>
      </c>
      <c r="T518" s="56" t="s">
        <v>2394</v>
      </c>
    </row>
    <row r="519" spans="1:20">
      <c r="A519" s="55">
        <v>129487356030</v>
      </c>
      <c r="B519" s="53" t="s">
        <v>2386</v>
      </c>
      <c r="C519" s="54">
        <v>45940</v>
      </c>
      <c r="D519" s="55">
        <v>51485536623</v>
      </c>
      <c r="E519" s="55">
        <v>2092333860648</v>
      </c>
      <c r="F519" s="56" t="s">
        <v>2475</v>
      </c>
      <c r="G519" s="56" t="s">
        <v>2388</v>
      </c>
      <c r="H519" s="56" t="s">
        <v>8</v>
      </c>
      <c r="I519" s="55" t="s">
        <v>8</v>
      </c>
      <c r="J519" s="57">
        <v>3949.59</v>
      </c>
      <c r="K519" s="56" t="s">
        <v>2389</v>
      </c>
      <c r="L519" s="56" t="s">
        <v>2390</v>
      </c>
      <c r="M519" s="55" t="s">
        <v>2391</v>
      </c>
      <c r="N519" s="56" t="s">
        <v>2392</v>
      </c>
      <c r="O519" s="53" t="s">
        <v>8</v>
      </c>
      <c r="P519" s="56" t="s">
        <v>2477</v>
      </c>
      <c r="Q519" s="57">
        <v>51900</v>
      </c>
      <c r="R519" s="58" t="s">
        <v>8</v>
      </c>
      <c r="S519" s="57" t="s">
        <v>8</v>
      </c>
      <c r="T519" s="56" t="s">
        <v>2394</v>
      </c>
    </row>
    <row r="520" spans="1:20">
      <c r="A520" s="55">
        <v>129487550932</v>
      </c>
      <c r="B520" s="53" t="s">
        <v>2386</v>
      </c>
      <c r="C520" s="54">
        <v>45940</v>
      </c>
      <c r="D520" s="55">
        <v>51485571836</v>
      </c>
      <c r="E520" s="55">
        <v>2092335041846</v>
      </c>
      <c r="F520" s="56" t="s">
        <v>2401</v>
      </c>
      <c r="G520" s="56" t="s">
        <v>2388</v>
      </c>
      <c r="H520" s="56" t="s">
        <v>8</v>
      </c>
      <c r="I520" s="55" t="s">
        <v>8</v>
      </c>
      <c r="J520" s="57">
        <v>730.56</v>
      </c>
      <c r="K520" s="56" t="s">
        <v>2389</v>
      </c>
      <c r="L520" s="56" t="s">
        <v>2402</v>
      </c>
      <c r="M520" s="55" t="s">
        <v>2391</v>
      </c>
      <c r="N520" s="56" t="s">
        <v>2392</v>
      </c>
      <c r="O520" s="53" t="s">
        <v>2055</v>
      </c>
      <c r="P520" s="56" t="s">
        <v>2403</v>
      </c>
      <c r="Q520" s="57">
        <v>9600</v>
      </c>
      <c r="R520" s="58" t="s">
        <v>8</v>
      </c>
      <c r="S520" s="57" t="s">
        <v>8</v>
      </c>
      <c r="T520" s="56" t="s">
        <v>2394</v>
      </c>
    </row>
    <row r="521" spans="1:20">
      <c r="A521" s="55">
        <v>129488848480</v>
      </c>
      <c r="B521" s="53" t="s">
        <v>2386</v>
      </c>
      <c r="C521" s="54">
        <v>45940</v>
      </c>
      <c r="D521" s="55">
        <v>51485973058</v>
      </c>
      <c r="E521" s="55">
        <v>2092274916865</v>
      </c>
      <c r="F521" s="56" t="s">
        <v>2387</v>
      </c>
      <c r="G521" s="56" t="s">
        <v>2388</v>
      </c>
      <c r="H521" s="56" t="s">
        <v>8</v>
      </c>
      <c r="I521" s="55" t="s">
        <v>8</v>
      </c>
      <c r="J521" s="57">
        <v>142.59</v>
      </c>
      <c r="K521" s="56" t="s">
        <v>2389</v>
      </c>
      <c r="L521" s="56" t="s">
        <v>2390</v>
      </c>
      <c r="M521" s="55" t="s">
        <v>2391</v>
      </c>
      <c r="N521" s="56" t="s">
        <v>2392</v>
      </c>
      <c r="O521" s="53" t="s">
        <v>8</v>
      </c>
      <c r="P521" s="56" t="s">
        <v>2532</v>
      </c>
      <c r="Q521" s="57">
        <v>14700</v>
      </c>
      <c r="R521" s="58" t="s">
        <v>8</v>
      </c>
      <c r="S521" s="57" t="s">
        <v>8</v>
      </c>
      <c r="T521" s="56" t="s">
        <v>2394</v>
      </c>
    </row>
    <row r="522" spans="1:20">
      <c r="A522" s="55">
        <v>129489074570</v>
      </c>
      <c r="B522" s="53" t="s">
        <v>2386</v>
      </c>
      <c r="C522" s="54">
        <v>45940</v>
      </c>
      <c r="D522" s="55">
        <v>51486053302</v>
      </c>
      <c r="E522" s="55">
        <v>2092343941222</v>
      </c>
      <c r="F522" s="56" t="s">
        <v>2401</v>
      </c>
      <c r="G522" s="56" t="s">
        <v>2388</v>
      </c>
      <c r="H522" s="56" t="s">
        <v>8</v>
      </c>
      <c r="I522" s="55" t="s">
        <v>8</v>
      </c>
      <c r="J522" s="57">
        <v>2336.27</v>
      </c>
      <c r="K522" s="56" t="s">
        <v>2389</v>
      </c>
      <c r="L522" s="56" t="s">
        <v>2402</v>
      </c>
      <c r="M522" s="55" t="s">
        <v>2391</v>
      </c>
      <c r="N522" s="56" t="s">
        <v>2392</v>
      </c>
      <c r="O522" s="53" t="s">
        <v>2055</v>
      </c>
      <c r="P522" s="56" t="s">
        <v>2403</v>
      </c>
      <c r="Q522" s="57">
        <v>30700</v>
      </c>
      <c r="R522" s="58" t="s">
        <v>8</v>
      </c>
      <c r="S522" s="57" t="s">
        <v>8</v>
      </c>
      <c r="T522" s="56" t="s">
        <v>2394</v>
      </c>
    </row>
    <row r="523" spans="1:20">
      <c r="A523" s="55">
        <v>128916581093</v>
      </c>
      <c r="B523" s="53" t="s">
        <v>2386</v>
      </c>
      <c r="C523" s="54">
        <v>45940</v>
      </c>
      <c r="D523" s="55">
        <v>51486176782</v>
      </c>
      <c r="E523" s="55">
        <v>2092346075900</v>
      </c>
      <c r="F523" s="56" t="s">
        <v>2387</v>
      </c>
      <c r="G523" s="56" t="s">
        <v>2388</v>
      </c>
      <c r="H523" s="56" t="s">
        <v>8</v>
      </c>
      <c r="I523" s="55" t="s">
        <v>8</v>
      </c>
      <c r="J523" s="57">
        <v>359.87</v>
      </c>
      <c r="K523" s="56" t="s">
        <v>2389</v>
      </c>
      <c r="L523" s="56" t="s">
        <v>2390</v>
      </c>
      <c r="M523" s="55" t="s">
        <v>2391</v>
      </c>
      <c r="N523" s="56" t="s">
        <v>2392</v>
      </c>
      <c r="O523" s="53" t="s">
        <v>8</v>
      </c>
      <c r="P523" s="56" t="s">
        <v>2533</v>
      </c>
      <c r="Q523" s="57">
        <v>37100</v>
      </c>
      <c r="R523" s="58" t="s">
        <v>8</v>
      </c>
      <c r="S523" s="57" t="s">
        <v>8</v>
      </c>
      <c r="T523" s="56" t="s">
        <v>2394</v>
      </c>
    </row>
    <row r="524" spans="1:20">
      <c r="A524" s="55">
        <v>129489255208</v>
      </c>
      <c r="B524" s="53" t="s">
        <v>2386</v>
      </c>
      <c r="C524" s="54">
        <v>45940</v>
      </c>
      <c r="D524" s="55">
        <v>51486187883</v>
      </c>
      <c r="E524" s="55">
        <v>2092345765128</v>
      </c>
      <c r="F524" s="56" t="s">
        <v>2401</v>
      </c>
      <c r="G524" s="56" t="s">
        <v>2388</v>
      </c>
      <c r="H524" s="56" t="s">
        <v>8</v>
      </c>
      <c r="I524" s="55" t="s">
        <v>8</v>
      </c>
      <c r="J524" s="57">
        <v>1652.56</v>
      </c>
      <c r="K524" s="56" t="s">
        <v>2389</v>
      </c>
      <c r="L524" s="56" t="s">
        <v>2402</v>
      </c>
      <c r="M524" s="55" t="s">
        <v>2391</v>
      </c>
      <c r="N524" s="56" t="s">
        <v>2392</v>
      </c>
      <c r="O524" s="53" t="s">
        <v>2055</v>
      </c>
      <c r="P524" s="56" t="s">
        <v>2403</v>
      </c>
      <c r="Q524" s="57">
        <v>36400</v>
      </c>
      <c r="R524" s="58" t="s">
        <v>8</v>
      </c>
      <c r="S524" s="57" t="s">
        <v>8</v>
      </c>
      <c r="T524" s="56" t="s">
        <v>2394</v>
      </c>
    </row>
    <row r="525" spans="1:20">
      <c r="A525" s="55">
        <v>128916762757</v>
      </c>
      <c r="B525" s="53" t="s">
        <v>2386</v>
      </c>
      <c r="C525" s="54">
        <v>45940</v>
      </c>
      <c r="D525" s="55">
        <v>51486217275</v>
      </c>
      <c r="E525" s="55">
        <v>2092346682568</v>
      </c>
      <c r="F525" s="56" t="s">
        <v>2387</v>
      </c>
      <c r="G525" s="56" t="s">
        <v>2388</v>
      </c>
      <c r="H525" s="56" t="s">
        <v>8</v>
      </c>
      <c r="I525" s="55" t="s">
        <v>8</v>
      </c>
      <c r="J525" s="57">
        <v>56.26</v>
      </c>
      <c r="K525" s="56" t="s">
        <v>2389</v>
      </c>
      <c r="L525" s="56" t="s">
        <v>2390</v>
      </c>
      <c r="M525" s="55" t="s">
        <v>2391</v>
      </c>
      <c r="N525" s="56" t="s">
        <v>2392</v>
      </c>
      <c r="O525" s="53" t="s">
        <v>8</v>
      </c>
      <c r="P525" s="56" t="s">
        <v>2534</v>
      </c>
      <c r="Q525" s="57">
        <v>5800</v>
      </c>
      <c r="R525" s="58" t="s">
        <v>8</v>
      </c>
      <c r="S525" s="57" t="s">
        <v>8</v>
      </c>
      <c r="T525" s="56" t="s">
        <v>2394</v>
      </c>
    </row>
    <row r="526" spans="1:20">
      <c r="A526" s="55">
        <v>128917530747</v>
      </c>
      <c r="B526" s="53" t="s">
        <v>2386</v>
      </c>
      <c r="C526" s="54">
        <v>45940</v>
      </c>
      <c r="D526" s="55">
        <v>51486421702</v>
      </c>
      <c r="E526" s="55">
        <v>2092283769635</v>
      </c>
      <c r="F526" s="56" t="s">
        <v>2387</v>
      </c>
      <c r="G526" s="56" t="s">
        <v>2388</v>
      </c>
      <c r="H526" s="56" t="s">
        <v>8</v>
      </c>
      <c r="I526" s="55" t="s">
        <v>8</v>
      </c>
      <c r="J526" s="57">
        <v>485.97</v>
      </c>
      <c r="K526" s="56" t="s">
        <v>2389</v>
      </c>
      <c r="L526" s="56" t="s">
        <v>2390</v>
      </c>
      <c r="M526" s="55" t="s">
        <v>2391</v>
      </c>
      <c r="N526" s="56" t="s">
        <v>2392</v>
      </c>
      <c r="O526" s="53" t="s">
        <v>8</v>
      </c>
      <c r="P526" s="56" t="s">
        <v>2535</v>
      </c>
      <c r="Q526" s="57">
        <v>50100</v>
      </c>
      <c r="R526" s="58" t="s">
        <v>8</v>
      </c>
      <c r="S526" s="57" t="s">
        <v>8</v>
      </c>
      <c r="T526" s="56" t="s">
        <v>2394</v>
      </c>
    </row>
    <row r="527" spans="1:20">
      <c r="A527" s="55">
        <v>128917593137</v>
      </c>
      <c r="B527" s="53" t="s">
        <v>2386</v>
      </c>
      <c r="C527" s="54">
        <v>45940</v>
      </c>
      <c r="D527" s="55">
        <v>51486433653</v>
      </c>
      <c r="E527" s="55">
        <v>2092351684276</v>
      </c>
      <c r="F527" s="56" t="s">
        <v>2475</v>
      </c>
      <c r="G527" s="56" t="s">
        <v>2388</v>
      </c>
      <c r="H527" s="56" t="s">
        <v>8</v>
      </c>
      <c r="I527" s="55" t="s">
        <v>8</v>
      </c>
      <c r="J527" s="57">
        <v>1558.28</v>
      </c>
      <c r="K527" s="56" t="s">
        <v>2389</v>
      </c>
      <c r="L527" s="56" t="s">
        <v>2390</v>
      </c>
      <c r="M527" s="55" t="s">
        <v>2391</v>
      </c>
      <c r="N527" s="56" t="s">
        <v>2392</v>
      </c>
      <c r="O527" s="53" t="s">
        <v>8</v>
      </c>
      <c r="P527" s="56" t="s">
        <v>2536</v>
      </c>
      <c r="Q527" s="57">
        <v>95600</v>
      </c>
      <c r="R527" s="58" t="s">
        <v>8</v>
      </c>
      <c r="S527" s="57" t="s">
        <v>8</v>
      </c>
      <c r="T527" s="56" t="s">
        <v>2394</v>
      </c>
    </row>
    <row r="528" spans="1:20">
      <c r="A528" s="55">
        <v>128917687725</v>
      </c>
      <c r="B528" s="53" t="s">
        <v>2386</v>
      </c>
      <c r="C528" s="54">
        <v>45940</v>
      </c>
      <c r="D528" s="55">
        <v>51486492507</v>
      </c>
      <c r="E528" s="55">
        <v>2092352555198</v>
      </c>
      <c r="F528" s="56" t="s">
        <v>2387</v>
      </c>
      <c r="G528" s="56" t="s">
        <v>2388</v>
      </c>
      <c r="H528" s="56" t="s">
        <v>8</v>
      </c>
      <c r="I528" s="55" t="s">
        <v>8</v>
      </c>
      <c r="J528" s="57">
        <v>391.88</v>
      </c>
      <c r="K528" s="56" t="s">
        <v>2389</v>
      </c>
      <c r="L528" s="56" t="s">
        <v>2390</v>
      </c>
      <c r="M528" s="55" t="s">
        <v>2391</v>
      </c>
      <c r="N528" s="56" t="s">
        <v>2392</v>
      </c>
      <c r="O528" s="53" t="s">
        <v>8</v>
      </c>
      <c r="P528" s="56" t="s">
        <v>2537</v>
      </c>
      <c r="Q528" s="57">
        <v>40400</v>
      </c>
      <c r="R528" s="58" t="s">
        <v>8</v>
      </c>
      <c r="S528" s="57" t="s">
        <v>8</v>
      </c>
      <c r="T528" s="56" t="s">
        <v>2394</v>
      </c>
    </row>
    <row r="529" spans="1:20">
      <c r="A529" s="55">
        <v>129490400868</v>
      </c>
      <c r="B529" s="53" t="s">
        <v>2386</v>
      </c>
      <c r="C529" s="54">
        <v>45940</v>
      </c>
      <c r="D529" s="55">
        <v>51486681759</v>
      </c>
      <c r="E529" s="55">
        <v>2092288206163</v>
      </c>
      <c r="F529" s="56" t="s">
        <v>2387</v>
      </c>
      <c r="G529" s="56" t="s">
        <v>2388</v>
      </c>
      <c r="H529" s="56" t="s">
        <v>8</v>
      </c>
      <c r="I529" s="55" t="s">
        <v>8</v>
      </c>
      <c r="J529" s="57">
        <v>205.64</v>
      </c>
      <c r="K529" s="56" t="s">
        <v>2389</v>
      </c>
      <c r="L529" s="56" t="s">
        <v>2390</v>
      </c>
      <c r="M529" s="55" t="s">
        <v>2391</v>
      </c>
      <c r="N529" s="56" t="s">
        <v>2392</v>
      </c>
      <c r="O529" s="53" t="s">
        <v>8</v>
      </c>
      <c r="P529" s="56" t="s">
        <v>2538</v>
      </c>
      <c r="Q529" s="57">
        <v>21200</v>
      </c>
      <c r="R529" s="58" t="s">
        <v>8</v>
      </c>
      <c r="S529" s="57" t="s">
        <v>8</v>
      </c>
      <c r="T529" s="56" t="s">
        <v>2394</v>
      </c>
    </row>
    <row r="530" spans="1:20">
      <c r="A530" s="55">
        <v>128919083425</v>
      </c>
      <c r="B530" s="53" t="s">
        <v>2386</v>
      </c>
      <c r="C530" s="54">
        <v>45940</v>
      </c>
      <c r="D530" s="55">
        <v>51487224650</v>
      </c>
      <c r="E530" s="55">
        <v>2092295430175</v>
      </c>
      <c r="F530" s="56" t="s">
        <v>2387</v>
      </c>
      <c r="G530" s="56" t="s">
        <v>2388</v>
      </c>
      <c r="H530" s="56" t="s">
        <v>8</v>
      </c>
      <c r="I530" s="55" t="s">
        <v>8</v>
      </c>
      <c r="J530" s="57">
        <v>305.55</v>
      </c>
      <c r="K530" s="56" t="s">
        <v>2389</v>
      </c>
      <c r="L530" s="56" t="s">
        <v>2390</v>
      </c>
      <c r="M530" s="55" t="s">
        <v>2391</v>
      </c>
      <c r="N530" s="56" t="s">
        <v>2392</v>
      </c>
      <c r="O530" s="53" t="s">
        <v>8</v>
      </c>
      <c r="P530" s="56" t="s">
        <v>2539</v>
      </c>
      <c r="Q530" s="57">
        <v>31500</v>
      </c>
      <c r="R530" s="58" t="s">
        <v>8</v>
      </c>
      <c r="S530" s="57" t="s">
        <v>8</v>
      </c>
      <c r="T530" s="56" t="s">
        <v>2394</v>
      </c>
    </row>
    <row r="531" spans="1:20">
      <c r="A531" s="55">
        <v>128919574591</v>
      </c>
      <c r="B531" s="53" t="s">
        <v>2386</v>
      </c>
      <c r="C531" s="54">
        <v>45940</v>
      </c>
      <c r="D531" s="55">
        <v>51487355034</v>
      </c>
      <c r="E531" s="55">
        <v>2092297102731</v>
      </c>
      <c r="F531" s="56" t="s">
        <v>2475</v>
      </c>
      <c r="G531" s="56" t="s">
        <v>2388</v>
      </c>
      <c r="H531" s="56" t="s">
        <v>8</v>
      </c>
      <c r="I531" s="55" t="s">
        <v>8</v>
      </c>
      <c r="J531" s="57">
        <v>725.35</v>
      </c>
      <c r="K531" s="56" t="s">
        <v>2389</v>
      </c>
      <c r="L531" s="56" t="s">
        <v>2390</v>
      </c>
      <c r="M531" s="55" t="s">
        <v>2391</v>
      </c>
      <c r="N531" s="56" t="s">
        <v>2392</v>
      </c>
      <c r="O531" s="53" t="s">
        <v>8</v>
      </c>
      <c r="P531" s="56" t="s">
        <v>2536</v>
      </c>
      <c r="Q531" s="57">
        <v>44500</v>
      </c>
      <c r="R531" s="58" t="s">
        <v>8</v>
      </c>
      <c r="S531" s="57" t="s">
        <v>8</v>
      </c>
      <c r="T531" s="56" t="s">
        <v>2394</v>
      </c>
    </row>
    <row r="532" spans="1:20">
      <c r="A532" s="55">
        <v>129492088316</v>
      </c>
      <c r="B532" s="53" t="s">
        <v>2386</v>
      </c>
      <c r="C532" s="54">
        <v>45940</v>
      </c>
      <c r="D532" s="55">
        <v>51487378653</v>
      </c>
      <c r="E532" s="55">
        <v>2092364958212</v>
      </c>
      <c r="F532" s="56" t="s">
        <v>2387</v>
      </c>
      <c r="G532" s="56" t="s">
        <v>2388</v>
      </c>
      <c r="H532" s="56" t="s">
        <v>8</v>
      </c>
      <c r="I532" s="55" t="s">
        <v>8</v>
      </c>
      <c r="J532" s="57">
        <v>46.56</v>
      </c>
      <c r="K532" s="56" t="s">
        <v>2389</v>
      </c>
      <c r="L532" s="56" t="s">
        <v>2390</v>
      </c>
      <c r="M532" s="55" t="s">
        <v>2391</v>
      </c>
      <c r="N532" s="56" t="s">
        <v>2392</v>
      </c>
      <c r="O532" s="53" t="s">
        <v>8</v>
      </c>
      <c r="P532" s="56" t="s">
        <v>2540</v>
      </c>
      <c r="Q532" s="57">
        <v>4800</v>
      </c>
      <c r="R532" s="58" t="s">
        <v>8</v>
      </c>
      <c r="S532" s="57" t="s">
        <v>8</v>
      </c>
      <c r="T532" s="56" t="s">
        <v>2394</v>
      </c>
    </row>
    <row r="533" spans="1:20">
      <c r="A533" s="55">
        <v>129492181546</v>
      </c>
      <c r="B533" s="53" t="s">
        <v>2386</v>
      </c>
      <c r="C533" s="54">
        <v>45940</v>
      </c>
      <c r="D533" s="55">
        <v>51487456854</v>
      </c>
      <c r="E533" s="55">
        <v>2092366227668</v>
      </c>
      <c r="F533" s="56" t="s">
        <v>2387</v>
      </c>
      <c r="G533" s="56" t="s">
        <v>2388</v>
      </c>
      <c r="H533" s="56" t="s">
        <v>8</v>
      </c>
      <c r="I533" s="55" t="s">
        <v>8</v>
      </c>
      <c r="J533" s="57">
        <v>77.599999999999994</v>
      </c>
      <c r="K533" s="56" t="s">
        <v>2389</v>
      </c>
      <c r="L533" s="56" t="s">
        <v>2390</v>
      </c>
      <c r="M533" s="55" t="s">
        <v>2391</v>
      </c>
      <c r="N533" s="56" t="s">
        <v>2392</v>
      </c>
      <c r="O533" s="53" t="s">
        <v>8</v>
      </c>
      <c r="P533" s="56" t="s">
        <v>2541</v>
      </c>
      <c r="Q533" s="57">
        <v>8000</v>
      </c>
      <c r="R533" s="58" t="s">
        <v>8</v>
      </c>
      <c r="S533" s="57" t="s">
        <v>8</v>
      </c>
      <c r="T533" s="56" t="s">
        <v>2394</v>
      </c>
    </row>
    <row r="534" spans="1:20">
      <c r="A534" s="55">
        <v>129492203894</v>
      </c>
      <c r="B534" s="53" t="s">
        <v>2386</v>
      </c>
      <c r="C534" s="54">
        <v>45940</v>
      </c>
      <c r="D534" s="55">
        <v>51487471597</v>
      </c>
      <c r="E534" s="55">
        <v>2092366584058</v>
      </c>
      <c r="F534" s="56" t="s">
        <v>2387</v>
      </c>
      <c r="G534" s="56" t="s">
        <v>2388</v>
      </c>
      <c r="H534" s="56" t="s">
        <v>8</v>
      </c>
      <c r="I534" s="55" t="s">
        <v>8</v>
      </c>
      <c r="J534" s="57">
        <v>38.799999999999997</v>
      </c>
      <c r="K534" s="56" t="s">
        <v>2389</v>
      </c>
      <c r="L534" s="56" t="s">
        <v>2390</v>
      </c>
      <c r="M534" s="55" t="s">
        <v>2391</v>
      </c>
      <c r="N534" s="56" t="s">
        <v>2392</v>
      </c>
      <c r="O534" s="53" t="s">
        <v>8</v>
      </c>
      <c r="P534" s="56" t="s">
        <v>2542</v>
      </c>
      <c r="Q534" s="57">
        <v>4000</v>
      </c>
      <c r="R534" s="58" t="s">
        <v>8</v>
      </c>
      <c r="S534" s="57" t="s">
        <v>8</v>
      </c>
      <c r="T534" s="56" t="s">
        <v>2394</v>
      </c>
    </row>
    <row r="535" spans="1:20">
      <c r="A535" s="55">
        <v>129492338552</v>
      </c>
      <c r="B535" s="53" t="s">
        <v>2386</v>
      </c>
      <c r="C535" s="54">
        <v>45940</v>
      </c>
      <c r="D535" s="55">
        <v>51487498960</v>
      </c>
      <c r="E535" s="55">
        <v>2092299656039</v>
      </c>
      <c r="F535" s="56" t="s">
        <v>2401</v>
      </c>
      <c r="G535" s="56" t="s">
        <v>2388</v>
      </c>
      <c r="H535" s="56" t="s">
        <v>8</v>
      </c>
      <c r="I535" s="55" t="s">
        <v>8</v>
      </c>
      <c r="J535" s="57">
        <v>7191.45</v>
      </c>
      <c r="K535" s="56" t="s">
        <v>2389</v>
      </c>
      <c r="L535" s="56" t="s">
        <v>2402</v>
      </c>
      <c r="M535" s="55" t="s">
        <v>2391</v>
      </c>
      <c r="N535" s="56" t="s">
        <v>2392</v>
      </c>
      <c r="O535" s="53" t="s">
        <v>2055</v>
      </c>
      <c r="P535" s="56" t="s">
        <v>2403</v>
      </c>
      <c r="Q535" s="57">
        <v>94500</v>
      </c>
      <c r="R535" s="58" t="s">
        <v>8</v>
      </c>
      <c r="S535" s="57" t="s">
        <v>8</v>
      </c>
      <c r="T535" s="56" t="s">
        <v>2394</v>
      </c>
    </row>
    <row r="536" spans="1:20">
      <c r="A536" s="55">
        <v>129492476708</v>
      </c>
      <c r="B536" s="53" t="s">
        <v>2386</v>
      </c>
      <c r="C536" s="54">
        <v>45940</v>
      </c>
      <c r="D536" s="55">
        <v>51487561170</v>
      </c>
      <c r="E536" s="55">
        <v>2092367752782</v>
      </c>
      <c r="F536" s="56" t="s">
        <v>2387</v>
      </c>
      <c r="G536" s="56" t="s">
        <v>2388</v>
      </c>
      <c r="H536" s="56" t="s">
        <v>8</v>
      </c>
      <c r="I536" s="55" t="s">
        <v>8</v>
      </c>
      <c r="J536" s="57">
        <v>44.62</v>
      </c>
      <c r="K536" s="56" t="s">
        <v>2389</v>
      </c>
      <c r="L536" s="56" t="s">
        <v>2390</v>
      </c>
      <c r="M536" s="55" t="s">
        <v>2391</v>
      </c>
      <c r="N536" s="56" t="s">
        <v>2392</v>
      </c>
      <c r="O536" s="53" t="s">
        <v>8</v>
      </c>
      <c r="P536" s="56" t="s">
        <v>2543</v>
      </c>
      <c r="Q536" s="57">
        <v>4600</v>
      </c>
      <c r="R536" s="58" t="s">
        <v>8</v>
      </c>
      <c r="S536" s="57" t="s">
        <v>8</v>
      </c>
      <c r="T536" s="56" t="s">
        <v>2394</v>
      </c>
    </row>
    <row r="537" spans="1:20">
      <c r="A537" s="55">
        <v>129492602114</v>
      </c>
      <c r="B537" s="53" t="s">
        <v>2386</v>
      </c>
      <c r="C537" s="54">
        <v>45940</v>
      </c>
      <c r="D537" s="55">
        <v>51487591958</v>
      </c>
      <c r="E537" s="55">
        <v>2092368624326</v>
      </c>
      <c r="F537" s="56" t="s">
        <v>2401</v>
      </c>
      <c r="G537" s="56" t="s">
        <v>2388</v>
      </c>
      <c r="H537" s="56" t="s">
        <v>8</v>
      </c>
      <c r="I537" s="55" t="s">
        <v>8</v>
      </c>
      <c r="J537" s="57">
        <v>667.38</v>
      </c>
      <c r="K537" s="56" t="s">
        <v>2389</v>
      </c>
      <c r="L537" s="56" t="s">
        <v>2402</v>
      </c>
      <c r="M537" s="55" t="s">
        <v>2391</v>
      </c>
      <c r="N537" s="56" t="s">
        <v>2392</v>
      </c>
      <c r="O537" s="53" t="s">
        <v>2055</v>
      </c>
      <c r="P537" s="56" t="s">
        <v>2403</v>
      </c>
      <c r="Q537" s="57">
        <v>14700</v>
      </c>
      <c r="R537" s="58" t="s">
        <v>8</v>
      </c>
      <c r="S537" s="57" t="s">
        <v>8</v>
      </c>
      <c r="T537" s="56" t="s">
        <v>2394</v>
      </c>
    </row>
    <row r="538" spans="1:20">
      <c r="A538" s="55">
        <v>129492654176</v>
      </c>
      <c r="B538" s="53" t="s">
        <v>2386</v>
      </c>
      <c r="C538" s="54">
        <v>45940</v>
      </c>
      <c r="D538" s="55">
        <v>51487608673</v>
      </c>
      <c r="E538" s="55">
        <v>2092301346793</v>
      </c>
      <c r="F538" s="56" t="s">
        <v>2387</v>
      </c>
      <c r="G538" s="56" t="s">
        <v>2388</v>
      </c>
      <c r="H538" s="56" t="s">
        <v>8</v>
      </c>
      <c r="I538" s="55" t="s">
        <v>8</v>
      </c>
      <c r="J538" s="57">
        <v>821.59</v>
      </c>
      <c r="K538" s="56" t="s">
        <v>2389</v>
      </c>
      <c r="L538" s="56" t="s">
        <v>2390</v>
      </c>
      <c r="M538" s="55" t="s">
        <v>2391</v>
      </c>
      <c r="N538" s="56" t="s">
        <v>2392</v>
      </c>
      <c r="O538" s="53" t="s">
        <v>8</v>
      </c>
      <c r="P538" s="56" t="s">
        <v>2544</v>
      </c>
      <c r="Q538" s="57">
        <v>84700</v>
      </c>
      <c r="R538" s="58" t="s">
        <v>8</v>
      </c>
      <c r="S538" s="57" t="s">
        <v>8</v>
      </c>
      <c r="T538" s="56" t="s">
        <v>2394</v>
      </c>
    </row>
    <row r="539" spans="1:20">
      <c r="A539" s="55">
        <v>128920484187</v>
      </c>
      <c r="B539" s="53" t="s">
        <v>2386</v>
      </c>
      <c r="C539" s="54">
        <v>45940</v>
      </c>
      <c r="D539" s="55">
        <v>51487746360</v>
      </c>
      <c r="E539" s="55">
        <v>2092303097075</v>
      </c>
      <c r="F539" s="56" t="s">
        <v>2387</v>
      </c>
      <c r="G539" s="56" t="s">
        <v>2388</v>
      </c>
      <c r="H539" s="56" t="s">
        <v>8</v>
      </c>
      <c r="I539" s="55" t="s">
        <v>8</v>
      </c>
      <c r="J539" s="57">
        <v>166.84</v>
      </c>
      <c r="K539" s="56" t="s">
        <v>2389</v>
      </c>
      <c r="L539" s="56" t="s">
        <v>2390</v>
      </c>
      <c r="M539" s="55" t="s">
        <v>2391</v>
      </c>
      <c r="N539" s="56" t="s">
        <v>2392</v>
      </c>
      <c r="O539" s="53" t="s">
        <v>8</v>
      </c>
      <c r="P539" s="56" t="s">
        <v>2414</v>
      </c>
      <c r="Q539" s="57">
        <v>17200</v>
      </c>
      <c r="R539" s="58" t="s">
        <v>8</v>
      </c>
      <c r="S539" s="57" t="s">
        <v>8</v>
      </c>
      <c r="T539" s="56" t="s">
        <v>2394</v>
      </c>
    </row>
    <row r="540" spans="1:20">
      <c r="A540" s="55">
        <v>129493185740</v>
      </c>
      <c r="B540" s="53" t="s">
        <v>2386</v>
      </c>
      <c r="C540" s="54">
        <v>45940</v>
      </c>
      <c r="D540" s="55">
        <v>51487821987</v>
      </c>
      <c r="E540" s="55">
        <v>2092371694858</v>
      </c>
      <c r="F540" s="56" t="s">
        <v>2387</v>
      </c>
      <c r="G540" s="56" t="s">
        <v>2388</v>
      </c>
      <c r="H540" s="56" t="s">
        <v>8</v>
      </c>
      <c r="I540" s="55" t="s">
        <v>8</v>
      </c>
      <c r="J540" s="57">
        <v>124.16</v>
      </c>
      <c r="K540" s="56" t="s">
        <v>2389</v>
      </c>
      <c r="L540" s="56" t="s">
        <v>2390</v>
      </c>
      <c r="M540" s="55" t="s">
        <v>2391</v>
      </c>
      <c r="N540" s="56" t="s">
        <v>2392</v>
      </c>
      <c r="O540" s="53" t="s">
        <v>8</v>
      </c>
      <c r="P540" s="56" t="s">
        <v>2545</v>
      </c>
      <c r="Q540" s="57">
        <v>12800</v>
      </c>
      <c r="R540" s="58" t="s">
        <v>8</v>
      </c>
      <c r="S540" s="57" t="s">
        <v>8</v>
      </c>
      <c r="T540" s="56" t="s">
        <v>2394</v>
      </c>
    </row>
    <row r="541" spans="1:20">
      <c r="A541" s="55">
        <v>129493359646</v>
      </c>
      <c r="B541" s="53" t="s">
        <v>2386</v>
      </c>
      <c r="C541" s="54">
        <v>45940</v>
      </c>
      <c r="D541" s="55">
        <v>51487886408</v>
      </c>
      <c r="E541" s="55">
        <v>2092304989737</v>
      </c>
      <c r="F541" s="56" t="s">
        <v>2387</v>
      </c>
      <c r="G541" s="56" t="s">
        <v>2388</v>
      </c>
      <c r="H541" s="56" t="s">
        <v>8</v>
      </c>
      <c r="I541" s="55" t="s">
        <v>8</v>
      </c>
      <c r="J541" s="57">
        <v>187.21</v>
      </c>
      <c r="K541" s="56" t="s">
        <v>2389</v>
      </c>
      <c r="L541" s="56" t="s">
        <v>2390</v>
      </c>
      <c r="M541" s="55" t="s">
        <v>2391</v>
      </c>
      <c r="N541" s="56" t="s">
        <v>2392</v>
      </c>
      <c r="O541" s="53" t="s">
        <v>8</v>
      </c>
      <c r="P541" s="56" t="s">
        <v>2546</v>
      </c>
      <c r="Q541" s="57">
        <v>19300</v>
      </c>
      <c r="R541" s="58" t="s">
        <v>8</v>
      </c>
      <c r="S541" s="57" t="s">
        <v>8</v>
      </c>
      <c r="T541" s="56" t="s">
        <v>2394</v>
      </c>
    </row>
    <row r="542" spans="1:20">
      <c r="A542" s="55">
        <v>128921310181</v>
      </c>
      <c r="B542" s="53" t="s">
        <v>2386</v>
      </c>
      <c r="C542" s="54">
        <v>45941</v>
      </c>
      <c r="D542" s="55">
        <v>51488146507</v>
      </c>
      <c r="E542" s="55">
        <v>2092376145392</v>
      </c>
      <c r="F542" s="56" t="s">
        <v>2401</v>
      </c>
      <c r="G542" s="56" t="s">
        <v>2388</v>
      </c>
      <c r="H542" s="56" t="s">
        <v>8</v>
      </c>
      <c r="I542" s="55" t="s">
        <v>8</v>
      </c>
      <c r="J542" s="57">
        <v>372.89</v>
      </c>
      <c r="K542" s="56" t="s">
        <v>2389</v>
      </c>
      <c r="L542" s="56" t="s">
        <v>2402</v>
      </c>
      <c r="M542" s="55" t="s">
        <v>2391</v>
      </c>
      <c r="N542" s="56" t="s">
        <v>2392</v>
      </c>
      <c r="O542" s="53" t="s">
        <v>2055</v>
      </c>
      <c r="P542" s="56" t="s">
        <v>2403</v>
      </c>
      <c r="Q542" s="57">
        <v>4900</v>
      </c>
      <c r="R542" s="58" t="s">
        <v>8</v>
      </c>
      <c r="S542" s="57" t="s">
        <v>8</v>
      </c>
      <c r="T542" s="56" t="s">
        <v>2394</v>
      </c>
    </row>
    <row r="543" spans="1:20">
      <c r="A543" s="55">
        <v>128922302919</v>
      </c>
      <c r="B543" s="53" t="s">
        <v>2386</v>
      </c>
      <c r="C543" s="54">
        <v>45941</v>
      </c>
      <c r="D543" s="55">
        <v>51488563989</v>
      </c>
      <c r="E543" s="55">
        <v>2092314088999</v>
      </c>
      <c r="F543" s="56" t="s">
        <v>2387</v>
      </c>
      <c r="G543" s="56" t="s">
        <v>2388</v>
      </c>
      <c r="H543" s="56" t="s">
        <v>8</v>
      </c>
      <c r="I543" s="55" t="s">
        <v>8</v>
      </c>
      <c r="J543" s="57">
        <v>498.58</v>
      </c>
      <c r="K543" s="56" t="s">
        <v>2389</v>
      </c>
      <c r="L543" s="56" t="s">
        <v>2390</v>
      </c>
      <c r="M543" s="55" t="s">
        <v>2391</v>
      </c>
      <c r="N543" s="56" t="s">
        <v>2392</v>
      </c>
      <c r="O543" s="53" t="s">
        <v>8</v>
      </c>
      <c r="P543" s="56" t="s">
        <v>2547</v>
      </c>
      <c r="Q543" s="57">
        <v>51400</v>
      </c>
      <c r="R543" s="58" t="s">
        <v>8</v>
      </c>
      <c r="S543" s="57" t="s">
        <v>8</v>
      </c>
      <c r="T543" s="56" t="s">
        <v>2394</v>
      </c>
    </row>
    <row r="544" spans="1:20">
      <c r="A544" s="55">
        <v>128922474729</v>
      </c>
      <c r="B544" s="53" t="s">
        <v>2386</v>
      </c>
      <c r="C544" s="54">
        <v>45941</v>
      </c>
      <c r="D544" s="55">
        <v>51488662762</v>
      </c>
      <c r="E544" s="55">
        <v>2092382615714</v>
      </c>
      <c r="F544" s="56" t="s">
        <v>2401</v>
      </c>
      <c r="G544" s="56" t="s">
        <v>2388</v>
      </c>
      <c r="H544" s="56" t="s">
        <v>8</v>
      </c>
      <c r="I544" s="55" t="s">
        <v>8</v>
      </c>
      <c r="J544" s="57">
        <v>3168.92</v>
      </c>
      <c r="K544" s="56" t="s">
        <v>2389</v>
      </c>
      <c r="L544" s="56" t="s">
        <v>2402</v>
      </c>
      <c r="M544" s="55" t="s">
        <v>2391</v>
      </c>
      <c r="N544" s="56" t="s">
        <v>2392</v>
      </c>
      <c r="O544" s="53" t="s">
        <v>2055</v>
      </c>
      <c r="P544" s="56" t="s">
        <v>2403</v>
      </c>
      <c r="Q544" s="57">
        <v>69800</v>
      </c>
      <c r="R544" s="58" t="s">
        <v>8</v>
      </c>
      <c r="S544" s="57" t="s">
        <v>8</v>
      </c>
      <c r="T544" s="56" t="s">
        <v>2394</v>
      </c>
    </row>
    <row r="545" spans="1:20">
      <c r="A545" s="55">
        <v>129495024752</v>
      </c>
      <c r="B545" s="53" t="s">
        <v>2386</v>
      </c>
      <c r="C545" s="54">
        <v>45941</v>
      </c>
      <c r="D545" s="55">
        <v>51488756659</v>
      </c>
      <c r="E545" s="55">
        <v>2092383398952</v>
      </c>
      <c r="F545" s="56" t="s">
        <v>2387</v>
      </c>
      <c r="G545" s="56" t="s">
        <v>2388</v>
      </c>
      <c r="H545" s="56" t="s">
        <v>8</v>
      </c>
      <c r="I545" s="55" t="s">
        <v>8</v>
      </c>
      <c r="J545" s="57">
        <v>911.8</v>
      </c>
      <c r="K545" s="56" t="s">
        <v>2389</v>
      </c>
      <c r="L545" s="56" t="s">
        <v>2390</v>
      </c>
      <c r="M545" s="55" t="s">
        <v>2391</v>
      </c>
      <c r="N545" s="56" t="s">
        <v>2392</v>
      </c>
      <c r="O545" s="53" t="s">
        <v>8</v>
      </c>
      <c r="P545" s="56" t="s">
        <v>2548</v>
      </c>
      <c r="Q545" s="57">
        <v>94000</v>
      </c>
      <c r="R545" s="58" t="s">
        <v>8</v>
      </c>
      <c r="S545" s="57" t="s">
        <v>8</v>
      </c>
      <c r="T545" s="56" t="s">
        <v>2394</v>
      </c>
    </row>
    <row r="546" spans="1:20">
      <c r="A546" s="55">
        <v>129495185528</v>
      </c>
      <c r="B546" s="53" t="s">
        <v>2386</v>
      </c>
      <c r="C546" s="54">
        <v>45941</v>
      </c>
      <c r="D546" s="55">
        <v>51488841285</v>
      </c>
      <c r="E546" s="55">
        <v>2092316997077</v>
      </c>
      <c r="F546" s="56" t="s">
        <v>2387</v>
      </c>
      <c r="G546" s="56" t="s">
        <v>2388</v>
      </c>
      <c r="H546" s="56" t="s">
        <v>8</v>
      </c>
      <c r="I546" s="55" t="s">
        <v>8</v>
      </c>
      <c r="J546" s="57">
        <v>83.42</v>
      </c>
      <c r="K546" s="56" t="s">
        <v>2389</v>
      </c>
      <c r="L546" s="56" t="s">
        <v>2390</v>
      </c>
      <c r="M546" s="55" t="s">
        <v>2391</v>
      </c>
      <c r="N546" s="56" t="s">
        <v>2392</v>
      </c>
      <c r="O546" s="53" t="s">
        <v>8</v>
      </c>
      <c r="P546" s="56" t="s">
        <v>2425</v>
      </c>
      <c r="Q546" s="57">
        <v>8600</v>
      </c>
      <c r="R546" s="58" t="s">
        <v>8</v>
      </c>
      <c r="S546" s="57" t="s">
        <v>8</v>
      </c>
      <c r="T546" s="56" t="s">
        <v>2394</v>
      </c>
    </row>
    <row r="547" spans="1:20">
      <c r="A547" s="55">
        <v>129495145126</v>
      </c>
      <c r="B547" s="53" t="s">
        <v>2386</v>
      </c>
      <c r="C547" s="54">
        <v>45941</v>
      </c>
      <c r="D547" s="55">
        <v>51488844791</v>
      </c>
      <c r="E547" s="55">
        <v>2092316577225</v>
      </c>
      <c r="F547" s="56" t="s">
        <v>2401</v>
      </c>
      <c r="G547" s="56" t="s">
        <v>2388</v>
      </c>
      <c r="H547" s="56" t="s">
        <v>8</v>
      </c>
      <c r="I547" s="55" t="s">
        <v>8</v>
      </c>
      <c r="J547" s="57">
        <v>1552.35</v>
      </c>
      <c r="K547" s="56" t="s">
        <v>2389</v>
      </c>
      <c r="L547" s="56" t="s">
        <v>2402</v>
      </c>
      <c r="M547" s="55" t="s">
        <v>2391</v>
      </c>
      <c r="N547" s="56" t="s">
        <v>2392</v>
      </c>
      <c r="O547" s="53" t="s">
        <v>2055</v>
      </c>
      <c r="P547" s="56" t="s">
        <v>2403</v>
      </c>
      <c r="Q547" s="57">
        <v>39500</v>
      </c>
      <c r="R547" s="58" t="s">
        <v>8</v>
      </c>
      <c r="S547" s="57" t="s">
        <v>8</v>
      </c>
      <c r="T547" s="56" t="s">
        <v>2394</v>
      </c>
    </row>
    <row r="548" spans="1:20">
      <c r="A548" s="55">
        <v>128922682971</v>
      </c>
      <c r="B548" s="53" t="s">
        <v>2386</v>
      </c>
      <c r="C548" s="54">
        <v>45941</v>
      </c>
      <c r="D548" s="55">
        <v>51488852794</v>
      </c>
      <c r="E548" s="55">
        <v>2092384233886</v>
      </c>
      <c r="F548" s="56" t="s">
        <v>2401</v>
      </c>
      <c r="G548" s="56" t="s">
        <v>2388</v>
      </c>
      <c r="H548" s="56" t="s">
        <v>8</v>
      </c>
      <c r="I548" s="55" t="s">
        <v>8</v>
      </c>
      <c r="J548" s="57">
        <v>1363.71</v>
      </c>
      <c r="K548" s="56" t="s">
        <v>2389</v>
      </c>
      <c r="L548" s="56" t="s">
        <v>2402</v>
      </c>
      <c r="M548" s="55" t="s">
        <v>2391</v>
      </c>
      <c r="N548" s="56" t="s">
        <v>2392</v>
      </c>
      <c r="O548" s="53" t="s">
        <v>2055</v>
      </c>
      <c r="P548" s="56" t="s">
        <v>2403</v>
      </c>
      <c r="Q548" s="57">
        <v>34700</v>
      </c>
      <c r="R548" s="58" t="s">
        <v>8</v>
      </c>
      <c r="S548" s="57" t="s">
        <v>8</v>
      </c>
      <c r="T548" s="56" t="s">
        <v>2394</v>
      </c>
    </row>
    <row r="549" spans="1:20">
      <c r="A549" s="55">
        <v>129495380726</v>
      </c>
      <c r="B549" s="53" t="s">
        <v>2386</v>
      </c>
      <c r="C549" s="54">
        <v>45941</v>
      </c>
      <c r="D549" s="55">
        <v>51488915178</v>
      </c>
      <c r="E549" s="55">
        <v>2092384726884</v>
      </c>
      <c r="F549" s="56" t="s">
        <v>2387</v>
      </c>
      <c r="G549" s="56" t="s">
        <v>2388</v>
      </c>
      <c r="H549" s="56" t="s">
        <v>8</v>
      </c>
      <c r="I549" s="55" t="s">
        <v>8</v>
      </c>
      <c r="J549" s="57">
        <v>40.74</v>
      </c>
      <c r="K549" s="56" t="s">
        <v>2389</v>
      </c>
      <c r="L549" s="56" t="s">
        <v>2390</v>
      </c>
      <c r="M549" s="55" t="s">
        <v>2391</v>
      </c>
      <c r="N549" s="56" t="s">
        <v>2392</v>
      </c>
      <c r="O549" s="53" t="s">
        <v>8</v>
      </c>
      <c r="P549" s="56" t="s">
        <v>2549</v>
      </c>
      <c r="Q549" s="57">
        <v>4200</v>
      </c>
      <c r="R549" s="58" t="s">
        <v>8</v>
      </c>
      <c r="S549" s="57" t="s">
        <v>8</v>
      </c>
      <c r="T549" s="56" t="s">
        <v>2394</v>
      </c>
    </row>
    <row r="550" spans="1:20">
      <c r="A550" s="55">
        <v>129495617158</v>
      </c>
      <c r="B550" s="53" t="s">
        <v>2386</v>
      </c>
      <c r="C550" s="54">
        <v>45941</v>
      </c>
      <c r="D550" s="55">
        <v>51489032908</v>
      </c>
      <c r="E550" s="55">
        <v>2092386333546</v>
      </c>
      <c r="F550" s="56" t="s">
        <v>2387</v>
      </c>
      <c r="G550" s="56" t="s">
        <v>2388</v>
      </c>
      <c r="H550" s="56" t="s">
        <v>8</v>
      </c>
      <c r="I550" s="55" t="s">
        <v>8</v>
      </c>
      <c r="J550" s="57">
        <v>708.1</v>
      </c>
      <c r="K550" s="56" t="s">
        <v>2389</v>
      </c>
      <c r="L550" s="56" t="s">
        <v>2390</v>
      </c>
      <c r="M550" s="55" t="s">
        <v>2391</v>
      </c>
      <c r="N550" s="56" t="s">
        <v>2392</v>
      </c>
      <c r="O550" s="53" t="s">
        <v>8</v>
      </c>
      <c r="P550" s="56" t="s">
        <v>2550</v>
      </c>
      <c r="Q550" s="57">
        <v>73000</v>
      </c>
      <c r="R550" s="58" t="s">
        <v>8</v>
      </c>
      <c r="S550" s="57" t="s">
        <v>8</v>
      </c>
      <c r="T550" s="56" t="s">
        <v>2394</v>
      </c>
    </row>
    <row r="551" spans="1:20">
      <c r="A551" s="55">
        <v>129495780212</v>
      </c>
      <c r="B551" s="53" t="s">
        <v>2386</v>
      </c>
      <c r="C551" s="54">
        <v>45941</v>
      </c>
      <c r="D551" s="55">
        <v>51489126144</v>
      </c>
      <c r="E551" s="55">
        <v>2092387104022</v>
      </c>
      <c r="F551" s="56" t="s">
        <v>2387</v>
      </c>
      <c r="G551" s="56" t="s">
        <v>2388</v>
      </c>
      <c r="H551" s="56" t="s">
        <v>8</v>
      </c>
      <c r="I551" s="55" t="s">
        <v>8</v>
      </c>
      <c r="J551" s="57">
        <v>97</v>
      </c>
      <c r="K551" s="56" t="s">
        <v>2389</v>
      </c>
      <c r="L551" s="56" t="s">
        <v>2390</v>
      </c>
      <c r="M551" s="55" t="s">
        <v>2391</v>
      </c>
      <c r="N551" s="56" t="s">
        <v>2392</v>
      </c>
      <c r="O551" s="53" t="s">
        <v>8</v>
      </c>
      <c r="P551" s="56" t="s">
        <v>2551</v>
      </c>
      <c r="Q551" s="57">
        <v>10000</v>
      </c>
      <c r="R551" s="58" t="s">
        <v>8</v>
      </c>
      <c r="S551" s="57" t="s">
        <v>8</v>
      </c>
      <c r="T551" s="56" t="s">
        <v>2394</v>
      </c>
    </row>
    <row r="552" spans="1:20">
      <c r="A552" s="55">
        <v>129495728004</v>
      </c>
      <c r="B552" s="53" t="s">
        <v>2386</v>
      </c>
      <c r="C552" s="54">
        <v>45941</v>
      </c>
      <c r="D552" s="55">
        <v>51489177964</v>
      </c>
      <c r="E552" s="55">
        <v>2092320078139</v>
      </c>
      <c r="F552" s="56" t="s">
        <v>2401</v>
      </c>
      <c r="G552" s="56" t="s">
        <v>2388</v>
      </c>
      <c r="H552" s="56" t="s">
        <v>8</v>
      </c>
      <c r="I552" s="55" t="s">
        <v>8</v>
      </c>
      <c r="J552" s="57">
        <v>1261.53</v>
      </c>
      <c r="K552" s="56" t="s">
        <v>2389</v>
      </c>
      <c r="L552" s="56" t="s">
        <v>2402</v>
      </c>
      <c r="M552" s="55" t="s">
        <v>2391</v>
      </c>
      <c r="N552" s="56" t="s">
        <v>2392</v>
      </c>
      <c r="O552" s="53" t="s">
        <v>2055</v>
      </c>
      <c r="P552" s="56" t="s">
        <v>2403</v>
      </c>
      <c r="Q552" s="57">
        <v>32100</v>
      </c>
      <c r="R552" s="58" t="s">
        <v>8</v>
      </c>
      <c r="S552" s="57" t="s">
        <v>8</v>
      </c>
      <c r="T552" s="56" t="s">
        <v>2394</v>
      </c>
    </row>
    <row r="553" spans="1:20">
      <c r="A553" s="55">
        <v>129495961410</v>
      </c>
      <c r="B553" s="53" t="s">
        <v>2386</v>
      </c>
      <c r="C553" s="54">
        <v>45941</v>
      </c>
      <c r="D553" s="55">
        <v>51489303442</v>
      </c>
      <c r="E553" s="55">
        <v>2092321523993</v>
      </c>
      <c r="F553" s="56" t="s">
        <v>2401</v>
      </c>
      <c r="G553" s="56" t="s">
        <v>2388</v>
      </c>
      <c r="H553" s="56" t="s">
        <v>8</v>
      </c>
      <c r="I553" s="55" t="s">
        <v>8</v>
      </c>
      <c r="J553" s="57">
        <v>217.92</v>
      </c>
      <c r="K553" s="56" t="s">
        <v>2389</v>
      </c>
      <c r="L553" s="56" t="s">
        <v>2402</v>
      </c>
      <c r="M553" s="55" t="s">
        <v>2391</v>
      </c>
      <c r="N553" s="56" t="s">
        <v>2392</v>
      </c>
      <c r="O553" s="53" t="s">
        <v>2055</v>
      </c>
      <c r="P553" s="56" t="s">
        <v>2403</v>
      </c>
      <c r="Q553" s="57">
        <v>4800</v>
      </c>
      <c r="R553" s="58" t="s">
        <v>8</v>
      </c>
      <c r="S553" s="57" t="s">
        <v>8</v>
      </c>
      <c r="T553" s="56" t="s">
        <v>2394</v>
      </c>
    </row>
    <row r="554" spans="1:20">
      <c r="A554" s="55">
        <v>128923606311</v>
      </c>
      <c r="B554" s="53" t="s">
        <v>2386</v>
      </c>
      <c r="C554" s="54">
        <v>45941</v>
      </c>
      <c r="D554" s="55">
        <v>51489371790</v>
      </c>
      <c r="E554" s="55">
        <v>2092322342575</v>
      </c>
      <c r="F554" s="56" t="s">
        <v>2387</v>
      </c>
      <c r="G554" s="56" t="s">
        <v>2388</v>
      </c>
      <c r="H554" s="56" t="s">
        <v>8</v>
      </c>
      <c r="I554" s="55" t="s">
        <v>8</v>
      </c>
      <c r="J554" s="57">
        <v>1092.0999999999999</v>
      </c>
      <c r="K554" s="56" t="s">
        <v>2389</v>
      </c>
      <c r="L554" s="56" t="s">
        <v>2390</v>
      </c>
      <c r="M554" s="55" t="s">
        <v>2391</v>
      </c>
      <c r="N554" s="56" t="s">
        <v>2392</v>
      </c>
      <c r="O554" s="53" t="s">
        <v>8</v>
      </c>
      <c r="P554" s="56" t="s">
        <v>2552</v>
      </c>
      <c r="Q554" s="57">
        <v>67000</v>
      </c>
      <c r="R554" s="58" t="s">
        <v>8</v>
      </c>
      <c r="S554" s="57" t="s">
        <v>8</v>
      </c>
      <c r="T554" s="56" t="s">
        <v>2394</v>
      </c>
    </row>
    <row r="555" spans="1:20">
      <c r="A555" s="55">
        <v>129496190454</v>
      </c>
      <c r="B555" s="53" t="s">
        <v>2386</v>
      </c>
      <c r="C555" s="54">
        <v>45941</v>
      </c>
      <c r="D555" s="55">
        <v>51489430768</v>
      </c>
      <c r="E555" s="55">
        <v>2092390324254</v>
      </c>
      <c r="F555" s="56" t="s">
        <v>2387</v>
      </c>
      <c r="G555" s="56" t="s">
        <v>2388</v>
      </c>
      <c r="H555" s="56" t="s">
        <v>8</v>
      </c>
      <c r="I555" s="55" t="s">
        <v>8</v>
      </c>
      <c r="J555" s="57">
        <v>1407.85</v>
      </c>
      <c r="K555" s="56" t="s">
        <v>2389</v>
      </c>
      <c r="L555" s="56" t="s">
        <v>2390</v>
      </c>
      <c r="M555" s="55" t="s">
        <v>2391</v>
      </c>
      <c r="N555" s="56" t="s">
        <v>2392</v>
      </c>
      <c r="O555" s="53" t="s">
        <v>8</v>
      </c>
      <c r="P555" s="56" t="s">
        <v>2553</v>
      </c>
      <c r="Q555" s="57">
        <v>18500</v>
      </c>
      <c r="R555" s="58" t="s">
        <v>8</v>
      </c>
      <c r="S555" s="57" t="s">
        <v>8</v>
      </c>
      <c r="T555" s="56" t="s">
        <v>2394</v>
      </c>
    </row>
    <row r="556" spans="1:20">
      <c r="A556" s="55">
        <v>128923725051</v>
      </c>
      <c r="B556" s="53" t="s">
        <v>2386</v>
      </c>
      <c r="C556" s="54">
        <v>45941</v>
      </c>
      <c r="D556" s="55">
        <v>51489451814</v>
      </c>
      <c r="E556" s="55">
        <v>2092322970311</v>
      </c>
      <c r="F556" s="56" t="s">
        <v>2387</v>
      </c>
      <c r="G556" s="56" t="s">
        <v>2388</v>
      </c>
      <c r="H556" s="56" t="s">
        <v>8</v>
      </c>
      <c r="I556" s="55" t="s">
        <v>8</v>
      </c>
      <c r="J556" s="57">
        <v>517.01</v>
      </c>
      <c r="K556" s="56" t="s">
        <v>2389</v>
      </c>
      <c r="L556" s="56" t="s">
        <v>2390</v>
      </c>
      <c r="M556" s="55" t="s">
        <v>2391</v>
      </c>
      <c r="N556" s="56" t="s">
        <v>2392</v>
      </c>
      <c r="O556" s="53" t="s">
        <v>8</v>
      </c>
      <c r="P556" s="56" t="s">
        <v>2554</v>
      </c>
      <c r="Q556" s="57">
        <v>53300</v>
      </c>
      <c r="R556" s="58" t="s">
        <v>8</v>
      </c>
      <c r="S556" s="57" t="s">
        <v>8</v>
      </c>
      <c r="T556" s="56" t="s">
        <v>2394</v>
      </c>
    </row>
    <row r="557" spans="1:20">
      <c r="A557" s="55">
        <v>129496252230</v>
      </c>
      <c r="B557" s="53" t="s">
        <v>2386</v>
      </c>
      <c r="C557" s="54">
        <v>45941</v>
      </c>
      <c r="D557" s="55">
        <v>51489477302</v>
      </c>
      <c r="E557" s="55">
        <v>2092390734334</v>
      </c>
      <c r="F557" s="56" t="s">
        <v>2387</v>
      </c>
      <c r="G557" s="56" t="s">
        <v>2388</v>
      </c>
      <c r="H557" s="56" t="s">
        <v>8</v>
      </c>
      <c r="I557" s="55" t="s">
        <v>8</v>
      </c>
      <c r="J557" s="57">
        <v>1034.96</v>
      </c>
      <c r="K557" s="56" t="s">
        <v>2389</v>
      </c>
      <c r="L557" s="56" t="s">
        <v>2390</v>
      </c>
      <c r="M557" s="55" t="s">
        <v>2391</v>
      </c>
      <c r="N557" s="56" t="s">
        <v>2392</v>
      </c>
      <c r="O557" s="53" t="s">
        <v>8</v>
      </c>
      <c r="P557" s="56" t="s">
        <v>2555</v>
      </c>
      <c r="Q557" s="57">
        <v>13600</v>
      </c>
      <c r="R557" s="58" t="s">
        <v>8</v>
      </c>
      <c r="S557" s="57" t="s">
        <v>8</v>
      </c>
      <c r="T557" s="56" t="s">
        <v>2394</v>
      </c>
    </row>
    <row r="558" spans="1:20">
      <c r="A558" s="55">
        <v>128923886243</v>
      </c>
      <c r="B558" s="53" t="s">
        <v>2386</v>
      </c>
      <c r="C558" s="54">
        <v>45941</v>
      </c>
      <c r="D558" s="55">
        <v>51489495714</v>
      </c>
      <c r="E558" s="55">
        <v>2092390804430</v>
      </c>
      <c r="F558" s="56" t="s">
        <v>2387</v>
      </c>
      <c r="G558" s="56" t="s">
        <v>2388</v>
      </c>
      <c r="H558" s="56" t="s">
        <v>8</v>
      </c>
      <c r="I558" s="55" t="s">
        <v>8</v>
      </c>
      <c r="J558" s="57">
        <v>409.34</v>
      </c>
      <c r="K558" s="56" t="s">
        <v>2389</v>
      </c>
      <c r="L558" s="56" t="s">
        <v>2390</v>
      </c>
      <c r="M558" s="55" t="s">
        <v>2391</v>
      </c>
      <c r="N558" s="56" t="s">
        <v>2392</v>
      </c>
      <c r="O558" s="53" t="s">
        <v>8</v>
      </c>
      <c r="P558" s="56" t="s">
        <v>2556</v>
      </c>
      <c r="Q558" s="57">
        <v>42200</v>
      </c>
      <c r="R558" s="58" t="s">
        <v>8</v>
      </c>
      <c r="S558" s="57" t="s">
        <v>8</v>
      </c>
      <c r="T558" s="56" t="s">
        <v>2394</v>
      </c>
    </row>
    <row r="559" spans="1:20">
      <c r="A559" s="55">
        <v>128923983439</v>
      </c>
      <c r="B559" s="53" t="s">
        <v>2386</v>
      </c>
      <c r="C559" s="54">
        <v>45941</v>
      </c>
      <c r="D559" s="55">
        <v>51489588850</v>
      </c>
      <c r="E559" s="55">
        <v>2092391945276</v>
      </c>
      <c r="F559" s="56" t="s">
        <v>2401</v>
      </c>
      <c r="G559" s="56" t="s">
        <v>2388</v>
      </c>
      <c r="H559" s="56" t="s">
        <v>8</v>
      </c>
      <c r="I559" s="55" t="s">
        <v>8</v>
      </c>
      <c r="J559" s="57">
        <v>2356.2600000000002</v>
      </c>
      <c r="K559" s="56" t="s">
        <v>2389</v>
      </c>
      <c r="L559" s="56" t="s">
        <v>2402</v>
      </c>
      <c r="M559" s="55" t="s">
        <v>2391</v>
      </c>
      <c r="N559" s="56" t="s">
        <v>2392</v>
      </c>
      <c r="O559" s="53" t="s">
        <v>2055</v>
      </c>
      <c r="P559" s="56" t="s">
        <v>2403</v>
      </c>
      <c r="Q559" s="57">
        <v>51900</v>
      </c>
      <c r="R559" s="58" t="s">
        <v>8</v>
      </c>
      <c r="S559" s="57" t="s">
        <v>8</v>
      </c>
      <c r="T559" s="56" t="s">
        <v>2394</v>
      </c>
    </row>
    <row r="560" spans="1:20">
      <c r="A560" s="55">
        <v>128924146425</v>
      </c>
      <c r="B560" s="53" t="s">
        <v>2386</v>
      </c>
      <c r="C560" s="54">
        <v>45941</v>
      </c>
      <c r="D560" s="55">
        <v>51489675415</v>
      </c>
      <c r="E560" s="55">
        <v>2092325261529</v>
      </c>
      <c r="F560" s="56" t="s">
        <v>2387</v>
      </c>
      <c r="G560" s="56" t="s">
        <v>2388</v>
      </c>
      <c r="H560" s="56" t="s">
        <v>8</v>
      </c>
      <c r="I560" s="55" t="s">
        <v>8</v>
      </c>
      <c r="J560" s="57">
        <v>102.82</v>
      </c>
      <c r="K560" s="56" t="s">
        <v>2389</v>
      </c>
      <c r="L560" s="56" t="s">
        <v>2390</v>
      </c>
      <c r="M560" s="55" t="s">
        <v>2391</v>
      </c>
      <c r="N560" s="56" t="s">
        <v>2392</v>
      </c>
      <c r="O560" s="53" t="s">
        <v>8</v>
      </c>
      <c r="P560" s="56" t="s">
        <v>2557</v>
      </c>
      <c r="Q560" s="57">
        <v>10600</v>
      </c>
      <c r="R560" s="58" t="s">
        <v>8</v>
      </c>
      <c r="S560" s="57" t="s">
        <v>8</v>
      </c>
      <c r="T560" s="56" t="s">
        <v>2394</v>
      </c>
    </row>
    <row r="561" spans="1:20">
      <c r="A561" s="55">
        <v>128924489675</v>
      </c>
      <c r="B561" s="53" t="s">
        <v>2386</v>
      </c>
      <c r="C561" s="54">
        <v>45941</v>
      </c>
      <c r="D561" s="55">
        <v>51489997149</v>
      </c>
      <c r="E561" s="55">
        <v>2092328557537</v>
      </c>
      <c r="F561" s="56" t="s">
        <v>2401</v>
      </c>
      <c r="G561" s="56" t="s">
        <v>2388</v>
      </c>
      <c r="H561" s="56" t="s">
        <v>8</v>
      </c>
      <c r="I561" s="55" t="s">
        <v>8</v>
      </c>
      <c r="J561" s="57">
        <v>417.68</v>
      </c>
      <c r="K561" s="56" t="s">
        <v>2389</v>
      </c>
      <c r="L561" s="56" t="s">
        <v>2402</v>
      </c>
      <c r="M561" s="55" t="s">
        <v>2391</v>
      </c>
      <c r="N561" s="56" t="s">
        <v>2392</v>
      </c>
      <c r="O561" s="53" t="s">
        <v>2055</v>
      </c>
      <c r="P561" s="56" t="s">
        <v>2403</v>
      </c>
      <c r="Q561" s="57">
        <v>9200</v>
      </c>
      <c r="R561" s="58" t="s">
        <v>8</v>
      </c>
      <c r="S561" s="57" t="s">
        <v>8</v>
      </c>
      <c r="T561" s="56" t="s">
        <v>2394</v>
      </c>
    </row>
    <row r="562" spans="1:20">
      <c r="A562" s="55">
        <v>128924615147</v>
      </c>
      <c r="B562" s="53" t="s">
        <v>2386</v>
      </c>
      <c r="C562" s="54">
        <v>45941</v>
      </c>
      <c r="D562" s="55">
        <v>51490059188</v>
      </c>
      <c r="E562" s="55">
        <v>2092329107091</v>
      </c>
      <c r="F562" s="56" t="s">
        <v>2411</v>
      </c>
      <c r="G562" s="56" t="s">
        <v>2388</v>
      </c>
      <c r="H562" s="56" t="s">
        <v>8</v>
      </c>
      <c r="I562" s="55" t="s">
        <v>8</v>
      </c>
      <c r="J562" s="57">
        <v>97.97</v>
      </c>
      <c r="K562" s="56" t="s">
        <v>2389</v>
      </c>
      <c r="L562" s="56" t="s">
        <v>2390</v>
      </c>
      <c r="M562" s="55" t="s">
        <v>2391</v>
      </c>
      <c r="N562" s="56" t="s">
        <v>2392</v>
      </c>
      <c r="O562" s="53" t="s">
        <v>8</v>
      </c>
      <c r="P562" s="56" t="s">
        <v>2412</v>
      </c>
      <c r="Q562" s="57">
        <v>10100</v>
      </c>
      <c r="R562" s="58" t="s">
        <v>8</v>
      </c>
      <c r="S562" s="57" t="s">
        <v>8</v>
      </c>
      <c r="T562" s="56" t="s">
        <v>8</v>
      </c>
    </row>
    <row r="563" spans="1:20">
      <c r="A563" s="55">
        <v>128924745117</v>
      </c>
      <c r="B563" s="53" t="s">
        <v>2386</v>
      </c>
      <c r="C563" s="54">
        <v>45941</v>
      </c>
      <c r="D563" s="55">
        <v>51490122739</v>
      </c>
      <c r="E563" s="55">
        <v>2092397612574</v>
      </c>
      <c r="F563" s="56" t="s">
        <v>2387</v>
      </c>
      <c r="G563" s="56" t="s">
        <v>2388</v>
      </c>
      <c r="H563" s="56" t="s">
        <v>8</v>
      </c>
      <c r="I563" s="55" t="s">
        <v>8</v>
      </c>
      <c r="J563" s="57">
        <v>126.1</v>
      </c>
      <c r="K563" s="56" t="s">
        <v>2389</v>
      </c>
      <c r="L563" s="56" t="s">
        <v>2390</v>
      </c>
      <c r="M563" s="55" t="s">
        <v>2391</v>
      </c>
      <c r="N563" s="56" t="s">
        <v>2392</v>
      </c>
      <c r="O563" s="53" t="s">
        <v>8</v>
      </c>
      <c r="P563" s="56" t="s">
        <v>2558</v>
      </c>
      <c r="Q563" s="57">
        <v>13000</v>
      </c>
      <c r="R563" s="58" t="s">
        <v>8</v>
      </c>
      <c r="S563" s="57" t="s">
        <v>8</v>
      </c>
      <c r="T563" s="56" t="s">
        <v>2394</v>
      </c>
    </row>
    <row r="564" spans="1:20">
      <c r="A564" s="55">
        <v>128925028115</v>
      </c>
      <c r="B564" s="53" t="s">
        <v>2386</v>
      </c>
      <c r="C564" s="54">
        <v>45941</v>
      </c>
      <c r="D564" s="55">
        <v>51490251192</v>
      </c>
      <c r="E564" s="55">
        <v>2092331718165</v>
      </c>
      <c r="F564" s="56" t="s">
        <v>2387</v>
      </c>
      <c r="G564" s="56" t="s">
        <v>2388</v>
      </c>
      <c r="H564" s="56" t="s">
        <v>8</v>
      </c>
      <c r="I564" s="55" t="s">
        <v>8</v>
      </c>
      <c r="J564" s="57">
        <v>102.82</v>
      </c>
      <c r="K564" s="56" t="s">
        <v>2389</v>
      </c>
      <c r="L564" s="56" t="s">
        <v>2390</v>
      </c>
      <c r="M564" s="55" t="s">
        <v>2391</v>
      </c>
      <c r="N564" s="56" t="s">
        <v>2392</v>
      </c>
      <c r="O564" s="53" t="s">
        <v>8</v>
      </c>
      <c r="P564" s="56" t="s">
        <v>2559</v>
      </c>
      <c r="Q564" s="57">
        <v>10600</v>
      </c>
      <c r="R564" s="58" t="s">
        <v>8</v>
      </c>
      <c r="S564" s="57" t="s">
        <v>8</v>
      </c>
      <c r="T564" s="56" t="s">
        <v>2394</v>
      </c>
    </row>
    <row r="565" spans="1:20">
      <c r="A565" s="55">
        <v>128925124795</v>
      </c>
      <c r="B565" s="53" t="s">
        <v>2386</v>
      </c>
      <c r="C565" s="54">
        <v>45941</v>
      </c>
      <c r="D565" s="55">
        <v>51490328294</v>
      </c>
      <c r="E565" s="55">
        <v>2092332336313</v>
      </c>
      <c r="F565" s="56" t="s">
        <v>2387</v>
      </c>
      <c r="G565" s="56" t="s">
        <v>2388</v>
      </c>
      <c r="H565" s="56" t="s">
        <v>8</v>
      </c>
      <c r="I565" s="55" t="s">
        <v>8</v>
      </c>
      <c r="J565" s="57">
        <v>46.56</v>
      </c>
      <c r="K565" s="56" t="s">
        <v>2389</v>
      </c>
      <c r="L565" s="56" t="s">
        <v>2390</v>
      </c>
      <c r="M565" s="55" t="s">
        <v>2391</v>
      </c>
      <c r="N565" s="56" t="s">
        <v>2392</v>
      </c>
      <c r="O565" s="53" t="s">
        <v>8</v>
      </c>
      <c r="P565" s="56" t="s">
        <v>2560</v>
      </c>
      <c r="Q565" s="57">
        <v>4800</v>
      </c>
      <c r="R565" s="58" t="s">
        <v>8</v>
      </c>
      <c r="S565" s="57" t="s">
        <v>8</v>
      </c>
      <c r="T565" s="56" t="s">
        <v>2394</v>
      </c>
    </row>
    <row r="566" spans="1:20">
      <c r="A566" s="55">
        <v>129497682076</v>
      </c>
      <c r="B566" s="53" t="s">
        <v>2386</v>
      </c>
      <c r="C566" s="54">
        <v>45941</v>
      </c>
      <c r="D566" s="55">
        <v>51490368229</v>
      </c>
      <c r="E566" s="55">
        <v>2092400287986</v>
      </c>
      <c r="F566" s="56" t="s">
        <v>2387</v>
      </c>
      <c r="G566" s="56" t="s">
        <v>2388</v>
      </c>
      <c r="H566" s="56" t="s">
        <v>8</v>
      </c>
      <c r="I566" s="55" t="s">
        <v>8</v>
      </c>
      <c r="J566" s="57">
        <v>180.42</v>
      </c>
      <c r="K566" s="56" t="s">
        <v>2389</v>
      </c>
      <c r="L566" s="56" t="s">
        <v>2390</v>
      </c>
      <c r="M566" s="55" t="s">
        <v>2391</v>
      </c>
      <c r="N566" s="56" t="s">
        <v>2392</v>
      </c>
      <c r="O566" s="53" t="s">
        <v>8</v>
      </c>
      <c r="P566" s="56" t="s">
        <v>2561</v>
      </c>
      <c r="Q566" s="57">
        <v>18600</v>
      </c>
      <c r="R566" s="58" t="s">
        <v>8</v>
      </c>
      <c r="S566" s="57" t="s">
        <v>8</v>
      </c>
      <c r="T566" s="56" t="s">
        <v>2394</v>
      </c>
    </row>
    <row r="567" spans="1:20">
      <c r="A567" s="55">
        <v>129497757396</v>
      </c>
      <c r="B567" s="53" t="s">
        <v>2386</v>
      </c>
      <c r="C567" s="54">
        <v>45941</v>
      </c>
      <c r="D567" s="55">
        <v>51490392233</v>
      </c>
      <c r="E567" s="55">
        <v>2092332952775</v>
      </c>
      <c r="F567" s="56" t="s">
        <v>2387</v>
      </c>
      <c r="G567" s="56" t="s">
        <v>2388</v>
      </c>
      <c r="H567" s="56" t="s">
        <v>8</v>
      </c>
      <c r="I567" s="55" t="s">
        <v>8</v>
      </c>
      <c r="J567" s="57">
        <v>414.19</v>
      </c>
      <c r="K567" s="56" t="s">
        <v>2389</v>
      </c>
      <c r="L567" s="56" t="s">
        <v>2390</v>
      </c>
      <c r="M567" s="55" t="s">
        <v>2391</v>
      </c>
      <c r="N567" s="56" t="s">
        <v>2392</v>
      </c>
      <c r="O567" s="53" t="s">
        <v>8</v>
      </c>
      <c r="P567" s="56" t="s">
        <v>2562</v>
      </c>
      <c r="Q567" s="57">
        <v>42700</v>
      </c>
      <c r="R567" s="58" t="s">
        <v>8</v>
      </c>
      <c r="S567" s="57" t="s">
        <v>8</v>
      </c>
      <c r="T567" s="56" t="s">
        <v>2394</v>
      </c>
    </row>
    <row r="568" spans="1:20">
      <c r="A568" s="55">
        <v>128925323397</v>
      </c>
      <c r="B568" s="53" t="s">
        <v>2386</v>
      </c>
      <c r="C568" s="54">
        <v>45941</v>
      </c>
      <c r="D568" s="55">
        <v>51490412668</v>
      </c>
      <c r="E568" s="55">
        <v>2092333399117</v>
      </c>
      <c r="F568" s="56" t="s">
        <v>2387</v>
      </c>
      <c r="G568" s="56" t="s">
        <v>2388</v>
      </c>
      <c r="H568" s="56" t="s">
        <v>8</v>
      </c>
      <c r="I568" s="55" t="s">
        <v>8</v>
      </c>
      <c r="J568" s="57">
        <v>6400.01</v>
      </c>
      <c r="K568" s="56" t="s">
        <v>2389</v>
      </c>
      <c r="L568" s="56" t="s">
        <v>2390</v>
      </c>
      <c r="M568" s="55" t="s">
        <v>2391</v>
      </c>
      <c r="N568" s="56" t="s">
        <v>2392</v>
      </c>
      <c r="O568" s="53" t="s">
        <v>8</v>
      </c>
      <c r="P568" s="56" t="s">
        <v>2563</v>
      </c>
      <c r="Q568" s="57">
        <v>84100</v>
      </c>
      <c r="R568" s="58" t="s">
        <v>8</v>
      </c>
      <c r="S568" s="57" t="s">
        <v>8</v>
      </c>
      <c r="T568" s="56" t="s">
        <v>2394</v>
      </c>
    </row>
    <row r="569" spans="1:20">
      <c r="A569" s="55">
        <v>128925850887</v>
      </c>
      <c r="B569" s="53" t="s">
        <v>2386</v>
      </c>
      <c r="C569" s="54">
        <v>45941</v>
      </c>
      <c r="D569" s="55">
        <v>51490753594</v>
      </c>
      <c r="E569" s="55">
        <v>2092403834086</v>
      </c>
      <c r="F569" s="56" t="s">
        <v>2387</v>
      </c>
      <c r="G569" s="56" t="s">
        <v>2388</v>
      </c>
      <c r="H569" s="56" t="s">
        <v>8</v>
      </c>
      <c r="I569" s="55" t="s">
        <v>8</v>
      </c>
      <c r="J569" s="57">
        <v>642.14</v>
      </c>
      <c r="K569" s="56" t="s">
        <v>2389</v>
      </c>
      <c r="L569" s="56" t="s">
        <v>2390</v>
      </c>
      <c r="M569" s="55" t="s">
        <v>2391</v>
      </c>
      <c r="N569" s="56" t="s">
        <v>2392</v>
      </c>
      <c r="O569" s="53" t="s">
        <v>8</v>
      </c>
      <c r="P569" s="56" t="s">
        <v>2564</v>
      </c>
      <c r="Q569" s="57">
        <v>66200</v>
      </c>
      <c r="R569" s="58" t="s">
        <v>8</v>
      </c>
      <c r="S569" s="57" t="s">
        <v>8</v>
      </c>
      <c r="T569" s="56" t="s">
        <v>2394</v>
      </c>
    </row>
    <row r="570" spans="1:20">
      <c r="A570" s="55">
        <v>129498257936</v>
      </c>
      <c r="B570" s="53" t="s">
        <v>2386</v>
      </c>
      <c r="C570" s="54">
        <v>45941</v>
      </c>
      <c r="D570" s="55">
        <v>51490780663</v>
      </c>
      <c r="E570" s="55">
        <v>2092404268430</v>
      </c>
      <c r="F570" s="56" t="s">
        <v>2387</v>
      </c>
      <c r="G570" s="56" t="s">
        <v>2388</v>
      </c>
      <c r="H570" s="56" t="s">
        <v>8</v>
      </c>
      <c r="I570" s="55" t="s">
        <v>8</v>
      </c>
      <c r="J570" s="57">
        <v>91.18</v>
      </c>
      <c r="K570" s="56" t="s">
        <v>2389</v>
      </c>
      <c r="L570" s="56" t="s">
        <v>2390</v>
      </c>
      <c r="M570" s="55" t="s">
        <v>2391</v>
      </c>
      <c r="N570" s="56" t="s">
        <v>2392</v>
      </c>
      <c r="O570" s="53" t="s">
        <v>8</v>
      </c>
      <c r="P570" s="56" t="s">
        <v>2565</v>
      </c>
      <c r="Q570" s="57">
        <v>9400</v>
      </c>
      <c r="R570" s="58" t="s">
        <v>8</v>
      </c>
      <c r="S570" s="57" t="s">
        <v>8</v>
      </c>
      <c r="T570" s="56" t="s">
        <v>2394</v>
      </c>
    </row>
    <row r="571" spans="1:20">
      <c r="A571" s="55">
        <v>128926011103</v>
      </c>
      <c r="B571" s="53" t="s">
        <v>2386</v>
      </c>
      <c r="C571" s="54">
        <v>45941</v>
      </c>
      <c r="D571" s="55">
        <v>51490891002</v>
      </c>
      <c r="E571" s="55">
        <v>2092337818279</v>
      </c>
      <c r="F571" s="56" t="s">
        <v>2387</v>
      </c>
      <c r="G571" s="56" t="s">
        <v>2388</v>
      </c>
      <c r="H571" s="56" t="s">
        <v>8</v>
      </c>
      <c r="I571" s="55" t="s">
        <v>8</v>
      </c>
      <c r="J571" s="57">
        <v>46.56</v>
      </c>
      <c r="K571" s="56" t="s">
        <v>2389</v>
      </c>
      <c r="L571" s="56" t="s">
        <v>2390</v>
      </c>
      <c r="M571" s="55" t="s">
        <v>2391</v>
      </c>
      <c r="N571" s="56" t="s">
        <v>2392</v>
      </c>
      <c r="O571" s="53" t="s">
        <v>8</v>
      </c>
      <c r="P571" s="56" t="s">
        <v>2494</v>
      </c>
      <c r="Q571" s="57">
        <v>4800</v>
      </c>
      <c r="R571" s="58" t="s">
        <v>8</v>
      </c>
      <c r="S571" s="57" t="s">
        <v>8</v>
      </c>
      <c r="T571" s="56" t="s">
        <v>2394</v>
      </c>
    </row>
    <row r="572" spans="1:20">
      <c r="A572" s="55">
        <v>129498617424</v>
      </c>
      <c r="B572" s="53" t="s">
        <v>2386</v>
      </c>
      <c r="C572" s="54">
        <v>45941</v>
      </c>
      <c r="D572" s="55">
        <v>51490920827</v>
      </c>
      <c r="E572" s="55">
        <v>2092338256387</v>
      </c>
      <c r="F572" s="56" t="s">
        <v>2387</v>
      </c>
      <c r="G572" s="56" t="s">
        <v>2388</v>
      </c>
      <c r="H572" s="56" t="s">
        <v>8</v>
      </c>
      <c r="I572" s="55" t="s">
        <v>8</v>
      </c>
      <c r="J572" s="57">
        <v>376.36</v>
      </c>
      <c r="K572" s="56" t="s">
        <v>2389</v>
      </c>
      <c r="L572" s="56" t="s">
        <v>2390</v>
      </c>
      <c r="M572" s="55" t="s">
        <v>2391</v>
      </c>
      <c r="N572" s="56" t="s">
        <v>2392</v>
      </c>
      <c r="O572" s="53" t="s">
        <v>8</v>
      </c>
      <c r="P572" s="56" t="s">
        <v>2566</v>
      </c>
      <c r="Q572" s="57">
        <v>38800</v>
      </c>
      <c r="R572" s="58" t="s">
        <v>8</v>
      </c>
      <c r="S572" s="57" t="s">
        <v>8</v>
      </c>
      <c r="T572" s="56" t="s">
        <v>2394</v>
      </c>
    </row>
    <row r="573" spans="1:20">
      <c r="A573" s="55">
        <v>129498761266</v>
      </c>
      <c r="B573" s="53" t="s">
        <v>2386</v>
      </c>
      <c r="C573" s="54">
        <v>45941</v>
      </c>
      <c r="D573" s="55">
        <v>51490991238</v>
      </c>
      <c r="E573" s="55">
        <v>2092339044971</v>
      </c>
      <c r="F573" s="56" t="s">
        <v>2411</v>
      </c>
      <c r="G573" s="56" t="s">
        <v>2388</v>
      </c>
      <c r="H573" s="56" t="s">
        <v>8</v>
      </c>
      <c r="I573" s="55" t="s">
        <v>8</v>
      </c>
      <c r="J573" s="57">
        <v>178.48</v>
      </c>
      <c r="K573" s="56" t="s">
        <v>2389</v>
      </c>
      <c r="L573" s="56" t="s">
        <v>2390</v>
      </c>
      <c r="M573" s="55" t="s">
        <v>2391</v>
      </c>
      <c r="N573" s="56" t="s">
        <v>2392</v>
      </c>
      <c r="O573" s="53" t="s">
        <v>8</v>
      </c>
      <c r="P573" s="56" t="s">
        <v>2412</v>
      </c>
      <c r="Q573" s="57">
        <v>18400</v>
      </c>
      <c r="R573" s="58" t="s">
        <v>8</v>
      </c>
      <c r="S573" s="57" t="s">
        <v>8</v>
      </c>
      <c r="T573" s="56" t="s">
        <v>8</v>
      </c>
    </row>
    <row r="574" spans="1:20">
      <c r="A574" s="55">
        <v>129499008366</v>
      </c>
      <c r="B574" s="53" t="s">
        <v>2386</v>
      </c>
      <c r="C574" s="54">
        <v>45941</v>
      </c>
      <c r="D574" s="55">
        <v>51491083989</v>
      </c>
      <c r="E574" s="55">
        <v>2092407567548</v>
      </c>
      <c r="F574" s="56" t="s">
        <v>2387</v>
      </c>
      <c r="G574" s="56" t="s">
        <v>2388</v>
      </c>
      <c r="H574" s="56" t="s">
        <v>8</v>
      </c>
      <c r="I574" s="55" t="s">
        <v>8</v>
      </c>
      <c r="J574" s="57">
        <v>40.74</v>
      </c>
      <c r="K574" s="56" t="s">
        <v>2389</v>
      </c>
      <c r="L574" s="56" t="s">
        <v>2390</v>
      </c>
      <c r="M574" s="55" t="s">
        <v>2391</v>
      </c>
      <c r="N574" s="56" t="s">
        <v>2392</v>
      </c>
      <c r="O574" s="53" t="s">
        <v>8</v>
      </c>
      <c r="P574" s="56" t="s">
        <v>2567</v>
      </c>
      <c r="Q574" s="57">
        <v>4200</v>
      </c>
      <c r="R574" s="58" t="s">
        <v>8</v>
      </c>
      <c r="S574" s="57" t="s">
        <v>8</v>
      </c>
      <c r="T574" s="56" t="s">
        <v>2394</v>
      </c>
    </row>
    <row r="575" spans="1:20">
      <c r="A575" s="55">
        <v>129498994698</v>
      </c>
      <c r="B575" s="53" t="s">
        <v>2386</v>
      </c>
      <c r="C575" s="54">
        <v>45941</v>
      </c>
      <c r="D575" s="55">
        <v>51491089726</v>
      </c>
      <c r="E575" s="55">
        <v>2092407632446</v>
      </c>
      <c r="F575" s="56" t="s">
        <v>2401</v>
      </c>
      <c r="G575" s="56" t="s">
        <v>2388</v>
      </c>
      <c r="H575" s="56" t="s">
        <v>8</v>
      </c>
      <c r="I575" s="55" t="s">
        <v>8</v>
      </c>
      <c r="J575" s="57">
        <v>3368.01</v>
      </c>
      <c r="K575" s="56" t="s">
        <v>2389</v>
      </c>
      <c r="L575" s="56" t="s">
        <v>2402</v>
      </c>
      <c r="M575" s="55" t="s">
        <v>2391</v>
      </c>
      <c r="N575" s="56" t="s">
        <v>2392</v>
      </c>
      <c r="O575" s="53" t="s">
        <v>2055</v>
      </c>
      <c r="P575" s="56" t="s">
        <v>2403</v>
      </c>
      <c r="Q575" s="57">
        <v>85700</v>
      </c>
      <c r="R575" s="58" t="s">
        <v>8</v>
      </c>
      <c r="S575" s="57" t="s">
        <v>8</v>
      </c>
      <c r="T575" s="56" t="s">
        <v>2394</v>
      </c>
    </row>
    <row r="576" spans="1:20">
      <c r="A576" s="55">
        <v>129499208348</v>
      </c>
      <c r="B576" s="53" t="s">
        <v>2386</v>
      </c>
      <c r="C576" s="54">
        <v>45941</v>
      </c>
      <c r="D576" s="55">
        <v>51491229526</v>
      </c>
      <c r="E576" s="55">
        <v>2092341555893</v>
      </c>
      <c r="F576" s="56" t="s">
        <v>2401</v>
      </c>
      <c r="G576" s="56" t="s">
        <v>2388</v>
      </c>
      <c r="H576" s="56" t="s">
        <v>8</v>
      </c>
      <c r="I576" s="55" t="s">
        <v>8</v>
      </c>
      <c r="J576" s="57">
        <v>426.76</v>
      </c>
      <c r="K576" s="56" t="s">
        <v>2389</v>
      </c>
      <c r="L576" s="56" t="s">
        <v>2402</v>
      </c>
      <c r="M576" s="55" t="s">
        <v>2391</v>
      </c>
      <c r="N576" s="56" t="s">
        <v>2392</v>
      </c>
      <c r="O576" s="53" t="s">
        <v>2055</v>
      </c>
      <c r="P576" s="56" t="s">
        <v>2403</v>
      </c>
      <c r="Q576" s="57">
        <v>9400</v>
      </c>
      <c r="R576" s="58" t="s">
        <v>8</v>
      </c>
      <c r="S576" s="57" t="s">
        <v>8</v>
      </c>
      <c r="T576" s="56" t="s">
        <v>2394</v>
      </c>
    </row>
    <row r="577" spans="1:20">
      <c r="A577" s="55">
        <v>129499227386</v>
      </c>
      <c r="B577" s="53" t="s">
        <v>2386</v>
      </c>
      <c r="C577" s="54">
        <v>45941</v>
      </c>
      <c r="D577" s="55">
        <v>51491291048</v>
      </c>
      <c r="E577" s="55">
        <v>2092409688150</v>
      </c>
      <c r="F577" s="56" t="s">
        <v>2387</v>
      </c>
      <c r="G577" s="56" t="s">
        <v>2388</v>
      </c>
      <c r="H577" s="56" t="s">
        <v>8</v>
      </c>
      <c r="I577" s="55" t="s">
        <v>8</v>
      </c>
      <c r="J577" s="57">
        <v>421.95</v>
      </c>
      <c r="K577" s="56" t="s">
        <v>2389</v>
      </c>
      <c r="L577" s="56" t="s">
        <v>2390</v>
      </c>
      <c r="M577" s="55" t="s">
        <v>2391</v>
      </c>
      <c r="N577" s="56" t="s">
        <v>2392</v>
      </c>
      <c r="O577" s="53" t="s">
        <v>8</v>
      </c>
      <c r="P577" s="56" t="s">
        <v>2568</v>
      </c>
      <c r="Q577" s="57">
        <v>43500</v>
      </c>
      <c r="R577" s="58" t="s">
        <v>8</v>
      </c>
      <c r="S577" s="57" t="s">
        <v>8</v>
      </c>
      <c r="T577" s="56" t="s">
        <v>2394</v>
      </c>
    </row>
    <row r="578" spans="1:20">
      <c r="A578" s="55">
        <v>129499287010</v>
      </c>
      <c r="B578" s="53" t="s">
        <v>2386</v>
      </c>
      <c r="C578" s="54">
        <v>45941</v>
      </c>
      <c r="D578" s="55">
        <v>51491310272</v>
      </c>
      <c r="E578" s="55">
        <v>2092409921042</v>
      </c>
      <c r="F578" s="56" t="s">
        <v>2387</v>
      </c>
      <c r="G578" s="56" t="s">
        <v>2388</v>
      </c>
      <c r="H578" s="56" t="s">
        <v>8</v>
      </c>
      <c r="I578" s="55" t="s">
        <v>8</v>
      </c>
      <c r="J578" s="57">
        <v>97</v>
      </c>
      <c r="K578" s="56" t="s">
        <v>2389</v>
      </c>
      <c r="L578" s="56" t="s">
        <v>2390</v>
      </c>
      <c r="M578" s="55" t="s">
        <v>2391</v>
      </c>
      <c r="N578" s="56" t="s">
        <v>2392</v>
      </c>
      <c r="O578" s="53" t="s">
        <v>8</v>
      </c>
      <c r="P578" s="56" t="s">
        <v>2569</v>
      </c>
      <c r="Q578" s="57">
        <v>10000</v>
      </c>
      <c r="R578" s="58" t="s">
        <v>8</v>
      </c>
      <c r="S578" s="57" t="s">
        <v>8</v>
      </c>
      <c r="T578" s="56" t="s">
        <v>2394</v>
      </c>
    </row>
    <row r="579" spans="1:20">
      <c r="A579" s="55">
        <v>129499309216</v>
      </c>
      <c r="B579" s="53" t="s">
        <v>2386</v>
      </c>
      <c r="C579" s="54">
        <v>45941</v>
      </c>
      <c r="D579" s="55">
        <v>51491323667</v>
      </c>
      <c r="E579" s="55">
        <v>2092343053363</v>
      </c>
      <c r="F579" s="56" t="s">
        <v>2387</v>
      </c>
      <c r="G579" s="56" t="s">
        <v>2388</v>
      </c>
      <c r="H579" s="56" t="s">
        <v>8</v>
      </c>
      <c r="I579" s="55" t="s">
        <v>8</v>
      </c>
      <c r="J579" s="57">
        <v>87.3</v>
      </c>
      <c r="K579" s="56" t="s">
        <v>2389</v>
      </c>
      <c r="L579" s="56" t="s">
        <v>2390</v>
      </c>
      <c r="M579" s="55" t="s">
        <v>2391</v>
      </c>
      <c r="N579" s="56" t="s">
        <v>2392</v>
      </c>
      <c r="O579" s="53" t="s">
        <v>8</v>
      </c>
      <c r="P579" s="56" t="s">
        <v>2570</v>
      </c>
      <c r="Q579" s="57">
        <v>9000</v>
      </c>
      <c r="R579" s="58" t="s">
        <v>8</v>
      </c>
      <c r="S579" s="57" t="s">
        <v>8</v>
      </c>
      <c r="T579" s="56" t="s">
        <v>2394</v>
      </c>
    </row>
    <row r="580" spans="1:20">
      <c r="A580" s="55">
        <v>128927187489</v>
      </c>
      <c r="B580" s="53" t="s">
        <v>2386</v>
      </c>
      <c r="C580" s="54">
        <v>45941</v>
      </c>
      <c r="D580" s="55">
        <v>51491573427</v>
      </c>
      <c r="E580" s="55">
        <v>2092345356905</v>
      </c>
      <c r="F580" s="56" t="s">
        <v>2387</v>
      </c>
      <c r="G580" s="56" t="s">
        <v>2388</v>
      </c>
      <c r="H580" s="56" t="s">
        <v>8</v>
      </c>
      <c r="I580" s="55" t="s">
        <v>8</v>
      </c>
      <c r="J580" s="57">
        <v>1626.69</v>
      </c>
      <c r="K580" s="56" t="s">
        <v>2389</v>
      </c>
      <c r="L580" s="56" t="s">
        <v>2390</v>
      </c>
      <c r="M580" s="55" t="s">
        <v>2391</v>
      </c>
      <c r="N580" s="56" t="s">
        <v>2392</v>
      </c>
      <c r="O580" s="53" t="s">
        <v>8</v>
      </c>
      <c r="P580" s="56" t="s">
        <v>2571</v>
      </c>
      <c r="Q580" s="57">
        <v>167700</v>
      </c>
      <c r="R580" s="58" t="s">
        <v>8</v>
      </c>
      <c r="S580" s="57" t="s">
        <v>8</v>
      </c>
      <c r="T580" s="56" t="s">
        <v>2394</v>
      </c>
    </row>
    <row r="581" spans="1:20">
      <c r="A581" s="55">
        <v>128927240081</v>
      </c>
      <c r="B581" s="53" t="s">
        <v>2386</v>
      </c>
      <c r="C581" s="54">
        <v>45941</v>
      </c>
      <c r="D581" s="55">
        <v>51491653585</v>
      </c>
      <c r="E581" s="55">
        <v>2092413621164</v>
      </c>
      <c r="F581" s="56" t="s">
        <v>2387</v>
      </c>
      <c r="G581" s="56" t="s">
        <v>2388</v>
      </c>
      <c r="H581" s="56" t="s">
        <v>8</v>
      </c>
      <c r="I581" s="55" t="s">
        <v>8</v>
      </c>
      <c r="J581" s="57">
        <v>75.66</v>
      </c>
      <c r="K581" s="56" t="s">
        <v>2389</v>
      </c>
      <c r="L581" s="56" t="s">
        <v>2390</v>
      </c>
      <c r="M581" s="55" t="s">
        <v>2391</v>
      </c>
      <c r="N581" s="56" t="s">
        <v>2392</v>
      </c>
      <c r="O581" s="53" t="s">
        <v>8</v>
      </c>
      <c r="P581" s="56" t="s">
        <v>2572</v>
      </c>
      <c r="Q581" s="57">
        <v>7800</v>
      </c>
      <c r="R581" s="58" t="s">
        <v>8</v>
      </c>
      <c r="S581" s="57" t="s">
        <v>8</v>
      </c>
      <c r="T581" s="56" t="s">
        <v>2394</v>
      </c>
    </row>
    <row r="582" spans="1:20">
      <c r="A582" s="55">
        <v>128927347565</v>
      </c>
      <c r="B582" s="53" t="s">
        <v>2386</v>
      </c>
      <c r="C582" s="54">
        <v>45941</v>
      </c>
      <c r="D582" s="55">
        <v>51491717537</v>
      </c>
      <c r="E582" s="55">
        <v>2092346710265</v>
      </c>
      <c r="F582" s="56" t="s">
        <v>2387</v>
      </c>
      <c r="G582" s="56" t="s">
        <v>2388</v>
      </c>
      <c r="H582" s="56" t="s">
        <v>8</v>
      </c>
      <c r="I582" s="55" t="s">
        <v>8</v>
      </c>
      <c r="J582" s="57">
        <v>145.5</v>
      </c>
      <c r="K582" s="56" t="s">
        <v>2389</v>
      </c>
      <c r="L582" s="56" t="s">
        <v>2390</v>
      </c>
      <c r="M582" s="55" t="s">
        <v>2391</v>
      </c>
      <c r="N582" s="56" t="s">
        <v>2392</v>
      </c>
      <c r="O582" s="53" t="s">
        <v>8</v>
      </c>
      <c r="P582" s="56" t="s">
        <v>2573</v>
      </c>
      <c r="Q582" s="57">
        <v>15000</v>
      </c>
      <c r="R582" s="58" t="s">
        <v>8</v>
      </c>
      <c r="S582" s="57" t="s">
        <v>8</v>
      </c>
      <c r="T582" s="56" t="s">
        <v>2394</v>
      </c>
    </row>
    <row r="583" spans="1:20">
      <c r="A583" s="55">
        <v>129500372322</v>
      </c>
      <c r="B583" s="53" t="s">
        <v>2386</v>
      </c>
      <c r="C583" s="54">
        <v>45941</v>
      </c>
      <c r="D583" s="55">
        <v>51491945756</v>
      </c>
      <c r="E583" s="55">
        <v>2092349318185</v>
      </c>
      <c r="F583" s="56" t="s">
        <v>2387</v>
      </c>
      <c r="G583" s="56" t="s">
        <v>2388</v>
      </c>
      <c r="H583" s="56" t="s">
        <v>8</v>
      </c>
      <c r="I583" s="55" t="s">
        <v>8</v>
      </c>
      <c r="J583" s="57">
        <v>271.60000000000002</v>
      </c>
      <c r="K583" s="56" t="s">
        <v>2389</v>
      </c>
      <c r="L583" s="56" t="s">
        <v>2390</v>
      </c>
      <c r="M583" s="55" t="s">
        <v>2391</v>
      </c>
      <c r="N583" s="56" t="s">
        <v>2392</v>
      </c>
      <c r="O583" s="53" t="s">
        <v>8</v>
      </c>
      <c r="P583" s="56" t="s">
        <v>2543</v>
      </c>
      <c r="Q583" s="57">
        <v>28000</v>
      </c>
      <c r="R583" s="58" t="s">
        <v>8</v>
      </c>
      <c r="S583" s="57" t="s">
        <v>8</v>
      </c>
      <c r="T583" s="56" t="s">
        <v>2394</v>
      </c>
    </row>
    <row r="584" spans="1:20">
      <c r="A584" s="55">
        <v>129500491858</v>
      </c>
      <c r="B584" s="53" t="s">
        <v>2386</v>
      </c>
      <c r="C584" s="54">
        <v>45941</v>
      </c>
      <c r="D584" s="55">
        <v>51492051991</v>
      </c>
      <c r="E584" s="55">
        <v>2092418296748</v>
      </c>
      <c r="F584" s="56" t="s">
        <v>2411</v>
      </c>
      <c r="G584" s="56" t="s">
        <v>2388</v>
      </c>
      <c r="H584" s="56" t="s">
        <v>8</v>
      </c>
      <c r="I584" s="55" t="s">
        <v>8</v>
      </c>
      <c r="J584" s="57">
        <v>733.32</v>
      </c>
      <c r="K584" s="56" t="s">
        <v>2389</v>
      </c>
      <c r="L584" s="56" t="s">
        <v>2390</v>
      </c>
      <c r="M584" s="55" t="s">
        <v>2391</v>
      </c>
      <c r="N584" s="56" t="s">
        <v>2392</v>
      </c>
      <c r="O584" s="53" t="s">
        <v>8</v>
      </c>
      <c r="P584" s="56" t="s">
        <v>2412</v>
      </c>
      <c r="Q584" s="57">
        <v>75600</v>
      </c>
      <c r="R584" s="58" t="s">
        <v>8</v>
      </c>
      <c r="S584" s="57" t="s">
        <v>8</v>
      </c>
      <c r="T584" s="56" t="s">
        <v>8</v>
      </c>
    </row>
    <row r="585" spans="1:20">
      <c r="A585" s="55">
        <v>128928139243</v>
      </c>
      <c r="B585" s="53" t="s">
        <v>2386</v>
      </c>
      <c r="C585" s="54">
        <v>45941</v>
      </c>
      <c r="D585" s="55">
        <v>51492094222</v>
      </c>
      <c r="E585" s="55">
        <v>2092351427791</v>
      </c>
      <c r="F585" s="56" t="s">
        <v>2387</v>
      </c>
      <c r="G585" s="56" t="s">
        <v>2388</v>
      </c>
      <c r="H585" s="56" t="s">
        <v>8</v>
      </c>
      <c r="I585" s="55" t="s">
        <v>8</v>
      </c>
      <c r="J585" s="57">
        <v>646.99</v>
      </c>
      <c r="K585" s="56" t="s">
        <v>2389</v>
      </c>
      <c r="L585" s="56" t="s">
        <v>2390</v>
      </c>
      <c r="M585" s="55" t="s">
        <v>2391</v>
      </c>
      <c r="N585" s="56" t="s">
        <v>2392</v>
      </c>
      <c r="O585" s="53" t="s">
        <v>8</v>
      </c>
      <c r="P585" s="56" t="s">
        <v>2574</v>
      </c>
      <c r="Q585" s="57">
        <v>66700</v>
      </c>
      <c r="R585" s="58" t="s">
        <v>8</v>
      </c>
      <c r="S585" s="57" t="s">
        <v>8</v>
      </c>
      <c r="T585" s="56" t="s">
        <v>2394</v>
      </c>
    </row>
    <row r="586" spans="1:20">
      <c r="A586" s="55">
        <v>128928251957</v>
      </c>
      <c r="B586" s="53" t="s">
        <v>2386</v>
      </c>
      <c r="C586" s="54">
        <v>45941</v>
      </c>
      <c r="D586" s="55">
        <v>51492206593</v>
      </c>
      <c r="E586" s="55">
        <v>2092352363087</v>
      </c>
      <c r="F586" s="56" t="s">
        <v>2387</v>
      </c>
      <c r="G586" s="56" t="s">
        <v>2388</v>
      </c>
      <c r="H586" s="56" t="s">
        <v>8</v>
      </c>
      <c r="I586" s="55" t="s">
        <v>8</v>
      </c>
      <c r="J586" s="57">
        <v>300.7</v>
      </c>
      <c r="K586" s="56" t="s">
        <v>2389</v>
      </c>
      <c r="L586" s="56" t="s">
        <v>2390</v>
      </c>
      <c r="M586" s="55" t="s">
        <v>2391</v>
      </c>
      <c r="N586" s="56" t="s">
        <v>2392</v>
      </c>
      <c r="O586" s="53" t="s">
        <v>8</v>
      </c>
      <c r="P586" s="56" t="s">
        <v>2575</v>
      </c>
      <c r="Q586" s="57">
        <v>31000</v>
      </c>
      <c r="R586" s="58" t="s">
        <v>8</v>
      </c>
      <c r="S586" s="57" t="s">
        <v>8</v>
      </c>
      <c r="T586" s="56" t="s">
        <v>2394</v>
      </c>
    </row>
    <row r="587" spans="1:20">
      <c r="A587" s="55">
        <v>129500767252</v>
      </c>
      <c r="B587" s="53" t="s">
        <v>2386</v>
      </c>
      <c r="C587" s="54">
        <v>45941</v>
      </c>
      <c r="D587" s="55">
        <v>51492236139</v>
      </c>
      <c r="E587" s="55">
        <v>2092352689295</v>
      </c>
      <c r="F587" s="56" t="s">
        <v>2401</v>
      </c>
      <c r="G587" s="56" t="s">
        <v>2388</v>
      </c>
      <c r="H587" s="56" t="s">
        <v>8</v>
      </c>
      <c r="I587" s="55" t="s">
        <v>8</v>
      </c>
      <c r="J587" s="57">
        <v>966.78</v>
      </c>
      <c r="K587" s="56" t="s">
        <v>2389</v>
      </c>
      <c r="L587" s="56" t="s">
        <v>2402</v>
      </c>
      <c r="M587" s="55" t="s">
        <v>2391</v>
      </c>
      <c r="N587" s="56" t="s">
        <v>2392</v>
      </c>
      <c r="O587" s="53" t="s">
        <v>2055</v>
      </c>
      <c r="P587" s="56" t="s">
        <v>2403</v>
      </c>
      <c r="Q587" s="57">
        <v>24600</v>
      </c>
      <c r="R587" s="58" t="s">
        <v>8</v>
      </c>
      <c r="S587" s="57" t="s">
        <v>8</v>
      </c>
      <c r="T587" s="56" t="s">
        <v>2394</v>
      </c>
    </row>
    <row r="588" spans="1:20">
      <c r="A588" s="55">
        <v>128928488341</v>
      </c>
      <c r="B588" s="53" t="s">
        <v>2386</v>
      </c>
      <c r="C588" s="54">
        <v>45941</v>
      </c>
      <c r="D588" s="55">
        <v>51492317217</v>
      </c>
      <c r="E588" s="55">
        <v>2092353444347</v>
      </c>
      <c r="F588" s="56" t="s">
        <v>2387</v>
      </c>
      <c r="G588" s="56" t="s">
        <v>2388</v>
      </c>
      <c r="H588" s="56" t="s">
        <v>8</v>
      </c>
      <c r="I588" s="55" t="s">
        <v>8</v>
      </c>
      <c r="J588" s="57">
        <v>1141.5</v>
      </c>
      <c r="K588" s="56" t="s">
        <v>2389</v>
      </c>
      <c r="L588" s="56" t="s">
        <v>2390</v>
      </c>
      <c r="M588" s="55" t="s">
        <v>2391</v>
      </c>
      <c r="N588" s="56" t="s">
        <v>2392</v>
      </c>
      <c r="O588" s="53" t="s">
        <v>8</v>
      </c>
      <c r="P588" s="56" t="s">
        <v>2576</v>
      </c>
      <c r="Q588" s="57">
        <v>15000</v>
      </c>
      <c r="R588" s="58" t="s">
        <v>8</v>
      </c>
      <c r="S588" s="57" t="s">
        <v>8</v>
      </c>
      <c r="T588" s="56" t="s">
        <v>2394</v>
      </c>
    </row>
    <row r="589" spans="1:20">
      <c r="A589" s="55">
        <v>129500923562</v>
      </c>
      <c r="B589" s="53" t="s">
        <v>2386</v>
      </c>
      <c r="C589" s="54">
        <v>45941</v>
      </c>
      <c r="D589" s="55">
        <v>51492330104</v>
      </c>
      <c r="E589" s="55">
        <v>2092421251602</v>
      </c>
      <c r="F589" s="56" t="s">
        <v>2387</v>
      </c>
      <c r="G589" s="56" t="s">
        <v>2388</v>
      </c>
      <c r="H589" s="56" t="s">
        <v>8</v>
      </c>
      <c r="I589" s="55" t="s">
        <v>8</v>
      </c>
      <c r="J589" s="57">
        <v>102.82</v>
      </c>
      <c r="K589" s="56" t="s">
        <v>2389</v>
      </c>
      <c r="L589" s="56" t="s">
        <v>2390</v>
      </c>
      <c r="M589" s="55" t="s">
        <v>2391</v>
      </c>
      <c r="N589" s="56" t="s">
        <v>2392</v>
      </c>
      <c r="O589" s="53" t="s">
        <v>8</v>
      </c>
      <c r="P589" s="56" t="s">
        <v>2577</v>
      </c>
      <c r="Q589" s="57">
        <v>10600</v>
      </c>
      <c r="R589" s="58" t="s">
        <v>8</v>
      </c>
      <c r="S589" s="57" t="s">
        <v>8</v>
      </c>
      <c r="T589" s="56" t="s">
        <v>2394</v>
      </c>
    </row>
    <row r="590" spans="1:20">
      <c r="A590" s="55">
        <v>129500992922</v>
      </c>
      <c r="B590" s="53" t="s">
        <v>2386</v>
      </c>
      <c r="C590" s="54">
        <v>45941</v>
      </c>
      <c r="D590" s="55">
        <v>51492337855</v>
      </c>
      <c r="E590" s="55">
        <v>2092421037552</v>
      </c>
      <c r="F590" s="56" t="s">
        <v>2387</v>
      </c>
      <c r="G590" s="56" t="s">
        <v>2388</v>
      </c>
      <c r="H590" s="56" t="s">
        <v>8</v>
      </c>
      <c r="I590" s="55" t="s">
        <v>8</v>
      </c>
      <c r="J590" s="57">
        <v>139.68</v>
      </c>
      <c r="K590" s="56" t="s">
        <v>2389</v>
      </c>
      <c r="L590" s="56" t="s">
        <v>2390</v>
      </c>
      <c r="M590" s="55" t="s">
        <v>2391</v>
      </c>
      <c r="N590" s="56" t="s">
        <v>2392</v>
      </c>
      <c r="O590" s="53" t="s">
        <v>8</v>
      </c>
      <c r="P590" s="56" t="s">
        <v>2578</v>
      </c>
      <c r="Q590" s="57">
        <v>14400</v>
      </c>
      <c r="R590" s="58" t="s">
        <v>8</v>
      </c>
      <c r="S590" s="57" t="s">
        <v>8</v>
      </c>
      <c r="T590" s="56" t="s">
        <v>2394</v>
      </c>
    </row>
    <row r="591" spans="1:20">
      <c r="A591" s="55">
        <v>129501096404</v>
      </c>
      <c r="B591" s="53" t="s">
        <v>2386</v>
      </c>
      <c r="C591" s="54">
        <v>45941</v>
      </c>
      <c r="D591" s="55">
        <v>51492367872</v>
      </c>
      <c r="E591" s="55">
        <v>2092354178211</v>
      </c>
      <c r="F591" s="56" t="s">
        <v>2387</v>
      </c>
      <c r="G591" s="56" t="s">
        <v>2388</v>
      </c>
      <c r="H591" s="56" t="s">
        <v>8</v>
      </c>
      <c r="I591" s="55" t="s">
        <v>8</v>
      </c>
      <c r="J591" s="57">
        <v>219.22</v>
      </c>
      <c r="K591" s="56" t="s">
        <v>2389</v>
      </c>
      <c r="L591" s="56" t="s">
        <v>2390</v>
      </c>
      <c r="M591" s="55" t="s">
        <v>2391</v>
      </c>
      <c r="N591" s="56" t="s">
        <v>2392</v>
      </c>
      <c r="O591" s="53" t="s">
        <v>8</v>
      </c>
      <c r="P591" s="56" t="s">
        <v>2579</v>
      </c>
      <c r="Q591" s="57">
        <v>22600</v>
      </c>
      <c r="R591" s="58" t="s">
        <v>8</v>
      </c>
      <c r="S591" s="57" t="s">
        <v>8</v>
      </c>
      <c r="T591" s="56" t="s">
        <v>2394</v>
      </c>
    </row>
    <row r="592" spans="1:20">
      <c r="A592" s="55">
        <v>128928561231</v>
      </c>
      <c r="B592" s="53" t="s">
        <v>2386</v>
      </c>
      <c r="C592" s="54">
        <v>45941</v>
      </c>
      <c r="D592" s="55">
        <v>51492425982</v>
      </c>
      <c r="E592" s="55">
        <v>2092354390355</v>
      </c>
      <c r="F592" s="56" t="s">
        <v>2387</v>
      </c>
      <c r="G592" s="56" t="s">
        <v>2388</v>
      </c>
      <c r="H592" s="56" t="s">
        <v>8</v>
      </c>
      <c r="I592" s="55" t="s">
        <v>8</v>
      </c>
      <c r="J592" s="57">
        <v>521.86</v>
      </c>
      <c r="K592" s="56" t="s">
        <v>2389</v>
      </c>
      <c r="L592" s="56" t="s">
        <v>2390</v>
      </c>
      <c r="M592" s="55" t="s">
        <v>2391</v>
      </c>
      <c r="N592" s="56" t="s">
        <v>2392</v>
      </c>
      <c r="O592" s="53" t="s">
        <v>8</v>
      </c>
      <c r="P592" s="56" t="s">
        <v>2580</v>
      </c>
      <c r="Q592" s="57">
        <v>53800</v>
      </c>
      <c r="R592" s="58" t="s">
        <v>8</v>
      </c>
      <c r="S592" s="57" t="s">
        <v>8</v>
      </c>
      <c r="T592" s="56" t="s">
        <v>2394</v>
      </c>
    </row>
    <row r="593" spans="1:20">
      <c r="A593" s="55">
        <v>129586128048</v>
      </c>
      <c r="B593" s="53" t="s">
        <v>2386</v>
      </c>
      <c r="C593" s="54">
        <v>45941</v>
      </c>
      <c r="D593" s="55">
        <v>51527192065</v>
      </c>
      <c r="E593" s="55">
        <v>2092871909879</v>
      </c>
      <c r="F593" s="56" t="s">
        <v>2387</v>
      </c>
      <c r="G593" s="56" t="s">
        <v>2388</v>
      </c>
      <c r="H593" s="56" t="s">
        <v>8</v>
      </c>
      <c r="I593" s="55" t="s">
        <v>8</v>
      </c>
      <c r="J593" s="57">
        <v>112.52</v>
      </c>
      <c r="K593" s="56" t="s">
        <v>2389</v>
      </c>
      <c r="L593" s="56" t="s">
        <v>2390</v>
      </c>
      <c r="M593" s="55" t="s">
        <v>2391</v>
      </c>
      <c r="N593" s="56" t="s">
        <v>2392</v>
      </c>
      <c r="O593" s="53" t="s">
        <v>8</v>
      </c>
      <c r="P593" s="56" t="s">
        <v>2581</v>
      </c>
      <c r="Q593" s="57">
        <v>11600</v>
      </c>
      <c r="R593" s="58" t="s">
        <v>8</v>
      </c>
      <c r="S593" s="57" t="s">
        <v>8</v>
      </c>
      <c r="T593" s="56" t="s">
        <v>2394</v>
      </c>
    </row>
    <row r="594" spans="1:20">
      <c r="A594" s="55">
        <v>129017128399</v>
      </c>
      <c r="B594" s="53" t="s">
        <v>2386</v>
      </c>
      <c r="C594" s="54">
        <v>45941</v>
      </c>
      <c r="D594" s="55">
        <v>51528554810</v>
      </c>
      <c r="E594" s="55">
        <v>2092894505615</v>
      </c>
      <c r="F594" s="56" t="s">
        <v>2387</v>
      </c>
      <c r="G594" s="56" t="s">
        <v>2388</v>
      </c>
      <c r="H594" s="56" t="s">
        <v>8</v>
      </c>
      <c r="I594" s="55" t="s">
        <v>8</v>
      </c>
      <c r="J594" s="57">
        <v>93.12</v>
      </c>
      <c r="K594" s="56" t="s">
        <v>2389</v>
      </c>
      <c r="L594" s="56" t="s">
        <v>2390</v>
      </c>
      <c r="M594" s="55" t="s">
        <v>2391</v>
      </c>
      <c r="N594" s="56" t="s">
        <v>2392</v>
      </c>
      <c r="O594" s="53" t="s">
        <v>8</v>
      </c>
      <c r="P594" s="56" t="s">
        <v>2582</v>
      </c>
      <c r="Q594" s="57">
        <v>9600</v>
      </c>
      <c r="R594" s="58" t="s">
        <v>8</v>
      </c>
      <c r="S594" s="57" t="s">
        <v>8</v>
      </c>
      <c r="T594" s="56" t="s">
        <v>2394</v>
      </c>
    </row>
    <row r="595" spans="1:20">
      <c r="A595" s="55">
        <v>129018427613</v>
      </c>
      <c r="B595" s="53" t="s">
        <v>2386</v>
      </c>
      <c r="C595" s="54">
        <v>45941</v>
      </c>
      <c r="D595" s="55">
        <v>51529094013</v>
      </c>
      <c r="E595" s="55">
        <v>2092903712939</v>
      </c>
      <c r="F595" s="56" t="s">
        <v>2401</v>
      </c>
      <c r="G595" s="56" t="s">
        <v>2388</v>
      </c>
      <c r="H595" s="56" t="s">
        <v>8</v>
      </c>
      <c r="I595" s="55" t="s">
        <v>8</v>
      </c>
      <c r="J595" s="57">
        <v>381.21</v>
      </c>
      <c r="K595" s="56" t="s">
        <v>2389</v>
      </c>
      <c r="L595" s="56" t="s">
        <v>2402</v>
      </c>
      <c r="M595" s="55" t="s">
        <v>2391</v>
      </c>
      <c r="N595" s="56" t="s">
        <v>2392</v>
      </c>
      <c r="O595" s="53" t="s">
        <v>2055</v>
      </c>
      <c r="P595" s="56" t="s">
        <v>2403</v>
      </c>
      <c r="Q595" s="57">
        <v>9700</v>
      </c>
      <c r="R595" s="58" t="s">
        <v>8</v>
      </c>
      <c r="S595" s="57" t="s">
        <v>8</v>
      </c>
      <c r="T595" s="56" t="s">
        <v>2394</v>
      </c>
    </row>
    <row r="596" spans="1:20">
      <c r="A596" s="55">
        <v>129592679060</v>
      </c>
      <c r="B596" s="53" t="s">
        <v>2386</v>
      </c>
      <c r="C596" s="54">
        <v>45941</v>
      </c>
      <c r="D596" s="55">
        <v>51529584758</v>
      </c>
      <c r="E596" s="55">
        <v>2092979528218</v>
      </c>
      <c r="F596" s="56" t="s">
        <v>2411</v>
      </c>
      <c r="G596" s="56" t="s">
        <v>2388</v>
      </c>
      <c r="H596" s="56" t="s">
        <v>8</v>
      </c>
      <c r="I596" s="55" t="s">
        <v>8</v>
      </c>
      <c r="J596" s="57">
        <v>46.56</v>
      </c>
      <c r="K596" s="56" t="s">
        <v>2389</v>
      </c>
      <c r="L596" s="56" t="s">
        <v>2390</v>
      </c>
      <c r="M596" s="55" t="s">
        <v>2391</v>
      </c>
      <c r="N596" s="56" t="s">
        <v>2392</v>
      </c>
      <c r="O596" s="53" t="s">
        <v>8</v>
      </c>
      <c r="P596" s="56" t="s">
        <v>2412</v>
      </c>
      <c r="Q596" s="57">
        <v>4800</v>
      </c>
      <c r="R596" s="58" t="s">
        <v>8</v>
      </c>
      <c r="S596" s="57" t="s">
        <v>8</v>
      </c>
      <c r="T596" s="56" t="s">
        <v>8</v>
      </c>
    </row>
    <row r="597" spans="1:20">
      <c r="A597" s="55">
        <v>129593690834</v>
      </c>
      <c r="B597" s="53" t="s">
        <v>2386</v>
      </c>
      <c r="C597" s="54">
        <v>45941</v>
      </c>
      <c r="D597" s="55">
        <v>51529889537</v>
      </c>
      <c r="E597" s="55">
        <v>2092917133833</v>
      </c>
      <c r="F597" s="56" t="s">
        <v>2401</v>
      </c>
      <c r="G597" s="56" t="s">
        <v>2388</v>
      </c>
      <c r="H597" s="56" t="s">
        <v>8</v>
      </c>
      <c r="I597" s="55" t="s">
        <v>8</v>
      </c>
      <c r="J597" s="57">
        <v>738.17</v>
      </c>
      <c r="K597" s="56" t="s">
        <v>2389</v>
      </c>
      <c r="L597" s="56" t="s">
        <v>2402</v>
      </c>
      <c r="M597" s="55" t="s">
        <v>2391</v>
      </c>
      <c r="N597" s="56" t="s">
        <v>2392</v>
      </c>
      <c r="O597" s="53" t="s">
        <v>2055</v>
      </c>
      <c r="P597" s="56" t="s">
        <v>2403</v>
      </c>
      <c r="Q597" s="57">
        <v>9700</v>
      </c>
      <c r="R597" s="58" t="s">
        <v>8</v>
      </c>
      <c r="S597" s="57" t="s">
        <v>8</v>
      </c>
      <c r="T597" s="56" t="s">
        <v>2394</v>
      </c>
    </row>
    <row r="598" spans="1:20">
      <c r="A598" s="55">
        <v>129594827970</v>
      </c>
      <c r="B598" s="53" t="s">
        <v>2386</v>
      </c>
      <c r="C598" s="54">
        <v>45941</v>
      </c>
      <c r="D598" s="55">
        <v>51530302492</v>
      </c>
      <c r="E598" s="55">
        <v>2092924547173</v>
      </c>
      <c r="F598" s="56" t="s">
        <v>2387</v>
      </c>
      <c r="G598" s="56" t="s">
        <v>2388</v>
      </c>
      <c r="H598" s="56" t="s">
        <v>8</v>
      </c>
      <c r="I598" s="55" t="s">
        <v>8</v>
      </c>
      <c r="J598" s="57">
        <v>210.49</v>
      </c>
      <c r="K598" s="56" t="s">
        <v>2389</v>
      </c>
      <c r="L598" s="56" t="s">
        <v>2390</v>
      </c>
      <c r="M598" s="55" t="s">
        <v>2391</v>
      </c>
      <c r="N598" s="56" t="s">
        <v>2392</v>
      </c>
      <c r="O598" s="53" t="s">
        <v>8</v>
      </c>
      <c r="P598" s="56" t="s">
        <v>2583</v>
      </c>
      <c r="Q598" s="57">
        <v>21700</v>
      </c>
      <c r="R598" s="58" t="s">
        <v>8</v>
      </c>
      <c r="S598" s="57" t="s">
        <v>8</v>
      </c>
      <c r="T598" s="56" t="s">
        <v>2394</v>
      </c>
    </row>
    <row r="599" spans="1:20">
      <c r="A599" s="55">
        <v>129022677169</v>
      </c>
      <c r="B599" s="53" t="s">
        <v>2386</v>
      </c>
      <c r="C599" s="54">
        <v>45941</v>
      </c>
      <c r="D599" s="55">
        <v>51530575232</v>
      </c>
      <c r="E599" s="55">
        <v>2092996748062</v>
      </c>
      <c r="F599" s="56" t="s">
        <v>2387</v>
      </c>
      <c r="G599" s="56" t="s">
        <v>2388</v>
      </c>
      <c r="H599" s="56" t="s">
        <v>8</v>
      </c>
      <c r="I599" s="55" t="s">
        <v>8</v>
      </c>
      <c r="J599" s="57">
        <v>186.24</v>
      </c>
      <c r="K599" s="56" t="s">
        <v>2389</v>
      </c>
      <c r="L599" s="56" t="s">
        <v>2390</v>
      </c>
      <c r="M599" s="55" t="s">
        <v>2391</v>
      </c>
      <c r="N599" s="56" t="s">
        <v>2392</v>
      </c>
      <c r="O599" s="53" t="s">
        <v>8</v>
      </c>
      <c r="P599" s="56" t="s">
        <v>2581</v>
      </c>
      <c r="Q599" s="57">
        <v>19200</v>
      </c>
      <c r="R599" s="58" t="s">
        <v>8</v>
      </c>
      <c r="S599" s="57" t="s">
        <v>8</v>
      </c>
      <c r="T599" s="56" t="s">
        <v>2394</v>
      </c>
    </row>
    <row r="600" spans="1:20">
      <c r="A600" s="55">
        <v>129023931579</v>
      </c>
      <c r="B600" s="53" t="s">
        <v>2386</v>
      </c>
      <c r="C600" s="54">
        <v>45941</v>
      </c>
      <c r="D600" s="55">
        <v>51531065126</v>
      </c>
      <c r="E600" s="55">
        <v>2092936914195</v>
      </c>
      <c r="F600" s="56" t="s">
        <v>2401</v>
      </c>
      <c r="G600" s="56" t="s">
        <v>2388</v>
      </c>
      <c r="H600" s="56" t="s">
        <v>8</v>
      </c>
      <c r="I600" s="55" t="s">
        <v>8</v>
      </c>
      <c r="J600" s="57">
        <v>385.14</v>
      </c>
      <c r="K600" s="56" t="s">
        <v>2389</v>
      </c>
      <c r="L600" s="56" t="s">
        <v>2402</v>
      </c>
      <c r="M600" s="55" t="s">
        <v>2391</v>
      </c>
      <c r="N600" s="56" t="s">
        <v>2392</v>
      </c>
      <c r="O600" s="53" t="s">
        <v>2055</v>
      </c>
      <c r="P600" s="56" t="s">
        <v>2403</v>
      </c>
      <c r="Q600" s="57">
        <v>9800</v>
      </c>
      <c r="R600" s="58" t="s">
        <v>8</v>
      </c>
      <c r="S600" s="57" t="s">
        <v>8</v>
      </c>
      <c r="T600" s="56" t="s">
        <v>2394</v>
      </c>
    </row>
    <row r="601" spans="1:20">
      <c r="A601" s="55">
        <v>129596975966</v>
      </c>
      <c r="B601" s="53" t="s">
        <v>2386</v>
      </c>
      <c r="C601" s="54">
        <v>45941</v>
      </c>
      <c r="D601" s="55">
        <v>51531106479</v>
      </c>
      <c r="E601" s="55">
        <v>2093005449014</v>
      </c>
      <c r="F601" s="56" t="s">
        <v>2401</v>
      </c>
      <c r="G601" s="56" t="s">
        <v>2388</v>
      </c>
      <c r="H601" s="56" t="s">
        <v>8</v>
      </c>
      <c r="I601" s="55" t="s">
        <v>8</v>
      </c>
      <c r="J601" s="57">
        <v>1505.19</v>
      </c>
      <c r="K601" s="56" t="s">
        <v>2389</v>
      </c>
      <c r="L601" s="56" t="s">
        <v>2402</v>
      </c>
      <c r="M601" s="55" t="s">
        <v>2391</v>
      </c>
      <c r="N601" s="56" t="s">
        <v>2392</v>
      </c>
      <c r="O601" s="53" t="s">
        <v>2055</v>
      </c>
      <c r="P601" s="56" t="s">
        <v>2403</v>
      </c>
      <c r="Q601" s="57">
        <v>38300</v>
      </c>
      <c r="R601" s="58" t="s">
        <v>8</v>
      </c>
      <c r="S601" s="57" t="s">
        <v>8</v>
      </c>
      <c r="T601" s="56" t="s">
        <v>2394</v>
      </c>
    </row>
    <row r="602" spans="1:20">
      <c r="A602" s="55">
        <v>129024231633</v>
      </c>
      <c r="B602" s="53" t="s">
        <v>2386</v>
      </c>
      <c r="C602" s="54">
        <v>45941</v>
      </c>
      <c r="D602" s="55">
        <v>51531174113</v>
      </c>
      <c r="E602" s="55">
        <v>2093006978194</v>
      </c>
      <c r="F602" s="56" t="s">
        <v>2401</v>
      </c>
      <c r="G602" s="56" t="s">
        <v>2388</v>
      </c>
      <c r="H602" s="56" t="s">
        <v>8</v>
      </c>
      <c r="I602" s="55" t="s">
        <v>8</v>
      </c>
      <c r="J602" s="57">
        <v>231.87</v>
      </c>
      <c r="K602" s="56" t="s">
        <v>2389</v>
      </c>
      <c r="L602" s="56" t="s">
        <v>2402</v>
      </c>
      <c r="M602" s="55" t="s">
        <v>2391</v>
      </c>
      <c r="N602" s="56" t="s">
        <v>2392</v>
      </c>
      <c r="O602" s="53" t="s">
        <v>2055</v>
      </c>
      <c r="P602" s="56" t="s">
        <v>2403</v>
      </c>
      <c r="Q602" s="57">
        <v>5900</v>
      </c>
      <c r="R602" s="58" t="s">
        <v>8</v>
      </c>
      <c r="S602" s="57" t="s">
        <v>8</v>
      </c>
      <c r="T602" s="56" t="s">
        <v>2394</v>
      </c>
    </row>
    <row r="603" spans="1:20">
      <c r="A603" s="55">
        <v>129024994181</v>
      </c>
      <c r="B603" s="53" t="s">
        <v>2386</v>
      </c>
      <c r="C603" s="54">
        <v>45941</v>
      </c>
      <c r="D603" s="55">
        <v>51531389710</v>
      </c>
      <c r="E603" s="55">
        <v>2093010737112</v>
      </c>
      <c r="F603" s="56" t="s">
        <v>2401</v>
      </c>
      <c r="G603" s="56" t="s">
        <v>2388</v>
      </c>
      <c r="H603" s="56" t="s">
        <v>8</v>
      </c>
      <c r="I603" s="55" t="s">
        <v>8</v>
      </c>
      <c r="J603" s="57">
        <v>2419.98</v>
      </c>
      <c r="K603" s="56" t="s">
        <v>2389</v>
      </c>
      <c r="L603" s="56" t="s">
        <v>2402</v>
      </c>
      <c r="M603" s="55" t="s">
        <v>2391</v>
      </c>
      <c r="N603" s="56" t="s">
        <v>2392</v>
      </c>
      <c r="O603" s="53" t="s">
        <v>2055</v>
      </c>
      <c r="P603" s="56" t="s">
        <v>2403</v>
      </c>
      <c r="Q603" s="57">
        <v>31800</v>
      </c>
      <c r="R603" s="58" t="s">
        <v>8</v>
      </c>
      <c r="S603" s="57" t="s">
        <v>8</v>
      </c>
      <c r="T603" s="56" t="s">
        <v>2394</v>
      </c>
    </row>
    <row r="604" spans="1:20">
      <c r="A604" s="55">
        <v>129598052900</v>
      </c>
      <c r="B604" s="53" t="s">
        <v>2386</v>
      </c>
      <c r="C604" s="54">
        <v>45941</v>
      </c>
      <c r="D604" s="55">
        <v>51531461639</v>
      </c>
      <c r="E604" s="55">
        <v>2093011785990</v>
      </c>
      <c r="F604" s="56" t="s">
        <v>2475</v>
      </c>
      <c r="G604" s="56" t="s">
        <v>2388</v>
      </c>
      <c r="H604" s="56" t="s">
        <v>8</v>
      </c>
      <c r="I604" s="55" t="s">
        <v>8</v>
      </c>
      <c r="J604" s="57">
        <v>2275.39</v>
      </c>
      <c r="K604" s="56" t="s">
        <v>2389</v>
      </c>
      <c r="L604" s="56" t="s">
        <v>2390</v>
      </c>
      <c r="M604" s="55" t="s">
        <v>2391</v>
      </c>
      <c r="N604" s="56" t="s">
        <v>2392</v>
      </c>
      <c r="O604" s="53" t="s">
        <v>8</v>
      </c>
      <c r="P604" s="56" t="s">
        <v>2477</v>
      </c>
      <c r="Q604" s="57">
        <v>29900</v>
      </c>
      <c r="R604" s="58" t="s">
        <v>8</v>
      </c>
      <c r="S604" s="57" t="s">
        <v>8</v>
      </c>
      <c r="T604" s="56" t="s">
        <v>2394</v>
      </c>
    </row>
    <row r="605" spans="1:20">
      <c r="A605" s="55">
        <v>129025880623</v>
      </c>
      <c r="B605" s="53" t="s">
        <v>2386</v>
      </c>
      <c r="C605" s="54">
        <v>45941</v>
      </c>
      <c r="D605" s="55">
        <v>51531711867</v>
      </c>
      <c r="E605" s="55">
        <v>2092948125325</v>
      </c>
      <c r="F605" s="56" t="s">
        <v>2401</v>
      </c>
      <c r="G605" s="56" t="s">
        <v>2388</v>
      </c>
      <c r="H605" s="56" t="s">
        <v>8</v>
      </c>
      <c r="I605" s="55" t="s">
        <v>8</v>
      </c>
      <c r="J605" s="57">
        <v>314.39999999999998</v>
      </c>
      <c r="K605" s="56" t="s">
        <v>2389</v>
      </c>
      <c r="L605" s="56" t="s">
        <v>2402</v>
      </c>
      <c r="M605" s="55" t="s">
        <v>2391</v>
      </c>
      <c r="N605" s="56" t="s">
        <v>2392</v>
      </c>
      <c r="O605" s="53" t="s">
        <v>2055</v>
      </c>
      <c r="P605" s="56" t="s">
        <v>2403</v>
      </c>
      <c r="Q605" s="57">
        <v>8000</v>
      </c>
      <c r="R605" s="58" t="s">
        <v>8</v>
      </c>
      <c r="S605" s="57" t="s">
        <v>8</v>
      </c>
      <c r="T605" s="56" t="s">
        <v>2394</v>
      </c>
    </row>
    <row r="606" spans="1:20">
      <c r="A606" s="55">
        <v>129025992691</v>
      </c>
      <c r="B606" s="53" t="s">
        <v>2386</v>
      </c>
      <c r="C606" s="54">
        <v>45941</v>
      </c>
      <c r="D606" s="55">
        <v>51531751638</v>
      </c>
      <c r="E606" s="55">
        <v>2093016450614</v>
      </c>
      <c r="F606" s="56" t="s">
        <v>2387</v>
      </c>
      <c r="G606" s="56" t="s">
        <v>2388</v>
      </c>
      <c r="H606" s="56" t="s">
        <v>8</v>
      </c>
      <c r="I606" s="55" t="s">
        <v>8</v>
      </c>
      <c r="J606" s="57">
        <v>736.23</v>
      </c>
      <c r="K606" s="56" t="s">
        <v>2389</v>
      </c>
      <c r="L606" s="56" t="s">
        <v>2390</v>
      </c>
      <c r="M606" s="55" t="s">
        <v>2391</v>
      </c>
      <c r="N606" s="56" t="s">
        <v>2392</v>
      </c>
      <c r="O606" s="53" t="s">
        <v>8</v>
      </c>
      <c r="P606" s="56" t="s">
        <v>2584</v>
      </c>
      <c r="Q606" s="57">
        <v>75900</v>
      </c>
      <c r="R606" s="58" t="s">
        <v>8</v>
      </c>
      <c r="S606" s="57" t="s">
        <v>8</v>
      </c>
      <c r="T606" s="56" t="s">
        <v>2394</v>
      </c>
    </row>
    <row r="607" spans="1:20">
      <c r="A607" s="55">
        <v>129599378422</v>
      </c>
      <c r="B607" s="53" t="s">
        <v>2386</v>
      </c>
      <c r="C607" s="54">
        <v>45941</v>
      </c>
      <c r="D607" s="55">
        <v>51531928607</v>
      </c>
      <c r="E607" s="55">
        <v>2092951830217</v>
      </c>
      <c r="F607" s="56" t="s">
        <v>2387</v>
      </c>
      <c r="G607" s="56" t="s">
        <v>2388</v>
      </c>
      <c r="H607" s="56" t="s">
        <v>8</v>
      </c>
      <c r="I607" s="55" t="s">
        <v>8</v>
      </c>
      <c r="J607" s="57">
        <v>6164.1</v>
      </c>
      <c r="K607" s="56" t="s">
        <v>2389</v>
      </c>
      <c r="L607" s="56" t="s">
        <v>2390</v>
      </c>
      <c r="M607" s="55" t="s">
        <v>2391</v>
      </c>
      <c r="N607" s="56" t="s">
        <v>2392</v>
      </c>
      <c r="O607" s="53" t="s">
        <v>8</v>
      </c>
      <c r="P607" s="56" t="s">
        <v>2585</v>
      </c>
      <c r="Q607" s="57">
        <v>81000</v>
      </c>
      <c r="R607" s="58" t="s">
        <v>8</v>
      </c>
      <c r="S607" s="57" t="s">
        <v>8</v>
      </c>
      <c r="T607" s="56" t="s">
        <v>2394</v>
      </c>
    </row>
    <row r="608" spans="1:20">
      <c r="A608" s="55">
        <v>129599307758</v>
      </c>
      <c r="B608" s="53" t="s">
        <v>2386</v>
      </c>
      <c r="C608" s="54">
        <v>45941</v>
      </c>
      <c r="D608" s="55">
        <v>51531934200</v>
      </c>
      <c r="E608" s="55">
        <v>2093019842646</v>
      </c>
      <c r="F608" s="56" t="s">
        <v>2387</v>
      </c>
      <c r="G608" s="56" t="s">
        <v>2388</v>
      </c>
      <c r="H608" s="56" t="s">
        <v>8</v>
      </c>
      <c r="I608" s="55" t="s">
        <v>8</v>
      </c>
      <c r="J608" s="57">
        <v>331.74</v>
      </c>
      <c r="K608" s="56" t="s">
        <v>2389</v>
      </c>
      <c r="L608" s="56" t="s">
        <v>2390</v>
      </c>
      <c r="M608" s="55" t="s">
        <v>2391</v>
      </c>
      <c r="N608" s="56" t="s">
        <v>2392</v>
      </c>
      <c r="O608" s="53" t="s">
        <v>8</v>
      </c>
      <c r="P608" s="56" t="s">
        <v>2586</v>
      </c>
      <c r="Q608" s="57">
        <v>34200</v>
      </c>
      <c r="R608" s="58" t="s">
        <v>8</v>
      </c>
      <c r="S608" s="57" t="s">
        <v>8</v>
      </c>
      <c r="T608" s="56" t="s">
        <v>2394</v>
      </c>
    </row>
    <row r="609" spans="1:20">
      <c r="A609" s="55">
        <v>129026897081</v>
      </c>
      <c r="B609" s="53" t="s">
        <v>2386</v>
      </c>
      <c r="C609" s="54">
        <v>45941</v>
      </c>
      <c r="D609" s="55">
        <v>51532090638</v>
      </c>
      <c r="E609" s="55">
        <v>2092954572321</v>
      </c>
      <c r="F609" s="56" t="s">
        <v>2387</v>
      </c>
      <c r="G609" s="56" t="s">
        <v>2388</v>
      </c>
      <c r="H609" s="56" t="s">
        <v>8</v>
      </c>
      <c r="I609" s="55" t="s">
        <v>8</v>
      </c>
      <c r="J609" s="57">
        <v>211.46</v>
      </c>
      <c r="K609" s="56" t="s">
        <v>2389</v>
      </c>
      <c r="L609" s="56" t="s">
        <v>2390</v>
      </c>
      <c r="M609" s="55" t="s">
        <v>2391</v>
      </c>
      <c r="N609" s="56" t="s">
        <v>2392</v>
      </c>
      <c r="O609" s="53" t="s">
        <v>8</v>
      </c>
      <c r="P609" s="56" t="s">
        <v>2587</v>
      </c>
      <c r="Q609" s="57">
        <v>21800</v>
      </c>
      <c r="R609" s="58" t="s">
        <v>8</v>
      </c>
      <c r="S609" s="57" t="s">
        <v>8</v>
      </c>
      <c r="T609" s="56" t="s">
        <v>2394</v>
      </c>
    </row>
    <row r="610" spans="1:20">
      <c r="A610" s="55">
        <v>129027124435</v>
      </c>
      <c r="B610" s="53" t="s">
        <v>2386</v>
      </c>
      <c r="C610" s="54">
        <v>45941</v>
      </c>
      <c r="D610" s="55">
        <v>51532171630</v>
      </c>
      <c r="E610" s="55">
        <v>2092956157399</v>
      </c>
      <c r="F610" s="56" t="s">
        <v>2401</v>
      </c>
      <c r="G610" s="56" t="s">
        <v>2388</v>
      </c>
      <c r="H610" s="56" t="s">
        <v>8</v>
      </c>
      <c r="I610" s="55" t="s">
        <v>8</v>
      </c>
      <c r="J610" s="57">
        <v>573.78</v>
      </c>
      <c r="K610" s="56" t="s">
        <v>2389</v>
      </c>
      <c r="L610" s="56" t="s">
        <v>2402</v>
      </c>
      <c r="M610" s="55" t="s">
        <v>2391</v>
      </c>
      <c r="N610" s="56" t="s">
        <v>2392</v>
      </c>
      <c r="O610" s="53" t="s">
        <v>2055</v>
      </c>
      <c r="P610" s="56" t="s">
        <v>2403</v>
      </c>
      <c r="Q610" s="57">
        <v>14600</v>
      </c>
      <c r="R610" s="58" t="s">
        <v>8</v>
      </c>
      <c r="S610" s="57" t="s">
        <v>8</v>
      </c>
      <c r="T610" s="56" t="s">
        <v>2394</v>
      </c>
    </row>
    <row r="611" spans="1:20">
      <c r="A611" s="55">
        <v>129601578702</v>
      </c>
      <c r="B611" s="53" t="s">
        <v>2386</v>
      </c>
      <c r="C611" s="54">
        <v>45941</v>
      </c>
      <c r="D611" s="55">
        <v>51532723943</v>
      </c>
      <c r="E611" s="55">
        <v>2093033233276</v>
      </c>
      <c r="F611" s="56" t="s">
        <v>2411</v>
      </c>
      <c r="G611" s="56" t="s">
        <v>2388</v>
      </c>
      <c r="H611" s="56" t="s">
        <v>8</v>
      </c>
      <c r="I611" s="55" t="s">
        <v>8</v>
      </c>
      <c r="J611" s="57">
        <v>93.12</v>
      </c>
      <c r="K611" s="56" t="s">
        <v>2389</v>
      </c>
      <c r="L611" s="56" t="s">
        <v>2390</v>
      </c>
      <c r="M611" s="55" t="s">
        <v>2391</v>
      </c>
      <c r="N611" s="56" t="s">
        <v>2392</v>
      </c>
      <c r="O611" s="53" t="s">
        <v>8</v>
      </c>
      <c r="P611" s="56" t="s">
        <v>2412</v>
      </c>
      <c r="Q611" s="57">
        <v>9600</v>
      </c>
      <c r="R611" s="58" t="s">
        <v>8</v>
      </c>
      <c r="S611" s="57" t="s">
        <v>8</v>
      </c>
      <c r="T611" s="56" t="s">
        <v>8</v>
      </c>
    </row>
    <row r="612" spans="1:20">
      <c r="A612" s="55">
        <v>129028884505</v>
      </c>
      <c r="B612" s="53" t="s">
        <v>2386</v>
      </c>
      <c r="C612" s="54">
        <v>45941</v>
      </c>
      <c r="D612" s="55">
        <v>51532778181</v>
      </c>
      <c r="E612" s="55">
        <v>2092966255535</v>
      </c>
      <c r="F612" s="56" t="s">
        <v>2401</v>
      </c>
      <c r="G612" s="56" t="s">
        <v>2388</v>
      </c>
      <c r="H612" s="56" t="s">
        <v>8</v>
      </c>
      <c r="I612" s="55" t="s">
        <v>8</v>
      </c>
      <c r="J612" s="57">
        <v>377.28</v>
      </c>
      <c r="K612" s="56" t="s">
        <v>2389</v>
      </c>
      <c r="L612" s="56" t="s">
        <v>2402</v>
      </c>
      <c r="M612" s="55" t="s">
        <v>2391</v>
      </c>
      <c r="N612" s="56" t="s">
        <v>2392</v>
      </c>
      <c r="O612" s="53" t="s">
        <v>2055</v>
      </c>
      <c r="P612" s="56" t="s">
        <v>2403</v>
      </c>
      <c r="Q612" s="57">
        <v>9600</v>
      </c>
      <c r="R612" s="58" t="s">
        <v>8</v>
      </c>
      <c r="S612" s="57" t="s">
        <v>8</v>
      </c>
      <c r="T612" s="56" t="s">
        <v>2394</v>
      </c>
    </row>
    <row r="613" spans="1:20">
      <c r="A613" s="55">
        <v>129029037517</v>
      </c>
      <c r="B613" s="53" t="s">
        <v>2386</v>
      </c>
      <c r="C613" s="54">
        <v>45941</v>
      </c>
      <c r="D613" s="55">
        <v>51532859626</v>
      </c>
      <c r="E613" s="55">
        <v>2092967342851</v>
      </c>
      <c r="F613" s="56" t="s">
        <v>2387</v>
      </c>
      <c r="G613" s="56" t="s">
        <v>2388</v>
      </c>
      <c r="H613" s="56" t="s">
        <v>8</v>
      </c>
      <c r="I613" s="55" t="s">
        <v>8</v>
      </c>
      <c r="J613" s="57">
        <v>200.79</v>
      </c>
      <c r="K613" s="56" t="s">
        <v>2389</v>
      </c>
      <c r="L613" s="56" t="s">
        <v>2390</v>
      </c>
      <c r="M613" s="55" t="s">
        <v>2391</v>
      </c>
      <c r="N613" s="56" t="s">
        <v>2392</v>
      </c>
      <c r="O613" s="53" t="s">
        <v>8</v>
      </c>
      <c r="P613" s="56" t="s">
        <v>2588</v>
      </c>
      <c r="Q613" s="57">
        <v>20700</v>
      </c>
      <c r="R613" s="58" t="s">
        <v>8</v>
      </c>
      <c r="S613" s="57" t="s">
        <v>8</v>
      </c>
      <c r="T613" s="56" t="s">
        <v>2394</v>
      </c>
    </row>
    <row r="614" spans="1:20">
      <c r="A614" s="55">
        <v>129602058662</v>
      </c>
      <c r="B614" s="53" t="s">
        <v>2386</v>
      </c>
      <c r="C614" s="54">
        <v>45941</v>
      </c>
      <c r="D614" s="55">
        <v>51532889237</v>
      </c>
      <c r="E614" s="55">
        <v>2092968168093</v>
      </c>
      <c r="F614" s="56" t="s">
        <v>2387</v>
      </c>
      <c r="G614" s="56" t="s">
        <v>2388</v>
      </c>
      <c r="H614" s="56" t="s">
        <v>8</v>
      </c>
      <c r="I614" s="55" t="s">
        <v>8</v>
      </c>
      <c r="J614" s="57">
        <v>120.28</v>
      </c>
      <c r="K614" s="56" t="s">
        <v>2389</v>
      </c>
      <c r="L614" s="56" t="s">
        <v>2390</v>
      </c>
      <c r="M614" s="55" t="s">
        <v>2391</v>
      </c>
      <c r="N614" s="56" t="s">
        <v>2392</v>
      </c>
      <c r="O614" s="53" t="s">
        <v>8</v>
      </c>
      <c r="P614" s="56" t="s">
        <v>2589</v>
      </c>
      <c r="Q614" s="57">
        <v>12400</v>
      </c>
      <c r="R614" s="58" t="s">
        <v>8</v>
      </c>
      <c r="S614" s="57" t="s">
        <v>8</v>
      </c>
      <c r="T614" s="56" t="s">
        <v>2394</v>
      </c>
    </row>
    <row r="615" spans="1:20">
      <c r="A615" s="55">
        <v>129029166013</v>
      </c>
      <c r="B615" s="53" t="s">
        <v>2386</v>
      </c>
      <c r="C615" s="54">
        <v>45941</v>
      </c>
      <c r="D615" s="55">
        <v>51532919445</v>
      </c>
      <c r="E615" s="55">
        <v>2092968521153</v>
      </c>
      <c r="F615" s="56" t="s">
        <v>2387</v>
      </c>
      <c r="G615" s="56" t="s">
        <v>2388</v>
      </c>
      <c r="H615" s="56" t="s">
        <v>8</v>
      </c>
      <c r="I615" s="55" t="s">
        <v>8</v>
      </c>
      <c r="J615" s="57">
        <v>93.12</v>
      </c>
      <c r="K615" s="56" t="s">
        <v>2389</v>
      </c>
      <c r="L615" s="56" t="s">
        <v>2390</v>
      </c>
      <c r="M615" s="55" t="s">
        <v>2391</v>
      </c>
      <c r="N615" s="56" t="s">
        <v>2392</v>
      </c>
      <c r="O615" s="53" t="s">
        <v>8</v>
      </c>
      <c r="P615" s="56" t="s">
        <v>2590</v>
      </c>
      <c r="Q615" s="57">
        <v>9600</v>
      </c>
      <c r="R615" s="58" t="s">
        <v>8</v>
      </c>
      <c r="S615" s="57" t="s">
        <v>8</v>
      </c>
      <c r="T615" s="56" t="s">
        <v>2394</v>
      </c>
    </row>
    <row r="616" spans="1:20">
      <c r="A616" s="55">
        <v>129603583714</v>
      </c>
      <c r="B616" s="53" t="s">
        <v>2386</v>
      </c>
      <c r="C616" s="54">
        <v>45941</v>
      </c>
      <c r="D616" s="55">
        <v>51533464336</v>
      </c>
      <c r="E616" s="55">
        <v>2093045354120</v>
      </c>
      <c r="F616" s="56" t="s">
        <v>2387</v>
      </c>
      <c r="G616" s="56" t="s">
        <v>2388</v>
      </c>
      <c r="H616" s="56" t="s">
        <v>8</v>
      </c>
      <c r="I616" s="55" t="s">
        <v>8</v>
      </c>
      <c r="J616" s="57">
        <v>2020.46</v>
      </c>
      <c r="K616" s="56" t="s">
        <v>2389</v>
      </c>
      <c r="L616" s="56" t="s">
        <v>2390</v>
      </c>
      <c r="M616" s="55" t="s">
        <v>2391</v>
      </c>
      <c r="N616" s="56" t="s">
        <v>2392</v>
      </c>
      <c r="O616" s="53" t="s">
        <v>8</v>
      </c>
      <c r="P616" s="56" t="s">
        <v>2591</v>
      </c>
      <c r="Q616" s="57">
        <v>26550</v>
      </c>
      <c r="R616" s="58" t="s">
        <v>8</v>
      </c>
      <c r="S616" s="57" t="s">
        <v>8</v>
      </c>
      <c r="T616" s="56" t="s">
        <v>2394</v>
      </c>
    </row>
    <row r="617" spans="1:20">
      <c r="A617" s="55">
        <v>129030713857</v>
      </c>
      <c r="B617" s="53" t="s">
        <v>2386</v>
      </c>
      <c r="C617" s="54">
        <v>45941</v>
      </c>
      <c r="D617" s="55">
        <v>51533497284</v>
      </c>
      <c r="E617" s="55">
        <v>2092978086401</v>
      </c>
      <c r="F617" s="56" t="s">
        <v>2387</v>
      </c>
      <c r="G617" s="56" t="s">
        <v>2388</v>
      </c>
      <c r="H617" s="56" t="s">
        <v>8</v>
      </c>
      <c r="I617" s="55" t="s">
        <v>8</v>
      </c>
      <c r="J617" s="57">
        <v>239.59</v>
      </c>
      <c r="K617" s="56" t="s">
        <v>2389</v>
      </c>
      <c r="L617" s="56" t="s">
        <v>2390</v>
      </c>
      <c r="M617" s="55" t="s">
        <v>2391</v>
      </c>
      <c r="N617" s="56" t="s">
        <v>2392</v>
      </c>
      <c r="O617" s="53" t="s">
        <v>8</v>
      </c>
      <c r="P617" s="56" t="s">
        <v>2592</v>
      </c>
      <c r="Q617" s="57">
        <v>24700</v>
      </c>
      <c r="R617" s="58" t="s">
        <v>8</v>
      </c>
      <c r="S617" s="57" t="s">
        <v>8</v>
      </c>
      <c r="T617" s="56" t="s">
        <v>2394</v>
      </c>
    </row>
    <row r="618" spans="1:20">
      <c r="A618" s="55">
        <v>129031118031</v>
      </c>
      <c r="B618" s="53" t="s">
        <v>2386</v>
      </c>
      <c r="C618" s="54">
        <v>45941</v>
      </c>
      <c r="D618" s="55">
        <v>51533613853</v>
      </c>
      <c r="E618" s="55">
        <v>2092980229243</v>
      </c>
      <c r="F618" s="56" t="s">
        <v>2387</v>
      </c>
      <c r="G618" s="56" t="s">
        <v>2388</v>
      </c>
      <c r="H618" s="56" t="s">
        <v>8</v>
      </c>
      <c r="I618" s="55" t="s">
        <v>8</v>
      </c>
      <c r="J618" s="57">
        <v>188.18</v>
      </c>
      <c r="K618" s="56" t="s">
        <v>2389</v>
      </c>
      <c r="L618" s="56" t="s">
        <v>2390</v>
      </c>
      <c r="M618" s="55" t="s">
        <v>2391</v>
      </c>
      <c r="N618" s="56" t="s">
        <v>2392</v>
      </c>
      <c r="O618" s="53" t="s">
        <v>8</v>
      </c>
      <c r="P618" s="56" t="s">
        <v>2593</v>
      </c>
      <c r="Q618" s="57">
        <v>19400</v>
      </c>
      <c r="R618" s="58" t="s">
        <v>8</v>
      </c>
      <c r="S618" s="57" t="s">
        <v>8</v>
      </c>
      <c r="T618" s="56" t="s">
        <v>2394</v>
      </c>
    </row>
    <row r="619" spans="1:20">
      <c r="A619" s="55">
        <v>129031186867</v>
      </c>
      <c r="B619" s="53" t="s">
        <v>2386</v>
      </c>
      <c r="C619" s="54">
        <v>45941</v>
      </c>
      <c r="D619" s="55">
        <v>51533634550</v>
      </c>
      <c r="E619" s="55">
        <v>2092980288827</v>
      </c>
      <c r="F619" s="56" t="s">
        <v>2401</v>
      </c>
      <c r="G619" s="56" t="s">
        <v>2388</v>
      </c>
      <c r="H619" s="56" t="s">
        <v>8</v>
      </c>
      <c r="I619" s="55" t="s">
        <v>8</v>
      </c>
      <c r="J619" s="57">
        <v>2310.84</v>
      </c>
      <c r="K619" s="56" t="s">
        <v>2389</v>
      </c>
      <c r="L619" s="56" t="s">
        <v>2402</v>
      </c>
      <c r="M619" s="55" t="s">
        <v>2391</v>
      </c>
      <c r="N619" s="56" t="s">
        <v>2392</v>
      </c>
      <c r="O619" s="53" t="s">
        <v>2055</v>
      </c>
      <c r="P619" s="56" t="s">
        <v>2403</v>
      </c>
      <c r="Q619" s="57">
        <v>58800</v>
      </c>
      <c r="R619" s="58" t="s">
        <v>8</v>
      </c>
      <c r="S619" s="57" t="s">
        <v>8</v>
      </c>
      <c r="T619" s="56" t="s">
        <v>2394</v>
      </c>
    </row>
    <row r="620" spans="1:20">
      <c r="A620" s="55">
        <v>129031727651</v>
      </c>
      <c r="B620" s="53" t="s">
        <v>2386</v>
      </c>
      <c r="C620" s="54">
        <v>45941</v>
      </c>
      <c r="D620" s="55">
        <v>51533842670</v>
      </c>
      <c r="E620" s="55">
        <v>2093051373336</v>
      </c>
      <c r="F620" s="56" t="s">
        <v>2401</v>
      </c>
      <c r="G620" s="56" t="s">
        <v>2388</v>
      </c>
      <c r="H620" s="56" t="s">
        <v>8</v>
      </c>
      <c r="I620" s="55" t="s">
        <v>8</v>
      </c>
      <c r="J620" s="57">
        <v>542.34</v>
      </c>
      <c r="K620" s="56" t="s">
        <v>2389</v>
      </c>
      <c r="L620" s="56" t="s">
        <v>2402</v>
      </c>
      <c r="M620" s="55" t="s">
        <v>2391</v>
      </c>
      <c r="N620" s="56" t="s">
        <v>2392</v>
      </c>
      <c r="O620" s="53" t="s">
        <v>2055</v>
      </c>
      <c r="P620" s="56" t="s">
        <v>2403</v>
      </c>
      <c r="Q620" s="57">
        <v>13800</v>
      </c>
      <c r="R620" s="58" t="s">
        <v>8</v>
      </c>
      <c r="S620" s="57" t="s">
        <v>8</v>
      </c>
      <c r="T620" s="56" t="s">
        <v>2394</v>
      </c>
    </row>
    <row r="621" spans="1:20">
      <c r="A621" s="55">
        <v>129606428966</v>
      </c>
      <c r="B621" s="53" t="s">
        <v>2386</v>
      </c>
      <c r="C621" s="54">
        <v>45941</v>
      </c>
      <c r="D621" s="55">
        <v>51534503770</v>
      </c>
      <c r="E621" s="55">
        <v>2092994536619</v>
      </c>
      <c r="F621" s="56" t="s">
        <v>2387</v>
      </c>
      <c r="G621" s="56" t="s">
        <v>2388</v>
      </c>
      <c r="H621" s="56" t="s">
        <v>8</v>
      </c>
      <c r="I621" s="55" t="s">
        <v>8</v>
      </c>
      <c r="J621" s="57">
        <v>1018.5</v>
      </c>
      <c r="K621" s="56" t="s">
        <v>2389</v>
      </c>
      <c r="L621" s="56" t="s">
        <v>2390</v>
      </c>
      <c r="M621" s="55" t="s">
        <v>2391</v>
      </c>
      <c r="N621" s="56" t="s">
        <v>2392</v>
      </c>
      <c r="O621" s="53" t="s">
        <v>8</v>
      </c>
      <c r="P621" s="56" t="s">
        <v>2594</v>
      </c>
      <c r="Q621" s="57">
        <v>105000</v>
      </c>
      <c r="R621" s="58" t="s">
        <v>8</v>
      </c>
      <c r="S621" s="57" t="s">
        <v>8</v>
      </c>
      <c r="T621" s="56" t="s">
        <v>2394</v>
      </c>
    </row>
    <row r="622" spans="1:20">
      <c r="A622" s="55">
        <v>129034163043</v>
      </c>
      <c r="B622" s="53" t="s">
        <v>2386</v>
      </c>
      <c r="C622" s="54">
        <v>45941</v>
      </c>
      <c r="D622" s="55">
        <v>51534703753</v>
      </c>
      <c r="E622" s="55">
        <v>2093065739424</v>
      </c>
      <c r="F622" s="56" t="s">
        <v>2401</v>
      </c>
      <c r="G622" s="56" t="s">
        <v>2388</v>
      </c>
      <c r="H622" s="56" t="s">
        <v>8</v>
      </c>
      <c r="I622" s="55" t="s">
        <v>8</v>
      </c>
      <c r="J622" s="57">
        <v>1336.2</v>
      </c>
      <c r="K622" s="56" t="s">
        <v>2389</v>
      </c>
      <c r="L622" s="56" t="s">
        <v>2402</v>
      </c>
      <c r="M622" s="55" t="s">
        <v>2391</v>
      </c>
      <c r="N622" s="56" t="s">
        <v>2392</v>
      </c>
      <c r="O622" s="53" t="s">
        <v>2055</v>
      </c>
      <c r="P622" s="56" t="s">
        <v>2403</v>
      </c>
      <c r="Q622" s="57">
        <v>34000</v>
      </c>
      <c r="R622" s="58" t="s">
        <v>8</v>
      </c>
      <c r="S622" s="57" t="s">
        <v>8</v>
      </c>
      <c r="T622" s="56" t="s">
        <v>2394</v>
      </c>
    </row>
    <row r="623" spans="1:20">
      <c r="A623" s="55">
        <v>129034274459</v>
      </c>
      <c r="B623" s="53" t="s">
        <v>2386</v>
      </c>
      <c r="C623" s="54">
        <v>45941</v>
      </c>
      <c r="D623" s="55">
        <v>51534750866</v>
      </c>
      <c r="E623" s="55">
        <v>2092998575115</v>
      </c>
      <c r="F623" s="56" t="s">
        <v>2387</v>
      </c>
      <c r="G623" s="56" t="s">
        <v>2388</v>
      </c>
      <c r="H623" s="56" t="s">
        <v>8</v>
      </c>
      <c r="I623" s="55" t="s">
        <v>8</v>
      </c>
      <c r="J623" s="57">
        <v>595.58000000000004</v>
      </c>
      <c r="K623" s="56" t="s">
        <v>2389</v>
      </c>
      <c r="L623" s="56" t="s">
        <v>2390</v>
      </c>
      <c r="M623" s="55" t="s">
        <v>2391</v>
      </c>
      <c r="N623" s="56" t="s">
        <v>2392</v>
      </c>
      <c r="O623" s="53" t="s">
        <v>8</v>
      </c>
      <c r="P623" s="56" t="s">
        <v>2595</v>
      </c>
      <c r="Q623" s="57">
        <v>61400</v>
      </c>
      <c r="R623" s="58" t="s">
        <v>8</v>
      </c>
      <c r="S623" s="57" t="s">
        <v>8</v>
      </c>
      <c r="T623" s="56" t="s">
        <v>2394</v>
      </c>
    </row>
    <row r="624" spans="1:20">
      <c r="A624" s="55">
        <v>129607232380</v>
      </c>
      <c r="B624" s="53" t="s">
        <v>2386</v>
      </c>
      <c r="C624" s="54">
        <v>45941</v>
      </c>
      <c r="D624" s="55">
        <v>51534824919</v>
      </c>
      <c r="E624" s="55">
        <v>2092999168399</v>
      </c>
      <c r="F624" s="56" t="s">
        <v>2387</v>
      </c>
      <c r="G624" s="56" t="s">
        <v>2388</v>
      </c>
      <c r="H624" s="56" t="s">
        <v>8</v>
      </c>
      <c r="I624" s="55" t="s">
        <v>8</v>
      </c>
      <c r="J624" s="57">
        <v>79.540000000000006</v>
      </c>
      <c r="K624" s="56" t="s">
        <v>2389</v>
      </c>
      <c r="L624" s="56" t="s">
        <v>2390</v>
      </c>
      <c r="M624" s="55" t="s">
        <v>2391</v>
      </c>
      <c r="N624" s="56" t="s">
        <v>2392</v>
      </c>
      <c r="O624" s="53" t="s">
        <v>8</v>
      </c>
      <c r="P624" s="56" t="s">
        <v>2596</v>
      </c>
      <c r="Q624" s="57">
        <v>8200</v>
      </c>
      <c r="R624" s="58" t="s">
        <v>8</v>
      </c>
      <c r="S624" s="57" t="s">
        <v>8</v>
      </c>
      <c r="T624" s="56" t="s">
        <v>2394</v>
      </c>
    </row>
    <row r="625" spans="1:20">
      <c r="A625" s="55">
        <v>129607601758</v>
      </c>
      <c r="B625" s="53" t="s">
        <v>2386</v>
      </c>
      <c r="C625" s="54">
        <v>45941</v>
      </c>
      <c r="D625" s="55">
        <v>51534942475</v>
      </c>
      <c r="E625" s="55">
        <v>2093069539080</v>
      </c>
      <c r="F625" s="56" t="s">
        <v>2475</v>
      </c>
      <c r="G625" s="56" t="s">
        <v>2388</v>
      </c>
      <c r="H625" s="56" t="s">
        <v>8</v>
      </c>
      <c r="I625" s="55" t="s">
        <v>8</v>
      </c>
      <c r="J625" s="57">
        <v>202.12</v>
      </c>
      <c r="K625" s="56" t="s">
        <v>2389</v>
      </c>
      <c r="L625" s="56" t="s">
        <v>2390</v>
      </c>
      <c r="M625" s="55" t="s">
        <v>2391</v>
      </c>
      <c r="N625" s="56" t="s">
        <v>2392</v>
      </c>
      <c r="O625" s="53" t="s">
        <v>8</v>
      </c>
      <c r="P625" s="56" t="s">
        <v>2536</v>
      </c>
      <c r="Q625" s="57">
        <v>12400</v>
      </c>
      <c r="R625" s="58" t="s">
        <v>8</v>
      </c>
      <c r="S625" s="57" t="s">
        <v>8</v>
      </c>
      <c r="T625" s="56" t="s">
        <v>2394</v>
      </c>
    </row>
    <row r="626" spans="1:20">
      <c r="A626" s="55">
        <v>129608485214</v>
      </c>
      <c r="B626" s="53" t="s">
        <v>2386</v>
      </c>
      <c r="C626" s="54">
        <v>45941</v>
      </c>
      <c r="D626" s="55">
        <v>51535279161</v>
      </c>
      <c r="E626" s="55">
        <v>2093006793765</v>
      </c>
      <c r="F626" s="56" t="s">
        <v>2401</v>
      </c>
      <c r="G626" s="56" t="s">
        <v>2388</v>
      </c>
      <c r="H626" s="56" t="s">
        <v>8</v>
      </c>
      <c r="I626" s="55" t="s">
        <v>8</v>
      </c>
      <c r="J626" s="57">
        <v>5661.84</v>
      </c>
      <c r="K626" s="56" t="s">
        <v>2389</v>
      </c>
      <c r="L626" s="56" t="s">
        <v>2402</v>
      </c>
      <c r="M626" s="55" t="s">
        <v>2391</v>
      </c>
      <c r="N626" s="56" t="s">
        <v>2392</v>
      </c>
      <c r="O626" s="53" t="s">
        <v>2055</v>
      </c>
      <c r="P626" s="56" t="s">
        <v>2403</v>
      </c>
      <c r="Q626" s="57">
        <v>74400</v>
      </c>
      <c r="R626" s="58" t="s">
        <v>8</v>
      </c>
      <c r="S626" s="57" t="s">
        <v>8</v>
      </c>
      <c r="T626" s="56" t="s">
        <v>2394</v>
      </c>
    </row>
    <row r="627" spans="1:20">
      <c r="A627" s="55">
        <v>129608565554</v>
      </c>
      <c r="B627" s="53" t="s">
        <v>2386</v>
      </c>
      <c r="C627" s="54">
        <v>45941</v>
      </c>
      <c r="D627" s="55">
        <v>51535294135</v>
      </c>
      <c r="E627" s="55">
        <v>2093075258980</v>
      </c>
      <c r="F627" s="56" t="s">
        <v>2387</v>
      </c>
      <c r="G627" s="56" t="s">
        <v>2388</v>
      </c>
      <c r="H627" s="56" t="s">
        <v>8</v>
      </c>
      <c r="I627" s="55" t="s">
        <v>8</v>
      </c>
      <c r="J627" s="57">
        <v>47.53</v>
      </c>
      <c r="K627" s="56" t="s">
        <v>2389</v>
      </c>
      <c r="L627" s="56" t="s">
        <v>2390</v>
      </c>
      <c r="M627" s="55" t="s">
        <v>2391</v>
      </c>
      <c r="N627" s="56" t="s">
        <v>2392</v>
      </c>
      <c r="O627" s="53" t="s">
        <v>8</v>
      </c>
      <c r="P627" s="56" t="s">
        <v>2597</v>
      </c>
      <c r="Q627" s="57">
        <v>4900</v>
      </c>
      <c r="R627" s="58" t="s">
        <v>8</v>
      </c>
      <c r="S627" s="57" t="s">
        <v>8</v>
      </c>
      <c r="T627" s="56" t="s">
        <v>2394</v>
      </c>
    </row>
    <row r="628" spans="1:20">
      <c r="A628" s="55">
        <v>129035729183</v>
      </c>
      <c r="B628" s="53" t="s">
        <v>2386</v>
      </c>
      <c r="C628" s="54">
        <v>45941</v>
      </c>
      <c r="D628" s="55">
        <v>51535318771</v>
      </c>
      <c r="E628" s="55">
        <v>2093007452301</v>
      </c>
      <c r="F628" s="56" t="s">
        <v>2411</v>
      </c>
      <c r="G628" s="56" t="s">
        <v>2388</v>
      </c>
      <c r="H628" s="56" t="s">
        <v>8</v>
      </c>
      <c r="I628" s="55" t="s">
        <v>8</v>
      </c>
      <c r="J628" s="57">
        <v>95.06</v>
      </c>
      <c r="K628" s="56" t="s">
        <v>2389</v>
      </c>
      <c r="L628" s="56" t="s">
        <v>2390</v>
      </c>
      <c r="M628" s="55" t="s">
        <v>2391</v>
      </c>
      <c r="N628" s="56" t="s">
        <v>2392</v>
      </c>
      <c r="O628" s="53" t="s">
        <v>8</v>
      </c>
      <c r="P628" s="56" t="s">
        <v>2412</v>
      </c>
      <c r="Q628" s="57">
        <v>9800</v>
      </c>
      <c r="R628" s="58" t="s">
        <v>8</v>
      </c>
      <c r="S628" s="57" t="s">
        <v>8</v>
      </c>
      <c r="T628" s="56" t="s">
        <v>8</v>
      </c>
    </row>
    <row r="629" spans="1:20">
      <c r="A629" s="55">
        <v>129036090355</v>
      </c>
      <c r="B629" s="53" t="s">
        <v>2386</v>
      </c>
      <c r="C629" s="54">
        <v>45941</v>
      </c>
      <c r="D629" s="55">
        <v>51535419650</v>
      </c>
      <c r="E629" s="55">
        <v>2093009113953</v>
      </c>
      <c r="F629" s="56" t="s">
        <v>2387</v>
      </c>
      <c r="G629" s="56" t="s">
        <v>2388</v>
      </c>
      <c r="H629" s="56" t="s">
        <v>8</v>
      </c>
      <c r="I629" s="55" t="s">
        <v>8</v>
      </c>
      <c r="J629" s="57">
        <v>48.5</v>
      </c>
      <c r="K629" s="56" t="s">
        <v>2389</v>
      </c>
      <c r="L629" s="56" t="s">
        <v>2390</v>
      </c>
      <c r="M629" s="55" t="s">
        <v>2391</v>
      </c>
      <c r="N629" s="56" t="s">
        <v>2392</v>
      </c>
      <c r="O629" s="53" t="s">
        <v>8</v>
      </c>
      <c r="P629" s="56" t="s">
        <v>2598</v>
      </c>
      <c r="Q629" s="57">
        <v>5000</v>
      </c>
      <c r="R629" s="58" t="s">
        <v>8</v>
      </c>
      <c r="S629" s="57" t="s">
        <v>8</v>
      </c>
      <c r="T629" s="56" t="s">
        <v>2394</v>
      </c>
    </row>
    <row r="630" spans="1:20">
      <c r="A630" s="55">
        <v>129609138584</v>
      </c>
      <c r="B630" s="53" t="s">
        <v>2386</v>
      </c>
      <c r="C630" s="54">
        <v>45941</v>
      </c>
      <c r="D630" s="55">
        <v>51535526860</v>
      </c>
      <c r="E630" s="55">
        <v>2093010700781</v>
      </c>
      <c r="F630" s="56" t="s">
        <v>2387</v>
      </c>
      <c r="G630" s="56" t="s">
        <v>2388</v>
      </c>
      <c r="H630" s="56" t="s">
        <v>8</v>
      </c>
      <c r="I630" s="55" t="s">
        <v>8</v>
      </c>
      <c r="J630" s="57">
        <v>337.56</v>
      </c>
      <c r="K630" s="56" t="s">
        <v>2389</v>
      </c>
      <c r="L630" s="56" t="s">
        <v>2390</v>
      </c>
      <c r="M630" s="55" t="s">
        <v>2391</v>
      </c>
      <c r="N630" s="56" t="s">
        <v>2392</v>
      </c>
      <c r="O630" s="53" t="s">
        <v>8</v>
      </c>
      <c r="P630" s="56" t="s">
        <v>2599</v>
      </c>
      <c r="Q630" s="57">
        <v>34800</v>
      </c>
      <c r="R630" s="58" t="s">
        <v>8</v>
      </c>
      <c r="S630" s="57" t="s">
        <v>8</v>
      </c>
      <c r="T630" s="56" t="s">
        <v>2394</v>
      </c>
    </row>
    <row r="631" spans="1:20">
      <c r="A631" s="55">
        <v>129036637851</v>
      </c>
      <c r="B631" s="53" t="s">
        <v>2386</v>
      </c>
      <c r="C631" s="54">
        <v>45941</v>
      </c>
      <c r="D631" s="55">
        <v>51535666591</v>
      </c>
      <c r="E631" s="55">
        <v>2093081245168</v>
      </c>
      <c r="F631" s="56" t="s">
        <v>2387</v>
      </c>
      <c r="G631" s="56" t="s">
        <v>2388</v>
      </c>
      <c r="H631" s="56" t="s">
        <v>8</v>
      </c>
      <c r="I631" s="55" t="s">
        <v>8</v>
      </c>
      <c r="J631" s="57">
        <v>97</v>
      </c>
      <c r="K631" s="56" t="s">
        <v>2389</v>
      </c>
      <c r="L631" s="56" t="s">
        <v>2390</v>
      </c>
      <c r="M631" s="55" t="s">
        <v>2391</v>
      </c>
      <c r="N631" s="56" t="s">
        <v>2392</v>
      </c>
      <c r="O631" s="53" t="s">
        <v>8</v>
      </c>
      <c r="P631" s="56" t="s">
        <v>2600</v>
      </c>
      <c r="Q631" s="57">
        <v>10000</v>
      </c>
      <c r="R631" s="58" t="s">
        <v>8</v>
      </c>
      <c r="S631" s="57" t="s">
        <v>8</v>
      </c>
      <c r="T631" s="56" t="s">
        <v>2394</v>
      </c>
    </row>
    <row r="632" spans="1:20">
      <c r="A632" s="55">
        <v>129609804684</v>
      </c>
      <c r="B632" s="53" t="s">
        <v>2386</v>
      </c>
      <c r="C632" s="54">
        <v>45941</v>
      </c>
      <c r="D632" s="55">
        <v>51535731160</v>
      </c>
      <c r="E632" s="55">
        <v>2093082079942</v>
      </c>
      <c r="F632" s="56" t="s">
        <v>2401</v>
      </c>
      <c r="G632" s="56" t="s">
        <v>2388</v>
      </c>
      <c r="H632" s="56" t="s">
        <v>8</v>
      </c>
      <c r="I632" s="55" t="s">
        <v>8</v>
      </c>
      <c r="J632" s="57">
        <v>377.28</v>
      </c>
      <c r="K632" s="56" t="s">
        <v>2389</v>
      </c>
      <c r="L632" s="56" t="s">
        <v>2402</v>
      </c>
      <c r="M632" s="55" t="s">
        <v>2391</v>
      </c>
      <c r="N632" s="56" t="s">
        <v>2392</v>
      </c>
      <c r="O632" s="53" t="s">
        <v>2055</v>
      </c>
      <c r="P632" s="56" t="s">
        <v>2403</v>
      </c>
      <c r="Q632" s="57">
        <v>9600</v>
      </c>
      <c r="R632" s="58" t="s">
        <v>8</v>
      </c>
      <c r="S632" s="57" t="s">
        <v>8</v>
      </c>
      <c r="T632" s="56" t="s">
        <v>2394</v>
      </c>
    </row>
    <row r="633" spans="1:20">
      <c r="A633" s="55">
        <v>129610020300</v>
      </c>
      <c r="B633" s="53" t="s">
        <v>2386</v>
      </c>
      <c r="C633" s="54">
        <v>45941</v>
      </c>
      <c r="D633" s="55">
        <v>51535780794</v>
      </c>
      <c r="E633" s="55">
        <v>2093083076298</v>
      </c>
      <c r="F633" s="56" t="s">
        <v>2387</v>
      </c>
      <c r="G633" s="56" t="s">
        <v>2388</v>
      </c>
      <c r="H633" s="56" t="s">
        <v>8</v>
      </c>
      <c r="I633" s="55" t="s">
        <v>8</v>
      </c>
      <c r="J633" s="57">
        <v>581.03</v>
      </c>
      <c r="K633" s="56" t="s">
        <v>2389</v>
      </c>
      <c r="L633" s="56" t="s">
        <v>2390</v>
      </c>
      <c r="M633" s="55" t="s">
        <v>2391</v>
      </c>
      <c r="N633" s="56" t="s">
        <v>2392</v>
      </c>
      <c r="O633" s="53" t="s">
        <v>8</v>
      </c>
      <c r="P633" s="56" t="s">
        <v>2601</v>
      </c>
      <c r="Q633" s="57">
        <v>59900</v>
      </c>
      <c r="R633" s="58" t="s">
        <v>8</v>
      </c>
      <c r="S633" s="57" t="s">
        <v>8</v>
      </c>
      <c r="T633" s="56" t="s">
        <v>2394</v>
      </c>
    </row>
    <row r="634" spans="1:20">
      <c r="A634" s="55">
        <v>129610390102</v>
      </c>
      <c r="B634" s="53" t="s">
        <v>2386</v>
      </c>
      <c r="C634" s="54">
        <v>45941</v>
      </c>
      <c r="D634" s="55">
        <v>51535935819</v>
      </c>
      <c r="E634" s="55">
        <v>2093017681349</v>
      </c>
      <c r="F634" s="56" t="s">
        <v>2411</v>
      </c>
      <c r="G634" s="56" t="s">
        <v>2388</v>
      </c>
      <c r="H634" s="56" t="s">
        <v>8</v>
      </c>
      <c r="I634" s="55" t="s">
        <v>8</v>
      </c>
      <c r="J634" s="57">
        <v>388</v>
      </c>
      <c r="K634" s="56" t="s">
        <v>2389</v>
      </c>
      <c r="L634" s="56" t="s">
        <v>2390</v>
      </c>
      <c r="M634" s="55" t="s">
        <v>2391</v>
      </c>
      <c r="N634" s="56" t="s">
        <v>2392</v>
      </c>
      <c r="O634" s="53" t="s">
        <v>8</v>
      </c>
      <c r="P634" s="56" t="s">
        <v>2412</v>
      </c>
      <c r="Q634" s="57">
        <v>40000</v>
      </c>
      <c r="R634" s="58" t="s">
        <v>8</v>
      </c>
      <c r="S634" s="57" t="s">
        <v>8</v>
      </c>
      <c r="T634" s="56" t="s">
        <v>8</v>
      </c>
    </row>
    <row r="635" spans="1:20">
      <c r="A635" s="55">
        <v>129610361428</v>
      </c>
      <c r="B635" s="53" t="s">
        <v>2386</v>
      </c>
      <c r="C635" s="54">
        <v>45941</v>
      </c>
      <c r="D635" s="55">
        <v>51535949918</v>
      </c>
      <c r="E635" s="55">
        <v>2093085961514</v>
      </c>
      <c r="F635" s="56" t="s">
        <v>2401</v>
      </c>
      <c r="G635" s="56" t="s">
        <v>2388</v>
      </c>
      <c r="H635" s="56" t="s">
        <v>8</v>
      </c>
      <c r="I635" s="55" t="s">
        <v>8</v>
      </c>
      <c r="J635" s="57">
        <v>2912.13</v>
      </c>
      <c r="K635" s="56" t="s">
        <v>2389</v>
      </c>
      <c r="L635" s="56" t="s">
        <v>2402</v>
      </c>
      <c r="M635" s="55" t="s">
        <v>2391</v>
      </c>
      <c r="N635" s="56" t="s">
        <v>2392</v>
      </c>
      <c r="O635" s="53" t="s">
        <v>2055</v>
      </c>
      <c r="P635" s="56" t="s">
        <v>2403</v>
      </c>
      <c r="Q635" s="57">
        <v>74100</v>
      </c>
      <c r="R635" s="58" t="s">
        <v>8</v>
      </c>
      <c r="S635" s="57" t="s">
        <v>8</v>
      </c>
      <c r="T635" s="56" t="s">
        <v>2394</v>
      </c>
    </row>
    <row r="636" spans="1:20">
      <c r="A636" s="55">
        <v>129038067875</v>
      </c>
      <c r="B636" s="53" t="s">
        <v>2386</v>
      </c>
      <c r="C636" s="54">
        <v>45941</v>
      </c>
      <c r="D636" s="55">
        <v>51536196316</v>
      </c>
      <c r="E636" s="55">
        <v>2093021742409</v>
      </c>
      <c r="F636" s="56" t="s">
        <v>2401</v>
      </c>
      <c r="G636" s="56" t="s">
        <v>2388</v>
      </c>
      <c r="H636" s="56" t="s">
        <v>8</v>
      </c>
      <c r="I636" s="55" t="s">
        <v>8</v>
      </c>
      <c r="J636" s="57">
        <v>684.9</v>
      </c>
      <c r="K636" s="56" t="s">
        <v>2389</v>
      </c>
      <c r="L636" s="56" t="s">
        <v>2402</v>
      </c>
      <c r="M636" s="55" t="s">
        <v>2391</v>
      </c>
      <c r="N636" s="56" t="s">
        <v>2392</v>
      </c>
      <c r="O636" s="53" t="s">
        <v>2055</v>
      </c>
      <c r="P636" s="56" t="s">
        <v>2403</v>
      </c>
      <c r="Q636" s="57">
        <v>9000</v>
      </c>
      <c r="R636" s="58" t="s">
        <v>8</v>
      </c>
      <c r="S636" s="57" t="s">
        <v>8</v>
      </c>
      <c r="T636" s="56" t="s">
        <v>2394</v>
      </c>
    </row>
    <row r="637" spans="1:20">
      <c r="A637" s="55">
        <v>129038255279</v>
      </c>
      <c r="B637" s="53" t="s">
        <v>2386</v>
      </c>
      <c r="C637" s="54">
        <v>45941</v>
      </c>
      <c r="D637" s="55">
        <v>51536246570</v>
      </c>
      <c r="E637" s="55">
        <v>2093022231461</v>
      </c>
      <c r="F637" s="56" t="s">
        <v>2475</v>
      </c>
      <c r="G637" s="56" t="s">
        <v>2388</v>
      </c>
      <c r="H637" s="56" t="s">
        <v>8</v>
      </c>
      <c r="I637" s="55" t="s">
        <v>8</v>
      </c>
      <c r="J637" s="57">
        <v>218.42</v>
      </c>
      <c r="K637" s="56" t="s">
        <v>2389</v>
      </c>
      <c r="L637" s="56" t="s">
        <v>2390</v>
      </c>
      <c r="M637" s="55" t="s">
        <v>2391</v>
      </c>
      <c r="N637" s="56" t="s">
        <v>2392</v>
      </c>
      <c r="O637" s="53" t="s">
        <v>8</v>
      </c>
      <c r="P637" s="56" t="s">
        <v>2536</v>
      </c>
      <c r="Q637" s="57">
        <v>13400</v>
      </c>
      <c r="R637" s="58" t="s">
        <v>8</v>
      </c>
      <c r="S637" s="57" t="s">
        <v>8</v>
      </c>
      <c r="T637" s="56" t="s">
        <v>2394</v>
      </c>
    </row>
    <row r="638" spans="1:20">
      <c r="A638" s="55">
        <v>129611198742</v>
      </c>
      <c r="B638" s="53" t="s">
        <v>2386</v>
      </c>
      <c r="C638" s="54">
        <v>45941</v>
      </c>
      <c r="D638" s="55">
        <v>51536286598</v>
      </c>
      <c r="E638" s="55">
        <v>2093023002121</v>
      </c>
      <c r="F638" s="56" t="s">
        <v>2387</v>
      </c>
      <c r="G638" s="56" t="s">
        <v>2388</v>
      </c>
      <c r="H638" s="56" t="s">
        <v>8</v>
      </c>
      <c r="I638" s="55" t="s">
        <v>8</v>
      </c>
      <c r="J638" s="57">
        <v>207.58</v>
      </c>
      <c r="K638" s="56" t="s">
        <v>2389</v>
      </c>
      <c r="L638" s="56" t="s">
        <v>2390</v>
      </c>
      <c r="M638" s="55" t="s">
        <v>2391</v>
      </c>
      <c r="N638" s="56" t="s">
        <v>2392</v>
      </c>
      <c r="O638" s="53" t="s">
        <v>8</v>
      </c>
      <c r="P638" s="56" t="s">
        <v>2602</v>
      </c>
      <c r="Q638" s="57">
        <v>21400</v>
      </c>
      <c r="R638" s="58" t="s">
        <v>8</v>
      </c>
      <c r="S638" s="57" t="s">
        <v>8</v>
      </c>
      <c r="T638" s="56" t="s">
        <v>2394</v>
      </c>
    </row>
    <row r="639" spans="1:20">
      <c r="A639" s="55">
        <v>129611514822</v>
      </c>
      <c r="B639" s="53" t="s">
        <v>2386</v>
      </c>
      <c r="C639" s="54">
        <v>45941</v>
      </c>
      <c r="D639" s="55">
        <v>51536372710</v>
      </c>
      <c r="E639" s="55">
        <v>2093024713785</v>
      </c>
      <c r="F639" s="56" t="s">
        <v>2387</v>
      </c>
      <c r="G639" s="56" t="s">
        <v>2388</v>
      </c>
      <c r="H639" s="56" t="s">
        <v>8</v>
      </c>
      <c r="I639" s="55" t="s">
        <v>8</v>
      </c>
      <c r="J639" s="57">
        <v>344.35</v>
      </c>
      <c r="K639" s="56" t="s">
        <v>2389</v>
      </c>
      <c r="L639" s="56" t="s">
        <v>2390</v>
      </c>
      <c r="M639" s="55" t="s">
        <v>2391</v>
      </c>
      <c r="N639" s="56" t="s">
        <v>2392</v>
      </c>
      <c r="O639" s="53" t="s">
        <v>8</v>
      </c>
      <c r="P639" s="56" t="s">
        <v>2603</v>
      </c>
      <c r="Q639" s="57">
        <v>35500</v>
      </c>
      <c r="R639" s="58" t="s">
        <v>8</v>
      </c>
      <c r="S639" s="57" t="s">
        <v>8</v>
      </c>
      <c r="T639" s="56" t="s">
        <v>2394</v>
      </c>
    </row>
    <row r="640" spans="1:20">
      <c r="A640" s="55">
        <v>129611461620</v>
      </c>
      <c r="B640" s="53" t="s">
        <v>2386</v>
      </c>
      <c r="C640" s="54">
        <v>45941</v>
      </c>
      <c r="D640" s="55">
        <v>51536404385</v>
      </c>
      <c r="E640" s="55">
        <v>2093092822808</v>
      </c>
      <c r="F640" s="56" t="s">
        <v>2387</v>
      </c>
      <c r="G640" s="56" t="s">
        <v>2388</v>
      </c>
      <c r="H640" s="56" t="s">
        <v>8</v>
      </c>
      <c r="I640" s="55" t="s">
        <v>8</v>
      </c>
      <c r="J640" s="57">
        <v>141.62</v>
      </c>
      <c r="K640" s="56" t="s">
        <v>2389</v>
      </c>
      <c r="L640" s="56" t="s">
        <v>2390</v>
      </c>
      <c r="M640" s="55" t="s">
        <v>2391</v>
      </c>
      <c r="N640" s="56" t="s">
        <v>2392</v>
      </c>
      <c r="O640" s="53" t="s">
        <v>8</v>
      </c>
      <c r="P640" s="56" t="s">
        <v>2604</v>
      </c>
      <c r="Q640" s="57">
        <v>14600</v>
      </c>
      <c r="R640" s="58" t="s">
        <v>8</v>
      </c>
      <c r="S640" s="57" t="s">
        <v>8</v>
      </c>
      <c r="T640" s="56" t="s">
        <v>2394</v>
      </c>
    </row>
    <row r="641" spans="1:20">
      <c r="A641" s="55">
        <v>129611760024</v>
      </c>
      <c r="B641" s="53" t="s">
        <v>2386</v>
      </c>
      <c r="C641" s="54">
        <v>45941</v>
      </c>
      <c r="D641" s="55">
        <v>51536514548</v>
      </c>
      <c r="E641" s="55">
        <v>2093026755625</v>
      </c>
      <c r="F641" s="56" t="s">
        <v>2411</v>
      </c>
      <c r="G641" s="56" t="s">
        <v>2388</v>
      </c>
      <c r="H641" s="56" t="s">
        <v>8</v>
      </c>
      <c r="I641" s="55" t="s">
        <v>8</v>
      </c>
      <c r="J641" s="57">
        <v>46.56</v>
      </c>
      <c r="K641" s="56" t="s">
        <v>2389</v>
      </c>
      <c r="L641" s="56" t="s">
        <v>2390</v>
      </c>
      <c r="M641" s="55" t="s">
        <v>2391</v>
      </c>
      <c r="N641" s="56" t="s">
        <v>2392</v>
      </c>
      <c r="O641" s="53" t="s">
        <v>8</v>
      </c>
      <c r="P641" s="56" t="s">
        <v>2412</v>
      </c>
      <c r="Q641" s="57">
        <v>4800</v>
      </c>
      <c r="R641" s="58" t="s">
        <v>8</v>
      </c>
      <c r="S641" s="57" t="s">
        <v>8</v>
      </c>
      <c r="T641" s="56" t="s">
        <v>8</v>
      </c>
    </row>
    <row r="642" spans="1:20">
      <c r="A642" s="55">
        <v>129039009389</v>
      </c>
      <c r="B642" s="53" t="s">
        <v>2386</v>
      </c>
      <c r="C642" s="54">
        <v>45941</v>
      </c>
      <c r="D642" s="55">
        <v>51536538473</v>
      </c>
      <c r="E642" s="55">
        <v>2093027319761</v>
      </c>
      <c r="F642" s="56" t="s">
        <v>2387</v>
      </c>
      <c r="G642" s="56" t="s">
        <v>2388</v>
      </c>
      <c r="H642" s="56" t="s">
        <v>8</v>
      </c>
      <c r="I642" s="55" t="s">
        <v>8</v>
      </c>
      <c r="J642" s="57">
        <v>40.74</v>
      </c>
      <c r="K642" s="56" t="s">
        <v>2389</v>
      </c>
      <c r="L642" s="56" t="s">
        <v>2390</v>
      </c>
      <c r="M642" s="55" t="s">
        <v>2391</v>
      </c>
      <c r="N642" s="56" t="s">
        <v>2392</v>
      </c>
      <c r="O642" s="53" t="s">
        <v>8</v>
      </c>
      <c r="P642" s="56" t="s">
        <v>2605</v>
      </c>
      <c r="Q642" s="57">
        <v>4200</v>
      </c>
      <c r="R642" s="58" t="s">
        <v>8</v>
      </c>
      <c r="S642" s="57" t="s">
        <v>8</v>
      </c>
      <c r="T642" s="56" t="s">
        <v>2394</v>
      </c>
    </row>
    <row r="643" spans="1:20">
      <c r="A643" s="55">
        <v>129612039128</v>
      </c>
      <c r="B643" s="53" t="s">
        <v>2386</v>
      </c>
      <c r="C643" s="54">
        <v>45941</v>
      </c>
      <c r="D643" s="55">
        <v>51536564012</v>
      </c>
      <c r="E643" s="55">
        <v>2093027518861</v>
      </c>
      <c r="F643" s="56" t="s">
        <v>2411</v>
      </c>
      <c r="G643" s="56" t="s">
        <v>2388</v>
      </c>
      <c r="H643" s="56" t="s">
        <v>8</v>
      </c>
      <c r="I643" s="55" t="s">
        <v>8</v>
      </c>
      <c r="J643" s="57">
        <v>46.56</v>
      </c>
      <c r="K643" s="56" t="s">
        <v>2389</v>
      </c>
      <c r="L643" s="56" t="s">
        <v>2390</v>
      </c>
      <c r="M643" s="55" t="s">
        <v>2391</v>
      </c>
      <c r="N643" s="56" t="s">
        <v>2392</v>
      </c>
      <c r="O643" s="53" t="s">
        <v>8</v>
      </c>
      <c r="P643" s="56" t="s">
        <v>2412</v>
      </c>
      <c r="Q643" s="57">
        <v>4800</v>
      </c>
      <c r="R643" s="58" t="s">
        <v>8</v>
      </c>
      <c r="S643" s="57" t="s">
        <v>8</v>
      </c>
      <c r="T643" s="56" t="s">
        <v>8</v>
      </c>
    </row>
    <row r="644" spans="1:20">
      <c r="A644" s="55">
        <v>129039190217</v>
      </c>
      <c r="B644" s="53" t="s">
        <v>2386</v>
      </c>
      <c r="C644" s="54">
        <v>45941</v>
      </c>
      <c r="D644" s="55">
        <v>51536606789</v>
      </c>
      <c r="E644" s="55">
        <v>2093028209153</v>
      </c>
      <c r="F644" s="56" t="s">
        <v>2411</v>
      </c>
      <c r="G644" s="56" t="s">
        <v>2388</v>
      </c>
      <c r="H644" s="56" t="s">
        <v>8</v>
      </c>
      <c r="I644" s="55" t="s">
        <v>8</v>
      </c>
      <c r="J644" s="57">
        <v>44.62</v>
      </c>
      <c r="K644" s="56" t="s">
        <v>2389</v>
      </c>
      <c r="L644" s="56" t="s">
        <v>2390</v>
      </c>
      <c r="M644" s="55" t="s">
        <v>2391</v>
      </c>
      <c r="N644" s="56" t="s">
        <v>2392</v>
      </c>
      <c r="O644" s="53" t="s">
        <v>8</v>
      </c>
      <c r="P644" s="56" t="s">
        <v>2412</v>
      </c>
      <c r="Q644" s="57">
        <v>4600</v>
      </c>
      <c r="R644" s="58" t="s">
        <v>8</v>
      </c>
      <c r="S644" s="57" t="s">
        <v>8</v>
      </c>
      <c r="T644" s="56" t="s">
        <v>8</v>
      </c>
    </row>
    <row r="645" spans="1:20">
      <c r="A645" s="55">
        <v>129039242257</v>
      </c>
      <c r="B645" s="53" t="s">
        <v>2386</v>
      </c>
      <c r="C645" s="54">
        <v>45941</v>
      </c>
      <c r="D645" s="55">
        <v>51536608709</v>
      </c>
      <c r="E645" s="55">
        <v>2093028305803</v>
      </c>
      <c r="F645" s="56" t="s">
        <v>2387</v>
      </c>
      <c r="G645" s="56" t="s">
        <v>2388</v>
      </c>
      <c r="H645" s="56" t="s">
        <v>8</v>
      </c>
      <c r="I645" s="55" t="s">
        <v>8</v>
      </c>
      <c r="J645" s="57">
        <v>637.29</v>
      </c>
      <c r="K645" s="56" t="s">
        <v>2389</v>
      </c>
      <c r="L645" s="56" t="s">
        <v>2390</v>
      </c>
      <c r="M645" s="55" t="s">
        <v>2391</v>
      </c>
      <c r="N645" s="56" t="s">
        <v>2392</v>
      </c>
      <c r="O645" s="53" t="s">
        <v>8</v>
      </c>
      <c r="P645" s="56" t="s">
        <v>2584</v>
      </c>
      <c r="Q645" s="57">
        <v>65700</v>
      </c>
      <c r="R645" s="58" t="s">
        <v>8</v>
      </c>
      <c r="S645" s="57" t="s">
        <v>8</v>
      </c>
      <c r="T645" s="56" t="s">
        <v>2394</v>
      </c>
    </row>
    <row r="646" spans="1:20">
      <c r="A646" s="55">
        <v>129612215634</v>
      </c>
      <c r="B646" s="53" t="s">
        <v>2386</v>
      </c>
      <c r="C646" s="54">
        <v>45941</v>
      </c>
      <c r="D646" s="55">
        <v>51536631914</v>
      </c>
      <c r="E646" s="55">
        <v>2093028808579</v>
      </c>
      <c r="F646" s="56" t="s">
        <v>2387</v>
      </c>
      <c r="G646" s="56" t="s">
        <v>2388</v>
      </c>
      <c r="H646" s="56" t="s">
        <v>8</v>
      </c>
      <c r="I646" s="55" t="s">
        <v>8</v>
      </c>
      <c r="J646" s="57">
        <v>93.12</v>
      </c>
      <c r="K646" s="56" t="s">
        <v>2389</v>
      </c>
      <c r="L646" s="56" t="s">
        <v>2390</v>
      </c>
      <c r="M646" s="55" t="s">
        <v>2391</v>
      </c>
      <c r="N646" s="56" t="s">
        <v>2392</v>
      </c>
      <c r="O646" s="53" t="s">
        <v>8</v>
      </c>
      <c r="P646" s="56" t="s">
        <v>2606</v>
      </c>
      <c r="Q646" s="57">
        <v>9600</v>
      </c>
      <c r="R646" s="58" t="s">
        <v>8</v>
      </c>
      <c r="S646" s="57" t="s">
        <v>8</v>
      </c>
      <c r="T646" s="56" t="s">
        <v>2394</v>
      </c>
    </row>
    <row r="647" spans="1:20">
      <c r="A647" s="55">
        <v>129613344728</v>
      </c>
      <c r="B647" s="53" t="s">
        <v>2386</v>
      </c>
      <c r="C647" s="54">
        <v>45941</v>
      </c>
      <c r="D647" s="55">
        <v>51537088321</v>
      </c>
      <c r="E647" s="55">
        <v>2093035913187</v>
      </c>
      <c r="F647" s="56" t="s">
        <v>2401</v>
      </c>
      <c r="G647" s="56" t="s">
        <v>2388</v>
      </c>
      <c r="H647" s="56" t="s">
        <v>8</v>
      </c>
      <c r="I647" s="55" t="s">
        <v>8</v>
      </c>
      <c r="J647" s="57">
        <v>518.76</v>
      </c>
      <c r="K647" s="56" t="s">
        <v>2389</v>
      </c>
      <c r="L647" s="56" t="s">
        <v>2402</v>
      </c>
      <c r="M647" s="55" t="s">
        <v>2391</v>
      </c>
      <c r="N647" s="56" t="s">
        <v>2392</v>
      </c>
      <c r="O647" s="53" t="s">
        <v>2055</v>
      </c>
      <c r="P647" s="56" t="s">
        <v>2403</v>
      </c>
      <c r="Q647" s="57">
        <v>13200</v>
      </c>
      <c r="R647" s="58" t="s">
        <v>8</v>
      </c>
      <c r="S647" s="57" t="s">
        <v>8</v>
      </c>
      <c r="T647" s="56" t="s">
        <v>2394</v>
      </c>
    </row>
    <row r="648" spans="1:20">
      <c r="A648" s="55">
        <v>129040565267</v>
      </c>
      <c r="B648" s="53" t="s">
        <v>2386</v>
      </c>
      <c r="C648" s="54">
        <v>45941</v>
      </c>
      <c r="D648" s="55">
        <v>51537117783</v>
      </c>
      <c r="E648" s="55">
        <v>2093036321031</v>
      </c>
      <c r="F648" s="56" t="s">
        <v>2387</v>
      </c>
      <c r="G648" s="56" t="s">
        <v>2388</v>
      </c>
      <c r="H648" s="56" t="s">
        <v>8</v>
      </c>
      <c r="I648" s="55" t="s">
        <v>8</v>
      </c>
      <c r="J648" s="57">
        <v>679.97</v>
      </c>
      <c r="K648" s="56" t="s">
        <v>2389</v>
      </c>
      <c r="L648" s="56" t="s">
        <v>2390</v>
      </c>
      <c r="M648" s="55" t="s">
        <v>2391</v>
      </c>
      <c r="N648" s="56" t="s">
        <v>2392</v>
      </c>
      <c r="O648" s="53" t="s">
        <v>8</v>
      </c>
      <c r="P648" s="56" t="s">
        <v>2607</v>
      </c>
      <c r="Q648" s="57">
        <v>70100</v>
      </c>
      <c r="R648" s="58" t="s">
        <v>8</v>
      </c>
      <c r="S648" s="57" t="s">
        <v>8</v>
      </c>
      <c r="T648" s="56" t="s">
        <v>2394</v>
      </c>
    </row>
    <row r="649" spans="1:20">
      <c r="A649" s="55">
        <v>129040694001</v>
      </c>
      <c r="B649" s="53" t="s">
        <v>2386</v>
      </c>
      <c r="C649" s="54">
        <v>45941</v>
      </c>
      <c r="D649" s="55">
        <v>51537199868</v>
      </c>
      <c r="E649" s="55">
        <v>2093037390827</v>
      </c>
      <c r="F649" s="56" t="s">
        <v>2401</v>
      </c>
      <c r="G649" s="56" t="s">
        <v>2388</v>
      </c>
      <c r="H649" s="56" t="s">
        <v>8</v>
      </c>
      <c r="I649" s="55" t="s">
        <v>8</v>
      </c>
      <c r="J649" s="57">
        <v>408.6</v>
      </c>
      <c r="K649" s="56" t="s">
        <v>2389</v>
      </c>
      <c r="L649" s="56" t="s">
        <v>2402</v>
      </c>
      <c r="M649" s="55" t="s">
        <v>2391</v>
      </c>
      <c r="N649" s="56" t="s">
        <v>2392</v>
      </c>
      <c r="O649" s="53" t="s">
        <v>2055</v>
      </c>
      <c r="P649" s="56" t="s">
        <v>2403</v>
      </c>
      <c r="Q649" s="57">
        <v>9000</v>
      </c>
      <c r="R649" s="58" t="s">
        <v>8</v>
      </c>
      <c r="S649" s="57" t="s">
        <v>8</v>
      </c>
      <c r="T649" s="56" t="s">
        <v>2394</v>
      </c>
    </row>
    <row r="650" spans="1:20">
      <c r="A650" s="55">
        <v>129613766564</v>
      </c>
      <c r="B650" s="53" t="s">
        <v>2386</v>
      </c>
      <c r="C650" s="54">
        <v>45941</v>
      </c>
      <c r="D650" s="55">
        <v>51537235280</v>
      </c>
      <c r="E650" s="55">
        <v>2093105631816</v>
      </c>
      <c r="F650" s="56" t="s">
        <v>2401</v>
      </c>
      <c r="G650" s="56" t="s">
        <v>2388</v>
      </c>
      <c r="H650" s="56" t="s">
        <v>8</v>
      </c>
      <c r="I650" s="55" t="s">
        <v>8</v>
      </c>
      <c r="J650" s="57">
        <v>217.92</v>
      </c>
      <c r="K650" s="56" t="s">
        <v>2389</v>
      </c>
      <c r="L650" s="56" t="s">
        <v>2402</v>
      </c>
      <c r="M650" s="55" t="s">
        <v>2391</v>
      </c>
      <c r="N650" s="56" t="s">
        <v>2392</v>
      </c>
      <c r="O650" s="53" t="s">
        <v>2055</v>
      </c>
      <c r="P650" s="56" t="s">
        <v>2403</v>
      </c>
      <c r="Q650" s="57">
        <v>4800</v>
      </c>
      <c r="R650" s="58" t="s">
        <v>8</v>
      </c>
      <c r="S650" s="57" t="s">
        <v>8</v>
      </c>
      <c r="T650" s="56" t="s">
        <v>2394</v>
      </c>
    </row>
    <row r="651" spans="1:20">
      <c r="A651" s="55">
        <v>129040868883</v>
      </c>
      <c r="B651" s="53" t="s">
        <v>2386</v>
      </c>
      <c r="C651" s="54">
        <v>45941</v>
      </c>
      <c r="D651" s="55">
        <v>51537274388</v>
      </c>
      <c r="E651" s="55">
        <v>2093038232273</v>
      </c>
      <c r="F651" s="56" t="s">
        <v>2401</v>
      </c>
      <c r="G651" s="56" t="s">
        <v>2388</v>
      </c>
      <c r="H651" s="56" t="s">
        <v>8</v>
      </c>
      <c r="I651" s="55" t="s">
        <v>8</v>
      </c>
      <c r="J651" s="57">
        <v>1552.35</v>
      </c>
      <c r="K651" s="56" t="s">
        <v>2389</v>
      </c>
      <c r="L651" s="56" t="s">
        <v>2402</v>
      </c>
      <c r="M651" s="55" t="s">
        <v>2391</v>
      </c>
      <c r="N651" s="56" t="s">
        <v>2392</v>
      </c>
      <c r="O651" s="53" t="s">
        <v>2055</v>
      </c>
      <c r="P651" s="56" t="s">
        <v>2403</v>
      </c>
      <c r="Q651" s="57">
        <v>39500</v>
      </c>
      <c r="R651" s="58" t="s">
        <v>8</v>
      </c>
      <c r="S651" s="57" t="s">
        <v>8</v>
      </c>
      <c r="T651" s="56" t="s">
        <v>2394</v>
      </c>
    </row>
    <row r="652" spans="1:20">
      <c r="A652" s="55">
        <v>129613900400</v>
      </c>
      <c r="B652" s="53" t="s">
        <v>2386</v>
      </c>
      <c r="C652" s="54">
        <v>45941</v>
      </c>
      <c r="D652" s="55">
        <v>51537274648</v>
      </c>
      <c r="E652" s="55">
        <v>2093038233133</v>
      </c>
      <c r="F652" s="56" t="s">
        <v>2401</v>
      </c>
      <c r="G652" s="56" t="s">
        <v>2388</v>
      </c>
      <c r="H652" s="56" t="s">
        <v>8</v>
      </c>
      <c r="I652" s="55" t="s">
        <v>8</v>
      </c>
      <c r="J652" s="57">
        <v>404.79</v>
      </c>
      <c r="K652" s="56" t="s">
        <v>2389</v>
      </c>
      <c r="L652" s="56" t="s">
        <v>2402</v>
      </c>
      <c r="M652" s="55" t="s">
        <v>2391</v>
      </c>
      <c r="N652" s="56" t="s">
        <v>2392</v>
      </c>
      <c r="O652" s="53" t="s">
        <v>2055</v>
      </c>
      <c r="P652" s="56" t="s">
        <v>2403</v>
      </c>
      <c r="Q652" s="57">
        <v>10300</v>
      </c>
      <c r="R652" s="58" t="s">
        <v>8</v>
      </c>
      <c r="S652" s="57" t="s">
        <v>8</v>
      </c>
      <c r="T652" s="56" t="s">
        <v>2394</v>
      </c>
    </row>
    <row r="653" spans="1:20">
      <c r="A653" s="55">
        <v>129613950886</v>
      </c>
      <c r="B653" s="53" t="s">
        <v>2386</v>
      </c>
      <c r="C653" s="54">
        <v>45941</v>
      </c>
      <c r="D653" s="55">
        <v>51537292228</v>
      </c>
      <c r="E653" s="55">
        <v>2093106518228</v>
      </c>
      <c r="F653" s="56" t="s">
        <v>2401</v>
      </c>
      <c r="G653" s="56" t="s">
        <v>2388</v>
      </c>
      <c r="H653" s="56" t="s">
        <v>8</v>
      </c>
      <c r="I653" s="55" t="s">
        <v>8</v>
      </c>
      <c r="J653" s="57">
        <v>699.54</v>
      </c>
      <c r="K653" s="56" t="s">
        <v>2389</v>
      </c>
      <c r="L653" s="56" t="s">
        <v>2402</v>
      </c>
      <c r="M653" s="55" t="s">
        <v>2391</v>
      </c>
      <c r="N653" s="56" t="s">
        <v>2392</v>
      </c>
      <c r="O653" s="53" t="s">
        <v>2055</v>
      </c>
      <c r="P653" s="56" t="s">
        <v>2403</v>
      </c>
      <c r="Q653" s="57">
        <v>17800</v>
      </c>
      <c r="R653" s="58" t="s">
        <v>8</v>
      </c>
      <c r="S653" s="57" t="s">
        <v>8</v>
      </c>
      <c r="T653" s="56" t="s">
        <v>2394</v>
      </c>
    </row>
    <row r="654" spans="1:20">
      <c r="A654" s="55">
        <v>129041040795</v>
      </c>
      <c r="B654" s="53" t="s">
        <v>2386</v>
      </c>
      <c r="C654" s="54">
        <v>45942</v>
      </c>
      <c r="D654" s="55">
        <v>51537323083</v>
      </c>
      <c r="E654" s="55">
        <v>2093107255730</v>
      </c>
      <c r="F654" s="56" t="s">
        <v>2387</v>
      </c>
      <c r="G654" s="56" t="s">
        <v>2388</v>
      </c>
      <c r="H654" s="56" t="s">
        <v>8</v>
      </c>
      <c r="I654" s="55" t="s">
        <v>8</v>
      </c>
      <c r="J654" s="57">
        <v>1002.01</v>
      </c>
      <c r="K654" s="56" t="s">
        <v>2389</v>
      </c>
      <c r="L654" s="56" t="s">
        <v>2390</v>
      </c>
      <c r="M654" s="55" t="s">
        <v>2391</v>
      </c>
      <c r="N654" s="56" t="s">
        <v>2392</v>
      </c>
      <c r="O654" s="53" t="s">
        <v>8</v>
      </c>
      <c r="P654" s="56" t="s">
        <v>2608</v>
      </c>
      <c r="Q654" s="57">
        <v>103300</v>
      </c>
      <c r="R654" s="58" t="s">
        <v>8</v>
      </c>
      <c r="S654" s="57" t="s">
        <v>8</v>
      </c>
      <c r="T654" s="56" t="s">
        <v>2394</v>
      </c>
    </row>
    <row r="655" spans="1:20">
      <c r="A655" s="55">
        <v>129041177509</v>
      </c>
      <c r="B655" s="53" t="s">
        <v>2386</v>
      </c>
      <c r="C655" s="54">
        <v>45942</v>
      </c>
      <c r="D655" s="55">
        <v>51537410625</v>
      </c>
      <c r="E655" s="55">
        <v>2093040698067</v>
      </c>
      <c r="F655" s="56" t="s">
        <v>2401</v>
      </c>
      <c r="G655" s="56" t="s">
        <v>2388</v>
      </c>
      <c r="H655" s="56" t="s">
        <v>8</v>
      </c>
      <c r="I655" s="55" t="s">
        <v>8</v>
      </c>
      <c r="J655" s="57">
        <v>1485.54</v>
      </c>
      <c r="K655" s="56" t="s">
        <v>2389</v>
      </c>
      <c r="L655" s="56" t="s">
        <v>2402</v>
      </c>
      <c r="M655" s="55" t="s">
        <v>2391</v>
      </c>
      <c r="N655" s="56" t="s">
        <v>2392</v>
      </c>
      <c r="O655" s="53" t="s">
        <v>2055</v>
      </c>
      <c r="P655" s="56" t="s">
        <v>2403</v>
      </c>
      <c r="Q655" s="57">
        <v>37800</v>
      </c>
      <c r="R655" s="58" t="s">
        <v>8</v>
      </c>
      <c r="S655" s="57" t="s">
        <v>8</v>
      </c>
      <c r="T655" s="56" t="s">
        <v>2394</v>
      </c>
    </row>
    <row r="656" spans="1:20">
      <c r="A656" s="55">
        <v>129041338131</v>
      </c>
      <c r="B656" s="53" t="s">
        <v>2386</v>
      </c>
      <c r="C656" s="54">
        <v>45942</v>
      </c>
      <c r="D656" s="55">
        <v>51537425943</v>
      </c>
      <c r="E656" s="55">
        <v>2093108477158</v>
      </c>
      <c r="F656" s="56" t="s">
        <v>2387</v>
      </c>
      <c r="G656" s="56" t="s">
        <v>2388</v>
      </c>
      <c r="H656" s="56" t="s">
        <v>8</v>
      </c>
      <c r="I656" s="55" t="s">
        <v>8</v>
      </c>
      <c r="J656" s="57">
        <v>465.6</v>
      </c>
      <c r="K656" s="56" t="s">
        <v>2389</v>
      </c>
      <c r="L656" s="56" t="s">
        <v>2390</v>
      </c>
      <c r="M656" s="55" t="s">
        <v>2391</v>
      </c>
      <c r="N656" s="56" t="s">
        <v>2392</v>
      </c>
      <c r="O656" s="53" t="s">
        <v>8</v>
      </c>
      <c r="P656" s="56" t="s">
        <v>2609</v>
      </c>
      <c r="Q656" s="57">
        <v>48000</v>
      </c>
      <c r="R656" s="58" t="s">
        <v>8</v>
      </c>
      <c r="S656" s="57" t="s">
        <v>8</v>
      </c>
      <c r="T656" s="56" t="s">
        <v>2394</v>
      </c>
    </row>
    <row r="657" spans="1:20">
      <c r="A657" s="55">
        <v>129041378905</v>
      </c>
      <c r="B657" s="53" t="s">
        <v>2386</v>
      </c>
      <c r="C657" s="54">
        <v>45942</v>
      </c>
      <c r="D657" s="55">
        <v>51537461424</v>
      </c>
      <c r="E657" s="55">
        <v>2093041452055</v>
      </c>
      <c r="F657" s="56" t="s">
        <v>2401</v>
      </c>
      <c r="G657" s="56" t="s">
        <v>2388</v>
      </c>
      <c r="H657" s="56" t="s">
        <v>8</v>
      </c>
      <c r="I657" s="55" t="s">
        <v>8</v>
      </c>
      <c r="J657" s="57">
        <v>1426.59</v>
      </c>
      <c r="K657" s="56" t="s">
        <v>2389</v>
      </c>
      <c r="L657" s="56" t="s">
        <v>2402</v>
      </c>
      <c r="M657" s="55" t="s">
        <v>2391</v>
      </c>
      <c r="N657" s="56" t="s">
        <v>2392</v>
      </c>
      <c r="O657" s="53" t="s">
        <v>2055</v>
      </c>
      <c r="P657" s="56" t="s">
        <v>2403</v>
      </c>
      <c r="Q657" s="57">
        <v>36300</v>
      </c>
      <c r="R657" s="58" t="s">
        <v>8</v>
      </c>
      <c r="S657" s="57" t="s">
        <v>8</v>
      </c>
      <c r="T657" s="56" t="s">
        <v>2394</v>
      </c>
    </row>
    <row r="658" spans="1:20">
      <c r="A658" s="55">
        <v>129041401037</v>
      </c>
      <c r="B658" s="53" t="s">
        <v>2386</v>
      </c>
      <c r="C658" s="54">
        <v>45942</v>
      </c>
      <c r="D658" s="55">
        <v>51537494378</v>
      </c>
      <c r="E658" s="55">
        <v>2093109611196</v>
      </c>
      <c r="F658" s="56" t="s">
        <v>2387</v>
      </c>
      <c r="G658" s="56" t="s">
        <v>2388</v>
      </c>
      <c r="H658" s="56" t="s">
        <v>8</v>
      </c>
      <c r="I658" s="55" t="s">
        <v>8</v>
      </c>
      <c r="J658" s="57">
        <v>86.33</v>
      </c>
      <c r="K658" s="56" t="s">
        <v>2389</v>
      </c>
      <c r="L658" s="56" t="s">
        <v>2390</v>
      </c>
      <c r="M658" s="55" t="s">
        <v>2391</v>
      </c>
      <c r="N658" s="56" t="s">
        <v>2392</v>
      </c>
      <c r="O658" s="53" t="s">
        <v>8</v>
      </c>
      <c r="P658" s="56" t="s">
        <v>2610</v>
      </c>
      <c r="Q658" s="57">
        <v>8900</v>
      </c>
      <c r="R658" s="58" t="s">
        <v>8</v>
      </c>
      <c r="S658" s="57" t="s">
        <v>8</v>
      </c>
      <c r="T658" s="56" t="s">
        <v>2394</v>
      </c>
    </row>
    <row r="659" spans="1:20">
      <c r="A659" s="55">
        <v>129614386934</v>
      </c>
      <c r="B659" s="53" t="s">
        <v>2386</v>
      </c>
      <c r="C659" s="54">
        <v>45942</v>
      </c>
      <c r="D659" s="55">
        <v>51537495338</v>
      </c>
      <c r="E659" s="55">
        <v>2093041757077</v>
      </c>
      <c r="F659" s="56" t="s">
        <v>2401</v>
      </c>
      <c r="G659" s="56" t="s">
        <v>2388</v>
      </c>
      <c r="H659" s="56" t="s">
        <v>8</v>
      </c>
      <c r="I659" s="55" t="s">
        <v>8</v>
      </c>
      <c r="J659" s="57">
        <v>2161.04</v>
      </c>
      <c r="K659" s="56" t="s">
        <v>2389</v>
      </c>
      <c r="L659" s="56" t="s">
        <v>2402</v>
      </c>
      <c r="M659" s="55" t="s">
        <v>2391</v>
      </c>
      <c r="N659" s="56" t="s">
        <v>2392</v>
      </c>
      <c r="O659" s="53" t="s">
        <v>2055</v>
      </c>
      <c r="P659" s="56" t="s">
        <v>2403</v>
      </c>
      <c r="Q659" s="57">
        <v>47600</v>
      </c>
      <c r="R659" s="58" t="s">
        <v>8</v>
      </c>
      <c r="S659" s="57" t="s">
        <v>8</v>
      </c>
      <c r="T659" s="56" t="s">
        <v>2394</v>
      </c>
    </row>
    <row r="660" spans="1:20">
      <c r="A660" s="55">
        <v>129614525496</v>
      </c>
      <c r="B660" s="53" t="s">
        <v>2386</v>
      </c>
      <c r="C660" s="54">
        <v>45942</v>
      </c>
      <c r="D660" s="55">
        <v>51537563049</v>
      </c>
      <c r="E660" s="55">
        <v>2093042926915</v>
      </c>
      <c r="F660" s="56" t="s">
        <v>2387</v>
      </c>
      <c r="G660" s="56" t="s">
        <v>2388</v>
      </c>
      <c r="H660" s="56" t="s">
        <v>8</v>
      </c>
      <c r="I660" s="55" t="s">
        <v>8</v>
      </c>
      <c r="J660" s="57">
        <v>455.9</v>
      </c>
      <c r="K660" s="56" t="s">
        <v>2389</v>
      </c>
      <c r="L660" s="56" t="s">
        <v>2390</v>
      </c>
      <c r="M660" s="55" t="s">
        <v>2391</v>
      </c>
      <c r="N660" s="56" t="s">
        <v>2392</v>
      </c>
      <c r="O660" s="53" t="s">
        <v>8</v>
      </c>
      <c r="P660" s="56" t="s">
        <v>2611</v>
      </c>
      <c r="Q660" s="57">
        <v>47000</v>
      </c>
      <c r="R660" s="58" t="s">
        <v>8</v>
      </c>
      <c r="S660" s="57" t="s">
        <v>8</v>
      </c>
      <c r="T660" s="56" t="s">
        <v>2394</v>
      </c>
    </row>
    <row r="661" spans="1:20">
      <c r="A661" s="55">
        <v>129614515948</v>
      </c>
      <c r="B661" s="53" t="s">
        <v>2386</v>
      </c>
      <c r="C661" s="54">
        <v>45942</v>
      </c>
      <c r="D661" s="55">
        <v>51537571321</v>
      </c>
      <c r="E661" s="55">
        <v>2093111152830</v>
      </c>
      <c r="F661" s="56" t="s">
        <v>2411</v>
      </c>
      <c r="G661" s="56" t="s">
        <v>2388</v>
      </c>
      <c r="H661" s="56" t="s">
        <v>8</v>
      </c>
      <c r="I661" s="55" t="s">
        <v>8</v>
      </c>
      <c r="J661" s="57">
        <v>93.12</v>
      </c>
      <c r="K661" s="56" t="s">
        <v>2389</v>
      </c>
      <c r="L661" s="56" t="s">
        <v>2390</v>
      </c>
      <c r="M661" s="55" t="s">
        <v>2391</v>
      </c>
      <c r="N661" s="56" t="s">
        <v>2392</v>
      </c>
      <c r="O661" s="53" t="s">
        <v>8</v>
      </c>
      <c r="P661" s="56" t="s">
        <v>2412</v>
      </c>
      <c r="Q661" s="57">
        <v>9600</v>
      </c>
      <c r="R661" s="58" t="s">
        <v>8</v>
      </c>
      <c r="S661" s="57" t="s">
        <v>8</v>
      </c>
      <c r="T661" s="56" t="s">
        <v>8</v>
      </c>
    </row>
    <row r="662" spans="1:20">
      <c r="A662" s="55">
        <v>129041884973</v>
      </c>
      <c r="B662" s="53" t="s">
        <v>2386</v>
      </c>
      <c r="C662" s="54">
        <v>45942</v>
      </c>
      <c r="D662" s="55">
        <v>51537636435</v>
      </c>
      <c r="E662" s="55">
        <v>2093111685214</v>
      </c>
      <c r="F662" s="56" t="s">
        <v>2411</v>
      </c>
      <c r="G662" s="56" t="s">
        <v>2388</v>
      </c>
      <c r="H662" s="56" t="s">
        <v>8</v>
      </c>
      <c r="I662" s="55" t="s">
        <v>8</v>
      </c>
      <c r="J662" s="57">
        <v>140.65</v>
      </c>
      <c r="K662" s="56" t="s">
        <v>2389</v>
      </c>
      <c r="L662" s="56" t="s">
        <v>2390</v>
      </c>
      <c r="M662" s="55" t="s">
        <v>2391</v>
      </c>
      <c r="N662" s="56" t="s">
        <v>2392</v>
      </c>
      <c r="O662" s="53" t="s">
        <v>8</v>
      </c>
      <c r="P662" s="56" t="s">
        <v>2412</v>
      </c>
      <c r="Q662" s="57">
        <v>14500</v>
      </c>
      <c r="R662" s="58" t="s">
        <v>8</v>
      </c>
      <c r="S662" s="57" t="s">
        <v>8</v>
      </c>
      <c r="T662" s="56" t="s">
        <v>8</v>
      </c>
    </row>
    <row r="663" spans="1:20">
      <c r="A663" s="55">
        <v>129042046381</v>
      </c>
      <c r="B663" s="53" t="s">
        <v>2386</v>
      </c>
      <c r="C663" s="54">
        <v>45942</v>
      </c>
      <c r="D663" s="55">
        <v>51537684462</v>
      </c>
      <c r="E663" s="55">
        <v>2093112462598</v>
      </c>
      <c r="F663" s="56" t="s">
        <v>2387</v>
      </c>
      <c r="G663" s="56" t="s">
        <v>2388</v>
      </c>
      <c r="H663" s="56" t="s">
        <v>8</v>
      </c>
      <c r="I663" s="55" t="s">
        <v>8</v>
      </c>
      <c r="J663" s="57">
        <v>319.13</v>
      </c>
      <c r="K663" s="56" t="s">
        <v>2389</v>
      </c>
      <c r="L663" s="56" t="s">
        <v>2390</v>
      </c>
      <c r="M663" s="55" t="s">
        <v>2391</v>
      </c>
      <c r="N663" s="56" t="s">
        <v>2392</v>
      </c>
      <c r="O663" s="53" t="s">
        <v>8</v>
      </c>
      <c r="P663" s="56" t="s">
        <v>2612</v>
      </c>
      <c r="Q663" s="57">
        <v>32900</v>
      </c>
      <c r="R663" s="58" t="s">
        <v>8</v>
      </c>
      <c r="S663" s="57" t="s">
        <v>8</v>
      </c>
      <c r="T663" s="56" t="s">
        <v>2394</v>
      </c>
    </row>
    <row r="664" spans="1:20">
      <c r="A664" s="55">
        <v>129042140311</v>
      </c>
      <c r="B664" s="53" t="s">
        <v>2386</v>
      </c>
      <c r="C664" s="54">
        <v>45942</v>
      </c>
      <c r="D664" s="55">
        <v>51537708711</v>
      </c>
      <c r="E664" s="55">
        <v>2093045037045</v>
      </c>
      <c r="F664" s="56" t="s">
        <v>2387</v>
      </c>
      <c r="G664" s="56" t="s">
        <v>2388</v>
      </c>
      <c r="H664" s="56" t="s">
        <v>8</v>
      </c>
      <c r="I664" s="55" t="s">
        <v>8</v>
      </c>
      <c r="J664" s="57">
        <v>291.97000000000003</v>
      </c>
      <c r="K664" s="56" t="s">
        <v>2389</v>
      </c>
      <c r="L664" s="56" t="s">
        <v>2390</v>
      </c>
      <c r="M664" s="55" t="s">
        <v>2391</v>
      </c>
      <c r="N664" s="56" t="s">
        <v>2392</v>
      </c>
      <c r="O664" s="53" t="s">
        <v>8</v>
      </c>
      <c r="P664" s="56" t="s">
        <v>2613</v>
      </c>
      <c r="Q664" s="57">
        <v>30100</v>
      </c>
      <c r="R664" s="58" t="s">
        <v>8</v>
      </c>
      <c r="S664" s="57" t="s">
        <v>8</v>
      </c>
      <c r="T664" s="56" t="s">
        <v>2394</v>
      </c>
    </row>
    <row r="665" spans="1:20">
      <c r="A665" s="55">
        <v>129614959172</v>
      </c>
      <c r="B665" s="53" t="s">
        <v>2386</v>
      </c>
      <c r="C665" s="54">
        <v>45942</v>
      </c>
      <c r="D665" s="55">
        <v>51537731913</v>
      </c>
      <c r="E665" s="55">
        <v>2093045683585</v>
      </c>
      <c r="F665" s="56" t="s">
        <v>2387</v>
      </c>
      <c r="G665" s="56" t="s">
        <v>2388</v>
      </c>
      <c r="H665" s="56" t="s">
        <v>8</v>
      </c>
      <c r="I665" s="55" t="s">
        <v>8</v>
      </c>
      <c r="J665" s="57">
        <v>123.19</v>
      </c>
      <c r="K665" s="56" t="s">
        <v>2389</v>
      </c>
      <c r="L665" s="56" t="s">
        <v>2390</v>
      </c>
      <c r="M665" s="55" t="s">
        <v>2391</v>
      </c>
      <c r="N665" s="56" t="s">
        <v>2392</v>
      </c>
      <c r="O665" s="53" t="s">
        <v>8</v>
      </c>
      <c r="P665" s="56" t="s">
        <v>2614</v>
      </c>
      <c r="Q665" s="57">
        <v>12700</v>
      </c>
      <c r="R665" s="58" t="s">
        <v>8</v>
      </c>
      <c r="S665" s="57" t="s">
        <v>8</v>
      </c>
      <c r="T665" s="56" t="s">
        <v>2394</v>
      </c>
    </row>
    <row r="666" spans="1:20">
      <c r="A666" s="55">
        <v>129615274552</v>
      </c>
      <c r="B666" s="53" t="s">
        <v>2386</v>
      </c>
      <c r="C666" s="54">
        <v>45942</v>
      </c>
      <c r="D666" s="55">
        <v>51537835055</v>
      </c>
      <c r="E666" s="55">
        <v>2093046857157</v>
      </c>
      <c r="F666" s="56" t="s">
        <v>2387</v>
      </c>
      <c r="G666" s="56" t="s">
        <v>2388</v>
      </c>
      <c r="H666" s="56" t="s">
        <v>8</v>
      </c>
      <c r="I666" s="55" t="s">
        <v>8</v>
      </c>
      <c r="J666" s="57">
        <v>99.91</v>
      </c>
      <c r="K666" s="56" t="s">
        <v>2389</v>
      </c>
      <c r="L666" s="56" t="s">
        <v>2390</v>
      </c>
      <c r="M666" s="55" t="s">
        <v>2391</v>
      </c>
      <c r="N666" s="56" t="s">
        <v>2392</v>
      </c>
      <c r="O666" s="53" t="s">
        <v>8</v>
      </c>
      <c r="P666" s="56" t="s">
        <v>2562</v>
      </c>
      <c r="Q666" s="57">
        <v>10300</v>
      </c>
      <c r="R666" s="58" t="s">
        <v>8</v>
      </c>
      <c r="S666" s="57" t="s">
        <v>8</v>
      </c>
      <c r="T666" s="56" t="s">
        <v>2394</v>
      </c>
    </row>
    <row r="667" spans="1:20">
      <c r="A667" s="55">
        <v>129615263844</v>
      </c>
      <c r="B667" s="53" t="s">
        <v>2386</v>
      </c>
      <c r="C667" s="54">
        <v>45942</v>
      </c>
      <c r="D667" s="55">
        <v>51537842564</v>
      </c>
      <c r="E667" s="55">
        <v>2093115302440</v>
      </c>
      <c r="F667" s="56" t="s">
        <v>2387</v>
      </c>
      <c r="G667" s="56" t="s">
        <v>2388</v>
      </c>
      <c r="H667" s="56" t="s">
        <v>8</v>
      </c>
      <c r="I667" s="55" t="s">
        <v>8</v>
      </c>
      <c r="J667" s="57">
        <v>126.1</v>
      </c>
      <c r="K667" s="56" t="s">
        <v>2389</v>
      </c>
      <c r="L667" s="56" t="s">
        <v>2390</v>
      </c>
      <c r="M667" s="55" t="s">
        <v>2391</v>
      </c>
      <c r="N667" s="56" t="s">
        <v>2392</v>
      </c>
      <c r="O667" s="53" t="s">
        <v>8</v>
      </c>
      <c r="P667" s="56" t="s">
        <v>2615</v>
      </c>
      <c r="Q667" s="57">
        <v>13000</v>
      </c>
      <c r="R667" s="58" t="s">
        <v>8</v>
      </c>
      <c r="S667" s="57" t="s">
        <v>8</v>
      </c>
      <c r="T667" s="56" t="s">
        <v>2394</v>
      </c>
    </row>
    <row r="668" spans="1:20">
      <c r="A668" s="55">
        <v>129042467745</v>
      </c>
      <c r="B668" s="53" t="s">
        <v>2386</v>
      </c>
      <c r="C668" s="54">
        <v>45942</v>
      </c>
      <c r="D668" s="55">
        <v>51537905127</v>
      </c>
      <c r="E668" s="55">
        <v>2093047899845</v>
      </c>
      <c r="F668" s="56" t="s">
        <v>2387</v>
      </c>
      <c r="G668" s="56" t="s">
        <v>2388</v>
      </c>
      <c r="H668" s="56" t="s">
        <v>8</v>
      </c>
      <c r="I668" s="55" t="s">
        <v>8</v>
      </c>
      <c r="J668" s="57">
        <v>238.62</v>
      </c>
      <c r="K668" s="56" t="s">
        <v>2389</v>
      </c>
      <c r="L668" s="56" t="s">
        <v>2390</v>
      </c>
      <c r="M668" s="55" t="s">
        <v>2391</v>
      </c>
      <c r="N668" s="56" t="s">
        <v>2392</v>
      </c>
      <c r="O668" s="53" t="s">
        <v>8</v>
      </c>
      <c r="P668" s="56" t="s">
        <v>2616</v>
      </c>
      <c r="Q668" s="57">
        <v>24600</v>
      </c>
      <c r="R668" s="58" t="s">
        <v>8</v>
      </c>
      <c r="S668" s="57" t="s">
        <v>8</v>
      </c>
      <c r="T668" s="56" t="s">
        <v>2394</v>
      </c>
    </row>
    <row r="669" spans="1:20">
      <c r="A669" s="55">
        <v>129043240467</v>
      </c>
      <c r="B669" s="53" t="s">
        <v>2386</v>
      </c>
      <c r="C669" s="54">
        <v>45942</v>
      </c>
      <c r="D669" s="55">
        <v>51538159832</v>
      </c>
      <c r="E669" s="55">
        <v>2093119758042</v>
      </c>
      <c r="F669" s="56" t="s">
        <v>2387</v>
      </c>
      <c r="G669" s="56" t="s">
        <v>2388</v>
      </c>
      <c r="H669" s="56" t="s">
        <v>8</v>
      </c>
      <c r="I669" s="55" t="s">
        <v>8</v>
      </c>
      <c r="J669" s="57">
        <v>95.06</v>
      </c>
      <c r="K669" s="56" t="s">
        <v>2389</v>
      </c>
      <c r="L669" s="56" t="s">
        <v>2390</v>
      </c>
      <c r="M669" s="55" t="s">
        <v>2391</v>
      </c>
      <c r="N669" s="56" t="s">
        <v>2392</v>
      </c>
      <c r="O669" s="53" t="s">
        <v>8</v>
      </c>
      <c r="P669" s="56" t="s">
        <v>2617</v>
      </c>
      <c r="Q669" s="57">
        <v>9800</v>
      </c>
      <c r="R669" s="58" t="s">
        <v>8</v>
      </c>
      <c r="S669" s="57" t="s">
        <v>8</v>
      </c>
      <c r="T669" s="56" t="s">
        <v>2394</v>
      </c>
    </row>
    <row r="670" spans="1:20">
      <c r="A670" s="55">
        <v>129043316565</v>
      </c>
      <c r="B670" s="53" t="s">
        <v>2386</v>
      </c>
      <c r="C670" s="54">
        <v>45942</v>
      </c>
      <c r="D670" s="55">
        <v>51538172511</v>
      </c>
      <c r="E670" s="55">
        <v>2093120271228</v>
      </c>
      <c r="F670" s="56" t="s">
        <v>2387</v>
      </c>
      <c r="G670" s="56" t="s">
        <v>2388</v>
      </c>
      <c r="H670" s="56" t="s">
        <v>8</v>
      </c>
      <c r="I670" s="55" t="s">
        <v>8</v>
      </c>
      <c r="J670" s="57">
        <v>89.24</v>
      </c>
      <c r="K670" s="56" t="s">
        <v>2389</v>
      </c>
      <c r="L670" s="56" t="s">
        <v>2390</v>
      </c>
      <c r="M670" s="55" t="s">
        <v>2391</v>
      </c>
      <c r="N670" s="56" t="s">
        <v>2392</v>
      </c>
      <c r="O670" s="53" t="s">
        <v>8</v>
      </c>
      <c r="P670" s="56" t="s">
        <v>2618</v>
      </c>
      <c r="Q670" s="57">
        <v>9200</v>
      </c>
      <c r="R670" s="58" t="s">
        <v>8</v>
      </c>
      <c r="S670" s="57" t="s">
        <v>8</v>
      </c>
      <c r="T670" s="56" t="s">
        <v>2394</v>
      </c>
    </row>
    <row r="671" spans="1:20">
      <c r="A671" s="55">
        <v>129043313181</v>
      </c>
      <c r="B671" s="53" t="s">
        <v>2386</v>
      </c>
      <c r="C671" s="54">
        <v>45942</v>
      </c>
      <c r="D671" s="55">
        <v>51538207831</v>
      </c>
      <c r="E671" s="55">
        <v>2093052809115</v>
      </c>
      <c r="F671" s="56" t="s">
        <v>2387</v>
      </c>
      <c r="G671" s="56" t="s">
        <v>2388</v>
      </c>
      <c r="H671" s="56" t="s">
        <v>8</v>
      </c>
      <c r="I671" s="55" t="s">
        <v>8</v>
      </c>
      <c r="J671" s="57">
        <v>490.82</v>
      </c>
      <c r="K671" s="56" t="s">
        <v>2389</v>
      </c>
      <c r="L671" s="56" t="s">
        <v>2390</v>
      </c>
      <c r="M671" s="55" t="s">
        <v>2391</v>
      </c>
      <c r="N671" s="56" t="s">
        <v>2392</v>
      </c>
      <c r="O671" s="53" t="s">
        <v>8</v>
      </c>
      <c r="P671" s="56" t="s">
        <v>2619</v>
      </c>
      <c r="Q671" s="57">
        <v>50600</v>
      </c>
      <c r="R671" s="58" t="s">
        <v>8</v>
      </c>
      <c r="S671" s="57" t="s">
        <v>8</v>
      </c>
      <c r="T671" s="56" t="s">
        <v>2394</v>
      </c>
    </row>
    <row r="672" spans="1:20">
      <c r="A672" s="55">
        <v>129043545109</v>
      </c>
      <c r="B672" s="53" t="s">
        <v>2386</v>
      </c>
      <c r="C672" s="54">
        <v>45942</v>
      </c>
      <c r="D672" s="55">
        <v>51538278104</v>
      </c>
      <c r="E672" s="55">
        <v>2093121812398</v>
      </c>
      <c r="F672" s="56" t="s">
        <v>2387</v>
      </c>
      <c r="G672" s="56" t="s">
        <v>2388</v>
      </c>
      <c r="H672" s="56" t="s">
        <v>8</v>
      </c>
      <c r="I672" s="55" t="s">
        <v>8</v>
      </c>
      <c r="J672" s="57">
        <v>81.48</v>
      </c>
      <c r="K672" s="56" t="s">
        <v>2389</v>
      </c>
      <c r="L672" s="56" t="s">
        <v>2390</v>
      </c>
      <c r="M672" s="55" t="s">
        <v>2391</v>
      </c>
      <c r="N672" s="56" t="s">
        <v>2392</v>
      </c>
      <c r="O672" s="53" t="s">
        <v>8</v>
      </c>
      <c r="P672" s="56" t="s">
        <v>2620</v>
      </c>
      <c r="Q672" s="57">
        <v>8400</v>
      </c>
      <c r="R672" s="58" t="s">
        <v>8</v>
      </c>
      <c r="S672" s="57" t="s">
        <v>8</v>
      </c>
      <c r="T672" s="56" t="s">
        <v>2394</v>
      </c>
    </row>
    <row r="673" spans="1:20">
      <c r="A673" s="55">
        <v>129043666455</v>
      </c>
      <c r="B673" s="53" t="s">
        <v>2386</v>
      </c>
      <c r="C673" s="54">
        <v>45942</v>
      </c>
      <c r="D673" s="55">
        <v>51538293143</v>
      </c>
      <c r="E673" s="55">
        <v>2093121896010</v>
      </c>
      <c r="F673" s="56" t="s">
        <v>2401</v>
      </c>
      <c r="G673" s="56" t="s">
        <v>2388</v>
      </c>
      <c r="H673" s="56" t="s">
        <v>8</v>
      </c>
      <c r="I673" s="55" t="s">
        <v>8</v>
      </c>
      <c r="J673" s="57">
        <v>390.44</v>
      </c>
      <c r="K673" s="56" t="s">
        <v>2389</v>
      </c>
      <c r="L673" s="56" t="s">
        <v>2402</v>
      </c>
      <c r="M673" s="55" t="s">
        <v>2391</v>
      </c>
      <c r="N673" s="56" t="s">
        <v>2392</v>
      </c>
      <c r="O673" s="53" t="s">
        <v>2055</v>
      </c>
      <c r="P673" s="56" t="s">
        <v>2403</v>
      </c>
      <c r="Q673" s="57">
        <v>8600</v>
      </c>
      <c r="R673" s="58" t="s">
        <v>8</v>
      </c>
      <c r="S673" s="57" t="s">
        <v>8</v>
      </c>
      <c r="T673" s="56" t="s">
        <v>2394</v>
      </c>
    </row>
    <row r="674" spans="1:20">
      <c r="A674" s="55">
        <v>129043708273</v>
      </c>
      <c r="B674" s="53" t="s">
        <v>2386</v>
      </c>
      <c r="C674" s="54">
        <v>45942</v>
      </c>
      <c r="D674" s="55">
        <v>51538310835</v>
      </c>
      <c r="E674" s="55">
        <v>2093054366301</v>
      </c>
      <c r="F674" s="56" t="s">
        <v>2401</v>
      </c>
      <c r="G674" s="56" t="s">
        <v>2388</v>
      </c>
      <c r="H674" s="56" t="s">
        <v>8</v>
      </c>
      <c r="I674" s="55" t="s">
        <v>8</v>
      </c>
      <c r="J674" s="57">
        <v>3611.67</v>
      </c>
      <c r="K674" s="56" t="s">
        <v>2389</v>
      </c>
      <c r="L674" s="56" t="s">
        <v>2402</v>
      </c>
      <c r="M674" s="55" t="s">
        <v>2391</v>
      </c>
      <c r="N674" s="56" t="s">
        <v>2392</v>
      </c>
      <c r="O674" s="53" t="s">
        <v>2055</v>
      </c>
      <c r="P674" s="56" t="s">
        <v>2403</v>
      </c>
      <c r="Q674" s="57">
        <v>91900</v>
      </c>
      <c r="R674" s="58" t="s">
        <v>8</v>
      </c>
      <c r="S674" s="57" t="s">
        <v>8</v>
      </c>
      <c r="T674" s="56" t="s">
        <v>2394</v>
      </c>
    </row>
    <row r="675" spans="1:20">
      <c r="A675" s="55">
        <v>129043974077</v>
      </c>
      <c r="B675" s="53" t="s">
        <v>2386</v>
      </c>
      <c r="C675" s="54">
        <v>45942</v>
      </c>
      <c r="D675" s="55">
        <v>51538473538</v>
      </c>
      <c r="E675" s="55">
        <v>2093124871954</v>
      </c>
      <c r="F675" s="56" t="s">
        <v>2387</v>
      </c>
      <c r="G675" s="56" t="s">
        <v>2388</v>
      </c>
      <c r="H675" s="56" t="s">
        <v>8</v>
      </c>
      <c r="I675" s="55" t="s">
        <v>8</v>
      </c>
      <c r="J675" s="57">
        <v>250.26</v>
      </c>
      <c r="K675" s="56" t="s">
        <v>2389</v>
      </c>
      <c r="L675" s="56" t="s">
        <v>2390</v>
      </c>
      <c r="M675" s="55" t="s">
        <v>2391</v>
      </c>
      <c r="N675" s="56" t="s">
        <v>2392</v>
      </c>
      <c r="O675" s="53" t="s">
        <v>8</v>
      </c>
      <c r="P675" s="56" t="s">
        <v>2621</v>
      </c>
      <c r="Q675" s="57">
        <v>25800</v>
      </c>
      <c r="R675" s="58" t="s">
        <v>8</v>
      </c>
      <c r="S675" s="57" t="s">
        <v>8</v>
      </c>
      <c r="T675" s="56" t="s">
        <v>2394</v>
      </c>
    </row>
    <row r="676" spans="1:20">
      <c r="A676" s="55">
        <v>129044065429</v>
      </c>
      <c r="B676" s="53" t="s">
        <v>2386</v>
      </c>
      <c r="C676" s="54">
        <v>45942</v>
      </c>
      <c r="D676" s="55">
        <v>51538534927</v>
      </c>
      <c r="E676" s="55">
        <v>2093125403636</v>
      </c>
      <c r="F676" s="56" t="s">
        <v>2401</v>
      </c>
      <c r="G676" s="56" t="s">
        <v>2388</v>
      </c>
      <c r="H676" s="56" t="s">
        <v>8</v>
      </c>
      <c r="I676" s="55" t="s">
        <v>8</v>
      </c>
      <c r="J676" s="57">
        <v>1858.89</v>
      </c>
      <c r="K676" s="56" t="s">
        <v>2389</v>
      </c>
      <c r="L676" s="56" t="s">
        <v>2402</v>
      </c>
      <c r="M676" s="55" t="s">
        <v>2391</v>
      </c>
      <c r="N676" s="56" t="s">
        <v>2392</v>
      </c>
      <c r="O676" s="53" t="s">
        <v>2055</v>
      </c>
      <c r="P676" s="56" t="s">
        <v>2403</v>
      </c>
      <c r="Q676" s="57">
        <v>47300</v>
      </c>
      <c r="R676" s="58" t="s">
        <v>8</v>
      </c>
      <c r="S676" s="57" t="s">
        <v>8</v>
      </c>
      <c r="T676" s="56" t="s">
        <v>2394</v>
      </c>
    </row>
    <row r="677" spans="1:20">
      <c r="A677" s="55">
        <v>129617259534</v>
      </c>
      <c r="B677" s="53" t="s">
        <v>2386</v>
      </c>
      <c r="C677" s="54">
        <v>45942</v>
      </c>
      <c r="D677" s="55">
        <v>51538619132</v>
      </c>
      <c r="E677" s="55">
        <v>2093058757787</v>
      </c>
      <c r="F677" s="56" t="s">
        <v>2387</v>
      </c>
      <c r="G677" s="56" t="s">
        <v>2388</v>
      </c>
      <c r="H677" s="56" t="s">
        <v>8</v>
      </c>
      <c r="I677" s="55" t="s">
        <v>8</v>
      </c>
      <c r="J677" s="57">
        <v>102.82</v>
      </c>
      <c r="K677" s="56" t="s">
        <v>2389</v>
      </c>
      <c r="L677" s="56" t="s">
        <v>2390</v>
      </c>
      <c r="M677" s="55" t="s">
        <v>2391</v>
      </c>
      <c r="N677" s="56" t="s">
        <v>2392</v>
      </c>
      <c r="O677" s="53" t="s">
        <v>8</v>
      </c>
      <c r="P677" s="56" t="s">
        <v>2420</v>
      </c>
      <c r="Q677" s="57">
        <v>10600</v>
      </c>
      <c r="R677" s="58" t="s">
        <v>8</v>
      </c>
      <c r="S677" s="57" t="s">
        <v>8</v>
      </c>
      <c r="T677" s="56" t="s">
        <v>2394</v>
      </c>
    </row>
    <row r="678" spans="1:20">
      <c r="A678" s="55">
        <v>129044322707</v>
      </c>
      <c r="B678" s="53" t="s">
        <v>2386</v>
      </c>
      <c r="C678" s="54">
        <v>45942</v>
      </c>
      <c r="D678" s="55">
        <v>51538630516</v>
      </c>
      <c r="E678" s="55">
        <v>2093059015497</v>
      </c>
      <c r="F678" s="56" t="s">
        <v>2401</v>
      </c>
      <c r="G678" s="56" t="s">
        <v>2388</v>
      </c>
      <c r="H678" s="56" t="s">
        <v>8</v>
      </c>
      <c r="I678" s="55" t="s">
        <v>8</v>
      </c>
      <c r="J678" s="57">
        <v>3132.21</v>
      </c>
      <c r="K678" s="56" t="s">
        <v>2389</v>
      </c>
      <c r="L678" s="56" t="s">
        <v>2402</v>
      </c>
      <c r="M678" s="55" t="s">
        <v>2391</v>
      </c>
      <c r="N678" s="56" t="s">
        <v>2392</v>
      </c>
      <c r="O678" s="53" t="s">
        <v>2055</v>
      </c>
      <c r="P678" s="56" t="s">
        <v>2403</v>
      </c>
      <c r="Q678" s="57">
        <v>79700</v>
      </c>
      <c r="R678" s="58" t="s">
        <v>8</v>
      </c>
      <c r="S678" s="57" t="s">
        <v>8</v>
      </c>
      <c r="T678" s="56" t="s">
        <v>2394</v>
      </c>
    </row>
    <row r="679" spans="1:20">
      <c r="A679" s="55">
        <v>129044360883</v>
      </c>
      <c r="B679" s="53" t="s">
        <v>2386</v>
      </c>
      <c r="C679" s="54">
        <v>45942</v>
      </c>
      <c r="D679" s="55">
        <v>51538643607</v>
      </c>
      <c r="E679" s="55">
        <v>2093059475437</v>
      </c>
      <c r="F679" s="56" t="s">
        <v>2387</v>
      </c>
      <c r="G679" s="56" t="s">
        <v>2388</v>
      </c>
      <c r="H679" s="56" t="s">
        <v>8</v>
      </c>
      <c r="I679" s="55" t="s">
        <v>8</v>
      </c>
      <c r="J679" s="57">
        <v>366.66</v>
      </c>
      <c r="K679" s="56" t="s">
        <v>2389</v>
      </c>
      <c r="L679" s="56" t="s">
        <v>2390</v>
      </c>
      <c r="M679" s="55" t="s">
        <v>2391</v>
      </c>
      <c r="N679" s="56" t="s">
        <v>2392</v>
      </c>
      <c r="O679" s="53" t="s">
        <v>8</v>
      </c>
      <c r="P679" s="56" t="s">
        <v>2483</v>
      </c>
      <c r="Q679" s="57">
        <v>37800</v>
      </c>
      <c r="R679" s="58" t="s">
        <v>8</v>
      </c>
      <c r="S679" s="57" t="s">
        <v>8</v>
      </c>
      <c r="T679" s="56" t="s">
        <v>2394</v>
      </c>
    </row>
    <row r="680" spans="1:20">
      <c r="A680" s="55">
        <v>129044603083</v>
      </c>
      <c r="B680" s="53" t="s">
        <v>2386</v>
      </c>
      <c r="C680" s="54">
        <v>45942</v>
      </c>
      <c r="D680" s="55">
        <v>51538760520</v>
      </c>
      <c r="E680" s="55">
        <v>2093128547516</v>
      </c>
      <c r="F680" s="56" t="s">
        <v>2401</v>
      </c>
      <c r="G680" s="56" t="s">
        <v>2388</v>
      </c>
      <c r="H680" s="56" t="s">
        <v>8</v>
      </c>
      <c r="I680" s="55" t="s">
        <v>8</v>
      </c>
      <c r="J680" s="57">
        <v>1377.41</v>
      </c>
      <c r="K680" s="56" t="s">
        <v>2389</v>
      </c>
      <c r="L680" s="56" t="s">
        <v>2402</v>
      </c>
      <c r="M680" s="55" t="s">
        <v>2391</v>
      </c>
      <c r="N680" s="56" t="s">
        <v>2392</v>
      </c>
      <c r="O680" s="53" t="s">
        <v>2055</v>
      </c>
      <c r="P680" s="56" t="s">
        <v>2403</v>
      </c>
      <c r="Q680" s="57">
        <v>18100</v>
      </c>
      <c r="R680" s="58" t="s">
        <v>8</v>
      </c>
      <c r="S680" s="57" t="s">
        <v>8</v>
      </c>
      <c r="T680" s="56" t="s">
        <v>2394</v>
      </c>
    </row>
    <row r="681" spans="1:20">
      <c r="A681" s="55">
        <v>129617996694</v>
      </c>
      <c r="B681" s="53" t="s">
        <v>2386</v>
      </c>
      <c r="C681" s="54">
        <v>45942</v>
      </c>
      <c r="D681" s="55">
        <v>51538913771</v>
      </c>
      <c r="E681" s="55">
        <v>2093063499723</v>
      </c>
      <c r="F681" s="56" t="s">
        <v>2401</v>
      </c>
      <c r="G681" s="56" t="s">
        <v>2388</v>
      </c>
      <c r="H681" s="56" t="s">
        <v>8</v>
      </c>
      <c r="I681" s="55" t="s">
        <v>8</v>
      </c>
      <c r="J681" s="57">
        <v>363.2</v>
      </c>
      <c r="K681" s="56" t="s">
        <v>2389</v>
      </c>
      <c r="L681" s="56" t="s">
        <v>2402</v>
      </c>
      <c r="M681" s="55" t="s">
        <v>2391</v>
      </c>
      <c r="N681" s="56" t="s">
        <v>2392</v>
      </c>
      <c r="O681" s="53" t="s">
        <v>2055</v>
      </c>
      <c r="P681" s="56" t="s">
        <v>2403</v>
      </c>
      <c r="Q681" s="57">
        <v>8000</v>
      </c>
      <c r="R681" s="58" t="s">
        <v>8</v>
      </c>
      <c r="S681" s="57" t="s">
        <v>8</v>
      </c>
      <c r="T681" s="56" t="s">
        <v>2394</v>
      </c>
    </row>
    <row r="682" spans="1:20">
      <c r="A682" s="55">
        <v>129045120785</v>
      </c>
      <c r="B682" s="53" t="s">
        <v>2386</v>
      </c>
      <c r="C682" s="54">
        <v>45942</v>
      </c>
      <c r="D682" s="55">
        <v>51538916417</v>
      </c>
      <c r="E682" s="55">
        <v>2093063016977</v>
      </c>
      <c r="F682" s="56" t="s">
        <v>2401</v>
      </c>
      <c r="G682" s="56" t="s">
        <v>2388</v>
      </c>
      <c r="H682" s="56" t="s">
        <v>8</v>
      </c>
      <c r="I682" s="55" t="s">
        <v>8</v>
      </c>
      <c r="J682" s="57">
        <v>10585.51</v>
      </c>
      <c r="K682" s="56" t="s">
        <v>2389</v>
      </c>
      <c r="L682" s="56" t="s">
        <v>2402</v>
      </c>
      <c r="M682" s="55" t="s">
        <v>2391</v>
      </c>
      <c r="N682" s="56" t="s">
        <v>2392</v>
      </c>
      <c r="O682" s="53" t="s">
        <v>2055</v>
      </c>
      <c r="P682" s="56" t="s">
        <v>2403</v>
      </c>
      <c r="Q682" s="57">
        <v>139100</v>
      </c>
      <c r="R682" s="58" t="s">
        <v>8</v>
      </c>
      <c r="S682" s="57" t="s">
        <v>8</v>
      </c>
      <c r="T682" s="56" t="s">
        <v>2394</v>
      </c>
    </row>
    <row r="683" spans="1:20">
      <c r="A683" s="55">
        <v>129045122761</v>
      </c>
      <c r="B683" s="53" t="s">
        <v>2386</v>
      </c>
      <c r="C683" s="54">
        <v>45942</v>
      </c>
      <c r="D683" s="55">
        <v>51538925323</v>
      </c>
      <c r="E683" s="55">
        <v>2093063100601</v>
      </c>
      <c r="F683" s="56" t="s">
        <v>2411</v>
      </c>
      <c r="G683" s="56" t="s">
        <v>2388</v>
      </c>
      <c r="H683" s="56" t="s">
        <v>8</v>
      </c>
      <c r="I683" s="55" t="s">
        <v>8</v>
      </c>
      <c r="J683" s="57">
        <v>137.74</v>
      </c>
      <c r="K683" s="56" t="s">
        <v>2389</v>
      </c>
      <c r="L683" s="56" t="s">
        <v>2390</v>
      </c>
      <c r="M683" s="55" t="s">
        <v>2391</v>
      </c>
      <c r="N683" s="56" t="s">
        <v>2392</v>
      </c>
      <c r="O683" s="53" t="s">
        <v>8</v>
      </c>
      <c r="P683" s="56" t="s">
        <v>2412</v>
      </c>
      <c r="Q683" s="57">
        <v>14200</v>
      </c>
      <c r="R683" s="58" t="s">
        <v>8</v>
      </c>
      <c r="S683" s="57" t="s">
        <v>8</v>
      </c>
      <c r="T683" s="56" t="s">
        <v>8</v>
      </c>
    </row>
    <row r="684" spans="1:20">
      <c r="A684" s="55">
        <v>129045288133</v>
      </c>
      <c r="B684" s="53" t="s">
        <v>2386</v>
      </c>
      <c r="C684" s="54">
        <v>45942</v>
      </c>
      <c r="D684" s="55">
        <v>51538971300</v>
      </c>
      <c r="E684" s="55">
        <v>2093064095431</v>
      </c>
      <c r="F684" s="56" t="s">
        <v>2387</v>
      </c>
      <c r="G684" s="56" t="s">
        <v>2388</v>
      </c>
      <c r="H684" s="56" t="s">
        <v>8</v>
      </c>
      <c r="I684" s="55" t="s">
        <v>8</v>
      </c>
      <c r="J684" s="57">
        <v>93.12</v>
      </c>
      <c r="K684" s="56" t="s">
        <v>2389</v>
      </c>
      <c r="L684" s="56" t="s">
        <v>2390</v>
      </c>
      <c r="M684" s="55" t="s">
        <v>2391</v>
      </c>
      <c r="N684" s="56" t="s">
        <v>2392</v>
      </c>
      <c r="O684" s="53" t="s">
        <v>8</v>
      </c>
      <c r="P684" s="56" t="s">
        <v>2622</v>
      </c>
      <c r="Q684" s="57">
        <v>9600</v>
      </c>
      <c r="R684" s="58" t="s">
        <v>8</v>
      </c>
      <c r="S684" s="57" t="s">
        <v>8</v>
      </c>
      <c r="T684" s="56" t="s">
        <v>2394</v>
      </c>
    </row>
    <row r="685" spans="1:20">
      <c r="A685" s="55">
        <v>129045319317</v>
      </c>
      <c r="B685" s="53" t="s">
        <v>2386</v>
      </c>
      <c r="C685" s="54">
        <v>45942</v>
      </c>
      <c r="D685" s="55">
        <v>51539028135</v>
      </c>
      <c r="E685" s="55">
        <v>2093132722106</v>
      </c>
      <c r="F685" s="56" t="s">
        <v>2387</v>
      </c>
      <c r="G685" s="56" t="s">
        <v>2388</v>
      </c>
      <c r="H685" s="56" t="s">
        <v>8</v>
      </c>
      <c r="I685" s="55" t="s">
        <v>8</v>
      </c>
      <c r="J685" s="57">
        <v>267.72000000000003</v>
      </c>
      <c r="K685" s="56" t="s">
        <v>2389</v>
      </c>
      <c r="L685" s="56" t="s">
        <v>2390</v>
      </c>
      <c r="M685" s="55" t="s">
        <v>2391</v>
      </c>
      <c r="N685" s="56" t="s">
        <v>2392</v>
      </c>
      <c r="O685" s="53" t="s">
        <v>8</v>
      </c>
      <c r="P685" s="56" t="s">
        <v>2623</v>
      </c>
      <c r="Q685" s="57">
        <v>27600</v>
      </c>
      <c r="R685" s="58" t="s">
        <v>8</v>
      </c>
      <c r="S685" s="57" t="s">
        <v>8</v>
      </c>
      <c r="T685" s="56" t="s">
        <v>2394</v>
      </c>
    </row>
    <row r="686" spans="1:20">
      <c r="A686" s="55">
        <v>129045423297</v>
      </c>
      <c r="B686" s="53" t="s">
        <v>2386</v>
      </c>
      <c r="C686" s="54">
        <v>45942</v>
      </c>
      <c r="D686" s="55">
        <v>51539041629</v>
      </c>
      <c r="E686" s="55">
        <v>2093133366314</v>
      </c>
      <c r="F686" s="56" t="s">
        <v>2387</v>
      </c>
      <c r="G686" s="56" t="s">
        <v>2388</v>
      </c>
      <c r="H686" s="56" t="s">
        <v>8</v>
      </c>
      <c r="I686" s="55" t="s">
        <v>8</v>
      </c>
      <c r="J686" s="57">
        <v>141.62</v>
      </c>
      <c r="K686" s="56" t="s">
        <v>2389</v>
      </c>
      <c r="L686" s="56" t="s">
        <v>2390</v>
      </c>
      <c r="M686" s="55" t="s">
        <v>2391</v>
      </c>
      <c r="N686" s="56" t="s">
        <v>2392</v>
      </c>
      <c r="O686" s="53" t="s">
        <v>8</v>
      </c>
      <c r="P686" s="56" t="s">
        <v>2624</v>
      </c>
      <c r="Q686" s="57">
        <v>14600</v>
      </c>
      <c r="R686" s="58" t="s">
        <v>8</v>
      </c>
      <c r="S686" s="57" t="s">
        <v>8</v>
      </c>
      <c r="T686" s="56" t="s">
        <v>2394</v>
      </c>
    </row>
    <row r="687" spans="1:20">
      <c r="A687" s="55">
        <v>129618551002</v>
      </c>
      <c r="B687" s="53" t="s">
        <v>2386</v>
      </c>
      <c r="C687" s="54">
        <v>45942</v>
      </c>
      <c r="D687" s="55">
        <v>51539124069</v>
      </c>
      <c r="E687" s="55">
        <v>2093066350733</v>
      </c>
      <c r="F687" s="56" t="s">
        <v>2387</v>
      </c>
      <c r="G687" s="56" t="s">
        <v>2388</v>
      </c>
      <c r="H687" s="56" t="s">
        <v>8</v>
      </c>
      <c r="I687" s="55" t="s">
        <v>8</v>
      </c>
      <c r="J687" s="57">
        <v>1088.3399999999999</v>
      </c>
      <c r="K687" s="56" t="s">
        <v>2389</v>
      </c>
      <c r="L687" s="56" t="s">
        <v>2390</v>
      </c>
      <c r="M687" s="55" t="s">
        <v>2391</v>
      </c>
      <c r="N687" s="56" t="s">
        <v>2392</v>
      </c>
      <c r="O687" s="53" t="s">
        <v>8</v>
      </c>
      <c r="P687" s="56" t="s">
        <v>2625</v>
      </c>
      <c r="Q687" s="57">
        <v>112200</v>
      </c>
      <c r="R687" s="58" t="s">
        <v>8</v>
      </c>
      <c r="S687" s="57" t="s">
        <v>8</v>
      </c>
      <c r="T687" s="56" t="s">
        <v>2394</v>
      </c>
    </row>
    <row r="688" spans="1:20">
      <c r="A688" s="55">
        <v>129618619096</v>
      </c>
      <c r="B688" s="53" t="s">
        <v>2386</v>
      </c>
      <c r="C688" s="54">
        <v>45942</v>
      </c>
      <c r="D688" s="55">
        <v>51539150588</v>
      </c>
      <c r="E688" s="55">
        <v>2093134717454</v>
      </c>
      <c r="F688" s="56" t="s">
        <v>2401</v>
      </c>
      <c r="G688" s="56" t="s">
        <v>2388</v>
      </c>
      <c r="H688" s="56" t="s">
        <v>8</v>
      </c>
      <c r="I688" s="55" t="s">
        <v>8</v>
      </c>
      <c r="J688" s="57">
        <v>377.28</v>
      </c>
      <c r="K688" s="56" t="s">
        <v>2389</v>
      </c>
      <c r="L688" s="56" t="s">
        <v>2402</v>
      </c>
      <c r="M688" s="55" t="s">
        <v>2391</v>
      </c>
      <c r="N688" s="56" t="s">
        <v>2392</v>
      </c>
      <c r="O688" s="53" t="s">
        <v>2055</v>
      </c>
      <c r="P688" s="56" t="s">
        <v>2403</v>
      </c>
      <c r="Q688" s="57">
        <v>9600</v>
      </c>
      <c r="R688" s="58" t="s">
        <v>8</v>
      </c>
      <c r="S688" s="57" t="s">
        <v>8</v>
      </c>
      <c r="T688" s="56" t="s">
        <v>2394</v>
      </c>
    </row>
    <row r="689" spans="1:20">
      <c r="A689" s="55">
        <v>129045868221</v>
      </c>
      <c r="B689" s="53" t="s">
        <v>2386</v>
      </c>
      <c r="C689" s="54">
        <v>45942</v>
      </c>
      <c r="D689" s="55">
        <v>51539214053</v>
      </c>
      <c r="E689" s="55">
        <v>2093135919312</v>
      </c>
      <c r="F689" s="56" t="s">
        <v>2401</v>
      </c>
      <c r="G689" s="56" t="s">
        <v>2388</v>
      </c>
      <c r="H689" s="56" t="s">
        <v>8</v>
      </c>
      <c r="I689" s="55" t="s">
        <v>8</v>
      </c>
      <c r="J689" s="57">
        <v>188.64</v>
      </c>
      <c r="K689" s="56" t="s">
        <v>2389</v>
      </c>
      <c r="L689" s="56" t="s">
        <v>2402</v>
      </c>
      <c r="M689" s="55" t="s">
        <v>2391</v>
      </c>
      <c r="N689" s="56" t="s">
        <v>2392</v>
      </c>
      <c r="O689" s="53" t="s">
        <v>2055</v>
      </c>
      <c r="P689" s="56" t="s">
        <v>2403</v>
      </c>
      <c r="Q689" s="57">
        <v>4800</v>
      </c>
      <c r="R689" s="58" t="s">
        <v>8</v>
      </c>
      <c r="S689" s="57" t="s">
        <v>8</v>
      </c>
      <c r="T689" s="56" t="s">
        <v>2394</v>
      </c>
    </row>
    <row r="690" spans="1:20">
      <c r="A690" s="55">
        <v>129046696415</v>
      </c>
      <c r="B690" s="53" t="s">
        <v>2386</v>
      </c>
      <c r="C690" s="54">
        <v>45942</v>
      </c>
      <c r="D690" s="55">
        <v>51539557748</v>
      </c>
      <c r="E690" s="55">
        <v>2093072709633</v>
      </c>
      <c r="F690" s="56" t="s">
        <v>2411</v>
      </c>
      <c r="G690" s="56" t="s">
        <v>2388</v>
      </c>
      <c r="H690" s="56" t="s">
        <v>8</v>
      </c>
      <c r="I690" s="55" t="s">
        <v>8</v>
      </c>
      <c r="J690" s="57">
        <v>93.12</v>
      </c>
      <c r="K690" s="56" t="s">
        <v>2389</v>
      </c>
      <c r="L690" s="56" t="s">
        <v>2390</v>
      </c>
      <c r="M690" s="55" t="s">
        <v>2391</v>
      </c>
      <c r="N690" s="56" t="s">
        <v>2392</v>
      </c>
      <c r="O690" s="53" t="s">
        <v>8</v>
      </c>
      <c r="P690" s="56" t="s">
        <v>2412</v>
      </c>
      <c r="Q690" s="57">
        <v>9600</v>
      </c>
      <c r="R690" s="58" t="s">
        <v>8</v>
      </c>
      <c r="S690" s="57" t="s">
        <v>8</v>
      </c>
      <c r="T690" s="56" t="s">
        <v>8</v>
      </c>
    </row>
    <row r="691" spans="1:20">
      <c r="A691" s="55">
        <v>129046863069</v>
      </c>
      <c r="B691" s="53" t="s">
        <v>2386</v>
      </c>
      <c r="C691" s="54">
        <v>45942</v>
      </c>
      <c r="D691" s="55">
        <v>51539649569</v>
      </c>
      <c r="E691" s="55">
        <v>2093074396865</v>
      </c>
      <c r="F691" s="56" t="s">
        <v>2387</v>
      </c>
      <c r="G691" s="56" t="s">
        <v>2388</v>
      </c>
      <c r="H691" s="56" t="s">
        <v>8</v>
      </c>
      <c r="I691" s="55" t="s">
        <v>8</v>
      </c>
      <c r="J691" s="57">
        <v>95.06</v>
      </c>
      <c r="K691" s="56" t="s">
        <v>2389</v>
      </c>
      <c r="L691" s="56" t="s">
        <v>2390</v>
      </c>
      <c r="M691" s="55" t="s">
        <v>2391</v>
      </c>
      <c r="N691" s="56" t="s">
        <v>2392</v>
      </c>
      <c r="O691" s="53" t="s">
        <v>8</v>
      </c>
      <c r="P691" s="56" t="s">
        <v>2626</v>
      </c>
      <c r="Q691" s="57">
        <v>9800</v>
      </c>
      <c r="R691" s="58" t="s">
        <v>8</v>
      </c>
      <c r="S691" s="57" t="s">
        <v>8</v>
      </c>
      <c r="T691" s="56" t="s">
        <v>2394</v>
      </c>
    </row>
    <row r="692" spans="1:20">
      <c r="A692" s="55">
        <v>129620006666</v>
      </c>
      <c r="B692" s="53" t="s">
        <v>2386</v>
      </c>
      <c r="C692" s="54">
        <v>45942</v>
      </c>
      <c r="D692" s="55">
        <v>51539703294</v>
      </c>
      <c r="E692" s="55">
        <v>2093142840772</v>
      </c>
      <c r="F692" s="56" t="s">
        <v>2387</v>
      </c>
      <c r="G692" s="56" t="s">
        <v>2388</v>
      </c>
      <c r="H692" s="56" t="s">
        <v>8</v>
      </c>
      <c r="I692" s="55" t="s">
        <v>8</v>
      </c>
      <c r="J692" s="57">
        <v>38.799999999999997</v>
      </c>
      <c r="K692" s="56" t="s">
        <v>2389</v>
      </c>
      <c r="L692" s="56" t="s">
        <v>2390</v>
      </c>
      <c r="M692" s="55" t="s">
        <v>2391</v>
      </c>
      <c r="N692" s="56" t="s">
        <v>2392</v>
      </c>
      <c r="O692" s="53" t="s">
        <v>8</v>
      </c>
      <c r="P692" s="56" t="s">
        <v>2627</v>
      </c>
      <c r="Q692" s="57">
        <v>4000</v>
      </c>
      <c r="R692" s="58" t="s">
        <v>8</v>
      </c>
      <c r="S692" s="57" t="s">
        <v>8</v>
      </c>
      <c r="T692" s="56" t="s">
        <v>2394</v>
      </c>
    </row>
    <row r="693" spans="1:20">
      <c r="A693" s="55">
        <v>129047014463</v>
      </c>
      <c r="B693" s="53" t="s">
        <v>2386</v>
      </c>
      <c r="C693" s="54">
        <v>45942</v>
      </c>
      <c r="D693" s="55">
        <v>51539706757</v>
      </c>
      <c r="E693" s="55">
        <v>2093143032884</v>
      </c>
      <c r="F693" s="56" t="s">
        <v>2387</v>
      </c>
      <c r="G693" s="56" t="s">
        <v>2388</v>
      </c>
      <c r="H693" s="56" t="s">
        <v>8</v>
      </c>
      <c r="I693" s="55" t="s">
        <v>8</v>
      </c>
      <c r="J693" s="57">
        <v>226.98</v>
      </c>
      <c r="K693" s="56" t="s">
        <v>2389</v>
      </c>
      <c r="L693" s="56" t="s">
        <v>2390</v>
      </c>
      <c r="M693" s="55" t="s">
        <v>2391</v>
      </c>
      <c r="N693" s="56" t="s">
        <v>2392</v>
      </c>
      <c r="O693" s="53" t="s">
        <v>8</v>
      </c>
      <c r="P693" s="56" t="s">
        <v>2628</v>
      </c>
      <c r="Q693" s="57">
        <v>23400</v>
      </c>
      <c r="R693" s="58" t="s">
        <v>8</v>
      </c>
      <c r="S693" s="57" t="s">
        <v>8</v>
      </c>
      <c r="T693" s="56" t="s">
        <v>2394</v>
      </c>
    </row>
    <row r="694" spans="1:20">
      <c r="A694" s="55">
        <v>129046984055</v>
      </c>
      <c r="B694" s="53" t="s">
        <v>2386</v>
      </c>
      <c r="C694" s="54">
        <v>45942</v>
      </c>
      <c r="D694" s="55">
        <v>51539723623</v>
      </c>
      <c r="E694" s="55">
        <v>2093075579725</v>
      </c>
      <c r="F694" s="56" t="s">
        <v>2401</v>
      </c>
      <c r="G694" s="56" t="s">
        <v>2388</v>
      </c>
      <c r="H694" s="56" t="s">
        <v>8</v>
      </c>
      <c r="I694" s="55" t="s">
        <v>8</v>
      </c>
      <c r="J694" s="57">
        <v>181.6</v>
      </c>
      <c r="K694" s="56" t="s">
        <v>2389</v>
      </c>
      <c r="L694" s="56" t="s">
        <v>2402</v>
      </c>
      <c r="M694" s="55" t="s">
        <v>2391</v>
      </c>
      <c r="N694" s="56" t="s">
        <v>2392</v>
      </c>
      <c r="O694" s="53" t="s">
        <v>2055</v>
      </c>
      <c r="P694" s="56" t="s">
        <v>2403</v>
      </c>
      <c r="Q694" s="57">
        <v>4000</v>
      </c>
      <c r="R694" s="58" t="s">
        <v>8</v>
      </c>
      <c r="S694" s="57" t="s">
        <v>8</v>
      </c>
      <c r="T694" s="56" t="s">
        <v>2394</v>
      </c>
    </row>
    <row r="695" spans="1:20">
      <c r="A695" s="55">
        <v>129047335457</v>
      </c>
      <c r="B695" s="53" t="s">
        <v>2386</v>
      </c>
      <c r="C695" s="54">
        <v>45942</v>
      </c>
      <c r="D695" s="55">
        <v>51539846041</v>
      </c>
      <c r="E695" s="55">
        <v>2093144925208</v>
      </c>
      <c r="F695" s="56" t="s">
        <v>2401</v>
      </c>
      <c r="G695" s="56" t="s">
        <v>2388</v>
      </c>
      <c r="H695" s="56" t="s">
        <v>8</v>
      </c>
      <c r="I695" s="55" t="s">
        <v>8</v>
      </c>
      <c r="J695" s="57">
        <v>738.84</v>
      </c>
      <c r="K695" s="56" t="s">
        <v>2389</v>
      </c>
      <c r="L695" s="56" t="s">
        <v>2402</v>
      </c>
      <c r="M695" s="55" t="s">
        <v>2391</v>
      </c>
      <c r="N695" s="56" t="s">
        <v>2392</v>
      </c>
      <c r="O695" s="53" t="s">
        <v>2055</v>
      </c>
      <c r="P695" s="56" t="s">
        <v>2403</v>
      </c>
      <c r="Q695" s="57">
        <v>18800</v>
      </c>
      <c r="R695" s="58" t="s">
        <v>8</v>
      </c>
      <c r="S695" s="57" t="s">
        <v>8</v>
      </c>
      <c r="T695" s="56" t="s">
        <v>2394</v>
      </c>
    </row>
    <row r="696" spans="1:20">
      <c r="A696" s="55">
        <v>129047936471</v>
      </c>
      <c r="B696" s="53" t="s">
        <v>2386</v>
      </c>
      <c r="C696" s="54">
        <v>45942</v>
      </c>
      <c r="D696" s="55">
        <v>51540031526</v>
      </c>
      <c r="E696" s="55">
        <v>2093080428211</v>
      </c>
      <c r="F696" s="56" t="s">
        <v>2387</v>
      </c>
      <c r="G696" s="56" t="s">
        <v>2388</v>
      </c>
      <c r="H696" s="56" t="s">
        <v>8</v>
      </c>
      <c r="I696" s="55" t="s">
        <v>8</v>
      </c>
      <c r="J696" s="57">
        <v>97</v>
      </c>
      <c r="K696" s="56" t="s">
        <v>2389</v>
      </c>
      <c r="L696" s="56" t="s">
        <v>2390</v>
      </c>
      <c r="M696" s="55" t="s">
        <v>2391</v>
      </c>
      <c r="N696" s="56" t="s">
        <v>2392</v>
      </c>
      <c r="O696" s="53" t="s">
        <v>8</v>
      </c>
      <c r="P696" s="56" t="s">
        <v>2629</v>
      </c>
      <c r="Q696" s="57">
        <v>10000</v>
      </c>
      <c r="R696" s="58" t="s">
        <v>8</v>
      </c>
      <c r="S696" s="57" t="s">
        <v>8</v>
      </c>
      <c r="T696" s="56" t="s">
        <v>2394</v>
      </c>
    </row>
    <row r="697" spans="1:20">
      <c r="A697" s="55">
        <v>129620916788</v>
      </c>
      <c r="B697" s="53" t="s">
        <v>2386</v>
      </c>
      <c r="C697" s="54">
        <v>45942</v>
      </c>
      <c r="D697" s="55">
        <v>51540059726</v>
      </c>
      <c r="E697" s="55">
        <v>2093081099083</v>
      </c>
      <c r="F697" s="56" t="s">
        <v>2387</v>
      </c>
      <c r="G697" s="56" t="s">
        <v>2388</v>
      </c>
      <c r="H697" s="56" t="s">
        <v>8</v>
      </c>
      <c r="I697" s="55" t="s">
        <v>8</v>
      </c>
      <c r="J697" s="57">
        <v>92.15</v>
      </c>
      <c r="K697" s="56" t="s">
        <v>2389</v>
      </c>
      <c r="L697" s="56" t="s">
        <v>2390</v>
      </c>
      <c r="M697" s="55" t="s">
        <v>2391</v>
      </c>
      <c r="N697" s="56" t="s">
        <v>2392</v>
      </c>
      <c r="O697" s="53" t="s">
        <v>8</v>
      </c>
      <c r="P697" s="56" t="s">
        <v>2630</v>
      </c>
      <c r="Q697" s="57">
        <v>9500</v>
      </c>
      <c r="R697" s="58" t="s">
        <v>8</v>
      </c>
      <c r="S697" s="57" t="s">
        <v>8</v>
      </c>
      <c r="T697" s="56" t="s">
        <v>2394</v>
      </c>
    </row>
    <row r="698" spans="1:20">
      <c r="A698" s="55">
        <v>129621107146</v>
      </c>
      <c r="B698" s="53" t="s">
        <v>2386</v>
      </c>
      <c r="C698" s="54">
        <v>45942</v>
      </c>
      <c r="D698" s="55">
        <v>51540161424</v>
      </c>
      <c r="E698" s="55">
        <v>2093150156144</v>
      </c>
      <c r="F698" s="56" t="s">
        <v>2387</v>
      </c>
      <c r="G698" s="56" t="s">
        <v>2388</v>
      </c>
      <c r="H698" s="56" t="s">
        <v>8</v>
      </c>
      <c r="I698" s="55" t="s">
        <v>8</v>
      </c>
      <c r="J698" s="57">
        <v>38.799999999999997</v>
      </c>
      <c r="K698" s="56" t="s">
        <v>2389</v>
      </c>
      <c r="L698" s="56" t="s">
        <v>2390</v>
      </c>
      <c r="M698" s="55" t="s">
        <v>2391</v>
      </c>
      <c r="N698" s="56" t="s">
        <v>2392</v>
      </c>
      <c r="O698" s="53" t="s">
        <v>8</v>
      </c>
      <c r="P698" s="56" t="s">
        <v>2631</v>
      </c>
      <c r="Q698" s="57">
        <v>4000</v>
      </c>
      <c r="R698" s="58" t="s">
        <v>8</v>
      </c>
      <c r="S698" s="57" t="s">
        <v>8</v>
      </c>
      <c r="T698" s="56" t="s">
        <v>2394</v>
      </c>
    </row>
    <row r="699" spans="1:20">
      <c r="A699" s="55">
        <v>129621143792</v>
      </c>
      <c r="B699" s="53" t="s">
        <v>2386</v>
      </c>
      <c r="C699" s="54">
        <v>45942</v>
      </c>
      <c r="D699" s="55">
        <v>51540183201</v>
      </c>
      <c r="E699" s="55">
        <v>2093150764648</v>
      </c>
      <c r="F699" s="56" t="s">
        <v>2411</v>
      </c>
      <c r="G699" s="56" t="s">
        <v>2388</v>
      </c>
      <c r="H699" s="56" t="s">
        <v>8</v>
      </c>
      <c r="I699" s="55" t="s">
        <v>8</v>
      </c>
      <c r="J699" s="57">
        <v>99.91</v>
      </c>
      <c r="K699" s="56" t="s">
        <v>2389</v>
      </c>
      <c r="L699" s="56" t="s">
        <v>2390</v>
      </c>
      <c r="M699" s="55" t="s">
        <v>2391</v>
      </c>
      <c r="N699" s="56" t="s">
        <v>2392</v>
      </c>
      <c r="O699" s="53" t="s">
        <v>8</v>
      </c>
      <c r="P699" s="56" t="s">
        <v>2412</v>
      </c>
      <c r="Q699" s="57">
        <v>10300</v>
      </c>
      <c r="R699" s="58" t="s">
        <v>8</v>
      </c>
      <c r="S699" s="57" t="s">
        <v>8</v>
      </c>
      <c r="T699" s="56" t="s">
        <v>8</v>
      </c>
    </row>
    <row r="700" spans="1:20">
      <c r="A700" s="55">
        <v>129621179894</v>
      </c>
      <c r="B700" s="53" t="s">
        <v>2386</v>
      </c>
      <c r="C700" s="54">
        <v>45942</v>
      </c>
      <c r="D700" s="55">
        <v>51540256850</v>
      </c>
      <c r="E700" s="55">
        <v>2093082958629</v>
      </c>
      <c r="F700" s="56" t="s">
        <v>2387</v>
      </c>
      <c r="G700" s="56" t="s">
        <v>2388</v>
      </c>
      <c r="H700" s="56" t="s">
        <v>8</v>
      </c>
      <c r="I700" s="55" t="s">
        <v>8</v>
      </c>
      <c r="J700" s="57">
        <v>128.04</v>
      </c>
      <c r="K700" s="56" t="s">
        <v>2389</v>
      </c>
      <c r="L700" s="56" t="s">
        <v>2390</v>
      </c>
      <c r="M700" s="55" t="s">
        <v>2391</v>
      </c>
      <c r="N700" s="56" t="s">
        <v>2392</v>
      </c>
      <c r="O700" s="53" t="s">
        <v>8</v>
      </c>
      <c r="P700" s="56" t="s">
        <v>2632</v>
      </c>
      <c r="Q700" s="57">
        <v>13200</v>
      </c>
      <c r="R700" s="58" t="s">
        <v>8</v>
      </c>
      <c r="S700" s="57" t="s">
        <v>8</v>
      </c>
      <c r="T700" s="56" t="s">
        <v>2394</v>
      </c>
    </row>
    <row r="701" spans="1:20">
      <c r="A701" s="55">
        <v>129048368871</v>
      </c>
      <c r="B701" s="53" t="s">
        <v>2386</v>
      </c>
      <c r="C701" s="54">
        <v>45942</v>
      </c>
      <c r="D701" s="55">
        <v>51540266242</v>
      </c>
      <c r="E701" s="55">
        <v>2093083256629</v>
      </c>
      <c r="F701" s="56" t="s">
        <v>2387</v>
      </c>
      <c r="G701" s="56" t="s">
        <v>2388</v>
      </c>
      <c r="H701" s="56" t="s">
        <v>8</v>
      </c>
      <c r="I701" s="55" t="s">
        <v>8</v>
      </c>
      <c r="J701" s="57">
        <v>151.32</v>
      </c>
      <c r="K701" s="56" t="s">
        <v>2389</v>
      </c>
      <c r="L701" s="56" t="s">
        <v>2390</v>
      </c>
      <c r="M701" s="55" t="s">
        <v>2391</v>
      </c>
      <c r="N701" s="56" t="s">
        <v>2392</v>
      </c>
      <c r="O701" s="53" t="s">
        <v>8</v>
      </c>
      <c r="P701" s="56" t="s">
        <v>2633</v>
      </c>
      <c r="Q701" s="57">
        <v>15600</v>
      </c>
      <c r="R701" s="58" t="s">
        <v>8</v>
      </c>
      <c r="S701" s="57" t="s">
        <v>8</v>
      </c>
      <c r="T701" s="56" t="s">
        <v>2394</v>
      </c>
    </row>
    <row r="702" spans="1:20">
      <c r="A702" s="55">
        <v>129048444225</v>
      </c>
      <c r="B702" s="53" t="s">
        <v>2386</v>
      </c>
      <c r="C702" s="54">
        <v>45942</v>
      </c>
      <c r="D702" s="55">
        <v>51540269501</v>
      </c>
      <c r="E702" s="55">
        <v>2093083263561</v>
      </c>
      <c r="F702" s="56" t="s">
        <v>2475</v>
      </c>
      <c r="G702" s="56" t="s">
        <v>2388</v>
      </c>
      <c r="H702" s="56" t="s">
        <v>8</v>
      </c>
      <c r="I702" s="55" t="s">
        <v>8</v>
      </c>
      <c r="J702" s="57">
        <v>172.78</v>
      </c>
      <c r="K702" s="56" t="s">
        <v>2389</v>
      </c>
      <c r="L702" s="56" t="s">
        <v>2390</v>
      </c>
      <c r="M702" s="55" t="s">
        <v>2391</v>
      </c>
      <c r="N702" s="56" t="s">
        <v>2392</v>
      </c>
      <c r="O702" s="53" t="s">
        <v>8</v>
      </c>
      <c r="P702" s="56" t="s">
        <v>2634</v>
      </c>
      <c r="Q702" s="57">
        <v>10600</v>
      </c>
      <c r="R702" s="58" t="s">
        <v>8</v>
      </c>
      <c r="S702" s="57" t="s">
        <v>8</v>
      </c>
      <c r="T702" s="56" t="s">
        <v>2394</v>
      </c>
    </row>
    <row r="703" spans="1:20">
      <c r="A703" s="55">
        <v>129621259702</v>
      </c>
      <c r="B703" s="53" t="s">
        <v>2386</v>
      </c>
      <c r="C703" s="54">
        <v>45942</v>
      </c>
      <c r="D703" s="55">
        <v>51540296714</v>
      </c>
      <c r="E703" s="55">
        <v>2093083774775</v>
      </c>
      <c r="F703" s="56" t="s">
        <v>2387</v>
      </c>
      <c r="G703" s="56" t="s">
        <v>2388</v>
      </c>
      <c r="H703" s="56" t="s">
        <v>8</v>
      </c>
      <c r="I703" s="55" t="s">
        <v>8</v>
      </c>
      <c r="J703" s="57">
        <v>91.18</v>
      </c>
      <c r="K703" s="56" t="s">
        <v>2389</v>
      </c>
      <c r="L703" s="56" t="s">
        <v>2390</v>
      </c>
      <c r="M703" s="55" t="s">
        <v>2391</v>
      </c>
      <c r="N703" s="56" t="s">
        <v>2392</v>
      </c>
      <c r="O703" s="53" t="s">
        <v>8</v>
      </c>
      <c r="P703" s="56" t="s">
        <v>2635</v>
      </c>
      <c r="Q703" s="57">
        <v>9400</v>
      </c>
      <c r="R703" s="58" t="s">
        <v>8</v>
      </c>
      <c r="S703" s="57" t="s">
        <v>8</v>
      </c>
      <c r="T703" s="56" t="s">
        <v>2394</v>
      </c>
    </row>
    <row r="704" spans="1:20">
      <c r="A704" s="55">
        <v>129621293638</v>
      </c>
      <c r="B704" s="53" t="s">
        <v>2386</v>
      </c>
      <c r="C704" s="54">
        <v>45942</v>
      </c>
      <c r="D704" s="55">
        <v>51540302342</v>
      </c>
      <c r="E704" s="55">
        <v>2093151628806</v>
      </c>
      <c r="F704" s="56" t="s">
        <v>2401</v>
      </c>
      <c r="G704" s="56" t="s">
        <v>2388</v>
      </c>
      <c r="H704" s="56" t="s">
        <v>8</v>
      </c>
      <c r="I704" s="55" t="s">
        <v>8</v>
      </c>
      <c r="J704" s="57">
        <v>385.14</v>
      </c>
      <c r="K704" s="56" t="s">
        <v>2389</v>
      </c>
      <c r="L704" s="56" t="s">
        <v>2402</v>
      </c>
      <c r="M704" s="55" t="s">
        <v>2391</v>
      </c>
      <c r="N704" s="56" t="s">
        <v>2392</v>
      </c>
      <c r="O704" s="53" t="s">
        <v>2055</v>
      </c>
      <c r="P704" s="56" t="s">
        <v>2403</v>
      </c>
      <c r="Q704" s="57">
        <v>9800</v>
      </c>
      <c r="R704" s="58" t="s">
        <v>8</v>
      </c>
      <c r="S704" s="57" t="s">
        <v>8</v>
      </c>
      <c r="T704" s="56" t="s">
        <v>2394</v>
      </c>
    </row>
    <row r="705" spans="1:20">
      <c r="A705" s="55">
        <v>129621414226</v>
      </c>
      <c r="B705" s="53" t="s">
        <v>2386</v>
      </c>
      <c r="C705" s="54">
        <v>45942</v>
      </c>
      <c r="D705" s="55">
        <v>51540346833</v>
      </c>
      <c r="E705" s="55">
        <v>2093084369259</v>
      </c>
      <c r="F705" s="56" t="s">
        <v>2387</v>
      </c>
      <c r="G705" s="56" t="s">
        <v>2388</v>
      </c>
      <c r="H705" s="56" t="s">
        <v>8</v>
      </c>
      <c r="I705" s="55" t="s">
        <v>8</v>
      </c>
      <c r="J705" s="57">
        <v>277.42</v>
      </c>
      <c r="K705" s="56" t="s">
        <v>2389</v>
      </c>
      <c r="L705" s="56" t="s">
        <v>2390</v>
      </c>
      <c r="M705" s="55" t="s">
        <v>2391</v>
      </c>
      <c r="N705" s="56" t="s">
        <v>2392</v>
      </c>
      <c r="O705" s="53" t="s">
        <v>8</v>
      </c>
      <c r="P705" s="56" t="s">
        <v>2636</v>
      </c>
      <c r="Q705" s="57">
        <v>28600</v>
      </c>
      <c r="R705" s="58" t="s">
        <v>8</v>
      </c>
      <c r="S705" s="57" t="s">
        <v>8</v>
      </c>
      <c r="T705" s="56" t="s">
        <v>2394</v>
      </c>
    </row>
    <row r="706" spans="1:20">
      <c r="A706" s="55">
        <v>129621426704</v>
      </c>
      <c r="B706" s="53" t="s">
        <v>2386</v>
      </c>
      <c r="C706" s="54">
        <v>45942</v>
      </c>
      <c r="D706" s="55">
        <v>51540376432</v>
      </c>
      <c r="E706" s="55">
        <v>2093084574367</v>
      </c>
      <c r="F706" s="56" t="s">
        <v>2387</v>
      </c>
      <c r="G706" s="56" t="s">
        <v>2388</v>
      </c>
      <c r="H706" s="56" t="s">
        <v>8</v>
      </c>
      <c r="I706" s="55" t="s">
        <v>8</v>
      </c>
      <c r="J706" s="57">
        <v>546.11</v>
      </c>
      <c r="K706" s="56" t="s">
        <v>2389</v>
      </c>
      <c r="L706" s="56" t="s">
        <v>2390</v>
      </c>
      <c r="M706" s="55" t="s">
        <v>2391</v>
      </c>
      <c r="N706" s="56" t="s">
        <v>2392</v>
      </c>
      <c r="O706" s="53" t="s">
        <v>8</v>
      </c>
      <c r="P706" s="56" t="s">
        <v>2637</v>
      </c>
      <c r="Q706" s="57">
        <v>56300</v>
      </c>
      <c r="R706" s="58" t="s">
        <v>8</v>
      </c>
      <c r="S706" s="57" t="s">
        <v>8</v>
      </c>
      <c r="T706" s="56" t="s">
        <v>2394</v>
      </c>
    </row>
    <row r="707" spans="1:20">
      <c r="A707" s="55">
        <v>129048678585</v>
      </c>
      <c r="B707" s="53" t="s">
        <v>2386</v>
      </c>
      <c r="C707" s="54">
        <v>45942</v>
      </c>
      <c r="D707" s="55">
        <v>51540401121</v>
      </c>
      <c r="E707" s="55">
        <v>2093152671562</v>
      </c>
      <c r="F707" s="56" t="s">
        <v>2401</v>
      </c>
      <c r="G707" s="56" t="s">
        <v>2388</v>
      </c>
      <c r="H707" s="56" t="s">
        <v>8</v>
      </c>
      <c r="I707" s="55" t="s">
        <v>8</v>
      </c>
      <c r="J707" s="57">
        <v>7981.83</v>
      </c>
      <c r="K707" s="56" t="s">
        <v>2389</v>
      </c>
      <c r="L707" s="56" t="s">
        <v>2402</v>
      </c>
      <c r="M707" s="55" t="s">
        <v>2391</v>
      </c>
      <c r="N707" s="56" t="s">
        <v>2392</v>
      </c>
      <c r="O707" s="53" t="s">
        <v>2055</v>
      </c>
      <c r="P707" s="56" t="s">
        <v>2403</v>
      </c>
      <c r="Q707" s="57">
        <v>203100</v>
      </c>
      <c r="R707" s="58" t="s">
        <v>8</v>
      </c>
      <c r="S707" s="57" t="s">
        <v>8</v>
      </c>
      <c r="T707" s="56" t="s">
        <v>2394</v>
      </c>
    </row>
    <row r="708" spans="1:20">
      <c r="A708" s="55">
        <v>129621447690</v>
      </c>
      <c r="B708" s="53" t="s">
        <v>2386</v>
      </c>
      <c r="C708" s="54">
        <v>45942</v>
      </c>
      <c r="D708" s="55">
        <v>51540417124</v>
      </c>
      <c r="E708" s="55">
        <v>2093152871384</v>
      </c>
      <c r="F708" s="56" t="s">
        <v>2401</v>
      </c>
      <c r="G708" s="56" t="s">
        <v>2388</v>
      </c>
      <c r="H708" s="56" t="s">
        <v>8</v>
      </c>
      <c r="I708" s="55" t="s">
        <v>8</v>
      </c>
      <c r="J708" s="57">
        <v>1646.67</v>
      </c>
      <c r="K708" s="56" t="s">
        <v>2389</v>
      </c>
      <c r="L708" s="56" t="s">
        <v>2402</v>
      </c>
      <c r="M708" s="55" t="s">
        <v>2391</v>
      </c>
      <c r="N708" s="56" t="s">
        <v>2392</v>
      </c>
      <c r="O708" s="53" t="s">
        <v>2055</v>
      </c>
      <c r="P708" s="56" t="s">
        <v>2403</v>
      </c>
      <c r="Q708" s="57">
        <v>41900</v>
      </c>
      <c r="R708" s="58" t="s">
        <v>8</v>
      </c>
      <c r="S708" s="57" t="s">
        <v>8</v>
      </c>
      <c r="T708" s="56" t="s">
        <v>2394</v>
      </c>
    </row>
    <row r="709" spans="1:20">
      <c r="A709" s="55">
        <v>129686309290</v>
      </c>
      <c r="B709" s="53" t="s">
        <v>2386</v>
      </c>
      <c r="C709" s="54">
        <v>45942</v>
      </c>
      <c r="D709" s="55">
        <v>51569454460</v>
      </c>
      <c r="E709" s="55">
        <v>2093483622463</v>
      </c>
      <c r="F709" s="56" t="s">
        <v>2387</v>
      </c>
      <c r="G709" s="56" t="s">
        <v>2388</v>
      </c>
      <c r="H709" s="56" t="s">
        <v>8</v>
      </c>
      <c r="I709" s="55" t="s">
        <v>8</v>
      </c>
      <c r="J709" s="57">
        <v>47.53</v>
      </c>
      <c r="K709" s="56" t="s">
        <v>2389</v>
      </c>
      <c r="L709" s="56" t="s">
        <v>2390</v>
      </c>
      <c r="M709" s="55" t="s">
        <v>2391</v>
      </c>
      <c r="N709" s="56" t="s">
        <v>2392</v>
      </c>
      <c r="O709" s="53" t="s">
        <v>8</v>
      </c>
      <c r="P709" s="56" t="s">
        <v>2638</v>
      </c>
      <c r="Q709" s="57">
        <v>4900</v>
      </c>
      <c r="R709" s="58" t="s">
        <v>8</v>
      </c>
      <c r="S709" s="57" t="s">
        <v>8</v>
      </c>
      <c r="T709" s="56" t="s">
        <v>2394</v>
      </c>
    </row>
    <row r="710" spans="1:20">
      <c r="A710" s="55">
        <v>129117110511</v>
      </c>
      <c r="B710" s="53" t="s">
        <v>2386</v>
      </c>
      <c r="C710" s="54">
        <v>45942</v>
      </c>
      <c r="D710" s="55">
        <v>51570981168</v>
      </c>
      <c r="E710" s="55">
        <v>2093507514275</v>
      </c>
      <c r="F710" s="56" t="s">
        <v>2387</v>
      </c>
      <c r="G710" s="56" t="s">
        <v>2388</v>
      </c>
      <c r="H710" s="56" t="s">
        <v>8</v>
      </c>
      <c r="I710" s="55" t="s">
        <v>8</v>
      </c>
      <c r="J710" s="57">
        <v>125.13</v>
      </c>
      <c r="K710" s="56" t="s">
        <v>2389</v>
      </c>
      <c r="L710" s="56" t="s">
        <v>2390</v>
      </c>
      <c r="M710" s="55" t="s">
        <v>2391</v>
      </c>
      <c r="N710" s="56" t="s">
        <v>2392</v>
      </c>
      <c r="O710" s="53" t="s">
        <v>8</v>
      </c>
      <c r="P710" s="56" t="s">
        <v>2639</v>
      </c>
      <c r="Q710" s="57">
        <v>12900</v>
      </c>
      <c r="R710" s="58" t="s">
        <v>8</v>
      </c>
      <c r="S710" s="57" t="s">
        <v>8</v>
      </c>
      <c r="T710" s="56" t="s">
        <v>2394</v>
      </c>
    </row>
    <row r="711" spans="1:20">
      <c r="A711" s="55">
        <v>129117741955</v>
      </c>
      <c r="B711" s="53" t="s">
        <v>2386</v>
      </c>
      <c r="C711" s="54">
        <v>45942</v>
      </c>
      <c r="D711" s="55">
        <v>51571303690</v>
      </c>
      <c r="E711" s="55">
        <v>2093580395022</v>
      </c>
      <c r="F711" s="56" t="s">
        <v>2401</v>
      </c>
      <c r="G711" s="56" t="s">
        <v>2388</v>
      </c>
      <c r="H711" s="56" t="s">
        <v>8</v>
      </c>
      <c r="I711" s="55" t="s">
        <v>8</v>
      </c>
      <c r="J711" s="57">
        <v>2337.92</v>
      </c>
      <c r="K711" s="56" t="s">
        <v>2389</v>
      </c>
      <c r="L711" s="56" t="s">
        <v>2402</v>
      </c>
      <c r="M711" s="55" t="s">
        <v>2391</v>
      </c>
      <c r="N711" s="56" t="s">
        <v>2392</v>
      </c>
      <c r="O711" s="53" t="s">
        <v>2055</v>
      </c>
      <c r="P711" s="56" t="s">
        <v>2403</v>
      </c>
      <c r="Q711" s="57">
        <v>20800</v>
      </c>
      <c r="R711" s="58" t="s">
        <v>8</v>
      </c>
      <c r="S711" s="57" t="s">
        <v>8</v>
      </c>
      <c r="T711" s="56" t="s">
        <v>2394</v>
      </c>
    </row>
    <row r="712" spans="1:20">
      <c r="A712" s="55">
        <v>129694991650</v>
      </c>
      <c r="B712" s="53" t="s">
        <v>2386</v>
      </c>
      <c r="C712" s="54">
        <v>45942</v>
      </c>
      <c r="D712" s="55">
        <v>51572941851</v>
      </c>
      <c r="E712" s="55">
        <v>2093537642883</v>
      </c>
      <c r="F712" s="56" t="s">
        <v>2401</v>
      </c>
      <c r="G712" s="56" t="s">
        <v>2388</v>
      </c>
      <c r="H712" s="56" t="s">
        <v>8</v>
      </c>
      <c r="I712" s="55" t="s">
        <v>8</v>
      </c>
      <c r="J712" s="57">
        <v>628.79999999999995</v>
      </c>
      <c r="K712" s="56" t="s">
        <v>2389</v>
      </c>
      <c r="L712" s="56" t="s">
        <v>2402</v>
      </c>
      <c r="M712" s="55" t="s">
        <v>2391</v>
      </c>
      <c r="N712" s="56" t="s">
        <v>2392</v>
      </c>
      <c r="O712" s="53" t="s">
        <v>2055</v>
      </c>
      <c r="P712" s="56" t="s">
        <v>2403</v>
      </c>
      <c r="Q712" s="57">
        <v>16000</v>
      </c>
      <c r="R712" s="58" t="s">
        <v>8</v>
      </c>
      <c r="S712" s="57" t="s">
        <v>8</v>
      </c>
      <c r="T712" s="56" t="s">
        <v>2394</v>
      </c>
    </row>
    <row r="713" spans="1:20">
      <c r="A713" s="55">
        <v>129696609972</v>
      </c>
      <c r="B713" s="53" t="s">
        <v>2386</v>
      </c>
      <c r="C713" s="54">
        <v>45942</v>
      </c>
      <c r="D713" s="55">
        <v>51573636509</v>
      </c>
      <c r="E713" s="55">
        <v>2093548010117</v>
      </c>
      <c r="F713" s="56" t="s">
        <v>2411</v>
      </c>
      <c r="G713" s="56" t="s">
        <v>2388</v>
      </c>
      <c r="H713" s="56" t="s">
        <v>8</v>
      </c>
      <c r="I713" s="55" t="s">
        <v>8</v>
      </c>
      <c r="J713" s="57">
        <v>265.77999999999997</v>
      </c>
      <c r="K713" s="56" t="s">
        <v>2389</v>
      </c>
      <c r="L713" s="56" t="s">
        <v>2390</v>
      </c>
      <c r="M713" s="55" t="s">
        <v>2391</v>
      </c>
      <c r="N713" s="56" t="s">
        <v>2392</v>
      </c>
      <c r="O713" s="53" t="s">
        <v>8</v>
      </c>
      <c r="P713" s="56" t="s">
        <v>2412</v>
      </c>
      <c r="Q713" s="57">
        <v>27400</v>
      </c>
      <c r="R713" s="58" t="s">
        <v>8</v>
      </c>
      <c r="S713" s="57" t="s">
        <v>8</v>
      </c>
      <c r="T713" s="56" t="s">
        <v>8</v>
      </c>
    </row>
    <row r="714" spans="1:20">
      <c r="A714" s="55">
        <v>129698242386</v>
      </c>
      <c r="B714" s="53" t="s">
        <v>2386</v>
      </c>
      <c r="C714" s="54">
        <v>45942</v>
      </c>
      <c r="D714" s="55">
        <v>51574211161</v>
      </c>
      <c r="E714" s="55">
        <v>2093556804093</v>
      </c>
      <c r="F714" s="56" t="s">
        <v>2401</v>
      </c>
      <c r="G714" s="56" t="s">
        <v>2388</v>
      </c>
      <c r="H714" s="56" t="s">
        <v>8</v>
      </c>
      <c r="I714" s="55" t="s">
        <v>8</v>
      </c>
      <c r="J714" s="57">
        <v>1913.91</v>
      </c>
      <c r="K714" s="56" t="s">
        <v>2389</v>
      </c>
      <c r="L714" s="56" t="s">
        <v>2402</v>
      </c>
      <c r="M714" s="55" t="s">
        <v>2391</v>
      </c>
      <c r="N714" s="56" t="s">
        <v>2392</v>
      </c>
      <c r="O714" s="53" t="s">
        <v>2055</v>
      </c>
      <c r="P714" s="56" t="s">
        <v>2403</v>
      </c>
      <c r="Q714" s="57">
        <v>48700</v>
      </c>
      <c r="R714" s="58" t="s">
        <v>8</v>
      </c>
      <c r="S714" s="57" t="s">
        <v>8</v>
      </c>
      <c r="T714" s="56" t="s">
        <v>2394</v>
      </c>
    </row>
    <row r="715" spans="1:20">
      <c r="A715" s="55">
        <v>129700170344</v>
      </c>
      <c r="B715" s="53" t="s">
        <v>2386</v>
      </c>
      <c r="C715" s="54">
        <v>45942</v>
      </c>
      <c r="D715" s="55">
        <v>51575060555</v>
      </c>
      <c r="E715" s="55">
        <v>2093637214448</v>
      </c>
      <c r="F715" s="56" t="s">
        <v>2401</v>
      </c>
      <c r="G715" s="56" t="s">
        <v>2388</v>
      </c>
      <c r="H715" s="56" t="s">
        <v>8</v>
      </c>
      <c r="I715" s="55" t="s">
        <v>8</v>
      </c>
      <c r="J715" s="57">
        <v>2964.62</v>
      </c>
      <c r="K715" s="56" t="s">
        <v>2389</v>
      </c>
      <c r="L715" s="56" t="s">
        <v>2402</v>
      </c>
      <c r="M715" s="55" t="s">
        <v>2391</v>
      </c>
      <c r="N715" s="56" t="s">
        <v>2392</v>
      </c>
      <c r="O715" s="53" t="s">
        <v>2055</v>
      </c>
      <c r="P715" s="56" t="s">
        <v>2403</v>
      </c>
      <c r="Q715" s="57">
        <v>65300</v>
      </c>
      <c r="R715" s="58" t="s">
        <v>8</v>
      </c>
      <c r="S715" s="57" t="s">
        <v>8</v>
      </c>
      <c r="T715" s="56" t="s">
        <v>2394</v>
      </c>
    </row>
    <row r="716" spans="1:20">
      <c r="A716" s="55">
        <v>129127283837</v>
      </c>
      <c r="B716" s="53" t="s">
        <v>2386</v>
      </c>
      <c r="C716" s="54">
        <v>45942</v>
      </c>
      <c r="D716" s="55">
        <v>51575203245</v>
      </c>
      <c r="E716" s="55">
        <v>2093639941566</v>
      </c>
      <c r="F716" s="56" t="s">
        <v>2387</v>
      </c>
      <c r="G716" s="56" t="s">
        <v>2388</v>
      </c>
      <c r="H716" s="56" t="s">
        <v>8</v>
      </c>
      <c r="I716" s="55" t="s">
        <v>8</v>
      </c>
      <c r="J716" s="57">
        <v>2914.63</v>
      </c>
      <c r="K716" s="56" t="s">
        <v>2389</v>
      </c>
      <c r="L716" s="56" t="s">
        <v>2390</v>
      </c>
      <c r="M716" s="55" t="s">
        <v>2391</v>
      </c>
      <c r="N716" s="56" t="s">
        <v>2392</v>
      </c>
      <c r="O716" s="53" t="s">
        <v>8</v>
      </c>
      <c r="P716" s="56" t="s">
        <v>2640</v>
      </c>
      <c r="Q716" s="57">
        <v>38300</v>
      </c>
      <c r="R716" s="58" t="s">
        <v>8</v>
      </c>
      <c r="S716" s="57" t="s">
        <v>8</v>
      </c>
      <c r="T716" s="56" t="s">
        <v>2394</v>
      </c>
    </row>
    <row r="717" spans="1:20">
      <c r="A717" s="55">
        <v>129127816699</v>
      </c>
      <c r="B717" s="53" t="s">
        <v>2386</v>
      </c>
      <c r="C717" s="54">
        <v>45942</v>
      </c>
      <c r="D717" s="55">
        <v>51575436549</v>
      </c>
      <c r="E717" s="55">
        <v>2093642948578</v>
      </c>
      <c r="F717" s="56" t="s">
        <v>2387</v>
      </c>
      <c r="G717" s="56" t="s">
        <v>2388</v>
      </c>
      <c r="H717" s="56" t="s">
        <v>8</v>
      </c>
      <c r="I717" s="55" t="s">
        <v>8</v>
      </c>
      <c r="J717" s="57">
        <v>118.34</v>
      </c>
      <c r="K717" s="56" t="s">
        <v>2389</v>
      </c>
      <c r="L717" s="56" t="s">
        <v>2390</v>
      </c>
      <c r="M717" s="55" t="s">
        <v>2391</v>
      </c>
      <c r="N717" s="56" t="s">
        <v>2392</v>
      </c>
      <c r="O717" s="53" t="s">
        <v>8</v>
      </c>
      <c r="P717" s="56" t="s">
        <v>2641</v>
      </c>
      <c r="Q717" s="57">
        <v>12200</v>
      </c>
      <c r="R717" s="58" t="s">
        <v>8</v>
      </c>
      <c r="S717" s="57" t="s">
        <v>8</v>
      </c>
      <c r="T717" s="56" t="s">
        <v>2394</v>
      </c>
    </row>
    <row r="718" spans="1:20">
      <c r="A718" s="55">
        <v>129131320825</v>
      </c>
      <c r="B718" s="53" t="s">
        <v>2386</v>
      </c>
      <c r="C718" s="54">
        <v>45942</v>
      </c>
      <c r="D718" s="55">
        <v>51576898509</v>
      </c>
      <c r="E718" s="55">
        <v>2093664641292</v>
      </c>
      <c r="F718" s="56" t="s">
        <v>2387</v>
      </c>
      <c r="G718" s="56" t="s">
        <v>2388</v>
      </c>
      <c r="H718" s="56" t="s">
        <v>8</v>
      </c>
      <c r="I718" s="55" t="s">
        <v>8</v>
      </c>
      <c r="J718" s="57">
        <v>397.7</v>
      </c>
      <c r="K718" s="56" t="s">
        <v>2389</v>
      </c>
      <c r="L718" s="56" t="s">
        <v>2390</v>
      </c>
      <c r="M718" s="55" t="s">
        <v>2391</v>
      </c>
      <c r="N718" s="56" t="s">
        <v>2392</v>
      </c>
      <c r="O718" s="53" t="s">
        <v>8</v>
      </c>
      <c r="P718" s="56" t="s">
        <v>2642</v>
      </c>
      <c r="Q718" s="57">
        <v>41000</v>
      </c>
      <c r="R718" s="58" t="s">
        <v>8</v>
      </c>
      <c r="S718" s="57" t="s">
        <v>8</v>
      </c>
      <c r="T718" s="56" t="s">
        <v>2394</v>
      </c>
    </row>
    <row r="719" spans="1:20">
      <c r="A719" s="55">
        <v>129131301899</v>
      </c>
      <c r="B719" s="53" t="s">
        <v>2386</v>
      </c>
      <c r="C719" s="54">
        <v>45942</v>
      </c>
      <c r="D719" s="55">
        <v>51576927181</v>
      </c>
      <c r="E719" s="55">
        <v>2093665266222</v>
      </c>
      <c r="F719" s="56" t="s">
        <v>2387</v>
      </c>
      <c r="G719" s="56" t="s">
        <v>2388</v>
      </c>
      <c r="H719" s="56" t="s">
        <v>8</v>
      </c>
      <c r="I719" s="55" t="s">
        <v>8</v>
      </c>
      <c r="J719" s="57">
        <v>279.36</v>
      </c>
      <c r="K719" s="56" t="s">
        <v>2389</v>
      </c>
      <c r="L719" s="56" t="s">
        <v>2390</v>
      </c>
      <c r="M719" s="55" t="s">
        <v>2391</v>
      </c>
      <c r="N719" s="56" t="s">
        <v>2392</v>
      </c>
      <c r="O719" s="53" t="s">
        <v>8</v>
      </c>
      <c r="P719" s="56" t="s">
        <v>2643</v>
      </c>
      <c r="Q719" s="57">
        <v>28800</v>
      </c>
      <c r="R719" s="58" t="s">
        <v>8</v>
      </c>
      <c r="S719" s="57" t="s">
        <v>8</v>
      </c>
      <c r="T719" s="56" t="s">
        <v>2394</v>
      </c>
    </row>
    <row r="720" spans="1:20">
      <c r="A720" s="55">
        <v>129131482843</v>
      </c>
      <c r="B720" s="53" t="s">
        <v>2386</v>
      </c>
      <c r="C720" s="54">
        <v>45942</v>
      </c>
      <c r="D720" s="55">
        <v>51576960136</v>
      </c>
      <c r="E720" s="55">
        <v>2093665748524</v>
      </c>
      <c r="F720" s="56" t="s">
        <v>2387</v>
      </c>
      <c r="G720" s="56" t="s">
        <v>2388</v>
      </c>
      <c r="H720" s="56" t="s">
        <v>8</v>
      </c>
      <c r="I720" s="55" t="s">
        <v>8</v>
      </c>
      <c r="J720" s="57">
        <v>244.44</v>
      </c>
      <c r="K720" s="56" t="s">
        <v>2389</v>
      </c>
      <c r="L720" s="56" t="s">
        <v>2390</v>
      </c>
      <c r="M720" s="55" t="s">
        <v>2391</v>
      </c>
      <c r="N720" s="56" t="s">
        <v>2392</v>
      </c>
      <c r="O720" s="53" t="s">
        <v>8</v>
      </c>
      <c r="P720" s="56" t="s">
        <v>2644</v>
      </c>
      <c r="Q720" s="57">
        <v>25200</v>
      </c>
      <c r="R720" s="58" t="s">
        <v>8</v>
      </c>
      <c r="S720" s="57" t="s">
        <v>8</v>
      </c>
      <c r="T720" s="56" t="s">
        <v>2394</v>
      </c>
    </row>
    <row r="721" spans="1:20">
      <c r="A721" s="55">
        <v>129131696927</v>
      </c>
      <c r="B721" s="53" t="s">
        <v>2386</v>
      </c>
      <c r="C721" s="54">
        <v>45942</v>
      </c>
      <c r="D721" s="55">
        <v>51577058777</v>
      </c>
      <c r="E721" s="55">
        <v>2093667512102</v>
      </c>
      <c r="F721" s="56" t="s">
        <v>2401</v>
      </c>
      <c r="G721" s="56" t="s">
        <v>2388</v>
      </c>
      <c r="H721" s="56" t="s">
        <v>8</v>
      </c>
      <c r="I721" s="55" t="s">
        <v>8</v>
      </c>
      <c r="J721" s="57">
        <v>830.82</v>
      </c>
      <c r="K721" s="56" t="s">
        <v>2389</v>
      </c>
      <c r="L721" s="56" t="s">
        <v>2402</v>
      </c>
      <c r="M721" s="55" t="s">
        <v>2391</v>
      </c>
      <c r="N721" s="56" t="s">
        <v>2392</v>
      </c>
      <c r="O721" s="53" t="s">
        <v>2055</v>
      </c>
      <c r="P721" s="56" t="s">
        <v>2403</v>
      </c>
      <c r="Q721" s="57">
        <v>18300</v>
      </c>
      <c r="R721" s="58" t="s">
        <v>8</v>
      </c>
      <c r="S721" s="57" t="s">
        <v>8</v>
      </c>
      <c r="T721" s="56" t="s">
        <v>2394</v>
      </c>
    </row>
    <row r="722" spans="1:20">
      <c r="A722" s="55">
        <v>129705486752</v>
      </c>
      <c r="B722" s="53" t="s">
        <v>2386</v>
      </c>
      <c r="C722" s="54">
        <v>45942</v>
      </c>
      <c r="D722" s="55">
        <v>51577273584</v>
      </c>
      <c r="E722" s="55">
        <v>2093602846609</v>
      </c>
      <c r="F722" s="56" t="s">
        <v>2387</v>
      </c>
      <c r="G722" s="56" t="s">
        <v>2388</v>
      </c>
      <c r="H722" s="56" t="s">
        <v>8</v>
      </c>
      <c r="I722" s="55" t="s">
        <v>8</v>
      </c>
      <c r="J722" s="57">
        <v>788.61</v>
      </c>
      <c r="K722" s="56" t="s">
        <v>2389</v>
      </c>
      <c r="L722" s="56" t="s">
        <v>2390</v>
      </c>
      <c r="M722" s="55" t="s">
        <v>2391</v>
      </c>
      <c r="N722" s="56" t="s">
        <v>2392</v>
      </c>
      <c r="O722" s="53" t="s">
        <v>8</v>
      </c>
      <c r="P722" s="56" t="s">
        <v>2645</v>
      </c>
      <c r="Q722" s="57">
        <v>81300</v>
      </c>
      <c r="R722" s="58" t="s">
        <v>8</v>
      </c>
      <c r="S722" s="57" t="s">
        <v>8</v>
      </c>
      <c r="T722" s="56" t="s">
        <v>2394</v>
      </c>
    </row>
    <row r="723" spans="1:20">
      <c r="A723" s="55">
        <v>129705455082</v>
      </c>
      <c r="B723" s="53" t="s">
        <v>2386</v>
      </c>
      <c r="C723" s="54">
        <v>45942</v>
      </c>
      <c r="D723" s="55">
        <v>51577304478</v>
      </c>
      <c r="E723" s="55">
        <v>2093671116622</v>
      </c>
      <c r="F723" s="56" t="s">
        <v>2411</v>
      </c>
      <c r="G723" s="56" t="s">
        <v>2388</v>
      </c>
      <c r="H723" s="56" t="s">
        <v>8</v>
      </c>
      <c r="I723" s="55" t="s">
        <v>8</v>
      </c>
      <c r="J723" s="57">
        <v>752.72</v>
      </c>
      <c r="K723" s="56" t="s">
        <v>2389</v>
      </c>
      <c r="L723" s="56" t="s">
        <v>2390</v>
      </c>
      <c r="M723" s="55" t="s">
        <v>2391</v>
      </c>
      <c r="N723" s="56" t="s">
        <v>2392</v>
      </c>
      <c r="O723" s="53" t="s">
        <v>8</v>
      </c>
      <c r="P723" s="56" t="s">
        <v>2412</v>
      </c>
      <c r="Q723" s="57">
        <v>77600</v>
      </c>
      <c r="R723" s="58" t="s">
        <v>8</v>
      </c>
      <c r="S723" s="57" t="s">
        <v>8</v>
      </c>
      <c r="T723" s="56" t="s">
        <v>8</v>
      </c>
    </row>
    <row r="724" spans="1:20">
      <c r="A724" s="55">
        <v>129705584190</v>
      </c>
      <c r="B724" s="53" t="s">
        <v>2386</v>
      </c>
      <c r="C724" s="54">
        <v>45942</v>
      </c>
      <c r="D724" s="55">
        <v>51577335294</v>
      </c>
      <c r="E724" s="55">
        <v>2093671208904</v>
      </c>
      <c r="F724" s="56" t="s">
        <v>2401</v>
      </c>
      <c r="G724" s="56" t="s">
        <v>2388</v>
      </c>
      <c r="H724" s="56" t="s">
        <v>8</v>
      </c>
      <c r="I724" s="55" t="s">
        <v>8</v>
      </c>
      <c r="J724" s="57">
        <v>404.79</v>
      </c>
      <c r="K724" s="56" t="s">
        <v>2389</v>
      </c>
      <c r="L724" s="56" t="s">
        <v>2402</v>
      </c>
      <c r="M724" s="55" t="s">
        <v>2391</v>
      </c>
      <c r="N724" s="56" t="s">
        <v>2392</v>
      </c>
      <c r="O724" s="53" t="s">
        <v>2055</v>
      </c>
      <c r="P724" s="56" t="s">
        <v>2403</v>
      </c>
      <c r="Q724" s="57">
        <v>10300</v>
      </c>
      <c r="R724" s="58" t="s">
        <v>8</v>
      </c>
      <c r="S724" s="57" t="s">
        <v>8</v>
      </c>
      <c r="T724" s="56" t="s">
        <v>2394</v>
      </c>
    </row>
    <row r="725" spans="1:20">
      <c r="A725" s="55">
        <v>129132489041</v>
      </c>
      <c r="B725" s="53" t="s">
        <v>2386</v>
      </c>
      <c r="C725" s="54">
        <v>45942</v>
      </c>
      <c r="D725" s="55">
        <v>51577378083</v>
      </c>
      <c r="E725" s="55">
        <v>2093604004843</v>
      </c>
      <c r="F725" s="56" t="s">
        <v>2387</v>
      </c>
      <c r="G725" s="56" t="s">
        <v>2388</v>
      </c>
      <c r="H725" s="56" t="s">
        <v>8</v>
      </c>
      <c r="I725" s="55" t="s">
        <v>8</v>
      </c>
      <c r="J725" s="57">
        <v>139.68</v>
      </c>
      <c r="K725" s="56" t="s">
        <v>2389</v>
      </c>
      <c r="L725" s="56" t="s">
        <v>2390</v>
      </c>
      <c r="M725" s="55" t="s">
        <v>2391</v>
      </c>
      <c r="N725" s="56" t="s">
        <v>2392</v>
      </c>
      <c r="O725" s="53" t="s">
        <v>8</v>
      </c>
      <c r="P725" s="56" t="s">
        <v>2646</v>
      </c>
      <c r="Q725" s="57">
        <v>14400</v>
      </c>
      <c r="R725" s="58" t="s">
        <v>8</v>
      </c>
      <c r="S725" s="57" t="s">
        <v>8</v>
      </c>
      <c r="T725" s="56" t="s">
        <v>2394</v>
      </c>
    </row>
    <row r="726" spans="1:20">
      <c r="A726" s="55">
        <v>129705741726</v>
      </c>
      <c r="B726" s="53" t="s">
        <v>2386</v>
      </c>
      <c r="C726" s="54">
        <v>45942</v>
      </c>
      <c r="D726" s="55">
        <v>51577452797</v>
      </c>
      <c r="E726" s="55">
        <v>2093673000922</v>
      </c>
      <c r="F726" s="56" t="s">
        <v>2387</v>
      </c>
      <c r="G726" s="56" t="s">
        <v>2388</v>
      </c>
      <c r="H726" s="56" t="s">
        <v>8</v>
      </c>
      <c r="I726" s="55" t="s">
        <v>8</v>
      </c>
      <c r="J726" s="57">
        <v>353.08</v>
      </c>
      <c r="K726" s="56" t="s">
        <v>2389</v>
      </c>
      <c r="L726" s="56" t="s">
        <v>2390</v>
      </c>
      <c r="M726" s="55" t="s">
        <v>2391</v>
      </c>
      <c r="N726" s="56" t="s">
        <v>2392</v>
      </c>
      <c r="O726" s="53" t="s">
        <v>8</v>
      </c>
      <c r="P726" s="56" t="s">
        <v>2647</v>
      </c>
      <c r="Q726" s="57">
        <v>36400</v>
      </c>
      <c r="R726" s="58" t="s">
        <v>8</v>
      </c>
      <c r="S726" s="57" t="s">
        <v>8</v>
      </c>
      <c r="T726" s="56" t="s">
        <v>2394</v>
      </c>
    </row>
    <row r="727" spans="1:20">
      <c r="A727" s="55">
        <v>129705904234</v>
      </c>
      <c r="B727" s="53" t="s">
        <v>2386</v>
      </c>
      <c r="C727" s="54">
        <v>45942</v>
      </c>
      <c r="D727" s="55">
        <v>51577462270</v>
      </c>
      <c r="E727" s="55">
        <v>2093605428793</v>
      </c>
      <c r="F727" s="56" t="s">
        <v>2387</v>
      </c>
      <c r="G727" s="56" t="s">
        <v>2388</v>
      </c>
      <c r="H727" s="56" t="s">
        <v>8</v>
      </c>
      <c r="I727" s="55" t="s">
        <v>8</v>
      </c>
      <c r="J727" s="57">
        <v>48.5</v>
      </c>
      <c r="K727" s="56" t="s">
        <v>2389</v>
      </c>
      <c r="L727" s="56" t="s">
        <v>2390</v>
      </c>
      <c r="M727" s="55" t="s">
        <v>2391</v>
      </c>
      <c r="N727" s="56" t="s">
        <v>2392</v>
      </c>
      <c r="O727" s="53" t="s">
        <v>8</v>
      </c>
      <c r="P727" s="56" t="s">
        <v>2648</v>
      </c>
      <c r="Q727" s="57">
        <v>5000</v>
      </c>
      <c r="R727" s="58" t="s">
        <v>8</v>
      </c>
      <c r="S727" s="57" t="s">
        <v>8</v>
      </c>
      <c r="T727" s="56" t="s">
        <v>2394</v>
      </c>
    </row>
    <row r="728" spans="1:20">
      <c r="A728" s="55">
        <v>129707362676</v>
      </c>
      <c r="B728" s="53" t="s">
        <v>2386</v>
      </c>
      <c r="C728" s="54">
        <v>45943</v>
      </c>
      <c r="D728" s="55">
        <v>51578212437</v>
      </c>
      <c r="E728" s="55">
        <v>2093683342564</v>
      </c>
      <c r="F728" s="56" t="s">
        <v>2387</v>
      </c>
      <c r="G728" s="56" t="s">
        <v>2388</v>
      </c>
      <c r="H728" s="56" t="s">
        <v>8</v>
      </c>
      <c r="I728" s="55" t="s">
        <v>8</v>
      </c>
      <c r="J728" s="57">
        <v>865.24</v>
      </c>
      <c r="K728" s="56" t="s">
        <v>2389</v>
      </c>
      <c r="L728" s="56" t="s">
        <v>2390</v>
      </c>
      <c r="M728" s="55" t="s">
        <v>2391</v>
      </c>
      <c r="N728" s="56" t="s">
        <v>2392</v>
      </c>
      <c r="O728" s="53" t="s">
        <v>8</v>
      </c>
      <c r="P728" s="56" t="s">
        <v>2649</v>
      </c>
      <c r="Q728" s="57">
        <v>89200</v>
      </c>
      <c r="R728" s="58" t="s">
        <v>8</v>
      </c>
      <c r="S728" s="57" t="s">
        <v>8</v>
      </c>
      <c r="T728" s="56" t="s">
        <v>2394</v>
      </c>
    </row>
    <row r="729" spans="1:20">
      <c r="A729" s="55">
        <v>129709148788</v>
      </c>
      <c r="B729" s="53" t="s">
        <v>2386</v>
      </c>
      <c r="C729" s="54">
        <v>45943</v>
      </c>
      <c r="D729" s="55">
        <v>51579283996</v>
      </c>
      <c r="E729" s="55">
        <v>2093698816298</v>
      </c>
      <c r="F729" s="56" t="s">
        <v>2387</v>
      </c>
      <c r="G729" s="56" t="s">
        <v>2388</v>
      </c>
      <c r="H729" s="56" t="s">
        <v>8</v>
      </c>
      <c r="I729" s="55" t="s">
        <v>8</v>
      </c>
      <c r="J729" s="57">
        <v>180.42</v>
      </c>
      <c r="K729" s="56" t="s">
        <v>2389</v>
      </c>
      <c r="L729" s="56" t="s">
        <v>2390</v>
      </c>
      <c r="M729" s="55" t="s">
        <v>2391</v>
      </c>
      <c r="N729" s="56" t="s">
        <v>2392</v>
      </c>
      <c r="O729" s="53" t="s">
        <v>8</v>
      </c>
      <c r="P729" s="56" t="s">
        <v>2650</v>
      </c>
      <c r="Q729" s="57">
        <v>18600</v>
      </c>
      <c r="R729" s="58" t="s">
        <v>8</v>
      </c>
      <c r="S729" s="57" t="s">
        <v>8</v>
      </c>
      <c r="T729" s="56" t="s">
        <v>2394</v>
      </c>
    </row>
    <row r="730" spans="1:20">
      <c r="A730" s="55">
        <v>129710895224</v>
      </c>
      <c r="B730" s="53" t="s">
        <v>2386</v>
      </c>
      <c r="C730" s="54">
        <v>45943</v>
      </c>
      <c r="D730" s="55">
        <v>51580418980</v>
      </c>
      <c r="E730" s="55">
        <v>2093717097824</v>
      </c>
      <c r="F730" s="56" t="s">
        <v>2387</v>
      </c>
      <c r="G730" s="56" t="s">
        <v>2388</v>
      </c>
      <c r="H730" s="56" t="s">
        <v>8</v>
      </c>
      <c r="I730" s="55" t="s">
        <v>8</v>
      </c>
      <c r="J730" s="57">
        <v>145.5</v>
      </c>
      <c r="K730" s="56" t="s">
        <v>2389</v>
      </c>
      <c r="L730" s="56" t="s">
        <v>2390</v>
      </c>
      <c r="M730" s="55" t="s">
        <v>2391</v>
      </c>
      <c r="N730" s="56" t="s">
        <v>2392</v>
      </c>
      <c r="O730" s="53" t="s">
        <v>8</v>
      </c>
      <c r="P730" s="56" t="s">
        <v>2651</v>
      </c>
      <c r="Q730" s="57">
        <v>15000</v>
      </c>
      <c r="R730" s="58" t="s">
        <v>8</v>
      </c>
      <c r="S730" s="57" t="s">
        <v>8</v>
      </c>
      <c r="T730" s="56" t="s">
        <v>2394</v>
      </c>
    </row>
    <row r="731" spans="1:20">
      <c r="A731" s="55">
        <v>129710939716</v>
      </c>
      <c r="B731" s="53" t="s">
        <v>2386</v>
      </c>
      <c r="C731" s="54">
        <v>45943</v>
      </c>
      <c r="D731" s="55">
        <v>51580486862</v>
      </c>
      <c r="E731" s="55">
        <v>2093650811591</v>
      </c>
      <c r="F731" s="56" t="s">
        <v>2411</v>
      </c>
      <c r="G731" s="56" t="s">
        <v>2388</v>
      </c>
      <c r="H731" s="56" t="s">
        <v>8</v>
      </c>
      <c r="I731" s="55" t="s">
        <v>8</v>
      </c>
      <c r="J731" s="57">
        <v>388</v>
      </c>
      <c r="K731" s="56" t="s">
        <v>2389</v>
      </c>
      <c r="L731" s="56" t="s">
        <v>2390</v>
      </c>
      <c r="M731" s="55" t="s">
        <v>2391</v>
      </c>
      <c r="N731" s="56" t="s">
        <v>2392</v>
      </c>
      <c r="O731" s="53" t="s">
        <v>8</v>
      </c>
      <c r="P731" s="56" t="s">
        <v>2412</v>
      </c>
      <c r="Q731" s="57">
        <v>40000</v>
      </c>
      <c r="R731" s="58" t="s">
        <v>8</v>
      </c>
      <c r="S731" s="57" t="s">
        <v>8</v>
      </c>
      <c r="T731" s="56" t="s">
        <v>8</v>
      </c>
    </row>
    <row r="732" spans="1:20">
      <c r="A732" s="55">
        <v>129500898477</v>
      </c>
      <c r="B732" s="53" t="s">
        <v>2386</v>
      </c>
      <c r="C732" s="54">
        <v>45945</v>
      </c>
      <c r="D732" s="55">
        <v>51720339135</v>
      </c>
      <c r="E732" s="55">
        <v>2096229432346</v>
      </c>
      <c r="F732" s="56" t="s">
        <v>2401</v>
      </c>
      <c r="G732" s="56" t="s">
        <v>2388</v>
      </c>
      <c r="H732" s="56" t="s">
        <v>8</v>
      </c>
      <c r="I732" s="55" t="s">
        <v>8</v>
      </c>
      <c r="J732" s="57">
        <v>385.14</v>
      </c>
      <c r="K732" s="56" t="s">
        <v>2389</v>
      </c>
      <c r="L732" s="56" t="s">
        <v>2402</v>
      </c>
      <c r="M732" s="55" t="s">
        <v>2391</v>
      </c>
      <c r="N732" s="56" t="s">
        <v>2392</v>
      </c>
      <c r="O732" s="53" t="s">
        <v>2055</v>
      </c>
      <c r="P732" s="56" t="s">
        <v>2403</v>
      </c>
      <c r="Q732" s="57">
        <v>9800</v>
      </c>
      <c r="R732" s="58" t="s">
        <v>8</v>
      </c>
      <c r="S732" s="57" t="s">
        <v>8</v>
      </c>
      <c r="T732" s="56" t="s">
        <v>2394</v>
      </c>
    </row>
    <row r="733" spans="1:20">
      <c r="A733" s="55">
        <v>129509437895</v>
      </c>
      <c r="B733" s="53" t="s">
        <v>2386</v>
      </c>
      <c r="C733" s="54">
        <v>45945</v>
      </c>
      <c r="D733" s="55">
        <v>51723663063</v>
      </c>
      <c r="E733" s="55">
        <v>2096212937477</v>
      </c>
      <c r="F733" s="56" t="s">
        <v>2387</v>
      </c>
      <c r="G733" s="56" t="s">
        <v>2388</v>
      </c>
      <c r="H733" s="56" t="s">
        <v>8</v>
      </c>
      <c r="I733" s="55" t="s">
        <v>8</v>
      </c>
      <c r="J733" s="57">
        <v>47.53</v>
      </c>
      <c r="K733" s="56" t="s">
        <v>2389</v>
      </c>
      <c r="L733" s="56" t="s">
        <v>2390</v>
      </c>
      <c r="M733" s="55" t="s">
        <v>2391</v>
      </c>
      <c r="N733" s="56" t="s">
        <v>2392</v>
      </c>
      <c r="O733" s="53" t="s">
        <v>8</v>
      </c>
      <c r="P733" s="56" t="s">
        <v>2652</v>
      </c>
      <c r="Q733" s="57">
        <v>4900</v>
      </c>
      <c r="R733" s="58" t="s">
        <v>8</v>
      </c>
      <c r="S733" s="57" t="s">
        <v>8</v>
      </c>
      <c r="T733" s="56" t="s">
        <v>2394</v>
      </c>
    </row>
    <row r="734" spans="1:20">
      <c r="A734" s="55">
        <v>130086288874</v>
      </c>
      <c r="B734" s="53" t="s">
        <v>2386</v>
      </c>
      <c r="C734" s="54">
        <v>45945</v>
      </c>
      <c r="D734" s="55">
        <v>51723988664</v>
      </c>
      <c r="E734" s="55">
        <v>2096290060730</v>
      </c>
      <c r="F734" s="56" t="s">
        <v>2387</v>
      </c>
      <c r="G734" s="56" t="s">
        <v>2388</v>
      </c>
      <c r="H734" s="56" t="s">
        <v>8</v>
      </c>
      <c r="I734" s="55" t="s">
        <v>8</v>
      </c>
      <c r="J734" s="57">
        <v>372.48</v>
      </c>
      <c r="K734" s="56" t="s">
        <v>2389</v>
      </c>
      <c r="L734" s="56" t="s">
        <v>2390</v>
      </c>
      <c r="M734" s="55" t="s">
        <v>2391</v>
      </c>
      <c r="N734" s="56" t="s">
        <v>2392</v>
      </c>
      <c r="O734" s="53" t="s">
        <v>8</v>
      </c>
      <c r="P734" s="56" t="s">
        <v>2474</v>
      </c>
      <c r="Q734" s="57">
        <v>38400</v>
      </c>
      <c r="R734" s="58" t="s">
        <v>8</v>
      </c>
      <c r="S734" s="57" t="s">
        <v>8</v>
      </c>
      <c r="T734" s="56" t="s">
        <v>2394</v>
      </c>
    </row>
    <row r="735" spans="1:20">
      <c r="A735" s="55">
        <v>130091108900</v>
      </c>
      <c r="B735" s="53" t="s">
        <v>2386</v>
      </c>
      <c r="C735" s="54">
        <v>45945</v>
      </c>
      <c r="D735" s="55">
        <v>51725789678</v>
      </c>
      <c r="E735" s="55">
        <v>2096322825010</v>
      </c>
      <c r="F735" s="56" t="s">
        <v>2401</v>
      </c>
      <c r="G735" s="56" t="s">
        <v>2388</v>
      </c>
      <c r="H735" s="56" t="s">
        <v>8</v>
      </c>
      <c r="I735" s="55" t="s">
        <v>8</v>
      </c>
      <c r="J735" s="57">
        <v>188.64</v>
      </c>
      <c r="K735" s="56" t="s">
        <v>2389</v>
      </c>
      <c r="L735" s="56" t="s">
        <v>2402</v>
      </c>
      <c r="M735" s="55" t="s">
        <v>2391</v>
      </c>
      <c r="N735" s="56" t="s">
        <v>2392</v>
      </c>
      <c r="O735" s="53" t="s">
        <v>2055</v>
      </c>
      <c r="P735" s="56" t="s">
        <v>2403</v>
      </c>
      <c r="Q735" s="57">
        <v>4800</v>
      </c>
      <c r="R735" s="58" t="s">
        <v>8</v>
      </c>
      <c r="S735" s="57" t="s">
        <v>8</v>
      </c>
      <c r="T735" s="56" t="s">
        <v>2394</v>
      </c>
    </row>
    <row r="736" spans="1:20">
      <c r="A736" s="55">
        <v>129516329095</v>
      </c>
      <c r="B736" s="53" t="s">
        <v>2386</v>
      </c>
      <c r="C736" s="54">
        <v>45945</v>
      </c>
      <c r="D736" s="55">
        <v>51726235525</v>
      </c>
      <c r="E736" s="55">
        <v>2096331016580</v>
      </c>
      <c r="F736" s="56" t="s">
        <v>2387</v>
      </c>
      <c r="G736" s="56" t="s">
        <v>2388</v>
      </c>
      <c r="H736" s="56" t="s">
        <v>8</v>
      </c>
      <c r="I736" s="55" t="s">
        <v>8</v>
      </c>
      <c r="J736" s="57">
        <v>93.12</v>
      </c>
      <c r="K736" s="56" t="s">
        <v>2389</v>
      </c>
      <c r="L736" s="56" t="s">
        <v>2390</v>
      </c>
      <c r="M736" s="55" t="s">
        <v>2391</v>
      </c>
      <c r="N736" s="56" t="s">
        <v>2392</v>
      </c>
      <c r="O736" s="53" t="s">
        <v>8</v>
      </c>
      <c r="P736" s="56" t="s">
        <v>2653</v>
      </c>
      <c r="Q736" s="57">
        <v>9600</v>
      </c>
      <c r="R736" s="58" t="s">
        <v>8</v>
      </c>
      <c r="S736" s="57" t="s">
        <v>8</v>
      </c>
      <c r="T736" s="56" t="s">
        <v>2394</v>
      </c>
    </row>
    <row r="737" spans="1:20">
      <c r="A737" s="55">
        <v>129518900805</v>
      </c>
      <c r="B737" s="53" t="s">
        <v>2386</v>
      </c>
      <c r="C737" s="54">
        <v>45945</v>
      </c>
      <c r="D737" s="55">
        <v>51727197265</v>
      </c>
      <c r="E737" s="55">
        <v>2096278843549</v>
      </c>
      <c r="F737" s="56" t="s">
        <v>2387</v>
      </c>
      <c r="G737" s="56" t="s">
        <v>2388</v>
      </c>
      <c r="H737" s="56" t="s">
        <v>8</v>
      </c>
      <c r="I737" s="55" t="s">
        <v>8</v>
      </c>
      <c r="J737" s="57">
        <v>93.12</v>
      </c>
      <c r="K737" s="56" t="s">
        <v>2389</v>
      </c>
      <c r="L737" s="56" t="s">
        <v>2390</v>
      </c>
      <c r="M737" s="55" t="s">
        <v>2391</v>
      </c>
      <c r="N737" s="56" t="s">
        <v>2392</v>
      </c>
      <c r="O737" s="53" t="s">
        <v>8</v>
      </c>
      <c r="P737" s="56" t="s">
        <v>2654</v>
      </c>
      <c r="Q737" s="57">
        <v>9600</v>
      </c>
      <c r="R737" s="58" t="s">
        <v>8</v>
      </c>
      <c r="S737" s="57" t="s">
        <v>8</v>
      </c>
      <c r="T737" s="56" t="s">
        <v>2394</v>
      </c>
    </row>
    <row r="738" spans="1:20">
      <c r="A738" s="55">
        <v>129520478821</v>
      </c>
      <c r="B738" s="53" t="s">
        <v>2386</v>
      </c>
      <c r="C738" s="54">
        <v>45945</v>
      </c>
      <c r="D738" s="55">
        <v>51727837165</v>
      </c>
      <c r="E738" s="55">
        <v>2096289329815</v>
      </c>
      <c r="F738" s="56" t="s">
        <v>2387</v>
      </c>
      <c r="G738" s="56" t="s">
        <v>2388</v>
      </c>
      <c r="H738" s="56" t="s">
        <v>8</v>
      </c>
      <c r="I738" s="55" t="s">
        <v>8</v>
      </c>
      <c r="J738" s="57">
        <v>93.12</v>
      </c>
      <c r="K738" s="56" t="s">
        <v>2389</v>
      </c>
      <c r="L738" s="56" t="s">
        <v>2390</v>
      </c>
      <c r="M738" s="55" t="s">
        <v>2391</v>
      </c>
      <c r="N738" s="56" t="s">
        <v>2392</v>
      </c>
      <c r="O738" s="53" t="s">
        <v>8</v>
      </c>
      <c r="P738" s="56" t="s">
        <v>2655</v>
      </c>
      <c r="Q738" s="57">
        <v>9600</v>
      </c>
      <c r="R738" s="58" t="s">
        <v>8</v>
      </c>
      <c r="S738" s="57" t="s">
        <v>8</v>
      </c>
      <c r="T738" s="56" t="s">
        <v>2394</v>
      </c>
    </row>
    <row r="739" spans="1:20">
      <c r="A739" s="55">
        <v>130098735448</v>
      </c>
      <c r="B739" s="53" t="s">
        <v>2386</v>
      </c>
      <c r="C739" s="54">
        <v>45945</v>
      </c>
      <c r="D739" s="55">
        <v>51728912525</v>
      </c>
      <c r="E739" s="55">
        <v>2096308175255</v>
      </c>
      <c r="F739" s="56" t="s">
        <v>2401</v>
      </c>
      <c r="G739" s="56" t="s">
        <v>2388</v>
      </c>
      <c r="H739" s="56" t="s">
        <v>8</v>
      </c>
      <c r="I739" s="55" t="s">
        <v>8</v>
      </c>
      <c r="J739" s="57">
        <v>801.68</v>
      </c>
      <c r="K739" s="56" t="s">
        <v>2389</v>
      </c>
      <c r="L739" s="56" t="s">
        <v>2402</v>
      </c>
      <c r="M739" s="55" t="s">
        <v>2391</v>
      </c>
      <c r="N739" s="56" t="s">
        <v>2392</v>
      </c>
      <c r="O739" s="53" t="s">
        <v>2055</v>
      </c>
      <c r="P739" s="56" t="s">
        <v>2403</v>
      </c>
      <c r="Q739" s="57">
        <v>20399</v>
      </c>
      <c r="R739" s="58" t="s">
        <v>8</v>
      </c>
      <c r="S739" s="57" t="s">
        <v>8</v>
      </c>
      <c r="T739" s="56" t="s">
        <v>2394</v>
      </c>
    </row>
    <row r="740" spans="1:20">
      <c r="A740" s="55">
        <v>129524072583</v>
      </c>
      <c r="B740" s="53" t="s">
        <v>2386</v>
      </c>
      <c r="C740" s="54">
        <v>45945</v>
      </c>
      <c r="D740" s="55">
        <v>51729379991</v>
      </c>
      <c r="E740" s="55">
        <v>2096316397683</v>
      </c>
      <c r="F740" s="56" t="s">
        <v>2411</v>
      </c>
      <c r="G740" s="56" t="s">
        <v>2388</v>
      </c>
      <c r="H740" s="56" t="s">
        <v>8</v>
      </c>
      <c r="I740" s="55" t="s">
        <v>8</v>
      </c>
      <c r="J740" s="57">
        <v>116.39</v>
      </c>
      <c r="K740" s="56" t="s">
        <v>2389</v>
      </c>
      <c r="L740" s="56" t="s">
        <v>2390</v>
      </c>
      <c r="M740" s="55" t="s">
        <v>2391</v>
      </c>
      <c r="N740" s="56" t="s">
        <v>2392</v>
      </c>
      <c r="O740" s="53" t="s">
        <v>8</v>
      </c>
      <c r="P740" s="56" t="s">
        <v>2412</v>
      </c>
      <c r="Q740" s="57">
        <v>11999</v>
      </c>
      <c r="R740" s="58" t="s">
        <v>8</v>
      </c>
      <c r="S740" s="57" t="s">
        <v>8</v>
      </c>
      <c r="T740" s="56" t="s">
        <v>8</v>
      </c>
    </row>
    <row r="741" spans="1:20">
      <c r="A741" s="55">
        <v>129524869951</v>
      </c>
      <c r="B741" s="53" t="s">
        <v>2386</v>
      </c>
      <c r="C741" s="54">
        <v>45945</v>
      </c>
      <c r="D741" s="55">
        <v>51729753864</v>
      </c>
      <c r="E741" s="55">
        <v>2096323552661</v>
      </c>
      <c r="F741" s="56" t="s">
        <v>2387</v>
      </c>
      <c r="G741" s="56" t="s">
        <v>2388</v>
      </c>
      <c r="H741" s="56" t="s">
        <v>8</v>
      </c>
      <c r="I741" s="55" t="s">
        <v>8</v>
      </c>
      <c r="J741" s="57">
        <v>465.56</v>
      </c>
      <c r="K741" s="56" t="s">
        <v>2389</v>
      </c>
      <c r="L741" s="56" t="s">
        <v>2390</v>
      </c>
      <c r="M741" s="55" t="s">
        <v>2391</v>
      </c>
      <c r="N741" s="56" t="s">
        <v>2392</v>
      </c>
      <c r="O741" s="53" t="s">
        <v>8</v>
      </c>
      <c r="P741" s="56" t="s">
        <v>2656</v>
      </c>
      <c r="Q741" s="57">
        <v>47996</v>
      </c>
      <c r="R741" s="58" t="s">
        <v>8</v>
      </c>
      <c r="S741" s="57" t="s">
        <v>8</v>
      </c>
      <c r="T741" s="56" t="s">
        <v>2394</v>
      </c>
    </row>
    <row r="742" spans="1:20">
      <c r="A742" s="55">
        <v>130101335936</v>
      </c>
      <c r="B742" s="53" t="s">
        <v>2386</v>
      </c>
      <c r="C742" s="54">
        <v>45945</v>
      </c>
      <c r="D742" s="55">
        <v>51730037874</v>
      </c>
      <c r="E742" s="55">
        <v>2096399416512</v>
      </c>
      <c r="F742" s="56" t="s">
        <v>2401</v>
      </c>
      <c r="G742" s="56" t="s">
        <v>2388</v>
      </c>
      <c r="H742" s="56" t="s">
        <v>8</v>
      </c>
      <c r="I742" s="55" t="s">
        <v>8</v>
      </c>
      <c r="J742" s="57">
        <v>1727.47</v>
      </c>
      <c r="K742" s="56" t="s">
        <v>2389</v>
      </c>
      <c r="L742" s="56" t="s">
        <v>2402</v>
      </c>
      <c r="M742" s="55" t="s">
        <v>2391</v>
      </c>
      <c r="N742" s="56" t="s">
        <v>2392</v>
      </c>
      <c r="O742" s="53" t="s">
        <v>2055</v>
      </c>
      <c r="P742" s="56" t="s">
        <v>2403</v>
      </c>
      <c r="Q742" s="57">
        <v>22700</v>
      </c>
      <c r="R742" s="58" t="s">
        <v>8</v>
      </c>
      <c r="S742" s="57" t="s">
        <v>8</v>
      </c>
      <c r="T742" s="56" t="s">
        <v>2394</v>
      </c>
    </row>
    <row r="743" spans="1:20">
      <c r="A743" s="55">
        <v>130101623544</v>
      </c>
      <c r="B743" s="53" t="s">
        <v>2386</v>
      </c>
      <c r="C743" s="54">
        <v>45945</v>
      </c>
      <c r="D743" s="55">
        <v>51730150918</v>
      </c>
      <c r="E743" s="55">
        <v>2096330272575</v>
      </c>
      <c r="F743" s="56" t="s">
        <v>2401</v>
      </c>
      <c r="G743" s="56" t="s">
        <v>2388</v>
      </c>
      <c r="H743" s="56" t="s">
        <v>8</v>
      </c>
      <c r="I743" s="55" t="s">
        <v>8</v>
      </c>
      <c r="J743" s="57">
        <v>2321.0500000000002</v>
      </c>
      <c r="K743" s="56" t="s">
        <v>2389</v>
      </c>
      <c r="L743" s="56" t="s">
        <v>2402</v>
      </c>
      <c r="M743" s="55" t="s">
        <v>2391</v>
      </c>
      <c r="N743" s="56" t="s">
        <v>2392</v>
      </c>
      <c r="O743" s="53" t="s">
        <v>2055</v>
      </c>
      <c r="P743" s="56" t="s">
        <v>2403</v>
      </c>
      <c r="Q743" s="57">
        <v>30500</v>
      </c>
      <c r="R743" s="58" t="s">
        <v>8</v>
      </c>
      <c r="S743" s="57" t="s">
        <v>8</v>
      </c>
      <c r="T743" s="56" t="s">
        <v>2394</v>
      </c>
    </row>
    <row r="744" spans="1:20">
      <c r="A744" s="55">
        <v>129527828423</v>
      </c>
      <c r="B744" s="53" t="s">
        <v>2386</v>
      </c>
      <c r="C744" s="54">
        <v>45945</v>
      </c>
      <c r="D744" s="55">
        <v>51731000495</v>
      </c>
      <c r="E744" s="55">
        <v>2096415171510</v>
      </c>
      <c r="F744" s="56" t="s">
        <v>2475</v>
      </c>
      <c r="G744" s="56" t="s">
        <v>2388</v>
      </c>
      <c r="H744" s="56" t="s">
        <v>8</v>
      </c>
      <c r="I744" s="55" t="s">
        <v>8</v>
      </c>
      <c r="J744" s="57">
        <v>700.9</v>
      </c>
      <c r="K744" s="56" t="s">
        <v>2389</v>
      </c>
      <c r="L744" s="56" t="s">
        <v>2390</v>
      </c>
      <c r="M744" s="55" t="s">
        <v>2391</v>
      </c>
      <c r="N744" s="56" t="s">
        <v>2392</v>
      </c>
      <c r="O744" s="53" t="s">
        <v>8</v>
      </c>
      <c r="P744" s="56" t="s">
        <v>2536</v>
      </c>
      <c r="Q744" s="57">
        <v>43000</v>
      </c>
      <c r="R744" s="58" t="s">
        <v>8</v>
      </c>
      <c r="S744" s="57" t="s">
        <v>8</v>
      </c>
      <c r="T744" s="56" t="s">
        <v>2394</v>
      </c>
    </row>
    <row r="745" spans="1:20">
      <c r="A745" s="55">
        <v>130104043986</v>
      </c>
      <c r="B745" s="53" t="s">
        <v>2386</v>
      </c>
      <c r="C745" s="54">
        <v>45945</v>
      </c>
      <c r="D745" s="55">
        <v>51731255840</v>
      </c>
      <c r="E745" s="55">
        <v>2096347538813</v>
      </c>
      <c r="F745" s="56" t="s">
        <v>2401</v>
      </c>
      <c r="G745" s="56" t="s">
        <v>2388</v>
      </c>
      <c r="H745" s="56" t="s">
        <v>8</v>
      </c>
      <c r="I745" s="55" t="s">
        <v>8</v>
      </c>
      <c r="J745" s="57">
        <v>628.79999999999995</v>
      </c>
      <c r="K745" s="56" t="s">
        <v>2389</v>
      </c>
      <c r="L745" s="56" t="s">
        <v>2402</v>
      </c>
      <c r="M745" s="55" t="s">
        <v>2391</v>
      </c>
      <c r="N745" s="56" t="s">
        <v>2392</v>
      </c>
      <c r="O745" s="53" t="s">
        <v>2055</v>
      </c>
      <c r="P745" s="56" t="s">
        <v>2403</v>
      </c>
      <c r="Q745" s="57">
        <v>16000</v>
      </c>
      <c r="R745" s="58" t="s">
        <v>8</v>
      </c>
      <c r="S745" s="57" t="s">
        <v>8</v>
      </c>
      <c r="T745" s="56" t="s">
        <v>2394</v>
      </c>
    </row>
    <row r="746" spans="1:20">
      <c r="A746" s="55">
        <v>129528484869</v>
      </c>
      <c r="B746" s="53" t="s">
        <v>2386</v>
      </c>
      <c r="C746" s="54">
        <v>45945</v>
      </c>
      <c r="D746" s="55">
        <v>51731349163</v>
      </c>
      <c r="E746" s="55">
        <v>2096349084817</v>
      </c>
      <c r="F746" s="56" t="s">
        <v>2411</v>
      </c>
      <c r="G746" s="56" t="s">
        <v>2388</v>
      </c>
      <c r="H746" s="56" t="s">
        <v>8</v>
      </c>
      <c r="I746" s="55" t="s">
        <v>8</v>
      </c>
      <c r="J746" s="57">
        <v>258.99</v>
      </c>
      <c r="K746" s="56" t="s">
        <v>2389</v>
      </c>
      <c r="L746" s="56" t="s">
        <v>2390</v>
      </c>
      <c r="M746" s="55" t="s">
        <v>2391</v>
      </c>
      <c r="N746" s="56" t="s">
        <v>2392</v>
      </c>
      <c r="O746" s="53" t="s">
        <v>8</v>
      </c>
      <c r="P746" s="56" t="s">
        <v>2412</v>
      </c>
      <c r="Q746" s="57">
        <v>26700</v>
      </c>
      <c r="R746" s="58" t="s">
        <v>8</v>
      </c>
      <c r="S746" s="57" t="s">
        <v>8</v>
      </c>
      <c r="T746" s="56" t="s">
        <v>8</v>
      </c>
    </row>
    <row r="747" spans="1:20">
      <c r="A747" s="55">
        <v>130104586288</v>
      </c>
      <c r="B747" s="53" t="s">
        <v>2386</v>
      </c>
      <c r="C747" s="54">
        <v>45945</v>
      </c>
      <c r="D747" s="55">
        <v>51731390272</v>
      </c>
      <c r="E747" s="55">
        <v>2096350071959</v>
      </c>
      <c r="F747" s="56" t="s">
        <v>2387</v>
      </c>
      <c r="G747" s="56" t="s">
        <v>2388</v>
      </c>
      <c r="H747" s="56" t="s">
        <v>8</v>
      </c>
      <c r="I747" s="55" t="s">
        <v>8</v>
      </c>
      <c r="J747" s="57">
        <v>652.78</v>
      </c>
      <c r="K747" s="56" t="s">
        <v>2389</v>
      </c>
      <c r="L747" s="56" t="s">
        <v>2390</v>
      </c>
      <c r="M747" s="55" t="s">
        <v>2391</v>
      </c>
      <c r="N747" s="56" t="s">
        <v>2392</v>
      </c>
      <c r="O747" s="53" t="s">
        <v>8</v>
      </c>
      <c r="P747" s="56" t="s">
        <v>2657</v>
      </c>
      <c r="Q747" s="57">
        <v>67297</v>
      </c>
      <c r="R747" s="58" t="s">
        <v>8</v>
      </c>
      <c r="S747" s="57" t="s">
        <v>8</v>
      </c>
      <c r="T747" s="56" t="s">
        <v>2394</v>
      </c>
    </row>
    <row r="748" spans="1:20">
      <c r="A748" s="55">
        <v>130104527794</v>
      </c>
      <c r="B748" s="53" t="s">
        <v>2386</v>
      </c>
      <c r="C748" s="54">
        <v>45945</v>
      </c>
      <c r="D748" s="55">
        <v>51731414122</v>
      </c>
      <c r="E748" s="55">
        <v>2096421477340</v>
      </c>
      <c r="F748" s="56" t="s">
        <v>2387</v>
      </c>
      <c r="G748" s="56" t="s">
        <v>2388</v>
      </c>
      <c r="H748" s="56" t="s">
        <v>8</v>
      </c>
      <c r="I748" s="55" t="s">
        <v>8</v>
      </c>
      <c r="J748" s="57">
        <v>268.68</v>
      </c>
      <c r="K748" s="56" t="s">
        <v>2389</v>
      </c>
      <c r="L748" s="56" t="s">
        <v>2390</v>
      </c>
      <c r="M748" s="55" t="s">
        <v>2391</v>
      </c>
      <c r="N748" s="56" t="s">
        <v>2392</v>
      </c>
      <c r="O748" s="53" t="s">
        <v>8</v>
      </c>
      <c r="P748" s="56" t="s">
        <v>2658</v>
      </c>
      <c r="Q748" s="57">
        <v>27699</v>
      </c>
      <c r="R748" s="58" t="s">
        <v>8</v>
      </c>
      <c r="S748" s="57" t="s">
        <v>8</v>
      </c>
      <c r="T748" s="56" t="s">
        <v>2394</v>
      </c>
    </row>
    <row r="749" spans="1:20">
      <c r="A749" s="55">
        <v>130106124388</v>
      </c>
      <c r="B749" s="53" t="s">
        <v>2386</v>
      </c>
      <c r="C749" s="54">
        <v>45946</v>
      </c>
      <c r="D749" s="55">
        <v>51732236663</v>
      </c>
      <c r="E749" s="55">
        <v>2096360490831</v>
      </c>
      <c r="F749" s="56" t="s">
        <v>2401</v>
      </c>
      <c r="G749" s="56" t="s">
        <v>2388</v>
      </c>
      <c r="H749" s="56" t="s">
        <v>8</v>
      </c>
      <c r="I749" s="55" t="s">
        <v>8</v>
      </c>
      <c r="J749" s="57">
        <v>770.28</v>
      </c>
      <c r="K749" s="56" t="s">
        <v>2389</v>
      </c>
      <c r="L749" s="56" t="s">
        <v>2402</v>
      </c>
      <c r="M749" s="55" t="s">
        <v>2391</v>
      </c>
      <c r="N749" s="56" t="s">
        <v>2392</v>
      </c>
      <c r="O749" s="53" t="s">
        <v>2055</v>
      </c>
      <c r="P749" s="56" t="s">
        <v>2403</v>
      </c>
      <c r="Q749" s="57">
        <v>19600</v>
      </c>
      <c r="R749" s="58" t="s">
        <v>8</v>
      </c>
      <c r="S749" s="57" t="s">
        <v>8</v>
      </c>
      <c r="T749" s="56" t="s">
        <v>2394</v>
      </c>
    </row>
    <row r="750" spans="1:20">
      <c r="A750" s="55">
        <v>130106306538</v>
      </c>
      <c r="B750" s="53" t="s">
        <v>2386</v>
      </c>
      <c r="C750" s="54">
        <v>45946</v>
      </c>
      <c r="D750" s="55">
        <v>51732326530</v>
      </c>
      <c r="E750" s="55">
        <v>2096361529007</v>
      </c>
      <c r="F750" s="56" t="s">
        <v>2387</v>
      </c>
      <c r="G750" s="56" t="s">
        <v>2388</v>
      </c>
      <c r="H750" s="56" t="s">
        <v>8</v>
      </c>
      <c r="I750" s="55" t="s">
        <v>8</v>
      </c>
      <c r="J750" s="57">
        <v>232.78</v>
      </c>
      <c r="K750" s="56" t="s">
        <v>2389</v>
      </c>
      <c r="L750" s="56" t="s">
        <v>2390</v>
      </c>
      <c r="M750" s="55" t="s">
        <v>2391</v>
      </c>
      <c r="N750" s="56" t="s">
        <v>2392</v>
      </c>
      <c r="O750" s="53" t="s">
        <v>8</v>
      </c>
      <c r="P750" s="56" t="s">
        <v>2659</v>
      </c>
      <c r="Q750" s="57">
        <v>23998</v>
      </c>
      <c r="R750" s="58" t="s">
        <v>8</v>
      </c>
      <c r="S750" s="57" t="s">
        <v>8</v>
      </c>
      <c r="T750" s="56" t="s">
        <v>2394</v>
      </c>
    </row>
    <row r="751" spans="1:20">
      <c r="A751" s="55">
        <v>130106413210</v>
      </c>
      <c r="B751" s="53" t="s">
        <v>2386</v>
      </c>
      <c r="C751" s="54">
        <v>45946</v>
      </c>
      <c r="D751" s="55">
        <v>51732381890</v>
      </c>
      <c r="E751" s="55">
        <v>2096362610523</v>
      </c>
      <c r="F751" s="56" t="s">
        <v>2387</v>
      </c>
      <c r="G751" s="56" t="s">
        <v>2388</v>
      </c>
      <c r="H751" s="56" t="s">
        <v>8</v>
      </c>
      <c r="I751" s="55" t="s">
        <v>8</v>
      </c>
      <c r="J751" s="57">
        <v>232.78</v>
      </c>
      <c r="K751" s="56" t="s">
        <v>2389</v>
      </c>
      <c r="L751" s="56" t="s">
        <v>2390</v>
      </c>
      <c r="M751" s="55" t="s">
        <v>2391</v>
      </c>
      <c r="N751" s="56" t="s">
        <v>2392</v>
      </c>
      <c r="O751" s="53" t="s">
        <v>8</v>
      </c>
      <c r="P751" s="56" t="s">
        <v>2660</v>
      </c>
      <c r="Q751" s="57">
        <v>23998</v>
      </c>
      <c r="R751" s="58" t="s">
        <v>8</v>
      </c>
      <c r="S751" s="57" t="s">
        <v>8</v>
      </c>
      <c r="T751" s="56" t="s">
        <v>2394</v>
      </c>
    </row>
    <row r="752" spans="1:20">
      <c r="A752" s="55">
        <v>130106746606</v>
      </c>
      <c r="B752" s="53" t="s">
        <v>2386</v>
      </c>
      <c r="C752" s="54">
        <v>45946</v>
      </c>
      <c r="D752" s="55">
        <v>51732547643</v>
      </c>
      <c r="E752" s="55">
        <v>2096436249512</v>
      </c>
      <c r="F752" s="56" t="s">
        <v>2411</v>
      </c>
      <c r="G752" s="56" t="s">
        <v>2388</v>
      </c>
      <c r="H752" s="56" t="s">
        <v>8</v>
      </c>
      <c r="I752" s="55" t="s">
        <v>8</v>
      </c>
      <c r="J752" s="57">
        <v>470.45</v>
      </c>
      <c r="K752" s="56" t="s">
        <v>2389</v>
      </c>
      <c r="L752" s="56" t="s">
        <v>2390</v>
      </c>
      <c r="M752" s="55" t="s">
        <v>2391</v>
      </c>
      <c r="N752" s="56" t="s">
        <v>2392</v>
      </c>
      <c r="O752" s="53" t="s">
        <v>8</v>
      </c>
      <c r="P752" s="56" t="s">
        <v>2412</v>
      </c>
      <c r="Q752" s="57">
        <v>48500</v>
      </c>
      <c r="R752" s="58" t="s">
        <v>8</v>
      </c>
      <c r="S752" s="57" t="s">
        <v>8</v>
      </c>
      <c r="T752" s="56" t="s">
        <v>8</v>
      </c>
    </row>
    <row r="753" spans="1:20">
      <c r="A753" s="55">
        <v>129530844735</v>
      </c>
      <c r="B753" s="53" t="s">
        <v>2386</v>
      </c>
      <c r="C753" s="54">
        <v>45946</v>
      </c>
      <c r="D753" s="55">
        <v>51732597234</v>
      </c>
      <c r="E753" s="55">
        <v>2096365349847</v>
      </c>
      <c r="F753" s="56" t="s">
        <v>2387</v>
      </c>
      <c r="G753" s="56" t="s">
        <v>2388</v>
      </c>
      <c r="H753" s="56" t="s">
        <v>8</v>
      </c>
      <c r="I753" s="55" t="s">
        <v>8</v>
      </c>
      <c r="J753" s="57">
        <v>575.21</v>
      </c>
      <c r="K753" s="56" t="s">
        <v>2389</v>
      </c>
      <c r="L753" s="56" t="s">
        <v>2390</v>
      </c>
      <c r="M753" s="55" t="s">
        <v>2391</v>
      </c>
      <c r="N753" s="56" t="s">
        <v>2392</v>
      </c>
      <c r="O753" s="53" t="s">
        <v>8</v>
      </c>
      <c r="P753" s="56" t="s">
        <v>2661</v>
      </c>
      <c r="Q753" s="57">
        <v>59300</v>
      </c>
      <c r="R753" s="58" t="s">
        <v>8</v>
      </c>
      <c r="S753" s="57" t="s">
        <v>8</v>
      </c>
      <c r="T753" s="56" t="s">
        <v>2394</v>
      </c>
    </row>
    <row r="754" spans="1:20">
      <c r="A754" s="55">
        <v>129646290259</v>
      </c>
      <c r="B754" s="53" t="s">
        <v>2386</v>
      </c>
      <c r="C754" s="54">
        <v>45946</v>
      </c>
      <c r="D754" s="55">
        <v>51779333385</v>
      </c>
      <c r="E754" s="55">
        <v>2097232751038</v>
      </c>
      <c r="F754" s="56" t="s">
        <v>2387</v>
      </c>
      <c r="G754" s="56" t="s">
        <v>2388</v>
      </c>
      <c r="H754" s="56" t="s">
        <v>8</v>
      </c>
      <c r="I754" s="55" t="s">
        <v>8</v>
      </c>
      <c r="J754" s="57">
        <v>81.48</v>
      </c>
      <c r="K754" s="56" t="s">
        <v>2389</v>
      </c>
      <c r="L754" s="56" t="s">
        <v>2390</v>
      </c>
      <c r="M754" s="55" t="s">
        <v>2391</v>
      </c>
      <c r="N754" s="56" t="s">
        <v>2392</v>
      </c>
      <c r="O754" s="53" t="s">
        <v>8</v>
      </c>
      <c r="P754" s="56" t="s">
        <v>2662</v>
      </c>
      <c r="Q754" s="57">
        <v>8400</v>
      </c>
      <c r="R754" s="58" t="s">
        <v>8</v>
      </c>
      <c r="S754" s="57" t="s">
        <v>8</v>
      </c>
      <c r="T754" s="56" t="s">
        <v>2394</v>
      </c>
    </row>
    <row r="755" spans="1:20">
      <c r="A755" s="55">
        <v>129648915079</v>
      </c>
      <c r="B755" s="53" t="s">
        <v>2386</v>
      </c>
      <c r="C755" s="54">
        <v>45946</v>
      </c>
      <c r="D755" s="55">
        <v>51780584468</v>
      </c>
      <c r="E755" s="55">
        <v>2097250771986</v>
      </c>
      <c r="F755" s="56" t="s">
        <v>2387</v>
      </c>
      <c r="G755" s="56" t="s">
        <v>2388</v>
      </c>
      <c r="H755" s="56" t="s">
        <v>8</v>
      </c>
      <c r="I755" s="55" t="s">
        <v>8</v>
      </c>
      <c r="J755" s="57">
        <v>135.80000000000001</v>
      </c>
      <c r="K755" s="56" t="s">
        <v>2389</v>
      </c>
      <c r="L755" s="56" t="s">
        <v>2390</v>
      </c>
      <c r="M755" s="55" t="s">
        <v>2391</v>
      </c>
      <c r="N755" s="56" t="s">
        <v>2392</v>
      </c>
      <c r="O755" s="53" t="s">
        <v>8</v>
      </c>
      <c r="P755" s="56" t="s">
        <v>2663</v>
      </c>
      <c r="Q755" s="57">
        <v>14000</v>
      </c>
      <c r="R755" s="58" t="s">
        <v>8</v>
      </c>
      <c r="S755" s="57" t="s">
        <v>8</v>
      </c>
      <c r="T755" s="56" t="s">
        <v>2394</v>
      </c>
    </row>
    <row r="756" spans="1:20">
      <c r="A756" s="55">
        <v>129649848031</v>
      </c>
      <c r="B756" s="53" t="s">
        <v>2386</v>
      </c>
      <c r="C756" s="54">
        <v>45946</v>
      </c>
      <c r="D756" s="55">
        <v>51781055596</v>
      </c>
      <c r="E756" s="55">
        <v>2097185635525</v>
      </c>
      <c r="F756" s="56" t="s">
        <v>2387</v>
      </c>
      <c r="G756" s="56" t="s">
        <v>2388</v>
      </c>
      <c r="H756" s="56" t="s">
        <v>8</v>
      </c>
      <c r="I756" s="55" t="s">
        <v>8</v>
      </c>
      <c r="J756" s="57">
        <v>46.56</v>
      </c>
      <c r="K756" s="56" t="s">
        <v>2389</v>
      </c>
      <c r="L756" s="56" t="s">
        <v>2390</v>
      </c>
      <c r="M756" s="55" t="s">
        <v>2391</v>
      </c>
      <c r="N756" s="56" t="s">
        <v>2392</v>
      </c>
      <c r="O756" s="53" t="s">
        <v>8</v>
      </c>
      <c r="P756" s="56" t="s">
        <v>2664</v>
      </c>
      <c r="Q756" s="57">
        <v>4800</v>
      </c>
      <c r="R756" s="58" t="s">
        <v>8</v>
      </c>
      <c r="S756" s="57" t="s">
        <v>8</v>
      </c>
      <c r="T756" s="56" t="s">
        <v>2394</v>
      </c>
    </row>
    <row r="757" spans="1:20">
      <c r="A757" s="55">
        <v>129650617159</v>
      </c>
      <c r="B757" s="53" t="s">
        <v>2386</v>
      </c>
      <c r="C757" s="54">
        <v>45946</v>
      </c>
      <c r="D757" s="55">
        <v>51781435441</v>
      </c>
      <c r="E757" s="55">
        <v>2097263623902</v>
      </c>
      <c r="F757" s="56" t="s">
        <v>2401</v>
      </c>
      <c r="G757" s="56" t="s">
        <v>2388</v>
      </c>
      <c r="H757" s="56" t="s">
        <v>8</v>
      </c>
      <c r="I757" s="55" t="s">
        <v>8</v>
      </c>
      <c r="J757" s="57">
        <v>271.17</v>
      </c>
      <c r="K757" s="56" t="s">
        <v>2389</v>
      </c>
      <c r="L757" s="56" t="s">
        <v>2402</v>
      </c>
      <c r="M757" s="55" t="s">
        <v>2391</v>
      </c>
      <c r="N757" s="56" t="s">
        <v>2392</v>
      </c>
      <c r="O757" s="53" t="s">
        <v>2055</v>
      </c>
      <c r="P757" s="56" t="s">
        <v>2403</v>
      </c>
      <c r="Q757" s="57">
        <v>6900</v>
      </c>
      <c r="R757" s="58" t="s">
        <v>8</v>
      </c>
      <c r="S757" s="57" t="s">
        <v>8</v>
      </c>
      <c r="T757" s="56" t="s">
        <v>2394</v>
      </c>
    </row>
    <row r="758" spans="1:20">
      <c r="A758" s="55">
        <v>129650775843</v>
      </c>
      <c r="B758" s="53" t="s">
        <v>2386</v>
      </c>
      <c r="C758" s="54">
        <v>45946</v>
      </c>
      <c r="D758" s="55">
        <v>51781510828</v>
      </c>
      <c r="E758" s="55">
        <v>2097265214756</v>
      </c>
      <c r="F758" s="56" t="s">
        <v>2401</v>
      </c>
      <c r="G758" s="56" t="s">
        <v>2388</v>
      </c>
      <c r="H758" s="56" t="s">
        <v>8</v>
      </c>
      <c r="I758" s="55" t="s">
        <v>8</v>
      </c>
      <c r="J758" s="57">
        <v>271.17</v>
      </c>
      <c r="K758" s="56" t="s">
        <v>2389</v>
      </c>
      <c r="L758" s="56" t="s">
        <v>2402</v>
      </c>
      <c r="M758" s="55" t="s">
        <v>2391</v>
      </c>
      <c r="N758" s="56" t="s">
        <v>2392</v>
      </c>
      <c r="O758" s="53" t="s">
        <v>2055</v>
      </c>
      <c r="P758" s="56" t="s">
        <v>2403</v>
      </c>
      <c r="Q758" s="57">
        <v>6900</v>
      </c>
      <c r="R758" s="58" t="s">
        <v>8</v>
      </c>
      <c r="S758" s="57" t="s">
        <v>8</v>
      </c>
      <c r="T758" s="56" t="s">
        <v>2394</v>
      </c>
    </row>
    <row r="759" spans="1:20">
      <c r="A759" s="55">
        <v>129651219591</v>
      </c>
      <c r="B759" s="53" t="s">
        <v>2386</v>
      </c>
      <c r="C759" s="54">
        <v>45946</v>
      </c>
      <c r="D759" s="55">
        <v>51781688989</v>
      </c>
      <c r="E759" s="55">
        <v>2097195930581</v>
      </c>
      <c r="F759" s="56" t="s">
        <v>2387</v>
      </c>
      <c r="G759" s="56" t="s">
        <v>2388</v>
      </c>
      <c r="H759" s="56" t="s">
        <v>8</v>
      </c>
      <c r="I759" s="55" t="s">
        <v>8</v>
      </c>
      <c r="J759" s="57">
        <v>57.23</v>
      </c>
      <c r="K759" s="56" t="s">
        <v>2389</v>
      </c>
      <c r="L759" s="56" t="s">
        <v>2390</v>
      </c>
      <c r="M759" s="55" t="s">
        <v>2391</v>
      </c>
      <c r="N759" s="56" t="s">
        <v>2392</v>
      </c>
      <c r="O759" s="53" t="s">
        <v>8</v>
      </c>
      <c r="P759" s="56" t="s">
        <v>2665</v>
      </c>
      <c r="Q759" s="57">
        <v>5900</v>
      </c>
      <c r="R759" s="58" t="s">
        <v>8</v>
      </c>
      <c r="S759" s="57" t="s">
        <v>8</v>
      </c>
      <c r="T759" s="56" t="s">
        <v>2394</v>
      </c>
    </row>
    <row r="760" spans="1:20">
      <c r="A760" s="55">
        <v>129653680393</v>
      </c>
      <c r="B760" s="53" t="s">
        <v>2386</v>
      </c>
      <c r="C760" s="54">
        <v>45946</v>
      </c>
      <c r="D760" s="55">
        <v>51782728481</v>
      </c>
      <c r="E760" s="55">
        <v>2097285848152</v>
      </c>
      <c r="F760" s="56" t="s">
        <v>2387</v>
      </c>
      <c r="G760" s="56" t="s">
        <v>2388</v>
      </c>
      <c r="H760" s="56" t="s">
        <v>8</v>
      </c>
      <c r="I760" s="55" t="s">
        <v>8</v>
      </c>
      <c r="J760" s="57">
        <v>42.68</v>
      </c>
      <c r="K760" s="56" t="s">
        <v>2389</v>
      </c>
      <c r="L760" s="56" t="s">
        <v>2390</v>
      </c>
      <c r="M760" s="55" t="s">
        <v>2391</v>
      </c>
      <c r="N760" s="56" t="s">
        <v>2392</v>
      </c>
      <c r="O760" s="53" t="s">
        <v>8</v>
      </c>
      <c r="P760" s="56" t="s">
        <v>2666</v>
      </c>
      <c r="Q760" s="57">
        <v>4400</v>
      </c>
      <c r="R760" s="58" t="s">
        <v>8</v>
      </c>
      <c r="S760" s="57" t="s">
        <v>8</v>
      </c>
      <c r="T760" s="56" t="s">
        <v>2394</v>
      </c>
    </row>
    <row r="761" spans="1:20">
      <c r="A761" s="55">
        <v>130231645538</v>
      </c>
      <c r="B761" s="53" t="s">
        <v>2386</v>
      </c>
      <c r="C761" s="54">
        <v>45946</v>
      </c>
      <c r="D761" s="55">
        <v>51783209346</v>
      </c>
      <c r="E761" s="55">
        <v>2097293890922</v>
      </c>
      <c r="F761" s="56" t="s">
        <v>2411</v>
      </c>
      <c r="G761" s="56" t="s">
        <v>2388</v>
      </c>
      <c r="H761" s="56" t="s">
        <v>8</v>
      </c>
      <c r="I761" s="55" t="s">
        <v>8</v>
      </c>
      <c r="J761" s="57">
        <v>46.56</v>
      </c>
      <c r="K761" s="56" t="s">
        <v>2389</v>
      </c>
      <c r="L761" s="56" t="s">
        <v>2390</v>
      </c>
      <c r="M761" s="55" t="s">
        <v>2391</v>
      </c>
      <c r="N761" s="56" t="s">
        <v>2392</v>
      </c>
      <c r="O761" s="53" t="s">
        <v>8</v>
      </c>
      <c r="P761" s="56" t="s">
        <v>2412</v>
      </c>
      <c r="Q761" s="57">
        <v>4800</v>
      </c>
      <c r="R761" s="58" t="s">
        <v>8</v>
      </c>
      <c r="S761" s="57" t="s">
        <v>8</v>
      </c>
      <c r="T761" s="56" t="s">
        <v>8</v>
      </c>
    </row>
    <row r="762" spans="1:20">
      <c r="A762" s="55">
        <v>129655379537</v>
      </c>
      <c r="B762" s="53" t="s">
        <v>2386</v>
      </c>
      <c r="C762" s="54">
        <v>45946</v>
      </c>
      <c r="D762" s="55">
        <v>51783488992</v>
      </c>
      <c r="E762" s="55">
        <v>2097226270079</v>
      </c>
      <c r="F762" s="56" t="s">
        <v>2411</v>
      </c>
      <c r="G762" s="56" t="s">
        <v>2388</v>
      </c>
      <c r="H762" s="56" t="s">
        <v>8</v>
      </c>
      <c r="I762" s="55" t="s">
        <v>8</v>
      </c>
      <c r="J762" s="57">
        <v>139.68</v>
      </c>
      <c r="K762" s="56" t="s">
        <v>2389</v>
      </c>
      <c r="L762" s="56" t="s">
        <v>2390</v>
      </c>
      <c r="M762" s="55" t="s">
        <v>2391</v>
      </c>
      <c r="N762" s="56" t="s">
        <v>2392</v>
      </c>
      <c r="O762" s="53" t="s">
        <v>8</v>
      </c>
      <c r="P762" s="56" t="s">
        <v>2412</v>
      </c>
      <c r="Q762" s="57">
        <v>14400</v>
      </c>
      <c r="R762" s="58" t="s">
        <v>8</v>
      </c>
      <c r="S762" s="57" t="s">
        <v>8</v>
      </c>
      <c r="T762" s="56" t="s">
        <v>8</v>
      </c>
    </row>
    <row r="763" spans="1:20">
      <c r="A763" s="55">
        <v>129656006133</v>
      </c>
      <c r="B763" s="53" t="s">
        <v>2386</v>
      </c>
      <c r="C763" s="54">
        <v>45946</v>
      </c>
      <c r="D763" s="55">
        <v>51783720879</v>
      </c>
      <c r="E763" s="55">
        <v>2097229842565</v>
      </c>
      <c r="F763" s="56" t="s">
        <v>2387</v>
      </c>
      <c r="G763" s="56" t="s">
        <v>2388</v>
      </c>
      <c r="H763" s="56" t="s">
        <v>8</v>
      </c>
      <c r="I763" s="55" t="s">
        <v>8</v>
      </c>
      <c r="J763" s="57">
        <v>46.56</v>
      </c>
      <c r="K763" s="56" t="s">
        <v>2389</v>
      </c>
      <c r="L763" s="56" t="s">
        <v>2390</v>
      </c>
      <c r="M763" s="55" t="s">
        <v>2391</v>
      </c>
      <c r="N763" s="56" t="s">
        <v>2392</v>
      </c>
      <c r="O763" s="53" t="s">
        <v>8</v>
      </c>
      <c r="P763" s="56" t="s">
        <v>2667</v>
      </c>
      <c r="Q763" s="57">
        <v>4800</v>
      </c>
      <c r="R763" s="58" t="s">
        <v>8</v>
      </c>
      <c r="S763" s="57" t="s">
        <v>8</v>
      </c>
      <c r="T763" s="56" t="s">
        <v>2394</v>
      </c>
    </row>
    <row r="764" spans="1:20">
      <c r="A764" s="55">
        <v>130233045784</v>
      </c>
      <c r="B764" s="53" t="s">
        <v>2386</v>
      </c>
      <c r="C764" s="54">
        <v>45946</v>
      </c>
      <c r="D764" s="55">
        <v>51783828572</v>
      </c>
      <c r="E764" s="55">
        <v>2097303818538</v>
      </c>
      <c r="F764" s="56" t="s">
        <v>2401</v>
      </c>
      <c r="G764" s="56" t="s">
        <v>2388</v>
      </c>
      <c r="H764" s="56" t="s">
        <v>8</v>
      </c>
      <c r="I764" s="55" t="s">
        <v>8</v>
      </c>
      <c r="J764" s="57">
        <v>365.28</v>
      </c>
      <c r="K764" s="56" t="s">
        <v>2389</v>
      </c>
      <c r="L764" s="56" t="s">
        <v>2402</v>
      </c>
      <c r="M764" s="55" t="s">
        <v>2391</v>
      </c>
      <c r="N764" s="56" t="s">
        <v>2392</v>
      </c>
      <c r="O764" s="53" t="s">
        <v>2055</v>
      </c>
      <c r="P764" s="56" t="s">
        <v>2403</v>
      </c>
      <c r="Q764" s="57">
        <v>4800</v>
      </c>
      <c r="R764" s="58" t="s">
        <v>8</v>
      </c>
      <c r="S764" s="57" t="s">
        <v>8</v>
      </c>
      <c r="T764" s="56" t="s">
        <v>2394</v>
      </c>
    </row>
    <row r="765" spans="1:20">
      <c r="A765" s="55">
        <v>129656171055</v>
      </c>
      <c r="B765" s="53" t="s">
        <v>2386</v>
      </c>
      <c r="C765" s="54">
        <v>45946</v>
      </c>
      <c r="D765" s="55">
        <v>51783830690</v>
      </c>
      <c r="E765" s="55">
        <v>2097303959168</v>
      </c>
      <c r="F765" s="56" t="s">
        <v>2387</v>
      </c>
      <c r="G765" s="56" t="s">
        <v>2388</v>
      </c>
      <c r="H765" s="56" t="s">
        <v>8</v>
      </c>
      <c r="I765" s="55" t="s">
        <v>8</v>
      </c>
      <c r="J765" s="57">
        <v>273.54000000000002</v>
      </c>
      <c r="K765" s="56" t="s">
        <v>2389</v>
      </c>
      <c r="L765" s="56" t="s">
        <v>2390</v>
      </c>
      <c r="M765" s="55" t="s">
        <v>2391</v>
      </c>
      <c r="N765" s="56" t="s">
        <v>2392</v>
      </c>
      <c r="O765" s="53" t="s">
        <v>8</v>
      </c>
      <c r="P765" s="56" t="s">
        <v>2668</v>
      </c>
      <c r="Q765" s="57">
        <v>28200</v>
      </c>
      <c r="R765" s="58" t="s">
        <v>8</v>
      </c>
      <c r="S765" s="57" t="s">
        <v>8</v>
      </c>
      <c r="T765" s="56" t="s">
        <v>2394</v>
      </c>
    </row>
    <row r="766" spans="1:20">
      <c r="A766" s="55">
        <v>129656635025</v>
      </c>
      <c r="B766" s="53" t="s">
        <v>2386</v>
      </c>
      <c r="C766" s="54">
        <v>45946</v>
      </c>
      <c r="D766" s="55">
        <v>51784074179</v>
      </c>
      <c r="E766" s="55">
        <v>2097307415876</v>
      </c>
      <c r="F766" s="56" t="s">
        <v>2411</v>
      </c>
      <c r="G766" s="56" t="s">
        <v>2388</v>
      </c>
      <c r="H766" s="56" t="s">
        <v>8</v>
      </c>
      <c r="I766" s="55" t="s">
        <v>8</v>
      </c>
      <c r="J766" s="57">
        <v>139.68</v>
      </c>
      <c r="K766" s="56" t="s">
        <v>2389</v>
      </c>
      <c r="L766" s="56" t="s">
        <v>2390</v>
      </c>
      <c r="M766" s="55" t="s">
        <v>2391</v>
      </c>
      <c r="N766" s="56" t="s">
        <v>2392</v>
      </c>
      <c r="O766" s="53" t="s">
        <v>8</v>
      </c>
      <c r="P766" s="56" t="s">
        <v>2412</v>
      </c>
      <c r="Q766" s="57">
        <v>14400</v>
      </c>
      <c r="R766" s="58" t="s">
        <v>8</v>
      </c>
      <c r="S766" s="57" t="s">
        <v>8</v>
      </c>
      <c r="T766" s="56" t="s">
        <v>8</v>
      </c>
    </row>
    <row r="767" spans="1:20">
      <c r="A767" s="55">
        <v>130235052390</v>
      </c>
      <c r="B767" s="53" t="s">
        <v>2386</v>
      </c>
      <c r="C767" s="54">
        <v>45946</v>
      </c>
      <c r="D767" s="55">
        <v>51784747052</v>
      </c>
      <c r="E767" s="55">
        <v>2097245358595</v>
      </c>
      <c r="F767" s="56" t="s">
        <v>2387</v>
      </c>
      <c r="G767" s="56" t="s">
        <v>2388</v>
      </c>
      <c r="H767" s="56" t="s">
        <v>8</v>
      </c>
      <c r="I767" s="55" t="s">
        <v>8</v>
      </c>
      <c r="J767" s="57">
        <v>93.12</v>
      </c>
      <c r="K767" s="56" t="s">
        <v>2389</v>
      </c>
      <c r="L767" s="56" t="s">
        <v>2390</v>
      </c>
      <c r="M767" s="55" t="s">
        <v>2391</v>
      </c>
      <c r="N767" s="56" t="s">
        <v>2392</v>
      </c>
      <c r="O767" s="53" t="s">
        <v>8</v>
      </c>
      <c r="P767" s="56" t="s">
        <v>2665</v>
      </c>
      <c r="Q767" s="57">
        <v>9600</v>
      </c>
      <c r="R767" s="58" t="s">
        <v>8</v>
      </c>
      <c r="S767" s="57" t="s">
        <v>8</v>
      </c>
      <c r="T767" s="56" t="s">
        <v>2394</v>
      </c>
    </row>
    <row r="768" spans="1:20">
      <c r="A768" s="55">
        <v>130235241138</v>
      </c>
      <c r="B768" s="53" t="s">
        <v>2386</v>
      </c>
      <c r="C768" s="54">
        <v>45946</v>
      </c>
      <c r="D768" s="55">
        <v>51784836067</v>
      </c>
      <c r="E768" s="55">
        <v>2097318929768</v>
      </c>
      <c r="F768" s="56" t="s">
        <v>2387</v>
      </c>
      <c r="G768" s="56" t="s">
        <v>2388</v>
      </c>
      <c r="H768" s="56" t="s">
        <v>8</v>
      </c>
      <c r="I768" s="55" t="s">
        <v>8</v>
      </c>
      <c r="J768" s="57">
        <v>177.51</v>
      </c>
      <c r="K768" s="56" t="s">
        <v>2389</v>
      </c>
      <c r="L768" s="56" t="s">
        <v>2390</v>
      </c>
      <c r="M768" s="55" t="s">
        <v>2391</v>
      </c>
      <c r="N768" s="56" t="s">
        <v>2392</v>
      </c>
      <c r="O768" s="53" t="s">
        <v>8</v>
      </c>
      <c r="P768" s="56" t="s">
        <v>2669</v>
      </c>
      <c r="Q768" s="57">
        <v>18300</v>
      </c>
      <c r="R768" s="58" t="s">
        <v>8</v>
      </c>
      <c r="S768" s="57" t="s">
        <v>8</v>
      </c>
      <c r="T768" s="56" t="s">
        <v>2394</v>
      </c>
    </row>
    <row r="769" spans="1:20">
      <c r="A769" s="55">
        <v>129658725887</v>
      </c>
      <c r="B769" s="53" t="s">
        <v>2386</v>
      </c>
      <c r="C769" s="54">
        <v>45946</v>
      </c>
      <c r="D769" s="55">
        <v>51784990688</v>
      </c>
      <c r="E769" s="55">
        <v>2097321865736</v>
      </c>
      <c r="F769" s="56" t="s">
        <v>2387</v>
      </c>
      <c r="G769" s="56" t="s">
        <v>2388</v>
      </c>
      <c r="H769" s="56" t="s">
        <v>8</v>
      </c>
      <c r="I769" s="55" t="s">
        <v>8</v>
      </c>
      <c r="J769" s="57">
        <v>81.48</v>
      </c>
      <c r="K769" s="56" t="s">
        <v>2389</v>
      </c>
      <c r="L769" s="56" t="s">
        <v>2390</v>
      </c>
      <c r="M769" s="55" t="s">
        <v>2391</v>
      </c>
      <c r="N769" s="56" t="s">
        <v>2392</v>
      </c>
      <c r="O769" s="53" t="s">
        <v>8</v>
      </c>
      <c r="P769" s="56" t="s">
        <v>2670</v>
      </c>
      <c r="Q769" s="57">
        <v>8400</v>
      </c>
      <c r="R769" s="58" t="s">
        <v>8</v>
      </c>
      <c r="S769" s="57" t="s">
        <v>8</v>
      </c>
      <c r="T769" s="56" t="s">
        <v>2394</v>
      </c>
    </row>
    <row r="770" spans="1:20">
      <c r="A770" s="55">
        <v>129658736007</v>
      </c>
      <c r="B770" s="53" t="s">
        <v>2386</v>
      </c>
      <c r="C770" s="54">
        <v>45946</v>
      </c>
      <c r="D770" s="55">
        <v>51785016924</v>
      </c>
      <c r="E770" s="55">
        <v>2097249964269</v>
      </c>
      <c r="F770" s="56" t="s">
        <v>2387</v>
      </c>
      <c r="G770" s="56" t="s">
        <v>2388</v>
      </c>
      <c r="H770" s="56" t="s">
        <v>8</v>
      </c>
      <c r="I770" s="55" t="s">
        <v>8</v>
      </c>
      <c r="J770" s="57">
        <v>251.23</v>
      </c>
      <c r="K770" s="56" t="s">
        <v>2389</v>
      </c>
      <c r="L770" s="56" t="s">
        <v>2390</v>
      </c>
      <c r="M770" s="55" t="s">
        <v>2391</v>
      </c>
      <c r="N770" s="56" t="s">
        <v>2392</v>
      </c>
      <c r="O770" s="53" t="s">
        <v>8</v>
      </c>
      <c r="P770" s="56" t="s">
        <v>2671</v>
      </c>
      <c r="Q770" s="57">
        <v>25900</v>
      </c>
      <c r="R770" s="58" t="s">
        <v>8</v>
      </c>
      <c r="S770" s="57" t="s">
        <v>8</v>
      </c>
      <c r="T770" s="56" t="s">
        <v>2394</v>
      </c>
    </row>
    <row r="771" spans="1:20">
      <c r="A771" s="55">
        <v>129658824099</v>
      </c>
      <c r="B771" s="53" t="s">
        <v>2386</v>
      </c>
      <c r="C771" s="54">
        <v>45946</v>
      </c>
      <c r="D771" s="55">
        <v>51785068785</v>
      </c>
      <c r="E771" s="55">
        <v>2097250509033</v>
      </c>
      <c r="F771" s="56" t="s">
        <v>2387</v>
      </c>
      <c r="G771" s="56" t="s">
        <v>2388</v>
      </c>
      <c r="H771" s="56" t="s">
        <v>8</v>
      </c>
      <c r="I771" s="55" t="s">
        <v>8</v>
      </c>
      <c r="J771" s="57">
        <v>46.56</v>
      </c>
      <c r="K771" s="56" t="s">
        <v>2389</v>
      </c>
      <c r="L771" s="56" t="s">
        <v>2390</v>
      </c>
      <c r="M771" s="55" t="s">
        <v>2391</v>
      </c>
      <c r="N771" s="56" t="s">
        <v>2392</v>
      </c>
      <c r="O771" s="53" t="s">
        <v>8</v>
      </c>
      <c r="P771" s="56" t="s">
        <v>2672</v>
      </c>
      <c r="Q771" s="57">
        <v>4800</v>
      </c>
      <c r="R771" s="58" t="s">
        <v>8</v>
      </c>
      <c r="S771" s="57" t="s">
        <v>8</v>
      </c>
      <c r="T771" s="56" t="s">
        <v>2394</v>
      </c>
    </row>
    <row r="772" spans="1:20">
      <c r="A772" s="55">
        <v>129658992507</v>
      </c>
      <c r="B772" s="53" t="s">
        <v>2386</v>
      </c>
      <c r="C772" s="54">
        <v>45946</v>
      </c>
      <c r="D772" s="55">
        <v>51785106809</v>
      </c>
      <c r="E772" s="55">
        <v>2097251187759</v>
      </c>
      <c r="F772" s="56" t="s">
        <v>2387</v>
      </c>
      <c r="G772" s="56" t="s">
        <v>2388</v>
      </c>
      <c r="H772" s="56" t="s">
        <v>8</v>
      </c>
      <c r="I772" s="55" t="s">
        <v>8</v>
      </c>
      <c r="J772" s="57">
        <v>206.61</v>
      </c>
      <c r="K772" s="56" t="s">
        <v>2389</v>
      </c>
      <c r="L772" s="56" t="s">
        <v>2390</v>
      </c>
      <c r="M772" s="55" t="s">
        <v>2391</v>
      </c>
      <c r="N772" s="56" t="s">
        <v>2392</v>
      </c>
      <c r="O772" s="53" t="s">
        <v>8</v>
      </c>
      <c r="P772" s="56" t="s">
        <v>2673</v>
      </c>
      <c r="Q772" s="57">
        <v>21300</v>
      </c>
      <c r="R772" s="58" t="s">
        <v>8</v>
      </c>
      <c r="S772" s="57" t="s">
        <v>8</v>
      </c>
      <c r="T772" s="56" t="s">
        <v>2394</v>
      </c>
    </row>
    <row r="773" spans="1:20">
      <c r="A773" s="55">
        <v>130236213438</v>
      </c>
      <c r="B773" s="53" t="s">
        <v>2386</v>
      </c>
      <c r="C773" s="54">
        <v>45946</v>
      </c>
      <c r="D773" s="55">
        <v>51785255604</v>
      </c>
      <c r="E773" s="55">
        <v>2097325850082</v>
      </c>
      <c r="F773" s="56" t="s">
        <v>2387</v>
      </c>
      <c r="G773" s="56" t="s">
        <v>2388</v>
      </c>
      <c r="H773" s="56" t="s">
        <v>8</v>
      </c>
      <c r="I773" s="55" t="s">
        <v>8</v>
      </c>
      <c r="J773" s="57">
        <v>126.1</v>
      </c>
      <c r="K773" s="56" t="s">
        <v>2389</v>
      </c>
      <c r="L773" s="56" t="s">
        <v>2390</v>
      </c>
      <c r="M773" s="55" t="s">
        <v>2391</v>
      </c>
      <c r="N773" s="56" t="s">
        <v>2392</v>
      </c>
      <c r="O773" s="53" t="s">
        <v>8</v>
      </c>
      <c r="P773" s="56" t="s">
        <v>2674</v>
      </c>
      <c r="Q773" s="57">
        <v>13000</v>
      </c>
      <c r="R773" s="58" t="s">
        <v>8</v>
      </c>
      <c r="S773" s="57" t="s">
        <v>8</v>
      </c>
      <c r="T773" s="56" t="s">
        <v>2394</v>
      </c>
    </row>
    <row r="774" spans="1:20">
      <c r="A774" s="55">
        <v>130236432300</v>
      </c>
      <c r="B774" s="53" t="s">
        <v>2386</v>
      </c>
      <c r="C774" s="54">
        <v>45946</v>
      </c>
      <c r="D774" s="55">
        <v>51785302819</v>
      </c>
      <c r="E774" s="55">
        <v>2097254574651</v>
      </c>
      <c r="F774" s="56" t="s">
        <v>2401</v>
      </c>
      <c r="G774" s="56" t="s">
        <v>2388</v>
      </c>
      <c r="H774" s="56" t="s">
        <v>8</v>
      </c>
      <c r="I774" s="55" t="s">
        <v>8</v>
      </c>
      <c r="J774" s="57">
        <v>799.04</v>
      </c>
      <c r="K774" s="56" t="s">
        <v>2389</v>
      </c>
      <c r="L774" s="56" t="s">
        <v>2402</v>
      </c>
      <c r="M774" s="55" t="s">
        <v>2391</v>
      </c>
      <c r="N774" s="56" t="s">
        <v>2392</v>
      </c>
      <c r="O774" s="53" t="s">
        <v>2055</v>
      </c>
      <c r="P774" s="56" t="s">
        <v>2403</v>
      </c>
      <c r="Q774" s="57">
        <v>17600</v>
      </c>
      <c r="R774" s="58" t="s">
        <v>8</v>
      </c>
      <c r="S774" s="57" t="s">
        <v>8</v>
      </c>
      <c r="T774" s="56" t="s">
        <v>2394</v>
      </c>
    </row>
    <row r="775" spans="1:20">
      <c r="A775" s="55">
        <v>130236527594</v>
      </c>
      <c r="B775" s="53" t="s">
        <v>2386</v>
      </c>
      <c r="C775" s="54">
        <v>45946</v>
      </c>
      <c r="D775" s="55">
        <v>51785418378</v>
      </c>
      <c r="E775" s="55">
        <v>2097255716787</v>
      </c>
      <c r="F775" s="56" t="s">
        <v>2411</v>
      </c>
      <c r="G775" s="56" t="s">
        <v>2388</v>
      </c>
      <c r="H775" s="56" t="s">
        <v>8</v>
      </c>
      <c r="I775" s="55" t="s">
        <v>8</v>
      </c>
      <c r="J775" s="57">
        <v>87.3</v>
      </c>
      <c r="K775" s="56" t="s">
        <v>2389</v>
      </c>
      <c r="L775" s="56" t="s">
        <v>2390</v>
      </c>
      <c r="M775" s="55" t="s">
        <v>2391</v>
      </c>
      <c r="N775" s="56" t="s">
        <v>2392</v>
      </c>
      <c r="O775" s="53" t="s">
        <v>8</v>
      </c>
      <c r="P775" s="56" t="s">
        <v>2412</v>
      </c>
      <c r="Q775" s="57">
        <v>9000</v>
      </c>
      <c r="R775" s="58" t="s">
        <v>8</v>
      </c>
      <c r="S775" s="57" t="s">
        <v>8</v>
      </c>
      <c r="T775" s="56" t="s">
        <v>8</v>
      </c>
    </row>
    <row r="776" spans="1:20">
      <c r="A776" s="55">
        <v>129659852815</v>
      </c>
      <c r="B776" s="53" t="s">
        <v>2386</v>
      </c>
      <c r="C776" s="54">
        <v>45946</v>
      </c>
      <c r="D776" s="55">
        <v>51785523785</v>
      </c>
      <c r="E776" s="55">
        <v>2097257339037</v>
      </c>
      <c r="F776" s="56" t="s">
        <v>2411</v>
      </c>
      <c r="G776" s="56" t="s">
        <v>2388</v>
      </c>
      <c r="H776" s="56" t="s">
        <v>8</v>
      </c>
      <c r="I776" s="55" t="s">
        <v>8</v>
      </c>
      <c r="J776" s="57">
        <v>46.56</v>
      </c>
      <c r="K776" s="56" t="s">
        <v>2389</v>
      </c>
      <c r="L776" s="56" t="s">
        <v>2390</v>
      </c>
      <c r="M776" s="55" t="s">
        <v>2391</v>
      </c>
      <c r="N776" s="56" t="s">
        <v>2392</v>
      </c>
      <c r="O776" s="53" t="s">
        <v>8</v>
      </c>
      <c r="P776" s="56" t="s">
        <v>2412</v>
      </c>
      <c r="Q776" s="57">
        <v>4800</v>
      </c>
      <c r="R776" s="58" t="s">
        <v>8</v>
      </c>
      <c r="S776" s="57" t="s">
        <v>8</v>
      </c>
      <c r="T776" s="56" t="s">
        <v>8</v>
      </c>
    </row>
    <row r="777" spans="1:20">
      <c r="A777" s="55">
        <v>130237082714</v>
      </c>
      <c r="B777" s="53" t="s">
        <v>2386</v>
      </c>
      <c r="C777" s="54">
        <v>45946</v>
      </c>
      <c r="D777" s="55">
        <v>51785649813</v>
      </c>
      <c r="E777" s="55">
        <v>2097259110087</v>
      </c>
      <c r="F777" s="56" t="s">
        <v>2401</v>
      </c>
      <c r="G777" s="56" t="s">
        <v>2388</v>
      </c>
      <c r="H777" s="56" t="s">
        <v>8</v>
      </c>
      <c r="I777" s="55" t="s">
        <v>8</v>
      </c>
      <c r="J777" s="57">
        <v>550.20000000000005</v>
      </c>
      <c r="K777" s="56" t="s">
        <v>2389</v>
      </c>
      <c r="L777" s="56" t="s">
        <v>2402</v>
      </c>
      <c r="M777" s="55" t="s">
        <v>2391</v>
      </c>
      <c r="N777" s="56" t="s">
        <v>2392</v>
      </c>
      <c r="O777" s="53" t="s">
        <v>2055</v>
      </c>
      <c r="P777" s="56" t="s">
        <v>2403</v>
      </c>
      <c r="Q777" s="57">
        <v>14000</v>
      </c>
      <c r="R777" s="58" t="s">
        <v>8</v>
      </c>
      <c r="S777" s="57" t="s">
        <v>8</v>
      </c>
      <c r="T777" s="56" t="s">
        <v>2394</v>
      </c>
    </row>
    <row r="778" spans="1:20">
      <c r="A778" s="55">
        <v>130237347830</v>
      </c>
      <c r="B778" s="53" t="s">
        <v>2386</v>
      </c>
      <c r="C778" s="54">
        <v>45946</v>
      </c>
      <c r="D778" s="55">
        <v>51785803785</v>
      </c>
      <c r="E778" s="55">
        <v>2097333923580</v>
      </c>
      <c r="F778" s="56" t="s">
        <v>2401</v>
      </c>
      <c r="G778" s="56" t="s">
        <v>2388</v>
      </c>
      <c r="H778" s="56" t="s">
        <v>8</v>
      </c>
      <c r="I778" s="55" t="s">
        <v>8</v>
      </c>
      <c r="J778" s="57">
        <v>1473.75</v>
      </c>
      <c r="K778" s="56" t="s">
        <v>2389</v>
      </c>
      <c r="L778" s="56" t="s">
        <v>2402</v>
      </c>
      <c r="M778" s="55" t="s">
        <v>2391</v>
      </c>
      <c r="N778" s="56" t="s">
        <v>2392</v>
      </c>
      <c r="O778" s="53" t="s">
        <v>2055</v>
      </c>
      <c r="P778" s="56" t="s">
        <v>2403</v>
      </c>
      <c r="Q778" s="57">
        <v>37500</v>
      </c>
      <c r="R778" s="58" t="s">
        <v>8</v>
      </c>
      <c r="S778" s="57" t="s">
        <v>8</v>
      </c>
      <c r="T778" s="56" t="s">
        <v>2394</v>
      </c>
    </row>
    <row r="779" spans="1:20">
      <c r="A779" s="55">
        <v>130237685842</v>
      </c>
      <c r="B779" s="53" t="s">
        <v>2386</v>
      </c>
      <c r="C779" s="54">
        <v>45946</v>
      </c>
      <c r="D779" s="55">
        <v>51785999943</v>
      </c>
      <c r="E779" s="55">
        <v>2097264240885</v>
      </c>
      <c r="F779" s="56" t="s">
        <v>2387</v>
      </c>
      <c r="G779" s="56" t="s">
        <v>2388</v>
      </c>
      <c r="H779" s="56" t="s">
        <v>8</v>
      </c>
      <c r="I779" s="55" t="s">
        <v>8</v>
      </c>
      <c r="J779" s="57">
        <v>93.12</v>
      </c>
      <c r="K779" s="56" t="s">
        <v>2389</v>
      </c>
      <c r="L779" s="56" t="s">
        <v>2390</v>
      </c>
      <c r="M779" s="55" t="s">
        <v>2391</v>
      </c>
      <c r="N779" s="56" t="s">
        <v>2392</v>
      </c>
      <c r="O779" s="53" t="s">
        <v>8</v>
      </c>
      <c r="P779" s="56" t="s">
        <v>2675</v>
      </c>
      <c r="Q779" s="57">
        <v>9600</v>
      </c>
      <c r="R779" s="58" t="s">
        <v>8</v>
      </c>
      <c r="S779" s="57" t="s">
        <v>8</v>
      </c>
      <c r="T779" s="56" t="s">
        <v>2394</v>
      </c>
    </row>
    <row r="780" spans="1:20">
      <c r="A780" s="55">
        <v>130238444232</v>
      </c>
      <c r="B780" s="53" t="s">
        <v>2386</v>
      </c>
      <c r="C780" s="54">
        <v>45946</v>
      </c>
      <c r="D780" s="55">
        <v>51786296293</v>
      </c>
      <c r="E780" s="55">
        <v>2097341066984</v>
      </c>
      <c r="F780" s="56" t="s">
        <v>2387</v>
      </c>
      <c r="G780" s="56" t="s">
        <v>2388</v>
      </c>
      <c r="H780" s="56" t="s">
        <v>8</v>
      </c>
      <c r="I780" s="55" t="s">
        <v>8</v>
      </c>
      <c r="J780" s="57">
        <v>53.35</v>
      </c>
      <c r="K780" s="56" t="s">
        <v>2389</v>
      </c>
      <c r="L780" s="56" t="s">
        <v>2390</v>
      </c>
      <c r="M780" s="55" t="s">
        <v>2391</v>
      </c>
      <c r="N780" s="56" t="s">
        <v>2392</v>
      </c>
      <c r="O780" s="53" t="s">
        <v>8</v>
      </c>
      <c r="P780" s="56" t="s">
        <v>2676</v>
      </c>
      <c r="Q780" s="57">
        <v>5500</v>
      </c>
      <c r="R780" s="58" t="s">
        <v>8</v>
      </c>
      <c r="S780" s="57" t="s">
        <v>8</v>
      </c>
      <c r="T780" s="56" t="s">
        <v>2394</v>
      </c>
    </row>
    <row r="781" spans="1:20">
      <c r="A781" s="55">
        <v>129661557617</v>
      </c>
      <c r="B781" s="53" t="s">
        <v>2386</v>
      </c>
      <c r="C781" s="54">
        <v>45946</v>
      </c>
      <c r="D781" s="55">
        <v>51786354490</v>
      </c>
      <c r="E781" s="55">
        <v>2097269579477</v>
      </c>
      <c r="F781" s="56" t="s">
        <v>2387</v>
      </c>
      <c r="G781" s="56" t="s">
        <v>2388</v>
      </c>
      <c r="H781" s="56" t="s">
        <v>8</v>
      </c>
      <c r="I781" s="55" t="s">
        <v>8</v>
      </c>
      <c r="J781" s="57">
        <v>130.94999999999999</v>
      </c>
      <c r="K781" s="56" t="s">
        <v>2389</v>
      </c>
      <c r="L781" s="56" t="s">
        <v>2390</v>
      </c>
      <c r="M781" s="55" t="s">
        <v>2391</v>
      </c>
      <c r="N781" s="56" t="s">
        <v>2392</v>
      </c>
      <c r="O781" s="53" t="s">
        <v>8</v>
      </c>
      <c r="P781" s="56" t="s">
        <v>2677</v>
      </c>
      <c r="Q781" s="57">
        <v>13500</v>
      </c>
      <c r="R781" s="58" t="s">
        <v>8</v>
      </c>
      <c r="S781" s="57" t="s">
        <v>8</v>
      </c>
      <c r="T781" s="56" t="s">
        <v>2394</v>
      </c>
    </row>
    <row r="782" spans="1:20">
      <c r="A782" s="55">
        <v>129661707693</v>
      </c>
      <c r="B782" s="53" t="s">
        <v>2386</v>
      </c>
      <c r="C782" s="54">
        <v>45946</v>
      </c>
      <c r="D782" s="55">
        <v>51786439275</v>
      </c>
      <c r="E782" s="55">
        <v>2097343323664</v>
      </c>
      <c r="F782" s="56" t="s">
        <v>2387</v>
      </c>
      <c r="G782" s="56" t="s">
        <v>2388</v>
      </c>
      <c r="H782" s="56" t="s">
        <v>8</v>
      </c>
      <c r="I782" s="55" t="s">
        <v>8</v>
      </c>
      <c r="J782" s="57">
        <v>93.12</v>
      </c>
      <c r="K782" s="56" t="s">
        <v>2389</v>
      </c>
      <c r="L782" s="56" t="s">
        <v>2390</v>
      </c>
      <c r="M782" s="55" t="s">
        <v>2391</v>
      </c>
      <c r="N782" s="56" t="s">
        <v>2392</v>
      </c>
      <c r="O782" s="53" t="s">
        <v>8</v>
      </c>
      <c r="P782" s="56" t="s">
        <v>2678</v>
      </c>
      <c r="Q782" s="57">
        <v>9600</v>
      </c>
      <c r="R782" s="58" t="s">
        <v>8</v>
      </c>
      <c r="S782" s="57" t="s">
        <v>8</v>
      </c>
      <c r="T782" s="56" t="s">
        <v>2394</v>
      </c>
    </row>
    <row r="783" spans="1:20">
      <c r="A783" s="55">
        <v>129661865619</v>
      </c>
      <c r="B783" s="53" t="s">
        <v>2386</v>
      </c>
      <c r="C783" s="54">
        <v>45946</v>
      </c>
      <c r="D783" s="55">
        <v>51786520715</v>
      </c>
      <c r="E783" s="55">
        <v>2097344524466</v>
      </c>
      <c r="F783" s="56" t="s">
        <v>2411</v>
      </c>
      <c r="G783" s="56" t="s">
        <v>2388</v>
      </c>
      <c r="H783" s="56" t="s">
        <v>8</v>
      </c>
      <c r="I783" s="55" t="s">
        <v>8</v>
      </c>
      <c r="J783" s="57">
        <v>89.24</v>
      </c>
      <c r="K783" s="56" t="s">
        <v>2389</v>
      </c>
      <c r="L783" s="56" t="s">
        <v>2390</v>
      </c>
      <c r="M783" s="55" t="s">
        <v>2391</v>
      </c>
      <c r="N783" s="56" t="s">
        <v>2392</v>
      </c>
      <c r="O783" s="53" t="s">
        <v>8</v>
      </c>
      <c r="P783" s="56" t="s">
        <v>2412</v>
      </c>
      <c r="Q783" s="57">
        <v>9200</v>
      </c>
      <c r="R783" s="58" t="s">
        <v>8</v>
      </c>
      <c r="S783" s="57" t="s">
        <v>8</v>
      </c>
      <c r="T783" s="56" t="s">
        <v>8</v>
      </c>
    </row>
    <row r="784" spans="1:20">
      <c r="A784" s="55">
        <v>130238857554</v>
      </c>
      <c r="B784" s="53" t="s">
        <v>2386</v>
      </c>
      <c r="C784" s="54">
        <v>45946</v>
      </c>
      <c r="D784" s="55">
        <v>51786574397</v>
      </c>
      <c r="E784" s="55">
        <v>2097344951690</v>
      </c>
      <c r="F784" s="56" t="s">
        <v>2387</v>
      </c>
      <c r="G784" s="56" t="s">
        <v>2388</v>
      </c>
      <c r="H784" s="56" t="s">
        <v>8</v>
      </c>
      <c r="I784" s="55" t="s">
        <v>8</v>
      </c>
      <c r="J784" s="57">
        <v>46.08</v>
      </c>
      <c r="K784" s="56" t="s">
        <v>2389</v>
      </c>
      <c r="L784" s="56" t="s">
        <v>2390</v>
      </c>
      <c r="M784" s="55" t="s">
        <v>2391</v>
      </c>
      <c r="N784" s="56" t="s">
        <v>2392</v>
      </c>
      <c r="O784" s="53" t="s">
        <v>8</v>
      </c>
      <c r="P784" s="56" t="s">
        <v>2667</v>
      </c>
      <c r="Q784" s="57">
        <v>4750</v>
      </c>
      <c r="R784" s="58" t="s">
        <v>8</v>
      </c>
      <c r="S784" s="57" t="s">
        <v>8</v>
      </c>
      <c r="T784" s="56" t="s">
        <v>2394</v>
      </c>
    </row>
    <row r="785" spans="1:20">
      <c r="A785" s="55">
        <v>130238877698</v>
      </c>
      <c r="B785" s="53" t="s">
        <v>2386</v>
      </c>
      <c r="C785" s="54">
        <v>45946</v>
      </c>
      <c r="D785" s="55">
        <v>51786578324</v>
      </c>
      <c r="E785" s="55">
        <v>2097345120774</v>
      </c>
      <c r="F785" s="56" t="s">
        <v>2411</v>
      </c>
      <c r="G785" s="56" t="s">
        <v>2388</v>
      </c>
      <c r="H785" s="56" t="s">
        <v>8</v>
      </c>
      <c r="I785" s="55" t="s">
        <v>8</v>
      </c>
      <c r="J785" s="57">
        <v>89.24</v>
      </c>
      <c r="K785" s="56" t="s">
        <v>2389</v>
      </c>
      <c r="L785" s="56" t="s">
        <v>2390</v>
      </c>
      <c r="M785" s="55" t="s">
        <v>2391</v>
      </c>
      <c r="N785" s="56" t="s">
        <v>2392</v>
      </c>
      <c r="O785" s="53" t="s">
        <v>8</v>
      </c>
      <c r="P785" s="56" t="s">
        <v>2412</v>
      </c>
      <c r="Q785" s="57">
        <v>9200</v>
      </c>
      <c r="R785" s="58" t="s">
        <v>8</v>
      </c>
      <c r="S785" s="57" t="s">
        <v>8</v>
      </c>
      <c r="T785" s="56" t="s">
        <v>8</v>
      </c>
    </row>
    <row r="786" spans="1:20">
      <c r="A786" s="55">
        <v>129662268807</v>
      </c>
      <c r="B786" s="53" t="s">
        <v>2386</v>
      </c>
      <c r="C786" s="54">
        <v>45946</v>
      </c>
      <c r="D786" s="55">
        <v>51786715815</v>
      </c>
      <c r="E786" s="55">
        <v>2097274566797</v>
      </c>
      <c r="F786" s="56" t="s">
        <v>2387</v>
      </c>
      <c r="G786" s="56" t="s">
        <v>2388</v>
      </c>
      <c r="H786" s="56" t="s">
        <v>8</v>
      </c>
      <c r="I786" s="55" t="s">
        <v>8</v>
      </c>
      <c r="J786" s="57">
        <v>81.48</v>
      </c>
      <c r="K786" s="56" t="s">
        <v>2389</v>
      </c>
      <c r="L786" s="56" t="s">
        <v>2390</v>
      </c>
      <c r="M786" s="55" t="s">
        <v>2391</v>
      </c>
      <c r="N786" s="56" t="s">
        <v>2392</v>
      </c>
      <c r="O786" s="53" t="s">
        <v>8</v>
      </c>
      <c r="P786" s="56" t="s">
        <v>2679</v>
      </c>
      <c r="Q786" s="57">
        <v>8400</v>
      </c>
      <c r="R786" s="58" t="s">
        <v>8</v>
      </c>
      <c r="S786" s="57" t="s">
        <v>8</v>
      </c>
      <c r="T786" s="56" t="s">
        <v>2394</v>
      </c>
    </row>
    <row r="787" spans="1:20">
      <c r="A787" s="55">
        <v>130239526198</v>
      </c>
      <c r="B787" s="53" t="s">
        <v>2386</v>
      </c>
      <c r="C787" s="54">
        <v>45946</v>
      </c>
      <c r="D787" s="55">
        <v>51786847798</v>
      </c>
      <c r="E787" s="55">
        <v>2097276773733</v>
      </c>
      <c r="F787" s="56" t="s">
        <v>2387</v>
      </c>
      <c r="G787" s="56" t="s">
        <v>2388</v>
      </c>
      <c r="H787" s="56" t="s">
        <v>8</v>
      </c>
      <c r="I787" s="55" t="s">
        <v>8</v>
      </c>
      <c r="J787" s="57">
        <v>46.56</v>
      </c>
      <c r="K787" s="56" t="s">
        <v>2389</v>
      </c>
      <c r="L787" s="56" t="s">
        <v>2390</v>
      </c>
      <c r="M787" s="55" t="s">
        <v>2391</v>
      </c>
      <c r="N787" s="56" t="s">
        <v>2392</v>
      </c>
      <c r="O787" s="53" t="s">
        <v>8</v>
      </c>
      <c r="P787" s="56" t="s">
        <v>2680</v>
      </c>
      <c r="Q787" s="57">
        <v>4800</v>
      </c>
      <c r="R787" s="58" t="s">
        <v>8</v>
      </c>
      <c r="S787" s="57" t="s">
        <v>8</v>
      </c>
      <c r="T787" s="56" t="s">
        <v>2394</v>
      </c>
    </row>
    <row r="788" spans="1:20">
      <c r="A788" s="55">
        <v>130239601260</v>
      </c>
      <c r="B788" s="53" t="s">
        <v>2386</v>
      </c>
      <c r="C788" s="54">
        <v>45946</v>
      </c>
      <c r="D788" s="55">
        <v>51786943846</v>
      </c>
      <c r="E788" s="55">
        <v>2097278165655</v>
      </c>
      <c r="F788" s="56" t="s">
        <v>2387</v>
      </c>
      <c r="G788" s="56" t="s">
        <v>2388</v>
      </c>
      <c r="H788" s="56" t="s">
        <v>8</v>
      </c>
      <c r="I788" s="55" t="s">
        <v>8</v>
      </c>
      <c r="J788" s="57">
        <v>77.599999999999994</v>
      </c>
      <c r="K788" s="56" t="s">
        <v>2389</v>
      </c>
      <c r="L788" s="56" t="s">
        <v>2390</v>
      </c>
      <c r="M788" s="55" t="s">
        <v>2391</v>
      </c>
      <c r="N788" s="56" t="s">
        <v>2392</v>
      </c>
      <c r="O788" s="53" t="s">
        <v>8</v>
      </c>
      <c r="P788" s="56" t="s">
        <v>2681</v>
      </c>
      <c r="Q788" s="57">
        <v>8000</v>
      </c>
      <c r="R788" s="58" t="s">
        <v>8</v>
      </c>
      <c r="S788" s="57" t="s">
        <v>8</v>
      </c>
      <c r="T788" s="56" t="s">
        <v>2394</v>
      </c>
    </row>
    <row r="789" spans="1:20">
      <c r="A789" s="55">
        <v>129662993211</v>
      </c>
      <c r="B789" s="53" t="s">
        <v>2386</v>
      </c>
      <c r="C789" s="54">
        <v>45946</v>
      </c>
      <c r="D789" s="55">
        <v>51787114950</v>
      </c>
      <c r="E789" s="55">
        <v>2097352604092</v>
      </c>
      <c r="F789" s="56" t="s">
        <v>2401</v>
      </c>
      <c r="G789" s="56" t="s">
        <v>2388</v>
      </c>
      <c r="H789" s="56" t="s">
        <v>8</v>
      </c>
      <c r="I789" s="55" t="s">
        <v>8</v>
      </c>
      <c r="J789" s="57">
        <v>399.52</v>
      </c>
      <c r="K789" s="56" t="s">
        <v>2389</v>
      </c>
      <c r="L789" s="56" t="s">
        <v>2402</v>
      </c>
      <c r="M789" s="55" t="s">
        <v>2391</v>
      </c>
      <c r="N789" s="56" t="s">
        <v>2392</v>
      </c>
      <c r="O789" s="53" t="s">
        <v>2055</v>
      </c>
      <c r="P789" s="56" t="s">
        <v>2403</v>
      </c>
      <c r="Q789" s="57">
        <v>8800</v>
      </c>
      <c r="R789" s="58" t="s">
        <v>8</v>
      </c>
      <c r="S789" s="57" t="s">
        <v>8</v>
      </c>
      <c r="T789" s="56" t="s">
        <v>2394</v>
      </c>
    </row>
    <row r="790" spans="1:20">
      <c r="A790" s="55">
        <v>129663216957</v>
      </c>
      <c r="B790" s="53" t="s">
        <v>2386</v>
      </c>
      <c r="C790" s="54">
        <v>45946</v>
      </c>
      <c r="D790" s="55">
        <v>51787224470</v>
      </c>
      <c r="E790" s="55">
        <v>2097281765913</v>
      </c>
      <c r="F790" s="56" t="s">
        <v>2387</v>
      </c>
      <c r="G790" s="56" t="s">
        <v>2388</v>
      </c>
      <c r="H790" s="56" t="s">
        <v>8</v>
      </c>
      <c r="I790" s="55" t="s">
        <v>8</v>
      </c>
      <c r="J790" s="57">
        <v>154.22999999999999</v>
      </c>
      <c r="K790" s="56" t="s">
        <v>2389</v>
      </c>
      <c r="L790" s="56" t="s">
        <v>2390</v>
      </c>
      <c r="M790" s="55" t="s">
        <v>2391</v>
      </c>
      <c r="N790" s="56" t="s">
        <v>2392</v>
      </c>
      <c r="O790" s="53" t="s">
        <v>8</v>
      </c>
      <c r="P790" s="56" t="s">
        <v>2672</v>
      </c>
      <c r="Q790" s="57">
        <v>15900</v>
      </c>
      <c r="R790" s="58" t="s">
        <v>8</v>
      </c>
      <c r="S790" s="57" t="s">
        <v>8</v>
      </c>
      <c r="T790" s="56" t="s">
        <v>2394</v>
      </c>
    </row>
    <row r="791" spans="1:20">
      <c r="A791" s="55">
        <v>129663343489</v>
      </c>
      <c r="B791" s="53" t="s">
        <v>2386</v>
      </c>
      <c r="C791" s="54">
        <v>45946</v>
      </c>
      <c r="D791" s="55">
        <v>51787270529</v>
      </c>
      <c r="E791" s="55">
        <v>2097282425597</v>
      </c>
      <c r="F791" s="56" t="s">
        <v>2387</v>
      </c>
      <c r="G791" s="56" t="s">
        <v>2388</v>
      </c>
      <c r="H791" s="56" t="s">
        <v>8</v>
      </c>
      <c r="I791" s="55" t="s">
        <v>8</v>
      </c>
      <c r="J791" s="57">
        <v>116.4</v>
      </c>
      <c r="K791" s="56" t="s">
        <v>2389</v>
      </c>
      <c r="L791" s="56" t="s">
        <v>2390</v>
      </c>
      <c r="M791" s="55" t="s">
        <v>2391</v>
      </c>
      <c r="N791" s="56" t="s">
        <v>2392</v>
      </c>
      <c r="O791" s="53" t="s">
        <v>8</v>
      </c>
      <c r="P791" s="56" t="s">
        <v>2682</v>
      </c>
      <c r="Q791" s="57">
        <v>12000</v>
      </c>
      <c r="R791" s="58" t="s">
        <v>8</v>
      </c>
      <c r="S791" s="57" t="s">
        <v>8</v>
      </c>
      <c r="T791" s="56" t="s">
        <v>2394</v>
      </c>
    </row>
    <row r="792" spans="1:20">
      <c r="A792" s="55">
        <v>130240464046</v>
      </c>
      <c r="B792" s="53" t="s">
        <v>2386</v>
      </c>
      <c r="C792" s="54">
        <v>45946</v>
      </c>
      <c r="D792" s="55">
        <v>51787456710</v>
      </c>
      <c r="E792" s="55">
        <v>2097284890499</v>
      </c>
      <c r="F792" s="56" t="s">
        <v>2387</v>
      </c>
      <c r="G792" s="56" t="s">
        <v>2388</v>
      </c>
      <c r="H792" s="56" t="s">
        <v>8</v>
      </c>
      <c r="I792" s="55" t="s">
        <v>8</v>
      </c>
      <c r="J792" s="57">
        <v>206.61</v>
      </c>
      <c r="K792" s="56" t="s">
        <v>2389</v>
      </c>
      <c r="L792" s="56" t="s">
        <v>2390</v>
      </c>
      <c r="M792" s="55" t="s">
        <v>2391</v>
      </c>
      <c r="N792" s="56" t="s">
        <v>2392</v>
      </c>
      <c r="O792" s="53" t="s">
        <v>8</v>
      </c>
      <c r="P792" s="56" t="s">
        <v>2683</v>
      </c>
      <c r="Q792" s="57">
        <v>21300</v>
      </c>
      <c r="R792" s="58" t="s">
        <v>8</v>
      </c>
      <c r="S792" s="57" t="s">
        <v>8</v>
      </c>
      <c r="T792" s="56" t="s">
        <v>2394</v>
      </c>
    </row>
    <row r="793" spans="1:20">
      <c r="A793" s="55">
        <v>129663918113</v>
      </c>
      <c r="B793" s="53" t="s">
        <v>2386</v>
      </c>
      <c r="C793" s="54">
        <v>45946</v>
      </c>
      <c r="D793" s="55">
        <v>51787564530</v>
      </c>
      <c r="E793" s="55">
        <v>2097286186249</v>
      </c>
      <c r="F793" s="56" t="s">
        <v>2387</v>
      </c>
      <c r="G793" s="56" t="s">
        <v>2388</v>
      </c>
      <c r="H793" s="56" t="s">
        <v>8</v>
      </c>
      <c r="I793" s="55" t="s">
        <v>8</v>
      </c>
      <c r="J793" s="57">
        <v>146.47</v>
      </c>
      <c r="K793" s="56" t="s">
        <v>2389</v>
      </c>
      <c r="L793" s="56" t="s">
        <v>2390</v>
      </c>
      <c r="M793" s="55" t="s">
        <v>2391</v>
      </c>
      <c r="N793" s="56" t="s">
        <v>2392</v>
      </c>
      <c r="O793" s="53" t="s">
        <v>8</v>
      </c>
      <c r="P793" s="56" t="s">
        <v>2684</v>
      </c>
      <c r="Q793" s="57">
        <v>15100</v>
      </c>
      <c r="R793" s="58" t="s">
        <v>8</v>
      </c>
      <c r="S793" s="57" t="s">
        <v>8</v>
      </c>
      <c r="T793" s="56" t="s">
        <v>2394</v>
      </c>
    </row>
    <row r="794" spans="1:20">
      <c r="A794" s="55">
        <v>129663962379</v>
      </c>
      <c r="B794" s="53" t="s">
        <v>2386</v>
      </c>
      <c r="C794" s="54">
        <v>45946</v>
      </c>
      <c r="D794" s="55">
        <v>51787594051</v>
      </c>
      <c r="E794" s="55">
        <v>2097286708035</v>
      </c>
      <c r="F794" s="56" t="s">
        <v>2387</v>
      </c>
      <c r="G794" s="56" t="s">
        <v>2388</v>
      </c>
      <c r="H794" s="56" t="s">
        <v>8</v>
      </c>
      <c r="I794" s="55" t="s">
        <v>8</v>
      </c>
      <c r="J794" s="57">
        <v>1164.97</v>
      </c>
      <c r="K794" s="56" t="s">
        <v>2389</v>
      </c>
      <c r="L794" s="56" t="s">
        <v>2390</v>
      </c>
      <c r="M794" s="55" t="s">
        <v>2391</v>
      </c>
      <c r="N794" s="56" t="s">
        <v>2392</v>
      </c>
      <c r="O794" s="53" t="s">
        <v>8</v>
      </c>
      <c r="P794" s="56" t="s">
        <v>2685</v>
      </c>
      <c r="Q794" s="57">
        <v>120100</v>
      </c>
      <c r="R794" s="58" t="s">
        <v>8</v>
      </c>
      <c r="S794" s="57" t="s">
        <v>8</v>
      </c>
      <c r="T794" s="56" t="s">
        <v>2394</v>
      </c>
    </row>
    <row r="795" spans="1:20">
      <c r="A795" s="55">
        <v>130240900046</v>
      </c>
      <c r="B795" s="53" t="s">
        <v>2386</v>
      </c>
      <c r="C795" s="54">
        <v>45946</v>
      </c>
      <c r="D795" s="55">
        <v>51787680667</v>
      </c>
      <c r="E795" s="55">
        <v>2097287794315</v>
      </c>
      <c r="F795" s="56" t="s">
        <v>2387</v>
      </c>
      <c r="G795" s="56" t="s">
        <v>2388</v>
      </c>
      <c r="H795" s="56" t="s">
        <v>8</v>
      </c>
      <c r="I795" s="55" t="s">
        <v>8</v>
      </c>
      <c r="J795" s="57">
        <v>186.24</v>
      </c>
      <c r="K795" s="56" t="s">
        <v>2389</v>
      </c>
      <c r="L795" s="56" t="s">
        <v>2390</v>
      </c>
      <c r="M795" s="55" t="s">
        <v>2391</v>
      </c>
      <c r="N795" s="56" t="s">
        <v>2392</v>
      </c>
      <c r="O795" s="53" t="s">
        <v>8</v>
      </c>
      <c r="P795" s="56" t="s">
        <v>2675</v>
      </c>
      <c r="Q795" s="57">
        <v>19200</v>
      </c>
      <c r="R795" s="58" t="s">
        <v>8</v>
      </c>
      <c r="S795" s="57" t="s">
        <v>8</v>
      </c>
      <c r="T795" s="56" t="s">
        <v>2394</v>
      </c>
    </row>
    <row r="796" spans="1:20">
      <c r="A796" s="55">
        <v>129664222459</v>
      </c>
      <c r="B796" s="53" t="s">
        <v>2386</v>
      </c>
      <c r="C796" s="54">
        <v>45946</v>
      </c>
      <c r="D796" s="55">
        <v>51787768675</v>
      </c>
      <c r="E796" s="55">
        <v>2097361252136</v>
      </c>
      <c r="F796" s="56" t="s">
        <v>2401</v>
      </c>
      <c r="G796" s="56" t="s">
        <v>2388</v>
      </c>
      <c r="H796" s="56" t="s">
        <v>8</v>
      </c>
      <c r="I796" s="55" t="s">
        <v>8</v>
      </c>
      <c r="J796" s="57">
        <v>3985.02</v>
      </c>
      <c r="K796" s="56" t="s">
        <v>2389</v>
      </c>
      <c r="L796" s="56" t="s">
        <v>2402</v>
      </c>
      <c r="M796" s="55" t="s">
        <v>2391</v>
      </c>
      <c r="N796" s="56" t="s">
        <v>2392</v>
      </c>
      <c r="O796" s="53" t="s">
        <v>2055</v>
      </c>
      <c r="P796" s="56" t="s">
        <v>2403</v>
      </c>
      <c r="Q796" s="57">
        <v>101400</v>
      </c>
      <c r="R796" s="58" t="s">
        <v>8</v>
      </c>
      <c r="S796" s="57" t="s">
        <v>8</v>
      </c>
      <c r="T796" s="56" t="s">
        <v>2394</v>
      </c>
    </row>
    <row r="797" spans="1:20">
      <c r="A797" s="55">
        <v>130241438654</v>
      </c>
      <c r="B797" s="53" t="s">
        <v>2386</v>
      </c>
      <c r="C797" s="54">
        <v>45946</v>
      </c>
      <c r="D797" s="55">
        <v>51787896284</v>
      </c>
      <c r="E797" s="55">
        <v>2097362726652</v>
      </c>
      <c r="F797" s="56" t="s">
        <v>2387</v>
      </c>
      <c r="G797" s="56" t="s">
        <v>2388</v>
      </c>
      <c r="H797" s="56" t="s">
        <v>8</v>
      </c>
      <c r="I797" s="55" t="s">
        <v>8</v>
      </c>
      <c r="J797" s="57">
        <v>40.74</v>
      </c>
      <c r="K797" s="56" t="s">
        <v>2389</v>
      </c>
      <c r="L797" s="56" t="s">
        <v>2390</v>
      </c>
      <c r="M797" s="55" t="s">
        <v>2391</v>
      </c>
      <c r="N797" s="56" t="s">
        <v>2392</v>
      </c>
      <c r="O797" s="53" t="s">
        <v>8</v>
      </c>
      <c r="P797" s="56" t="s">
        <v>2686</v>
      </c>
      <c r="Q797" s="57">
        <v>4200</v>
      </c>
      <c r="R797" s="58" t="s">
        <v>8</v>
      </c>
      <c r="S797" s="57" t="s">
        <v>8</v>
      </c>
      <c r="T797" s="56" t="s">
        <v>2394</v>
      </c>
    </row>
    <row r="798" spans="1:20">
      <c r="A798" s="55">
        <v>130241731324</v>
      </c>
      <c r="B798" s="53" t="s">
        <v>2386</v>
      </c>
      <c r="C798" s="54">
        <v>45946</v>
      </c>
      <c r="D798" s="55">
        <v>51788090050</v>
      </c>
      <c r="E798" s="55">
        <v>2097365494022</v>
      </c>
      <c r="F798" s="56" t="s">
        <v>2387</v>
      </c>
      <c r="G798" s="56" t="s">
        <v>2388</v>
      </c>
      <c r="H798" s="56" t="s">
        <v>8</v>
      </c>
      <c r="I798" s="55" t="s">
        <v>8</v>
      </c>
      <c r="J798" s="57">
        <v>118.34</v>
      </c>
      <c r="K798" s="56" t="s">
        <v>2389</v>
      </c>
      <c r="L798" s="56" t="s">
        <v>2390</v>
      </c>
      <c r="M798" s="55" t="s">
        <v>2391</v>
      </c>
      <c r="N798" s="56" t="s">
        <v>2392</v>
      </c>
      <c r="O798" s="53" t="s">
        <v>8</v>
      </c>
      <c r="P798" s="56" t="s">
        <v>2687</v>
      </c>
      <c r="Q798" s="57">
        <v>12200</v>
      </c>
      <c r="R798" s="58" t="s">
        <v>8</v>
      </c>
      <c r="S798" s="57" t="s">
        <v>8</v>
      </c>
      <c r="T798" s="56" t="s">
        <v>2394</v>
      </c>
    </row>
    <row r="799" spans="1:20">
      <c r="A799" s="55">
        <v>129664922167</v>
      </c>
      <c r="B799" s="53" t="s">
        <v>2386</v>
      </c>
      <c r="C799" s="54">
        <v>45946</v>
      </c>
      <c r="D799" s="55">
        <v>51788137065</v>
      </c>
      <c r="E799" s="55">
        <v>2097293897475</v>
      </c>
      <c r="F799" s="56" t="s">
        <v>2387</v>
      </c>
      <c r="G799" s="56" t="s">
        <v>2388</v>
      </c>
      <c r="H799" s="56" t="s">
        <v>8</v>
      </c>
      <c r="I799" s="55" t="s">
        <v>8</v>
      </c>
      <c r="J799" s="57">
        <v>396.73</v>
      </c>
      <c r="K799" s="56" t="s">
        <v>2389</v>
      </c>
      <c r="L799" s="56" t="s">
        <v>2390</v>
      </c>
      <c r="M799" s="55" t="s">
        <v>2391</v>
      </c>
      <c r="N799" s="56" t="s">
        <v>2392</v>
      </c>
      <c r="O799" s="53" t="s">
        <v>8</v>
      </c>
      <c r="P799" s="56" t="s">
        <v>2583</v>
      </c>
      <c r="Q799" s="57">
        <v>40900</v>
      </c>
      <c r="R799" s="58" t="s">
        <v>8</v>
      </c>
      <c r="S799" s="57" t="s">
        <v>8</v>
      </c>
      <c r="T799" s="56" t="s">
        <v>2394</v>
      </c>
    </row>
    <row r="800" spans="1:20">
      <c r="A800" s="55">
        <v>129665013047</v>
      </c>
      <c r="B800" s="53" t="s">
        <v>2386</v>
      </c>
      <c r="C800" s="54">
        <v>45947</v>
      </c>
      <c r="D800" s="55">
        <v>51788210523</v>
      </c>
      <c r="E800" s="55">
        <v>2097367269102</v>
      </c>
      <c r="F800" s="56" t="s">
        <v>2387</v>
      </c>
      <c r="G800" s="56" t="s">
        <v>2388</v>
      </c>
      <c r="H800" s="56" t="s">
        <v>8</v>
      </c>
      <c r="I800" s="55" t="s">
        <v>8</v>
      </c>
      <c r="J800" s="57">
        <v>1461.12</v>
      </c>
      <c r="K800" s="56" t="s">
        <v>2389</v>
      </c>
      <c r="L800" s="56" t="s">
        <v>2390</v>
      </c>
      <c r="M800" s="55" t="s">
        <v>2391</v>
      </c>
      <c r="N800" s="56" t="s">
        <v>2392</v>
      </c>
      <c r="O800" s="53" t="s">
        <v>8</v>
      </c>
      <c r="P800" s="56" t="s">
        <v>2688</v>
      </c>
      <c r="Q800" s="57">
        <v>19200</v>
      </c>
      <c r="R800" s="58" t="s">
        <v>8</v>
      </c>
      <c r="S800" s="57" t="s">
        <v>8</v>
      </c>
      <c r="T800" s="56" t="s">
        <v>2394</v>
      </c>
    </row>
    <row r="801" spans="1:20">
      <c r="A801" s="55">
        <v>130242353180</v>
      </c>
      <c r="B801" s="53" t="s">
        <v>2386</v>
      </c>
      <c r="C801" s="54">
        <v>45947</v>
      </c>
      <c r="D801" s="55">
        <v>51788464598</v>
      </c>
      <c r="E801" s="55">
        <v>2097370489056</v>
      </c>
      <c r="F801" s="56" t="s">
        <v>2387</v>
      </c>
      <c r="G801" s="56" t="s">
        <v>2388</v>
      </c>
      <c r="H801" s="56" t="s">
        <v>8</v>
      </c>
      <c r="I801" s="55" t="s">
        <v>8</v>
      </c>
      <c r="J801" s="57">
        <v>334.15</v>
      </c>
      <c r="K801" s="56" t="s">
        <v>2389</v>
      </c>
      <c r="L801" s="56" t="s">
        <v>2390</v>
      </c>
      <c r="M801" s="55" t="s">
        <v>2391</v>
      </c>
      <c r="N801" s="56" t="s">
        <v>2392</v>
      </c>
      <c r="O801" s="53" t="s">
        <v>8</v>
      </c>
      <c r="P801" s="56" t="s">
        <v>2689</v>
      </c>
      <c r="Q801" s="57">
        <v>20500</v>
      </c>
      <c r="R801" s="58" t="s">
        <v>8</v>
      </c>
      <c r="S801" s="57" t="s">
        <v>8</v>
      </c>
      <c r="T801" s="56" t="s">
        <v>2394</v>
      </c>
    </row>
    <row r="802" spans="1:20">
      <c r="A802" s="55">
        <v>129665646917</v>
      </c>
      <c r="B802" s="53" t="s">
        <v>2386</v>
      </c>
      <c r="C802" s="54">
        <v>45947</v>
      </c>
      <c r="D802" s="55">
        <v>51788536595</v>
      </c>
      <c r="E802" s="55">
        <v>2097299456947</v>
      </c>
      <c r="F802" s="56" t="s">
        <v>2387</v>
      </c>
      <c r="G802" s="56" t="s">
        <v>2388</v>
      </c>
      <c r="H802" s="56" t="s">
        <v>8</v>
      </c>
      <c r="I802" s="55" t="s">
        <v>8</v>
      </c>
      <c r="J802" s="57">
        <v>38.799999999999997</v>
      </c>
      <c r="K802" s="56" t="s">
        <v>2389</v>
      </c>
      <c r="L802" s="56" t="s">
        <v>2390</v>
      </c>
      <c r="M802" s="55" t="s">
        <v>2391</v>
      </c>
      <c r="N802" s="56" t="s">
        <v>2392</v>
      </c>
      <c r="O802" s="53" t="s">
        <v>8</v>
      </c>
      <c r="P802" s="56" t="s">
        <v>2542</v>
      </c>
      <c r="Q802" s="57">
        <v>4000</v>
      </c>
      <c r="R802" s="58" t="s">
        <v>8</v>
      </c>
      <c r="S802" s="57" t="s">
        <v>8</v>
      </c>
      <c r="T802" s="56" t="s">
        <v>2394</v>
      </c>
    </row>
    <row r="803" spans="1:20">
      <c r="A803" s="55">
        <v>130242682206</v>
      </c>
      <c r="B803" s="53" t="s">
        <v>2386</v>
      </c>
      <c r="C803" s="54">
        <v>45947</v>
      </c>
      <c r="D803" s="55">
        <v>51788550678</v>
      </c>
      <c r="E803" s="55">
        <v>2097372540700</v>
      </c>
      <c r="F803" s="56" t="s">
        <v>2387</v>
      </c>
      <c r="G803" s="56" t="s">
        <v>2388</v>
      </c>
      <c r="H803" s="56" t="s">
        <v>8</v>
      </c>
      <c r="I803" s="55" t="s">
        <v>8</v>
      </c>
      <c r="J803" s="57">
        <v>469.48</v>
      </c>
      <c r="K803" s="56" t="s">
        <v>2389</v>
      </c>
      <c r="L803" s="56" t="s">
        <v>2390</v>
      </c>
      <c r="M803" s="55" t="s">
        <v>2391</v>
      </c>
      <c r="N803" s="56" t="s">
        <v>2392</v>
      </c>
      <c r="O803" s="53" t="s">
        <v>8</v>
      </c>
      <c r="P803" s="56" t="s">
        <v>2690</v>
      </c>
      <c r="Q803" s="57">
        <v>48400</v>
      </c>
      <c r="R803" s="58" t="s">
        <v>8</v>
      </c>
      <c r="S803" s="57" t="s">
        <v>8</v>
      </c>
      <c r="T803" s="56" t="s">
        <v>2394</v>
      </c>
    </row>
    <row r="804" spans="1:20">
      <c r="A804" s="55">
        <v>129665679145</v>
      </c>
      <c r="B804" s="53" t="s">
        <v>2386</v>
      </c>
      <c r="C804" s="54">
        <v>45947</v>
      </c>
      <c r="D804" s="55">
        <v>51788555164</v>
      </c>
      <c r="E804" s="55">
        <v>2097299872433</v>
      </c>
      <c r="F804" s="56" t="s">
        <v>2401</v>
      </c>
      <c r="G804" s="56" t="s">
        <v>2388</v>
      </c>
      <c r="H804" s="56" t="s">
        <v>8</v>
      </c>
      <c r="I804" s="55" t="s">
        <v>8</v>
      </c>
      <c r="J804" s="57">
        <v>267.24</v>
      </c>
      <c r="K804" s="56" t="s">
        <v>2389</v>
      </c>
      <c r="L804" s="56" t="s">
        <v>2402</v>
      </c>
      <c r="M804" s="55" t="s">
        <v>2391</v>
      </c>
      <c r="N804" s="56" t="s">
        <v>2392</v>
      </c>
      <c r="O804" s="53" t="s">
        <v>2055</v>
      </c>
      <c r="P804" s="56" t="s">
        <v>2403</v>
      </c>
      <c r="Q804" s="57">
        <v>6800</v>
      </c>
      <c r="R804" s="58" t="s">
        <v>8</v>
      </c>
      <c r="S804" s="57" t="s">
        <v>8</v>
      </c>
      <c r="T804" s="56" t="s">
        <v>2394</v>
      </c>
    </row>
    <row r="805" spans="1:20">
      <c r="A805" s="55">
        <v>129665788341</v>
      </c>
      <c r="B805" s="53" t="s">
        <v>2386</v>
      </c>
      <c r="C805" s="54">
        <v>45947</v>
      </c>
      <c r="D805" s="55">
        <v>51788577817</v>
      </c>
      <c r="E805" s="55">
        <v>2097300661795</v>
      </c>
      <c r="F805" s="56" t="s">
        <v>2387</v>
      </c>
      <c r="G805" s="56" t="s">
        <v>2388</v>
      </c>
      <c r="H805" s="56" t="s">
        <v>8</v>
      </c>
      <c r="I805" s="55" t="s">
        <v>8</v>
      </c>
      <c r="J805" s="57">
        <v>133.86000000000001</v>
      </c>
      <c r="K805" s="56" t="s">
        <v>2389</v>
      </c>
      <c r="L805" s="56" t="s">
        <v>2390</v>
      </c>
      <c r="M805" s="55" t="s">
        <v>2391</v>
      </c>
      <c r="N805" s="56" t="s">
        <v>2392</v>
      </c>
      <c r="O805" s="53" t="s">
        <v>8</v>
      </c>
      <c r="P805" s="56" t="s">
        <v>2691</v>
      </c>
      <c r="Q805" s="57">
        <v>13800</v>
      </c>
      <c r="R805" s="58" t="s">
        <v>8</v>
      </c>
      <c r="S805" s="57" t="s">
        <v>8</v>
      </c>
      <c r="T805" s="56" t="s">
        <v>2394</v>
      </c>
    </row>
    <row r="806" spans="1:20">
      <c r="A806" s="55">
        <v>130242872800</v>
      </c>
      <c r="B806" s="53" t="s">
        <v>2386</v>
      </c>
      <c r="C806" s="54">
        <v>45947</v>
      </c>
      <c r="D806" s="55">
        <v>51788667018</v>
      </c>
      <c r="E806" s="55">
        <v>2097374631798</v>
      </c>
      <c r="F806" s="56" t="s">
        <v>2411</v>
      </c>
      <c r="G806" s="56" t="s">
        <v>2388</v>
      </c>
      <c r="H806" s="56" t="s">
        <v>8</v>
      </c>
      <c r="I806" s="55" t="s">
        <v>8</v>
      </c>
      <c r="J806" s="57">
        <v>131.91999999999999</v>
      </c>
      <c r="K806" s="56" t="s">
        <v>2389</v>
      </c>
      <c r="L806" s="56" t="s">
        <v>2390</v>
      </c>
      <c r="M806" s="55" t="s">
        <v>2391</v>
      </c>
      <c r="N806" s="56" t="s">
        <v>2392</v>
      </c>
      <c r="O806" s="53" t="s">
        <v>8</v>
      </c>
      <c r="P806" s="56" t="s">
        <v>2412</v>
      </c>
      <c r="Q806" s="57">
        <v>13600</v>
      </c>
      <c r="R806" s="58" t="s">
        <v>8</v>
      </c>
      <c r="S806" s="57" t="s">
        <v>8</v>
      </c>
      <c r="T806" s="56" t="s">
        <v>8</v>
      </c>
    </row>
    <row r="807" spans="1:20">
      <c r="A807" s="55">
        <v>130243088256</v>
      </c>
      <c r="B807" s="53" t="s">
        <v>2386</v>
      </c>
      <c r="C807" s="54">
        <v>45947</v>
      </c>
      <c r="D807" s="55">
        <v>51788731643</v>
      </c>
      <c r="E807" s="55">
        <v>2097376025094</v>
      </c>
      <c r="F807" s="56" t="s">
        <v>2401</v>
      </c>
      <c r="G807" s="56" t="s">
        <v>2388</v>
      </c>
      <c r="H807" s="56" t="s">
        <v>8</v>
      </c>
      <c r="I807" s="55" t="s">
        <v>8</v>
      </c>
      <c r="J807" s="57">
        <v>172.92</v>
      </c>
      <c r="K807" s="56" t="s">
        <v>2389</v>
      </c>
      <c r="L807" s="56" t="s">
        <v>2402</v>
      </c>
      <c r="M807" s="55" t="s">
        <v>2391</v>
      </c>
      <c r="N807" s="56" t="s">
        <v>2392</v>
      </c>
      <c r="O807" s="53" t="s">
        <v>2055</v>
      </c>
      <c r="P807" s="56" t="s">
        <v>2403</v>
      </c>
      <c r="Q807" s="57">
        <v>4400</v>
      </c>
      <c r="R807" s="58" t="s">
        <v>8</v>
      </c>
      <c r="S807" s="57" t="s">
        <v>8</v>
      </c>
      <c r="T807" s="56" t="s">
        <v>2394</v>
      </c>
    </row>
    <row r="808" spans="1:20">
      <c r="A808" s="55">
        <v>130243178826</v>
      </c>
      <c r="B808" s="53" t="s">
        <v>2386</v>
      </c>
      <c r="C808" s="54">
        <v>45947</v>
      </c>
      <c r="D808" s="55">
        <v>51788820290</v>
      </c>
      <c r="E808" s="55">
        <v>2097377301336</v>
      </c>
      <c r="F808" s="56" t="s">
        <v>2387</v>
      </c>
      <c r="G808" s="56" t="s">
        <v>2388</v>
      </c>
      <c r="H808" s="56" t="s">
        <v>8</v>
      </c>
      <c r="I808" s="55" t="s">
        <v>8</v>
      </c>
      <c r="J808" s="57">
        <v>200.79</v>
      </c>
      <c r="K808" s="56" t="s">
        <v>2389</v>
      </c>
      <c r="L808" s="56" t="s">
        <v>2390</v>
      </c>
      <c r="M808" s="55" t="s">
        <v>2391</v>
      </c>
      <c r="N808" s="56" t="s">
        <v>2392</v>
      </c>
      <c r="O808" s="53" t="s">
        <v>8</v>
      </c>
      <c r="P808" s="56" t="s">
        <v>2692</v>
      </c>
      <c r="Q808" s="57">
        <v>20700</v>
      </c>
      <c r="R808" s="58" t="s">
        <v>8</v>
      </c>
      <c r="S808" s="57" t="s">
        <v>8</v>
      </c>
      <c r="T808" s="56" t="s">
        <v>2394</v>
      </c>
    </row>
    <row r="809" spans="1:20">
      <c r="A809" s="55">
        <v>130243259208</v>
      </c>
      <c r="B809" s="53" t="s">
        <v>2386</v>
      </c>
      <c r="C809" s="54">
        <v>45947</v>
      </c>
      <c r="D809" s="55">
        <v>51788843179</v>
      </c>
      <c r="E809" s="55">
        <v>2097378149630</v>
      </c>
      <c r="F809" s="56" t="s">
        <v>2387</v>
      </c>
      <c r="G809" s="56" t="s">
        <v>2388</v>
      </c>
      <c r="H809" s="56" t="s">
        <v>8</v>
      </c>
      <c r="I809" s="55" t="s">
        <v>8</v>
      </c>
      <c r="J809" s="57">
        <v>213.4</v>
      </c>
      <c r="K809" s="56" t="s">
        <v>2389</v>
      </c>
      <c r="L809" s="56" t="s">
        <v>2390</v>
      </c>
      <c r="M809" s="55" t="s">
        <v>2391</v>
      </c>
      <c r="N809" s="56" t="s">
        <v>2392</v>
      </c>
      <c r="O809" s="53" t="s">
        <v>8</v>
      </c>
      <c r="P809" s="56" t="s">
        <v>2693</v>
      </c>
      <c r="Q809" s="57">
        <v>22000</v>
      </c>
      <c r="R809" s="58" t="s">
        <v>8</v>
      </c>
      <c r="S809" s="57" t="s">
        <v>8</v>
      </c>
      <c r="T809" s="56" t="s">
        <v>2394</v>
      </c>
    </row>
    <row r="810" spans="1:20">
      <c r="A810" s="55">
        <v>130243432840</v>
      </c>
      <c r="B810" s="53" t="s">
        <v>2386</v>
      </c>
      <c r="C810" s="54">
        <v>45947</v>
      </c>
      <c r="D810" s="55">
        <v>51788916648</v>
      </c>
      <c r="E810" s="55">
        <v>2097379158514</v>
      </c>
      <c r="F810" s="56" t="s">
        <v>2387</v>
      </c>
      <c r="G810" s="56" t="s">
        <v>2388</v>
      </c>
      <c r="H810" s="56" t="s">
        <v>8</v>
      </c>
      <c r="I810" s="55" t="s">
        <v>8</v>
      </c>
      <c r="J810" s="57">
        <v>106.7</v>
      </c>
      <c r="K810" s="56" t="s">
        <v>2389</v>
      </c>
      <c r="L810" s="56" t="s">
        <v>2390</v>
      </c>
      <c r="M810" s="55" t="s">
        <v>2391</v>
      </c>
      <c r="N810" s="56" t="s">
        <v>2392</v>
      </c>
      <c r="O810" s="53" t="s">
        <v>8</v>
      </c>
      <c r="P810" s="56" t="s">
        <v>2694</v>
      </c>
      <c r="Q810" s="57">
        <v>11000</v>
      </c>
      <c r="R810" s="58" t="s">
        <v>8</v>
      </c>
      <c r="S810" s="57" t="s">
        <v>8</v>
      </c>
      <c r="T810" s="56" t="s">
        <v>2394</v>
      </c>
    </row>
    <row r="811" spans="1:20">
      <c r="A811" s="55">
        <v>130243580586</v>
      </c>
      <c r="B811" s="53" t="s">
        <v>2386</v>
      </c>
      <c r="C811" s="54">
        <v>45947</v>
      </c>
      <c r="D811" s="55">
        <v>51789025302</v>
      </c>
      <c r="E811" s="55">
        <v>2097308651955</v>
      </c>
      <c r="F811" s="56" t="s">
        <v>2387</v>
      </c>
      <c r="G811" s="56" t="s">
        <v>2388</v>
      </c>
      <c r="H811" s="56" t="s">
        <v>8</v>
      </c>
      <c r="I811" s="55" t="s">
        <v>8</v>
      </c>
      <c r="J811" s="57">
        <v>286.14999999999998</v>
      </c>
      <c r="K811" s="56" t="s">
        <v>2389</v>
      </c>
      <c r="L811" s="56" t="s">
        <v>2390</v>
      </c>
      <c r="M811" s="55" t="s">
        <v>2391</v>
      </c>
      <c r="N811" s="56" t="s">
        <v>2392</v>
      </c>
      <c r="O811" s="53" t="s">
        <v>8</v>
      </c>
      <c r="P811" s="56" t="s">
        <v>2695</v>
      </c>
      <c r="Q811" s="57">
        <v>29500</v>
      </c>
      <c r="R811" s="58" t="s">
        <v>8</v>
      </c>
      <c r="S811" s="57" t="s">
        <v>8</v>
      </c>
      <c r="T811" s="56" t="s">
        <v>2394</v>
      </c>
    </row>
    <row r="812" spans="1:20">
      <c r="A812" s="55">
        <v>129666703035</v>
      </c>
      <c r="B812" s="53" t="s">
        <v>2386</v>
      </c>
      <c r="C812" s="54">
        <v>45947</v>
      </c>
      <c r="D812" s="55">
        <v>51789085840</v>
      </c>
      <c r="E812" s="55">
        <v>2097381609884</v>
      </c>
      <c r="F812" s="56" t="s">
        <v>2411</v>
      </c>
      <c r="G812" s="56" t="s">
        <v>2388</v>
      </c>
      <c r="H812" s="56" t="s">
        <v>8</v>
      </c>
      <c r="I812" s="55" t="s">
        <v>8</v>
      </c>
      <c r="J812" s="57">
        <v>102.82</v>
      </c>
      <c r="K812" s="56" t="s">
        <v>2389</v>
      </c>
      <c r="L812" s="56" t="s">
        <v>2390</v>
      </c>
      <c r="M812" s="55" t="s">
        <v>2391</v>
      </c>
      <c r="N812" s="56" t="s">
        <v>2392</v>
      </c>
      <c r="O812" s="53" t="s">
        <v>8</v>
      </c>
      <c r="P812" s="56" t="s">
        <v>2412</v>
      </c>
      <c r="Q812" s="57">
        <v>10600</v>
      </c>
      <c r="R812" s="58" t="s">
        <v>8</v>
      </c>
      <c r="S812" s="57" t="s">
        <v>8</v>
      </c>
      <c r="T812" s="56" t="s">
        <v>8</v>
      </c>
    </row>
    <row r="813" spans="1:20">
      <c r="A813" s="55">
        <v>129666911033</v>
      </c>
      <c r="B813" s="53" t="s">
        <v>2386</v>
      </c>
      <c r="C813" s="54">
        <v>45947</v>
      </c>
      <c r="D813" s="55">
        <v>51789185750</v>
      </c>
      <c r="E813" s="55">
        <v>2097383078538</v>
      </c>
      <c r="F813" s="56" t="s">
        <v>2387</v>
      </c>
      <c r="G813" s="56" t="s">
        <v>2388</v>
      </c>
      <c r="H813" s="56" t="s">
        <v>8</v>
      </c>
      <c r="I813" s="55" t="s">
        <v>8</v>
      </c>
      <c r="J813" s="57">
        <v>776.97</v>
      </c>
      <c r="K813" s="56" t="s">
        <v>2389</v>
      </c>
      <c r="L813" s="56" t="s">
        <v>2390</v>
      </c>
      <c r="M813" s="55" t="s">
        <v>2391</v>
      </c>
      <c r="N813" s="56" t="s">
        <v>2392</v>
      </c>
      <c r="O813" s="53" t="s">
        <v>8</v>
      </c>
      <c r="P813" s="56" t="s">
        <v>2696</v>
      </c>
      <c r="Q813" s="57">
        <v>80100</v>
      </c>
      <c r="R813" s="58" t="s">
        <v>8</v>
      </c>
      <c r="S813" s="57" t="s">
        <v>8</v>
      </c>
      <c r="T813" s="56" t="s">
        <v>2394</v>
      </c>
    </row>
    <row r="814" spans="1:20">
      <c r="A814" s="55">
        <v>129667056931</v>
      </c>
      <c r="B814" s="53" t="s">
        <v>2386</v>
      </c>
      <c r="C814" s="54">
        <v>45947</v>
      </c>
      <c r="D814" s="55">
        <v>51789234725</v>
      </c>
      <c r="E814" s="55">
        <v>2097384043810</v>
      </c>
      <c r="F814" s="56" t="s">
        <v>2411</v>
      </c>
      <c r="G814" s="56" t="s">
        <v>2388</v>
      </c>
      <c r="H814" s="56" t="s">
        <v>8</v>
      </c>
      <c r="I814" s="55" t="s">
        <v>8</v>
      </c>
      <c r="J814" s="57">
        <v>58.2</v>
      </c>
      <c r="K814" s="56" t="s">
        <v>2389</v>
      </c>
      <c r="L814" s="56" t="s">
        <v>2390</v>
      </c>
      <c r="M814" s="55" t="s">
        <v>2391</v>
      </c>
      <c r="N814" s="56" t="s">
        <v>2392</v>
      </c>
      <c r="O814" s="53" t="s">
        <v>8</v>
      </c>
      <c r="P814" s="56" t="s">
        <v>2412</v>
      </c>
      <c r="Q814" s="57">
        <v>6000</v>
      </c>
      <c r="R814" s="58" t="s">
        <v>8</v>
      </c>
      <c r="S814" s="57" t="s">
        <v>8</v>
      </c>
      <c r="T814" s="56" t="s">
        <v>8</v>
      </c>
    </row>
    <row r="815" spans="1:20">
      <c r="A815" s="55">
        <v>129667302525</v>
      </c>
      <c r="B815" s="53" t="s">
        <v>2386</v>
      </c>
      <c r="C815" s="54">
        <v>45947</v>
      </c>
      <c r="D815" s="55">
        <v>51789325577</v>
      </c>
      <c r="E815" s="55">
        <v>2097313568621</v>
      </c>
      <c r="F815" s="56" t="s">
        <v>2387</v>
      </c>
      <c r="G815" s="56" t="s">
        <v>2388</v>
      </c>
      <c r="H815" s="56" t="s">
        <v>8</v>
      </c>
      <c r="I815" s="55" t="s">
        <v>8</v>
      </c>
      <c r="J815" s="57">
        <v>85.36</v>
      </c>
      <c r="K815" s="56" t="s">
        <v>2389</v>
      </c>
      <c r="L815" s="56" t="s">
        <v>2390</v>
      </c>
      <c r="M815" s="55" t="s">
        <v>2391</v>
      </c>
      <c r="N815" s="56" t="s">
        <v>2392</v>
      </c>
      <c r="O815" s="53" t="s">
        <v>8</v>
      </c>
      <c r="P815" s="56" t="s">
        <v>2697</v>
      </c>
      <c r="Q815" s="57">
        <v>8800</v>
      </c>
      <c r="R815" s="58" t="s">
        <v>8</v>
      </c>
      <c r="S815" s="57" t="s">
        <v>8</v>
      </c>
      <c r="T815" s="56" t="s">
        <v>2394</v>
      </c>
    </row>
    <row r="816" spans="1:20">
      <c r="A816" s="55">
        <v>130244117942</v>
      </c>
      <c r="B816" s="53" t="s">
        <v>2386</v>
      </c>
      <c r="C816" s="54">
        <v>45947</v>
      </c>
      <c r="D816" s="55">
        <v>51789328101</v>
      </c>
      <c r="E816" s="55">
        <v>2097313995237</v>
      </c>
      <c r="F816" s="56" t="s">
        <v>2401</v>
      </c>
      <c r="G816" s="56" t="s">
        <v>2388</v>
      </c>
      <c r="H816" s="56" t="s">
        <v>8</v>
      </c>
      <c r="I816" s="55" t="s">
        <v>8</v>
      </c>
      <c r="J816" s="57">
        <v>939.78</v>
      </c>
      <c r="K816" s="56" t="s">
        <v>2389</v>
      </c>
      <c r="L816" s="56" t="s">
        <v>2402</v>
      </c>
      <c r="M816" s="55" t="s">
        <v>2391</v>
      </c>
      <c r="N816" s="56" t="s">
        <v>2392</v>
      </c>
      <c r="O816" s="53" t="s">
        <v>2055</v>
      </c>
      <c r="P816" s="56" t="s">
        <v>2403</v>
      </c>
      <c r="Q816" s="57">
        <v>20700</v>
      </c>
      <c r="R816" s="58" t="s">
        <v>8</v>
      </c>
      <c r="S816" s="57" t="s">
        <v>8</v>
      </c>
      <c r="T816" s="56" t="s">
        <v>2394</v>
      </c>
    </row>
    <row r="817" spans="1:20">
      <c r="A817" s="55">
        <v>129667297475</v>
      </c>
      <c r="B817" s="53" t="s">
        <v>2386</v>
      </c>
      <c r="C817" s="54">
        <v>45947</v>
      </c>
      <c r="D817" s="55">
        <v>51789352298</v>
      </c>
      <c r="E817" s="55">
        <v>2097386806694</v>
      </c>
      <c r="F817" s="56" t="s">
        <v>2401</v>
      </c>
      <c r="G817" s="56" t="s">
        <v>2388</v>
      </c>
      <c r="H817" s="56" t="s">
        <v>8</v>
      </c>
      <c r="I817" s="55" t="s">
        <v>8</v>
      </c>
      <c r="J817" s="57">
        <v>363.2</v>
      </c>
      <c r="K817" s="56" t="s">
        <v>2389</v>
      </c>
      <c r="L817" s="56" t="s">
        <v>2402</v>
      </c>
      <c r="M817" s="55" t="s">
        <v>2391</v>
      </c>
      <c r="N817" s="56" t="s">
        <v>2392</v>
      </c>
      <c r="O817" s="53" t="s">
        <v>2055</v>
      </c>
      <c r="P817" s="56" t="s">
        <v>2403</v>
      </c>
      <c r="Q817" s="57">
        <v>8000</v>
      </c>
      <c r="R817" s="58" t="s">
        <v>8</v>
      </c>
      <c r="S817" s="57" t="s">
        <v>8</v>
      </c>
      <c r="T817" s="56" t="s">
        <v>2394</v>
      </c>
    </row>
    <row r="818" spans="1:20">
      <c r="A818" s="55">
        <v>130244627434</v>
      </c>
      <c r="B818" s="53" t="s">
        <v>2386</v>
      </c>
      <c r="C818" s="54">
        <v>45947</v>
      </c>
      <c r="D818" s="55">
        <v>51789528557</v>
      </c>
      <c r="E818" s="55">
        <v>2097390176620</v>
      </c>
      <c r="F818" s="56" t="s">
        <v>2401</v>
      </c>
      <c r="G818" s="56" t="s">
        <v>2388</v>
      </c>
      <c r="H818" s="56" t="s">
        <v>8</v>
      </c>
      <c r="I818" s="55" t="s">
        <v>8</v>
      </c>
      <c r="J818" s="57">
        <v>176.85</v>
      </c>
      <c r="K818" s="56" t="s">
        <v>2389</v>
      </c>
      <c r="L818" s="56" t="s">
        <v>2402</v>
      </c>
      <c r="M818" s="55" t="s">
        <v>2391</v>
      </c>
      <c r="N818" s="56" t="s">
        <v>2392</v>
      </c>
      <c r="O818" s="53" t="s">
        <v>2055</v>
      </c>
      <c r="P818" s="56" t="s">
        <v>2403</v>
      </c>
      <c r="Q818" s="57">
        <v>4500</v>
      </c>
      <c r="R818" s="58" t="s">
        <v>8</v>
      </c>
      <c r="S818" s="57" t="s">
        <v>8</v>
      </c>
      <c r="T818" s="56" t="s">
        <v>2394</v>
      </c>
    </row>
    <row r="819" spans="1:20">
      <c r="A819" s="55">
        <v>129667759013</v>
      </c>
      <c r="B819" s="53" t="s">
        <v>2386</v>
      </c>
      <c r="C819" s="54">
        <v>45947</v>
      </c>
      <c r="D819" s="55">
        <v>51789533142</v>
      </c>
      <c r="E819" s="55">
        <v>2097318321135</v>
      </c>
      <c r="F819" s="56" t="s">
        <v>2401</v>
      </c>
      <c r="G819" s="56" t="s">
        <v>2388</v>
      </c>
      <c r="H819" s="56" t="s">
        <v>8</v>
      </c>
      <c r="I819" s="55" t="s">
        <v>8</v>
      </c>
      <c r="J819" s="57">
        <v>926.16</v>
      </c>
      <c r="K819" s="56" t="s">
        <v>2389</v>
      </c>
      <c r="L819" s="56" t="s">
        <v>2402</v>
      </c>
      <c r="M819" s="55" t="s">
        <v>2391</v>
      </c>
      <c r="N819" s="56" t="s">
        <v>2392</v>
      </c>
      <c r="O819" s="53" t="s">
        <v>2055</v>
      </c>
      <c r="P819" s="56" t="s">
        <v>2403</v>
      </c>
      <c r="Q819" s="57">
        <v>20400</v>
      </c>
      <c r="R819" s="58" t="s">
        <v>8</v>
      </c>
      <c r="S819" s="57" t="s">
        <v>8</v>
      </c>
      <c r="T819" s="56" t="s">
        <v>2394</v>
      </c>
    </row>
    <row r="820" spans="1:20">
      <c r="A820" s="55">
        <v>130245490130</v>
      </c>
      <c r="B820" s="53" t="s">
        <v>2386</v>
      </c>
      <c r="C820" s="54">
        <v>45947</v>
      </c>
      <c r="D820" s="55">
        <v>51789862637</v>
      </c>
      <c r="E820" s="55">
        <v>2097324794409</v>
      </c>
      <c r="F820" s="56" t="s">
        <v>2401</v>
      </c>
      <c r="G820" s="56" t="s">
        <v>2388</v>
      </c>
      <c r="H820" s="56" t="s">
        <v>8</v>
      </c>
      <c r="I820" s="55" t="s">
        <v>8</v>
      </c>
      <c r="J820" s="57">
        <v>195.22</v>
      </c>
      <c r="K820" s="56" t="s">
        <v>2389</v>
      </c>
      <c r="L820" s="56" t="s">
        <v>2402</v>
      </c>
      <c r="M820" s="55" t="s">
        <v>2391</v>
      </c>
      <c r="N820" s="56" t="s">
        <v>2392</v>
      </c>
      <c r="O820" s="53" t="s">
        <v>2055</v>
      </c>
      <c r="P820" s="56" t="s">
        <v>2403</v>
      </c>
      <c r="Q820" s="57">
        <v>4300</v>
      </c>
      <c r="R820" s="58" t="s">
        <v>8</v>
      </c>
      <c r="S820" s="57" t="s">
        <v>8</v>
      </c>
      <c r="T820" s="56" t="s">
        <v>2394</v>
      </c>
    </row>
    <row r="821" spans="1:20">
      <c r="A821" s="55">
        <v>130245537370</v>
      </c>
      <c r="B821" s="53" t="s">
        <v>2386</v>
      </c>
      <c r="C821" s="54">
        <v>45947</v>
      </c>
      <c r="D821" s="55">
        <v>51789932576</v>
      </c>
      <c r="E821" s="55">
        <v>2097398950570</v>
      </c>
      <c r="F821" s="56" t="s">
        <v>2401</v>
      </c>
      <c r="G821" s="56" t="s">
        <v>2388</v>
      </c>
      <c r="H821" s="56" t="s">
        <v>8</v>
      </c>
      <c r="I821" s="55" t="s">
        <v>8</v>
      </c>
      <c r="J821" s="57">
        <v>408.6</v>
      </c>
      <c r="K821" s="56" t="s">
        <v>2389</v>
      </c>
      <c r="L821" s="56" t="s">
        <v>2402</v>
      </c>
      <c r="M821" s="55" t="s">
        <v>2391</v>
      </c>
      <c r="N821" s="56" t="s">
        <v>2392</v>
      </c>
      <c r="O821" s="53" t="s">
        <v>2055</v>
      </c>
      <c r="P821" s="56" t="s">
        <v>2403</v>
      </c>
      <c r="Q821" s="57">
        <v>9000</v>
      </c>
      <c r="R821" s="58" t="s">
        <v>8</v>
      </c>
      <c r="S821" s="57" t="s">
        <v>8</v>
      </c>
      <c r="T821" s="56" t="s">
        <v>2394</v>
      </c>
    </row>
    <row r="822" spans="1:20">
      <c r="A822" s="55">
        <v>129668822791</v>
      </c>
      <c r="B822" s="53" t="s">
        <v>2386</v>
      </c>
      <c r="C822" s="54">
        <v>45947</v>
      </c>
      <c r="D822" s="55">
        <v>51789990200</v>
      </c>
      <c r="E822" s="55">
        <v>2097328016445</v>
      </c>
      <c r="F822" s="56" t="s">
        <v>2411</v>
      </c>
      <c r="G822" s="56" t="s">
        <v>2388</v>
      </c>
      <c r="H822" s="56" t="s">
        <v>8</v>
      </c>
      <c r="I822" s="55" t="s">
        <v>8</v>
      </c>
      <c r="J822" s="57">
        <v>77.599999999999994</v>
      </c>
      <c r="K822" s="56" t="s">
        <v>2389</v>
      </c>
      <c r="L822" s="56" t="s">
        <v>2390</v>
      </c>
      <c r="M822" s="55" t="s">
        <v>2391</v>
      </c>
      <c r="N822" s="56" t="s">
        <v>2392</v>
      </c>
      <c r="O822" s="53" t="s">
        <v>8</v>
      </c>
      <c r="P822" s="56" t="s">
        <v>2412</v>
      </c>
      <c r="Q822" s="57">
        <v>8000</v>
      </c>
      <c r="R822" s="58" t="s">
        <v>8</v>
      </c>
      <c r="S822" s="57" t="s">
        <v>8</v>
      </c>
      <c r="T822" s="56" t="s">
        <v>8</v>
      </c>
    </row>
    <row r="823" spans="1:20">
      <c r="A823" s="55">
        <v>130245840846</v>
      </c>
      <c r="B823" s="53" t="s">
        <v>2386</v>
      </c>
      <c r="C823" s="54">
        <v>45947</v>
      </c>
      <c r="D823" s="55">
        <v>51790040248</v>
      </c>
      <c r="E823" s="55">
        <v>2097401324668</v>
      </c>
      <c r="F823" s="56" t="s">
        <v>2387</v>
      </c>
      <c r="G823" s="56" t="s">
        <v>2388</v>
      </c>
      <c r="H823" s="56" t="s">
        <v>8</v>
      </c>
      <c r="I823" s="55" t="s">
        <v>8</v>
      </c>
      <c r="J823" s="57">
        <v>794.43</v>
      </c>
      <c r="K823" s="56" t="s">
        <v>2389</v>
      </c>
      <c r="L823" s="56" t="s">
        <v>2390</v>
      </c>
      <c r="M823" s="55" t="s">
        <v>2391</v>
      </c>
      <c r="N823" s="56" t="s">
        <v>2392</v>
      </c>
      <c r="O823" s="53" t="s">
        <v>8</v>
      </c>
      <c r="P823" s="56" t="s">
        <v>2698</v>
      </c>
      <c r="Q823" s="57">
        <v>81900</v>
      </c>
      <c r="R823" s="58" t="s">
        <v>8</v>
      </c>
      <c r="S823" s="57" t="s">
        <v>8</v>
      </c>
      <c r="T823" s="56" t="s">
        <v>2394</v>
      </c>
    </row>
    <row r="824" spans="1:20">
      <c r="A824" s="55">
        <v>129668875591</v>
      </c>
      <c r="B824" s="53" t="s">
        <v>2386</v>
      </c>
      <c r="C824" s="54">
        <v>45947</v>
      </c>
      <c r="D824" s="55">
        <v>51790066149</v>
      </c>
      <c r="E824" s="55">
        <v>2097401620374</v>
      </c>
      <c r="F824" s="56" t="s">
        <v>2387</v>
      </c>
      <c r="G824" s="56" t="s">
        <v>2388</v>
      </c>
      <c r="H824" s="56" t="s">
        <v>8</v>
      </c>
      <c r="I824" s="55" t="s">
        <v>8</v>
      </c>
      <c r="J824" s="57">
        <v>120.28</v>
      </c>
      <c r="K824" s="56" t="s">
        <v>2389</v>
      </c>
      <c r="L824" s="56" t="s">
        <v>2390</v>
      </c>
      <c r="M824" s="55" t="s">
        <v>2391</v>
      </c>
      <c r="N824" s="56" t="s">
        <v>2392</v>
      </c>
      <c r="O824" s="53" t="s">
        <v>8</v>
      </c>
      <c r="P824" s="56" t="s">
        <v>2699</v>
      </c>
      <c r="Q824" s="57">
        <v>12400</v>
      </c>
      <c r="R824" s="58" t="s">
        <v>8</v>
      </c>
      <c r="S824" s="57" t="s">
        <v>8</v>
      </c>
      <c r="T824" s="56" t="s">
        <v>2394</v>
      </c>
    </row>
    <row r="825" spans="1:20">
      <c r="A825" s="55">
        <v>129669344853</v>
      </c>
      <c r="B825" s="53" t="s">
        <v>2386</v>
      </c>
      <c r="C825" s="54">
        <v>45947</v>
      </c>
      <c r="D825" s="55">
        <v>51790213541</v>
      </c>
      <c r="E825" s="55">
        <v>2097406144572</v>
      </c>
      <c r="F825" s="56" t="s">
        <v>2387</v>
      </c>
      <c r="G825" s="56" t="s">
        <v>2388</v>
      </c>
      <c r="H825" s="56" t="s">
        <v>8</v>
      </c>
      <c r="I825" s="55" t="s">
        <v>8</v>
      </c>
      <c r="J825" s="57">
        <v>77.599999999999994</v>
      </c>
      <c r="K825" s="56" t="s">
        <v>2389</v>
      </c>
      <c r="L825" s="56" t="s">
        <v>2390</v>
      </c>
      <c r="M825" s="55" t="s">
        <v>2391</v>
      </c>
      <c r="N825" s="56" t="s">
        <v>2392</v>
      </c>
      <c r="O825" s="53" t="s">
        <v>8</v>
      </c>
      <c r="P825" s="56" t="s">
        <v>2700</v>
      </c>
      <c r="Q825" s="57">
        <v>8000</v>
      </c>
      <c r="R825" s="58" t="s">
        <v>8</v>
      </c>
      <c r="S825" s="57" t="s">
        <v>8</v>
      </c>
      <c r="T825" s="56" t="s">
        <v>2394</v>
      </c>
    </row>
    <row r="826" spans="1:20">
      <c r="A826" s="55">
        <v>129669379157</v>
      </c>
      <c r="B826" s="53" t="s">
        <v>2386</v>
      </c>
      <c r="C826" s="54">
        <v>45947</v>
      </c>
      <c r="D826" s="55">
        <v>51790241809</v>
      </c>
      <c r="E826" s="55">
        <v>2097406851238</v>
      </c>
      <c r="F826" s="56" t="s">
        <v>2411</v>
      </c>
      <c r="G826" s="56" t="s">
        <v>2388</v>
      </c>
      <c r="H826" s="56" t="s">
        <v>8</v>
      </c>
      <c r="I826" s="55" t="s">
        <v>8</v>
      </c>
      <c r="J826" s="57">
        <v>113.49</v>
      </c>
      <c r="K826" s="56" t="s">
        <v>2389</v>
      </c>
      <c r="L826" s="56" t="s">
        <v>2390</v>
      </c>
      <c r="M826" s="55" t="s">
        <v>2391</v>
      </c>
      <c r="N826" s="56" t="s">
        <v>2392</v>
      </c>
      <c r="O826" s="53" t="s">
        <v>8</v>
      </c>
      <c r="P826" s="56" t="s">
        <v>2412</v>
      </c>
      <c r="Q826" s="57">
        <v>11700</v>
      </c>
      <c r="R826" s="58" t="s">
        <v>8</v>
      </c>
      <c r="S826" s="57" t="s">
        <v>8</v>
      </c>
      <c r="T826" s="56" t="s">
        <v>8</v>
      </c>
    </row>
    <row r="827" spans="1:20">
      <c r="A827" s="55">
        <v>130246425270</v>
      </c>
      <c r="B827" s="53" t="s">
        <v>2386</v>
      </c>
      <c r="C827" s="54">
        <v>45947</v>
      </c>
      <c r="D827" s="55">
        <v>51790292638</v>
      </c>
      <c r="E827" s="55">
        <v>2097408054132</v>
      </c>
      <c r="F827" s="56" t="s">
        <v>2411</v>
      </c>
      <c r="G827" s="56" t="s">
        <v>2388</v>
      </c>
      <c r="H827" s="56" t="s">
        <v>8</v>
      </c>
      <c r="I827" s="55" t="s">
        <v>8</v>
      </c>
      <c r="J827" s="57">
        <v>93.12</v>
      </c>
      <c r="K827" s="56" t="s">
        <v>2389</v>
      </c>
      <c r="L827" s="56" t="s">
        <v>2390</v>
      </c>
      <c r="M827" s="55" t="s">
        <v>2391</v>
      </c>
      <c r="N827" s="56" t="s">
        <v>2392</v>
      </c>
      <c r="O827" s="53" t="s">
        <v>8</v>
      </c>
      <c r="P827" s="56" t="s">
        <v>2412</v>
      </c>
      <c r="Q827" s="57">
        <v>9600</v>
      </c>
      <c r="R827" s="58" t="s">
        <v>8</v>
      </c>
      <c r="S827" s="57" t="s">
        <v>8</v>
      </c>
      <c r="T827" s="56" t="s">
        <v>8</v>
      </c>
    </row>
    <row r="828" spans="1:20">
      <c r="A828" s="55">
        <v>130246469118</v>
      </c>
      <c r="B828" s="53" t="s">
        <v>2386</v>
      </c>
      <c r="C828" s="54">
        <v>45947</v>
      </c>
      <c r="D828" s="55">
        <v>51790326844</v>
      </c>
      <c r="E828" s="55">
        <v>2097335987345</v>
      </c>
      <c r="F828" s="56" t="s">
        <v>2401</v>
      </c>
      <c r="G828" s="56" t="s">
        <v>2388</v>
      </c>
      <c r="H828" s="56" t="s">
        <v>8</v>
      </c>
      <c r="I828" s="55" t="s">
        <v>8</v>
      </c>
      <c r="J828" s="57">
        <v>1025.73</v>
      </c>
      <c r="K828" s="56" t="s">
        <v>2389</v>
      </c>
      <c r="L828" s="56" t="s">
        <v>2402</v>
      </c>
      <c r="M828" s="55" t="s">
        <v>2391</v>
      </c>
      <c r="N828" s="56" t="s">
        <v>2392</v>
      </c>
      <c r="O828" s="53" t="s">
        <v>2055</v>
      </c>
      <c r="P828" s="56" t="s">
        <v>2403</v>
      </c>
      <c r="Q828" s="57">
        <v>26100</v>
      </c>
      <c r="R828" s="58" t="s">
        <v>8</v>
      </c>
      <c r="S828" s="57" t="s">
        <v>8</v>
      </c>
      <c r="T828" s="56" t="s">
        <v>2394</v>
      </c>
    </row>
    <row r="829" spans="1:20">
      <c r="A829" s="55">
        <v>129669964271</v>
      </c>
      <c r="B829" s="53" t="s">
        <v>2386</v>
      </c>
      <c r="C829" s="54">
        <v>45947</v>
      </c>
      <c r="D829" s="55">
        <v>51790477724</v>
      </c>
      <c r="E829" s="55">
        <v>2097339764679</v>
      </c>
      <c r="F829" s="56" t="s">
        <v>2387</v>
      </c>
      <c r="G829" s="56" t="s">
        <v>2701</v>
      </c>
      <c r="H829" s="56" t="s">
        <v>2702</v>
      </c>
      <c r="I829" s="55" t="s">
        <v>8</v>
      </c>
      <c r="J829" s="57">
        <v>120.28</v>
      </c>
      <c r="K829" s="56" t="s">
        <v>2389</v>
      </c>
      <c r="L829" s="56" t="s">
        <v>2390</v>
      </c>
      <c r="M829" s="55" t="s">
        <v>2391</v>
      </c>
      <c r="N829" s="56" t="s">
        <v>2392</v>
      </c>
      <c r="O829" s="53" t="s">
        <v>8</v>
      </c>
      <c r="P829" s="56" t="s">
        <v>2703</v>
      </c>
      <c r="Q829" s="57">
        <v>12400</v>
      </c>
      <c r="R829" s="58" t="s">
        <v>8</v>
      </c>
      <c r="S829" s="57" t="s">
        <v>8</v>
      </c>
      <c r="T829" s="56" t="s">
        <v>2394</v>
      </c>
    </row>
    <row r="830" spans="1:20">
      <c r="A830" s="55">
        <v>129669964271</v>
      </c>
      <c r="B830" s="53" t="s">
        <v>2386</v>
      </c>
      <c r="C830" s="54">
        <v>45947</v>
      </c>
      <c r="D830" s="55">
        <v>51790478602</v>
      </c>
      <c r="E830" s="55">
        <v>2097412584712</v>
      </c>
      <c r="F830" s="56" t="s">
        <v>2704</v>
      </c>
      <c r="G830" s="56" t="s">
        <v>2701</v>
      </c>
      <c r="H830" s="56" t="s">
        <v>8</v>
      </c>
      <c r="I830" s="55">
        <v>51790477724</v>
      </c>
      <c r="J830" s="57">
        <v>-120.28</v>
      </c>
      <c r="K830" s="56" t="s">
        <v>2389</v>
      </c>
      <c r="L830" s="56" t="s">
        <v>2390</v>
      </c>
      <c r="M830" s="55" t="s">
        <v>2391</v>
      </c>
      <c r="N830" s="56" t="s">
        <v>2392</v>
      </c>
      <c r="O830" s="53" t="s">
        <v>8</v>
      </c>
      <c r="P830" s="56" t="s">
        <v>2703</v>
      </c>
      <c r="Q830" s="57">
        <v>12400</v>
      </c>
      <c r="R830" s="58" t="s">
        <v>8</v>
      </c>
      <c r="S830" s="57" t="s">
        <v>8</v>
      </c>
      <c r="T830" s="56" t="s">
        <v>8</v>
      </c>
    </row>
    <row r="831" spans="1:20">
      <c r="A831" s="55">
        <v>129669927047</v>
      </c>
      <c r="B831" s="53" t="s">
        <v>2386</v>
      </c>
      <c r="C831" s="54">
        <v>45947</v>
      </c>
      <c r="D831" s="55">
        <v>51790495845</v>
      </c>
      <c r="E831" s="55">
        <v>2097340367631</v>
      </c>
      <c r="F831" s="56" t="s">
        <v>2387</v>
      </c>
      <c r="G831" s="56" t="s">
        <v>2388</v>
      </c>
      <c r="H831" s="56" t="s">
        <v>8</v>
      </c>
      <c r="I831" s="55" t="s">
        <v>8</v>
      </c>
      <c r="J831" s="57">
        <v>81.48</v>
      </c>
      <c r="K831" s="56" t="s">
        <v>2389</v>
      </c>
      <c r="L831" s="56" t="s">
        <v>2390</v>
      </c>
      <c r="M831" s="55" t="s">
        <v>2391</v>
      </c>
      <c r="N831" s="56" t="s">
        <v>2392</v>
      </c>
      <c r="O831" s="53" t="s">
        <v>8</v>
      </c>
      <c r="P831" s="56" t="s">
        <v>2703</v>
      </c>
      <c r="Q831" s="57">
        <v>8400</v>
      </c>
      <c r="R831" s="58" t="s">
        <v>8</v>
      </c>
      <c r="S831" s="57" t="s">
        <v>8</v>
      </c>
      <c r="T831" s="56" t="s">
        <v>2394</v>
      </c>
    </row>
    <row r="832" spans="1:20">
      <c r="A832" s="55">
        <v>130247086718</v>
      </c>
      <c r="B832" s="53" t="s">
        <v>2386</v>
      </c>
      <c r="C832" s="54">
        <v>45947</v>
      </c>
      <c r="D832" s="55">
        <v>51790536382</v>
      </c>
      <c r="E832" s="55">
        <v>2097342206263</v>
      </c>
      <c r="F832" s="56" t="s">
        <v>2387</v>
      </c>
      <c r="G832" s="56" t="s">
        <v>2388</v>
      </c>
      <c r="H832" s="56" t="s">
        <v>8</v>
      </c>
      <c r="I832" s="55" t="s">
        <v>8</v>
      </c>
      <c r="J832" s="57">
        <v>46.56</v>
      </c>
      <c r="K832" s="56" t="s">
        <v>2389</v>
      </c>
      <c r="L832" s="56" t="s">
        <v>2390</v>
      </c>
      <c r="M832" s="55" t="s">
        <v>2391</v>
      </c>
      <c r="N832" s="56" t="s">
        <v>2392</v>
      </c>
      <c r="O832" s="53" t="s">
        <v>8</v>
      </c>
      <c r="P832" s="56" t="s">
        <v>2692</v>
      </c>
      <c r="Q832" s="57">
        <v>4800</v>
      </c>
      <c r="R832" s="58" t="s">
        <v>8</v>
      </c>
      <c r="S832" s="57" t="s">
        <v>8</v>
      </c>
      <c r="T832" s="56" t="s">
        <v>2394</v>
      </c>
    </row>
    <row r="833" spans="1:20">
      <c r="A833" s="55">
        <v>130247030066</v>
      </c>
      <c r="B833" s="53" t="s">
        <v>2386</v>
      </c>
      <c r="C833" s="54">
        <v>45947</v>
      </c>
      <c r="D833" s="55">
        <v>51790573680</v>
      </c>
      <c r="E833" s="55">
        <v>2097415517186</v>
      </c>
      <c r="F833" s="56" t="s">
        <v>2387</v>
      </c>
      <c r="G833" s="56" t="s">
        <v>2388</v>
      </c>
      <c r="H833" s="56" t="s">
        <v>8</v>
      </c>
      <c r="I833" s="55" t="s">
        <v>8</v>
      </c>
      <c r="J833" s="57">
        <v>134.83000000000001</v>
      </c>
      <c r="K833" s="56" t="s">
        <v>2389</v>
      </c>
      <c r="L833" s="56" t="s">
        <v>2390</v>
      </c>
      <c r="M833" s="55" t="s">
        <v>2391</v>
      </c>
      <c r="N833" s="56" t="s">
        <v>2392</v>
      </c>
      <c r="O833" s="53" t="s">
        <v>8</v>
      </c>
      <c r="P833" s="56" t="s">
        <v>2705</v>
      </c>
      <c r="Q833" s="57">
        <v>13900</v>
      </c>
      <c r="R833" s="58" t="s">
        <v>8</v>
      </c>
      <c r="S833" s="57" t="s">
        <v>8</v>
      </c>
      <c r="T833" s="56" t="s">
        <v>2394</v>
      </c>
    </row>
    <row r="834" spans="1:20">
      <c r="A834" s="55">
        <v>129670229407</v>
      </c>
      <c r="B834" s="53" t="s">
        <v>2386</v>
      </c>
      <c r="C834" s="54">
        <v>45947</v>
      </c>
      <c r="D834" s="55">
        <v>51790590411</v>
      </c>
      <c r="E834" s="55">
        <v>2097344215859</v>
      </c>
      <c r="F834" s="56" t="s">
        <v>2387</v>
      </c>
      <c r="G834" s="56" t="s">
        <v>2388</v>
      </c>
      <c r="H834" s="56" t="s">
        <v>8</v>
      </c>
      <c r="I834" s="55" t="s">
        <v>8</v>
      </c>
      <c r="J834" s="57">
        <v>137.74</v>
      </c>
      <c r="K834" s="56" t="s">
        <v>2389</v>
      </c>
      <c r="L834" s="56" t="s">
        <v>2390</v>
      </c>
      <c r="M834" s="55" t="s">
        <v>2391</v>
      </c>
      <c r="N834" s="56" t="s">
        <v>2392</v>
      </c>
      <c r="O834" s="53" t="s">
        <v>8</v>
      </c>
      <c r="P834" s="56" t="s">
        <v>2706</v>
      </c>
      <c r="Q834" s="57">
        <v>14200</v>
      </c>
      <c r="R834" s="58" t="s">
        <v>8</v>
      </c>
      <c r="S834" s="57" t="s">
        <v>8</v>
      </c>
      <c r="T834" s="56" t="s">
        <v>2394</v>
      </c>
    </row>
    <row r="835" spans="1:20">
      <c r="A835" s="55">
        <v>130247117566</v>
      </c>
      <c r="B835" s="53" t="s">
        <v>2386</v>
      </c>
      <c r="C835" s="54">
        <v>45947</v>
      </c>
      <c r="D835" s="55">
        <v>51790605539</v>
      </c>
      <c r="E835" s="55">
        <v>2097416075706</v>
      </c>
      <c r="F835" s="56" t="s">
        <v>2387</v>
      </c>
      <c r="G835" s="56" t="s">
        <v>2388</v>
      </c>
      <c r="H835" s="56" t="s">
        <v>8</v>
      </c>
      <c r="I835" s="55" t="s">
        <v>8</v>
      </c>
      <c r="J835" s="57">
        <v>213.4</v>
      </c>
      <c r="K835" s="56" t="s">
        <v>2389</v>
      </c>
      <c r="L835" s="56" t="s">
        <v>2390</v>
      </c>
      <c r="M835" s="55" t="s">
        <v>2391</v>
      </c>
      <c r="N835" s="56" t="s">
        <v>2392</v>
      </c>
      <c r="O835" s="53" t="s">
        <v>8</v>
      </c>
      <c r="P835" s="56" t="s">
        <v>2669</v>
      </c>
      <c r="Q835" s="57">
        <v>22000</v>
      </c>
      <c r="R835" s="58" t="s">
        <v>8</v>
      </c>
      <c r="S835" s="57" t="s">
        <v>8</v>
      </c>
      <c r="T835" s="56" t="s">
        <v>2394</v>
      </c>
    </row>
    <row r="836" spans="1:20">
      <c r="A836" s="55">
        <v>130247304740</v>
      </c>
      <c r="B836" s="53" t="s">
        <v>2386</v>
      </c>
      <c r="C836" s="54">
        <v>45947</v>
      </c>
      <c r="D836" s="55">
        <v>51790612627</v>
      </c>
      <c r="E836" s="55">
        <v>2097416589828</v>
      </c>
      <c r="F836" s="56" t="s">
        <v>2401</v>
      </c>
      <c r="G836" s="56" t="s">
        <v>2388</v>
      </c>
      <c r="H836" s="56" t="s">
        <v>8</v>
      </c>
      <c r="I836" s="55" t="s">
        <v>8</v>
      </c>
      <c r="J836" s="57">
        <v>2556.96</v>
      </c>
      <c r="K836" s="56" t="s">
        <v>2389</v>
      </c>
      <c r="L836" s="56" t="s">
        <v>2402</v>
      </c>
      <c r="M836" s="55" t="s">
        <v>2391</v>
      </c>
      <c r="N836" s="56" t="s">
        <v>2392</v>
      </c>
      <c r="O836" s="53" t="s">
        <v>2055</v>
      </c>
      <c r="P836" s="56" t="s">
        <v>2403</v>
      </c>
      <c r="Q836" s="57">
        <v>33600</v>
      </c>
      <c r="R836" s="58" t="s">
        <v>8</v>
      </c>
      <c r="S836" s="57" t="s">
        <v>8</v>
      </c>
      <c r="T836" s="56" t="s">
        <v>2394</v>
      </c>
    </row>
    <row r="837" spans="1:20">
      <c r="A837" s="55">
        <v>130247329100</v>
      </c>
      <c r="B837" s="53" t="s">
        <v>2386</v>
      </c>
      <c r="C837" s="54">
        <v>45947</v>
      </c>
      <c r="D837" s="55">
        <v>51790628424</v>
      </c>
      <c r="E837" s="55">
        <v>2097345161595</v>
      </c>
      <c r="F837" s="56" t="s">
        <v>2401</v>
      </c>
      <c r="G837" s="56" t="s">
        <v>2388</v>
      </c>
      <c r="H837" s="56" t="s">
        <v>8</v>
      </c>
      <c r="I837" s="55" t="s">
        <v>8</v>
      </c>
      <c r="J837" s="57">
        <v>499.4</v>
      </c>
      <c r="K837" s="56" t="s">
        <v>2389</v>
      </c>
      <c r="L837" s="56" t="s">
        <v>2402</v>
      </c>
      <c r="M837" s="55" t="s">
        <v>2391</v>
      </c>
      <c r="N837" s="56" t="s">
        <v>2392</v>
      </c>
      <c r="O837" s="53" t="s">
        <v>2055</v>
      </c>
      <c r="P837" s="56" t="s">
        <v>2403</v>
      </c>
      <c r="Q837" s="57">
        <v>11000</v>
      </c>
      <c r="R837" s="58" t="s">
        <v>8</v>
      </c>
      <c r="S837" s="57" t="s">
        <v>8</v>
      </c>
      <c r="T837" s="56" t="s">
        <v>2394</v>
      </c>
    </row>
    <row r="838" spans="1:20">
      <c r="A838" s="55">
        <v>130247568172</v>
      </c>
      <c r="B838" s="53" t="s">
        <v>2386</v>
      </c>
      <c r="C838" s="54">
        <v>45947</v>
      </c>
      <c r="D838" s="55">
        <v>51790670800</v>
      </c>
      <c r="E838" s="55">
        <v>2097418927932</v>
      </c>
      <c r="F838" s="56" t="s">
        <v>2401</v>
      </c>
      <c r="G838" s="56" t="s">
        <v>2388</v>
      </c>
      <c r="H838" s="56" t="s">
        <v>8</v>
      </c>
      <c r="I838" s="55" t="s">
        <v>8</v>
      </c>
      <c r="J838" s="57">
        <v>190.68</v>
      </c>
      <c r="K838" s="56" t="s">
        <v>2389</v>
      </c>
      <c r="L838" s="56" t="s">
        <v>2402</v>
      </c>
      <c r="M838" s="55" t="s">
        <v>2391</v>
      </c>
      <c r="N838" s="56" t="s">
        <v>2392</v>
      </c>
      <c r="O838" s="53" t="s">
        <v>2055</v>
      </c>
      <c r="P838" s="56" t="s">
        <v>2403</v>
      </c>
      <c r="Q838" s="57">
        <v>4200</v>
      </c>
      <c r="R838" s="58" t="s">
        <v>8</v>
      </c>
      <c r="S838" s="57" t="s">
        <v>8</v>
      </c>
      <c r="T838" s="56" t="s">
        <v>2394</v>
      </c>
    </row>
    <row r="839" spans="1:20">
      <c r="A839" s="55">
        <v>129670391921</v>
      </c>
      <c r="B839" s="53" t="s">
        <v>2386</v>
      </c>
      <c r="C839" s="54">
        <v>45947</v>
      </c>
      <c r="D839" s="55">
        <v>51790705516</v>
      </c>
      <c r="E839" s="55">
        <v>2097419106306</v>
      </c>
      <c r="F839" s="56" t="s">
        <v>2387</v>
      </c>
      <c r="G839" s="56" t="s">
        <v>2388</v>
      </c>
      <c r="H839" s="56" t="s">
        <v>8</v>
      </c>
      <c r="I839" s="55" t="s">
        <v>8</v>
      </c>
      <c r="J839" s="57">
        <v>94.09</v>
      </c>
      <c r="K839" s="56" t="s">
        <v>2389</v>
      </c>
      <c r="L839" s="56" t="s">
        <v>2390</v>
      </c>
      <c r="M839" s="55" t="s">
        <v>2391</v>
      </c>
      <c r="N839" s="56" t="s">
        <v>2392</v>
      </c>
      <c r="O839" s="53" t="s">
        <v>8</v>
      </c>
      <c r="P839" s="56" t="s">
        <v>2707</v>
      </c>
      <c r="Q839" s="57">
        <v>9700</v>
      </c>
      <c r="R839" s="58" t="s">
        <v>8</v>
      </c>
      <c r="S839" s="57" t="s">
        <v>8</v>
      </c>
      <c r="T839" s="56" t="s">
        <v>2394</v>
      </c>
    </row>
    <row r="840" spans="1:20">
      <c r="A840" s="55">
        <v>129670591855</v>
      </c>
      <c r="B840" s="53" t="s">
        <v>2386</v>
      </c>
      <c r="C840" s="54">
        <v>45947</v>
      </c>
      <c r="D840" s="55">
        <v>51790769740</v>
      </c>
      <c r="E840" s="55">
        <v>2097421633430</v>
      </c>
      <c r="F840" s="56" t="s">
        <v>2411</v>
      </c>
      <c r="G840" s="56" t="s">
        <v>2388</v>
      </c>
      <c r="H840" s="56" t="s">
        <v>8</v>
      </c>
      <c r="I840" s="55" t="s">
        <v>8</v>
      </c>
      <c r="J840" s="57">
        <v>756.6</v>
      </c>
      <c r="K840" s="56" t="s">
        <v>2389</v>
      </c>
      <c r="L840" s="56" t="s">
        <v>2390</v>
      </c>
      <c r="M840" s="55" t="s">
        <v>2391</v>
      </c>
      <c r="N840" s="56" t="s">
        <v>2392</v>
      </c>
      <c r="O840" s="53" t="s">
        <v>8</v>
      </c>
      <c r="P840" s="56" t="s">
        <v>2412</v>
      </c>
      <c r="Q840" s="57">
        <v>78000</v>
      </c>
      <c r="R840" s="58" t="s">
        <v>8</v>
      </c>
      <c r="S840" s="57" t="s">
        <v>8</v>
      </c>
      <c r="T840" s="56" t="s">
        <v>8</v>
      </c>
    </row>
    <row r="841" spans="1:20">
      <c r="A841" s="55">
        <v>130247812692</v>
      </c>
      <c r="B841" s="53" t="s">
        <v>2386</v>
      </c>
      <c r="C841" s="54">
        <v>45947</v>
      </c>
      <c r="D841" s="55">
        <v>51790816661</v>
      </c>
      <c r="E841" s="55">
        <v>2097422289996</v>
      </c>
      <c r="F841" s="56" t="s">
        <v>2387</v>
      </c>
      <c r="G841" s="56" t="s">
        <v>2388</v>
      </c>
      <c r="H841" s="56" t="s">
        <v>8</v>
      </c>
      <c r="I841" s="55" t="s">
        <v>8</v>
      </c>
      <c r="J841" s="57">
        <v>53.35</v>
      </c>
      <c r="K841" s="56" t="s">
        <v>2389</v>
      </c>
      <c r="L841" s="56" t="s">
        <v>2390</v>
      </c>
      <c r="M841" s="55" t="s">
        <v>2391</v>
      </c>
      <c r="N841" s="56" t="s">
        <v>2392</v>
      </c>
      <c r="O841" s="53" t="s">
        <v>8</v>
      </c>
      <c r="P841" s="56" t="s">
        <v>2708</v>
      </c>
      <c r="Q841" s="57">
        <v>5500</v>
      </c>
      <c r="R841" s="58" t="s">
        <v>8</v>
      </c>
      <c r="S841" s="57" t="s">
        <v>8</v>
      </c>
      <c r="T841" s="56" t="s">
        <v>2394</v>
      </c>
    </row>
    <row r="842" spans="1:20">
      <c r="A842" s="55">
        <v>130247751270</v>
      </c>
      <c r="B842" s="53" t="s">
        <v>2386</v>
      </c>
      <c r="C842" s="54">
        <v>45947</v>
      </c>
      <c r="D842" s="55">
        <v>51790828607</v>
      </c>
      <c r="E842" s="55">
        <v>2097422800974</v>
      </c>
      <c r="F842" s="56" t="s">
        <v>2387</v>
      </c>
      <c r="G842" s="56" t="s">
        <v>2388</v>
      </c>
      <c r="H842" s="56" t="s">
        <v>8</v>
      </c>
      <c r="I842" s="55" t="s">
        <v>8</v>
      </c>
      <c r="J842" s="57">
        <v>46.56</v>
      </c>
      <c r="K842" s="56" t="s">
        <v>2389</v>
      </c>
      <c r="L842" s="56" t="s">
        <v>2390</v>
      </c>
      <c r="M842" s="55" t="s">
        <v>2391</v>
      </c>
      <c r="N842" s="56" t="s">
        <v>2392</v>
      </c>
      <c r="O842" s="53" t="s">
        <v>8</v>
      </c>
      <c r="P842" s="56" t="s">
        <v>2709</v>
      </c>
      <c r="Q842" s="57">
        <v>4800</v>
      </c>
      <c r="R842" s="58" t="s">
        <v>8</v>
      </c>
      <c r="S842" s="57" t="s">
        <v>8</v>
      </c>
      <c r="T842" s="56" t="s">
        <v>2394</v>
      </c>
    </row>
    <row r="843" spans="1:20">
      <c r="A843" s="55">
        <v>130248036304</v>
      </c>
      <c r="B843" s="53" t="s">
        <v>2386</v>
      </c>
      <c r="C843" s="54">
        <v>45947</v>
      </c>
      <c r="D843" s="55">
        <v>51790853660</v>
      </c>
      <c r="E843" s="55">
        <v>2097423823108</v>
      </c>
      <c r="F843" s="56" t="s">
        <v>2387</v>
      </c>
      <c r="G843" s="56" t="s">
        <v>2388</v>
      </c>
      <c r="H843" s="56" t="s">
        <v>8</v>
      </c>
      <c r="I843" s="55" t="s">
        <v>8</v>
      </c>
      <c r="J843" s="57">
        <v>359.87</v>
      </c>
      <c r="K843" s="56" t="s">
        <v>2389</v>
      </c>
      <c r="L843" s="56" t="s">
        <v>2390</v>
      </c>
      <c r="M843" s="55" t="s">
        <v>2391</v>
      </c>
      <c r="N843" s="56" t="s">
        <v>2392</v>
      </c>
      <c r="O843" s="53" t="s">
        <v>8</v>
      </c>
      <c r="P843" s="56" t="s">
        <v>2647</v>
      </c>
      <c r="Q843" s="57">
        <v>37100</v>
      </c>
      <c r="R843" s="58" t="s">
        <v>8</v>
      </c>
      <c r="S843" s="57" t="s">
        <v>8</v>
      </c>
      <c r="T843" s="56" t="s">
        <v>2394</v>
      </c>
    </row>
    <row r="844" spans="1:20">
      <c r="A844" s="55">
        <v>129670937377</v>
      </c>
      <c r="B844" s="53" t="s">
        <v>2386</v>
      </c>
      <c r="C844" s="54">
        <v>45947</v>
      </c>
      <c r="D844" s="55">
        <v>51790877179</v>
      </c>
      <c r="E844" s="55">
        <v>2097424579218</v>
      </c>
      <c r="F844" s="56" t="s">
        <v>2387</v>
      </c>
      <c r="G844" s="56" t="s">
        <v>2388</v>
      </c>
      <c r="H844" s="56" t="s">
        <v>8</v>
      </c>
      <c r="I844" s="55" t="s">
        <v>8</v>
      </c>
      <c r="J844" s="57">
        <v>181.39</v>
      </c>
      <c r="K844" s="56" t="s">
        <v>2389</v>
      </c>
      <c r="L844" s="56" t="s">
        <v>2390</v>
      </c>
      <c r="M844" s="55" t="s">
        <v>2391</v>
      </c>
      <c r="N844" s="56" t="s">
        <v>2392</v>
      </c>
      <c r="O844" s="53" t="s">
        <v>8</v>
      </c>
      <c r="P844" s="56" t="s">
        <v>2710</v>
      </c>
      <c r="Q844" s="57">
        <v>18700</v>
      </c>
      <c r="R844" s="58" t="s">
        <v>8</v>
      </c>
      <c r="S844" s="57" t="s">
        <v>8</v>
      </c>
      <c r="T844" s="56" t="s">
        <v>2394</v>
      </c>
    </row>
    <row r="845" spans="1:20">
      <c r="A845" s="55">
        <v>130248023924</v>
      </c>
      <c r="B845" s="53" t="s">
        <v>2386</v>
      </c>
      <c r="C845" s="54">
        <v>45947</v>
      </c>
      <c r="D845" s="55">
        <v>51790956141</v>
      </c>
      <c r="E845" s="55">
        <v>2097426423448</v>
      </c>
      <c r="F845" s="56" t="s">
        <v>2411</v>
      </c>
      <c r="G845" s="56" t="s">
        <v>2388</v>
      </c>
      <c r="H845" s="56" t="s">
        <v>8</v>
      </c>
      <c r="I845" s="55" t="s">
        <v>8</v>
      </c>
      <c r="J845" s="57">
        <v>89.24</v>
      </c>
      <c r="K845" s="56" t="s">
        <v>2389</v>
      </c>
      <c r="L845" s="56" t="s">
        <v>2390</v>
      </c>
      <c r="M845" s="55" t="s">
        <v>2391</v>
      </c>
      <c r="N845" s="56" t="s">
        <v>2392</v>
      </c>
      <c r="O845" s="53" t="s">
        <v>8</v>
      </c>
      <c r="P845" s="56" t="s">
        <v>2412</v>
      </c>
      <c r="Q845" s="57">
        <v>9200</v>
      </c>
      <c r="R845" s="58" t="s">
        <v>8</v>
      </c>
      <c r="S845" s="57" t="s">
        <v>8</v>
      </c>
      <c r="T845" s="56" t="s">
        <v>8</v>
      </c>
    </row>
    <row r="846" spans="1:20">
      <c r="A846" s="55">
        <v>129671157781</v>
      </c>
      <c r="B846" s="53" t="s">
        <v>2386</v>
      </c>
      <c r="C846" s="54">
        <v>45947</v>
      </c>
      <c r="D846" s="55">
        <v>51790994466</v>
      </c>
      <c r="E846" s="55">
        <v>2097427374842</v>
      </c>
      <c r="F846" s="56" t="s">
        <v>2401</v>
      </c>
      <c r="G846" s="56" t="s">
        <v>2388</v>
      </c>
      <c r="H846" s="56" t="s">
        <v>8</v>
      </c>
      <c r="I846" s="55" t="s">
        <v>8</v>
      </c>
      <c r="J846" s="57">
        <v>432.3</v>
      </c>
      <c r="K846" s="56" t="s">
        <v>2389</v>
      </c>
      <c r="L846" s="56" t="s">
        <v>2402</v>
      </c>
      <c r="M846" s="55" t="s">
        <v>2391</v>
      </c>
      <c r="N846" s="56" t="s">
        <v>2392</v>
      </c>
      <c r="O846" s="53" t="s">
        <v>2055</v>
      </c>
      <c r="P846" s="56" t="s">
        <v>2403</v>
      </c>
      <c r="Q846" s="57">
        <v>11000</v>
      </c>
      <c r="R846" s="58" t="s">
        <v>8</v>
      </c>
      <c r="S846" s="57" t="s">
        <v>8</v>
      </c>
      <c r="T846" s="56" t="s">
        <v>2394</v>
      </c>
    </row>
    <row r="847" spans="1:20">
      <c r="A847" s="55">
        <v>130248316942</v>
      </c>
      <c r="B847" s="53" t="s">
        <v>2386</v>
      </c>
      <c r="C847" s="54">
        <v>45947</v>
      </c>
      <c r="D847" s="55">
        <v>51791044504</v>
      </c>
      <c r="E847" s="55">
        <v>2097427891090</v>
      </c>
      <c r="F847" s="56" t="s">
        <v>2387</v>
      </c>
      <c r="G847" s="56" t="s">
        <v>2388</v>
      </c>
      <c r="H847" s="56" t="s">
        <v>8</v>
      </c>
      <c r="I847" s="55" t="s">
        <v>8</v>
      </c>
      <c r="J847" s="57">
        <v>53.35</v>
      </c>
      <c r="K847" s="56" t="s">
        <v>2389</v>
      </c>
      <c r="L847" s="56" t="s">
        <v>2390</v>
      </c>
      <c r="M847" s="55" t="s">
        <v>2391</v>
      </c>
      <c r="N847" s="56" t="s">
        <v>2392</v>
      </c>
      <c r="O847" s="53" t="s">
        <v>8</v>
      </c>
      <c r="P847" s="56" t="s">
        <v>2711</v>
      </c>
      <c r="Q847" s="57">
        <v>5500</v>
      </c>
      <c r="R847" s="58" t="s">
        <v>8</v>
      </c>
      <c r="S847" s="57" t="s">
        <v>8</v>
      </c>
      <c r="T847" s="56" t="s">
        <v>2394</v>
      </c>
    </row>
    <row r="848" spans="1:20">
      <c r="A848" s="55">
        <v>129671797275</v>
      </c>
      <c r="B848" s="53" t="s">
        <v>2386</v>
      </c>
      <c r="C848" s="54">
        <v>45947</v>
      </c>
      <c r="D848" s="55">
        <v>51791213047</v>
      </c>
      <c r="E848" s="55">
        <v>2097361218037</v>
      </c>
      <c r="F848" s="56" t="s">
        <v>2387</v>
      </c>
      <c r="G848" s="56" t="s">
        <v>2388</v>
      </c>
      <c r="H848" s="56" t="s">
        <v>8</v>
      </c>
      <c r="I848" s="55" t="s">
        <v>8</v>
      </c>
      <c r="J848" s="57">
        <v>53.35</v>
      </c>
      <c r="K848" s="56" t="s">
        <v>2389</v>
      </c>
      <c r="L848" s="56" t="s">
        <v>2390</v>
      </c>
      <c r="M848" s="55" t="s">
        <v>2391</v>
      </c>
      <c r="N848" s="56" t="s">
        <v>2392</v>
      </c>
      <c r="O848" s="53" t="s">
        <v>8</v>
      </c>
      <c r="P848" s="56" t="s">
        <v>2712</v>
      </c>
      <c r="Q848" s="57">
        <v>5500</v>
      </c>
      <c r="R848" s="58" t="s">
        <v>8</v>
      </c>
      <c r="S848" s="57" t="s">
        <v>8</v>
      </c>
      <c r="T848" s="56" t="s">
        <v>2394</v>
      </c>
    </row>
    <row r="849" spans="1:20">
      <c r="A849" s="55">
        <v>130248763394</v>
      </c>
      <c r="B849" s="53" t="s">
        <v>2386</v>
      </c>
      <c r="C849" s="54">
        <v>45947</v>
      </c>
      <c r="D849" s="55">
        <v>51791217533</v>
      </c>
      <c r="E849" s="55">
        <v>2097361395827</v>
      </c>
      <c r="F849" s="56" t="s">
        <v>2387</v>
      </c>
      <c r="G849" s="56" t="s">
        <v>2388</v>
      </c>
      <c r="H849" s="56" t="s">
        <v>8</v>
      </c>
      <c r="I849" s="55" t="s">
        <v>8</v>
      </c>
      <c r="J849" s="57">
        <v>155.19999999999999</v>
      </c>
      <c r="K849" s="56" t="s">
        <v>2389</v>
      </c>
      <c r="L849" s="56" t="s">
        <v>2390</v>
      </c>
      <c r="M849" s="55" t="s">
        <v>2391</v>
      </c>
      <c r="N849" s="56" t="s">
        <v>2392</v>
      </c>
      <c r="O849" s="53" t="s">
        <v>8</v>
      </c>
      <c r="P849" s="56" t="s">
        <v>2713</v>
      </c>
      <c r="Q849" s="57">
        <v>16000</v>
      </c>
      <c r="R849" s="58" t="s">
        <v>8</v>
      </c>
      <c r="S849" s="57" t="s">
        <v>8</v>
      </c>
      <c r="T849" s="56" t="s">
        <v>2394</v>
      </c>
    </row>
    <row r="850" spans="1:20">
      <c r="A850" s="55">
        <v>129671936945</v>
      </c>
      <c r="B850" s="53" t="s">
        <v>2386</v>
      </c>
      <c r="C850" s="54">
        <v>45947</v>
      </c>
      <c r="D850" s="55">
        <v>51791267241</v>
      </c>
      <c r="E850" s="55">
        <v>2097435284480</v>
      </c>
      <c r="F850" s="56" t="s">
        <v>2411</v>
      </c>
      <c r="G850" s="56" t="s">
        <v>2388</v>
      </c>
      <c r="H850" s="56" t="s">
        <v>8</v>
      </c>
      <c r="I850" s="55" t="s">
        <v>8</v>
      </c>
      <c r="J850" s="57">
        <v>46.56</v>
      </c>
      <c r="K850" s="56" t="s">
        <v>2389</v>
      </c>
      <c r="L850" s="56" t="s">
        <v>2390</v>
      </c>
      <c r="M850" s="55" t="s">
        <v>2391</v>
      </c>
      <c r="N850" s="56" t="s">
        <v>2392</v>
      </c>
      <c r="O850" s="53" t="s">
        <v>8</v>
      </c>
      <c r="P850" s="56" t="s">
        <v>2412</v>
      </c>
      <c r="Q850" s="57">
        <v>4800</v>
      </c>
      <c r="R850" s="58" t="s">
        <v>8</v>
      </c>
      <c r="S850" s="57" t="s">
        <v>8</v>
      </c>
      <c r="T850" s="56" t="s">
        <v>8</v>
      </c>
    </row>
    <row r="851" spans="1:20">
      <c r="A851" s="55">
        <v>129671929721</v>
      </c>
      <c r="B851" s="53" t="s">
        <v>2386</v>
      </c>
      <c r="C851" s="54">
        <v>45947</v>
      </c>
      <c r="D851" s="55">
        <v>51791317061</v>
      </c>
      <c r="E851" s="55">
        <v>2097436447542</v>
      </c>
      <c r="F851" s="56" t="s">
        <v>2411</v>
      </c>
      <c r="G851" s="56" t="s">
        <v>2388</v>
      </c>
      <c r="H851" s="56" t="s">
        <v>8</v>
      </c>
      <c r="I851" s="55" t="s">
        <v>8</v>
      </c>
      <c r="J851" s="57">
        <v>252.2</v>
      </c>
      <c r="K851" s="56" t="s">
        <v>2389</v>
      </c>
      <c r="L851" s="56" t="s">
        <v>2390</v>
      </c>
      <c r="M851" s="55" t="s">
        <v>2391</v>
      </c>
      <c r="N851" s="56" t="s">
        <v>2392</v>
      </c>
      <c r="O851" s="53" t="s">
        <v>8</v>
      </c>
      <c r="P851" s="56" t="s">
        <v>2412</v>
      </c>
      <c r="Q851" s="57">
        <v>26000</v>
      </c>
      <c r="R851" s="58" t="s">
        <v>8</v>
      </c>
      <c r="S851" s="57" t="s">
        <v>8</v>
      </c>
      <c r="T851" s="56" t="s">
        <v>8</v>
      </c>
    </row>
    <row r="852" spans="1:20">
      <c r="A852" s="55">
        <v>130249595876</v>
      </c>
      <c r="B852" s="53" t="s">
        <v>2386</v>
      </c>
      <c r="C852" s="54">
        <v>45947</v>
      </c>
      <c r="D852" s="55">
        <v>51791536927</v>
      </c>
      <c r="E852" s="55">
        <v>2097372634813</v>
      </c>
      <c r="F852" s="56" t="s">
        <v>2401</v>
      </c>
      <c r="G852" s="56" t="s">
        <v>2388</v>
      </c>
      <c r="H852" s="56" t="s">
        <v>8</v>
      </c>
      <c r="I852" s="55" t="s">
        <v>8</v>
      </c>
      <c r="J852" s="57">
        <v>653.76</v>
      </c>
      <c r="K852" s="56" t="s">
        <v>2389</v>
      </c>
      <c r="L852" s="56" t="s">
        <v>2402</v>
      </c>
      <c r="M852" s="55" t="s">
        <v>2391</v>
      </c>
      <c r="N852" s="56" t="s">
        <v>2392</v>
      </c>
      <c r="O852" s="53" t="s">
        <v>2055</v>
      </c>
      <c r="P852" s="56" t="s">
        <v>2403</v>
      </c>
      <c r="Q852" s="57">
        <v>14400</v>
      </c>
      <c r="R852" s="58" t="s">
        <v>8</v>
      </c>
      <c r="S852" s="57" t="s">
        <v>8</v>
      </c>
      <c r="T852" s="56" t="s">
        <v>2394</v>
      </c>
    </row>
    <row r="853" spans="1:20">
      <c r="A853" s="55">
        <v>129672790911</v>
      </c>
      <c r="B853" s="53" t="s">
        <v>2386</v>
      </c>
      <c r="C853" s="54">
        <v>45947</v>
      </c>
      <c r="D853" s="55">
        <v>51791551527</v>
      </c>
      <c r="E853" s="55">
        <v>2097445627820</v>
      </c>
      <c r="F853" s="56" t="s">
        <v>2387</v>
      </c>
      <c r="G853" s="56" t="s">
        <v>2388</v>
      </c>
      <c r="H853" s="56" t="s">
        <v>8</v>
      </c>
      <c r="I853" s="55" t="s">
        <v>8</v>
      </c>
      <c r="J853" s="57">
        <v>241.53</v>
      </c>
      <c r="K853" s="56" t="s">
        <v>2389</v>
      </c>
      <c r="L853" s="56" t="s">
        <v>2390</v>
      </c>
      <c r="M853" s="55" t="s">
        <v>2391</v>
      </c>
      <c r="N853" s="56" t="s">
        <v>2392</v>
      </c>
      <c r="O853" s="53" t="s">
        <v>8</v>
      </c>
      <c r="P853" s="56" t="s">
        <v>2714</v>
      </c>
      <c r="Q853" s="57">
        <v>24900</v>
      </c>
      <c r="R853" s="58" t="s">
        <v>8</v>
      </c>
      <c r="S853" s="57" t="s">
        <v>8</v>
      </c>
      <c r="T853" s="56" t="s">
        <v>2394</v>
      </c>
    </row>
    <row r="854" spans="1:20">
      <c r="A854" s="55">
        <v>130249957450</v>
      </c>
      <c r="B854" s="53" t="s">
        <v>2386</v>
      </c>
      <c r="C854" s="54">
        <v>45947</v>
      </c>
      <c r="D854" s="55">
        <v>51791648625</v>
      </c>
      <c r="E854" s="55">
        <v>2097448776552</v>
      </c>
      <c r="F854" s="56" t="s">
        <v>2411</v>
      </c>
      <c r="G854" s="56" t="s">
        <v>2388</v>
      </c>
      <c r="H854" s="56" t="s">
        <v>8</v>
      </c>
      <c r="I854" s="55" t="s">
        <v>8</v>
      </c>
      <c r="J854" s="57">
        <v>176.54</v>
      </c>
      <c r="K854" s="56" t="s">
        <v>2389</v>
      </c>
      <c r="L854" s="56" t="s">
        <v>2390</v>
      </c>
      <c r="M854" s="55" t="s">
        <v>2391</v>
      </c>
      <c r="N854" s="56" t="s">
        <v>2392</v>
      </c>
      <c r="O854" s="53" t="s">
        <v>8</v>
      </c>
      <c r="P854" s="56" t="s">
        <v>2412</v>
      </c>
      <c r="Q854" s="57">
        <v>18200</v>
      </c>
      <c r="R854" s="58" t="s">
        <v>8</v>
      </c>
      <c r="S854" s="57" t="s">
        <v>8</v>
      </c>
      <c r="T854" s="56" t="s">
        <v>8</v>
      </c>
    </row>
    <row r="855" spans="1:20">
      <c r="A855" s="55">
        <v>129673252193</v>
      </c>
      <c r="B855" s="53" t="s">
        <v>2386</v>
      </c>
      <c r="C855" s="54">
        <v>45947</v>
      </c>
      <c r="D855" s="55">
        <v>51791666333</v>
      </c>
      <c r="E855" s="55">
        <v>2097377038727</v>
      </c>
      <c r="F855" s="56" t="s">
        <v>2387</v>
      </c>
      <c r="G855" s="56" t="s">
        <v>2388</v>
      </c>
      <c r="H855" s="56" t="s">
        <v>8</v>
      </c>
      <c r="I855" s="55" t="s">
        <v>8</v>
      </c>
      <c r="J855" s="57">
        <v>116.4</v>
      </c>
      <c r="K855" s="56" t="s">
        <v>2389</v>
      </c>
      <c r="L855" s="56" t="s">
        <v>2390</v>
      </c>
      <c r="M855" s="55" t="s">
        <v>2391</v>
      </c>
      <c r="N855" s="56" t="s">
        <v>2392</v>
      </c>
      <c r="O855" s="53" t="s">
        <v>8</v>
      </c>
      <c r="P855" s="56" t="s">
        <v>2715</v>
      </c>
      <c r="Q855" s="57">
        <v>12000</v>
      </c>
      <c r="R855" s="58" t="s">
        <v>8</v>
      </c>
      <c r="S855" s="57" t="s">
        <v>8</v>
      </c>
      <c r="T855" s="56" t="s">
        <v>2394</v>
      </c>
    </row>
    <row r="856" spans="1:20">
      <c r="A856" s="55">
        <v>129673278321</v>
      </c>
      <c r="B856" s="53" t="s">
        <v>2386</v>
      </c>
      <c r="C856" s="54">
        <v>45947</v>
      </c>
      <c r="D856" s="55">
        <v>51791670894</v>
      </c>
      <c r="E856" s="55">
        <v>2097449747236</v>
      </c>
      <c r="F856" s="56" t="s">
        <v>2411</v>
      </c>
      <c r="G856" s="56" t="s">
        <v>2388</v>
      </c>
      <c r="H856" s="56" t="s">
        <v>8</v>
      </c>
      <c r="I856" s="55" t="s">
        <v>8</v>
      </c>
      <c r="J856" s="57">
        <v>368.6</v>
      </c>
      <c r="K856" s="56" t="s">
        <v>2389</v>
      </c>
      <c r="L856" s="56" t="s">
        <v>2390</v>
      </c>
      <c r="M856" s="55" t="s">
        <v>2391</v>
      </c>
      <c r="N856" s="56" t="s">
        <v>2392</v>
      </c>
      <c r="O856" s="53" t="s">
        <v>8</v>
      </c>
      <c r="P856" s="56" t="s">
        <v>2412</v>
      </c>
      <c r="Q856" s="57">
        <v>38000</v>
      </c>
      <c r="R856" s="58" t="s">
        <v>8</v>
      </c>
      <c r="S856" s="57" t="s">
        <v>8</v>
      </c>
      <c r="T856" s="56" t="s">
        <v>8</v>
      </c>
    </row>
    <row r="857" spans="1:20">
      <c r="A857" s="55">
        <v>130353705012</v>
      </c>
      <c r="B857" s="53" t="s">
        <v>2386</v>
      </c>
      <c r="C857" s="54">
        <v>45947</v>
      </c>
      <c r="D857" s="55">
        <v>51828406447</v>
      </c>
      <c r="E857" s="55">
        <v>2098055690439</v>
      </c>
      <c r="F857" s="56" t="s">
        <v>2387</v>
      </c>
      <c r="G857" s="56" t="s">
        <v>2388</v>
      </c>
      <c r="H857" s="56" t="s">
        <v>8</v>
      </c>
      <c r="I857" s="55" t="s">
        <v>8</v>
      </c>
      <c r="J857" s="57">
        <v>93.12</v>
      </c>
      <c r="K857" s="56" t="s">
        <v>2389</v>
      </c>
      <c r="L857" s="56" t="s">
        <v>2390</v>
      </c>
      <c r="M857" s="55" t="s">
        <v>2391</v>
      </c>
      <c r="N857" s="56" t="s">
        <v>2392</v>
      </c>
      <c r="O857" s="53" t="s">
        <v>8</v>
      </c>
      <c r="P857" s="56" t="s">
        <v>2716</v>
      </c>
      <c r="Q857" s="57">
        <v>9600</v>
      </c>
      <c r="R857" s="58" t="s">
        <v>8</v>
      </c>
      <c r="S857" s="57" t="s">
        <v>8</v>
      </c>
      <c r="T857" s="56" t="s">
        <v>2394</v>
      </c>
    </row>
    <row r="858" spans="1:20">
      <c r="A858" s="55">
        <v>129778116759</v>
      </c>
      <c r="B858" s="53" t="s">
        <v>2386</v>
      </c>
      <c r="C858" s="54">
        <v>45947</v>
      </c>
      <c r="D858" s="55">
        <v>51829205660</v>
      </c>
      <c r="E858" s="55">
        <v>2098143171102</v>
      </c>
      <c r="F858" s="56" t="s">
        <v>2401</v>
      </c>
      <c r="G858" s="56" t="s">
        <v>2388</v>
      </c>
      <c r="H858" s="56" t="s">
        <v>8</v>
      </c>
      <c r="I858" s="55" t="s">
        <v>8</v>
      </c>
      <c r="J858" s="57">
        <v>660.24</v>
      </c>
      <c r="K858" s="56" t="s">
        <v>2389</v>
      </c>
      <c r="L858" s="56" t="s">
        <v>2402</v>
      </c>
      <c r="M858" s="55" t="s">
        <v>2391</v>
      </c>
      <c r="N858" s="56" t="s">
        <v>2392</v>
      </c>
      <c r="O858" s="53" t="s">
        <v>2055</v>
      </c>
      <c r="P858" s="56" t="s">
        <v>2403</v>
      </c>
      <c r="Q858" s="57">
        <v>16800</v>
      </c>
      <c r="R858" s="58" t="s">
        <v>8</v>
      </c>
      <c r="S858" s="57" t="s">
        <v>8</v>
      </c>
      <c r="T858" s="56" t="s">
        <v>2394</v>
      </c>
    </row>
    <row r="859" spans="1:20">
      <c r="A859" s="55">
        <v>130358126868</v>
      </c>
      <c r="B859" s="53" t="s">
        <v>2386</v>
      </c>
      <c r="C859" s="54">
        <v>45947</v>
      </c>
      <c r="D859" s="55">
        <v>51829995767</v>
      </c>
      <c r="E859" s="55">
        <v>2098156749128</v>
      </c>
      <c r="F859" s="56" t="s">
        <v>2387</v>
      </c>
      <c r="G859" s="56" t="s">
        <v>2388</v>
      </c>
      <c r="H859" s="56" t="s">
        <v>8</v>
      </c>
      <c r="I859" s="55" t="s">
        <v>8</v>
      </c>
      <c r="J859" s="57">
        <v>93.12</v>
      </c>
      <c r="K859" s="56" t="s">
        <v>2389</v>
      </c>
      <c r="L859" s="56" t="s">
        <v>2390</v>
      </c>
      <c r="M859" s="55" t="s">
        <v>2391</v>
      </c>
      <c r="N859" s="56" t="s">
        <v>2392</v>
      </c>
      <c r="O859" s="53" t="s">
        <v>8</v>
      </c>
      <c r="P859" s="56" t="s">
        <v>2717</v>
      </c>
      <c r="Q859" s="57">
        <v>9600</v>
      </c>
      <c r="R859" s="58" t="s">
        <v>8</v>
      </c>
      <c r="S859" s="57" t="s">
        <v>8</v>
      </c>
      <c r="T859" s="56" t="s">
        <v>2394</v>
      </c>
    </row>
    <row r="860" spans="1:20">
      <c r="A860" s="55">
        <v>130361293554</v>
      </c>
      <c r="B860" s="53" t="s">
        <v>2386</v>
      </c>
      <c r="C860" s="54">
        <v>45947</v>
      </c>
      <c r="D860" s="55">
        <v>51831101682</v>
      </c>
      <c r="E860" s="55">
        <v>2098177495862</v>
      </c>
      <c r="F860" s="56" t="s">
        <v>2387</v>
      </c>
      <c r="G860" s="56" t="s">
        <v>2388</v>
      </c>
      <c r="H860" s="56" t="s">
        <v>8</v>
      </c>
      <c r="I860" s="55" t="s">
        <v>8</v>
      </c>
      <c r="J860" s="57">
        <v>365.28</v>
      </c>
      <c r="K860" s="56" t="s">
        <v>2389</v>
      </c>
      <c r="L860" s="56" t="s">
        <v>2390</v>
      </c>
      <c r="M860" s="55" t="s">
        <v>2391</v>
      </c>
      <c r="N860" s="56" t="s">
        <v>2392</v>
      </c>
      <c r="O860" s="53" t="s">
        <v>8</v>
      </c>
      <c r="P860" s="56" t="s">
        <v>2718</v>
      </c>
      <c r="Q860" s="57">
        <v>4800</v>
      </c>
      <c r="R860" s="58" t="s">
        <v>8</v>
      </c>
      <c r="S860" s="57" t="s">
        <v>8</v>
      </c>
      <c r="T860" s="56" t="s">
        <v>2394</v>
      </c>
    </row>
    <row r="861" spans="1:20">
      <c r="A861" s="55">
        <v>129784003071</v>
      </c>
      <c r="B861" s="53" t="s">
        <v>2386</v>
      </c>
      <c r="C861" s="54">
        <v>45947</v>
      </c>
      <c r="D861" s="55">
        <v>51831251780</v>
      </c>
      <c r="E861" s="55">
        <v>2098106373093</v>
      </c>
      <c r="F861" s="56" t="s">
        <v>2387</v>
      </c>
      <c r="G861" s="56" t="s">
        <v>2388</v>
      </c>
      <c r="H861" s="56" t="s">
        <v>8</v>
      </c>
      <c r="I861" s="55" t="s">
        <v>8</v>
      </c>
      <c r="J861" s="57">
        <v>155.19999999999999</v>
      </c>
      <c r="K861" s="56" t="s">
        <v>2389</v>
      </c>
      <c r="L861" s="56" t="s">
        <v>2390</v>
      </c>
      <c r="M861" s="55" t="s">
        <v>2391</v>
      </c>
      <c r="N861" s="56" t="s">
        <v>2392</v>
      </c>
      <c r="O861" s="53" t="s">
        <v>8</v>
      </c>
      <c r="P861" s="56" t="s">
        <v>2473</v>
      </c>
      <c r="Q861" s="57">
        <v>16000</v>
      </c>
      <c r="R861" s="58" t="s">
        <v>8</v>
      </c>
      <c r="S861" s="57" t="s">
        <v>8</v>
      </c>
      <c r="T861" s="56" t="s">
        <v>2394</v>
      </c>
    </row>
    <row r="862" spans="1:20">
      <c r="A862" s="55">
        <v>130361946326</v>
      </c>
      <c r="B862" s="53" t="s">
        <v>2386</v>
      </c>
      <c r="C862" s="54">
        <v>45947</v>
      </c>
      <c r="D862" s="55">
        <v>51831262347</v>
      </c>
      <c r="E862" s="55">
        <v>2098107143127</v>
      </c>
      <c r="F862" s="56" t="s">
        <v>2387</v>
      </c>
      <c r="G862" s="56" t="s">
        <v>2388</v>
      </c>
      <c r="H862" s="56" t="s">
        <v>8</v>
      </c>
      <c r="I862" s="55" t="s">
        <v>8</v>
      </c>
      <c r="J862" s="57">
        <v>46.56</v>
      </c>
      <c r="K862" s="56" t="s">
        <v>2389</v>
      </c>
      <c r="L862" s="56" t="s">
        <v>2390</v>
      </c>
      <c r="M862" s="55" t="s">
        <v>2391</v>
      </c>
      <c r="N862" s="56" t="s">
        <v>2392</v>
      </c>
      <c r="O862" s="53" t="s">
        <v>8</v>
      </c>
      <c r="P862" s="56" t="s">
        <v>2719</v>
      </c>
      <c r="Q862" s="57">
        <v>4800</v>
      </c>
      <c r="R862" s="58" t="s">
        <v>8</v>
      </c>
      <c r="S862" s="57" t="s">
        <v>8</v>
      </c>
      <c r="T862" s="56" t="s">
        <v>2394</v>
      </c>
    </row>
    <row r="863" spans="1:20">
      <c r="A863" s="55">
        <v>129785020933</v>
      </c>
      <c r="B863" s="53" t="s">
        <v>2386</v>
      </c>
      <c r="C863" s="54">
        <v>45947</v>
      </c>
      <c r="D863" s="55">
        <v>51831611612</v>
      </c>
      <c r="E863" s="55">
        <v>2098113459375</v>
      </c>
      <c r="F863" s="56" t="s">
        <v>2387</v>
      </c>
      <c r="G863" s="56" t="s">
        <v>2388</v>
      </c>
      <c r="H863" s="56" t="s">
        <v>8</v>
      </c>
      <c r="I863" s="55" t="s">
        <v>8</v>
      </c>
      <c r="J863" s="57">
        <v>184.3</v>
      </c>
      <c r="K863" s="56" t="s">
        <v>2389</v>
      </c>
      <c r="L863" s="56" t="s">
        <v>2390</v>
      </c>
      <c r="M863" s="55" t="s">
        <v>2391</v>
      </c>
      <c r="N863" s="56" t="s">
        <v>2392</v>
      </c>
      <c r="O863" s="53" t="s">
        <v>8</v>
      </c>
      <c r="P863" s="56" t="s">
        <v>2720</v>
      </c>
      <c r="Q863" s="57">
        <v>19000</v>
      </c>
      <c r="R863" s="58" t="s">
        <v>8</v>
      </c>
      <c r="S863" s="57" t="s">
        <v>8</v>
      </c>
      <c r="T863" s="56" t="s">
        <v>2394</v>
      </c>
    </row>
    <row r="864" spans="1:20">
      <c r="A864" s="55">
        <v>129785087831</v>
      </c>
      <c r="B864" s="53" t="s">
        <v>2386</v>
      </c>
      <c r="C864" s="54">
        <v>45947</v>
      </c>
      <c r="D864" s="55">
        <v>51831687875</v>
      </c>
      <c r="E864" s="55">
        <v>2098187967266</v>
      </c>
      <c r="F864" s="56" t="s">
        <v>2387</v>
      </c>
      <c r="G864" s="56" t="s">
        <v>2388</v>
      </c>
      <c r="H864" s="56" t="s">
        <v>8</v>
      </c>
      <c r="I864" s="55" t="s">
        <v>8</v>
      </c>
      <c r="J864" s="57">
        <v>23.28</v>
      </c>
      <c r="K864" s="56" t="s">
        <v>2389</v>
      </c>
      <c r="L864" s="56" t="s">
        <v>2390</v>
      </c>
      <c r="M864" s="55" t="s">
        <v>2391</v>
      </c>
      <c r="N864" s="56" t="s">
        <v>2392</v>
      </c>
      <c r="O864" s="53" t="s">
        <v>8</v>
      </c>
      <c r="P864" s="56" t="s">
        <v>2473</v>
      </c>
      <c r="Q864" s="57">
        <v>2400</v>
      </c>
      <c r="R864" s="58" t="s">
        <v>8</v>
      </c>
      <c r="S864" s="57" t="s">
        <v>8</v>
      </c>
      <c r="T864" s="56" t="s">
        <v>2394</v>
      </c>
    </row>
    <row r="865" spans="1:20">
      <c r="A865" s="55">
        <v>130364127788</v>
      </c>
      <c r="B865" s="53" t="s">
        <v>2386</v>
      </c>
      <c r="C865" s="54">
        <v>45947</v>
      </c>
      <c r="D865" s="55">
        <v>51832056668</v>
      </c>
      <c r="E865" s="55">
        <v>2098195901930</v>
      </c>
      <c r="F865" s="56" t="s">
        <v>2401</v>
      </c>
      <c r="G865" s="56" t="s">
        <v>2388</v>
      </c>
      <c r="H865" s="56" t="s">
        <v>8</v>
      </c>
      <c r="I865" s="55" t="s">
        <v>8</v>
      </c>
      <c r="J865" s="57">
        <v>467.67</v>
      </c>
      <c r="K865" s="56" t="s">
        <v>2389</v>
      </c>
      <c r="L865" s="56" t="s">
        <v>2402</v>
      </c>
      <c r="M865" s="55" t="s">
        <v>2391</v>
      </c>
      <c r="N865" s="56" t="s">
        <v>2392</v>
      </c>
      <c r="O865" s="53" t="s">
        <v>2055</v>
      </c>
      <c r="P865" s="56" t="s">
        <v>2403</v>
      </c>
      <c r="Q865" s="57">
        <v>11900</v>
      </c>
      <c r="R865" s="58" t="s">
        <v>8</v>
      </c>
      <c r="S865" s="57" t="s">
        <v>8</v>
      </c>
      <c r="T865" s="56" t="s">
        <v>2394</v>
      </c>
    </row>
    <row r="866" spans="1:20">
      <c r="A866" s="55">
        <v>129786974609</v>
      </c>
      <c r="B866" s="53" t="s">
        <v>2386</v>
      </c>
      <c r="C866" s="54">
        <v>45947</v>
      </c>
      <c r="D866" s="55">
        <v>51832228708</v>
      </c>
      <c r="E866" s="55">
        <v>2098125757983</v>
      </c>
      <c r="F866" s="56" t="s">
        <v>2387</v>
      </c>
      <c r="G866" s="56" t="s">
        <v>2388</v>
      </c>
      <c r="H866" s="56" t="s">
        <v>8</v>
      </c>
      <c r="I866" s="55" t="s">
        <v>8</v>
      </c>
      <c r="J866" s="57">
        <v>253.17</v>
      </c>
      <c r="K866" s="56" t="s">
        <v>2389</v>
      </c>
      <c r="L866" s="56" t="s">
        <v>2390</v>
      </c>
      <c r="M866" s="55" t="s">
        <v>2391</v>
      </c>
      <c r="N866" s="56" t="s">
        <v>2392</v>
      </c>
      <c r="O866" s="53" t="s">
        <v>8</v>
      </c>
      <c r="P866" s="56" t="s">
        <v>2721</v>
      </c>
      <c r="Q866" s="57">
        <v>26100</v>
      </c>
      <c r="R866" s="58" t="s">
        <v>8</v>
      </c>
      <c r="S866" s="57" t="s">
        <v>8</v>
      </c>
      <c r="T866" s="56" t="s">
        <v>2394</v>
      </c>
    </row>
    <row r="867" spans="1:20">
      <c r="A867" s="55">
        <v>130366746476</v>
      </c>
      <c r="B867" s="53" t="s">
        <v>2386</v>
      </c>
      <c r="C867" s="54">
        <v>45947</v>
      </c>
      <c r="D867" s="55">
        <v>51832911820</v>
      </c>
      <c r="E867" s="55">
        <v>2098139876103</v>
      </c>
      <c r="F867" s="56" t="s">
        <v>2411</v>
      </c>
      <c r="G867" s="56" t="s">
        <v>2388</v>
      </c>
      <c r="H867" s="56" t="s">
        <v>8</v>
      </c>
      <c r="I867" s="55" t="s">
        <v>8</v>
      </c>
      <c r="J867" s="57">
        <v>46.56</v>
      </c>
      <c r="K867" s="56" t="s">
        <v>2389</v>
      </c>
      <c r="L867" s="56" t="s">
        <v>2390</v>
      </c>
      <c r="M867" s="55" t="s">
        <v>2391</v>
      </c>
      <c r="N867" s="56" t="s">
        <v>2392</v>
      </c>
      <c r="O867" s="53" t="s">
        <v>8</v>
      </c>
      <c r="P867" s="56" t="s">
        <v>2412</v>
      </c>
      <c r="Q867" s="57">
        <v>4800</v>
      </c>
      <c r="R867" s="58" t="s">
        <v>8</v>
      </c>
      <c r="S867" s="57" t="s">
        <v>8</v>
      </c>
      <c r="T867" s="56" t="s">
        <v>8</v>
      </c>
    </row>
    <row r="868" spans="1:20">
      <c r="A868" s="55">
        <v>129790304621</v>
      </c>
      <c r="B868" s="53" t="s">
        <v>2386</v>
      </c>
      <c r="C868" s="54">
        <v>45947</v>
      </c>
      <c r="D868" s="55">
        <v>51833358770</v>
      </c>
      <c r="E868" s="55">
        <v>2098223166316</v>
      </c>
      <c r="F868" s="56" t="s">
        <v>2401</v>
      </c>
      <c r="G868" s="56" t="s">
        <v>2388</v>
      </c>
      <c r="H868" s="56" t="s">
        <v>8</v>
      </c>
      <c r="I868" s="55" t="s">
        <v>8</v>
      </c>
      <c r="J868" s="57">
        <v>435.84</v>
      </c>
      <c r="K868" s="56" t="s">
        <v>2389</v>
      </c>
      <c r="L868" s="56" t="s">
        <v>2402</v>
      </c>
      <c r="M868" s="55" t="s">
        <v>2391</v>
      </c>
      <c r="N868" s="56" t="s">
        <v>2392</v>
      </c>
      <c r="O868" s="53" t="s">
        <v>2055</v>
      </c>
      <c r="P868" s="56" t="s">
        <v>2403</v>
      </c>
      <c r="Q868" s="57">
        <v>9600</v>
      </c>
      <c r="R868" s="58" t="s">
        <v>8</v>
      </c>
      <c r="S868" s="57" t="s">
        <v>8</v>
      </c>
      <c r="T868" s="56" t="s">
        <v>2394</v>
      </c>
    </row>
    <row r="869" spans="1:20">
      <c r="A869" s="55">
        <v>129792971801</v>
      </c>
      <c r="B869" s="53" t="s">
        <v>2386</v>
      </c>
      <c r="C869" s="54">
        <v>45947</v>
      </c>
      <c r="D869" s="55">
        <v>51834315802</v>
      </c>
      <c r="E869" s="55">
        <v>2098169124385</v>
      </c>
      <c r="F869" s="56" t="s">
        <v>2387</v>
      </c>
      <c r="G869" s="56" t="s">
        <v>2388</v>
      </c>
      <c r="H869" s="56" t="s">
        <v>8</v>
      </c>
      <c r="I869" s="55" t="s">
        <v>8</v>
      </c>
      <c r="J869" s="57">
        <v>53.35</v>
      </c>
      <c r="K869" s="56" t="s">
        <v>2389</v>
      </c>
      <c r="L869" s="56" t="s">
        <v>2390</v>
      </c>
      <c r="M869" s="55" t="s">
        <v>2391</v>
      </c>
      <c r="N869" s="56" t="s">
        <v>2392</v>
      </c>
      <c r="O869" s="53" t="s">
        <v>8</v>
      </c>
      <c r="P869" s="56" t="s">
        <v>2722</v>
      </c>
      <c r="Q869" s="57">
        <v>5500</v>
      </c>
      <c r="R869" s="58" t="s">
        <v>8</v>
      </c>
      <c r="S869" s="57" t="s">
        <v>8</v>
      </c>
      <c r="T869" s="56" t="s">
        <v>2394</v>
      </c>
    </row>
    <row r="870" spans="1:20">
      <c r="A870" s="55">
        <v>129794619261</v>
      </c>
      <c r="B870" s="53" t="s">
        <v>2386</v>
      </c>
      <c r="C870" s="54">
        <v>45947</v>
      </c>
      <c r="D870" s="55">
        <v>51834920751</v>
      </c>
      <c r="E870" s="55">
        <v>2098180691433</v>
      </c>
      <c r="F870" s="56" t="s">
        <v>2401</v>
      </c>
      <c r="G870" s="56" t="s">
        <v>2388</v>
      </c>
      <c r="H870" s="56" t="s">
        <v>8</v>
      </c>
      <c r="I870" s="55" t="s">
        <v>8</v>
      </c>
      <c r="J870" s="57">
        <v>2298.2199999999998</v>
      </c>
      <c r="K870" s="56" t="s">
        <v>2389</v>
      </c>
      <c r="L870" s="56" t="s">
        <v>2402</v>
      </c>
      <c r="M870" s="55" t="s">
        <v>2391</v>
      </c>
      <c r="N870" s="56" t="s">
        <v>2392</v>
      </c>
      <c r="O870" s="53" t="s">
        <v>2055</v>
      </c>
      <c r="P870" s="56" t="s">
        <v>2403</v>
      </c>
      <c r="Q870" s="57">
        <v>30200</v>
      </c>
      <c r="R870" s="58" t="s">
        <v>8</v>
      </c>
      <c r="S870" s="57" t="s">
        <v>8</v>
      </c>
      <c r="T870" s="56" t="s">
        <v>2394</v>
      </c>
    </row>
    <row r="871" spans="1:20">
      <c r="A871" s="55">
        <v>129796256297</v>
      </c>
      <c r="B871" s="53" t="s">
        <v>2386</v>
      </c>
      <c r="C871" s="54">
        <v>45947</v>
      </c>
      <c r="D871" s="55">
        <v>51835555231</v>
      </c>
      <c r="E871" s="55">
        <v>2098191523103</v>
      </c>
      <c r="F871" s="56" t="s">
        <v>2387</v>
      </c>
      <c r="G871" s="56" t="s">
        <v>2388</v>
      </c>
      <c r="H871" s="56" t="s">
        <v>8</v>
      </c>
      <c r="I871" s="55" t="s">
        <v>8</v>
      </c>
      <c r="J871" s="57">
        <v>95.06</v>
      </c>
      <c r="K871" s="56" t="s">
        <v>2389</v>
      </c>
      <c r="L871" s="56" t="s">
        <v>2390</v>
      </c>
      <c r="M871" s="55" t="s">
        <v>2391</v>
      </c>
      <c r="N871" s="56" t="s">
        <v>2392</v>
      </c>
      <c r="O871" s="53" t="s">
        <v>8</v>
      </c>
      <c r="P871" s="56" t="s">
        <v>2723</v>
      </c>
      <c r="Q871" s="57">
        <v>9800</v>
      </c>
      <c r="R871" s="58" t="s">
        <v>8</v>
      </c>
      <c r="S871" s="57" t="s">
        <v>8</v>
      </c>
      <c r="T871" s="56" t="s">
        <v>2394</v>
      </c>
    </row>
    <row r="872" spans="1:20">
      <c r="A872" s="55">
        <v>129796310089</v>
      </c>
      <c r="B872" s="53" t="s">
        <v>2386</v>
      </c>
      <c r="C872" s="54">
        <v>45947</v>
      </c>
      <c r="D872" s="55">
        <v>51835636137</v>
      </c>
      <c r="E872" s="55">
        <v>2098266403510</v>
      </c>
      <c r="F872" s="56" t="s">
        <v>2401</v>
      </c>
      <c r="G872" s="56" t="s">
        <v>2388</v>
      </c>
      <c r="H872" s="56" t="s">
        <v>8</v>
      </c>
      <c r="I872" s="55" t="s">
        <v>8</v>
      </c>
      <c r="J872" s="57">
        <v>1770.6</v>
      </c>
      <c r="K872" s="56" t="s">
        <v>2389</v>
      </c>
      <c r="L872" s="56" t="s">
        <v>2402</v>
      </c>
      <c r="M872" s="55" t="s">
        <v>2391</v>
      </c>
      <c r="N872" s="56" t="s">
        <v>2392</v>
      </c>
      <c r="O872" s="53" t="s">
        <v>2055</v>
      </c>
      <c r="P872" s="56" t="s">
        <v>2403</v>
      </c>
      <c r="Q872" s="57">
        <v>39000</v>
      </c>
      <c r="R872" s="58" t="s">
        <v>8</v>
      </c>
      <c r="S872" s="57" t="s">
        <v>8</v>
      </c>
      <c r="T872" s="56" t="s">
        <v>2394</v>
      </c>
    </row>
    <row r="873" spans="1:20">
      <c r="A873" s="55">
        <v>129796727397</v>
      </c>
      <c r="B873" s="53" t="s">
        <v>2386</v>
      </c>
      <c r="C873" s="54">
        <v>45947</v>
      </c>
      <c r="D873" s="55">
        <v>51835749788</v>
      </c>
      <c r="E873" s="55">
        <v>2098269361676</v>
      </c>
      <c r="F873" s="56" t="s">
        <v>2387</v>
      </c>
      <c r="G873" s="56" t="s">
        <v>2388</v>
      </c>
      <c r="H873" s="56" t="s">
        <v>8</v>
      </c>
      <c r="I873" s="55" t="s">
        <v>8</v>
      </c>
      <c r="J873" s="57">
        <v>5037.82</v>
      </c>
      <c r="K873" s="56" t="s">
        <v>2389</v>
      </c>
      <c r="L873" s="56" t="s">
        <v>2390</v>
      </c>
      <c r="M873" s="55" t="s">
        <v>2391</v>
      </c>
      <c r="N873" s="56" t="s">
        <v>2392</v>
      </c>
      <c r="O873" s="53" t="s">
        <v>8</v>
      </c>
      <c r="P873" s="56" t="s">
        <v>2724</v>
      </c>
      <c r="Q873" s="57">
        <v>66200</v>
      </c>
      <c r="R873" s="58" t="s">
        <v>8</v>
      </c>
      <c r="S873" s="57" t="s">
        <v>8</v>
      </c>
      <c r="T873" s="56" t="s">
        <v>2394</v>
      </c>
    </row>
    <row r="874" spans="1:20">
      <c r="A874" s="55">
        <v>130375704532</v>
      </c>
      <c r="B874" s="53" t="s">
        <v>2386</v>
      </c>
      <c r="C874" s="54">
        <v>45947</v>
      </c>
      <c r="D874" s="55">
        <v>51836161442</v>
      </c>
      <c r="E874" s="55">
        <v>2098277430162</v>
      </c>
      <c r="F874" s="56" t="s">
        <v>2387</v>
      </c>
      <c r="G874" s="56" t="s">
        <v>2388</v>
      </c>
      <c r="H874" s="56" t="s">
        <v>8</v>
      </c>
      <c r="I874" s="55" t="s">
        <v>8</v>
      </c>
      <c r="J874" s="57">
        <v>831.29</v>
      </c>
      <c r="K874" s="56" t="s">
        <v>2389</v>
      </c>
      <c r="L874" s="56" t="s">
        <v>2390</v>
      </c>
      <c r="M874" s="55" t="s">
        <v>2391</v>
      </c>
      <c r="N874" s="56" t="s">
        <v>2392</v>
      </c>
      <c r="O874" s="53" t="s">
        <v>8</v>
      </c>
      <c r="P874" s="56" t="s">
        <v>2725</v>
      </c>
      <c r="Q874" s="57">
        <v>85700</v>
      </c>
      <c r="R874" s="58" t="s">
        <v>8</v>
      </c>
      <c r="S874" s="57" t="s">
        <v>8</v>
      </c>
      <c r="T874" s="56" t="s">
        <v>2394</v>
      </c>
    </row>
    <row r="875" spans="1:20">
      <c r="A875" s="55">
        <v>129798660403</v>
      </c>
      <c r="B875" s="53" t="s">
        <v>2386</v>
      </c>
      <c r="C875" s="54">
        <v>45947</v>
      </c>
      <c r="D875" s="55">
        <v>51836419604</v>
      </c>
      <c r="E875" s="55">
        <v>2098209366685</v>
      </c>
      <c r="F875" s="56" t="s">
        <v>2401</v>
      </c>
      <c r="G875" s="56" t="s">
        <v>2388</v>
      </c>
      <c r="H875" s="56" t="s">
        <v>8</v>
      </c>
      <c r="I875" s="55" t="s">
        <v>8</v>
      </c>
      <c r="J875" s="57">
        <v>1568.07</v>
      </c>
      <c r="K875" s="56" t="s">
        <v>2389</v>
      </c>
      <c r="L875" s="56" t="s">
        <v>2402</v>
      </c>
      <c r="M875" s="55" t="s">
        <v>2391</v>
      </c>
      <c r="N875" s="56" t="s">
        <v>2392</v>
      </c>
      <c r="O875" s="53" t="s">
        <v>2055</v>
      </c>
      <c r="P875" s="56" t="s">
        <v>2403</v>
      </c>
      <c r="Q875" s="57">
        <v>39900</v>
      </c>
      <c r="R875" s="58" t="s">
        <v>8</v>
      </c>
      <c r="S875" s="57" t="s">
        <v>8</v>
      </c>
      <c r="T875" s="56" t="s">
        <v>2394</v>
      </c>
    </row>
    <row r="876" spans="1:20">
      <c r="A876" s="55">
        <v>130377596540</v>
      </c>
      <c r="B876" s="53" t="s">
        <v>2386</v>
      </c>
      <c r="C876" s="54">
        <v>45947</v>
      </c>
      <c r="D876" s="55">
        <v>51836846504</v>
      </c>
      <c r="E876" s="55">
        <v>2098291973240</v>
      </c>
      <c r="F876" s="56" t="s">
        <v>2475</v>
      </c>
      <c r="G876" s="56" t="s">
        <v>2388</v>
      </c>
      <c r="H876" s="56" t="s">
        <v>8</v>
      </c>
      <c r="I876" s="55" t="s">
        <v>8</v>
      </c>
      <c r="J876" s="57">
        <v>74.98</v>
      </c>
      <c r="K876" s="56" t="s">
        <v>2389</v>
      </c>
      <c r="L876" s="56" t="s">
        <v>2390</v>
      </c>
      <c r="M876" s="55" t="s">
        <v>2391</v>
      </c>
      <c r="N876" s="56" t="s">
        <v>2392</v>
      </c>
      <c r="O876" s="53" t="s">
        <v>8</v>
      </c>
      <c r="P876" s="56" t="s">
        <v>2536</v>
      </c>
      <c r="Q876" s="57">
        <v>4600</v>
      </c>
      <c r="R876" s="58" t="s">
        <v>8</v>
      </c>
      <c r="S876" s="57" t="s">
        <v>8</v>
      </c>
      <c r="T876" s="56" t="s">
        <v>2394</v>
      </c>
    </row>
    <row r="877" spans="1:20">
      <c r="A877" s="55">
        <v>130377732924</v>
      </c>
      <c r="B877" s="53" t="s">
        <v>2386</v>
      </c>
      <c r="C877" s="54">
        <v>45947</v>
      </c>
      <c r="D877" s="55">
        <v>51836896219</v>
      </c>
      <c r="E877" s="55">
        <v>2098293392590</v>
      </c>
      <c r="F877" s="56" t="s">
        <v>2401</v>
      </c>
      <c r="G877" s="56" t="s">
        <v>2388</v>
      </c>
      <c r="H877" s="56" t="s">
        <v>8</v>
      </c>
      <c r="I877" s="55" t="s">
        <v>8</v>
      </c>
      <c r="J877" s="57">
        <v>2503.41</v>
      </c>
      <c r="K877" s="56" t="s">
        <v>2389</v>
      </c>
      <c r="L877" s="56" t="s">
        <v>2402</v>
      </c>
      <c r="M877" s="55" t="s">
        <v>2391</v>
      </c>
      <c r="N877" s="56" t="s">
        <v>2392</v>
      </c>
      <c r="O877" s="53" t="s">
        <v>2055</v>
      </c>
      <c r="P877" s="56" t="s">
        <v>2403</v>
      </c>
      <c r="Q877" s="57">
        <v>63700</v>
      </c>
      <c r="R877" s="58" t="s">
        <v>8</v>
      </c>
      <c r="S877" s="57" t="s">
        <v>8</v>
      </c>
      <c r="T877" s="56" t="s">
        <v>2394</v>
      </c>
    </row>
    <row r="878" spans="1:20">
      <c r="A878" s="55">
        <v>130380979778</v>
      </c>
      <c r="B878" s="53" t="s">
        <v>2386</v>
      </c>
      <c r="C878" s="54">
        <v>45947</v>
      </c>
      <c r="D878" s="55">
        <v>51838120973</v>
      </c>
      <c r="E878" s="55">
        <v>2098244747089</v>
      </c>
      <c r="F878" s="56" t="s">
        <v>2401</v>
      </c>
      <c r="G878" s="56" t="s">
        <v>2388</v>
      </c>
      <c r="H878" s="56" t="s">
        <v>8</v>
      </c>
      <c r="I878" s="55" t="s">
        <v>8</v>
      </c>
      <c r="J878" s="57">
        <v>1650.6</v>
      </c>
      <c r="K878" s="56" t="s">
        <v>2389</v>
      </c>
      <c r="L878" s="56" t="s">
        <v>2402</v>
      </c>
      <c r="M878" s="55" t="s">
        <v>2391</v>
      </c>
      <c r="N878" s="56" t="s">
        <v>2392</v>
      </c>
      <c r="O878" s="53" t="s">
        <v>2055</v>
      </c>
      <c r="P878" s="56" t="s">
        <v>2403</v>
      </c>
      <c r="Q878" s="57">
        <v>42000</v>
      </c>
      <c r="R878" s="58" t="s">
        <v>8</v>
      </c>
      <c r="S878" s="57" t="s">
        <v>8</v>
      </c>
      <c r="T878" s="56" t="s">
        <v>2394</v>
      </c>
    </row>
    <row r="879" spans="1:20">
      <c r="A879" s="55">
        <v>129803748097</v>
      </c>
      <c r="B879" s="53" t="s">
        <v>2386</v>
      </c>
      <c r="C879" s="54">
        <v>45947</v>
      </c>
      <c r="D879" s="55">
        <v>51838320192</v>
      </c>
      <c r="E879" s="55">
        <v>2098248530315</v>
      </c>
      <c r="F879" s="56" t="s">
        <v>2475</v>
      </c>
      <c r="G879" s="56" t="s">
        <v>2388</v>
      </c>
      <c r="H879" s="56" t="s">
        <v>8</v>
      </c>
      <c r="I879" s="55" t="s">
        <v>8</v>
      </c>
      <c r="J879" s="57">
        <v>3759.34</v>
      </c>
      <c r="K879" s="56" t="s">
        <v>2389</v>
      </c>
      <c r="L879" s="56" t="s">
        <v>2390</v>
      </c>
      <c r="M879" s="55" t="s">
        <v>2391</v>
      </c>
      <c r="N879" s="56" t="s">
        <v>2392</v>
      </c>
      <c r="O879" s="53" t="s">
        <v>8</v>
      </c>
      <c r="P879" s="56" t="s">
        <v>2634</v>
      </c>
      <c r="Q879" s="57">
        <v>49400</v>
      </c>
      <c r="R879" s="58" t="s">
        <v>8</v>
      </c>
      <c r="S879" s="57" t="s">
        <v>8</v>
      </c>
      <c r="T879" s="56" t="s">
        <v>2394</v>
      </c>
    </row>
    <row r="880" spans="1:20">
      <c r="A880" s="55">
        <v>130381748326</v>
      </c>
      <c r="B880" s="53" t="s">
        <v>2386</v>
      </c>
      <c r="C880" s="54">
        <v>45947</v>
      </c>
      <c r="D880" s="55">
        <v>51838340515</v>
      </c>
      <c r="E880" s="55">
        <v>2098249151501</v>
      </c>
      <c r="F880" s="56" t="s">
        <v>2387</v>
      </c>
      <c r="G880" s="56" t="s">
        <v>2388</v>
      </c>
      <c r="H880" s="56" t="s">
        <v>8</v>
      </c>
      <c r="I880" s="55" t="s">
        <v>8</v>
      </c>
      <c r="J880" s="57">
        <v>399.64</v>
      </c>
      <c r="K880" s="56" t="s">
        <v>2389</v>
      </c>
      <c r="L880" s="56" t="s">
        <v>2390</v>
      </c>
      <c r="M880" s="55" t="s">
        <v>2391</v>
      </c>
      <c r="N880" s="56" t="s">
        <v>2392</v>
      </c>
      <c r="O880" s="53" t="s">
        <v>8</v>
      </c>
      <c r="P880" s="56" t="s">
        <v>2726</v>
      </c>
      <c r="Q880" s="57">
        <v>41200</v>
      </c>
      <c r="R880" s="58" t="s">
        <v>8</v>
      </c>
      <c r="S880" s="57" t="s">
        <v>8</v>
      </c>
      <c r="T880" s="56" t="s">
        <v>2394</v>
      </c>
    </row>
    <row r="881" spans="1:20">
      <c r="A881" s="55">
        <v>129804183645</v>
      </c>
      <c r="B881" s="53" t="s">
        <v>2386</v>
      </c>
      <c r="C881" s="54">
        <v>45947</v>
      </c>
      <c r="D881" s="55">
        <v>51838481328</v>
      </c>
      <c r="E881" s="55">
        <v>2098325520424</v>
      </c>
      <c r="F881" s="56" t="s">
        <v>2401</v>
      </c>
      <c r="G881" s="56" t="s">
        <v>2388</v>
      </c>
      <c r="H881" s="56" t="s">
        <v>8</v>
      </c>
      <c r="I881" s="55" t="s">
        <v>8</v>
      </c>
      <c r="J881" s="57">
        <v>2366.71</v>
      </c>
      <c r="K881" s="56" t="s">
        <v>2389</v>
      </c>
      <c r="L881" s="56" t="s">
        <v>2402</v>
      </c>
      <c r="M881" s="55" t="s">
        <v>2391</v>
      </c>
      <c r="N881" s="56" t="s">
        <v>2392</v>
      </c>
      <c r="O881" s="53" t="s">
        <v>2055</v>
      </c>
      <c r="P881" s="56" t="s">
        <v>2403</v>
      </c>
      <c r="Q881" s="57">
        <v>31100</v>
      </c>
      <c r="R881" s="58" t="s">
        <v>8</v>
      </c>
      <c r="S881" s="57" t="s">
        <v>8</v>
      </c>
      <c r="T881" s="56" t="s">
        <v>2394</v>
      </c>
    </row>
    <row r="882" spans="1:20">
      <c r="A882" s="55">
        <v>130383628858</v>
      </c>
      <c r="B882" s="53" t="s">
        <v>2386</v>
      </c>
      <c r="C882" s="54">
        <v>45948</v>
      </c>
      <c r="D882" s="55">
        <v>51839137421</v>
      </c>
      <c r="E882" s="55">
        <v>2098262283887</v>
      </c>
      <c r="F882" s="56" t="s">
        <v>2411</v>
      </c>
      <c r="G882" s="56" t="s">
        <v>2388</v>
      </c>
      <c r="H882" s="56" t="s">
        <v>8</v>
      </c>
      <c r="I882" s="55" t="s">
        <v>8</v>
      </c>
      <c r="J882" s="57">
        <v>448.14</v>
      </c>
      <c r="K882" s="56" t="s">
        <v>2389</v>
      </c>
      <c r="L882" s="56" t="s">
        <v>2390</v>
      </c>
      <c r="M882" s="55" t="s">
        <v>2391</v>
      </c>
      <c r="N882" s="56" t="s">
        <v>2392</v>
      </c>
      <c r="O882" s="53" t="s">
        <v>8</v>
      </c>
      <c r="P882" s="56" t="s">
        <v>2412</v>
      </c>
      <c r="Q882" s="57">
        <v>46200</v>
      </c>
      <c r="R882" s="58" t="s">
        <v>8</v>
      </c>
      <c r="S882" s="57" t="s">
        <v>8</v>
      </c>
      <c r="T882" s="56" t="s">
        <v>8</v>
      </c>
    </row>
    <row r="883" spans="1:20">
      <c r="A883" s="55">
        <v>130384067958</v>
      </c>
      <c r="B883" s="53" t="s">
        <v>2386</v>
      </c>
      <c r="C883" s="54">
        <v>45948</v>
      </c>
      <c r="D883" s="55">
        <v>51839339087</v>
      </c>
      <c r="E883" s="55">
        <v>2098265550049</v>
      </c>
      <c r="F883" s="56" t="s">
        <v>2475</v>
      </c>
      <c r="G883" s="56" t="s">
        <v>2388</v>
      </c>
      <c r="H883" s="56" t="s">
        <v>8</v>
      </c>
      <c r="I883" s="55" t="s">
        <v>8</v>
      </c>
      <c r="J883" s="57">
        <v>1718.02</v>
      </c>
      <c r="K883" s="56" t="s">
        <v>2389</v>
      </c>
      <c r="L883" s="56" t="s">
        <v>2390</v>
      </c>
      <c r="M883" s="55" t="s">
        <v>2391</v>
      </c>
      <c r="N883" s="56" t="s">
        <v>2392</v>
      </c>
      <c r="O883" s="53" t="s">
        <v>8</v>
      </c>
      <c r="P883" s="56" t="s">
        <v>2536</v>
      </c>
      <c r="Q883" s="57">
        <v>105400</v>
      </c>
      <c r="R883" s="58" t="s">
        <v>8</v>
      </c>
      <c r="S883" s="57" t="s">
        <v>8</v>
      </c>
      <c r="T883" s="56" t="s">
        <v>2394</v>
      </c>
    </row>
    <row r="884" spans="1:20">
      <c r="A884" s="55">
        <v>130385114790</v>
      </c>
      <c r="B884" s="53" t="s">
        <v>2386</v>
      </c>
      <c r="C884" s="54">
        <v>45948</v>
      </c>
      <c r="D884" s="55">
        <v>51839742176</v>
      </c>
      <c r="E884" s="55">
        <v>2098272630013</v>
      </c>
      <c r="F884" s="56" t="s">
        <v>2387</v>
      </c>
      <c r="G884" s="56" t="s">
        <v>2388</v>
      </c>
      <c r="H884" s="56" t="s">
        <v>8</v>
      </c>
      <c r="I884" s="55" t="s">
        <v>8</v>
      </c>
      <c r="J884" s="57">
        <v>140.65</v>
      </c>
      <c r="K884" s="56" t="s">
        <v>2389</v>
      </c>
      <c r="L884" s="56" t="s">
        <v>2390</v>
      </c>
      <c r="M884" s="55" t="s">
        <v>2391</v>
      </c>
      <c r="N884" s="56" t="s">
        <v>2392</v>
      </c>
      <c r="O884" s="53" t="s">
        <v>8</v>
      </c>
      <c r="P884" s="56" t="s">
        <v>2565</v>
      </c>
      <c r="Q884" s="57">
        <v>14500</v>
      </c>
      <c r="R884" s="58" t="s">
        <v>8</v>
      </c>
      <c r="S884" s="57" t="s">
        <v>8</v>
      </c>
      <c r="T884" s="56" t="s">
        <v>2394</v>
      </c>
    </row>
    <row r="885" spans="1:20">
      <c r="A885" s="55">
        <v>129807437845</v>
      </c>
      <c r="B885" s="53" t="s">
        <v>2386</v>
      </c>
      <c r="C885" s="54">
        <v>45948</v>
      </c>
      <c r="D885" s="55">
        <v>51839845100</v>
      </c>
      <c r="E885" s="55">
        <v>2098347444206</v>
      </c>
      <c r="F885" s="56" t="s">
        <v>2387</v>
      </c>
      <c r="G885" s="56" t="s">
        <v>2388</v>
      </c>
      <c r="H885" s="56" t="s">
        <v>8</v>
      </c>
      <c r="I885" s="55" t="s">
        <v>8</v>
      </c>
      <c r="J885" s="57">
        <v>381.21</v>
      </c>
      <c r="K885" s="56" t="s">
        <v>2389</v>
      </c>
      <c r="L885" s="56" t="s">
        <v>2390</v>
      </c>
      <c r="M885" s="55" t="s">
        <v>2391</v>
      </c>
      <c r="N885" s="56" t="s">
        <v>2392</v>
      </c>
      <c r="O885" s="53" t="s">
        <v>8</v>
      </c>
      <c r="P885" s="56" t="s">
        <v>2727</v>
      </c>
      <c r="Q885" s="57">
        <v>39300</v>
      </c>
      <c r="R885" s="58" t="s">
        <v>8</v>
      </c>
      <c r="S885" s="57" t="s">
        <v>8</v>
      </c>
      <c r="T885" s="56" t="s">
        <v>2394</v>
      </c>
    </row>
    <row r="886" spans="1:20">
      <c r="A886" s="55">
        <v>130386044450</v>
      </c>
      <c r="B886" s="53" t="s">
        <v>2386</v>
      </c>
      <c r="C886" s="54">
        <v>45948</v>
      </c>
      <c r="D886" s="55">
        <v>51840174852</v>
      </c>
      <c r="E886" s="55">
        <v>2098278831571</v>
      </c>
      <c r="F886" s="56" t="s">
        <v>2401</v>
      </c>
      <c r="G886" s="56" t="s">
        <v>2388</v>
      </c>
      <c r="H886" s="56" t="s">
        <v>8</v>
      </c>
      <c r="I886" s="55" t="s">
        <v>8</v>
      </c>
      <c r="J886" s="57">
        <v>573.78</v>
      </c>
      <c r="K886" s="56" t="s">
        <v>2389</v>
      </c>
      <c r="L886" s="56" t="s">
        <v>2402</v>
      </c>
      <c r="M886" s="55" t="s">
        <v>2391</v>
      </c>
      <c r="N886" s="56" t="s">
        <v>2392</v>
      </c>
      <c r="O886" s="53" t="s">
        <v>2055</v>
      </c>
      <c r="P886" s="56" t="s">
        <v>2403</v>
      </c>
      <c r="Q886" s="57">
        <v>14600</v>
      </c>
      <c r="R886" s="58" t="s">
        <v>8</v>
      </c>
      <c r="S886" s="57" t="s">
        <v>8</v>
      </c>
      <c r="T886" s="56" t="s">
        <v>2394</v>
      </c>
    </row>
    <row r="887" spans="1:20">
      <c r="A887" s="55">
        <v>130386204302</v>
      </c>
      <c r="B887" s="53" t="s">
        <v>2386</v>
      </c>
      <c r="C887" s="54">
        <v>45948</v>
      </c>
      <c r="D887" s="55">
        <v>51840238973</v>
      </c>
      <c r="E887" s="55">
        <v>2098353695294</v>
      </c>
      <c r="F887" s="56" t="s">
        <v>2387</v>
      </c>
      <c r="G887" s="56" t="s">
        <v>2388</v>
      </c>
      <c r="H887" s="56" t="s">
        <v>8</v>
      </c>
      <c r="I887" s="55" t="s">
        <v>8</v>
      </c>
      <c r="J887" s="57">
        <v>275.48</v>
      </c>
      <c r="K887" s="56" t="s">
        <v>2389</v>
      </c>
      <c r="L887" s="56" t="s">
        <v>2390</v>
      </c>
      <c r="M887" s="55" t="s">
        <v>2391</v>
      </c>
      <c r="N887" s="56" t="s">
        <v>2392</v>
      </c>
      <c r="O887" s="53" t="s">
        <v>8</v>
      </c>
      <c r="P887" s="56" t="s">
        <v>2728</v>
      </c>
      <c r="Q887" s="57">
        <v>28400</v>
      </c>
      <c r="R887" s="58" t="s">
        <v>8</v>
      </c>
      <c r="S887" s="57" t="s">
        <v>8</v>
      </c>
      <c r="T887" s="56" t="s">
        <v>2394</v>
      </c>
    </row>
    <row r="888" spans="1:20">
      <c r="A888" s="55">
        <v>130386612836</v>
      </c>
      <c r="B888" s="53" t="s">
        <v>2386</v>
      </c>
      <c r="C888" s="54">
        <v>45948</v>
      </c>
      <c r="D888" s="55">
        <v>51840428355</v>
      </c>
      <c r="E888" s="55">
        <v>2098283183291</v>
      </c>
      <c r="F888" s="56" t="s">
        <v>2387</v>
      </c>
      <c r="G888" s="56" t="s">
        <v>2388</v>
      </c>
      <c r="H888" s="56" t="s">
        <v>8</v>
      </c>
      <c r="I888" s="55" t="s">
        <v>8</v>
      </c>
      <c r="J888" s="57">
        <v>323.01</v>
      </c>
      <c r="K888" s="56" t="s">
        <v>2389</v>
      </c>
      <c r="L888" s="56" t="s">
        <v>2390</v>
      </c>
      <c r="M888" s="55" t="s">
        <v>2391</v>
      </c>
      <c r="N888" s="56" t="s">
        <v>2392</v>
      </c>
      <c r="O888" s="53" t="s">
        <v>8</v>
      </c>
      <c r="P888" s="56" t="s">
        <v>2729</v>
      </c>
      <c r="Q888" s="57">
        <v>33300</v>
      </c>
      <c r="R888" s="58" t="s">
        <v>8</v>
      </c>
      <c r="S888" s="57" t="s">
        <v>8</v>
      </c>
      <c r="T888" s="56" t="s">
        <v>2394</v>
      </c>
    </row>
    <row r="889" spans="1:20">
      <c r="A889" s="55">
        <v>129808985283</v>
      </c>
      <c r="B889" s="53" t="s">
        <v>2386</v>
      </c>
      <c r="C889" s="54">
        <v>45948</v>
      </c>
      <c r="D889" s="55">
        <v>51840535222</v>
      </c>
      <c r="E889" s="55">
        <v>2098357789984</v>
      </c>
      <c r="F889" s="56" t="s">
        <v>2411</v>
      </c>
      <c r="G889" s="56" t="s">
        <v>2388</v>
      </c>
      <c r="H889" s="56" t="s">
        <v>8</v>
      </c>
      <c r="I889" s="55" t="s">
        <v>8</v>
      </c>
      <c r="J889" s="57">
        <v>102.82</v>
      </c>
      <c r="K889" s="56" t="s">
        <v>2389</v>
      </c>
      <c r="L889" s="56" t="s">
        <v>2390</v>
      </c>
      <c r="M889" s="55" t="s">
        <v>2391</v>
      </c>
      <c r="N889" s="56" t="s">
        <v>2392</v>
      </c>
      <c r="O889" s="53" t="s">
        <v>8</v>
      </c>
      <c r="P889" s="56" t="s">
        <v>2412</v>
      </c>
      <c r="Q889" s="57">
        <v>10600</v>
      </c>
      <c r="R889" s="58" t="s">
        <v>8</v>
      </c>
      <c r="S889" s="57" t="s">
        <v>8</v>
      </c>
      <c r="T889" s="56" t="s">
        <v>8</v>
      </c>
    </row>
    <row r="890" spans="1:20">
      <c r="A890" s="55">
        <v>129809631405</v>
      </c>
      <c r="B890" s="53" t="s">
        <v>2386</v>
      </c>
      <c r="C890" s="54">
        <v>45948</v>
      </c>
      <c r="D890" s="55">
        <v>51840850446</v>
      </c>
      <c r="E890" s="55">
        <v>2098288571293</v>
      </c>
      <c r="F890" s="56" t="s">
        <v>2387</v>
      </c>
      <c r="G890" s="56" t="s">
        <v>2388</v>
      </c>
      <c r="H890" s="56" t="s">
        <v>8</v>
      </c>
      <c r="I890" s="55" t="s">
        <v>8</v>
      </c>
      <c r="J890" s="57">
        <v>146.47</v>
      </c>
      <c r="K890" s="56" t="s">
        <v>2389</v>
      </c>
      <c r="L890" s="56" t="s">
        <v>2390</v>
      </c>
      <c r="M890" s="55" t="s">
        <v>2391</v>
      </c>
      <c r="N890" s="56" t="s">
        <v>2392</v>
      </c>
      <c r="O890" s="53" t="s">
        <v>8</v>
      </c>
      <c r="P890" s="56" t="s">
        <v>2730</v>
      </c>
      <c r="Q890" s="57">
        <v>15100</v>
      </c>
      <c r="R890" s="58" t="s">
        <v>8</v>
      </c>
      <c r="S890" s="57" t="s">
        <v>8</v>
      </c>
      <c r="T890" s="56" t="s">
        <v>2394</v>
      </c>
    </row>
    <row r="891" spans="1:20">
      <c r="A891" s="55">
        <v>130388020290</v>
      </c>
      <c r="B891" s="53" t="s">
        <v>2386</v>
      </c>
      <c r="C891" s="54">
        <v>45948</v>
      </c>
      <c r="D891" s="55">
        <v>51841156136</v>
      </c>
      <c r="E891" s="55">
        <v>2098365943302</v>
      </c>
      <c r="F891" s="56" t="s">
        <v>2401</v>
      </c>
      <c r="G891" s="56" t="s">
        <v>2388</v>
      </c>
      <c r="H891" s="56" t="s">
        <v>8</v>
      </c>
      <c r="I891" s="55" t="s">
        <v>8</v>
      </c>
      <c r="J891" s="57">
        <v>1856.86</v>
      </c>
      <c r="K891" s="56" t="s">
        <v>2389</v>
      </c>
      <c r="L891" s="56" t="s">
        <v>2402</v>
      </c>
      <c r="M891" s="55" t="s">
        <v>2391</v>
      </c>
      <c r="N891" s="56" t="s">
        <v>2392</v>
      </c>
      <c r="O891" s="53" t="s">
        <v>2055</v>
      </c>
      <c r="P891" s="56" t="s">
        <v>2403</v>
      </c>
      <c r="Q891" s="57">
        <v>40900</v>
      </c>
      <c r="R891" s="58" t="s">
        <v>8</v>
      </c>
      <c r="S891" s="57" t="s">
        <v>8</v>
      </c>
      <c r="T891" s="56" t="s">
        <v>2394</v>
      </c>
    </row>
    <row r="892" spans="1:20">
      <c r="A892" s="55">
        <v>130388212390</v>
      </c>
      <c r="B892" s="53" t="s">
        <v>2386</v>
      </c>
      <c r="C892" s="54">
        <v>45948</v>
      </c>
      <c r="D892" s="55">
        <v>51841243925</v>
      </c>
      <c r="E892" s="55">
        <v>2098293638561</v>
      </c>
      <c r="F892" s="56" t="s">
        <v>2387</v>
      </c>
      <c r="G892" s="56" t="s">
        <v>2388</v>
      </c>
      <c r="H892" s="56" t="s">
        <v>8</v>
      </c>
      <c r="I892" s="55" t="s">
        <v>8</v>
      </c>
      <c r="J892" s="57">
        <v>220.19</v>
      </c>
      <c r="K892" s="56" t="s">
        <v>2389</v>
      </c>
      <c r="L892" s="56" t="s">
        <v>2390</v>
      </c>
      <c r="M892" s="55" t="s">
        <v>2391</v>
      </c>
      <c r="N892" s="56" t="s">
        <v>2392</v>
      </c>
      <c r="O892" s="53" t="s">
        <v>8</v>
      </c>
      <c r="P892" s="56" t="s">
        <v>2731</v>
      </c>
      <c r="Q892" s="57">
        <v>22700</v>
      </c>
      <c r="R892" s="58" t="s">
        <v>8</v>
      </c>
      <c r="S892" s="57" t="s">
        <v>8</v>
      </c>
      <c r="T892" s="56" t="s">
        <v>2394</v>
      </c>
    </row>
    <row r="893" spans="1:20">
      <c r="A893" s="55">
        <v>129810423309</v>
      </c>
      <c r="B893" s="53" t="s">
        <v>2386</v>
      </c>
      <c r="C893" s="54">
        <v>45948</v>
      </c>
      <c r="D893" s="55">
        <v>51841304458</v>
      </c>
      <c r="E893" s="55">
        <v>2098367633830</v>
      </c>
      <c r="F893" s="56" t="s">
        <v>2387</v>
      </c>
      <c r="G893" s="56" t="s">
        <v>2388</v>
      </c>
      <c r="H893" s="56" t="s">
        <v>8</v>
      </c>
      <c r="I893" s="55" t="s">
        <v>8</v>
      </c>
      <c r="J893" s="57">
        <v>178.48</v>
      </c>
      <c r="K893" s="56" t="s">
        <v>2389</v>
      </c>
      <c r="L893" s="56" t="s">
        <v>2390</v>
      </c>
      <c r="M893" s="55" t="s">
        <v>2391</v>
      </c>
      <c r="N893" s="56" t="s">
        <v>2392</v>
      </c>
      <c r="O893" s="53" t="s">
        <v>8</v>
      </c>
      <c r="P893" s="56" t="s">
        <v>2732</v>
      </c>
      <c r="Q893" s="57">
        <v>18400</v>
      </c>
      <c r="R893" s="58" t="s">
        <v>8</v>
      </c>
      <c r="S893" s="57" t="s">
        <v>8</v>
      </c>
      <c r="T893" s="56" t="s">
        <v>2394</v>
      </c>
    </row>
    <row r="894" spans="1:20">
      <c r="A894" s="55">
        <v>129810631191</v>
      </c>
      <c r="B894" s="53" t="s">
        <v>2386</v>
      </c>
      <c r="C894" s="54">
        <v>45948</v>
      </c>
      <c r="D894" s="55">
        <v>51841413166</v>
      </c>
      <c r="E894" s="55">
        <v>2098369427562</v>
      </c>
      <c r="F894" s="56" t="s">
        <v>2387</v>
      </c>
      <c r="G894" s="56" t="s">
        <v>2388</v>
      </c>
      <c r="H894" s="56" t="s">
        <v>8</v>
      </c>
      <c r="I894" s="55" t="s">
        <v>8</v>
      </c>
      <c r="J894" s="57">
        <v>237.65</v>
      </c>
      <c r="K894" s="56" t="s">
        <v>2389</v>
      </c>
      <c r="L894" s="56" t="s">
        <v>2390</v>
      </c>
      <c r="M894" s="55" t="s">
        <v>2391</v>
      </c>
      <c r="N894" s="56" t="s">
        <v>2392</v>
      </c>
      <c r="O894" s="53" t="s">
        <v>8</v>
      </c>
      <c r="P894" s="56" t="s">
        <v>2733</v>
      </c>
      <c r="Q894" s="57">
        <v>24500</v>
      </c>
      <c r="R894" s="58" t="s">
        <v>8</v>
      </c>
      <c r="S894" s="57" t="s">
        <v>8</v>
      </c>
      <c r="T894" s="56" t="s">
        <v>2394</v>
      </c>
    </row>
    <row r="895" spans="1:20">
      <c r="A895" s="55">
        <v>129810790437</v>
      </c>
      <c r="B895" s="53" t="s">
        <v>2386</v>
      </c>
      <c r="C895" s="54">
        <v>45948</v>
      </c>
      <c r="D895" s="55">
        <v>51841466269</v>
      </c>
      <c r="E895" s="55">
        <v>2098296211587</v>
      </c>
      <c r="F895" s="56" t="s">
        <v>2387</v>
      </c>
      <c r="G895" s="56" t="s">
        <v>2388</v>
      </c>
      <c r="H895" s="56" t="s">
        <v>8</v>
      </c>
      <c r="I895" s="55" t="s">
        <v>8</v>
      </c>
      <c r="J895" s="57">
        <v>77.599999999999994</v>
      </c>
      <c r="K895" s="56" t="s">
        <v>2389</v>
      </c>
      <c r="L895" s="56" t="s">
        <v>2390</v>
      </c>
      <c r="M895" s="55" t="s">
        <v>2391</v>
      </c>
      <c r="N895" s="56" t="s">
        <v>2392</v>
      </c>
      <c r="O895" s="53" t="s">
        <v>8</v>
      </c>
      <c r="P895" s="56" t="s">
        <v>2734</v>
      </c>
      <c r="Q895" s="57">
        <v>8000</v>
      </c>
      <c r="R895" s="58" t="s">
        <v>8</v>
      </c>
      <c r="S895" s="57" t="s">
        <v>8</v>
      </c>
      <c r="T895" s="56" t="s">
        <v>2394</v>
      </c>
    </row>
    <row r="896" spans="1:20">
      <c r="A896" s="55">
        <v>129811436587</v>
      </c>
      <c r="B896" s="53" t="s">
        <v>2386</v>
      </c>
      <c r="C896" s="54">
        <v>45948</v>
      </c>
      <c r="D896" s="55">
        <v>51841789384</v>
      </c>
      <c r="E896" s="55">
        <v>2098300705027</v>
      </c>
      <c r="F896" s="56" t="s">
        <v>2475</v>
      </c>
      <c r="G896" s="56" t="s">
        <v>2388</v>
      </c>
      <c r="H896" s="56" t="s">
        <v>8</v>
      </c>
      <c r="I896" s="55" t="s">
        <v>8</v>
      </c>
      <c r="J896" s="57">
        <v>179.3</v>
      </c>
      <c r="K896" s="56" t="s">
        <v>2389</v>
      </c>
      <c r="L896" s="56" t="s">
        <v>2390</v>
      </c>
      <c r="M896" s="55" t="s">
        <v>2391</v>
      </c>
      <c r="N896" s="56" t="s">
        <v>2392</v>
      </c>
      <c r="O896" s="53" t="s">
        <v>8</v>
      </c>
      <c r="P896" s="56" t="s">
        <v>2476</v>
      </c>
      <c r="Q896" s="57">
        <v>11000</v>
      </c>
      <c r="R896" s="58" t="s">
        <v>8</v>
      </c>
      <c r="S896" s="57" t="s">
        <v>8</v>
      </c>
      <c r="T896" s="56" t="s">
        <v>2394</v>
      </c>
    </row>
    <row r="897" spans="1:20">
      <c r="A897" s="55">
        <v>130476617200</v>
      </c>
      <c r="B897" s="53" t="s">
        <v>2386</v>
      </c>
      <c r="C897" s="54">
        <v>45948</v>
      </c>
      <c r="D897" s="55">
        <v>51876233307</v>
      </c>
      <c r="E897" s="55">
        <v>2098839125835</v>
      </c>
      <c r="F897" s="56" t="s">
        <v>2387</v>
      </c>
      <c r="G897" s="56" t="s">
        <v>2388</v>
      </c>
      <c r="H897" s="56" t="s">
        <v>8</v>
      </c>
      <c r="I897" s="55" t="s">
        <v>8</v>
      </c>
      <c r="J897" s="57">
        <v>95.06</v>
      </c>
      <c r="K897" s="56" t="s">
        <v>2389</v>
      </c>
      <c r="L897" s="56" t="s">
        <v>2390</v>
      </c>
      <c r="M897" s="55" t="s">
        <v>2391</v>
      </c>
      <c r="N897" s="56" t="s">
        <v>2392</v>
      </c>
      <c r="O897" s="53" t="s">
        <v>8</v>
      </c>
      <c r="P897" s="56" t="s">
        <v>2723</v>
      </c>
      <c r="Q897" s="57">
        <v>9800</v>
      </c>
      <c r="R897" s="58" t="s">
        <v>8</v>
      </c>
      <c r="S897" s="57" t="s">
        <v>8</v>
      </c>
      <c r="T897" s="56" t="s">
        <v>2394</v>
      </c>
    </row>
    <row r="898" spans="1:20">
      <c r="A898" s="55">
        <v>129900664129</v>
      </c>
      <c r="B898" s="53" t="s">
        <v>2386</v>
      </c>
      <c r="C898" s="54">
        <v>45948</v>
      </c>
      <c r="D898" s="55">
        <v>51877053559</v>
      </c>
      <c r="E898" s="55">
        <v>2098853649577</v>
      </c>
      <c r="F898" s="56" t="s">
        <v>2401</v>
      </c>
      <c r="G898" s="56" t="s">
        <v>2388</v>
      </c>
      <c r="H898" s="56" t="s">
        <v>8</v>
      </c>
      <c r="I898" s="55" t="s">
        <v>8</v>
      </c>
      <c r="J898" s="57">
        <v>1524.84</v>
      </c>
      <c r="K898" s="56" t="s">
        <v>2389</v>
      </c>
      <c r="L898" s="56" t="s">
        <v>2402</v>
      </c>
      <c r="M898" s="55" t="s">
        <v>2391</v>
      </c>
      <c r="N898" s="56" t="s">
        <v>2392</v>
      </c>
      <c r="O898" s="53" t="s">
        <v>2055</v>
      </c>
      <c r="P898" s="56" t="s">
        <v>2403</v>
      </c>
      <c r="Q898" s="57">
        <v>38800</v>
      </c>
      <c r="R898" s="58" t="s">
        <v>8</v>
      </c>
      <c r="S898" s="57" t="s">
        <v>8</v>
      </c>
      <c r="T898" s="56" t="s">
        <v>2394</v>
      </c>
    </row>
    <row r="899" spans="1:20">
      <c r="A899" s="55">
        <v>129905597543</v>
      </c>
      <c r="B899" s="53" t="s">
        <v>2386</v>
      </c>
      <c r="C899" s="54">
        <v>45948</v>
      </c>
      <c r="D899" s="55">
        <v>51878844367</v>
      </c>
      <c r="E899" s="55">
        <v>2098959132114</v>
      </c>
      <c r="F899" s="56" t="s">
        <v>2387</v>
      </c>
      <c r="G899" s="56" t="s">
        <v>2388</v>
      </c>
      <c r="H899" s="56" t="s">
        <v>8</v>
      </c>
      <c r="I899" s="55" t="s">
        <v>8</v>
      </c>
      <c r="J899" s="57">
        <v>3165.76</v>
      </c>
      <c r="K899" s="56" t="s">
        <v>2389</v>
      </c>
      <c r="L899" s="56" t="s">
        <v>2390</v>
      </c>
      <c r="M899" s="55" t="s">
        <v>2391</v>
      </c>
      <c r="N899" s="56" t="s">
        <v>2392</v>
      </c>
      <c r="O899" s="53" t="s">
        <v>8</v>
      </c>
      <c r="P899" s="56" t="s">
        <v>2735</v>
      </c>
      <c r="Q899" s="57">
        <v>41600</v>
      </c>
      <c r="R899" s="58" t="s">
        <v>8</v>
      </c>
      <c r="S899" s="57" t="s">
        <v>8</v>
      </c>
      <c r="T899" s="56" t="s">
        <v>2394</v>
      </c>
    </row>
    <row r="900" spans="1:20">
      <c r="A900" s="55">
        <v>129911222493</v>
      </c>
      <c r="B900" s="53" t="s">
        <v>2386</v>
      </c>
      <c r="C900" s="54">
        <v>45948</v>
      </c>
      <c r="D900" s="55">
        <v>51880774878</v>
      </c>
      <c r="E900" s="55">
        <v>2098919773341</v>
      </c>
      <c r="F900" s="56" t="s">
        <v>2401</v>
      </c>
      <c r="G900" s="56" t="s">
        <v>2388</v>
      </c>
      <c r="H900" s="56" t="s">
        <v>8</v>
      </c>
      <c r="I900" s="55" t="s">
        <v>8</v>
      </c>
      <c r="J900" s="57">
        <v>4799.4799999999996</v>
      </c>
      <c r="K900" s="56" t="s">
        <v>2389</v>
      </c>
      <c r="L900" s="56" t="s">
        <v>2402</v>
      </c>
      <c r="M900" s="55" t="s">
        <v>2391</v>
      </c>
      <c r="N900" s="56" t="s">
        <v>2392</v>
      </c>
      <c r="O900" s="53" t="s">
        <v>2055</v>
      </c>
      <c r="P900" s="56" t="s">
        <v>2403</v>
      </c>
      <c r="Q900" s="57">
        <v>42700</v>
      </c>
      <c r="R900" s="58" t="s">
        <v>8</v>
      </c>
      <c r="S900" s="57" t="s">
        <v>8</v>
      </c>
      <c r="T900" s="56" t="s">
        <v>2394</v>
      </c>
    </row>
    <row r="901" spans="1:20">
      <c r="A901" s="55">
        <v>130491851554</v>
      </c>
      <c r="B901" s="53" t="s">
        <v>2386</v>
      </c>
      <c r="C901" s="54">
        <v>45948</v>
      </c>
      <c r="D901" s="55">
        <v>51881520465</v>
      </c>
      <c r="E901" s="55">
        <v>2099007875880</v>
      </c>
      <c r="F901" s="56" t="s">
        <v>2401</v>
      </c>
      <c r="G901" s="56" t="s">
        <v>2388</v>
      </c>
      <c r="H901" s="56" t="s">
        <v>8</v>
      </c>
      <c r="I901" s="55" t="s">
        <v>8</v>
      </c>
      <c r="J901" s="57">
        <v>617.01</v>
      </c>
      <c r="K901" s="56" t="s">
        <v>2389</v>
      </c>
      <c r="L901" s="56" t="s">
        <v>2402</v>
      </c>
      <c r="M901" s="55" t="s">
        <v>2391</v>
      </c>
      <c r="N901" s="56" t="s">
        <v>2392</v>
      </c>
      <c r="O901" s="53" t="s">
        <v>2055</v>
      </c>
      <c r="P901" s="56" t="s">
        <v>2403</v>
      </c>
      <c r="Q901" s="57">
        <v>15700</v>
      </c>
      <c r="R901" s="58" t="s">
        <v>8</v>
      </c>
      <c r="S901" s="57" t="s">
        <v>8</v>
      </c>
      <c r="T901" s="56" t="s">
        <v>2394</v>
      </c>
    </row>
    <row r="902" spans="1:20">
      <c r="A902" s="55">
        <v>130493803330</v>
      </c>
      <c r="B902" s="53" t="s">
        <v>2386</v>
      </c>
      <c r="C902" s="54">
        <v>45948</v>
      </c>
      <c r="D902" s="55">
        <v>51882244606</v>
      </c>
      <c r="E902" s="55">
        <v>2099020147488</v>
      </c>
      <c r="F902" s="56" t="s">
        <v>2387</v>
      </c>
      <c r="G902" s="56" t="s">
        <v>2388</v>
      </c>
      <c r="H902" s="56" t="s">
        <v>8</v>
      </c>
      <c r="I902" s="55" t="s">
        <v>8</v>
      </c>
      <c r="J902" s="57">
        <v>236.68</v>
      </c>
      <c r="K902" s="56" t="s">
        <v>2389</v>
      </c>
      <c r="L902" s="56" t="s">
        <v>2390</v>
      </c>
      <c r="M902" s="55" t="s">
        <v>2391</v>
      </c>
      <c r="N902" s="56" t="s">
        <v>2392</v>
      </c>
      <c r="O902" s="53" t="s">
        <v>8</v>
      </c>
      <c r="P902" s="56" t="s">
        <v>2736</v>
      </c>
      <c r="Q902" s="57">
        <v>24400</v>
      </c>
      <c r="R902" s="58" t="s">
        <v>8</v>
      </c>
      <c r="S902" s="57" t="s">
        <v>8</v>
      </c>
      <c r="T902" s="56" t="s">
        <v>2394</v>
      </c>
    </row>
    <row r="903" spans="1:20">
      <c r="A903" s="55">
        <v>129915579909</v>
      </c>
      <c r="B903" s="53" t="s">
        <v>2386</v>
      </c>
      <c r="C903" s="54">
        <v>45948</v>
      </c>
      <c r="D903" s="55">
        <v>51882253249</v>
      </c>
      <c r="E903" s="55">
        <v>2098946698609</v>
      </c>
      <c r="F903" s="56" t="s">
        <v>2387</v>
      </c>
      <c r="G903" s="56" t="s">
        <v>2388</v>
      </c>
      <c r="H903" s="56" t="s">
        <v>8</v>
      </c>
      <c r="I903" s="55" t="s">
        <v>8</v>
      </c>
      <c r="J903" s="57">
        <v>462.69</v>
      </c>
      <c r="K903" s="56" t="s">
        <v>2389</v>
      </c>
      <c r="L903" s="56" t="s">
        <v>2390</v>
      </c>
      <c r="M903" s="55" t="s">
        <v>2391</v>
      </c>
      <c r="N903" s="56" t="s">
        <v>2392</v>
      </c>
      <c r="O903" s="53" t="s">
        <v>8</v>
      </c>
      <c r="P903" s="56" t="s">
        <v>2737</v>
      </c>
      <c r="Q903" s="57">
        <v>47700</v>
      </c>
      <c r="R903" s="58" t="s">
        <v>8</v>
      </c>
      <c r="S903" s="57" t="s">
        <v>8</v>
      </c>
      <c r="T903" s="56" t="s">
        <v>2394</v>
      </c>
    </row>
    <row r="904" spans="1:20">
      <c r="A904" s="55">
        <v>129915872555</v>
      </c>
      <c r="B904" s="53" t="s">
        <v>2386</v>
      </c>
      <c r="C904" s="54">
        <v>45948</v>
      </c>
      <c r="D904" s="55">
        <v>51882344290</v>
      </c>
      <c r="E904" s="55">
        <v>2098948260661</v>
      </c>
      <c r="F904" s="56" t="s">
        <v>2387</v>
      </c>
      <c r="G904" s="56" t="s">
        <v>2388</v>
      </c>
      <c r="H904" s="56" t="s">
        <v>8</v>
      </c>
      <c r="I904" s="55" t="s">
        <v>8</v>
      </c>
      <c r="J904" s="57">
        <v>310.39999999999998</v>
      </c>
      <c r="K904" s="56" t="s">
        <v>2389</v>
      </c>
      <c r="L904" s="56" t="s">
        <v>2390</v>
      </c>
      <c r="M904" s="55" t="s">
        <v>2391</v>
      </c>
      <c r="N904" s="56" t="s">
        <v>2392</v>
      </c>
      <c r="O904" s="53" t="s">
        <v>8</v>
      </c>
      <c r="P904" s="56" t="s">
        <v>2738</v>
      </c>
      <c r="Q904" s="57">
        <v>32000</v>
      </c>
      <c r="R904" s="58" t="s">
        <v>8</v>
      </c>
      <c r="S904" s="57" t="s">
        <v>8</v>
      </c>
      <c r="T904" s="56" t="s">
        <v>2394</v>
      </c>
    </row>
    <row r="905" spans="1:20">
      <c r="A905" s="55">
        <v>129916914361</v>
      </c>
      <c r="B905" s="53" t="s">
        <v>2386</v>
      </c>
      <c r="C905" s="54">
        <v>45948</v>
      </c>
      <c r="D905" s="55">
        <v>51882698924</v>
      </c>
      <c r="E905" s="55">
        <v>2098953929237</v>
      </c>
      <c r="F905" s="56" t="s">
        <v>2387</v>
      </c>
      <c r="G905" s="56" t="s">
        <v>2388</v>
      </c>
      <c r="H905" s="56" t="s">
        <v>8</v>
      </c>
      <c r="I905" s="55" t="s">
        <v>8</v>
      </c>
      <c r="J905" s="57">
        <v>281.3</v>
      </c>
      <c r="K905" s="56" t="s">
        <v>2389</v>
      </c>
      <c r="L905" s="56" t="s">
        <v>2390</v>
      </c>
      <c r="M905" s="55" t="s">
        <v>2391</v>
      </c>
      <c r="N905" s="56" t="s">
        <v>2392</v>
      </c>
      <c r="O905" s="53" t="s">
        <v>8</v>
      </c>
      <c r="P905" s="56" t="s">
        <v>2739</v>
      </c>
      <c r="Q905" s="57">
        <v>29000</v>
      </c>
      <c r="R905" s="58" t="s">
        <v>8</v>
      </c>
      <c r="S905" s="57" t="s">
        <v>8</v>
      </c>
      <c r="T905" s="56" t="s">
        <v>2394</v>
      </c>
    </row>
    <row r="906" spans="1:20">
      <c r="A906" s="55">
        <v>130495195432</v>
      </c>
      <c r="B906" s="53" t="s">
        <v>2386</v>
      </c>
      <c r="C906" s="54">
        <v>45948</v>
      </c>
      <c r="D906" s="55">
        <v>51882728330</v>
      </c>
      <c r="E906" s="55">
        <v>2099028631144</v>
      </c>
      <c r="F906" s="56" t="s">
        <v>2387</v>
      </c>
      <c r="G906" s="56" t="s">
        <v>2388</v>
      </c>
      <c r="H906" s="56" t="s">
        <v>8</v>
      </c>
      <c r="I906" s="55" t="s">
        <v>8</v>
      </c>
      <c r="J906" s="57">
        <v>45.59</v>
      </c>
      <c r="K906" s="56" t="s">
        <v>2389</v>
      </c>
      <c r="L906" s="56" t="s">
        <v>2390</v>
      </c>
      <c r="M906" s="55" t="s">
        <v>2391</v>
      </c>
      <c r="N906" s="56" t="s">
        <v>2392</v>
      </c>
      <c r="O906" s="53" t="s">
        <v>8</v>
      </c>
      <c r="P906" s="56" t="s">
        <v>2740</v>
      </c>
      <c r="Q906" s="57">
        <v>4700</v>
      </c>
      <c r="R906" s="58" t="s">
        <v>8</v>
      </c>
      <c r="S906" s="57" t="s">
        <v>8</v>
      </c>
      <c r="T906" s="56" t="s">
        <v>2394</v>
      </c>
    </row>
    <row r="907" spans="1:20">
      <c r="A907" s="55">
        <v>129917003437</v>
      </c>
      <c r="B907" s="53" t="s">
        <v>2386</v>
      </c>
      <c r="C907" s="54">
        <v>45948</v>
      </c>
      <c r="D907" s="55">
        <v>51882729376</v>
      </c>
      <c r="E907" s="55">
        <v>2099028895566</v>
      </c>
      <c r="F907" s="56" t="s">
        <v>2387</v>
      </c>
      <c r="G907" s="56" t="s">
        <v>2388</v>
      </c>
      <c r="H907" s="56" t="s">
        <v>8</v>
      </c>
      <c r="I907" s="55" t="s">
        <v>8</v>
      </c>
      <c r="J907" s="57">
        <v>95.06</v>
      </c>
      <c r="K907" s="56" t="s">
        <v>2389</v>
      </c>
      <c r="L907" s="56" t="s">
        <v>2390</v>
      </c>
      <c r="M907" s="55" t="s">
        <v>2391</v>
      </c>
      <c r="N907" s="56" t="s">
        <v>2392</v>
      </c>
      <c r="O907" s="53" t="s">
        <v>8</v>
      </c>
      <c r="P907" s="56" t="s">
        <v>2741</v>
      </c>
      <c r="Q907" s="57">
        <v>9800</v>
      </c>
      <c r="R907" s="58" t="s">
        <v>8</v>
      </c>
      <c r="S907" s="57" t="s">
        <v>8</v>
      </c>
      <c r="T907" s="56" t="s">
        <v>2394</v>
      </c>
    </row>
    <row r="908" spans="1:20">
      <c r="A908" s="55">
        <v>129917640259</v>
      </c>
      <c r="B908" s="53" t="s">
        <v>2386</v>
      </c>
      <c r="C908" s="54">
        <v>45948</v>
      </c>
      <c r="D908" s="55">
        <v>51882927899</v>
      </c>
      <c r="E908" s="55">
        <v>2099031875552</v>
      </c>
      <c r="F908" s="56" t="s">
        <v>2401</v>
      </c>
      <c r="G908" s="56" t="s">
        <v>2388</v>
      </c>
      <c r="H908" s="56" t="s">
        <v>8</v>
      </c>
      <c r="I908" s="55" t="s">
        <v>8</v>
      </c>
      <c r="J908" s="57">
        <v>2538.7800000000002</v>
      </c>
      <c r="K908" s="56" t="s">
        <v>2389</v>
      </c>
      <c r="L908" s="56" t="s">
        <v>2402</v>
      </c>
      <c r="M908" s="55" t="s">
        <v>2391</v>
      </c>
      <c r="N908" s="56" t="s">
        <v>2392</v>
      </c>
      <c r="O908" s="53" t="s">
        <v>2055</v>
      </c>
      <c r="P908" s="56" t="s">
        <v>2403</v>
      </c>
      <c r="Q908" s="57">
        <v>64600</v>
      </c>
      <c r="R908" s="58" t="s">
        <v>8</v>
      </c>
      <c r="S908" s="57" t="s">
        <v>8</v>
      </c>
      <c r="T908" s="56" t="s">
        <v>2394</v>
      </c>
    </row>
    <row r="909" spans="1:20">
      <c r="A909" s="55">
        <v>130495964660</v>
      </c>
      <c r="B909" s="53" t="s">
        <v>2386</v>
      </c>
      <c r="C909" s="54">
        <v>45948</v>
      </c>
      <c r="D909" s="55">
        <v>51882980482</v>
      </c>
      <c r="E909" s="55">
        <v>2098959222101</v>
      </c>
      <c r="F909" s="56" t="s">
        <v>2387</v>
      </c>
      <c r="G909" s="56" t="s">
        <v>2388</v>
      </c>
      <c r="H909" s="56" t="s">
        <v>8</v>
      </c>
      <c r="I909" s="55" t="s">
        <v>8</v>
      </c>
      <c r="J909" s="57">
        <v>186.24</v>
      </c>
      <c r="K909" s="56" t="s">
        <v>2389</v>
      </c>
      <c r="L909" s="56" t="s">
        <v>2390</v>
      </c>
      <c r="M909" s="55" t="s">
        <v>2391</v>
      </c>
      <c r="N909" s="56" t="s">
        <v>2392</v>
      </c>
      <c r="O909" s="53" t="s">
        <v>8</v>
      </c>
      <c r="P909" s="56" t="s">
        <v>2742</v>
      </c>
      <c r="Q909" s="57">
        <v>19200</v>
      </c>
      <c r="R909" s="58" t="s">
        <v>8</v>
      </c>
      <c r="S909" s="57" t="s">
        <v>8</v>
      </c>
      <c r="T909" s="56" t="s">
        <v>2394</v>
      </c>
    </row>
    <row r="910" spans="1:20">
      <c r="A910" s="55">
        <v>129918023175</v>
      </c>
      <c r="B910" s="53" t="s">
        <v>2386</v>
      </c>
      <c r="C910" s="54">
        <v>45948</v>
      </c>
      <c r="D910" s="55">
        <v>51883099057</v>
      </c>
      <c r="E910" s="55">
        <v>2098961284197</v>
      </c>
      <c r="F910" s="56" t="s">
        <v>2401</v>
      </c>
      <c r="G910" s="56" t="s">
        <v>2388</v>
      </c>
      <c r="H910" s="56" t="s">
        <v>8</v>
      </c>
      <c r="I910" s="55" t="s">
        <v>8</v>
      </c>
      <c r="J910" s="57">
        <v>813.51</v>
      </c>
      <c r="K910" s="56" t="s">
        <v>2389</v>
      </c>
      <c r="L910" s="56" t="s">
        <v>2402</v>
      </c>
      <c r="M910" s="55" t="s">
        <v>2391</v>
      </c>
      <c r="N910" s="56" t="s">
        <v>2392</v>
      </c>
      <c r="O910" s="53" t="s">
        <v>2055</v>
      </c>
      <c r="P910" s="56" t="s">
        <v>2403</v>
      </c>
      <c r="Q910" s="57">
        <v>20700</v>
      </c>
      <c r="R910" s="58" t="s">
        <v>8</v>
      </c>
      <c r="S910" s="57" t="s">
        <v>8</v>
      </c>
      <c r="T910" s="56" t="s">
        <v>2394</v>
      </c>
    </row>
    <row r="911" spans="1:20">
      <c r="A911" s="55">
        <v>129918822439</v>
      </c>
      <c r="B911" s="53" t="s">
        <v>2386</v>
      </c>
      <c r="C911" s="54">
        <v>45948</v>
      </c>
      <c r="D911" s="55">
        <v>51883371162</v>
      </c>
      <c r="E911" s="55">
        <v>2099040307522</v>
      </c>
      <c r="F911" s="56" t="s">
        <v>2401</v>
      </c>
      <c r="G911" s="56" t="s">
        <v>2388</v>
      </c>
      <c r="H911" s="56" t="s">
        <v>8</v>
      </c>
      <c r="I911" s="55" t="s">
        <v>8</v>
      </c>
      <c r="J911" s="57">
        <v>377.28</v>
      </c>
      <c r="K911" s="56" t="s">
        <v>2389</v>
      </c>
      <c r="L911" s="56" t="s">
        <v>2402</v>
      </c>
      <c r="M911" s="55" t="s">
        <v>2391</v>
      </c>
      <c r="N911" s="56" t="s">
        <v>2392</v>
      </c>
      <c r="O911" s="53" t="s">
        <v>2055</v>
      </c>
      <c r="P911" s="56" t="s">
        <v>2403</v>
      </c>
      <c r="Q911" s="57">
        <v>9600</v>
      </c>
      <c r="R911" s="58" t="s">
        <v>8</v>
      </c>
      <c r="S911" s="57" t="s">
        <v>8</v>
      </c>
      <c r="T911" s="56" t="s">
        <v>2394</v>
      </c>
    </row>
    <row r="912" spans="1:20">
      <c r="A912" s="55">
        <v>129920053775</v>
      </c>
      <c r="B912" s="53" t="s">
        <v>2386</v>
      </c>
      <c r="C912" s="54">
        <v>45948</v>
      </c>
      <c r="D912" s="55">
        <v>51883790771</v>
      </c>
      <c r="E912" s="55">
        <v>2099047228072</v>
      </c>
      <c r="F912" s="56" t="s">
        <v>2387</v>
      </c>
      <c r="G912" s="56" t="s">
        <v>2388</v>
      </c>
      <c r="H912" s="56" t="s">
        <v>8</v>
      </c>
      <c r="I912" s="55" t="s">
        <v>8</v>
      </c>
      <c r="J912" s="57">
        <v>280.33</v>
      </c>
      <c r="K912" s="56" t="s">
        <v>2389</v>
      </c>
      <c r="L912" s="56" t="s">
        <v>2390</v>
      </c>
      <c r="M912" s="55" t="s">
        <v>2391</v>
      </c>
      <c r="N912" s="56" t="s">
        <v>2392</v>
      </c>
      <c r="O912" s="53" t="s">
        <v>8</v>
      </c>
      <c r="P912" s="56" t="s">
        <v>2743</v>
      </c>
      <c r="Q912" s="57">
        <v>28900</v>
      </c>
      <c r="R912" s="58" t="s">
        <v>8</v>
      </c>
      <c r="S912" s="57" t="s">
        <v>8</v>
      </c>
      <c r="T912" s="56" t="s">
        <v>2394</v>
      </c>
    </row>
    <row r="913" spans="1:20">
      <c r="A913" s="55">
        <v>129920811303</v>
      </c>
      <c r="B913" s="53" t="s">
        <v>2386</v>
      </c>
      <c r="C913" s="54">
        <v>45948</v>
      </c>
      <c r="D913" s="55">
        <v>51884103150</v>
      </c>
      <c r="E913" s="55">
        <v>2099052891340</v>
      </c>
      <c r="F913" s="56" t="s">
        <v>2387</v>
      </c>
      <c r="G913" s="56" t="s">
        <v>2388</v>
      </c>
      <c r="H913" s="56" t="s">
        <v>8</v>
      </c>
      <c r="I913" s="55" t="s">
        <v>8</v>
      </c>
      <c r="J913" s="57">
        <v>920.81</v>
      </c>
      <c r="K913" s="56" t="s">
        <v>2389</v>
      </c>
      <c r="L913" s="56" t="s">
        <v>2390</v>
      </c>
      <c r="M913" s="55" t="s">
        <v>2391</v>
      </c>
      <c r="N913" s="56" t="s">
        <v>2392</v>
      </c>
      <c r="O913" s="53" t="s">
        <v>8</v>
      </c>
      <c r="P913" s="56" t="s">
        <v>2744</v>
      </c>
      <c r="Q913" s="57">
        <v>12100</v>
      </c>
      <c r="R913" s="58" t="s">
        <v>8</v>
      </c>
      <c r="S913" s="57" t="s">
        <v>8</v>
      </c>
      <c r="T913" s="56" t="s">
        <v>2394</v>
      </c>
    </row>
    <row r="914" spans="1:20">
      <c r="A914" s="55">
        <v>129921270221</v>
      </c>
      <c r="B914" s="53" t="s">
        <v>2386</v>
      </c>
      <c r="C914" s="54">
        <v>45948</v>
      </c>
      <c r="D914" s="55">
        <v>51884210161</v>
      </c>
      <c r="E914" s="55">
        <v>2099054480340</v>
      </c>
      <c r="F914" s="56" t="s">
        <v>2387</v>
      </c>
      <c r="G914" s="56" t="s">
        <v>2388</v>
      </c>
      <c r="H914" s="56" t="s">
        <v>8</v>
      </c>
      <c r="I914" s="55" t="s">
        <v>8</v>
      </c>
      <c r="J914" s="57">
        <v>276.45</v>
      </c>
      <c r="K914" s="56" t="s">
        <v>2389</v>
      </c>
      <c r="L914" s="56" t="s">
        <v>2390</v>
      </c>
      <c r="M914" s="55" t="s">
        <v>2391</v>
      </c>
      <c r="N914" s="56" t="s">
        <v>2392</v>
      </c>
      <c r="O914" s="53" t="s">
        <v>8</v>
      </c>
      <c r="P914" s="56" t="s">
        <v>2745</v>
      </c>
      <c r="Q914" s="57">
        <v>28500</v>
      </c>
      <c r="R914" s="58" t="s">
        <v>8</v>
      </c>
      <c r="S914" s="57" t="s">
        <v>8</v>
      </c>
      <c r="T914" s="56" t="s">
        <v>2394</v>
      </c>
    </row>
    <row r="915" spans="1:20">
      <c r="A915" s="55">
        <v>129921550313</v>
      </c>
      <c r="B915" s="53" t="s">
        <v>2386</v>
      </c>
      <c r="C915" s="54">
        <v>45948</v>
      </c>
      <c r="D915" s="55">
        <v>51884283664</v>
      </c>
      <c r="E915" s="55">
        <v>2099055819534</v>
      </c>
      <c r="F915" s="56" t="s">
        <v>2387</v>
      </c>
      <c r="G915" s="56" t="s">
        <v>2388</v>
      </c>
      <c r="H915" s="56" t="s">
        <v>8</v>
      </c>
      <c r="I915" s="55" t="s">
        <v>8</v>
      </c>
      <c r="J915" s="57">
        <v>5212.8500000000004</v>
      </c>
      <c r="K915" s="56" t="s">
        <v>2389</v>
      </c>
      <c r="L915" s="56" t="s">
        <v>2390</v>
      </c>
      <c r="M915" s="55" t="s">
        <v>2391</v>
      </c>
      <c r="N915" s="56" t="s">
        <v>2392</v>
      </c>
      <c r="O915" s="53" t="s">
        <v>8</v>
      </c>
      <c r="P915" s="56" t="s">
        <v>2746</v>
      </c>
      <c r="Q915" s="57">
        <v>68500</v>
      </c>
      <c r="R915" s="58" t="s">
        <v>8</v>
      </c>
      <c r="S915" s="57" t="s">
        <v>8</v>
      </c>
      <c r="T915" s="56" t="s">
        <v>2394</v>
      </c>
    </row>
    <row r="916" spans="1:20">
      <c r="A916" s="55">
        <v>129922194191</v>
      </c>
      <c r="B916" s="53" t="s">
        <v>2386</v>
      </c>
      <c r="C916" s="54">
        <v>45948</v>
      </c>
      <c r="D916" s="55">
        <v>51884473974</v>
      </c>
      <c r="E916" s="55">
        <v>2098985274609</v>
      </c>
      <c r="F916" s="56" t="s">
        <v>2401</v>
      </c>
      <c r="G916" s="56" t="s">
        <v>2388</v>
      </c>
      <c r="H916" s="56" t="s">
        <v>8</v>
      </c>
      <c r="I916" s="55" t="s">
        <v>8</v>
      </c>
      <c r="J916" s="57">
        <v>1780.29</v>
      </c>
      <c r="K916" s="56" t="s">
        <v>2389</v>
      </c>
      <c r="L916" s="56" t="s">
        <v>2402</v>
      </c>
      <c r="M916" s="55" t="s">
        <v>2391</v>
      </c>
      <c r="N916" s="56" t="s">
        <v>2392</v>
      </c>
      <c r="O916" s="53" t="s">
        <v>2055</v>
      </c>
      <c r="P916" s="56" t="s">
        <v>2403</v>
      </c>
      <c r="Q916" s="57">
        <v>45300</v>
      </c>
      <c r="R916" s="58" t="s">
        <v>8</v>
      </c>
      <c r="S916" s="57" t="s">
        <v>8</v>
      </c>
      <c r="T916" s="56" t="s">
        <v>2394</v>
      </c>
    </row>
    <row r="917" spans="1:20">
      <c r="A917" s="55">
        <v>130500339498</v>
      </c>
      <c r="B917" s="53" t="s">
        <v>2386</v>
      </c>
      <c r="C917" s="54">
        <v>45948</v>
      </c>
      <c r="D917" s="55">
        <v>51884520092</v>
      </c>
      <c r="E917" s="55">
        <v>2099060150200</v>
      </c>
      <c r="F917" s="56" t="s">
        <v>2387</v>
      </c>
      <c r="G917" s="56" t="s">
        <v>2388</v>
      </c>
      <c r="H917" s="56" t="s">
        <v>8</v>
      </c>
      <c r="I917" s="55" t="s">
        <v>8</v>
      </c>
      <c r="J917" s="57">
        <v>392.85</v>
      </c>
      <c r="K917" s="56" t="s">
        <v>2389</v>
      </c>
      <c r="L917" s="56" t="s">
        <v>2390</v>
      </c>
      <c r="M917" s="55" t="s">
        <v>2391</v>
      </c>
      <c r="N917" s="56" t="s">
        <v>2392</v>
      </c>
      <c r="O917" s="53" t="s">
        <v>8</v>
      </c>
      <c r="P917" s="56" t="s">
        <v>2747</v>
      </c>
      <c r="Q917" s="57">
        <v>40500</v>
      </c>
      <c r="R917" s="58" t="s">
        <v>8</v>
      </c>
      <c r="S917" s="57" t="s">
        <v>8</v>
      </c>
      <c r="T917" s="56" t="s">
        <v>2394</v>
      </c>
    </row>
    <row r="918" spans="1:20">
      <c r="A918" s="55">
        <v>129922802979</v>
      </c>
      <c r="B918" s="53" t="s">
        <v>2386</v>
      </c>
      <c r="C918" s="54">
        <v>45948</v>
      </c>
      <c r="D918" s="55">
        <v>51884762911</v>
      </c>
      <c r="E918" s="55">
        <v>2099064165434</v>
      </c>
      <c r="F918" s="56" t="s">
        <v>2401</v>
      </c>
      <c r="G918" s="56" t="s">
        <v>2388</v>
      </c>
      <c r="H918" s="56" t="s">
        <v>8</v>
      </c>
      <c r="I918" s="55" t="s">
        <v>8</v>
      </c>
      <c r="J918" s="57">
        <v>1243.96</v>
      </c>
      <c r="K918" s="56" t="s">
        <v>2389</v>
      </c>
      <c r="L918" s="56" t="s">
        <v>2402</v>
      </c>
      <c r="M918" s="55" t="s">
        <v>2391</v>
      </c>
      <c r="N918" s="56" t="s">
        <v>2392</v>
      </c>
      <c r="O918" s="53" t="s">
        <v>2055</v>
      </c>
      <c r="P918" s="56" t="s">
        <v>2403</v>
      </c>
      <c r="Q918" s="57">
        <v>27400</v>
      </c>
      <c r="R918" s="58" t="s">
        <v>8</v>
      </c>
      <c r="S918" s="57" t="s">
        <v>8</v>
      </c>
      <c r="T918" s="56" t="s">
        <v>2394</v>
      </c>
    </row>
    <row r="919" spans="1:20">
      <c r="A919" s="55">
        <v>129922827431</v>
      </c>
      <c r="B919" s="53" t="s">
        <v>2386</v>
      </c>
      <c r="C919" s="54">
        <v>45948</v>
      </c>
      <c r="D919" s="55">
        <v>51884795116</v>
      </c>
      <c r="E919" s="55">
        <v>2098990535641</v>
      </c>
      <c r="F919" s="56" t="s">
        <v>2387</v>
      </c>
      <c r="G919" s="56" t="s">
        <v>2388</v>
      </c>
      <c r="H919" s="56" t="s">
        <v>8</v>
      </c>
      <c r="I919" s="55" t="s">
        <v>8</v>
      </c>
      <c r="J919" s="57">
        <v>156.16999999999999</v>
      </c>
      <c r="K919" s="56" t="s">
        <v>2389</v>
      </c>
      <c r="L919" s="56" t="s">
        <v>2390</v>
      </c>
      <c r="M919" s="55" t="s">
        <v>2391</v>
      </c>
      <c r="N919" s="56" t="s">
        <v>2392</v>
      </c>
      <c r="O919" s="53" t="s">
        <v>8</v>
      </c>
      <c r="P919" s="56" t="s">
        <v>2748</v>
      </c>
      <c r="Q919" s="57">
        <v>16100</v>
      </c>
      <c r="R919" s="58" t="s">
        <v>8</v>
      </c>
      <c r="S919" s="57" t="s">
        <v>8</v>
      </c>
      <c r="T919" s="56" t="s">
        <v>2394</v>
      </c>
    </row>
    <row r="920" spans="1:20">
      <c r="A920" s="55">
        <v>130501619064</v>
      </c>
      <c r="B920" s="53" t="s">
        <v>2386</v>
      </c>
      <c r="C920" s="54">
        <v>45948</v>
      </c>
      <c r="D920" s="55">
        <v>51884913186</v>
      </c>
      <c r="E920" s="55">
        <v>2099067019372</v>
      </c>
      <c r="F920" s="56" t="s">
        <v>2387</v>
      </c>
      <c r="G920" s="56" t="s">
        <v>2388</v>
      </c>
      <c r="H920" s="56" t="s">
        <v>8</v>
      </c>
      <c r="I920" s="55" t="s">
        <v>8</v>
      </c>
      <c r="J920" s="57">
        <v>640.20000000000005</v>
      </c>
      <c r="K920" s="56" t="s">
        <v>2389</v>
      </c>
      <c r="L920" s="56" t="s">
        <v>2390</v>
      </c>
      <c r="M920" s="55" t="s">
        <v>2391</v>
      </c>
      <c r="N920" s="56" t="s">
        <v>2392</v>
      </c>
      <c r="O920" s="53" t="s">
        <v>8</v>
      </c>
      <c r="P920" s="56" t="s">
        <v>2749</v>
      </c>
      <c r="Q920" s="57">
        <v>66000</v>
      </c>
      <c r="R920" s="58" t="s">
        <v>8</v>
      </c>
      <c r="S920" s="57" t="s">
        <v>8</v>
      </c>
      <c r="T920" s="56" t="s">
        <v>2394</v>
      </c>
    </row>
    <row r="921" spans="1:20">
      <c r="A921" s="55">
        <v>130501741454</v>
      </c>
      <c r="B921" s="53" t="s">
        <v>2386</v>
      </c>
      <c r="C921" s="54">
        <v>45948</v>
      </c>
      <c r="D921" s="55">
        <v>51884998631</v>
      </c>
      <c r="E921" s="55">
        <v>2098994133715</v>
      </c>
      <c r="F921" s="56" t="s">
        <v>2475</v>
      </c>
      <c r="G921" s="56" t="s">
        <v>2388</v>
      </c>
      <c r="H921" s="56" t="s">
        <v>8</v>
      </c>
      <c r="I921" s="55" t="s">
        <v>8</v>
      </c>
      <c r="J921" s="57">
        <v>741.65</v>
      </c>
      <c r="K921" s="56" t="s">
        <v>2389</v>
      </c>
      <c r="L921" s="56" t="s">
        <v>2390</v>
      </c>
      <c r="M921" s="55" t="s">
        <v>2391</v>
      </c>
      <c r="N921" s="56" t="s">
        <v>2392</v>
      </c>
      <c r="O921" s="53" t="s">
        <v>8</v>
      </c>
      <c r="P921" s="56" t="s">
        <v>2536</v>
      </c>
      <c r="Q921" s="57">
        <v>45500</v>
      </c>
      <c r="R921" s="58" t="s">
        <v>8</v>
      </c>
      <c r="S921" s="57" t="s">
        <v>8</v>
      </c>
      <c r="T921" s="56" t="s">
        <v>2394</v>
      </c>
    </row>
    <row r="922" spans="1:20">
      <c r="A922" s="55">
        <v>130501959538</v>
      </c>
      <c r="B922" s="53" t="s">
        <v>2386</v>
      </c>
      <c r="C922" s="54">
        <v>45948</v>
      </c>
      <c r="D922" s="55">
        <v>51885097802</v>
      </c>
      <c r="E922" s="55">
        <v>2098995467077</v>
      </c>
      <c r="F922" s="56" t="s">
        <v>2387</v>
      </c>
      <c r="G922" s="56" t="s">
        <v>2388</v>
      </c>
      <c r="H922" s="56" t="s">
        <v>8</v>
      </c>
      <c r="I922" s="55" t="s">
        <v>8</v>
      </c>
      <c r="J922" s="57">
        <v>389.94</v>
      </c>
      <c r="K922" s="56" t="s">
        <v>2389</v>
      </c>
      <c r="L922" s="56" t="s">
        <v>2390</v>
      </c>
      <c r="M922" s="55" t="s">
        <v>2391</v>
      </c>
      <c r="N922" s="56" t="s">
        <v>2392</v>
      </c>
      <c r="O922" s="53" t="s">
        <v>8</v>
      </c>
      <c r="P922" s="56" t="s">
        <v>2568</v>
      </c>
      <c r="Q922" s="57">
        <v>40200</v>
      </c>
      <c r="R922" s="58" t="s">
        <v>8</v>
      </c>
      <c r="S922" s="57" t="s">
        <v>8</v>
      </c>
      <c r="T922" s="56" t="s">
        <v>2394</v>
      </c>
    </row>
    <row r="923" spans="1:20">
      <c r="A923" s="55">
        <v>129923967495</v>
      </c>
      <c r="B923" s="53" t="s">
        <v>2386</v>
      </c>
      <c r="C923" s="54">
        <v>45948</v>
      </c>
      <c r="D923" s="55">
        <v>51885112471</v>
      </c>
      <c r="E923" s="55">
        <v>2098996082083</v>
      </c>
      <c r="F923" s="56" t="s">
        <v>2401</v>
      </c>
      <c r="G923" s="56" t="s">
        <v>2388</v>
      </c>
      <c r="H923" s="56" t="s">
        <v>8</v>
      </c>
      <c r="I923" s="55" t="s">
        <v>8</v>
      </c>
      <c r="J923" s="57">
        <v>5235.68</v>
      </c>
      <c r="K923" s="56" t="s">
        <v>2389</v>
      </c>
      <c r="L923" s="56" t="s">
        <v>2402</v>
      </c>
      <c r="M923" s="55" t="s">
        <v>2391</v>
      </c>
      <c r="N923" s="56" t="s">
        <v>2392</v>
      </c>
      <c r="O923" s="53" t="s">
        <v>2055</v>
      </c>
      <c r="P923" s="56" t="s">
        <v>2403</v>
      </c>
      <c r="Q923" s="57">
        <v>68800</v>
      </c>
      <c r="R923" s="58" t="s">
        <v>8</v>
      </c>
      <c r="S923" s="57" t="s">
        <v>8</v>
      </c>
      <c r="T923" s="56" t="s">
        <v>2394</v>
      </c>
    </row>
    <row r="924" spans="1:20">
      <c r="A924" s="55">
        <v>129924104257</v>
      </c>
      <c r="B924" s="53" t="s">
        <v>2386</v>
      </c>
      <c r="C924" s="54">
        <v>45948</v>
      </c>
      <c r="D924" s="55">
        <v>51885153498</v>
      </c>
      <c r="E924" s="55">
        <v>2098996966793</v>
      </c>
      <c r="F924" s="56" t="s">
        <v>2387</v>
      </c>
      <c r="G924" s="56" t="s">
        <v>2388</v>
      </c>
      <c r="H924" s="56" t="s">
        <v>8</v>
      </c>
      <c r="I924" s="55" t="s">
        <v>8</v>
      </c>
      <c r="J924" s="57">
        <v>314.27999999999997</v>
      </c>
      <c r="K924" s="56" t="s">
        <v>2389</v>
      </c>
      <c r="L924" s="56" t="s">
        <v>2390</v>
      </c>
      <c r="M924" s="55" t="s">
        <v>2391</v>
      </c>
      <c r="N924" s="56" t="s">
        <v>2392</v>
      </c>
      <c r="O924" s="53" t="s">
        <v>8</v>
      </c>
      <c r="P924" s="56" t="s">
        <v>2750</v>
      </c>
      <c r="Q924" s="57">
        <v>32400</v>
      </c>
      <c r="R924" s="58" t="s">
        <v>8</v>
      </c>
      <c r="S924" s="57" t="s">
        <v>8</v>
      </c>
      <c r="T924" s="56" t="s">
        <v>2394</v>
      </c>
    </row>
    <row r="925" spans="1:20">
      <c r="A925" s="55">
        <v>130502314456</v>
      </c>
      <c r="B925" s="53" t="s">
        <v>2386</v>
      </c>
      <c r="C925" s="54">
        <v>45948</v>
      </c>
      <c r="D925" s="55">
        <v>51885194729</v>
      </c>
      <c r="E925" s="55">
        <v>2099071470864</v>
      </c>
      <c r="F925" s="56" t="s">
        <v>2411</v>
      </c>
      <c r="G925" s="56" t="s">
        <v>2388</v>
      </c>
      <c r="H925" s="56" t="s">
        <v>8</v>
      </c>
      <c r="I925" s="55" t="s">
        <v>8</v>
      </c>
      <c r="J925" s="57">
        <v>338.53</v>
      </c>
      <c r="K925" s="56" t="s">
        <v>2389</v>
      </c>
      <c r="L925" s="56" t="s">
        <v>2390</v>
      </c>
      <c r="M925" s="55" t="s">
        <v>2391</v>
      </c>
      <c r="N925" s="56" t="s">
        <v>2392</v>
      </c>
      <c r="O925" s="53" t="s">
        <v>8</v>
      </c>
      <c r="P925" s="56" t="s">
        <v>2412</v>
      </c>
      <c r="Q925" s="57">
        <v>34900</v>
      </c>
      <c r="R925" s="58" t="s">
        <v>8</v>
      </c>
      <c r="S925" s="57" t="s">
        <v>8</v>
      </c>
      <c r="T925" s="56" t="s">
        <v>8</v>
      </c>
    </row>
    <row r="926" spans="1:20">
      <c r="A926" s="55">
        <v>129924592831</v>
      </c>
      <c r="B926" s="53" t="s">
        <v>2386</v>
      </c>
      <c r="C926" s="54">
        <v>45948</v>
      </c>
      <c r="D926" s="55">
        <v>51885399230</v>
      </c>
      <c r="E926" s="55">
        <v>2099074943828</v>
      </c>
      <c r="F926" s="56" t="s">
        <v>2411</v>
      </c>
      <c r="G926" s="56" t="s">
        <v>2388</v>
      </c>
      <c r="H926" s="56" t="s">
        <v>8</v>
      </c>
      <c r="I926" s="55" t="s">
        <v>8</v>
      </c>
      <c r="J926" s="57">
        <v>349.2</v>
      </c>
      <c r="K926" s="56" t="s">
        <v>2389</v>
      </c>
      <c r="L926" s="56" t="s">
        <v>2390</v>
      </c>
      <c r="M926" s="55" t="s">
        <v>2391</v>
      </c>
      <c r="N926" s="56" t="s">
        <v>2392</v>
      </c>
      <c r="O926" s="53" t="s">
        <v>8</v>
      </c>
      <c r="P926" s="56" t="s">
        <v>2412</v>
      </c>
      <c r="Q926" s="57">
        <v>36000</v>
      </c>
      <c r="R926" s="58" t="s">
        <v>8</v>
      </c>
      <c r="S926" s="57" t="s">
        <v>8</v>
      </c>
      <c r="T926" s="56" t="s">
        <v>8</v>
      </c>
    </row>
    <row r="927" spans="1:20">
      <c r="A927" s="55">
        <v>130503035948</v>
      </c>
      <c r="B927" s="53" t="s">
        <v>2386</v>
      </c>
      <c r="C927" s="54">
        <v>45948</v>
      </c>
      <c r="D927" s="55">
        <v>51885419206</v>
      </c>
      <c r="E927" s="55">
        <v>2099001186581</v>
      </c>
      <c r="F927" s="56" t="s">
        <v>2387</v>
      </c>
      <c r="G927" s="56" t="s">
        <v>2388</v>
      </c>
      <c r="H927" s="56" t="s">
        <v>8</v>
      </c>
      <c r="I927" s="55" t="s">
        <v>8</v>
      </c>
      <c r="J927" s="57">
        <v>87.3</v>
      </c>
      <c r="K927" s="56" t="s">
        <v>2389</v>
      </c>
      <c r="L927" s="56" t="s">
        <v>2390</v>
      </c>
      <c r="M927" s="55" t="s">
        <v>2391</v>
      </c>
      <c r="N927" s="56" t="s">
        <v>2392</v>
      </c>
      <c r="O927" s="53" t="s">
        <v>8</v>
      </c>
      <c r="P927" s="56" t="s">
        <v>2751</v>
      </c>
      <c r="Q927" s="57">
        <v>9000</v>
      </c>
      <c r="R927" s="58" t="s">
        <v>8</v>
      </c>
      <c r="S927" s="57" t="s">
        <v>8</v>
      </c>
      <c r="T927" s="56" t="s">
        <v>2394</v>
      </c>
    </row>
    <row r="928" spans="1:20">
      <c r="A928" s="55">
        <v>130503149626</v>
      </c>
      <c r="B928" s="53" t="s">
        <v>2386</v>
      </c>
      <c r="C928" s="54">
        <v>45948</v>
      </c>
      <c r="D928" s="55">
        <v>51885452340</v>
      </c>
      <c r="E928" s="55">
        <v>2099075980290</v>
      </c>
      <c r="F928" s="56" t="s">
        <v>2387</v>
      </c>
      <c r="G928" s="56" t="s">
        <v>2388</v>
      </c>
      <c r="H928" s="56" t="s">
        <v>8</v>
      </c>
      <c r="I928" s="55" t="s">
        <v>8</v>
      </c>
      <c r="J928" s="57">
        <v>218.25</v>
      </c>
      <c r="K928" s="56" t="s">
        <v>2389</v>
      </c>
      <c r="L928" s="56" t="s">
        <v>2390</v>
      </c>
      <c r="M928" s="55" t="s">
        <v>2391</v>
      </c>
      <c r="N928" s="56" t="s">
        <v>2392</v>
      </c>
      <c r="O928" s="53" t="s">
        <v>8</v>
      </c>
      <c r="P928" s="56" t="s">
        <v>2752</v>
      </c>
      <c r="Q928" s="57">
        <v>22500</v>
      </c>
      <c r="R928" s="58" t="s">
        <v>8</v>
      </c>
      <c r="S928" s="57" t="s">
        <v>8</v>
      </c>
      <c r="T928" s="56" t="s">
        <v>2394</v>
      </c>
    </row>
    <row r="929" spans="1:20">
      <c r="A929" s="55">
        <v>130503293264</v>
      </c>
      <c r="B929" s="53" t="s">
        <v>2386</v>
      </c>
      <c r="C929" s="54">
        <v>45948</v>
      </c>
      <c r="D929" s="55">
        <v>51885505035</v>
      </c>
      <c r="E929" s="55">
        <v>2099076461744</v>
      </c>
      <c r="F929" s="56" t="s">
        <v>2387</v>
      </c>
      <c r="G929" s="56" t="s">
        <v>2388</v>
      </c>
      <c r="H929" s="56" t="s">
        <v>8</v>
      </c>
      <c r="I929" s="55" t="s">
        <v>8</v>
      </c>
      <c r="J929" s="57">
        <v>242.5</v>
      </c>
      <c r="K929" s="56" t="s">
        <v>2389</v>
      </c>
      <c r="L929" s="56" t="s">
        <v>2390</v>
      </c>
      <c r="M929" s="55" t="s">
        <v>2391</v>
      </c>
      <c r="N929" s="56" t="s">
        <v>2392</v>
      </c>
      <c r="O929" s="53" t="s">
        <v>8</v>
      </c>
      <c r="P929" s="56" t="s">
        <v>2753</v>
      </c>
      <c r="Q929" s="57">
        <v>25000</v>
      </c>
      <c r="R929" s="58" t="s">
        <v>8</v>
      </c>
      <c r="S929" s="57" t="s">
        <v>8</v>
      </c>
      <c r="T929" s="56" t="s">
        <v>2394</v>
      </c>
    </row>
    <row r="930" spans="1:20">
      <c r="A930" s="55">
        <v>129924883769</v>
      </c>
      <c r="B930" s="53" t="s">
        <v>2386</v>
      </c>
      <c r="C930" s="54">
        <v>45948</v>
      </c>
      <c r="D930" s="55">
        <v>51885511148</v>
      </c>
      <c r="E930" s="55">
        <v>2099077151682</v>
      </c>
      <c r="F930" s="56" t="s">
        <v>2387</v>
      </c>
      <c r="G930" s="56" t="s">
        <v>2388</v>
      </c>
      <c r="H930" s="56" t="s">
        <v>8</v>
      </c>
      <c r="I930" s="55" t="s">
        <v>8</v>
      </c>
      <c r="J930" s="57">
        <v>474.33</v>
      </c>
      <c r="K930" s="56" t="s">
        <v>2389</v>
      </c>
      <c r="L930" s="56" t="s">
        <v>2390</v>
      </c>
      <c r="M930" s="55" t="s">
        <v>2391</v>
      </c>
      <c r="N930" s="56" t="s">
        <v>2392</v>
      </c>
      <c r="O930" s="53" t="s">
        <v>8</v>
      </c>
      <c r="P930" s="56" t="s">
        <v>2754</v>
      </c>
      <c r="Q930" s="57">
        <v>48900</v>
      </c>
      <c r="R930" s="58" t="s">
        <v>8</v>
      </c>
      <c r="S930" s="57" t="s">
        <v>8</v>
      </c>
      <c r="T930" s="56" t="s">
        <v>2394</v>
      </c>
    </row>
    <row r="931" spans="1:20">
      <c r="A931" s="55">
        <v>130503399266</v>
      </c>
      <c r="B931" s="53" t="s">
        <v>2386</v>
      </c>
      <c r="C931" s="54">
        <v>45948</v>
      </c>
      <c r="D931" s="55">
        <v>51885549199</v>
      </c>
      <c r="E931" s="55">
        <v>2099003355327</v>
      </c>
      <c r="F931" s="56" t="s">
        <v>2387</v>
      </c>
      <c r="G931" s="56" t="s">
        <v>2388</v>
      </c>
      <c r="H931" s="56" t="s">
        <v>8</v>
      </c>
      <c r="I931" s="55" t="s">
        <v>8</v>
      </c>
      <c r="J931" s="57">
        <v>123.19</v>
      </c>
      <c r="K931" s="56" t="s">
        <v>2389</v>
      </c>
      <c r="L931" s="56" t="s">
        <v>2390</v>
      </c>
      <c r="M931" s="55" t="s">
        <v>2391</v>
      </c>
      <c r="N931" s="56" t="s">
        <v>2392</v>
      </c>
      <c r="O931" s="53" t="s">
        <v>8</v>
      </c>
      <c r="P931" s="56" t="s">
        <v>2755</v>
      </c>
      <c r="Q931" s="57">
        <v>12700</v>
      </c>
      <c r="R931" s="58" t="s">
        <v>8</v>
      </c>
      <c r="S931" s="57" t="s">
        <v>8</v>
      </c>
      <c r="T931" s="56" t="s">
        <v>2394</v>
      </c>
    </row>
    <row r="932" spans="1:20">
      <c r="A932" s="55">
        <v>130503401764</v>
      </c>
      <c r="B932" s="53" t="s">
        <v>2386</v>
      </c>
      <c r="C932" s="54">
        <v>45948</v>
      </c>
      <c r="D932" s="55">
        <v>51885563261</v>
      </c>
      <c r="E932" s="55">
        <v>2099003557471</v>
      </c>
      <c r="F932" s="56" t="s">
        <v>2387</v>
      </c>
      <c r="G932" s="56" t="s">
        <v>2388</v>
      </c>
      <c r="H932" s="56" t="s">
        <v>8</v>
      </c>
      <c r="I932" s="55" t="s">
        <v>8</v>
      </c>
      <c r="J932" s="57">
        <v>476.27</v>
      </c>
      <c r="K932" s="56" t="s">
        <v>2389</v>
      </c>
      <c r="L932" s="56" t="s">
        <v>2390</v>
      </c>
      <c r="M932" s="55" t="s">
        <v>2391</v>
      </c>
      <c r="N932" s="56" t="s">
        <v>2392</v>
      </c>
      <c r="O932" s="53" t="s">
        <v>8</v>
      </c>
      <c r="P932" s="56" t="s">
        <v>2756</v>
      </c>
      <c r="Q932" s="57">
        <v>49100</v>
      </c>
      <c r="R932" s="58" t="s">
        <v>8</v>
      </c>
      <c r="S932" s="57" t="s">
        <v>8</v>
      </c>
      <c r="T932" s="56" t="s">
        <v>2394</v>
      </c>
    </row>
    <row r="933" spans="1:20">
      <c r="A933" s="55">
        <v>129925367229</v>
      </c>
      <c r="B933" s="53" t="s">
        <v>2386</v>
      </c>
      <c r="C933" s="54">
        <v>45948</v>
      </c>
      <c r="D933" s="55">
        <v>51885632786</v>
      </c>
      <c r="E933" s="55">
        <v>2099004910285</v>
      </c>
      <c r="F933" s="56" t="s">
        <v>2387</v>
      </c>
      <c r="G933" s="56" t="s">
        <v>2388</v>
      </c>
      <c r="H933" s="56" t="s">
        <v>8</v>
      </c>
      <c r="I933" s="55" t="s">
        <v>8</v>
      </c>
      <c r="J933" s="57">
        <v>266.75</v>
      </c>
      <c r="K933" s="56" t="s">
        <v>2389</v>
      </c>
      <c r="L933" s="56" t="s">
        <v>2390</v>
      </c>
      <c r="M933" s="55" t="s">
        <v>2391</v>
      </c>
      <c r="N933" s="56" t="s">
        <v>2392</v>
      </c>
      <c r="O933" s="53" t="s">
        <v>8</v>
      </c>
      <c r="P933" s="56" t="s">
        <v>2757</v>
      </c>
      <c r="Q933" s="57">
        <v>27500</v>
      </c>
      <c r="R933" s="58" t="s">
        <v>8</v>
      </c>
      <c r="S933" s="57" t="s">
        <v>8</v>
      </c>
      <c r="T933" s="56" t="s">
        <v>2394</v>
      </c>
    </row>
    <row r="934" spans="1:20">
      <c r="A934" s="55">
        <v>130503681142</v>
      </c>
      <c r="B934" s="53" t="s">
        <v>2386</v>
      </c>
      <c r="C934" s="54">
        <v>45948</v>
      </c>
      <c r="D934" s="55">
        <v>51885696206</v>
      </c>
      <c r="E934" s="55">
        <v>2099079536750</v>
      </c>
      <c r="F934" s="56" t="s">
        <v>2387</v>
      </c>
      <c r="G934" s="56" t="s">
        <v>2388</v>
      </c>
      <c r="H934" s="56" t="s">
        <v>8</v>
      </c>
      <c r="I934" s="55" t="s">
        <v>8</v>
      </c>
      <c r="J934" s="57">
        <v>251.23</v>
      </c>
      <c r="K934" s="56" t="s">
        <v>2389</v>
      </c>
      <c r="L934" s="56" t="s">
        <v>2390</v>
      </c>
      <c r="M934" s="55" t="s">
        <v>2391</v>
      </c>
      <c r="N934" s="56" t="s">
        <v>2392</v>
      </c>
      <c r="O934" s="53" t="s">
        <v>8</v>
      </c>
      <c r="P934" s="56" t="s">
        <v>2758</v>
      </c>
      <c r="Q934" s="57">
        <v>25900</v>
      </c>
      <c r="R934" s="58" t="s">
        <v>8</v>
      </c>
      <c r="S934" s="57" t="s">
        <v>8</v>
      </c>
      <c r="T934" s="56" t="s">
        <v>2394</v>
      </c>
    </row>
    <row r="935" spans="1:20">
      <c r="A935" s="55">
        <v>130503796692</v>
      </c>
      <c r="B935" s="53" t="s">
        <v>2386</v>
      </c>
      <c r="C935" s="54">
        <v>45948</v>
      </c>
      <c r="D935" s="55">
        <v>51885715561</v>
      </c>
      <c r="E935" s="55">
        <v>2099080186112</v>
      </c>
      <c r="F935" s="56" t="s">
        <v>2401</v>
      </c>
      <c r="G935" s="56" t="s">
        <v>2388</v>
      </c>
      <c r="H935" s="56" t="s">
        <v>8</v>
      </c>
      <c r="I935" s="55" t="s">
        <v>8</v>
      </c>
      <c r="J935" s="57">
        <v>684.9</v>
      </c>
      <c r="K935" s="56" t="s">
        <v>2389</v>
      </c>
      <c r="L935" s="56" t="s">
        <v>2402</v>
      </c>
      <c r="M935" s="55" t="s">
        <v>2391</v>
      </c>
      <c r="N935" s="56" t="s">
        <v>2392</v>
      </c>
      <c r="O935" s="53" t="s">
        <v>2055</v>
      </c>
      <c r="P935" s="56" t="s">
        <v>2403</v>
      </c>
      <c r="Q935" s="57">
        <v>9000</v>
      </c>
      <c r="R935" s="58" t="s">
        <v>8</v>
      </c>
      <c r="S935" s="57" t="s">
        <v>8</v>
      </c>
      <c r="T935" s="56" t="s">
        <v>2394</v>
      </c>
    </row>
    <row r="936" spans="1:20">
      <c r="A936" s="55">
        <v>130503823030</v>
      </c>
      <c r="B936" s="53" t="s">
        <v>2386</v>
      </c>
      <c r="C936" s="54">
        <v>45948</v>
      </c>
      <c r="D936" s="55">
        <v>51885738282</v>
      </c>
      <c r="E936" s="55">
        <v>2099006517483</v>
      </c>
      <c r="F936" s="56" t="s">
        <v>2401</v>
      </c>
      <c r="G936" s="56" t="s">
        <v>2388</v>
      </c>
      <c r="H936" s="56" t="s">
        <v>8</v>
      </c>
      <c r="I936" s="55" t="s">
        <v>8</v>
      </c>
      <c r="J936" s="57">
        <v>435.84</v>
      </c>
      <c r="K936" s="56" t="s">
        <v>2389</v>
      </c>
      <c r="L936" s="56" t="s">
        <v>2402</v>
      </c>
      <c r="M936" s="55" t="s">
        <v>2391</v>
      </c>
      <c r="N936" s="56" t="s">
        <v>2392</v>
      </c>
      <c r="O936" s="53" t="s">
        <v>2055</v>
      </c>
      <c r="P936" s="56" t="s">
        <v>2403</v>
      </c>
      <c r="Q936" s="57">
        <v>9600</v>
      </c>
      <c r="R936" s="58" t="s">
        <v>8</v>
      </c>
      <c r="S936" s="57" t="s">
        <v>8</v>
      </c>
      <c r="T936" s="56" t="s">
        <v>2394</v>
      </c>
    </row>
    <row r="937" spans="1:20">
      <c r="A937" s="55">
        <v>130503831700</v>
      </c>
      <c r="B937" s="53" t="s">
        <v>2386</v>
      </c>
      <c r="C937" s="54">
        <v>45948</v>
      </c>
      <c r="D937" s="55">
        <v>51885743333</v>
      </c>
      <c r="E937" s="55">
        <v>2099080676518</v>
      </c>
      <c r="F937" s="56" t="s">
        <v>2387</v>
      </c>
      <c r="G937" s="56" t="s">
        <v>2388</v>
      </c>
      <c r="H937" s="56" t="s">
        <v>8</v>
      </c>
      <c r="I937" s="55" t="s">
        <v>8</v>
      </c>
      <c r="J937" s="57">
        <v>79.540000000000006</v>
      </c>
      <c r="K937" s="56" t="s">
        <v>2389</v>
      </c>
      <c r="L937" s="56" t="s">
        <v>2390</v>
      </c>
      <c r="M937" s="55" t="s">
        <v>2391</v>
      </c>
      <c r="N937" s="56" t="s">
        <v>2392</v>
      </c>
      <c r="O937" s="53" t="s">
        <v>8</v>
      </c>
      <c r="P937" s="56" t="s">
        <v>2748</v>
      </c>
      <c r="Q937" s="57">
        <v>8200</v>
      </c>
      <c r="R937" s="58" t="s">
        <v>8</v>
      </c>
      <c r="S937" s="57" t="s">
        <v>8</v>
      </c>
      <c r="T937" s="56" t="s">
        <v>2394</v>
      </c>
    </row>
    <row r="938" spans="1:20">
      <c r="A938" s="55">
        <v>130503865664</v>
      </c>
      <c r="B938" s="53" t="s">
        <v>2386</v>
      </c>
      <c r="C938" s="54">
        <v>45949</v>
      </c>
      <c r="D938" s="55">
        <v>51885754269</v>
      </c>
      <c r="E938" s="55">
        <v>2099081012244</v>
      </c>
      <c r="F938" s="56" t="s">
        <v>2401</v>
      </c>
      <c r="G938" s="56" t="s">
        <v>2388</v>
      </c>
      <c r="H938" s="56" t="s">
        <v>8</v>
      </c>
      <c r="I938" s="55" t="s">
        <v>8</v>
      </c>
      <c r="J938" s="57">
        <v>1479.38</v>
      </c>
      <c r="K938" s="56" t="s">
        <v>2389</v>
      </c>
      <c r="L938" s="56" t="s">
        <v>2402</v>
      </c>
      <c r="M938" s="55" t="s">
        <v>2391</v>
      </c>
      <c r="N938" s="56" t="s">
        <v>2392</v>
      </c>
      <c r="O938" s="53" t="s">
        <v>2055</v>
      </c>
      <c r="P938" s="56" t="s">
        <v>2403</v>
      </c>
      <c r="Q938" s="57">
        <v>19440</v>
      </c>
      <c r="R938" s="58" t="s">
        <v>8</v>
      </c>
      <c r="S938" s="57" t="s">
        <v>8</v>
      </c>
      <c r="T938" s="56" t="s">
        <v>2394</v>
      </c>
    </row>
    <row r="939" spans="1:20">
      <c r="A939" s="55">
        <v>130504119406</v>
      </c>
      <c r="B939" s="53" t="s">
        <v>2386</v>
      </c>
      <c r="C939" s="54">
        <v>45949</v>
      </c>
      <c r="D939" s="55">
        <v>51885854352</v>
      </c>
      <c r="E939" s="55">
        <v>2099082231028</v>
      </c>
      <c r="F939" s="56" t="s">
        <v>2401</v>
      </c>
      <c r="G939" s="56" t="s">
        <v>2388</v>
      </c>
      <c r="H939" s="56" t="s">
        <v>8</v>
      </c>
      <c r="I939" s="55" t="s">
        <v>8</v>
      </c>
      <c r="J939" s="57">
        <v>1509.12</v>
      </c>
      <c r="K939" s="56" t="s">
        <v>2389</v>
      </c>
      <c r="L939" s="56" t="s">
        <v>2402</v>
      </c>
      <c r="M939" s="55" t="s">
        <v>2391</v>
      </c>
      <c r="N939" s="56" t="s">
        <v>2392</v>
      </c>
      <c r="O939" s="53" t="s">
        <v>2055</v>
      </c>
      <c r="P939" s="56" t="s">
        <v>2403</v>
      </c>
      <c r="Q939" s="57">
        <v>38400</v>
      </c>
      <c r="R939" s="58" t="s">
        <v>8</v>
      </c>
      <c r="S939" s="57" t="s">
        <v>8</v>
      </c>
      <c r="T939" s="56" t="s">
        <v>2394</v>
      </c>
    </row>
    <row r="940" spans="1:20">
      <c r="A940" s="55">
        <v>129925965239</v>
      </c>
      <c r="B940" s="53" t="s">
        <v>2386</v>
      </c>
      <c r="C940" s="54">
        <v>45949</v>
      </c>
      <c r="D940" s="55">
        <v>51885882402</v>
      </c>
      <c r="E940" s="55">
        <v>2099008589879</v>
      </c>
      <c r="F940" s="56" t="s">
        <v>2411</v>
      </c>
      <c r="G940" s="56" t="s">
        <v>2388</v>
      </c>
      <c r="H940" s="56" t="s">
        <v>8</v>
      </c>
      <c r="I940" s="55" t="s">
        <v>8</v>
      </c>
      <c r="J940" s="57">
        <v>511.19</v>
      </c>
      <c r="K940" s="56" t="s">
        <v>2389</v>
      </c>
      <c r="L940" s="56" t="s">
        <v>2390</v>
      </c>
      <c r="M940" s="55" t="s">
        <v>2391</v>
      </c>
      <c r="N940" s="56" t="s">
        <v>2392</v>
      </c>
      <c r="O940" s="53" t="s">
        <v>8</v>
      </c>
      <c r="P940" s="56" t="s">
        <v>2412</v>
      </c>
      <c r="Q940" s="57">
        <v>52700</v>
      </c>
      <c r="R940" s="58" t="s">
        <v>8</v>
      </c>
      <c r="S940" s="57" t="s">
        <v>8</v>
      </c>
      <c r="T940" s="56" t="s">
        <v>8</v>
      </c>
    </row>
    <row r="941" spans="1:20">
      <c r="A941" s="55">
        <v>129926108389</v>
      </c>
      <c r="B941" s="53" t="s">
        <v>2386</v>
      </c>
      <c r="C941" s="54">
        <v>45949</v>
      </c>
      <c r="D941" s="55">
        <v>51885947612</v>
      </c>
      <c r="E941" s="55">
        <v>2099083779126</v>
      </c>
      <c r="F941" s="56" t="s">
        <v>2387</v>
      </c>
      <c r="G941" s="56" t="s">
        <v>2388</v>
      </c>
      <c r="H941" s="56" t="s">
        <v>8</v>
      </c>
      <c r="I941" s="55" t="s">
        <v>8</v>
      </c>
      <c r="J941" s="57">
        <v>418.55</v>
      </c>
      <c r="K941" s="56" t="s">
        <v>2389</v>
      </c>
      <c r="L941" s="56" t="s">
        <v>2390</v>
      </c>
      <c r="M941" s="55" t="s">
        <v>2391</v>
      </c>
      <c r="N941" s="56" t="s">
        <v>2392</v>
      </c>
      <c r="O941" s="53" t="s">
        <v>8</v>
      </c>
      <c r="P941" s="56" t="s">
        <v>2744</v>
      </c>
      <c r="Q941" s="57">
        <v>5500</v>
      </c>
      <c r="R941" s="58" t="s">
        <v>8</v>
      </c>
      <c r="S941" s="57" t="s">
        <v>8</v>
      </c>
      <c r="T941" s="56" t="s">
        <v>2394</v>
      </c>
    </row>
    <row r="942" spans="1:20">
      <c r="A942" s="55">
        <v>130504725754</v>
      </c>
      <c r="B942" s="53" t="s">
        <v>2386</v>
      </c>
      <c r="C942" s="54">
        <v>45949</v>
      </c>
      <c r="D942" s="55">
        <v>51886056916</v>
      </c>
      <c r="E942" s="55">
        <v>2099085570248</v>
      </c>
      <c r="F942" s="56" t="s">
        <v>2387</v>
      </c>
      <c r="G942" s="56" t="s">
        <v>2388</v>
      </c>
      <c r="H942" s="56" t="s">
        <v>8</v>
      </c>
      <c r="I942" s="55" t="s">
        <v>8</v>
      </c>
      <c r="J942" s="57">
        <v>4429.0200000000004</v>
      </c>
      <c r="K942" s="56" t="s">
        <v>2389</v>
      </c>
      <c r="L942" s="56" t="s">
        <v>2390</v>
      </c>
      <c r="M942" s="55" t="s">
        <v>2391</v>
      </c>
      <c r="N942" s="56" t="s">
        <v>2392</v>
      </c>
      <c r="O942" s="53" t="s">
        <v>8</v>
      </c>
      <c r="P942" s="56" t="s">
        <v>2759</v>
      </c>
      <c r="Q942" s="57">
        <v>58200</v>
      </c>
      <c r="R942" s="58" t="s">
        <v>8</v>
      </c>
      <c r="S942" s="57" t="s">
        <v>8</v>
      </c>
      <c r="T942" s="56" t="s">
        <v>2394</v>
      </c>
    </row>
    <row r="943" spans="1:20">
      <c r="A943" s="55">
        <v>129926554953</v>
      </c>
      <c r="B943" s="53" t="s">
        <v>2386</v>
      </c>
      <c r="C943" s="54">
        <v>45949</v>
      </c>
      <c r="D943" s="55">
        <v>51886109272</v>
      </c>
      <c r="E943" s="55">
        <v>2099086731132</v>
      </c>
      <c r="F943" s="56" t="s">
        <v>2401</v>
      </c>
      <c r="G943" s="56" t="s">
        <v>2388</v>
      </c>
      <c r="H943" s="56" t="s">
        <v>8</v>
      </c>
      <c r="I943" s="55" t="s">
        <v>8</v>
      </c>
      <c r="J943" s="57">
        <v>435.84</v>
      </c>
      <c r="K943" s="56" t="s">
        <v>2389</v>
      </c>
      <c r="L943" s="56" t="s">
        <v>2402</v>
      </c>
      <c r="M943" s="55" t="s">
        <v>2391</v>
      </c>
      <c r="N943" s="56" t="s">
        <v>2392</v>
      </c>
      <c r="O943" s="53" t="s">
        <v>2055</v>
      </c>
      <c r="P943" s="56" t="s">
        <v>2403</v>
      </c>
      <c r="Q943" s="57">
        <v>9600</v>
      </c>
      <c r="R943" s="58" t="s">
        <v>8</v>
      </c>
      <c r="S943" s="57" t="s">
        <v>8</v>
      </c>
      <c r="T943" s="56" t="s">
        <v>2394</v>
      </c>
    </row>
    <row r="944" spans="1:20">
      <c r="A944" s="55">
        <v>130505063064</v>
      </c>
      <c r="B944" s="53" t="s">
        <v>2386</v>
      </c>
      <c r="C944" s="54">
        <v>45949</v>
      </c>
      <c r="D944" s="55">
        <v>51886112181</v>
      </c>
      <c r="E944" s="55">
        <v>2099013300497</v>
      </c>
      <c r="F944" s="56" t="s">
        <v>2411</v>
      </c>
      <c r="G944" s="56" t="s">
        <v>2388</v>
      </c>
      <c r="H944" s="56" t="s">
        <v>8</v>
      </c>
      <c r="I944" s="55" t="s">
        <v>8</v>
      </c>
      <c r="J944" s="57">
        <v>428.74</v>
      </c>
      <c r="K944" s="56" t="s">
        <v>2389</v>
      </c>
      <c r="L944" s="56" t="s">
        <v>2390</v>
      </c>
      <c r="M944" s="55" t="s">
        <v>2391</v>
      </c>
      <c r="N944" s="56" t="s">
        <v>2392</v>
      </c>
      <c r="O944" s="53" t="s">
        <v>8</v>
      </c>
      <c r="P944" s="56" t="s">
        <v>2412</v>
      </c>
      <c r="Q944" s="57">
        <v>44200</v>
      </c>
      <c r="R944" s="58" t="s">
        <v>8</v>
      </c>
      <c r="S944" s="57" t="s">
        <v>8</v>
      </c>
      <c r="T944" s="56" t="s">
        <v>8</v>
      </c>
    </row>
    <row r="945" spans="1:20">
      <c r="A945" s="55">
        <v>130505213634</v>
      </c>
      <c r="B945" s="53" t="s">
        <v>2386</v>
      </c>
      <c r="C945" s="54">
        <v>45949</v>
      </c>
      <c r="D945" s="55">
        <v>51886190651</v>
      </c>
      <c r="E945" s="55">
        <v>2099014624847</v>
      </c>
      <c r="F945" s="56" t="s">
        <v>2387</v>
      </c>
      <c r="G945" s="56" t="s">
        <v>2388</v>
      </c>
      <c r="H945" s="56" t="s">
        <v>8</v>
      </c>
      <c r="I945" s="55" t="s">
        <v>8</v>
      </c>
      <c r="J945" s="57">
        <v>152.29</v>
      </c>
      <c r="K945" s="56" t="s">
        <v>2389</v>
      </c>
      <c r="L945" s="56" t="s">
        <v>2390</v>
      </c>
      <c r="M945" s="55" t="s">
        <v>2391</v>
      </c>
      <c r="N945" s="56" t="s">
        <v>2392</v>
      </c>
      <c r="O945" s="53" t="s">
        <v>8</v>
      </c>
      <c r="P945" s="56" t="s">
        <v>2760</v>
      </c>
      <c r="Q945" s="57">
        <v>15700</v>
      </c>
      <c r="R945" s="58" t="s">
        <v>8</v>
      </c>
      <c r="S945" s="57" t="s">
        <v>8</v>
      </c>
      <c r="T945" s="56" t="s">
        <v>2394</v>
      </c>
    </row>
    <row r="946" spans="1:20">
      <c r="A946" s="55">
        <v>130505348210</v>
      </c>
      <c r="B946" s="53" t="s">
        <v>2386</v>
      </c>
      <c r="C946" s="54">
        <v>45949</v>
      </c>
      <c r="D946" s="55">
        <v>51886277685</v>
      </c>
      <c r="E946" s="55">
        <v>2099089122296</v>
      </c>
      <c r="F946" s="56" t="s">
        <v>2411</v>
      </c>
      <c r="G946" s="56" t="s">
        <v>2388</v>
      </c>
      <c r="H946" s="56" t="s">
        <v>8</v>
      </c>
      <c r="I946" s="55" t="s">
        <v>8</v>
      </c>
      <c r="J946" s="57">
        <v>168.78</v>
      </c>
      <c r="K946" s="56" t="s">
        <v>2389</v>
      </c>
      <c r="L946" s="56" t="s">
        <v>2390</v>
      </c>
      <c r="M946" s="55" t="s">
        <v>2391</v>
      </c>
      <c r="N946" s="56" t="s">
        <v>2392</v>
      </c>
      <c r="O946" s="53" t="s">
        <v>8</v>
      </c>
      <c r="P946" s="56" t="s">
        <v>2412</v>
      </c>
      <c r="Q946" s="57">
        <v>17400</v>
      </c>
      <c r="R946" s="58" t="s">
        <v>8</v>
      </c>
      <c r="S946" s="57" t="s">
        <v>8</v>
      </c>
      <c r="T946" s="56" t="s">
        <v>8</v>
      </c>
    </row>
    <row r="947" spans="1:20">
      <c r="A947" s="55">
        <v>129927348607</v>
      </c>
      <c r="B947" s="53" t="s">
        <v>2386</v>
      </c>
      <c r="C947" s="54">
        <v>45949</v>
      </c>
      <c r="D947" s="55">
        <v>51886361573</v>
      </c>
      <c r="E947" s="55">
        <v>2099090689306</v>
      </c>
      <c r="F947" s="56" t="s">
        <v>2411</v>
      </c>
      <c r="G947" s="56" t="s">
        <v>2388</v>
      </c>
      <c r="H947" s="56" t="s">
        <v>8</v>
      </c>
      <c r="I947" s="55" t="s">
        <v>8</v>
      </c>
      <c r="J947" s="57">
        <v>327.86</v>
      </c>
      <c r="K947" s="56" t="s">
        <v>2389</v>
      </c>
      <c r="L947" s="56" t="s">
        <v>2390</v>
      </c>
      <c r="M947" s="55" t="s">
        <v>2391</v>
      </c>
      <c r="N947" s="56" t="s">
        <v>2392</v>
      </c>
      <c r="O947" s="53" t="s">
        <v>8</v>
      </c>
      <c r="P947" s="56" t="s">
        <v>2412</v>
      </c>
      <c r="Q947" s="57">
        <v>33800</v>
      </c>
      <c r="R947" s="58" t="s">
        <v>8</v>
      </c>
      <c r="S947" s="57" t="s">
        <v>8</v>
      </c>
      <c r="T947" s="56" t="s">
        <v>8</v>
      </c>
    </row>
    <row r="948" spans="1:20">
      <c r="A948" s="55">
        <v>130505521438</v>
      </c>
      <c r="B948" s="53" t="s">
        <v>2386</v>
      </c>
      <c r="C948" s="54">
        <v>45949</v>
      </c>
      <c r="D948" s="55">
        <v>51886376381</v>
      </c>
      <c r="E948" s="55">
        <v>2099016616957</v>
      </c>
      <c r="F948" s="56" t="s">
        <v>2401</v>
      </c>
      <c r="G948" s="56" t="s">
        <v>2388</v>
      </c>
      <c r="H948" s="56" t="s">
        <v>8</v>
      </c>
      <c r="I948" s="55" t="s">
        <v>8</v>
      </c>
      <c r="J948" s="57">
        <v>7678.49</v>
      </c>
      <c r="K948" s="56" t="s">
        <v>2389</v>
      </c>
      <c r="L948" s="56" t="s">
        <v>2402</v>
      </c>
      <c r="M948" s="55" t="s">
        <v>2391</v>
      </c>
      <c r="N948" s="56" t="s">
        <v>2392</v>
      </c>
      <c r="O948" s="53" t="s">
        <v>2055</v>
      </c>
      <c r="P948" s="56" t="s">
        <v>2403</v>
      </c>
      <c r="Q948" s="57">
        <v>100900</v>
      </c>
      <c r="R948" s="58" t="s">
        <v>8</v>
      </c>
      <c r="S948" s="57" t="s">
        <v>8</v>
      </c>
      <c r="T948" s="56" t="s">
        <v>2394</v>
      </c>
    </row>
    <row r="949" spans="1:20">
      <c r="A949" s="55">
        <v>129927337673</v>
      </c>
      <c r="B949" s="53" t="s">
        <v>2386</v>
      </c>
      <c r="C949" s="54">
        <v>45949</v>
      </c>
      <c r="D949" s="55">
        <v>51886389799</v>
      </c>
      <c r="E949" s="55">
        <v>2099016873719</v>
      </c>
      <c r="F949" s="56" t="s">
        <v>2387</v>
      </c>
      <c r="G949" s="56" t="s">
        <v>2388</v>
      </c>
      <c r="H949" s="56" t="s">
        <v>8</v>
      </c>
      <c r="I949" s="55" t="s">
        <v>8</v>
      </c>
      <c r="J949" s="57">
        <v>188.18</v>
      </c>
      <c r="K949" s="56" t="s">
        <v>2389</v>
      </c>
      <c r="L949" s="56" t="s">
        <v>2390</v>
      </c>
      <c r="M949" s="55" t="s">
        <v>2391</v>
      </c>
      <c r="N949" s="56" t="s">
        <v>2392</v>
      </c>
      <c r="O949" s="53" t="s">
        <v>8</v>
      </c>
      <c r="P949" s="56" t="s">
        <v>2761</v>
      </c>
      <c r="Q949" s="57">
        <v>19400</v>
      </c>
      <c r="R949" s="58" t="s">
        <v>8</v>
      </c>
      <c r="S949" s="57" t="s">
        <v>8</v>
      </c>
      <c r="T949" s="56" t="s">
        <v>2394</v>
      </c>
    </row>
    <row r="950" spans="1:20">
      <c r="A950" s="55">
        <v>130505652570</v>
      </c>
      <c r="B950" s="53" t="s">
        <v>2386</v>
      </c>
      <c r="C950" s="54">
        <v>45949</v>
      </c>
      <c r="D950" s="55">
        <v>51886416787</v>
      </c>
      <c r="E950" s="55">
        <v>2099091216628</v>
      </c>
      <c r="F950" s="56" t="s">
        <v>2387</v>
      </c>
      <c r="G950" s="56" t="s">
        <v>2388</v>
      </c>
      <c r="H950" s="56" t="s">
        <v>8</v>
      </c>
      <c r="I950" s="55" t="s">
        <v>8</v>
      </c>
      <c r="J950" s="57">
        <v>266.75</v>
      </c>
      <c r="K950" s="56" t="s">
        <v>2389</v>
      </c>
      <c r="L950" s="56" t="s">
        <v>2390</v>
      </c>
      <c r="M950" s="55" t="s">
        <v>2391</v>
      </c>
      <c r="N950" s="56" t="s">
        <v>2392</v>
      </c>
      <c r="O950" s="53" t="s">
        <v>8</v>
      </c>
      <c r="P950" s="56" t="s">
        <v>2544</v>
      </c>
      <c r="Q950" s="57">
        <v>27500</v>
      </c>
      <c r="R950" s="58" t="s">
        <v>8</v>
      </c>
      <c r="S950" s="57" t="s">
        <v>8</v>
      </c>
      <c r="T950" s="56" t="s">
        <v>2394</v>
      </c>
    </row>
    <row r="951" spans="1:20">
      <c r="A951" s="55">
        <v>129927618037</v>
      </c>
      <c r="B951" s="53" t="s">
        <v>2386</v>
      </c>
      <c r="C951" s="54">
        <v>45949</v>
      </c>
      <c r="D951" s="55">
        <v>51886528900</v>
      </c>
      <c r="E951" s="55">
        <v>2099019148973</v>
      </c>
      <c r="F951" s="56" t="s">
        <v>2387</v>
      </c>
      <c r="G951" s="56" t="s">
        <v>2388</v>
      </c>
      <c r="H951" s="56" t="s">
        <v>8</v>
      </c>
      <c r="I951" s="55" t="s">
        <v>8</v>
      </c>
      <c r="J951" s="57">
        <v>215.34</v>
      </c>
      <c r="K951" s="56" t="s">
        <v>2389</v>
      </c>
      <c r="L951" s="56" t="s">
        <v>2390</v>
      </c>
      <c r="M951" s="55" t="s">
        <v>2391</v>
      </c>
      <c r="N951" s="56" t="s">
        <v>2392</v>
      </c>
      <c r="O951" s="53" t="s">
        <v>8</v>
      </c>
      <c r="P951" s="56" t="s">
        <v>2762</v>
      </c>
      <c r="Q951" s="57">
        <v>22200</v>
      </c>
      <c r="R951" s="58" t="s">
        <v>8</v>
      </c>
      <c r="S951" s="57" t="s">
        <v>8</v>
      </c>
      <c r="T951" s="56" t="s">
        <v>2394</v>
      </c>
    </row>
    <row r="952" spans="1:20">
      <c r="A952" s="55">
        <v>130506186280</v>
      </c>
      <c r="B952" s="53" t="s">
        <v>2386</v>
      </c>
      <c r="C952" s="54">
        <v>45949</v>
      </c>
      <c r="D952" s="55">
        <v>51886533652</v>
      </c>
      <c r="E952" s="55">
        <v>2099019592157</v>
      </c>
      <c r="F952" s="56" t="s">
        <v>2401</v>
      </c>
      <c r="G952" s="56" t="s">
        <v>2388</v>
      </c>
      <c r="H952" s="56" t="s">
        <v>8</v>
      </c>
      <c r="I952" s="55" t="s">
        <v>8</v>
      </c>
      <c r="J952" s="57">
        <v>565.91999999999996</v>
      </c>
      <c r="K952" s="56" t="s">
        <v>2389</v>
      </c>
      <c r="L952" s="56" t="s">
        <v>2402</v>
      </c>
      <c r="M952" s="55" t="s">
        <v>2391</v>
      </c>
      <c r="N952" s="56" t="s">
        <v>2392</v>
      </c>
      <c r="O952" s="53" t="s">
        <v>2055</v>
      </c>
      <c r="P952" s="56" t="s">
        <v>2403</v>
      </c>
      <c r="Q952" s="57">
        <v>14400</v>
      </c>
      <c r="R952" s="58" t="s">
        <v>8</v>
      </c>
      <c r="S952" s="57" t="s">
        <v>8</v>
      </c>
      <c r="T952" s="56" t="s">
        <v>2394</v>
      </c>
    </row>
    <row r="953" spans="1:20">
      <c r="A953" s="55">
        <v>129927699555</v>
      </c>
      <c r="B953" s="53" t="s">
        <v>2386</v>
      </c>
      <c r="C953" s="54">
        <v>45949</v>
      </c>
      <c r="D953" s="55">
        <v>51886559242</v>
      </c>
      <c r="E953" s="55">
        <v>2099093398994</v>
      </c>
      <c r="F953" s="56" t="s">
        <v>2401</v>
      </c>
      <c r="G953" s="56" t="s">
        <v>2388</v>
      </c>
      <c r="H953" s="56" t="s">
        <v>8</v>
      </c>
      <c r="I953" s="55" t="s">
        <v>8</v>
      </c>
      <c r="J953" s="57">
        <v>1570.84</v>
      </c>
      <c r="K953" s="56" t="s">
        <v>2389</v>
      </c>
      <c r="L953" s="56" t="s">
        <v>2402</v>
      </c>
      <c r="M953" s="55" t="s">
        <v>2391</v>
      </c>
      <c r="N953" s="56" t="s">
        <v>2392</v>
      </c>
      <c r="O953" s="53" t="s">
        <v>2055</v>
      </c>
      <c r="P953" s="56" t="s">
        <v>2403</v>
      </c>
      <c r="Q953" s="57">
        <v>34600</v>
      </c>
      <c r="R953" s="58" t="s">
        <v>8</v>
      </c>
      <c r="S953" s="57" t="s">
        <v>8</v>
      </c>
      <c r="T953" s="56" t="s">
        <v>2394</v>
      </c>
    </row>
    <row r="954" spans="1:20">
      <c r="A954" s="55">
        <v>129928026307</v>
      </c>
      <c r="B954" s="53" t="s">
        <v>2386</v>
      </c>
      <c r="C954" s="54">
        <v>45949</v>
      </c>
      <c r="D954" s="55">
        <v>51886665098</v>
      </c>
      <c r="E954" s="55">
        <v>2099020968815</v>
      </c>
      <c r="F954" s="56" t="s">
        <v>2411</v>
      </c>
      <c r="G954" s="56" t="s">
        <v>2388</v>
      </c>
      <c r="H954" s="56" t="s">
        <v>8</v>
      </c>
      <c r="I954" s="55" t="s">
        <v>8</v>
      </c>
      <c r="J954" s="57">
        <v>154.22999999999999</v>
      </c>
      <c r="K954" s="56" t="s">
        <v>2389</v>
      </c>
      <c r="L954" s="56" t="s">
        <v>2390</v>
      </c>
      <c r="M954" s="55" t="s">
        <v>2391</v>
      </c>
      <c r="N954" s="56" t="s">
        <v>2392</v>
      </c>
      <c r="O954" s="53" t="s">
        <v>8</v>
      </c>
      <c r="P954" s="56" t="s">
        <v>2412</v>
      </c>
      <c r="Q954" s="57">
        <v>15900</v>
      </c>
      <c r="R954" s="58" t="s">
        <v>8</v>
      </c>
      <c r="S954" s="57" t="s">
        <v>8</v>
      </c>
      <c r="T954" s="56" t="s">
        <v>8</v>
      </c>
    </row>
    <row r="955" spans="1:20">
      <c r="A955" s="55">
        <v>129928378923</v>
      </c>
      <c r="B955" s="53" t="s">
        <v>2386</v>
      </c>
      <c r="C955" s="54">
        <v>45949</v>
      </c>
      <c r="D955" s="55">
        <v>51886773611</v>
      </c>
      <c r="E955" s="55">
        <v>2099022934057</v>
      </c>
      <c r="F955" s="56" t="s">
        <v>2387</v>
      </c>
      <c r="G955" s="56" t="s">
        <v>2388</v>
      </c>
      <c r="H955" s="56" t="s">
        <v>8</v>
      </c>
      <c r="I955" s="55" t="s">
        <v>8</v>
      </c>
      <c r="J955" s="57">
        <v>228.3</v>
      </c>
      <c r="K955" s="56" t="s">
        <v>2389</v>
      </c>
      <c r="L955" s="56" t="s">
        <v>2390</v>
      </c>
      <c r="M955" s="55" t="s">
        <v>2391</v>
      </c>
      <c r="N955" s="56" t="s">
        <v>2392</v>
      </c>
      <c r="O955" s="53" t="s">
        <v>8</v>
      </c>
      <c r="P955" s="56" t="s">
        <v>2744</v>
      </c>
      <c r="Q955" s="57">
        <v>3000</v>
      </c>
      <c r="R955" s="58" t="s">
        <v>8</v>
      </c>
      <c r="S955" s="57" t="s">
        <v>8</v>
      </c>
      <c r="T955" s="56" t="s">
        <v>2394</v>
      </c>
    </row>
    <row r="956" spans="1:20">
      <c r="A956" s="55">
        <v>129928917523</v>
      </c>
      <c r="B956" s="53" t="s">
        <v>2386</v>
      </c>
      <c r="C956" s="54">
        <v>45949</v>
      </c>
      <c r="D956" s="55">
        <v>51887010247</v>
      </c>
      <c r="E956" s="55">
        <v>2099100453428</v>
      </c>
      <c r="F956" s="56" t="s">
        <v>2387</v>
      </c>
      <c r="G956" s="56" t="s">
        <v>2388</v>
      </c>
      <c r="H956" s="56" t="s">
        <v>8</v>
      </c>
      <c r="I956" s="55" t="s">
        <v>8</v>
      </c>
      <c r="J956" s="57">
        <v>91.18</v>
      </c>
      <c r="K956" s="56" t="s">
        <v>2389</v>
      </c>
      <c r="L956" s="56" t="s">
        <v>2390</v>
      </c>
      <c r="M956" s="55" t="s">
        <v>2391</v>
      </c>
      <c r="N956" s="56" t="s">
        <v>2392</v>
      </c>
      <c r="O956" s="53" t="s">
        <v>8</v>
      </c>
      <c r="P956" s="56" t="s">
        <v>2751</v>
      </c>
      <c r="Q956" s="57">
        <v>9400</v>
      </c>
      <c r="R956" s="58" t="s">
        <v>8</v>
      </c>
      <c r="S956" s="57" t="s">
        <v>8</v>
      </c>
      <c r="T956" s="56" t="s">
        <v>2394</v>
      </c>
    </row>
    <row r="957" spans="1:20">
      <c r="A957" s="55">
        <v>130507433134</v>
      </c>
      <c r="B957" s="53" t="s">
        <v>2386</v>
      </c>
      <c r="C957" s="54">
        <v>45949</v>
      </c>
      <c r="D957" s="55">
        <v>51887097282</v>
      </c>
      <c r="E957" s="55">
        <v>2099101542602</v>
      </c>
      <c r="F957" s="56" t="s">
        <v>2387</v>
      </c>
      <c r="G957" s="56" t="s">
        <v>2388</v>
      </c>
      <c r="H957" s="56" t="s">
        <v>8</v>
      </c>
      <c r="I957" s="55" t="s">
        <v>8</v>
      </c>
      <c r="J957" s="57">
        <v>165.87</v>
      </c>
      <c r="K957" s="56" t="s">
        <v>2389</v>
      </c>
      <c r="L957" s="56" t="s">
        <v>2390</v>
      </c>
      <c r="M957" s="55" t="s">
        <v>2391</v>
      </c>
      <c r="N957" s="56" t="s">
        <v>2392</v>
      </c>
      <c r="O957" s="53" t="s">
        <v>8</v>
      </c>
      <c r="P957" s="56" t="s">
        <v>2763</v>
      </c>
      <c r="Q957" s="57">
        <v>17100</v>
      </c>
      <c r="R957" s="58" t="s">
        <v>8</v>
      </c>
      <c r="S957" s="57" t="s">
        <v>8</v>
      </c>
      <c r="T957" s="56" t="s">
        <v>2394</v>
      </c>
    </row>
    <row r="958" spans="1:20">
      <c r="A958" s="55">
        <v>129929271469</v>
      </c>
      <c r="B958" s="53" t="s">
        <v>2386</v>
      </c>
      <c r="C958" s="54">
        <v>45949</v>
      </c>
      <c r="D958" s="55">
        <v>51887179607</v>
      </c>
      <c r="E958" s="55">
        <v>2099029146101</v>
      </c>
      <c r="F958" s="56" t="s">
        <v>2401</v>
      </c>
      <c r="G958" s="56" t="s">
        <v>2388</v>
      </c>
      <c r="H958" s="56" t="s">
        <v>8</v>
      </c>
      <c r="I958" s="55" t="s">
        <v>8</v>
      </c>
      <c r="J958" s="57">
        <v>1131.8399999999999</v>
      </c>
      <c r="K958" s="56" t="s">
        <v>2389</v>
      </c>
      <c r="L958" s="56" t="s">
        <v>2402</v>
      </c>
      <c r="M958" s="55" t="s">
        <v>2391</v>
      </c>
      <c r="N958" s="56" t="s">
        <v>2392</v>
      </c>
      <c r="O958" s="53" t="s">
        <v>2055</v>
      </c>
      <c r="P958" s="56" t="s">
        <v>2403</v>
      </c>
      <c r="Q958" s="57">
        <v>28800</v>
      </c>
      <c r="R958" s="58" t="s">
        <v>8</v>
      </c>
      <c r="S958" s="57" t="s">
        <v>8</v>
      </c>
      <c r="T958" s="56" t="s">
        <v>2394</v>
      </c>
    </row>
    <row r="959" spans="1:20">
      <c r="A959" s="55">
        <v>130507908182</v>
      </c>
      <c r="B959" s="53" t="s">
        <v>2386</v>
      </c>
      <c r="C959" s="54">
        <v>45949</v>
      </c>
      <c r="D959" s="55">
        <v>51887222070</v>
      </c>
      <c r="E959" s="55">
        <v>2099029726567</v>
      </c>
      <c r="F959" s="56" t="s">
        <v>2475</v>
      </c>
      <c r="G959" s="56" t="s">
        <v>2388</v>
      </c>
      <c r="H959" s="56" t="s">
        <v>8</v>
      </c>
      <c r="I959" s="55" t="s">
        <v>8</v>
      </c>
      <c r="J959" s="57">
        <v>3485.38</v>
      </c>
      <c r="K959" s="56" t="s">
        <v>2389</v>
      </c>
      <c r="L959" s="56" t="s">
        <v>2390</v>
      </c>
      <c r="M959" s="55" t="s">
        <v>2391</v>
      </c>
      <c r="N959" s="56" t="s">
        <v>2392</v>
      </c>
      <c r="O959" s="53" t="s">
        <v>8</v>
      </c>
      <c r="P959" s="56" t="s">
        <v>2634</v>
      </c>
      <c r="Q959" s="57">
        <v>45800</v>
      </c>
      <c r="R959" s="58" t="s">
        <v>8</v>
      </c>
      <c r="S959" s="57" t="s">
        <v>8</v>
      </c>
      <c r="T959" s="56" t="s">
        <v>2394</v>
      </c>
    </row>
    <row r="960" spans="1:20">
      <c r="A960" s="55">
        <v>129929732379</v>
      </c>
      <c r="B960" s="53" t="s">
        <v>2386</v>
      </c>
      <c r="C960" s="54">
        <v>45949</v>
      </c>
      <c r="D960" s="55">
        <v>51887288960</v>
      </c>
      <c r="E960" s="55">
        <v>2099105145718</v>
      </c>
      <c r="F960" s="56" t="s">
        <v>2411</v>
      </c>
      <c r="G960" s="56" t="s">
        <v>2388</v>
      </c>
      <c r="H960" s="56" t="s">
        <v>8</v>
      </c>
      <c r="I960" s="55" t="s">
        <v>8</v>
      </c>
      <c r="J960" s="57">
        <v>215.34</v>
      </c>
      <c r="K960" s="56" t="s">
        <v>2389</v>
      </c>
      <c r="L960" s="56" t="s">
        <v>2390</v>
      </c>
      <c r="M960" s="55" t="s">
        <v>2391</v>
      </c>
      <c r="N960" s="56" t="s">
        <v>2392</v>
      </c>
      <c r="O960" s="53" t="s">
        <v>8</v>
      </c>
      <c r="P960" s="56" t="s">
        <v>2412</v>
      </c>
      <c r="Q960" s="57">
        <v>22200</v>
      </c>
      <c r="R960" s="58" t="s">
        <v>8</v>
      </c>
      <c r="S960" s="57" t="s">
        <v>8</v>
      </c>
      <c r="T960" s="56" t="s">
        <v>8</v>
      </c>
    </row>
    <row r="961" spans="1:20">
      <c r="A961" s="55">
        <v>129929852927</v>
      </c>
      <c r="B961" s="53" t="s">
        <v>2386</v>
      </c>
      <c r="C961" s="54">
        <v>45949</v>
      </c>
      <c r="D961" s="55">
        <v>51887342568</v>
      </c>
      <c r="E961" s="55">
        <v>2099106100958</v>
      </c>
      <c r="F961" s="56" t="s">
        <v>2401</v>
      </c>
      <c r="G961" s="56" t="s">
        <v>2388</v>
      </c>
      <c r="H961" s="56" t="s">
        <v>8</v>
      </c>
      <c r="I961" s="55" t="s">
        <v>8</v>
      </c>
      <c r="J961" s="57">
        <v>444.92</v>
      </c>
      <c r="K961" s="56" t="s">
        <v>2389</v>
      </c>
      <c r="L961" s="56" t="s">
        <v>2402</v>
      </c>
      <c r="M961" s="55" t="s">
        <v>2391</v>
      </c>
      <c r="N961" s="56" t="s">
        <v>2392</v>
      </c>
      <c r="O961" s="53" t="s">
        <v>2055</v>
      </c>
      <c r="P961" s="56" t="s">
        <v>2403</v>
      </c>
      <c r="Q961" s="57">
        <v>9800</v>
      </c>
      <c r="R961" s="58" t="s">
        <v>8</v>
      </c>
      <c r="S961" s="57" t="s">
        <v>8</v>
      </c>
      <c r="T961" s="56" t="s">
        <v>2394</v>
      </c>
    </row>
    <row r="962" spans="1:20">
      <c r="A962" s="55">
        <v>130508497912</v>
      </c>
      <c r="B962" s="53" t="s">
        <v>2386</v>
      </c>
      <c r="C962" s="54">
        <v>45949</v>
      </c>
      <c r="D962" s="55">
        <v>51887510605</v>
      </c>
      <c r="E962" s="55">
        <v>2099034382379</v>
      </c>
      <c r="F962" s="56" t="s">
        <v>2387</v>
      </c>
      <c r="G962" s="56" t="s">
        <v>2388</v>
      </c>
      <c r="H962" s="56" t="s">
        <v>8</v>
      </c>
      <c r="I962" s="55" t="s">
        <v>8</v>
      </c>
      <c r="J962" s="57">
        <v>136.77000000000001</v>
      </c>
      <c r="K962" s="56" t="s">
        <v>2389</v>
      </c>
      <c r="L962" s="56" t="s">
        <v>2390</v>
      </c>
      <c r="M962" s="55" t="s">
        <v>2391</v>
      </c>
      <c r="N962" s="56" t="s">
        <v>2392</v>
      </c>
      <c r="O962" s="53" t="s">
        <v>8</v>
      </c>
      <c r="P962" s="56" t="s">
        <v>2764</v>
      </c>
      <c r="Q962" s="57">
        <v>14100</v>
      </c>
      <c r="R962" s="58" t="s">
        <v>8</v>
      </c>
      <c r="S962" s="57" t="s">
        <v>8</v>
      </c>
      <c r="T962" s="56" t="s">
        <v>2394</v>
      </c>
    </row>
    <row r="963" spans="1:20">
      <c r="A963" s="55">
        <v>130508636164</v>
      </c>
      <c r="B963" s="53" t="s">
        <v>2386</v>
      </c>
      <c r="C963" s="54">
        <v>45949</v>
      </c>
      <c r="D963" s="55">
        <v>51887517538</v>
      </c>
      <c r="E963" s="55">
        <v>2099108691192</v>
      </c>
      <c r="F963" s="56" t="s">
        <v>2411</v>
      </c>
      <c r="G963" s="56" t="s">
        <v>2388</v>
      </c>
      <c r="H963" s="56" t="s">
        <v>8</v>
      </c>
      <c r="I963" s="55" t="s">
        <v>8</v>
      </c>
      <c r="J963" s="57">
        <v>102.82</v>
      </c>
      <c r="K963" s="56" t="s">
        <v>2389</v>
      </c>
      <c r="L963" s="56" t="s">
        <v>2390</v>
      </c>
      <c r="M963" s="55" t="s">
        <v>2391</v>
      </c>
      <c r="N963" s="56" t="s">
        <v>2392</v>
      </c>
      <c r="O963" s="53" t="s">
        <v>8</v>
      </c>
      <c r="P963" s="56" t="s">
        <v>2412</v>
      </c>
      <c r="Q963" s="57">
        <v>10600</v>
      </c>
      <c r="R963" s="58" t="s">
        <v>8</v>
      </c>
      <c r="S963" s="57" t="s">
        <v>8</v>
      </c>
      <c r="T963" s="56" t="s">
        <v>8</v>
      </c>
    </row>
    <row r="964" spans="1:20">
      <c r="A964" s="55">
        <v>130508789716</v>
      </c>
      <c r="B964" s="53" t="s">
        <v>2386</v>
      </c>
      <c r="C964" s="54">
        <v>45949</v>
      </c>
      <c r="D964" s="55">
        <v>51887604499</v>
      </c>
      <c r="E964" s="55">
        <v>2099035654851</v>
      </c>
      <c r="F964" s="56" t="s">
        <v>2401</v>
      </c>
      <c r="G964" s="56" t="s">
        <v>2388</v>
      </c>
      <c r="H964" s="56" t="s">
        <v>8</v>
      </c>
      <c r="I964" s="55" t="s">
        <v>8</v>
      </c>
      <c r="J964" s="57">
        <v>1395.15</v>
      </c>
      <c r="K964" s="56" t="s">
        <v>2389</v>
      </c>
      <c r="L964" s="56" t="s">
        <v>2402</v>
      </c>
      <c r="M964" s="55" t="s">
        <v>2391</v>
      </c>
      <c r="N964" s="56" t="s">
        <v>2392</v>
      </c>
      <c r="O964" s="53" t="s">
        <v>2055</v>
      </c>
      <c r="P964" s="56" t="s">
        <v>2403</v>
      </c>
      <c r="Q964" s="57">
        <v>35500</v>
      </c>
      <c r="R964" s="58" t="s">
        <v>8</v>
      </c>
      <c r="S964" s="57" t="s">
        <v>8</v>
      </c>
      <c r="T964" s="56" t="s">
        <v>2394</v>
      </c>
    </row>
    <row r="965" spans="1:20">
      <c r="A965" s="55">
        <v>130509146786</v>
      </c>
      <c r="B965" s="53" t="s">
        <v>2386</v>
      </c>
      <c r="C965" s="54">
        <v>45949</v>
      </c>
      <c r="D965" s="55">
        <v>51887706471</v>
      </c>
      <c r="E965" s="55">
        <v>2099111584130</v>
      </c>
      <c r="F965" s="56" t="s">
        <v>2387</v>
      </c>
      <c r="G965" s="56" t="s">
        <v>2388</v>
      </c>
      <c r="H965" s="56" t="s">
        <v>8</v>
      </c>
      <c r="I965" s="55" t="s">
        <v>8</v>
      </c>
      <c r="J965" s="57">
        <v>245.41</v>
      </c>
      <c r="K965" s="56" t="s">
        <v>2389</v>
      </c>
      <c r="L965" s="56" t="s">
        <v>2390</v>
      </c>
      <c r="M965" s="55" t="s">
        <v>2391</v>
      </c>
      <c r="N965" s="56" t="s">
        <v>2392</v>
      </c>
      <c r="O965" s="53" t="s">
        <v>8</v>
      </c>
      <c r="P965" s="56" t="s">
        <v>2765</v>
      </c>
      <c r="Q965" s="57">
        <v>25300</v>
      </c>
      <c r="R965" s="58" t="s">
        <v>8</v>
      </c>
      <c r="S965" s="57" t="s">
        <v>8</v>
      </c>
      <c r="T965" s="56" t="s">
        <v>2394</v>
      </c>
    </row>
    <row r="966" spans="1:20">
      <c r="A966" s="55">
        <v>130509116046</v>
      </c>
      <c r="B966" s="53" t="s">
        <v>2386</v>
      </c>
      <c r="C966" s="54">
        <v>45949</v>
      </c>
      <c r="D966" s="55">
        <v>51887727923</v>
      </c>
      <c r="E966" s="55">
        <v>2099111829314</v>
      </c>
      <c r="F966" s="56" t="s">
        <v>2387</v>
      </c>
      <c r="G966" s="56" t="s">
        <v>2388</v>
      </c>
      <c r="H966" s="56" t="s">
        <v>8</v>
      </c>
      <c r="I966" s="55" t="s">
        <v>8</v>
      </c>
      <c r="J966" s="57">
        <v>182.36</v>
      </c>
      <c r="K966" s="56" t="s">
        <v>2389</v>
      </c>
      <c r="L966" s="56" t="s">
        <v>2390</v>
      </c>
      <c r="M966" s="55" t="s">
        <v>2391</v>
      </c>
      <c r="N966" s="56" t="s">
        <v>2392</v>
      </c>
      <c r="O966" s="53" t="s">
        <v>8</v>
      </c>
      <c r="P966" s="56" t="s">
        <v>2699</v>
      </c>
      <c r="Q966" s="57">
        <v>18800</v>
      </c>
      <c r="R966" s="58" t="s">
        <v>8</v>
      </c>
      <c r="S966" s="57" t="s">
        <v>8</v>
      </c>
      <c r="T966" s="56" t="s">
        <v>2394</v>
      </c>
    </row>
    <row r="967" spans="1:20">
      <c r="A967" s="55">
        <v>129930974625</v>
      </c>
      <c r="B967" s="53" t="s">
        <v>2386</v>
      </c>
      <c r="C967" s="54">
        <v>45949</v>
      </c>
      <c r="D967" s="55">
        <v>51887785302</v>
      </c>
      <c r="E967" s="55">
        <v>2099038573159</v>
      </c>
      <c r="F967" s="56" t="s">
        <v>2387</v>
      </c>
      <c r="G967" s="56" t="s">
        <v>2388</v>
      </c>
      <c r="H967" s="56" t="s">
        <v>8</v>
      </c>
      <c r="I967" s="55" t="s">
        <v>8</v>
      </c>
      <c r="J967" s="57">
        <v>1196.98</v>
      </c>
      <c r="K967" s="56" t="s">
        <v>2389</v>
      </c>
      <c r="L967" s="56" t="s">
        <v>2390</v>
      </c>
      <c r="M967" s="55" t="s">
        <v>2391</v>
      </c>
      <c r="N967" s="56" t="s">
        <v>2392</v>
      </c>
      <c r="O967" s="53" t="s">
        <v>8</v>
      </c>
      <c r="P967" s="56" t="s">
        <v>2766</v>
      </c>
      <c r="Q967" s="57">
        <v>123400</v>
      </c>
      <c r="R967" s="58" t="s">
        <v>8</v>
      </c>
      <c r="S967" s="57" t="s">
        <v>8</v>
      </c>
      <c r="T967" s="56" t="s">
        <v>2394</v>
      </c>
    </row>
    <row r="968" spans="1:20">
      <c r="A968" s="55">
        <v>130509564908</v>
      </c>
      <c r="B968" s="53" t="s">
        <v>2386</v>
      </c>
      <c r="C968" s="54">
        <v>45949</v>
      </c>
      <c r="D968" s="55">
        <v>51887918994</v>
      </c>
      <c r="E968" s="55">
        <v>2099040689223</v>
      </c>
      <c r="F968" s="56" t="s">
        <v>2401</v>
      </c>
      <c r="G968" s="56" t="s">
        <v>2388</v>
      </c>
      <c r="H968" s="56" t="s">
        <v>8</v>
      </c>
      <c r="I968" s="55" t="s">
        <v>8</v>
      </c>
      <c r="J968" s="57">
        <v>542.34</v>
      </c>
      <c r="K968" s="56" t="s">
        <v>2389</v>
      </c>
      <c r="L968" s="56" t="s">
        <v>2402</v>
      </c>
      <c r="M968" s="55" t="s">
        <v>2391</v>
      </c>
      <c r="N968" s="56" t="s">
        <v>2392</v>
      </c>
      <c r="O968" s="53" t="s">
        <v>2055</v>
      </c>
      <c r="P968" s="56" t="s">
        <v>2403</v>
      </c>
      <c r="Q968" s="57">
        <v>13800</v>
      </c>
      <c r="R968" s="58" t="s">
        <v>8</v>
      </c>
      <c r="S968" s="57" t="s">
        <v>8</v>
      </c>
      <c r="T968" s="56" t="s">
        <v>2394</v>
      </c>
    </row>
    <row r="969" spans="1:20">
      <c r="A969" s="55">
        <v>130509770750</v>
      </c>
      <c r="B969" s="53" t="s">
        <v>2386</v>
      </c>
      <c r="C969" s="54">
        <v>45949</v>
      </c>
      <c r="D969" s="55">
        <v>51887963257</v>
      </c>
      <c r="E969" s="55">
        <v>2099041510325</v>
      </c>
      <c r="F969" s="56" t="s">
        <v>2401</v>
      </c>
      <c r="G969" s="56" t="s">
        <v>2388</v>
      </c>
      <c r="H969" s="56" t="s">
        <v>8</v>
      </c>
      <c r="I969" s="55" t="s">
        <v>8</v>
      </c>
      <c r="J969" s="57">
        <v>188.64</v>
      </c>
      <c r="K969" s="56" t="s">
        <v>2389</v>
      </c>
      <c r="L969" s="56" t="s">
        <v>2402</v>
      </c>
      <c r="M969" s="55" t="s">
        <v>2391</v>
      </c>
      <c r="N969" s="56" t="s">
        <v>2392</v>
      </c>
      <c r="O969" s="53" t="s">
        <v>2055</v>
      </c>
      <c r="P969" s="56" t="s">
        <v>2403</v>
      </c>
      <c r="Q969" s="57">
        <v>4800</v>
      </c>
      <c r="R969" s="58" t="s">
        <v>8</v>
      </c>
      <c r="S969" s="57" t="s">
        <v>8</v>
      </c>
      <c r="T969" s="56" t="s">
        <v>2394</v>
      </c>
    </row>
    <row r="970" spans="1:20">
      <c r="A970" s="55">
        <v>130509962534</v>
      </c>
      <c r="B970" s="53" t="s">
        <v>2386</v>
      </c>
      <c r="C970" s="54">
        <v>45949</v>
      </c>
      <c r="D970" s="55">
        <v>51888001462</v>
      </c>
      <c r="E970" s="55">
        <v>2099116761196</v>
      </c>
      <c r="F970" s="56" t="s">
        <v>2387</v>
      </c>
      <c r="G970" s="56" t="s">
        <v>2388</v>
      </c>
      <c r="H970" s="56" t="s">
        <v>8</v>
      </c>
      <c r="I970" s="55" t="s">
        <v>8</v>
      </c>
      <c r="J970" s="57">
        <v>203.7</v>
      </c>
      <c r="K970" s="56" t="s">
        <v>2389</v>
      </c>
      <c r="L970" s="56" t="s">
        <v>2390</v>
      </c>
      <c r="M970" s="55" t="s">
        <v>2391</v>
      </c>
      <c r="N970" s="56" t="s">
        <v>2392</v>
      </c>
      <c r="O970" s="53" t="s">
        <v>8</v>
      </c>
      <c r="P970" s="56" t="s">
        <v>2748</v>
      </c>
      <c r="Q970" s="57">
        <v>21000</v>
      </c>
      <c r="R970" s="58" t="s">
        <v>8</v>
      </c>
      <c r="S970" s="57" t="s">
        <v>8</v>
      </c>
      <c r="T970" s="56" t="s">
        <v>2394</v>
      </c>
    </row>
    <row r="971" spans="1:20">
      <c r="A971" s="55">
        <v>130509852208</v>
      </c>
      <c r="B971" s="53" t="s">
        <v>2386</v>
      </c>
      <c r="C971" s="54">
        <v>45949</v>
      </c>
      <c r="D971" s="55">
        <v>51888004783</v>
      </c>
      <c r="E971" s="55">
        <v>2099041934463</v>
      </c>
      <c r="F971" s="56" t="s">
        <v>2387</v>
      </c>
      <c r="G971" s="56" t="s">
        <v>2388</v>
      </c>
      <c r="H971" s="56" t="s">
        <v>8</v>
      </c>
      <c r="I971" s="55" t="s">
        <v>8</v>
      </c>
      <c r="J971" s="57">
        <v>397.7</v>
      </c>
      <c r="K971" s="56" t="s">
        <v>2389</v>
      </c>
      <c r="L971" s="56" t="s">
        <v>2390</v>
      </c>
      <c r="M971" s="55" t="s">
        <v>2391</v>
      </c>
      <c r="N971" s="56" t="s">
        <v>2392</v>
      </c>
      <c r="O971" s="53" t="s">
        <v>8</v>
      </c>
      <c r="P971" s="56" t="s">
        <v>2767</v>
      </c>
      <c r="Q971" s="57">
        <v>41000</v>
      </c>
      <c r="R971" s="58" t="s">
        <v>8</v>
      </c>
      <c r="S971" s="57" t="s">
        <v>8</v>
      </c>
      <c r="T971" s="56" t="s">
        <v>2394</v>
      </c>
    </row>
    <row r="972" spans="1:20">
      <c r="A972" s="55">
        <v>129931670223</v>
      </c>
      <c r="B972" s="53" t="s">
        <v>2386</v>
      </c>
      <c r="C972" s="54">
        <v>45949</v>
      </c>
      <c r="D972" s="55">
        <v>51888023446</v>
      </c>
      <c r="E972" s="55">
        <v>2099117113150</v>
      </c>
      <c r="F972" s="56" t="s">
        <v>2387</v>
      </c>
      <c r="G972" s="56" t="s">
        <v>2388</v>
      </c>
      <c r="H972" s="56" t="s">
        <v>8</v>
      </c>
      <c r="I972" s="55" t="s">
        <v>8</v>
      </c>
      <c r="J972" s="57">
        <v>36.86</v>
      </c>
      <c r="K972" s="56" t="s">
        <v>2389</v>
      </c>
      <c r="L972" s="56" t="s">
        <v>2390</v>
      </c>
      <c r="M972" s="55" t="s">
        <v>2391</v>
      </c>
      <c r="N972" s="56" t="s">
        <v>2392</v>
      </c>
      <c r="O972" s="53" t="s">
        <v>8</v>
      </c>
      <c r="P972" s="56" t="s">
        <v>2768</v>
      </c>
      <c r="Q972" s="57">
        <v>3800</v>
      </c>
      <c r="R972" s="58" t="s">
        <v>8</v>
      </c>
      <c r="S972" s="57" t="s">
        <v>8</v>
      </c>
      <c r="T972" s="56" t="s">
        <v>2394</v>
      </c>
    </row>
    <row r="973" spans="1:20">
      <c r="A973" s="55">
        <v>130510447150</v>
      </c>
      <c r="B973" s="53" t="s">
        <v>2386</v>
      </c>
      <c r="C973" s="54">
        <v>45949</v>
      </c>
      <c r="D973" s="55">
        <v>51888209913</v>
      </c>
      <c r="E973" s="55">
        <v>2099046133095</v>
      </c>
      <c r="F973" s="56" t="s">
        <v>2387</v>
      </c>
      <c r="G973" s="56" t="s">
        <v>2388</v>
      </c>
      <c r="H973" s="56" t="s">
        <v>8</v>
      </c>
      <c r="I973" s="55" t="s">
        <v>8</v>
      </c>
      <c r="J973" s="57">
        <v>93.12</v>
      </c>
      <c r="K973" s="56" t="s">
        <v>2389</v>
      </c>
      <c r="L973" s="56" t="s">
        <v>2390</v>
      </c>
      <c r="M973" s="55" t="s">
        <v>2391</v>
      </c>
      <c r="N973" s="56" t="s">
        <v>2392</v>
      </c>
      <c r="O973" s="53" t="s">
        <v>8</v>
      </c>
      <c r="P973" s="56" t="s">
        <v>2769</v>
      </c>
      <c r="Q973" s="57">
        <v>9600</v>
      </c>
      <c r="R973" s="58" t="s">
        <v>8</v>
      </c>
      <c r="S973" s="57" t="s">
        <v>8</v>
      </c>
      <c r="T973" s="56" t="s">
        <v>2394</v>
      </c>
    </row>
    <row r="974" spans="1:20">
      <c r="A974" s="55">
        <v>129932222123</v>
      </c>
      <c r="B974" s="53" t="s">
        <v>2386</v>
      </c>
      <c r="C974" s="54">
        <v>45949</v>
      </c>
      <c r="D974" s="55">
        <v>51888251774</v>
      </c>
      <c r="E974" s="55">
        <v>2099119877030</v>
      </c>
      <c r="F974" s="56" t="s">
        <v>2387</v>
      </c>
      <c r="G974" s="56" t="s">
        <v>2388</v>
      </c>
      <c r="H974" s="56" t="s">
        <v>8</v>
      </c>
      <c r="I974" s="55" t="s">
        <v>8</v>
      </c>
      <c r="J974" s="57">
        <v>582.97</v>
      </c>
      <c r="K974" s="56" t="s">
        <v>2389</v>
      </c>
      <c r="L974" s="56" t="s">
        <v>2390</v>
      </c>
      <c r="M974" s="55" t="s">
        <v>2391</v>
      </c>
      <c r="N974" s="56" t="s">
        <v>2392</v>
      </c>
      <c r="O974" s="53" t="s">
        <v>8</v>
      </c>
      <c r="P974" s="56" t="s">
        <v>2770</v>
      </c>
      <c r="Q974" s="57">
        <v>60100</v>
      </c>
      <c r="R974" s="58" t="s">
        <v>8</v>
      </c>
      <c r="S974" s="57" t="s">
        <v>8</v>
      </c>
      <c r="T974" s="56" t="s">
        <v>2394</v>
      </c>
    </row>
    <row r="975" spans="1:20">
      <c r="A975" s="55">
        <v>129932193821</v>
      </c>
      <c r="B975" s="53" t="s">
        <v>2386</v>
      </c>
      <c r="C975" s="54">
        <v>45949</v>
      </c>
      <c r="D975" s="55">
        <v>51888278815</v>
      </c>
      <c r="E975" s="55">
        <v>2099046321985</v>
      </c>
      <c r="F975" s="56" t="s">
        <v>2387</v>
      </c>
      <c r="G975" s="56" t="s">
        <v>2388</v>
      </c>
      <c r="H975" s="56" t="s">
        <v>8</v>
      </c>
      <c r="I975" s="55" t="s">
        <v>8</v>
      </c>
      <c r="J975" s="57">
        <v>241.53</v>
      </c>
      <c r="K975" s="56" t="s">
        <v>2389</v>
      </c>
      <c r="L975" s="56" t="s">
        <v>2390</v>
      </c>
      <c r="M975" s="55" t="s">
        <v>2391</v>
      </c>
      <c r="N975" s="56" t="s">
        <v>2392</v>
      </c>
      <c r="O975" s="53" t="s">
        <v>8</v>
      </c>
      <c r="P975" s="56" t="s">
        <v>2771</v>
      </c>
      <c r="Q975" s="57">
        <v>24900</v>
      </c>
      <c r="R975" s="58" t="s">
        <v>8</v>
      </c>
      <c r="S975" s="57" t="s">
        <v>8</v>
      </c>
      <c r="T975" s="56" t="s">
        <v>2394</v>
      </c>
    </row>
    <row r="976" spans="1:20">
      <c r="A976" s="55">
        <v>129932270371</v>
      </c>
      <c r="B976" s="53" t="s">
        <v>2386</v>
      </c>
      <c r="C976" s="54">
        <v>45949</v>
      </c>
      <c r="D976" s="55">
        <v>51888284587</v>
      </c>
      <c r="E976" s="55">
        <v>2099120677788</v>
      </c>
      <c r="F976" s="56" t="s">
        <v>2387</v>
      </c>
      <c r="G976" s="56" t="s">
        <v>2388</v>
      </c>
      <c r="H976" s="56" t="s">
        <v>8</v>
      </c>
      <c r="I976" s="55" t="s">
        <v>8</v>
      </c>
      <c r="J976" s="57">
        <v>590.73</v>
      </c>
      <c r="K976" s="56" t="s">
        <v>2389</v>
      </c>
      <c r="L976" s="56" t="s">
        <v>2390</v>
      </c>
      <c r="M976" s="55" t="s">
        <v>2391</v>
      </c>
      <c r="N976" s="56" t="s">
        <v>2392</v>
      </c>
      <c r="O976" s="53" t="s">
        <v>8</v>
      </c>
      <c r="P976" s="56" t="s">
        <v>2772</v>
      </c>
      <c r="Q976" s="57">
        <v>60900</v>
      </c>
      <c r="R976" s="58" t="s">
        <v>8</v>
      </c>
      <c r="S976" s="57" t="s">
        <v>8</v>
      </c>
      <c r="T976" s="56" t="s">
        <v>2394</v>
      </c>
    </row>
    <row r="977" spans="1:20">
      <c r="A977" s="55">
        <v>129932363147</v>
      </c>
      <c r="B977" s="53" t="s">
        <v>2386</v>
      </c>
      <c r="C977" s="54">
        <v>45949</v>
      </c>
      <c r="D977" s="55">
        <v>51888333026</v>
      </c>
      <c r="E977" s="55">
        <v>2099121396278</v>
      </c>
      <c r="F977" s="56" t="s">
        <v>2401</v>
      </c>
      <c r="G977" s="56" t="s">
        <v>2388</v>
      </c>
      <c r="H977" s="56" t="s">
        <v>8</v>
      </c>
      <c r="I977" s="55" t="s">
        <v>8</v>
      </c>
      <c r="J977" s="57">
        <v>157.19999999999999</v>
      </c>
      <c r="K977" s="56" t="s">
        <v>2389</v>
      </c>
      <c r="L977" s="56" t="s">
        <v>2402</v>
      </c>
      <c r="M977" s="55" t="s">
        <v>2391</v>
      </c>
      <c r="N977" s="56" t="s">
        <v>2392</v>
      </c>
      <c r="O977" s="53" t="s">
        <v>2055</v>
      </c>
      <c r="P977" s="56" t="s">
        <v>2403</v>
      </c>
      <c r="Q977" s="57">
        <v>4000</v>
      </c>
      <c r="R977" s="58" t="s">
        <v>8</v>
      </c>
      <c r="S977" s="57" t="s">
        <v>8</v>
      </c>
      <c r="T977" s="56" t="s">
        <v>2394</v>
      </c>
    </row>
    <row r="978" spans="1:20">
      <c r="A978" s="55">
        <v>129932452525</v>
      </c>
      <c r="B978" s="53" t="s">
        <v>2386</v>
      </c>
      <c r="C978" s="54">
        <v>45949</v>
      </c>
      <c r="D978" s="55">
        <v>51888337856</v>
      </c>
      <c r="E978" s="55">
        <v>2099047256929</v>
      </c>
      <c r="F978" s="56" t="s">
        <v>2387</v>
      </c>
      <c r="G978" s="56" t="s">
        <v>2388</v>
      </c>
      <c r="H978" s="56" t="s">
        <v>8</v>
      </c>
      <c r="I978" s="55" t="s">
        <v>8</v>
      </c>
      <c r="J978" s="57">
        <v>308.45999999999998</v>
      </c>
      <c r="K978" s="56" t="s">
        <v>2389</v>
      </c>
      <c r="L978" s="56" t="s">
        <v>2390</v>
      </c>
      <c r="M978" s="55" t="s">
        <v>2391</v>
      </c>
      <c r="N978" s="56" t="s">
        <v>2392</v>
      </c>
      <c r="O978" s="53" t="s">
        <v>8</v>
      </c>
      <c r="P978" s="56" t="s">
        <v>2773</v>
      </c>
      <c r="Q978" s="57">
        <v>31800</v>
      </c>
      <c r="R978" s="58" t="s">
        <v>8</v>
      </c>
      <c r="S978" s="57" t="s">
        <v>8</v>
      </c>
      <c r="T978" s="56" t="s">
        <v>2394</v>
      </c>
    </row>
    <row r="979" spans="1:20">
      <c r="A979" s="55">
        <v>129932460795</v>
      </c>
      <c r="B979" s="53" t="s">
        <v>2386</v>
      </c>
      <c r="C979" s="54">
        <v>45949</v>
      </c>
      <c r="D979" s="55">
        <v>51888352885</v>
      </c>
      <c r="E979" s="55">
        <v>2099047548797</v>
      </c>
      <c r="F979" s="56" t="s">
        <v>2387</v>
      </c>
      <c r="G979" s="56" t="s">
        <v>2388</v>
      </c>
      <c r="H979" s="56" t="s">
        <v>8</v>
      </c>
      <c r="I979" s="55" t="s">
        <v>8</v>
      </c>
      <c r="J979" s="57">
        <v>512.16</v>
      </c>
      <c r="K979" s="56" t="s">
        <v>2389</v>
      </c>
      <c r="L979" s="56" t="s">
        <v>2390</v>
      </c>
      <c r="M979" s="55" t="s">
        <v>2391</v>
      </c>
      <c r="N979" s="56" t="s">
        <v>2392</v>
      </c>
      <c r="O979" s="53" t="s">
        <v>8</v>
      </c>
      <c r="P979" s="56" t="s">
        <v>2774</v>
      </c>
      <c r="Q979" s="57">
        <v>52800</v>
      </c>
      <c r="R979" s="58" t="s">
        <v>8</v>
      </c>
      <c r="S979" s="57" t="s">
        <v>8</v>
      </c>
      <c r="T979" s="56" t="s">
        <v>2394</v>
      </c>
    </row>
    <row r="980" spans="1:20">
      <c r="A980" s="55">
        <v>129932493309</v>
      </c>
      <c r="B980" s="53" t="s">
        <v>2386</v>
      </c>
      <c r="C980" s="54">
        <v>45949</v>
      </c>
      <c r="D980" s="55">
        <v>51888390600</v>
      </c>
      <c r="E980" s="55">
        <v>2099122457718</v>
      </c>
      <c r="F980" s="56" t="s">
        <v>2401</v>
      </c>
      <c r="G980" s="56" t="s">
        <v>2388</v>
      </c>
      <c r="H980" s="56" t="s">
        <v>8</v>
      </c>
      <c r="I980" s="55" t="s">
        <v>8</v>
      </c>
      <c r="J980" s="57">
        <v>2558.4299999999998</v>
      </c>
      <c r="K980" s="56" t="s">
        <v>2389</v>
      </c>
      <c r="L980" s="56" t="s">
        <v>2402</v>
      </c>
      <c r="M980" s="55" t="s">
        <v>2391</v>
      </c>
      <c r="N980" s="56" t="s">
        <v>2392</v>
      </c>
      <c r="O980" s="53" t="s">
        <v>2055</v>
      </c>
      <c r="P980" s="56" t="s">
        <v>2403</v>
      </c>
      <c r="Q980" s="57">
        <v>65100</v>
      </c>
      <c r="R980" s="58" t="s">
        <v>8</v>
      </c>
      <c r="S980" s="57" t="s">
        <v>8</v>
      </c>
      <c r="T980" s="56" t="s">
        <v>2394</v>
      </c>
    </row>
    <row r="981" spans="1:20">
      <c r="A981" s="55">
        <v>129932563723</v>
      </c>
      <c r="B981" s="53" t="s">
        <v>2386</v>
      </c>
      <c r="C981" s="54">
        <v>45949</v>
      </c>
      <c r="D981" s="55">
        <v>51888403986</v>
      </c>
      <c r="E981" s="55">
        <v>2099123035940</v>
      </c>
      <c r="F981" s="56" t="s">
        <v>2411</v>
      </c>
      <c r="G981" s="56" t="s">
        <v>2388</v>
      </c>
      <c r="H981" s="56" t="s">
        <v>8</v>
      </c>
      <c r="I981" s="55" t="s">
        <v>8</v>
      </c>
      <c r="J981" s="57">
        <v>255.11</v>
      </c>
      <c r="K981" s="56" t="s">
        <v>2389</v>
      </c>
      <c r="L981" s="56" t="s">
        <v>2390</v>
      </c>
      <c r="M981" s="55" t="s">
        <v>2391</v>
      </c>
      <c r="N981" s="56" t="s">
        <v>2392</v>
      </c>
      <c r="O981" s="53" t="s">
        <v>8</v>
      </c>
      <c r="P981" s="56" t="s">
        <v>2412</v>
      </c>
      <c r="Q981" s="57">
        <v>26300</v>
      </c>
      <c r="R981" s="58" t="s">
        <v>8</v>
      </c>
      <c r="S981" s="57" t="s">
        <v>8</v>
      </c>
      <c r="T981" s="56" t="s">
        <v>8</v>
      </c>
    </row>
    <row r="982" spans="1:20">
      <c r="A982" s="55">
        <v>130510871960</v>
      </c>
      <c r="B982" s="53" t="s">
        <v>2386</v>
      </c>
      <c r="C982" s="54">
        <v>45949</v>
      </c>
      <c r="D982" s="55">
        <v>51888438880</v>
      </c>
      <c r="E982" s="55">
        <v>2099048837827</v>
      </c>
      <c r="F982" s="56" t="s">
        <v>2387</v>
      </c>
      <c r="G982" s="56" t="s">
        <v>2388</v>
      </c>
      <c r="H982" s="56" t="s">
        <v>8</v>
      </c>
      <c r="I982" s="55" t="s">
        <v>8</v>
      </c>
      <c r="J982" s="57">
        <v>198.85</v>
      </c>
      <c r="K982" s="56" t="s">
        <v>2389</v>
      </c>
      <c r="L982" s="56" t="s">
        <v>2390</v>
      </c>
      <c r="M982" s="55" t="s">
        <v>2391</v>
      </c>
      <c r="N982" s="56" t="s">
        <v>2392</v>
      </c>
      <c r="O982" s="53" t="s">
        <v>8</v>
      </c>
      <c r="P982" s="56" t="s">
        <v>2775</v>
      </c>
      <c r="Q982" s="57">
        <v>20500</v>
      </c>
      <c r="R982" s="58" t="s">
        <v>8</v>
      </c>
      <c r="S982" s="57" t="s">
        <v>8</v>
      </c>
      <c r="T982" s="56" t="s">
        <v>2394</v>
      </c>
    </row>
    <row r="983" spans="1:20">
      <c r="A983" s="55">
        <v>130510890048</v>
      </c>
      <c r="B983" s="53" t="s">
        <v>2386</v>
      </c>
      <c r="C983" s="54">
        <v>45949</v>
      </c>
      <c r="D983" s="55">
        <v>51888465557</v>
      </c>
      <c r="E983" s="55">
        <v>2099123426878</v>
      </c>
      <c r="F983" s="56" t="s">
        <v>2387</v>
      </c>
      <c r="G983" s="56" t="s">
        <v>2388</v>
      </c>
      <c r="H983" s="56" t="s">
        <v>8</v>
      </c>
      <c r="I983" s="55" t="s">
        <v>8</v>
      </c>
      <c r="J983" s="57">
        <v>302.64</v>
      </c>
      <c r="K983" s="56" t="s">
        <v>2389</v>
      </c>
      <c r="L983" s="56" t="s">
        <v>2390</v>
      </c>
      <c r="M983" s="55" t="s">
        <v>2391</v>
      </c>
      <c r="N983" s="56" t="s">
        <v>2392</v>
      </c>
      <c r="O983" s="53" t="s">
        <v>8</v>
      </c>
      <c r="P983" s="56" t="s">
        <v>2776</v>
      </c>
      <c r="Q983" s="57">
        <v>31200</v>
      </c>
      <c r="R983" s="58" t="s">
        <v>8</v>
      </c>
      <c r="S983" s="57" t="s">
        <v>8</v>
      </c>
      <c r="T983" s="56" t="s">
        <v>2394</v>
      </c>
    </row>
    <row r="984" spans="1:20">
      <c r="A984" s="55">
        <v>130511004854</v>
      </c>
      <c r="B984" s="53" t="s">
        <v>2386</v>
      </c>
      <c r="C984" s="54">
        <v>45949</v>
      </c>
      <c r="D984" s="55">
        <v>51888471443</v>
      </c>
      <c r="E984" s="55">
        <v>2099123437270</v>
      </c>
      <c r="F984" s="56" t="s">
        <v>2401</v>
      </c>
      <c r="G984" s="56" t="s">
        <v>2388</v>
      </c>
      <c r="H984" s="56" t="s">
        <v>8</v>
      </c>
      <c r="I984" s="55" t="s">
        <v>8</v>
      </c>
      <c r="J984" s="57">
        <v>394.98</v>
      </c>
      <c r="K984" s="56" t="s">
        <v>2389</v>
      </c>
      <c r="L984" s="56" t="s">
        <v>2402</v>
      </c>
      <c r="M984" s="55" t="s">
        <v>2391</v>
      </c>
      <c r="N984" s="56" t="s">
        <v>2392</v>
      </c>
      <c r="O984" s="53" t="s">
        <v>2055</v>
      </c>
      <c r="P984" s="56" t="s">
        <v>2403</v>
      </c>
      <c r="Q984" s="57">
        <v>8700</v>
      </c>
      <c r="R984" s="58" t="s">
        <v>8</v>
      </c>
      <c r="S984" s="57" t="s">
        <v>8</v>
      </c>
      <c r="T984" s="56" t="s">
        <v>2394</v>
      </c>
    </row>
    <row r="985" spans="1:20">
      <c r="A985" s="55">
        <v>130510983586</v>
      </c>
      <c r="B985" s="53" t="s">
        <v>2386</v>
      </c>
      <c r="C985" s="54">
        <v>45949</v>
      </c>
      <c r="D985" s="55">
        <v>51888477260</v>
      </c>
      <c r="E985" s="55">
        <v>2099049411229</v>
      </c>
      <c r="F985" s="56" t="s">
        <v>2387</v>
      </c>
      <c r="G985" s="56" t="s">
        <v>2388</v>
      </c>
      <c r="H985" s="56" t="s">
        <v>8</v>
      </c>
      <c r="I985" s="55" t="s">
        <v>8</v>
      </c>
      <c r="J985" s="57">
        <v>246.38</v>
      </c>
      <c r="K985" s="56" t="s">
        <v>2389</v>
      </c>
      <c r="L985" s="56" t="s">
        <v>2390</v>
      </c>
      <c r="M985" s="55" t="s">
        <v>2391</v>
      </c>
      <c r="N985" s="56" t="s">
        <v>2392</v>
      </c>
      <c r="O985" s="53" t="s">
        <v>8</v>
      </c>
      <c r="P985" s="56" t="s">
        <v>2777</v>
      </c>
      <c r="Q985" s="57">
        <v>25400</v>
      </c>
      <c r="R985" s="58" t="s">
        <v>8</v>
      </c>
      <c r="S985" s="57" t="s">
        <v>8</v>
      </c>
      <c r="T985" s="56" t="s">
        <v>2394</v>
      </c>
    </row>
    <row r="986" spans="1:20">
      <c r="A986" s="55">
        <v>129932719263</v>
      </c>
      <c r="B986" s="53" t="s">
        <v>2386</v>
      </c>
      <c r="C986" s="54">
        <v>45949</v>
      </c>
      <c r="D986" s="55">
        <v>51888500989</v>
      </c>
      <c r="E986" s="55">
        <v>2099124061054</v>
      </c>
      <c r="F986" s="56" t="s">
        <v>2387</v>
      </c>
      <c r="G986" s="56" t="s">
        <v>2388</v>
      </c>
      <c r="H986" s="56" t="s">
        <v>8</v>
      </c>
      <c r="I986" s="55" t="s">
        <v>8</v>
      </c>
      <c r="J986" s="57">
        <v>105.73</v>
      </c>
      <c r="K986" s="56" t="s">
        <v>2389</v>
      </c>
      <c r="L986" s="56" t="s">
        <v>2390</v>
      </c>
      <c r="M986" s="55" t="s">
        <v>2391</v>
      </c>
      <c r="N986" s="56" t="s">
        <v>2392</v>
      </c>
      <c r="O986" s="53" t="s">
        <v>8</v>
      </c>
      <c r="P986" s="56" t="s">
        <v>2778</v>
      </c>
      <c r="Q986" s="57">
        <v>10900</v>
      </c>
      <c r="R986" s="58" t="s">
        <v>8</v>
      </c>
      <c r="S986" s="57" t="s">
        <v>8</v>
      </c>
      <c r="T986" s="56" t="s">
        <v>2394</v>
      </c>
    </row>
    <row r="987" spans="1:20">
      <c r="A987" s="55">
        <v>129995987851</v>
      </c>
      <c r="B987" s="53" t="s">
        <v>2386</v>
      </c>
      <c r="C987" s="54">
        <v>45949</v>
      </c>
      <c r="D987" s="55">
        <v>51916066582</v>
      </c>
      <c r="E987" s="55">
        <v>2099515531410</v>
      </c>
      <c r="F987" s="56" t="s">
        <v>2475</v>
      </c>
      <c r="G987" s="56" t="s">
        <v>2388</v>
      </c>
      <c r="H987" s="56" t="s">
        <v>8</v>
      </c>
      <c r="I987" s="55" t="s">
        <v>8</v>
      </c>
      <c r="J987" s="57">
        <v>372.89</v>
      </c>
      <c r="K987" s="56" t="s">
        <v>2389</v>
      </c>
      <c r="L987" s="56" t="s">
        <v>2390</v>
      </c>
      <c r="M987" s="55" t="s">
        <v>2391</v>
      </c>
      <c r="N987" s="56" t="s">
        <v>2392</v>
      </c>
      <c r="O987" s="53" t="s">
        <v>8</v>
      </c>
      <c r="P987" s="56" t="s">
        <v>2477</v>
      </c>
      <c r="Q987" s="57">
        <v>4900</v>
      </c>
      <c r="R987" s="58" t="s">
        <v>8</v>
      </c>
      <c r="S987" s="57" t="s">
        <v>8</v>
      </c>
      <c r="T987" s="56" t="s">
        <v>2394</v>
      </c>
    </row>
    <row r="988" spans="1:20">
      <c r="A988" s="55">
        <v>129998477397</v>
      </c>
      <c r="B988" s="53" t="s">
        <v>2386</v>
      </c>
      <c r="C988" s="54">
        <v>45949</v>
      </c>
      <c r="D988" s="55">
        <v>51917101252</v>
      </c>
      <c r="E988" s="55">
        <v>2099530636808</v>
      </c>
      <c r="F988" s="56" t="s">
        <v>2387</v>
      </c>
      <c r="G988" s="56" t="s">
        <v>2388</v>
      </c>
      <c r="H988" s="56" t="s">
        <v>8</v>
      </c>
      <c r="I988" s="55" t="s">
        <v>8</v>
      </c>
      <c r="J988" s="57">
        <v>23.28</v>
      </c>
      <c r="K988" s="56" t="s">
        <v>2389</v>
      </c>
      <c r="L988" s="56" t="s">
        <v>2390</v>
      </c>
      <c r="M988" s="55" t="s">
        <v>2391</v>
      </c>
      <c r="N988" s="56" t="s">
        <v>2392</v>
      </c>
      <c r="O988" s="53" t="s">
        <v>8</v>
      </c>
      <c r="P988" s="56" t="s">
        <v>2779</v>
      </c>
      <c r="Q988" s="57">
        <v>2400</v>
      </c>
      <c r="R988" s="58" t="s">
        <v>8</v>
      </c>
      <c r="S988" s="57" t="s">
        <v>8</v>
      </c>
      <c r="T988" s="56" t="s">
        <v>2394</v>
      </c>
    </row>
    <row r="989" spans="1:20">
      <c r="A989" s="55">
        <v>130001228701</v>
      </c>
      <c r="B989" s="53" t="s">
        <v>2386</v>
      </c>
      <c r="C989" s="54">
        <v>45949</v>
      </c>
      <c r="D989" s="55">
        <v>51918172800</v>
      </c>
      <c r="E989" s="55">
        <v>2099472667765</v>
      </c>
      <c r="F989" s="56" t="s">
        <v>2387</v>
      </c>
      <c r="G989" s="56" t="s">
        <v>2388</v>
      </c>
      <c r="H989" s="56" t="s">
        <v>8</v>
      </c>
      <c r="I989" s="55" t="s">
        <v>8</v>
      </c>
      <c r="J989" s="57">
        <v>46.56</v>
      </c>
      <c r="K989" s="56" t="s">
        <v>2389</v>
      </c>
      <c r="L989" s="56" t="s">
        <v>2390</v>
      </c>
      <c r="M989" s="55" t="s">
        <v>2391</v>
      </c>
      <c r="N989" s="56" t="s">
        <v>2392</v>
      </c>
      <c r="O989" s="53" t="s">
        <v>8</v>
      </c>
      <c r="P989" s="56" t="s">
        <v>2780</v>
      </c>
      <c r="Q989" s="57">
        <v>4800</v>
      </c>
      <c r="R989" s="58" t="s">
        <v>8</v>
      </c>
      <c r="S989" s="57" t="s">
        <v>8</v>
      </c>
      <c r="T989" s="56" t="s">
        <v>2394</v>
      </c>
    </row>
    <row r="990" spans="1:20">
      <c r="A990" s="55">
        <v>130001899155</v>
      </c>
      <c r="B990" s="53" t="s">
        <v>2386</v>
      </c>
      <c r="C990" s="54">
        <v>45949</v>
      </c>
      <c r="D990" s="55">
        <v>51918473949</v>
      </c>
      <c r="E990" s="55">
        <v>2099477276241</v>
      </c>
      <c r="F990" s="56" t="s">
        <v>2387</v>
      </c>
      <c r="G990" s="56" t="s">
        <v>2388</v>
      </c>
      <c r="H990" s="56" t="s">
        <v>8</v>
      </c>
      <c r="I990" s="55" t="s">
        <v>8</v>
      </c>
      <c r="J990" s="57">
        <v>93.12</v>
      </c>
      <c r="K990" s="56" t="s">
        <v>2389</v>
      </c>
      <c r="L990" s="56" t="s">
        <v>2390</v>
      </c>
      <c r="M990" s="55" t="s">
        <v>2391</v>
      </c>
      <c r="N990" s="56" t="s">
        <v>2392</v>
      </c>
      <c r="O990" s="53" t="s">
        <v>8</v>
      </c>
      <c r="P990" s="56" t="s">
        <v>2410</v>
      </c>
      <c r="Q990" s="57">
        <v>9600</v>
      </c>
      <c r="R990" s="58" t="s">
        <v>8</v>
      </c>
      <c r="S990" s="57" t="s">
        <v>8</v>
      </c>
      <c r="T990" s="56" t="s">
        <v>2394</v>
      </c>
    </row>
    <row r="991" spans="1:20">
      <c r="A991" s="55">
        <v>130002820299</v>
      </c>
      <c r="B991" s="53" t="s">
        <v>2386</v>
      </c>
      <c r="C991" s="54">
        <v>45949</v>
      </c>
      <c r="D991" s="55">
        <v>51918778734</v>
      </c>
      <c r="E991" s="55">
        <v>2099556091560</v>
      </c>
      <c r="F991" s="56" t="s">
        <v>2387</v>
      </c>
      <c r="G991" s="56" t="s">
        <v>2388</v>
      </c>
      <c r="H991" s="56" t="s">
        <v>8</v>
      </c>
      <c r="I991" s="55" t="s">
        <v>8</v>
      </c>
      <c r="J991" s="57">
        <v>23.28</v>
      </c>
      <c r="K991" s="56" t="s">
        <v>2389</v>
      </c>
      <c r="L991" s="56" t="s">
        <v>2390</v>
      </c>
      <c r="M991" s="55" t="s">
        <v>2391</v>
      </c>
      <c r="N991" s="56" t="s">
        <v>2392</v>
      </c>
      <c r="O991" s="53" t="s">
        <v>8</v>
      </c>
      <c r="P991" s="56" t="s">
        <v>2779</v>
      </c>
      <c r="Q991" s="57">
        <v>2400</v>
      </c>
      <c r="R991" s="58" t="s">
        <v>8</v>
      </c>
      <c r="S991" s="57" t="s">
        <v>8</v>
      </c>
      <c r="T991" s="56" t="s">
        <v>2394</v>
      </c>
    </row>
    <row r="992" spans="1:20">
      <c r="A992" s="55">
        <v>130582654102</v>
      </c>
      <c r="B992" s="53" t="s">
        <v>2386</v>
      </c>
      <c r="C992" s="54">
        <v>45949</v>
      </c>
      <c r="D992" s="55">
        <v>51919264466</v>
      </c>
      <c r="E992" s="55">
        <v>2099489251775</v>
      </c>
      <c r="F992" s="56" t="s">
        <v>2387</v>
      </c>
      <c r="G992" s="56" t="s">
        <v>2388</v>
      </c>
      <c r="H992" s="56" t="s">
        <v>8</v>
      </c>
      <c r="I992" s="55" t="s">
        <v>8</v>
      </c>
      <c r="J992" s="57">
        <v>46.56</v>
      </c>
      <c r="K992" s="56" t="s">
        <v>2389</v>
      </c>
      <c r="L992" s="56" t="s">
        <v>2390</v>
      </c>
      <c r="M992" s="55" t="s">
        <v>2391</v>
      </c>
      <c r="N992" s="56" t="s">
        <v>2392</v>
      </c>
      <c r="O992" s="53" t="s">
        <v>8</v>
      </c>
      <c r="P992" s="56" t="s">
        <v>2779</v>
      </c>
      <c r="Q992" s="57">
        <v>4800</v>
      </c>
      <c r="R992" s="58" t="s">
        <v>8</v>
      </c>
      <c r="S992" s="57" t="s">
        <v>8</v>
      </c>
      <c r="T992" s="56" t="s">
        <v>2394</v>
      </c>
    </row>
    <row r="993" spans="1:20">
      <c r="A993" s="55">
        <v>130583209284</v>
      </c>
      <c r="B993" s="53" t="s">
        <v>2386</v>
      </c>
      <c r="C993" s="54">
        <v>45949</v>
      </c>
      <c r="D993" s="55">
        <v>51919538816</v>
      </c>
      <c r="E993" s="55">
        <v>2099493423461</v>
      </c>
      <c r="F993" s="56" t="s">
        <v>2387</v>
      </c>
      <c r="G993" s="56" t="s">
        <v>2388</v>
      </c>
      <c r="H993" s="56" t="s">
        <v>8</v>
      </c>
      <c r="I993" s="55" t="s">
        <v>8</v>
      </c>
      <c r="J993" s="57">
        <v>730.56</v>
      </c>
      <c r="K993" s="56" t="s">
        <v>2389</v>
      </c>
      <c r="L993" s="56" t="s">
        <v>2390</v>
      </c>
      <c r="M993" s="55" t="s">
        <v>2391</v>
      </c>
      <c r="N993" s="56" t="s">
        <v>2392</v>
      </c>
      <c r="O993" s="53" t="s">
        <v>8</v>
      </c>
      <c r="P993" s="56" t="s">
        <v>2532</v>
      </c>
      <c r="Q993" s="57">
        <v>9600</v>
      </c>
      <c r="R993" s="58" t="s">
        <v>8</v>
      </c>
      <c r="S993" s="57" t="s">
        <v>8</v>
      </c>
      <c r="T993" s="56" t="s">
        <v>2394</v>
      </c>
    </row>
    <row r="994" spans="1:20">
      <c r="A994" s="55">
        <v>130004895803</v>
      </c>
      <c r="B994" s="53" t="s">
        <v>2386</v>
      </c>
      <c r="C994" s="54">
        <v>45949</v>
      </c>
      <c r="D994" s="55">
        <v>51919657155</v>
      </c>
      <c r="E994" s="55">
        <v>2099494989461</v>
      </c>
      <c r="F994" s="56" t="s">
        <v>2401</v>
      </c>
      <c r="G994" s="56" t="s">
        <v>2388</v>
      </c>
      <c r="H994" s="56" t="s">
        <v>8</v>
      </c>
      <c r="I994" s="55" t="s">
        <v>8</v>
      </c>
      <c r="J994" s="57">
        <v>754.56</v>
      </c>
      <c r="K994" s="56" t="s">
        <v>2389</v>
      </c>
      <c r="L994" s="56" t="s">
        <v>2402</v>
      </c>
      <c r="M994" s="55" t="s">
        <v>2391</v>
      </c>
      <c r="N994" s="56" t="s">
        <v>2392</v>
      </c>
      <c r="O994" s="53" t="s">
        <v>2055</v>
      </c>
      <c r="P994" s="56" t="s">
        <v>2403</v>
      </c>
      <c r="Q994" s="57">
        <v>19200</v>
      </c>
      <c r="R994" s="58" t="s">
        <v>8</v>
      </c>
      <c r="S994" s="57" t="s">
        <v>8</v>
      </c>
      <c r="T994" s="56" t="s">
        <v>2394</v>
      </c>
    </row>
    <row r="995" spans="1:20">
      <c r="A995" s="55">
        <v>130583515842</v>
      </c>
      <c r="B995" s="53" t="s">
        <v>2386</v>
      </c>
      <c r="C995" s="54">
        <v>45949</v>
      </c>
      <c r="D995" s="55">
        <v>51919671352</v>
      </c>
      <c r="E995" s="55">
        <v>2099495494813</v>
      </c>
      <c r="F995" s="56" t="s">
        <v>2401</v>
      </c>
      <c r="G995" s="56" t="s">
        <v>2388</v>
      </c>
      <c r="H995" s="56" t="s">
        <v>8</v>
      </c>
      <c r="I995" s="55" t="s">
        <v>8</v>
      </c>
      <c r="J995" s="57">
        <v>2326.56</v>
      </c>
      <c r="K995" s="56" t="s">
        <v>2389</v>
      </c>
      <c r="L995" s="56" t="s">
        <v>2402</v>
      </c>
      <c r="M995" s="55" t="s">
        <v>2391</v>
      </c>
      <c r="N995" s="56" t="s">
        <v>2392</v>
      </c>
      <c r="O995" s="53" t="s">
        <v>2055</v>
      </c>
      <c r="P995" s="56" t="s">
        <v>2403</v>
      </c>
      <c r="Q995" s="57">
        <v>59200</v>
      </c>
      <c r="R995" s="58" t="s">
        <v>8</v>
      </c>
      <c r="S995" s="57" t="s">
        <v>8</v>
      </c>
      <c r="T995" s="56" t="s">
        <v>2394</v>
      </c>
    </row>
    <row r="996" spans="1:20">
      <c r="A996" s="55">
        <v>130005830393</v>
      </c>
      <c r="B996" s="53" t="s">
        <v>2386</v>
      </c>
      <c r="C996" s="54">
        <v>45949</v>
      </c>
      <c r="D996" s="55">
        <v>51920008097</v>
      </c>
      <c r="E996" s="55">
        <v>2099500687947</v>
      </c>
      <c r="F996" s="56" t="s">
        <v>2387</v>
      </c>
      <c r="G996" s="56" t="s">
        <v>2388</v>
      </c>
      <c r="H996" s="56" t="s">
        <v>8</v>
      </c>
      <c r="I996" s="55" t="s">
        <v>8</v>
      </c>
      <c r="J996" s="57">
        <v>42.68</v>
      </c>
      <c r="K996" s="56" t="s">
        <v>2389</v>
      </c>
      <c r="L996" s="56" t="s">
        <v>2390</v>
      </c>
      <c r="M996" s="55" t="s">
        <v>2391</v>
      </c>
      <c r="N996" s="56" t="s">
        <v>2392</v>
      </c>
      <c r="O996" s="53" t="s">
        <v>8</v>
      </c>
      <c r="P996" s="56" t="s">
        <v>2781</v>
      </c>
      <c r="Q996" s="57">
        <v>4400</v>
      </c>
      <c r="R996" s="58" t="s">
        <v>8</v>
      </c>
      <c r="S996" s="57" t="s">
        <v>8</v>
      </c>
      <c r="T996" s="56" t="s">
        <v>2394</v>
      </c>
    </row>
    <row r="997" spans="1:20">
      <c r="A997" s="55">
        <v>130584728334</v>
      </c>
      <c r="B997" s="53" t="s">
        <v>2386</v>
      </c>
      <c r="C997" s="54">
        <v>45949</v>
      </c>
      <c r="D997" s="55">
        <v>51920125675</v>
      </c>
      <c r="E997" s="55">
        <v>2099502336509</v>
      </c>
      <c r="F997" s="56" t="s">
        <v>2387</v>
      </c>
      <c r="G997" s="56" t="s">
        <v>2388</v>
      </c>
      <c r="H997" s="56" t="s">
        <v>8</v>
      </c>
      <c r="I997" s="55" t="s">
        <v>8</v>
      </c>
      <c r="J997" s="57">
        <v>393.82</v>
      </c>
      <c r="K997" s="56" t="s">
        <v>2389</v>
      </c>
      <c r="L997" s="56" t="s">
        <v>2390</v>
      </c>
      <c r="M997" s="55" t="s">
        <v>2391</v>
      </c>
      <c r="N997" s="56" t="s">
        <v>2392</v>
      </c>
      <c r="O997" s="53" t="s">
        <v>8</v>
      </c>
      <c r="P997" s="56" t="s">
        <v>2782</v>
      </c>
      <c r="Q997" s="57">
        <v>40600</v>
      </c>
      <c r="R997" s="58" t="s">
        <v>8</v>
      </c>
      <c r="S997" s="57" t="s">
        <v>8</v>
      </c>
      <c r="T997" s="56" t="s">
        <v>2394</v>
      </c>
    </row>
    <row r="998" spans="1:20">
      <c r="A998" s="55">
        <v>130585080512</v>
      </c>
      <c r="B998" s="53" t="s">
        <v>2386</v>
      </c>
      <c r="C998" s="54">
        <v>45949</v>
      </c>
      <c r="D998" s="55">
        <v>51920256140</v>
      </c>
      <c r="E998" s="55">
        <v>2099578377328</v>
      </c>
      <c r="F998" s="56" t="s">
        <v>2401</v>
      </c>
      <c r="G998" s="56" t="s">
        <v>2388</v>
      </c>
      <c r="H998" s="56" t="s">
        <v>8</v>
      </c>
      <c r="I998" s="55" t="s">
        <v>8</v>
      </c>
      <c r="J998" s="57">
        <v>389.07</v>
      </c>
      <c r="K998" s="56" t="s">
        <v>2389</v>
      </c>
      <c r="L998" s="56" t="s">
        <v>2402</v>
      </c>
      <c r="M998" s="55" t="s">
        <v>2391</v>
      </c>
      <c r="N998" s="56" t="s">
        <v>2392</v>
      </c>
      <c r="O998" s="53" t="s">
        <v>2055</v>
      </c>
      <c r="P998" s="56" t="s">
        <v>2403</v>
      </c>
      <c r="Q998" s="57">
        <v>9900</v>
      </c>
      <c r="R998" s="58" t="s">
        <v>8</v>
      </c>
      <c r="S998" s="57" t="s">
        <v>8</v>
      </c>
      <c r="T998" s="56" t="s">
        <v>2394</v>
      </c>
    </row>
    <row r="999" spans="1:20">
      <c r="A999" s="55">
        <v>130586021122</v>
      </c>
      <c r="B999" s="53" t="s">
        <v>2386</v>
      </c>
      <c r="C999" s="54">
        <v>45949</v>
      </c>
      <c r="D999" s="55">
        <v>51920685603</v>
      </c>
      <c r="E999" s="55">
        <v>2099510440069</v>
      </c>
      <c r="F999" s="56" t="s">
        <v>2401</v>
      </c>
      <c r="G999" s="56" t="s">
        <v>2388</v>
      </c>
      <c r="H999" s="56" t="s">
        <v>8</v>
      </c>
      <c r="I999" s="55" t="s">
        <v>8</v>
      </c>
      <c r="J999" s="57">
        <v>649.22</v>
      </c>
      <c r="K999" s="56" t="s">
        <v>2389</v>
      </c>
      <c r="L999" s="56" t="s">
        <v>2402</v>
      </c>
      <c r="M999" s="55" t="s">
        <v>2391</v>
      </c>
      <c r="N999" s="56" t="s">
        <v>2392</v>
      </c>
      <c r="O999" s="53" t="s">
        <v>2055</v>
      </c>
      <c r="P999" s="56" t="s">
        <v>2403</v>
      </c>
      <c r="Q999" s="57">
        <v>14300</v>
      </c>
      <c r="R999" s="58" t="s">
        <v>8</v>
      </c>
      <c r="S999" s="57" t="s">
        <v>8</v>
      </c>
      <c r="T999" s="56" t="s">
        <v>2394</v>
      </c>
    </row>
    <row r="1000" spans="1:20">
      <c r="A1000" s="55">
        <v>130007731191</v>
      </c>
      <c r="B1000" s="53" t="s">
        <v>2386</v>
      </c>
      <c r="C1000" s="54">
        <v>45949</v>
      </c>
      <c r="D1000" s="55">
        <v>51920764247</v>
      </c>
      <c r="E1000" s="55">
        <v>2099512086073</v>
      </c>
      <c r="F1000" s="56" t="s">
        <v>2475</v>
      </c>
      <c r="G1000" s="56" t="s">
        <v>2388</v>
      </c>
      <c r="H1000" s="56" t="s">
        <v>8</v>
      </c>
      <c r="I1000" s="55" t="s">
        <v>8</v>
      </c>
      <c r="J1000" s="57">
        <v>1240.43</v>
      </c>
      <c r="K1000" s="56" t="s">
        <v>2389</v>
      </c>
      <c r="L1000" s="56" t="s">
        <v>2390</v>
      </c>
      <c r="M1000" s="55" t="s">
        <v>2391</v>
      </c>
      <c r="N1000" s="56" t="s">
        <v>2392</v>
      </c>
      <c r="O1000" s="53" t="s">
        <v>8</v>
      </c>
      <c r="P1000" s="56" t="s">
        <v>2634</v>
      </c>
      <c r="Q1000" s="57">
        <v>16300</v>
      </c>
      <c r="R1000" s="58" t="s">
        <v>8</v>
      </c>
      <c r="S1000" s="57" t="s">
        <v>8</v>
      </c>
      <c r="T1000" s="56" t="s">
        <v>2394</v>
      </c>
    </row>
    <row r="1001" spans="1:20">
      <c r="A1001" s="55">
        <v>130586314610</v>
      </c>
      <c r="B1001" s="53" t="s">
        <v>2386</v>
      </c>
      <c r="C1001" s="54">
        <v>45949</v>
      </c>
      <c r="D1001" s="55">
        <v>51920773140</v>
      </c>
      <c r="E1001" s="55">
        <v>2099586665206</v>
      </c>
      <c r="F1001" s="56" t="s">
        <v>2401</v>
      </c>
      <c r="G1001" s="56" t="s">
        <v>2388</v>
      </c>
      <c r="H1001" s="56" t="s">
        <v>8</v>
      </c>
      <c r="I1001" s="55" t="s">
        <v>8</v>
      </c>
      <c r="J1001" s="57">
        <v>377.28</v>
      </c>
      <c r="K1001" s="56" t="s">
        <v>2389</v>
      </c>
      <c r="L1001" s="56" t="s">
        <v>2402</v>
      </c>
      <c r="M1001" s="55" t="s">
        <v>2391</v>
      </c>
      <c r="N1001" s="56" t="s">
        <v>2392</v>
      </c>
      <c r="O1001" s="53" t="s">
        <v>2055</v>
      </c>
      <c r="P1001" s="56" t="s">
        <v>2403</v>
      </c>
      <c r="Q1001" s="57">
        <v>9600</v>
      </c>
      <c r="R1001" s="58" t="s">
        <v>8</v>
      </c>
      <c r="S1001" s="57" t="s">
        <v>8</v>
      </c>
      <c r="T1001" s="56" t="s">
        <v>2394</v>
      </c>
    </row>
    <row r="1002" spans="1:20">
      <c r="A1002" s="55">
        <v>130009827557</v>
      </c>
      <c r="B1002" s="53" t="s">
        <v>2386</v>
      </c>
      <c r="C1002" s="54">
        <v>45949</v>
      </c>
      <c r="D1002" s="55">
        <v>51921657059</v>
      </c>
      <c r="E1002" s="55">
        <v>2099524953881</v>
      </c>
      <c r="F1002" s="56" t="s">
        <v>2401</v>
      </c>
      <c r="G1002" s="56" t="s">
        <v>2388</v>
      </c>
      <c r="H1002" s="56" t="s">
        <v>8</v>
      </c>
      <c r="I1002" s="55" t="s">
        <v>8</v>
      </c>
      <c r="J1002" s="57">
        <v>1461.12</v>
      </c>
      <c r="K1002" s="56" t="s">
        <v>2389</v>
      </c>
      <c r="L1002" s="56" t="s">
        <v>2402</v>
      </c>
      <c r="M1002" s="55" t="s">
        <v>2391</v>
      </c>
      <c r="N1002" s="56" t="s">
        <v>2392</v>
      </c>
      <c r="O1002" s="53" t="s">
        <v>2055</v>
      </c>
      <c r="P1002" s="56" t="s">
        <v>2403</v>
      </c>
      <c r="Q1002" s="57">
        <v>19200</v>
      </c>
      <c r="R1002" s="58" t="s">
        <v>8</v>
      </c>
      <c r="S1002" s="57" t="s">
        <v>8</v>
      </c>
      <c r="T1002" s="56" t="s">
        <v>2394</v>
      </c>
    </row>
    <row r="1003" spans="1:20">
      <c r="A1003" s="55">
        <v>130589344658</v>
      </c>
      <c r="B1003" s="53" t="s">
        <v>2386</v>
      </c>
      <c r="C1003" s="54">
        <v>45949</v>
      </c>
      <c r="D1003" s="55">
        <v>51921991434</v>
      </c>
      <c r="E1003" s="55">
        <v>2099604650148</v>
      </c>
      <c r="F1003" s="56" t="s">
        <v>2411</v>
      </c>
      <c r="G1003" s="56" t="s">
        <v>2388</v>
      </c>
      <c r="H1003" s="56" t="s">
        <v>8</v>
      </c>
      <c r="I1003" s="55" t="s">
        <v>8</v>
      </c>
      <c r="J1003" s="57">
        <v>279.36</v>
      </c>
      <c r="K1003" s="56" t="s">
        <v>2389</v>
      </c>
      <c r="L1003" s="56" t="s">
        <v>2390</v>
      </c>
      <c r="M1003" s="55" t="s">
        <v>2391</v>
      </c>
      <c r="N1003" s="56" t="s">
        <v>2392</v>
      </c>
      <c r="O1003" s="53" t="s">
        <v>8</v>
      </c>
      <c r="P1003" s="56" t="s">
        <v>2412</v>
      </c>
      <c r="Q1003" s="57">
        <v>28800</v>
      </c>
      <c r="R1003" s="58" t="s">
        <v>8</v>
      </c>
      <c r="S1003" s="57" t="s">
        <v>8</v>
      </c>
      <c r="T1003" s="56" t="s">
        <v>8</v>
      </c>
    </row>
    <row r="1004" spans="1:20">
      <c r="A1004" s="55">
        <v>130589453826</v>
      </c>
      <c r="B1004" s="53" t="s">
        <v>2386</v>
      </c>
      <c r="C1004" s="54">
        <v>45949</v>
      </c>
      <c r="D1004" s="55">
        <v>51922104623</v>
      </c>
      <c r="E1004" s="55">
        <v>2099605619320</v>
      </c>
      <c r="F1004" s="56" t="s">
        <v>2387</v>
      </c>
      <c r="G1004" s="56" t="s">
        <v>2388</v>
      </c>
      <c r="H1004" s="56" t="s">
        <v>8</v>
      </c>
      <c r="I1004" s="55" t="s">
        <v>8</v>
      </c>
      <c r="J1004" s="57">
        <v>116.4</v>
      </c>
      <c r="K1004" s="56" t="s">
        <v>2389</v>
      </c>
      <c r="L1004" s="56" t="s">
        <v>2390</v>
      </c>
      <c r="M1004" s="55" t="s">
        <v>2391</v>
      </c>
      <c r="N1004" s="56" t="s">
        <v>2392</v>
      </c>
      <c r="O1004" s="53" t="s">
        <v>8</v>
      </c>
      <c r="P1004" s="56" t="s">
        <v>2671</v>
      </c>
      <c r="Q1004" s="57">
        <v>12000</v>
      </c>
      <c r="R1004" s="58" t="s">
        <v>8</v>
      </c>
      <c r="S1004" s="57" t="s">
        <v>8</v>
      </c>
      <c r="T1004" s="56" t="s">
        <v>2394</v>
      </c>
    </row>
    <row r="1005" spans="1:20">
      <c r="A1005" s="55">
        <v>130589989308</v>
      </c>
      <c r="B1005" s="53" t="s">
        <v>2386</v>
      </c>
      <c r="C1005" s="54">
        <v>45949</v>
      </c>
      <c r="D1005" s="55">
        <v>51922316550</v>
      </c>
      <c r="E1005" s="55">
        <v>2099534678135</v>
      </c>
      <c r="F1005" s="56" t="s">
        <v>2401</v>
      </c>
      <c r="G1005" s="56" t="s">
        <v>2388</v>
      </c>
      <c r="H1005" s="56" t="s">
        <v>8</v>
      </c>
      <c r="I1005" s="55" t="s">
        <v>8</v>
      </c>
      <c r="J1005" s="57">
        <v>2709.16</v>
      </c>
      <c r="K1005" s="56" t="s">
        <v>2389</v>
      </c>
      <c r="L1005" s="56" t="s">
        <v>2402</v>
      </c>
      <c r="M1005" s="55" t="s">
        <v>2391</v>
      </c>
      <c r="N1005" s="56" t="s">
        <v>2392</v>
      </c>
      <c r="O1005" s="53" t="s">
        <v>2055</v>
      </c>
      <c r="P1005" s="56" t="s">
        <v>2403</v>
      </c>
      <c r="Q1005" s="57">
        <v>35600</v>
      </c>
      <c r="R1005" s="58" t="s">
        <v>8</v>
      </c>
      <c r="S1005" s="57" t="s">
        <v>8</v>
      </c>
      <c r="T1005" s="56" t="s">
        <v>2394</v>
      </c>
    </row>
    <row r="1006" spans="1:20">
      <c r="A1006" s="55">
        <v>130013338171</v>
      </c>
      <c r="B1006" s="53" t="s">
        <v>2386</v>
      </c>
      <c r="C1006" s="54">
        <v>45949</v>
      </c>
      <c r="D1006" s="55">
        <v>51923069243</v>
      </c>
      <c r="E1006" s="55">
        <v>2099546354375</v>
      </c>
      <c r="F1006" s="56" t="s">
        <v>2387</v>
      </c>
      <c r="G1006" s="56" t="s">
        <v>2388</v>
      </c>
      <c r="H1006" s="56" t="s">
        <v>8</v>
      </c>
      <c r="I1006" s="55" t="s">
        <v>8</v>
      </c>
      <c r="J1006" s="57">
        <v>193.97</v>
      </c>
      <c r="K1006" s="56" t="s">
        <v>2389</v>
      </c>
      <c r="L1006" s="56" t="s">
        <v>2390</v>
      </c>
      <c r="M1006" s="55" t="s">
        <v>2391</v>
      </c>
      <c r="N1006" s="56" t="s">
        <v>2392</v>
      </c>
      <c r="O1006" s="53" t="s">
        <v>8</v>
      </c>
      <c r="P1006" s="56" t="s">
        <v>2783</v>
      </c>
      <c r="Q1006" s="57">
        <v>11900</v>
      </c>
      <c r="R1006" s="58" t="s">
        <v>8</v>
      </c>
      <c r="S1006" s="57" t="s">
        <v>8</v>
      </c>
      <c r="T1006" s="56" t="s">
        <v>2394</v>
      </c>
    </row>
    <row r="1007" spans="1:20">
      <c r="A1007" s="55">
        <v>130592036332</v>
      </c>
      <c r="B1007" s="53" t="s">
        <v>2386</v>
      </c>
      <c r="C1007" s="54">
        <v>45949</v>
      </c>
      <c r="D1007" s="55">
        <v>51923089014</v>
      </c>
      <c r="E1007" s="55">
        <v>2099546461493</v>
      </c>
      <c r="F1007" s="56" t="s">
        <v>2401</v>
      </c>
      <c r="G1007" s="56" t="s">
        <v>2388</v>
      </c>
      <c r="H1007" s="56" t="s">
        <v>8</v>
      </c>
      <c r="I1007" s="55" t="s">
        <v>8</v>
      </c>
      <c r="J1007" s="57">
        <v>1230.0899999999999</v>
      </c>
      <c r="K1007" s="56" t="s">
        <v>2389</v>
      </c>
      <c r="L1007" s="56" t="s">
        <v>2402</v>
      </c>
      <c r="M1007" s="55" t="s">
        <v>2391</v>
      </c>
      <c r="N1007" s="56" t="s">
        <v>2392</v>
      </c>
      <c r="O1007" s="53" t="s">
        <v>2055</v>
      </c>
      <c r="P1007" s="56" t="s">
        <v>2403</v>
      </c>
      <c r="Q1007" s="57">
        <v>31300</v>
      </c>
      <c r="R1007" s="58" t="s">
        <v>8</v>
      </c>
      <c r="S1007" s="57" t="s">
        <v>8</v>
      </c>
      <c r="T1007" s="56" t="s">
        <v>2394</v>
      </c>
    </row>
    <row r="1008" spans="1:20">
      <c r="A1008" s="55">
        <v>130592091772</v>
      </c>
      <c r="B1008" s="53" t="s">
        <v>2386</v>
      </c>
      <c r="C1008" s="54">
        <v>45949</v>
      </c>
      <c r="D1008" s="55">
        <v>51923159966</v>
      </c>
      <c r="E1008" s="55">
        <v>2099621762614</v>
      </c>
      <c r="F1008" s="56" t="s">
        <v>2387</v>
      </c>
      <c r="G1008" s="56" t="s">
        <v>2388</v>
      </c>
      <c r="H1008" s="56" t="s">
        <v>8</v>
      </c>
      <c r="I1008" s="55" t="s">
        <v>8</v>
      </c>
      <c r="J1008" s="57">
        <v>1491.56</v>
      </c>
      <c r="K1008" s="56" t="s">
        <v>2389</v>
      </c>
      <c r="L1008" s="56" t="s">
        <v>2390</v>
      </c>
      <c r="M1008" s="55" t="s">
        <v>2391</v>
      </c>
      <c r="N1008" s="56" t="s">
        <v>2392</v>
      </c>
      <c r="O1008" s="53" t="s">
        <v>8</v>
      </c>
      <c r="P1008" s="56" t="s">
        <v>2784</v>
      </c>
      <c r="Q1008" s="57">
        <v>19600</v>
      </c>
      <c r="R1008" s="58" t="s">
        <v>8</v>
      </c>
      <c r="S1008" s="57" t="s">
        <v>8</v>
      </c>
      <c r="T1008" s="56" t="s">
        <v>2394</v>
      </c>
    </row>
    <row r="1009" spans="1:20">
      <c r="A1009" s="55">
        <v>130013489481</v>
      </c>
      <c r="B1009" s="53" t="s">
        <v>2386</v>
      </c>
      <c r="C1009" s="54">
        <v>45949</v>
      </c>
      <c r="D1009" s="55">
        <v>51923165687</v>
      </c>
      <c r="E1009" s="55">
        <v>2099621759344</v>
      </c>
      <c r="F1009" s="56" t="s">
        <v>2401</v>
      </c>
      <c r="G1009" s="56" t="s">
        <v>2388</v>
      </c>
      <c r="H1009" s="56" t="s">
        <v>8</v>
      </c>
      <c r="I1009" s="55" t="s">
        <v>8</v>
      </c>
      <c r="J1009" s="57">
        <v>894.38</v>
      </c>
      <c r="K1009" s="56" t="s">
        <v>2389</v>
      </c>
      <c r="L1009" s="56" t="s">
        <v>2402</v>
      </c>
      <c r="M1009" s="55" t="s">
        <v>2391</v>
      </c>
      <c r="N1009" s="56" t="s">
        <v>2392</v>
      </c>
      <c r="O1009" s="53" t="s">
        <v>2055</v>
      </c>
      <c r="P1009" s="56" t="s">
        <v>2403</v>
      </c>
      <c r="Q1009" s="57">
        <v>19700</v>
      </c>
      <c r="R1009" s="58" t="s">
        <v>8</v>
      </c>
      <c r="S1009" s="57" t="s">
        <v>8</v>
      </c>
      <c r="T1009" s="56" t="s">
        <v>2394</v>
      </c>
    </row>
    <row r="1010" spans="1:20">
      <c r="A1010" s="55">
        <v>130592612508</v>
      </c>
      <c r="B1010" s="53" t="s">
        <v>2386</v>
      </c>
      <c r="C1010" s="54">
        <v>45949</v>
      </c>
      <c r="D1010" s="55">
        <v>51923385359</v>
      </c>
      <c r="E1010" s="55">
        <v>2099550435497</v>
      </c>
      <c r="F1010" s="56" t="s">
        <v>2387</v>
      </c>
      <c r="G1010" s="56" t="s">
        <v>2388</v>
      </c>
      <c r="H1010" s="56" t="s">
        <v>8</v>
      </c>
      <c r="I1010" s="55" t="s">
        <v>8</v>
      </c>
      <c r="J1010" s="57">
        <v>1142.6600000000001</v>
      </c>
      <c r="K1010" s="56" t="s">
        <v>2389</v>
      </c>
      <c r="L1010" s="56" t="s">
        <v>2390</v>
      </c>
      <c r="M1010" s="55" t="s">
        <v>2391</v>
      </c>
      <c r="N1010" s="56" t="s">
        <v>2392</v>
      </c>
      <c r="O1010" s="53" t="s">
        <v>8</v>
      </c>
      <c r="P1010" s="56" t="s">
        <v>2785</v>
      </c>
      <c r="Q1010" s="57">
        <v>117800</v>
      </c>
      <c r="R1010" s="58" t="s">
        <v>8</v>
      </c>
      <c r="S1010" s="57" t="s">
        <v>8</v>
      </c>
      <c r="T1010" s="56" t="s">
        <v>2394</v>
      </c>
    </row>
    <row r="1011" spans="1:20">
      <c r="A1011" s="55">
        <v>130594025244</v>
      </c>
      <c r="B1011" s="53" t="s">
        <v>2386</v>
      </c>
      <c r="C1011" s="54">
        <v>45950</v>
      </c>
      <c r="D1011" s="55">
        <v>51923981061</v>
      </c>
      <c r="E1011" s="55">
        <v>2099633800854</v>
      </c>
      <c r="F1011" s="56" t="s">
        <v>2387</v>
      </c>
      <c r="G1011" s="56" t="s">
        <v>2388</v>
      </c>
      <c r="H1011" s="56" t="s">
        <v>8</v>
      </c>
      <c r="I1011" s="55" t="s">
        <v>8</v>
      </c>
      <c r="J1011" s="57">
        <v>569.39</v>
      </c>
      <c r="K1011" s="56" t="s">
        <v>2389</v>
      </c>
      <c r="L1011" s="56" t="s">
        <v>2390</v>
      </c>
      <c r="M1011" s="55" t="s">
        <v>2391</v>
      </c>
      <c r="N1011" s="56" t="s">
        <v>2392</v>
      </c>
      <c r="O1011" s="53" t="s">
        <v>8</v>
      </c>
      <c r="P1011" s="56" t="s">
        <v>2786</v>
      </c>
      <c r="Q1011" s="57">
        <v>58700</v>
      </c>
      <c r="R1011" s="58" t="s">
        <v>8</v>
      </c>
      <c r="S1011" s="57" t="s">
        <v>8</v>
      </c>
      <c r="T1011" s="56" t="s">
        <v>2394</v>
      </c>
    </row>
    <row r="1012" spans="1:20">
      <c r="A1012" s="55">
        <v>130594391886</v>
      </c>
      <c r="B1012" s="53" t="s">
        <v>2386</v>
      </c>
      <c r="C1012" s="54">
        <v>45950</v>
      </c>
      <c r="D1012" s="55">
        <v>51924174800</v>
      </c>
      <c r="E1012" s="55">
        <v>2099635734742</v>
      </c>
      <c r="F1012" s="56" t="s">
        <v>2387</v>
      </c>
      <c r="G1012" s="56" t="s">
        <v>2388</v>
      </c>
      <c r="H1012" s="56" t="s">
        <v>8</v>
      </c>
      <c r="I1012" s="55" t="s">
        <v>8</v>
      </c>
      <c r="J1012" s="57">
        <v>858.45</v>
      </c>
      <c r="K1012" s="56" t="s">
        <v>2389</v>
      </c>
      <c r="L1012" s="56" t="s">
        <v>2390</v>
      </c>
      <c r="M1012" s="55" t="s">
        <v>2391</v>
      </c>
      <c r="N1012" s="56" t="s">
        <v>2392</v>
      </c>
      <c r="O1012" s="53" t="s">
        <v>8</v>
      </c>
      <c r="P1012" s="56" t="s">
        <v>2696</v>
      </c>
      <c r="Q1012" s="57">
        <v>88500</v>
      </c>
      <c r="R1012" s="58" t="s">
        <v>8</v>
      </c>
      <c r="S1012" s="57" t="s">
        <v>8</v>
      </c>
      <c r="T1012" s="56" t="s">
        <v>2394</v>
      </c>
    </row>
    <row r="1013" spans="1:20">
      <c r="A1013" s="55">
        <v>130595730634</v>
      </c>
      <c r="B1013" s="53" t="s">
        <v>2386</v>
      </c>
      <c r="C1013" s="54">
        <v>45950</v>
      </c>
      <c r="D1013" s="55">
        <v>51924590816</v>
      </c>
      <c r="E1013" s="55">
        <v>2099644005580</v>
      </c>
      <c r="F1013" s="56" t="s">
        <v>2387</v>
      </c>
      <c r="G1013" s="56" t="s">
        <v>2388</v>
      </c>
      <c r="H1013" s="56" t="s">
        <v>8</v>
      </c>
      <c r="I1013" s="55" t="s">
        <v>8</v>
      </c>
      <c r="J1013" s="57">
        <v>94.09</v>
      </c>
      <c r="K1013" s="56" t="s">
        <v>2389</v>
      </c>
      <c r="L1013" s="56" t="s">
        <v>2390</v>
      </c>
      <c r="M1013" s="55" t="s">
        <v>2391</v>
      </c>
      <c r="N1013" s="56" t="s">
        <v>2392</v>
      </c>
      <c r="O1013" s="53" t="s">
        <v>8</v>
      </c>
      <c r="P1013" s="56" t="s">
        <v>2787</v>
      </c>
      <c r="Q1013" s="57">
        <v>9700</v>
      </c>
      <c r="R1013" s="58" t="s">
        <v>8</v>
      </c>
      <c r="S1013" s="57" t="s">
        <v>8</v>
      </c>
      <c r="T1013" s="56" t="s">
        <v>2394</v>
      </c>
    </row>
    <row r="1014" spans="1:20">
      <c r="A1014" s="55">
        <v>130596512394</v>
      </c>
      <c r="B1014" s="53" t="s">
        <v>2386</v>
      </c>
      <c r="C1014" s="54">
        <v>45950</v>
      </c>
      <c r="D1014" s="55">
        <v>51924853401</v>
      </c>
      <c r="E1014" s="55">
        <v>2099576380923</v>
      </c>
      <c r="F1014" s="56" t="s">
        <v>2387</v>
      </c>
      <c r="G1014" s="56" t="s">
        <v>2388</v>
      </c>
      <c r="H1014" s="56" t="s">
        <v>8</v>
      </c>
      <c r="I1014" s="55" t="s">
        <v>8</v>
      </c>
      <c r="J1014" s="57">
        <v>178.48</v>
      </c>
      <c r="K1014" s="56" t="s">
        <v>2389</v>
      </c>
      <c r="L1014" s="56" t="s">
        <v>2390</v>
      </c>
      <c r="M1014" s="55" t="s">
        <v>2391</v>
      </c>
      <c r="N1014" s="56" t="s">
        <v>2392</v>
      </c>
      <c r="O1014" s="53" t="s">
        <v>8</v>
      </c>
      <c r="P1014" s="56" t="s">
        <v>2788</v>
      </c>
      <c r="Q1014" s="57">
        <v>18400</v>
      </c>
      <c r="R1014" s="58" t="s">
        <v>8</v>
      </c>
      <c r="S1014" s="57" t="s">
        <v>8</v>
      </c>
      <c r="T1014" s="56" t="s">
        <v>2394</v>
      </c>
    </row>
    <row r="1015" spans="1:20">
      <c r="A1015" s="55">
        <v>130362900393</v>
      </c>
      <c r="B1015" s="53" t="s">
        <v>2386</v>
      </c>
      <c r="C1015" s="54">
        <v>45952</v>
      </c>
      <c r="D1015" s="55">
        <v>52047721857</v>
      </c>
      <c r="E1015" s="55">
        <v>2102039311404</v>
      </c>
      <c r="F1015" s="56" t="s">
        <v>2401</v>
      </c>
      <c r="G1015" s="56" t="s">
        <v>2388</v>
      </c>
      <c r="H1015" s="56" t="s">
        <v>8</v>
      </c>
      <c r="I1015" s="55" t="s">
        <v>8</v>
      </c>
      <c r="J1015" s="57">
        <v>738.84</v>
      </c>
      <c r="K1015" s="56" t="s">
        <v>2389</v>
      </c>
      <c r="L1015" s="56" t="s">
        <v>2402</v>
      </c>
      <c r="M1015" s="55" t="s">
        <v>2391</v>
      </c>
      <c r="N1015" s="56" t="s">
        <v>2392</v>
      </c>
      <c r="O1015" s="53" t="s">
        <v>2055</v>
      </c>
      <c r="P1015" s="56" t="s">
        <v>2403</v>
      </c>
      <c r="Q1015" s="57">
        <v>18800</v>
      </c>
      <c r="R1015" s="58" t="s">
        <v>8</v>
      </c>
      <c r="S1015" s="57" t="s">
        <v>8</v>
      </c>
      <c r="T1015" s="56" t="s">
        <v>2394</v>
      </c>
    </row>
    <row r="1016" spans="1:20">
      <c r="A1016" s="55">
        <v>130362869487</v>
      </c>
      <c r="B1016" s="53" t="s">
        <v>2386</v>
      </c>
      <c r="C1016" s="54">
        <v>45952</v>
      </c>
      <c r="D1016" s="55">
        <v>52047741450</v>
      </c>
      <c r="E1016" s="55">
        <v>2102039751780</v>
      </c>
      <c r="F1016" s="56" t="s">
        <v>2401</v>
      </c>
      <c r="G1016" s="56" t="s">
        <v>2388</v>
      </c>
      <c r="H1016" s="56" t="s">
        <v>8</v>
      </c>
      <c r="I1016" s="55" t="s">
        <v>8</v>
      </c>
      <c r="J1016" s="57">
        <v>1240.43</v>
      </c>
      <c r="K1016" s="56" t="s">
        <v>2389</v>
      </c>
      <c r="L1016" s="56" t="s">
        <v>2402</v>
      </c>
      <c r="M1016" s="55" t="s">
        <v>2391</v>
      </c>
      <c r="N1016" s="56" t="s">
        <v>2392</v>
      </c>
      <c r="O1016" s="53" t="s">
        <v>2055</v>
      </c>
      <c r="P1016" s="56" t="s">
        <v>2403</v>
      </c>
      <c r="Q1016" s="57">
        <v>16300</v>
      </c>
      <c r="R1016" s="58" t="s">
        <v>8</v>
      </c>
      <c r="S1016" s="57" t="s">
        <v>8</v>
      </c>
      <c r="T1016" s="56" t="s">
        <v>2394</v>
      </c>
    </row>
    <row r="1017" spans="1:20">
      <c r="A1017" s="55">
        <v>130363959471</v>
      </c>
      <c r="B1017" s="53" t="s">
        <v>2386</v>
      </c>
      <c r="C1017" s="54">
        <v>45952</v>
      </c>
      <c r="D1017" s="55">
        <v>52048174808</v>
      </c>
      <c r="E1017" s="55">
        <v>2101968950367</v>
      </c>
      <c r="F1017" s="56" t="s">
        <v>2387</v>
      </c>
      <c r="G1017" s="56" t="s">
        <v>2388</v>
      </c>
      <c r="H1017" s="56" t="s">
        <v>8</v>
      </c>
      <c r="I1017" s="55" t="s">
        <v>8</v>
      </c>
      <c r="J1017" s="57">
        <v>40.74</v>
      </c>
      <c r="K1017" s="56" t="s">
        <v>2389</v>
      </c>
      <c r="L1017" s="56" t="s">
        <v>2390</v>
      </c>
      <c r="M1017" s="55" t="s">
        <v>2391</v>
      </c>
      <c r="N1017" s="56" t="s">
        <v>2392</v>
      </c>
      <c r="O1017" s="53" t="s">
        <v>8</v>
      </c>
      <c r="P1017" s="56" t="s">
        <v>2652</v>
      </c>
      <c r="Q1017" s="57">
        <v>4200</v>
      </c>
      <c r="R1017" s="58" t="s">
        <v>8</v>
      </c>
      <c r="S1017" s="57" t="s">
        <v>8</v>
      </c>
      <c r="T1017" s="56" t="s">
        <v>2394</v>
      </c>
    </row>
    <row r="1018" spans="1:20">
      <c r="A1018" s="55">
        <v>130950649594</v>
      </c>
      <c r="B1018" s="53" t="s">
        <v>2386</v>
      </c>
      <c r="C1018" s="54">
        <v>45952</v>
      </c>
      <c r="D1018" s="55">
        <v>52049235481</v>
      </c>
      <c r="E1018" s="55">
        <v>2101989518647</v>
      </c>
      <c r="F1018" s="56" t="s">
        <v>2401</v>
      </c>
      <c r="G1018" s="56" t="s">
        <v>2388</v>
      </c>
      <c r="H1018" s="56" t="s">
        <v>8</v>
      </c>
      <c r="I1018" s="55" t="s">
        <v>8</v>
      </c>
      <c r="J1018" s="57">
        <v>385.14</v>
      </c>
      <c r="K1018" s="56" t="s">
        <v>2389</v>
      </c>
      <c r="L1018" s="56" t="s">
        <v>2402</v>
      </c>
      <c r="M1018" s="55" t="s">
        <v>2391</v>
      </c>
      <c r="N1018" s="56" t="s">
        <v>2392</v>
      </c>
      <c r="O1018" s="53" t="s">
        <v>2055</v>
      </c>
      <c r="P1018" s="56" t="s">
        <v>2403</v>
      </c>
      <c r="Q1018" s="57">
        <v>9800</v>
      </c>
      <c r="R1018" s="58" t="s">
        <v>8</v>
      </c>
      <c r="S1018" s="57" t="s">
        <v>8</v>
      </c>
      <c r="T1018" s="56" t="s">
        <v>2394</v>
      </c>
    </row>
    <row r="1019" spans="1:20">
      <c r="A1019" s="55">
        <v>130951377050</v>
      </c>
      <c r="B1019" s="53" t="s">
        <v>2386</v>
      </c>
      <c r="C1019" s="54">
        <v>45952</v>
      </c>
      <c r="D1019" s="55">
        <v>52049470981</v>
      </c>
      <c r="E1019" s="55">
        <v>2102072962178</v>
      </c>
      <c r="F1019" s="56" t="s">
        <v>2387</v>
      </c>
      <c r="G1019" s="56" t="s">
        <v>2388</v>
      </c>
      <c r="H1019" s="56" t="s">
        <v>8</v>
      </c>
      <c r="I1019" s="55" t="s">
        <v>8</v>
      </c>
      <c r="J1019" s="57">
        <v>46.56</v>
      </c>
      <c r="K1019" s="56" t="s">
        <v>2389</v>
      </c>
      <c r="L1019" s="56" t="s">
        <v>2390</v>
      </c>
      <c r="M1019" s="55" t="s">
        <v>2391</v>
      </c>
      <c r="N1019" s="56" t="s">
        <v>2392</v>
      </c>
      <c r="O1019" s="53" t="s">
        <v>8</v>
      </c>
      <c r="P1019" s="56" t="s">
        <v>2432</v>
      </c>
      <c r="Q1019" s="57">
        <v>4800</v>
      </c>
      <c r="R1019" s="58" t="s">
        <v>8</v>
      </c>
      <c r="S1019" s="57" t="s">
        <v>8</v>
      </c>
      <c r="T1019" s="56" t="s">
        <v>2394</v>
      </c>
    </row>
    <row r="1020" spans="1:20">
      <c r="A1020" s="55">
        <v>130953076190</v>
      </c>
      <c r="B1020" s="53" t="s">
        <v>2386</v>
      </c>
      <c r="C1020" s="54">
        <v>45952</v>
      </c>
      <c r="D1020" s="55">
        <v>52050001680</v>
      </c>
      <c r="E1020" s="55">
        <v>2102005467995</v>
      </c>
      <c r="F1020" s="56" t="s">
        <v>2387</v>
      </c>
      <c r="G1020" s="56" t="s">
        <v>2388</v>
      </c>
      <c r="H1020" s="56" t="s">
        <v>8</v>
      </c>
      <c r="I1020" s="55" t="s">
        <v>8</v>
      </c>
      <c r="J1020" s="57">
        <v>232.78</v>
      </c>
      <c r="K1020" s="56" t="s">
        <v>2389</v>
      </c>
      <c r="L1020" s="56" t="s">
        <v>2390</v>
      </c>
      <c r="M1020" s="55" t="s">
        <v>2391</v>
      </c>
      <c r="N1020" s="56" t="s">
        <v>2392</v>
      </c>
      <c r="O1020" s="53" t="s">
        <v>8</v>
      </c>
      <c r="P1020" s="56" t="s">
        <v>2464</v>
      </c>
      <c r="Q1020" s="57">
        <v>23998</v>
      </c>
      <c r="R1020" s="58" t="s">
        <v>8</v>
      </c>
      <c r="S1020" s="57" t="s">
        <v>8</v>
      </c>
      <c r="T1020" s="56" t="s">
        <v>2394</v>
      </c>
    </row>
    <row r="1021" spans="1:20">
      <c r="A1021" s="55">
        <v>130953551734</v>
      </c>
      <c r="B1021" s="53" t="s">
        <v>2386</v>
      </c>
      <c r="C1021" s="54">
        <v>45952</v>
      </c>
      <c r="D1021" s="55">
        <v>52050289825</v>
      </c>
      <c r="E1021" s="55">
        <v>2102089759838</v>
      </c>
      <c r="F1021" s="56" t="s">
        <v>2387</v>
      </c>
      <c r="G1021" s="56" t="s">
        <v>2388</v>
      </c>
      <c r="H1021" s="56" t="s">
        <v>8</v>
      </c>
      <c r="I1021" s="55" t="s">
        <v>8</v>
      </c>
      <c r="J1021" s="57">
        <v>46.56</v>
      </c>
      <c r="K1021" s="56" t="s">
        <v>2389</v>
      </c>
      <c r="L1021" s="56" t="s">
        <v>2390</v>
      </c>
      <c r="M1021" s="55" t="s">
        <v>2391</v>
      </c>
      <c r="N1021" s="56" t="s">
        <v>2392</v>
      </c>
      <c r="O1021" s="53" t="s">
        <v>8</v>
      </c>
      <c r="P1021" s="56" t="s">
        <v>2455</v>
      </c>
      <c r="Q1021" s="57">
        <v>4800</v>
      </c>
      <c r="R1021" s="58" t="s">
        <v>8</v>
      </c>
      <c r="S1021" s="57" t="s">
        <v>8</v>
      </c>
      <c r="T1021" s="56" t="s">
        <v>2394</v>
      </c>
    </row>
    <row r="1022" spans="1:20">
      <c r="A1022" s="55">
        <v>130372082339</v>
      </c>
      <c r="B1022" s="53" t="s">
        <v>2386</v>
      </c>
      <c r="C1022" s="54">
        <v>45952</v>
      </c>
      <c r="D1022" s="55">
        <v>52051140553</v>
      </c>
      <c r="E1022" s="55">
        <v>2102106311852</v>
      </c>
      <c r="F1022" s="56" t="s">
        <v>2401</v>
      </c>
      <c r="G1022" s="56" t="s">
        <v>2388</v>
      </c>
      <c r="H1022" s="56" t="s">
        <v>8</v>
      </c>
      <c r="I1022" s="55" t="s">
        <v>8</v>
      </c>
      <c r="J1022" s="57">
        <v>2330.41</v>
      </c>
      <c r="K1022" s="56" t="s">
        <v>2389</v>
      </c>
      <c r="L1022" s="56" t="s">
        <v>2402</v>
      </c>
      <c r="M1022" s="55" t="s">
        <v>2391</v>
      </c>
      <c r="N1022" s="56" t="s">
        <v>2392</v>
      </c>
      <c r="O1022" s="53" t="s">
        <v>2055</v>
      </c>
      <c r="P1022" s="56" t="s">
        <v>2403</v>
      </c>
      <c r="Q1022" s="57">
        <v>59298</v>
      </c>
      <c r="R1022" s="58" t="s">
        <v>8</v>
      </c>
      <c r="S1022" s="57" t="s">
        <v>8</v>
      </c>
      <c r="T1022" s="56" t="s">
        <v>2394</v>
      </c>
    </row>
    <row r="1023" spans="1:20">
      <c r="A1023" s="55">
        <v>130372023691</v>
      </c>
      <c r="B1023" s="53" t="s">
        <v>2386</v>
      </c>
      <c r="C1023" s="54">
        <v>45952</v>
      </c>
      <c r="D1023" s="55">
        <v>52051189572</v>
      </c>
      <c r="E1023" s="55">
        <v>2102028920037</v>
      </c>
      <c r="F1023" s="56" t="s">
        <v>2387</v>
      </c>
      <c r="G1023" s="56" t="s">
        <v>2388</v>
      </c>
      <c r="H1023" s="56" t="s">
        <v>8</v>
      </c>
      <c r="I1023" s="55" t="s">
        <v>8</v>
      </c>
      <c r="J1023" s="57">
        <v>171.69</v>
      </c>
      <c r="K1023" s="56" t="s">
        <v>2389</v>
      </c>
      <c r="L1023" s="56" t="s">
        <v>2390</v>
      </c>
      <c r="M1023" s="55" t="s">
        <v>2391</v>
      </c>
      <c r="N1023" s="56" t="s">
        <v>2392</v>
      </c>
      <c r="O1023" s="53" t="s">
        <v>8</v>
      </c>
      <c r="P1023" s="56" t="s">
        <v>2432</v>
      </c>
      <c r="Q1023" s="57">
        <v>17700</v>
      </c>
      <c r="R1023" s="58" t="s">
        <v>8</v>
      </c>
      <c r="S1023" s="57" t="s">
        <v>8</v>
      </c>
      <c r="T1023" s="56" t="s">
        <v>2394</v>
      </c>
    </row>
    <row r="1024" spans="1:20">
      <c r="A1024" s="55">
        <v>130958785182</v>
      </c>
      <c r="B1024" s="53" t="s">
        <v>2386</v>
      </c>
      <c r="C1024" s="54">
        <v>45952</v>
      </c>
      <c r="D1024" s="55">
        <v>52052337162</v>
      </c>
      <c r="E1024" s="55">
        <v>2102128884288</v>
      </c>
      <c r="F1024" s="56" t="s">
        <v>2401</v>
      </c>
      <c r="G1024" s="56" t="s">
        <v>2388</v>
      </c>
      <c r="H1024" s="56" t="s">
        <v>8</v>
      </c>
      <c r="I1024" s="55" t="s">
        <v>8</v>
      </c>
      <c r="J1024" s="57">
        <v>440.38</v>
      </c>
      <c r="K1024" s="56" t="s">
        <v>2389</v>
      </c>
      <c r="L1024" s="56" t="s">
        <v>2402</v>
      </c>
      <c r="M1024" s="55" t="s">
        <v>2391</v>
      </c>
      <c r="N1024" s="56" t="s">
        <v>2392</v>
      </c>
      <c r="O1024" s="53" t="s">
        <v>2055</v>
      </c>
      <c r="P1024" s="56" t="s">
        <v>2403</v>
      </c>
      <c r="Q1024" s="57">
        <v>9700</v>
      </c>
      <c r="R1024" s="58" t="s">
        <v>8</v>
      </c>
      <c r="S1024" s="57" t="s">
        <v>8</v>
      </c>
      <c r="T1024" s="56" t="s">
        <v>2394</v>
      </c>
    </row>
    <row r="1025" spans="1:20">
      <c r="A1025" s="55">
        <v>130959127036</v>
      </c>
      <c r="B1025" s="53" t="s">
        <v>2386</v>
      </c>
      <c r="C1025" s="54">
        <v>45952</v>
      </c>
      <c r="D1025" s="55">
        <v>52052393468</v>
      </c>
      <c r="E1025" s="55">
        <v>2102130600266</v>
      </c>
      <c r="F1025" s="56" t="s">
        <v>2387</v>
      </c>
      <c r="G1025" s="56" t="s">
        <v>2388</v>
      </c>
      <c r="H1025" s="56" t="s">
        <v>8</v>
      </c>
      <c r="I1025" s="55" t="s">
        <v>8</v>
      </c>
      <c r="J1025" s="57">
        <v>50.44</v>
      </c>
      <c r="K1025" s="56" t="s">
        <v>2389</v>
      </c>
      <c r="L1025" s="56" t="s">
        <v>2390</v>
      </c>
      <c r="M1025" s="55" t="s">
        <v>2391</v>
      </c>
      <c r="N1025" s="56" t="s">
        <v>2392</v>
      </c>
      <c r="O1025" s="53" t="s">
        <v>8</v>
      </c>
      <c r="P1025" s="56" t="s">
        <v>2789</v>
      </c>
      <c r="Q1025" s="57">
        <v>5200</v>
      </c>
      <c r="R1025" s="58" t="s">
        <v>8</v>
      </c>
      <c r="S1025" s="57" t="s">
        <v>8</v>
      </c>
      <c r="T1025" s="56" t="s">
        <v>2394</v>
      </c>
    </row>
    <row r="1026" spans="1:20">
      <c r="A1026" s="55">
        <v>130961561984</v>
      </c>
      <c r="B1026" s="53" t="s">
        <v>2386</v>
      </c>
      <c r="C1026" s="54">
        <v>45952</v>
      </c>
      <c r="D1026" s="55">
        <v>52053518850</v>
      </c>
      <c r="E1026" s="55">
        <v>2102152712164</v>
      </c>
      <c r="F1026" s="56" t="s">
        <v>2475</v>
      </c>
      <c r="G1026" s="56" t="s">
        <v>2388</v>
      </c>
      <c r="H1026" s="56" t="s">
        <v>8</v>
      </c>
      <c r="I1026" s="55" t="s">
        <v>8</v>
      </c>
      <c r="J1026" s="57">
        <v>942.11</v>
      </c>
      <c r="K1026" s="56" t="s">
        <v>2389</v>
      </c>
      <c r="L1026" s="56" t="s">
        <v>2390</v>
      </c>
      <c r="M1026" s="55" t="s">
        <v>2391</v>
      </c>
      <c r="N1026" s="56" t="s">
        <v>2392</v>
      </c>
      <c r="O1026" s="53" t="s">
        <v>8</v>
      </c>
      <c r="P1026" s="56" t="s">
        <v>2476</v>
      </c>
      <c r="Q1026" s="57">
        <v>57798</v>
      </c>
      <c r="R1026" s="58" t="s">
        <v>8</v>
      </c>
      <c r="S1026" s="57" t="s">
        <v>8</v>
      </c>
      <c r="T1026" s="56" t="s">
        <v>2394</v>
      </c>
    </row>
    <row r="1027" spans="1:20">
      <c r="A1027" s="55">
        <v>130378510101</v>
      </c>
      <c r="B1027" s="53" t="s">
        <v>2386</v>
      </c>
      <c r="C1027" s="54">
        <v>45952</v>
      </c>
      <c r="D1027" s="55">
        <v>52053788108</v>
      </c>
      <c r="E1027" s="55">
        <v>2102157453130</v>
      </c>
      <c r="F1027" s="56" t="s">
        <v>2387</v>
      </c>
      <c r="G1027" s="56" t="s">
        <v>2388</v>
      </c>
      <c r="H1027" s="56" t="s">
        <v>8</v>
      </c>
      <c r="I1027" s="55" t="s">
        <v>8</v>
      </c>
      <c r="J1027" s="57">
        <v>91.18</v>
      </c>
      <c r="K1027" s="56" t="s">
        <v>2389</v>
      </c>
      <c r="L1027" s="56" t="s">
        <v>2390</v>
      </c>
      <c r="M1027" s="55" t="s">
        <v>2391</v>
      </c>
      <c r="N1027" s="56" t="s">
        <v>2392</v>
      </c>
      <c r="O1027" s="53" t="s">
        <v>8</v>
      </c>
      <c r="P1027" s="56" t="s">
        <v>2790</v>
      </c>
      <c r="Q1027" s="57">
        <v>9400</v>
      </c>
      <c r="R1027" s="58" t="s">
        <v>8</v>
      </c>
      <c r="S1027" s="57" t="s">
        <v>8</v>
      </c>
      <c r="T1027" s="56" t="s">
        <v>2394</v>
      </c>
    </row>
    <row r="1028" spans="1:20">
      <c r="A1028" s="55">
        <v>130378665767</v>
      </c>
      <c r="B1028" s="53" t="s">
        <v>2386</v>
      </c>
      <c r="C1028" s="54">
        <v>45952</v>
      </c>
      <c r="D1028" s="55">
        <v>52053912403</v>
      </c>
      <c r="E1028" s="55">
        <v>2102080897281</v>
      </c>
      <c r="F1028" s="56" t="s">
        <v>2387</v>
      </c>
      <c r="G1028" s="56" t="s">
        <v>2388</v>
      </c>
      <c r="H1028" s="56" t="s">
        <v>8</v>
      </c>
      <c r="I1028" s="55" t="s">
        <v>8</v>
      </c>
      <c r="J1028" s="57">
        <v>441.33</v>
      </c>
      <c r="K1028" s="56" t="s">
        <v>2389</v>
      </c>
      <c r="L1028" s="56" t="s">
        <v>2390</v>
      </c>
      <c r="M1028" s="55" t="s">
        <v>2391</v>
      </c>
      <c r="N1028" s="56" t="s">
        <v>2392</v>
      </c>
      <c r="O1028" s="53" t="s">
        <v>8</v>
      </c>
      <c r="P1028" s="56" t="s">
        <v>2791</v>
      </c>
      <c r="Q1028" s="57">
        <v>45498</v>
      </c>
      <c r="R1028" s="58" t="s">
        <v>8</v>
      </c>
      <c r="S1028" s="57" t="s">
        <v>8</v>
      </c>
      <c r="T1028" s="56" t="s">
        <v>2394</v>
      </c>
    </row>
    <row r="1029" spans="1:20">
      <c r="A1029" s="55">
        <v>130379169891</v>
      </c>
      <c r="B1029" s="53" t="s">
        <v>2386</v>
      </c>
      <c r="C1029" s="54">
        <v>45952</v>
      </c>
      <c r="D1029" s="55">
        <v>52054103442</v>
      </c>
      <c r="E1029" s="55">
        <v>2102084634077</v>
      </c>
      <c r="F1029" s="56" t="s">
        <v>2387</v>
      </c>
      <c r="G1029" s="56" t="s">
        <v>2388</v>
      </c>
      <c r="H1029" s="56" t="s">
        <v>8</v>
      </c>
      <c r="I1029" s="55" t="s">
        <v>8</v>
      </c>
      <c r="J1029" s="57">
        <v>288.58</v>
      </c>
      <c r="K1029" s="56" t="s">
        <v>2389</v>
      </c>
      <c r="L1029" s="56" t="s">
        <v>2390</v>
      </c>
      <c r="M1029" s="55" t="s">
        <v>2391</v>
      </c>
      <c r="N1029" s="56" t="s">
        <v>2392</v>
      </c>
      <c r="O1029" s="53" t="s">
        <v>8</v>
      </c>
      <c r="P1029" s="56" t="s">
        <v>2792</v>
      </c>
      <c r="Q1029" s="57">
        <v>29750</v>
      </c>
      <c r="R1029" s="58" t="s">
        <v>8</v>
      </c>
      <c r="S1029" s="57" t="s">
        <v>8</v>
      </c>
      <c r="T1029" s="56" t="s">
        <v>2394</v>
      </c>
    </row>
    <row r="1030" spans="1:20">
      <c r="A1030" s="55">
        <v>130380339005</v>
      </c>
      <c r="B1030" s="53" t="s">
        <v>2386</v>
      </c>
      <c r="C1030" s="54">
        <v>45952</v>
      </c>
      <c r="D1030" s="55">
        <v>52054563956</v>
      </c>
      <c r="E1030" s="55">
        <v>2102170182748</v>
      </c>
      <c r="F1030" s="56" t="s">
        <v>2401</v>
      </c>
      <c r="G1030" s="56" t="s">
        <v>2388</v>
      </c>
      <c r="H1030" s="56" t="s">
        <v>8</v>
      </c>
      <c r="I1030" s="55" t="s">
        <v>8</v>
      </c>
      <c r="J1030" s="57">
        <v>3591.92</v>
      </c>
      <c r="K1030" s="56" t="s">
        <v>2389</v>
      </c>
      <c r="L1030" s="56" t="s">
        <v>2402</v>
      </c>
      <c r="M1030" s="55" t="s">
        <v>2391</v>
      </c>
      <c r="N1030" s="56" t="s">
        <v>2392</v>
      </c>
      <c r="O1030" s="53" t="s">
        <v>2055</v>
      </c>
      <c r="P1030" s="56" t="s">
        <v>2403</v>
      </c>
      <c r="Q1030" s="57">
        <v>47200</v>
      </c>
      <c r="R1030" s="58" t="s">
        <v>8</v>
      </c>
      <c r="S1030" s="57" t="s">
        <v>8</v>
      </c>
      <c r="T1030" s="56" t="s">
        <v>2394</v>
      </c>
    </row>
    <row r="1031" spans="1:20">
      <c r="A1031" s="55">
        <v>130964053848</v>
      </c>
      <c r="B1031" s="53" t="s">
        <v>2386</v>
      </c>
      <c r="C1031" s="54">
        <v>45952</v>
      </c>
      <c r="D1031" s="55">
        <v>52054574048</v>
      </c>
      <c r="E1031" s="55">
        <v>2102091746171</v>
      </c>
      <c r="F1031" s="56" t="s">
        <v>2401</v>
      </c>
      <c r="G1031" s="56" t="s">
        <v>2388</v>
      </c>
      <c r="H1031" s="56" t="s">
        <v>8</v>
      </c>
      <c r="I1031" s="55" t="s">
        <v>8</v>
      </c>
      <c r="J1031" s="57">
        <v>3531.04</v>
      </c>
      <c r="K1031" s="56" t="s">
        <v>2389</v>
      </c>
      <c r="L1031" s="56" t="s">
        <v>2402</v>
      </c>
      <c r="M1031" s="55" t="s">
        <v>2391</v>
      </c>
      <c r="N1031" s="56" t="s">
        <v>2392</v>
      </c>
      <c r="O1031" s="53" t="s">
        <v>2055</v>
      </c>
      <c r="P1031" s="56" t="s">
        <v>2403</v>
      </c>
      <c r="Q1031" s="57">
        <v>46400</v>
      </c>
      <c r="R1031" s="58" t="s">
        <v>8</v>
      </c>
      <c r="S1031" s="57" t="s">
        <v>8</v>
      </c>
      <c r="T1031" s="56" t="s">
        <v>2394</v>
      </c>
    </row>
    <row r="1032" spans="1:20">
      <c r="A1032" s="55">
        <v>130965083356</v>
      </c>
      <c r="B1032" s="53" t="s">
        <v>2386</v>
      </c>
      <c r="C1032" s="54">
        <v>45953</v>
      </c>
      <c r="D1032" s="55">
        <v>52055020506</v>
      </c>
      <c r="E1032" s="55">
        <v>2102097528013</v>
      </c>
      <c r="F1032" s="56" t="s">
        <v>2387</v>
      </c>
      <c r="G1032" s="56" t="s">
        <v>2388</v>
      </c>
      <c r="H1032" s="56" t="s">
        <v>8</v>
      </c>
      <c r="I1032" s="55" t="s">
        <v>8</v>
      </c>
      <c r="J1032" s="57">
        <v>205.64</v>
      </c>
      <c r="K1032" s="56" t="s">
        <v>2389</v>
      </c>
      <c r="L1032" s="56" t="s">
        <v>2390</v>
      </c>
      <c r="M1032" s="55" t="s">
        <v>2391</v>
      </c>
      <c r="N1032" s="56" t="s">
        <v>2392</v>
      </c>
      <c r="O1032" s="53" t="s">
        <v>8</v>
      </c>
      <c r="P1032" s="56" t="s">
        <v>2793</v>
      </c>
      <c r="Q1032" s="57">
        <v>21200</v>
      </c>
      <c r="R1032" s="58" t="s">
        <v>8</v>
      </c>
      <c r="S1032" s="57" t="s">
        <v>8</v>
      </c>
      <c r="T1032" s="56" t="s">
        <v>2394</v>
      </c>
    </row>
    <row r="1033" spans="1:20">
      <c r="A1033" s="55">
        <v>130381087993</v>
      </c>
      <c r="B1033" s="53" t="s">
        <v>2386</v>
      </c>
      <c r="C1033" s="54">
        <v>45953</v>
      </c>
      <c r="D1033" s="55">
        <v>52055083862</v>
      </c>
      <c r="E1033" s="55">
        <v>2102098630881</v>
      </c>
      <c r="F1033" s="56" t="s">
        <v>2401</v>
      </c>
      <c r="G1033" s="56" t="s">
        <v>2388</v>
      </c>
      <c r="H1033" s="56" t="s">
        <v>8</v>
      </c>
      <c r="I1033" s="55" t="s">
        <v>8</v>
      </c>
      <c r="J1033" s="57">
        <v>2070.9899999999998</v>
      </c>
      <c r="K1033" s="56" t="s">
        <v>2389</v>
      </c>
      <c r="L1033" s="56" t="s">
        <v>2402</v>
      </c>
      <c r="M1033" s="55" t="s">
        <v>2391</v>
      </c>
      <c r="N1033" s="56" t="s">
        <v>2392</v>
      </c>
      <c r="O1033" s="53" t="s">
        <v>2055</v>
      </c>
      <c r="P1033" s="56" t="s">
        <v>2403</v>
      </c>
      <c r="Q1033" s="57">
        <v>52697</v>
      </c>
      <c r="R1033" s="58" t="s">
        <v>8</v>
      </c>
      <c r="S1033" s="57" t="s">
        <v>8</v>
      </c>
      <c r="T1033" s="56" t="s">
        <v>2394</v>
      </c>
    </row>
    <row r="1034" spans="1:20">
      <c r="A1034" s="55">
        <v>130381219961</v>
      </c>
      <c r="B1034" s="53" t="s">
        <v>2386</v>
      </c>
      <c r="C1034" s="54">
        <v>45953</v>
      </c>
      <c r="D1034" s="55">
        <v>52055124124</v>
      </c>
      <c r="E1034" s="55">
        <v>2102178010070</v>
      </c>
      <c r="F1034" s="56" t="s">
        <v>2387</v>
      </c>
      <c r="G1034" s="56" t="s">
        <v>2388</v>
      </c>
      <c r="H1034" s="56" t="s">
        <v>8</v>
      </c>
      <c r="I1034" s="55" t="s">
        <v>8</v>
      </c>
      <c r="J1034" s="57">
        <v>232.78</v>
      </c>
      <c r="K1034" s="56" t="s">
        <v>2389</v>
      </c>
      <c r="L1034" s="56" t="s">
        <v>2390</v>
      </c>
      <c r="M1034" s="55" t="s">
        <v>2391</v>
      </c>
      <c r="N1034" s="56" t="s">
        <v>2392</v>
      </c>
      <c r="O1034" s="53" t="s">
        <v>8</v>
      </c>
      <c r="P1034" s="56" t="s">
        <v>2794</v>
      </c>
      <c r="Q1034" s="57">
        <v>23998</v>
      </c>
      <c r="R1034" s="58" t="s">
        <v>8</v>
      </c>
      <c r="S1034" s="57" t="s">
        <v>8</v>
      </c>
      <c r="T1034" s="56" t="s">
        <v>2394</v>
      </c>
    </row>
    <row r="1035" spans="1:20">
      <c r="A1035" s="55">
        <v>130966019066</v>
      </c>
      <c r="B1035" s="53" t="s">
        <v>2386</v>
      </c>
      <c r="C1035" s="54">
        <v>45953</v>
      </c>
      <c r="D1035" s="55">
        <v>52055498221</v>
      </c>
      <c r="E1035" s="55">
        <v>2102182563522</v>
      </c>
      <c r="F1035" s="56" t="s">
        <v>2387</v>
      </c>
      <c r="G1035" s="56" t="s">
        <v>2388</v>
      </c>
      <c r="H1035" s="56" t="s">
        <v>8</v>
      </c>
      <c r="I1035" s="55" t="s">
        <v>8</v>
      </c>
      <c r="J1035" s="57">
        <v>662.51</v>
      </c>
      <c r="K1035" s="56" t="s">
        <v>2389</v>
      </c>
      <c r="L1035" s="56" t="s">
        <v>2390</v>
      </c>
      <c r="M1035" s="55" t="s">
        <v>2391</v>
      </c>
      <c r="N1035" s="56" t="s">
        <v>2392</v>
      </c>
      <c r="O1035" s="53" t="s">
        <v>8</v>
      </c>
      <c r="P1035" s="56" t="s">
        <v>2795</v>
      </c>
      <c r="Q1035" s="57">
        <v>68300</v>
      </c>
      <c r="R1035" s="58" t="s">
        <v>8</v>
      </c>
      <c r="S1035" s="57" t="s">
        <v>8</v>
      </c>
      <c r="T1035" s="56" t="s">
        <v>2394</v>
      </c>
    </row>
    <row r="1036" spans="1:20">
      <c r="A1036" s="55">
        <v>130382217225</v>
      </c>
      <c r="B1036" s="53" t="s">
        <v>2386</v>
      </c>
      <c r="C1036" s="54">
        <v>45953</v>
      </c>
      <c r="D1036" s="55">
        <v>52055572953</v>
      </c>
      <c r="E1036" s="55">
        <v>2102184134652</v>
      </c>
      <c r="F1036" s="56" t="s">
        <v>2387</v>
      </c>
      <c r="G1036" s="56" t="s">
        <v>2388</v>
      </c>
      <c r="H1036" s="56" t="s">
        <v>8</v>
      </c>
      <c r="I1036" s="55" t="s">
        <v>8</v>
      </c>
      <c r="J1036" s="57">
        <v>178.48</v>
      </c>
      <c r="K1036" s="56" t="s">
        <v>2389</v>
      </c>
      <c r="L1036" s="56" t="s">
        <v>2390</v>
      </c>
      <c r="M1036" s="55" t="s">
        <v>2391</v>
      </c>
      <c r="N1036" s="56" t="s">
        <v>2392</v>
      </c>
      <c r="O1036" s="53" t="s">
        <v>8</v>
      </c>
      <c r="P1036" s="56" t="s">
        <v>2796</v>
      </c>
      <c r="Q1036" s="57">
        <v>18400</v>
      </c>
      <c r="R1036" s="58" t="s">
        <v>8</v>
      </c>
      <c r="S1036" s="57" t="s">
        <v>8</v>
      </c>
      <c r="T1036" s="56" t="s">
        <v>2394</v>
      </c>
    </row>
    <row r="1037" spans="1:20">
      <c r="A1037" s="55">
        <v>130968142248</v>
      </c>
      <c r="B1037" s="53" t="s">
        <v>2386</v>
      </c>
      <c r="C1037" s="54">
        <v>45953</v>
      </c>
      <c r="D1037" s="55">
        <v>52056372684</v>
      </c>
      <c r="E1037" s="55">
        <v>2102199236286</v>
      </c>
      <c r="F1037" s="56" t="s">
        <v>2387</v>
      </c>
      <c r="G1037" s="56" t="s">
        <v>2388</v>
      </c>
      <c r="H1037" s="56" t="s">
        <v>8</v>
      </c>
      <c r="I1037" s="55" t="s">
        <v>8</v>
      </c>
      <c r="J1037" s="57">
        <v>601.19000000000005</v>
      </c>
      <c r="K1037" s="56" t="s">
        <v>2389</v>
      </c>
      <c r="L1037" s="56" t="s">
        <v>2390</v>
      </c>
      <c r="M1037" s="55" t="s">
        <v>2391</v>
      </c>
      <c r="N1037" s="56" t="s">
        <v>2392</v>
      </c>
      <c r="O1037" s="53" t="s">
        <v>8</v>
      </c>
      <c r="P1037" s="56" t="s">
        <v>2797</v>
      </c>
      <c r="Q1037" s="57">
        <v>7900</v>
      </c>
      <c r="R1037" s="58" t="s">
        <v>8</v>
      </c>
      <c r="S1037" s="57" t="s">
        <v>8</v>
      </c>
      <c r="T1037" s="56" t="s">
        <v>2394</v>
      </c>
    </row>
    <row r="1038" spans="1:20">
      <c r="A1038" s="55">
        <v>130968200228</v>
      </c>
      <c r="B1038" s="53" t="s">
        <v>2386</v>
      </c>
      <c r="C1038" s="54">
        <v>45953</v>
      </c>
      <c r="D1038" s="55">
        <v>52056434533</v>
      </c>
      <c r="E1038" s="55">
        <v>2102199271638</v>
      </c>
      <c r="F1038" s="56" t="s">
        <v>2387</v>
      </c>
      <c r="G1038" s="56" t="s">
        <v>2388</v>
      </c>
      <c r="H1038" s="56" t="s">
        <v>8</v>
      </c>
      <c r="I1038" s="55" t="s">
        <v>8</v>
      </c>
      <c r="J1038" s="57">
        <v>38.799999999999997</v>
      </c>
      <c r="K1038" s="56" t="s">
        <v>2389</v>
      </c>
      <c r="L1038" s="56" t="s">
        <v>2390</v>
      </c>
      <c r="M1038" s="55" t="s">
        <v>2391</v>
      </c>
      <c r="N1038" s="56" t="s">
        <v>2392</v>
      </c>
      <c r="O1038" s="53" t="s">
        <v>8</v>
      </c>
      <c r="P1038" s="56" t="s">
        <v>2798</v>
      </c>
      <c r="Q1038" s="57">
        <v>4000</v>
      </c>
      <c r="R1038" s="58" t="s">
        <v>8</v>
      </c>
      <c r="S1038" s="57" t="s">
        <v>8</v>
      </c>
      <c r="T1038" s="56" t="s">
        <v>2394</v>
      </c>
    </row>
    <row r="1039" spans="1:20">
      <c r="A1039" s="55">
        <v>130968159374</v>
      </c>
      <c r="B1039" s="53" t="s">
        <v>2386</v>
      </c>
      <c r="C1039" s="54">
        <v>45953</v>
      </c>
      <c r="D1039" s="55">
        <v>52056456164</v>
      </c>
      <c r="E1039" s="55">
        <v>2102121076127</v>
      </c>
      <c r="F1039" s="56" t="s">
        <v>2411</v>
      </c>
      <c r="G1039" s="56" t="s">
        <v>2388</v>
      </c>
      <c r="H1039" s="56" t="s">
        <v>8</v>
      </c>
      <c r="I1039" s="55" t="s">
        <v>8</v>
      </c>
      <c r="J1039" s="57">
        <v>263.83999999999997</v>
      </c>
      <c r="K1039" s="56" t="s">
        <v>2389</v>
      </c>
      <c r="L1039" s="56" t="s">
        <v>2390</v>
      </c>
      <c r="M1039" s="55" t="s">
        <v>2391</v>
      </c>
      <c r="N1039" s="56" t="s">
        <v>2392</v>
      </c>
      <c r="O1039" s="53" t="s">
        <v>8</v>
      </c>
      <c r="P1039" s="56" t="s">
        <v>2412</v>
      </c>
      <c r="Q1039" s="57">
        <v>27200</v>
      </c>
      <c r="R1039" s="58" t="s">
        <v>8</v>
      </c>
      <c r="S1039" s="57" t="s">
        <v>8</v>
      </c>
      <c r="T1039" s="56" t="s">
        <v>8</v>
      </c>
    </row>
    <row r="1040" spans="1:20">
      <c r="A1040" s="55">
        <v>130968346258</v>
      </c>
      <c r="B1040" s="53" t="s">
        <v>2386</v>
      </c>
      <c r="C1040" s="54">
        <v>45953</v>
      </c>
      <c r="D1040" s="55">
        <v>52056473673</v>
      </c>
      <c r="E1040" s="55">
        <v>2102121661447</v>
      </c>
      <c r="F1040" s="56" t="s">
        <v>2387</v>
      </c>
      <c r="G1040" s="56" t="s">
        <v>2388</v>
      </c>
      <c r="H1040" s="56" t="s">
        <v>8</v>
      </c>
      <c r="I1040" s="55" t="s">
        <v>8</v>
      </c>
      <c r="J1040" s="57">
        <v>92.15</v>
      </c>
      <c r="K1040" s="56" t="s">
        <v>2389</v>
      </c>
      <c r="L1040" s="56" t="s">
        <v>2390</v>
      </c>
      <c r="M1040" s="55" t="s">
        <v>2391</v>
      </c>
      <c r="N1040" s="56" t="s">
        <v>2392</v>
      </c>
      <c r="O1040" s="53" t="s">
        <v>8</v>
      </c>
      <c r="P1040" s="56" t="s">
        <v>2799</v>
      </c>
      <c r="Q1040" s="57">
        <v>9500</v>
      </c>
      <c r="R1040" s="58" t="s">
        <v>8</v>
      </c>
      <c r="S1040" s="57" t="s">
        <v>8</v>
      </c>
      <c r="T1040" s="56" t="s">
        <v>2394</v>
      </c>
    </row>
    <row r="1041" spans="1:20">
      <c r="A1041" s="55">
        <v>130384388375</v>
      </c>
      <c r="B1041" s="53" t="s">
        <v>2386</v>
      </c>
      <c r="C1041" s="54">
        <v>45953</v>
      </c>
      <c r="D1041" s="55">
        <v>52056510531</v>
      </c>
      <c r="E1041" s="55">
        <v>2102122270923</v>
      </c>
      <c r="F1041" s="56" t="s">
        <v>2387</v>
      </c>
      <c r="G1041" s="56" t="s">
        <v>2388</v>
      </c>
      <c r="H1041" s="56" t="s">
        <v>8</v>
      </c>
      <c r="I1041" s="55" t="s">
        <v>8</v>
      </c>
      <c r="J1041" s="57">
        <v>46.56</v>
      </c>
      <c r="K1041" s="56" t="s">
        <v>2389</v>
      </c>
      <c r="L1041" s="56" t="s">
        <v>2390</v>
      </c>
      <c r="M1041" s="55" t="s">
        <v>2391</v>
      </c>
      <c r="N1041" s="56" t="s">
        <v>2392</v>
      </c>
      <c r="O1041" s="53" t="s">
        <v>8</v>
      </c>
      <c r="P1041" s="56" t="s">
        <v>2800</v>
      </c>
      <c r="Q1041" s="57">
        <v>4800</v>
      </c>
      <c r="R1041" s="58" t="s">
        <v>8</v>
      </c>
      <c r="S1041" s="57" t="s">
        <v>8</v>
      </c>
      <c r="T1041" s="56" t="s">
        <v>2394</v>
      </c>
    </row>
    <row r="1042" spans="1:20">
      <c r="A1042" s="55">
        <v>130384380875</v>
      </c>
      <c r="B1042" s="53" t="s">
        <v>2386</v>
      </c>
      <c r="C1042" s="54">
        <v>45953</v>
      </c>
      <c r="D1042" s="55">
        <v>52056537108</v>
      </c>
      <c r="E1042" s="55">
        <v>2102201511814</v>
      </c>
      <c r="F1042" s="56" t="s">
        <v>2387</v>
      </c>
      <c r="G1042" s="56" t="s">
        <v>2388</v>
      </c>
      <c r="H1042" s="56" t="s">
        <v>8</v>
      </c>
      <c r="I1042" s="55" t="s">
        <v>8</v>
      </c>
      <c r="J1042" s="57">
        <v>365.28</v>
      </c>
      <c r="K1042" s="56" t="s">
        <v>2389</v>
      </c>
      <c r="L1042" s="56" t="s">
        <v>2390</v>
      </c>
      <c r="M1042" s="55" t="s">
        <v>2391</v>
      </c>
      <c r="N1042" s="56" t="s">
        <v>2392</v>
      </c>
      <c r="O1042" s="53" t="s">
        <v>8</v>
      </c>
      <c r="P1042" s="56" t="s">
        <v>2797</v>
      </c>
      <c r="Q1042" s="57">
        <v>4800</v>
      </c>
      <c r="R1042" s="58" t="s">
        <v>8</v>
      </c>
      <c r="S1042" s="57" t="s">
        <v>8</v>
      </c>
      <c r="T1042" s="56" t="s">
        <v>2394</v>
      </c>
    </row>
    <row r="1043" spans="1:20">
      <c r="A1043" s="55">
        <v>130384308007</v>
      </c>
      <c r="B1043" s="53" t="s">
        <v>2386</v>
      </c>
      <c r="C1043" s="54">
        <v>45953</v>
      </c>
      <c r="D1043" s="55">
        <v>52056559137</v>
      </c>
      <c r="E1043" s="55">
        <v>2102201970482</v>
      </c>
      <c r="F1043" s="56" t="s">
        <v>2387</v>
      </c>
      <c r="G1043" s="56" t="s">
        <v>2388</v>
      </c>
      <c r="H1043" s="56" t="s">
        <v>8</v>
      </c>
      <c r="I1043" s="55" t="s">
        <v>8</v>
      </c>
      <c r="J1043" s="57">
        <v>38.799999999999997</v>
      </c>
      <c r="K1043" s="56" t="s">
        <v>2389</v>
      </c>
      <c r="L1043" s="56" t="s">
        <v>2390</v>
      </c>
      <c r="M1043" s="55" t="s">
        <v>2391</v>
      </c>
      <c r="N1043" s="56" t="s">
        <v>2392</v>
      </c>
      <c r="O1043" s="53" t="s">
        <v>8</v>
      </c>
      <c r="P1043" s="56" t="s">
        <v>2801</v>
      </c>
      <c r="Q1043" s="57">
        <v>4000</v>
      </c>
      <c r="R1043" s="58" t="s">
        <v>8</v>
      </c>
      <c r="S1043" s="57" t="s">
        <v>8</v>
      </c>
      <c r="T1043" s="56" t="s">
        <v>2394</v>
      </c>
    </row>
    <row r="1044" spans="1:20">
      <c r="A1044" s="55">
        <v>130385473309</v>
      </c>
      <c r="B1044" s="53" t="s">
        <v>2386</v>
      </c>
      <c r="C1044" s="54">
        <v>45953</v>
      </c>
      <c r="D1044" s="55">
        <v>52057077919</v>
      </c>
      <c r="E1044" s="55">
        <v>2102216571510</v>
      </c>
      <c r="F1044" s="56" t="s">
        <v>2411</v>
      </c>
      <c r="G1044" s="56" t="s">
        <v>2388</v>
      </c>
      <c r="H1044" s="56" t="s">
        <v>8</v>
      </c>
      <c r="I1044" s="55" t="s">
        <v>8</v>
      </c>
      <c r="J1044" s="57">
        <v>53.35</v>
      </c>
      <c r="K1044" s="56" t="s">
        <v>2389</v>
      </c>
      <c r="L1044" s="56" t="s">
        <v>2390</v>
      </c>
      <c r="M1044" s="55" t="s">
        <v>2391</v>
      </c>
      <c r="N1044" s="56" t="s">
        <v>2392</v>
      </c>
      <c r="O1044" s="53" t="s">
        <v>8</v>
      </c>
      <c r="P1044" s="56" t="s">
        <v>2412</v>
      </c>
      <c r="Q1044" s="57">
        <v>5500</v>
      </c>
      <c r="R1044" s="58" t="s">
        <v>8</v>
      </c>
      <c r="S1044" s="57" t="s">
        <v>8</v>
      </c>
      <c r="T1044" s="56" t="s">
        <v>8</v>
      </c>
    </row>
    <row r="1045" spans="1:20">
      <c r="A1045" s="55">
        <v>130385616989</v>
      </c>
      <c r="B1045" s="53" t="s">
        <v>2386</v>
      </c>
      <c r="C1045" s="54">
        <v>45953</v>
      </c>
      <c r="D1045" s="55">
        <v>52057091805</v>
      </c>
      <c r="E1045" s="55">
        <v>2102217796380</v>
      </c>
      <c r="F1045" s="56" t="s">
        <v>2387</v>
      </c>
      <c r="G1045" s="56" t="s">
        <v>2388</v>
      </c>
      <c r="H1045" s="56" t="s">
        <v>8</v>
      </c>
      <c r="I1045" s="55" t="s">
        <v>8</v>
      </c>
      <c r="J1045" s="57">
        <v>258.02</v>
      </c>
      <c r="K1045" s="56" t="s">
        <v>2389</v>
      </c>
      <c r="L1045" s="56" t="s">
        <v>2390</v>
      </c>
      <c r="M1045" s="55" t="s">
        <v>2391</v>
      </c>
      <c r="N1045" s="56" t="s">
        <v>2392</v>
      </c>
      <c r="O1045" s="53" t="s">
        <v>8</v>
      </c>
      <c r="P1045" s="56" t="s">
        <v>2802</v>
      </c>
      <c r="Q1045" s="57">
        <v>26600</v>
      </c>
      <c r="R1045" s="58" t="s">
        <v>8</v>
      </c>
      <c r="S1045" s="57" t="s">
        <v>8</v>
      </c>
      <c r="T1045" s="56" t="s">
        <v>2394</v>
      </c>
    </row>
    <row r="1046" spans="1:20">
      <c r="A1046" s="55">
        <v>130385762611</v>
      </c>
      <c r="B1046" s="53" t="s">
        <v>2386</v>
      </c>
      <c r="C1046" s="54">
        <v>45953</v>
      </c>
      <c r="D1046" s="55">
        <v>52057128307</v>
      </c>
      <c r="E1046" s="55">
        <v>2102138321543</v>
      </c>
      <c r="F1046" s="56" t="s">
        <v>2387</v>
      </c>
      <c r="G1046" s="56" t="s">
        <v>2388</v>
      </c>
      <c r="H1046" s="56" t="s">
        <v>8</v>
      </c>
      <c r="I1046" s="55" t="s">
        <v>8</v>
      </c>
      <c r="J1046" s="57">
        <v>53.35</v>
      </c>
      <c r="K1046" s="56" t="s">
        <v>2389</v>
      </c>
      <c r="L1046" s="56" t="s">
        <v>2390</v>
      </c>
      <c r="M1046" s="55" t="s">
        <v>2391</v>
      </c>
      <c r="N1046" s="56" t="s">
        <v>2392</v>
      </c>
      <c r="O1046" s="53" t="s">
        <v>8</v>
      </c>
      <c r="P1046" s="56" t="s">
        <v>2803</v>
      </c>
      <c r="Q1046" s="57">
        <v>5500</v>
      </c>
      <c r="R1046" s="58" t="s">
        <v>8</v>
      </c>
      <c r="S1046" s="57" t="s">
        <v>8</v>
      </c>
      <c r="T1046" s="56" t="s">
        <v>2394</v>
      </c>
    </row>
    <row r="1047" spans="1:20">
      <c r="A1047" s="55">
        <v>130385928447</v>
      </c>
      <c r="B1047" s="53" t="s">
        <v>2386</v>
      </c>
      <c r="C1047" s="54">
        <v>45953</v>
      </c>
      <c r="D1047" s="55">
        <v>52057183609</v>
      </c>
      <c r="E1047" s="55">
        <v>2102220216218</v>
      </c>
      <c r="F1047" s="56" t="s">
        <v>2387</v>
      </c>
      <c r="G1047" s="56" t="s">
        <v>2388</v>
      </c>
      <c r="H1047" s="56" t="s">
        <v>8</v>
      </c>
      <c r="I1047" s="55" t="s">
        <v>8</v>
      </c>
      <c r="J1047" s="57">
        <v>324.95</v>
      </c>
      <c r="K1047" s="56" t="s">
        <v>2389</v>
      </c>
      <c r="L1047" s="56" t="s">
        <v>2390</v>
      </c>
      <c r="M1047" s="55" t="s">
        <v>2391</v>
      </c>
      <c r="N1047" s="56" t="s">
        <v>2392</v>
      </c>
      <c r="O1047" s="53" t="s">
        <v>8</v>
      </c>
      <c r="P1047" s="56" t="s">
        <v>2804</v>
      </c>
      <c r="Q1047" s="57">
        <v>33500</v>
      </c>
      <c r="R1047" s="58" t="s">
        <v>8</v>
      </c>
      <c r="S1047" s="57" t="s">
        <v>8</v>
      </c>
      <c r="T1047" s="56" t="s">
        <v>2394</v>
      </c>
    </row>
    <row r="1048" spans="1:20">
      <c r="A1048" s="55">
        <v>131071540454</v>
      </c>
      <c r="B1048" s="53" t="s">
        <v>2386</v>
      </c>
      <c r="C1048" s="54">
        <v>45953</v>
      </c>
      <c r="D1048" s="55">
        <v>52093595329</v>
      </c>
      <c r="E1048" s="55">
        <v>2102822213747</v>
      </c>
      <c r="F1048" s="56" t="s">
        <v>2387</v>
      </c>
      <c r="G1048" s="56" t="s">
        <v>2388</v>
      </c>
      <c r="H1048" s="56" t="s">
        <v>8</v>
      </c>
      <c r="I1048" s="55" t="s">
        <v>8</v>
      </c>
      <c r="J1048" s="57">
        <v>77.599999999999994</v>
      </c>
      <c r="K1048" s="56" t="s">
        <v>2389</v>
      </c>
      <c r="L1048" s="56" t="s">
        <v>2390</v>
      </c>
      <c r="M1048" s="55" t="s">
        <v>2391</v>
      </c>
      <c r="N1048" s="56" t="s">
        <v>2392</v>
      </c>
      <c r="O1048" s="53" t="s">
        <v>8</v>
      </c>
      <c r="P1048" s="56" t="s">
        <v>2805</v>
      </c>
      <c r="Q1048" s="57">
        <v>8000</v>
      </c>
      <c r="R1048" s="58" t="s">
        <v>8</v>
      </c>
      <c r="S1048" s="57" t="s">
        <v>8</v>
      </c>
      <c r="T1048" s="56" t="s">
        <v>2394</v>
      </c>
    </row>
    <row r="1049" spans="1:20">
      <c r="A1049" s="55">
        <v>130485510525</v>
      </c>
      <c r="B1049" s="53" t="s">
        <v>2386</v>
      </c>
      <c r="C1049" s="54">
        <v>45953</v>
      </c>
      <c r="D1049" s="55">
        <v>52093752001</v>
      </c>
      <c r="E1049" s="55">
        <v>2102825189077</v>
      </c>
      <c r="F1049" s="56" t="s">
        <v>2411</v>
      </c>
      <c r="G1049" s="56" t="s">
        <v>2388</v>
      </c>
      <c r="H1049" s="56" t="s">
        <v>8</v>
      </c>
      <c r="I1049" s="55" t="s">
        <v>8</v>
      </c>
      <c r="J1049" s="57">
        <v>47.53</v>
      </c>
      <c r="K1049" s="56" t="s">
        <v>2389</v>
      </c>
      <c r="L1049" s="56" t="s">
        <v>2390</v>
      </c>
      <c r="M1049" s="55" t="s">
        <v>2391</v>
      </c>
      <c r="N1049" s="56" t="s">
        <v>2392</v>
      </c>
      <c r="O1049" s="53" t="s">
        <v>8</v>
      </c>
      <c r="P1049" s="56" t="s">
        <v>2412</v>
      </c>
      <c r="Q1049" s="57">
        <v>4900</v>
      </c>
      <c r="R1049" s="58" t="s">
        <v>8</v>
      </c>
      <c r="S1049" s="57" t="s">
        <v>8</v>
      </c>
      <c r="T1049" s="56" t="s">
        <v>8</v>
      </c>
    </row>
    <row r="1050" spans="1:20">
      <c r="A1050" s="55">
        <v>130487069719</v>
      </c>
      <c r="B1050" s="53" t="s">
        <v>2386</v>
      </c>
      <c r="C1050" s="54">
        <v>45953</v>
      </c>
      <c r="D1050" s="55">
        <v>52094468910</v>
      </c>
      <c r="E1050" s="55">
        <v>2102838418867</v>
      </c>
      <c r="F1050" s="56" t="s">
        <v>2387</v>
      </c>
      <c r="G1050" s="56" t="s">
        <v>2388</v>
      </c>
      <c r="H1050" s="56" t="s">
        <v>8</v>
      </c>
      <c r="I1050" s="55" t="s">
        <v>8</v>
      </c>
      <c r="J1050" s="57">
        <v>1963.38</v>
      </c>
      <c r="K1050" s="56" t="s">
        <v>2389</v>
      </c>
      <c r="L1050" s="56" t="s">
        <v>2390</v>
      </c>
      <c r="M1050" s="55" t="s">
        <v>2391</v>
      </c>
      <c r="N1050" s="56" t="s">
        <v>2392</v>
      </c>
      <c r="O1050" s="53" t="s">
        <v>8</v>
      </c>
      <c r="P1050" s="56" t="s">
        <v>2527</v>
      </c>
      <c r="Q1050" s="57">
        <v>25800</v>
      </c>
      <c r="R1050" s="58" t="s">
        <v>8</v>
      </c>
      <c r="S1050" s="57" t="s">
        <v>8</v>
      </c>
      <c r="T1050" s="56" t="s">
        <v>2394</v>
      </c>
    </row>
    <row r="1051" spans="1:20">
      <c r="A1051" s="55">
        <v>131074278650</v>
      </c>
      <c r="B1051" s="53" t="s">
        <v>2386</v>
      </c>
      <c r="C1051" s="54">
        <v>45953</v>
      </c>
      <c r="D1051" s="55">
        <v>52094625250</v>
      </c>
      <c r="E1051" s="55">
        <v>2102921637662</v>
      </c>
      <c r="F1051" s="56" t="s">
        <v>2387</v>
      </c>
      <c r="G1051" s="56" t="s">
        <v>2388</v>
      </c>
      <c r="H1051" s="56" t="s">
        <v>8</v>
      </c>
      <c r="I1051" s="55" t="s">
        <v>8</v>
      </c>
      <c r="J1051" s="57">
        <v>186.24</v>
      </c>
      <c r="K1051" s="56" t="s">
        <v>2389</v>
      </c>
      <c r="L1051" s="56" t="s">
        <v>2390</v>
      </c>
      <c r="M1051" s="55" t="s">
        <v>2391</v>
      </c>
      <c r="N1051" s="56" t="s">
        <v>2392</v>
      </c>
      <c r="O1051" s="53" t="s">
        <v>8</v>
      </c>
      <c r="P1051" s="56" t="s">
        <v>2746</v>
      </c>
      <c r="Q1051" s="57">
        <v>19200</v>
      </c>
      <c r="R1051" s="58" t="s">
        <v>8</v>
      </c>
      <c r="S1051" s="57" t="s">
        <v>8</v>
      </c>
      <c r="T1051" s="56" t="s">
        <v>2394</v>
      </c>
    </row>
    <row r="1052" spans="1:20">
      <c r="A1052" s="55">
        <v>131076012574</v>
      </c>
      <c r="B1052" s="53" t="s">
        <v>2386</v>
      </c>
      <c r="C1052" s="54">
        <v>45953</v>
      </c>
      <c r="D1052" s="55">
        <v>52095172724</v>
      </c>
      <c r="E1052" s="55">
        <v>2102932697062</v>
      </c>
      <c r="F1052" s="56" t="s">
        <v>2401</v>
      </c>
      <c r="G1052" s="56" t="s">
        <v>2388</v>
      </c>
      <c r="H1052" s="56" t="s">
        <v>8</v>
      </c>
      <c r="I1052" s="55" t="s">
        <v>8</v>
      </c>
      <c r="J1052" s="57">
        <v>78.599999999999994</v>
      </c>
      <c r="K1052" s="56" t="s">
        <v>2389</v>
      </c>
      <c r="L1052" s="56" t="s">
        <v>2402</v>
      </c>
      <c r="M1052" s="55" t="s">
        <v>2391</v>
      </c>
      <c r="N1052" s="56" t="s">
        <v>2392</v>
      </c>
      <c r="O1052" s="53" t="s">
        <v>2055</v>
      </c>
      <c r="P1052" s="56" t="s">
        <v>2403</v>
      </c>
      <c r="Q1052" s="57">
        <v>2000</v>
      </c>
      <c r="R1052" s="58" t="s">
        <v>8</v>
      </c>
      <c r="S1052" s="57" t="s">
        <v>8</v>
      </c>
      <c r="T1052" s="56" t="s">
        <v>2394</v>
      </c>
    </row>
    <row r="1053" spans="1:20">
      <c r="A1053" s="55">
        <v>130491825175</v>
      </c>
      <c r="B1053" s="53" t="s">
        <v>2386</v>
      </c>
      <c r="C1053" s="54">
        <v>45953</v>
      </c>
      <c r="D1053" s="55">
        <v>52096089011</v>
      </c>
      <c r="E1053" s="55">
        <v>2102870131231</v>
      </c>
      <c r="F1053" s="56" t="s">
        <v>2387</v>
      </c>
      <c r="G1053" s="56" t="s">
        <v>2388</v>
      </c>
      <c r="H1053" s="56" t="s">
        <v>8</v>
      </c>
      <c r="I1053" s="55" t="s">
        <v>8</v>
      </c>
      <c r="J1053" s="57">
        <v>1814.99</v>
      </c>
      <c r="K1053" s="56" t="s">
        <v>2389</v>
      </c>
      <c r="L1053" s="56" t="s">
        <v>2390</v>
      </c>
      <c r="M1053" s="55" t="s">
        <v>2391</v>
      </c>
      <c r="N1053" s="56" t="s">
        <v>2392</v>
      </c>
      <c r="O1053" s="53" t="s">
        <v>8</v>
      </c>
      <c r="P1053" s="56" t="s">
        <v>2784</v>
      </c>
      <c r="Q1053" s="57">
        <v>23850</v>
      </c>
      <c r="R1053" s="58" t="s">
        <v>8</v>
      </c>
      <c r="S1053" s="57" t="s">
        <v>8</v>
      </c>
      <c r="T1053" s="56" t="s">
        <v>2394</v>
      </c>
    </row>
    <row r="1054" spans="1:20">
      <c r="A1054" s="55">
        <v>131078679332</v>
      </c>
      <c r="B1054" s="53" t="s">
        <v>2386</v>
      </c>
      <c r="C1054" s="54">
        <v>45953</v>
      </c>
      <c r="D1054" s="55">
        <v>52096170804</v>
      </c>
      <c r="E1054" s="55">
        <v>2102871600265</v>
      </c>
      <c r="F1054" s="56" t="s">
        <v>2387</v>
      </c>
      <c r="G1054" s="56" t="s">
        <v>2388</v>
      </c>
      <c r="H1054" s="56" t="s">
        <v>8</v>
      </c>
      <c r="I1054" s="55" t="s">
        <v>8</v>
      </c>
      <c r="J1054" s="57">
        <v>164.9</v>
      </c>
      <c r="K1054" s="56" t="s">
        <v>2389</v>
      </c>
      <c r="L1054" s="56" t="s">
        <v>2390</v>
      </c>
      <c r="M1054" s="55" t="s">
        <v>2391</v>
      </c>
      <c r="N1054" s="56" t="s">
        <v>2392</v>
      </c>
      <c r="O1054" s="53" t="s">
        <v>8</v>
      </c>
      <c r="P1054" s="56" t="s">
        <v>2806</v>
      </c>
      <c r="Q1054" s="57">
        <v>17000</v>
      </c>
      <c r="R1054" s="58" t="s">
        <v>8</v>
      </c>
      <c r="S1054" s="57" t="s">
        <v>8</v>
      </c>
      <c r="T1054" s="56" t="s">
        <v>2394</v>
      </c>
    </row>
    <row r="1055" spans="1:20">
      <c r="A1055" s="55">
        <v>130492403155</v>
      </c>
      <c r="B1055" s="53" t="s">
        <v>2386</v>
      </c>
      <c r="C1055" s="54">
        <v>45953</v>
      </c>
      <c r="D1055" s="55">
        <v>52096255328</v>
      </c>
      <c r="E1055" s="55">
        <v>2102954148182</v>
      </c>
      <c r="F1055" s="56" t="s">
        <v>2401</v>
      </c>
      <c r="G1055" s="56" t="s">
        <v>2388</v>
      </c>
      <c r="H1055" s="56" t="s">
        <v>8</v>
      </c>
      <c r="I1055" s="55" t="s">
        <v>8</v>
      </c>
      <c r="J1055" s="57">
        <v>377.28</v>
      </c>
      <c r="K1055" s="56" t="s">
        <v>2389</v>
      </c>
      <c r="L1055" s="56" t="s">
        <v>2402</v>
      </c>
      <c r="M1055" s="55" t="s">
        <v>2391</v>
      </c>
      <c r="N1055" s="56" t="s">
        <v>2392</v>
      </c>
      <c r="O1055" s="53" t="s">
        <v>2055</v>
      </c>
      <c r="P1055" s="56" t="s">
        <v>2403</v>
      </c>
      <c r="Q1055" s="57">
        <v>9600</v>
      </c>
      <c r="R1055" s="58" t="s">
        <v>8</v>
      </c>
      <c r="S1055" s="57" t="s">
        <v>8</v>
      </c>
      <c r="T1055" s="56" t="s">
        <v>2394</v>
      </c>
    </row>
    <row r="1056" spans="1:20">
      <c r="A1056" s="55">
        <v>131079257414</v>
      </c>
      <c r="B1056" s="53" t="s">
        <v>2386</v>
      </c>
      <c r="C1056" s="54">
        <v>45953</v>
      </c>
      <c r="D1056" s="55">
        <v>52096347266</v>
      </c>
      <c r="E1056" s="55">
        <v>2102955856982</v>
      </c>
      <c r="F1056" s="56" t="s">
        <v>2401</v>
      </c>
      <c r="G1056" s="56" t="s">
        <v>2388</v>
      </c>
      <c r="H1056" s="56" t="s">
        <v>8</v>
      </c>
      <c r="I1056" s="55" t="s">
        <v>8</v>
      </c>
      <c r="J1056" s="57">
        <v>565.91999999999996</v>
      </c>
      <c r="K1056" s="56" t="s">
        <v>2389</v>
      </c>
      <c r="L1056" s="56" t="s">
        <v>2402</v>
      </c>
      <c r="M1056" s="55" t="s">
        <v>2391</v>
      </c>
      <c r="N1056" s="56" t="s">
        <v>2392</v>
      </c>
      <c r="O1056" s="53" t="s">
        <v>2055</v>
      </c>
      <c r="P1056" s="56" t="s">
        <v>2403</v>
      </c>
      <c r="Q1056" s="57">
        <v>14400</v>
      </c>
      <c r="R1056" s="58" t="s">
        <v>8</v>
      </c>
      <c r="S1056" s="57" t="s">
        <v>8</v>
      </c>
      <c r="T1056" s="56" t="s">
        <v>2394</v>
      </c>
    </row>
    <row r="1057" spans="1:20">
      <c r="A1057" s="55">
        <v>131080816358</v>
      </c>
      <c r="B1057" s="53" t="s">
        <v>2386</v>
      </c>
      <c r="C1057" s="54">
        <v>45953</v>
      </c>
      <c r="D1057" s="55">
        <v>52096858223</v>
      </c>
      <c r="E1057" s="55">
        <v>2102886266179</v>
      </c>
      <c r="F1057" s="56" t="s">
        <v>2387</v>
      </c>
      <c r="G1057" s="56" t="s">
        <v>2388</v>
      </c>
      <c r="H1057" s="56" t="s">
        <v>8</v>
      </c>
      <c r="I1057" s="55" t="s">
        <v>8</v>
      </c>
      <c r="J1057" s="57">
        <v>139.68</v>
      </c>
      <c r="K1057" s="56" t="s">
        <v>2389</v>
      </c>
      <c r="L1057" s="56" t="s">
        <v>2390</v>
      </c>
      <c r="M1057" s="55" t="s">
        <v>2391</v>
      </c>
      <c r="N1057" s="56" t="s">
        <v>2392</v>
      </c>
      <c r="O1057" s="53" t="s">
        <v>8</v>
      </c>
      <c r="P1057" s="56" t="s">
        <v>2807</v>
      </c>
      <c r="Q1057" s="57">
        <v>14400</v>
      </c>
      <c r="R1057" s="58" t="s">
        <v>8</v>
      </c>
      <c r="S1057" s="57" t="s">
        <v>8</v>
      </c>
      <c r="T1057" s="56" t="s">
        <v>2394</v>
      </c>
    </row>
    <row r="1058" spans="1:20">
      <c r="A1058" s="55">
        <v>130494768229</v>
      </c>
      <c r="B1058" s="53" t="s">
        <v>2386</v>
      </c>
      <c r="C1058" s="54">
        <v>45953</v>
      </c>
      <c r="D1058" s="55">
        <v>52097012905</v>
      </c>
      <c r="E1058" s="55">
        <v>2102890413505</v>
      </c>
      <c r="F1058" s="56" t="s">
        <v>2401</v>
      </c>
      <c r="G1058" s="56" t="s">
        <v>2388</v>
      </c>
      <c r="H1058" s="56" t="s">
        <v>8</v>
      </c>
      <c r="I1058" s="55" t="s">
        <v>8</v>
      </c>
      <c r="J1058" s="57">
        <v>593.42999999999995</v>
      </c>
      <c r="K1058" s="56" t="s">
        <v>2389</v>
      </c>
      <c r="L1058" s="56" t="s">
        <v>2402</v>
      </c>
      <c r="M1058" s="55" t="s">
        <v>2391</v>
      </c>
      <c r="N1058" s="56" t="s">
        <v>2392</v>
      </c>
      <c r="O1058" s="53" t="s">
        <v>2055</v>
      </c>
      <c r="P1058" s="56" t="s">
        <v>2403</v>
      </c>
      <c r="Q1058" s="57">
        <v>15100</v>
      </c>
      <c r="R1058" s="58" t="s">
        <v>8</v>
      </c>
      <c r="S1058" s="57" t="s">
        <v>8</v>
      </c>
      <c r="T1058" s="56" t="s">
        <v>2394</v>
      </c>
    </row>
    <row r="1059" spans="1:20">
      <c r="A1059" s="55">
        <v>130494783229</v>
      </c>
      <c r="B1059" s="53" t="s">
        <v>2386</v>
      </c>
      <c r="C1059" s="54">
        <v>45953</v>
      </c>
      <c r="D1059" s="55">
        <v>52097107045</v>
      </c>
      <c r="E1059" s="55">
        <v>2102972526666</v>
      </c>
      <c r="F1059" s="56" t="s">
        <v>2401</v>
      </c>
      <c r="G1059" s="56" t="s">
        <v>2388</v>
      </c>
      <c r="H1059" s="56" t="s">
        <v>8</v>
      </c>
      <c r="I1059" s="55" t="s">
        <v>8</v>
      </c>
      <c r="J1059" s="57">
        <v>444.92</v>
      </c>
      <c r="K1059" s="56" t="s">
        <v>2389</v>
      </c>
      <c r="L1059" s="56" t="s">
        <v>2402</v>
      </c>
      <c r="M1059" s="55" t="s">
        <v>2391</v>
      </c>
      <c r="N1059" s="56" t="s">
        <v>2392</v>
      </c>
      <c r="O1059" s="53" t="s">
        <v>2055</v>
      </c>
      <c r="P1059" s="56" t="s">
        <v>2403</v>
      </c>
      <c r="Q1059" s="57">
        <v>9800</v>
      </c>
      <c r="R1059" s="58" t="s">
        <v>8</v>
      </c>
      <c r="S1059" s="57" t="s">
        <v>8</v>
      </c>
      <c r="T1059" s="56" t="s">
        <v>2394</v>
      </c>
    </row>
    <row r="1060" spans="1:20">
      <c r="A1060" s="55">
        <v>131082125710</v>
      </c>
      <c r="B1060" s="53" t="s">
        <v>2386</v>
      </c>
      <c r="C1060" s="54">
        <v>45953</v>
      </c>
      <c r="D1060" s="55">
        <v>52097366376</v>
      </c>
      <c r="E1060" s="55">
        <v>2102978277318</v>
      </c>
      <c r="F1060" s="56" t="s">
        <v>2387</v>
      </c>
      <c r="G1060" s="56" t="s">
        <v>2388</v>
      </c>
      <c r="H1060" s="56" t="s">
        <v>8</v>
      </c>
      <c r="I1060" s="55" t="s">
        <v>8</v>
      </c>
      <c r="J1060" s="57">
        <v>44.62</v>
      </c>
      <c r="K1060" s="56" t="s">
        <v>2389</v>
      </c>
      <c r="L1060" s="56" t="s">
        <v>2390</v>
      </c>
      <c r="M1060" s="55" t="s">
        <v>2391</v>
      </c>
      <c r="N1060" s="56" t="s">
        <v>2392</v>
      </c>
      <c r="O1060" s="53" t="s">
        <v>8</v>
      </c>
      <c r="P1060" s="56" t="s">
        <v>2808</v>
      </c>
      <c r="Q1060" s="57">
        <v>4600</v>
      </c>
      <c r="R1060" s="58" t="s">
        <v>8</v>
      </c>
      <c r="S1060" s="57" t="s">
        <v>8</v>
      </c>
      <c r="T1060" s="56" t="s">
        <v>2394</v>
      </c>
    </row>
    <row r="1061" spans="1:20">
      <c r="A1061" s="55">
        <v>130495738913</v>
      </c>
      <c r="B1061" s="53" t="s">
        <v>2386</v>
      </c>
      <c r="C1061" s="54">
        <v>45953</v>
      </c>
      <c r="D1061" s="55">
        <v>52097435792</v>
      </c>
      <c r="E1061" s="55">
        <v>2102898387301</v>
      </c>
      <c r="F1061" s="56" t="s">
        <v>2387</v>
      </c>
      <c r="G1061" s="56" t="s">
        <v>2388</v>
      </c>
      <c r="H1061" s="56" t="s">
        <v>8</v>
      </c>
      <c r="I1061" s="55" t="s">
        <v>8</v>
      </c>
      <c r="J1061" s="57">
        <v>46.56</v>
      </c>
      <c r="K1061" s="56" t="s">
        <v>2389</v>
      </c>
      <c r="L1061" s="56" t="s">
        <v>2390</v>
      </c>
      <c r="M1061" s="55" t="s">
        <v>2391</v>
      </c>
      <c r="N1061" s="56" t="s">
        <v>2392</v>
      </c>
      <c r="O1061" s="53" t="s">
        <v>8</v>
      </c>
      <c r="P1061" s="56" t="s">
        <v>2809</v>
      </c>
      <c r="Q1061" s="57">
        <v>4800</v>
      </c>
      <c r="R1061" s="58" t="s">
        <v>8</v>
      </c>
      <c r="S1061" s="57" t="s">
        <v>8</v>
      </c>
      <c r="T1061" s="56" t="s">
        <v>2394</v>
      </c>
    </row>
    <row r="1062" spans="1:20">
      <c r="A1062" s="55">
        <v>130496329581</v>
      </c>
      <c r="B1062" s="53" t="s">
        <v>2386</v>
      </c>
      <c r="C1062" s="54">
        <v>45953</v>
      </c>
      <c r="D1062" s="55">
        <v>52097683515</v>
      </c>
      <c r="E1062" s="55">
        <v>2102904003265</v>
      </c>
      <c r="F1062" s="56" t="s">
        <v>2387</v>
      </c>
      <c r="G1062" s="56" t="s">
        <v>2388</v>
      </c>
      <c r="H1062" s="56" t="s">
        <v>8</v>
      </c>
      <c r="I1062" s="55" t="s">
        <v>8</v>
      </c>
      <c r="J1062" s="57">
        <v>29.1</v>
      </c>
      <c r="K1062" s="56" t="s">
        <v>2389</v>
      </c>
      <c r="L1062" s="56" t="s">
        <v>2390</v>
      </c>
      <c r="M1062" s="55" t="s">
        <v>2391</v>
      </c>
      <c r="N1062" s="56" t="s">
        <v>2392</v>
      </c>
      <c r="O1062" s="53" t="s">
        <v>8</v>
      </c>
      <c r="P1062" s="56" t="s">
        <v>2810</v>
      </c>
      <c r="Q1062" s="57">
        <v>3000</v>
      </c>
      <c r="R1062" s="58" t="s">
        <v>8</v>
      </c>
      <c r="S1062" s="57" t="s">
        <v>8</v>
      </c>
      <c r="T1062" s="56" t="s">
        <v>2394</v>
      </c>
    </row>
    <row r="1063" spans="1:20">
      <c r="A1063" s="55">
        <v>130496869105</v>
      </c>
      <c r="B1063" s="53" t="s">
        <v>2386</v>
      </c>
      <c r="C1063" s="54">
        <v>45953</v>
      </c>
      <c r="D1063" s="55">
        <v>52097841431</v>
      </c>
      <c r="E1063" s="55">
        <v>2102907199783</v>
      </c>
      <c r="F1063" s="56" t="s">
        <v>2387</v>
      </c>
      <c r="G1063" s="56" t="s">
        <v>2388</v>
      </c>
      <c r="H1063" s="56" t="s">
        <v>8</v>
      </c>
      <c r="I1063" s="55" t="s">
        <v>8</v>
      </c>
      <c r="J1063" s="57">
        <v>46.56</v>
      </c>
      <c r="K1063" s="56" t="s">
        <v>2389</v>
      </c>
      <c r="L1063" s="56" t="s">
        <v>2390</v>
      </c>
      <c r="M1063" s="55" t="s">
        <v>2391</v>
      </c>
      <c r="N1063" s="56" t="s">
        <v>2392</v>
      </c>
      <c r="O1063" s="53" t="s">
        <v>8</v>
      </c>
      <c r="P1063" s="56" t="s">
        <v>2455</v>
      </c>
      <c r="Q1063" s="57">
        <v>4800</v>
      </c>
      <c r="R1063" s="58" t="s">
        <v>8</v>
      </c>
      <c r="S1063" s="57" t="s">
        <v>8</v>
      </c>
      <c r="T1063" s="56" t="s">
        <v>2394</v>
      </c>
    </row>
    <row r="1064" spans="1:20">
      <c r="A1064" s="55">
        <v>130497206277</v>
      </c>
      <c r="B1064" s="53" t="s">
        <v>2386</v>
      </c>
      <c r="C1064" s="54">
        <v>45953</v>
      </c>
      <c r="D1064" s="55">
        <v>52097957895</v>
      </c>
      <c r="E1064" s="55">
        <v>2102909362685</v>
      </c>
      <c r="F1064" s="56" t="s">
        <v>2387</v>
      </c>
      <c r="G1064" s="56" t="s">
        <v>2388</v>
      </c>
      <c r="H1064" s="56" t="s">
        <v>8</v>
      </c>
      <c r="I1064" s="55" t="s">
        <v>8</v>
      </c>
      <c r="J1064" s="57">
        <v>139.68</v>
      </c>
      <c r="K1064" s="56" t="s">
        <v>2389</v>
      </c>
      <c r="L1064" s="56" t="s">
        <v>2390</v>
      </c>
      <c r="M1064" s="55" t="s">
        <v>2391</v>
      </c>
      <c r="N1064" s="56" t="s">
        <v>2392</v>
      </c>
      <c r="O1064" s="53" t="s">
        <v>8</v>
      </c>
      <c r="P1064" s="56" t="s">
        <v>2811</v>
      </c>
      <c r="Q1064" s="57">
        <v>14400</v>
      </c>
      <c r="R1064" s="58" t="s">
        <v>8</v>
      </c>
      <c r="S1064" s="57" t="s">
        <v>8</v>
      </c>
      <c r="T1064" s="56" t="s">
        <v>2394</v>
      </c>
    </row>
    <row r="1065" spans="1:20">
      <c r="A1065" s="55">
        <v>130497161841</v>
      </c>
      <c r="B1065" s="53" t="s">
        <v>2386</v>
      </c>
      <c r="C1065" s="54">
        <v>45953</v>
      </c>
      <c r="D1065" s="55">
        <v>52098012802</v>
      </c>
      <c r="E1065" s="55">
        <v>2102991872776</v>
      </c>
      <c r="F1065" s="56" t="s">
        <v>2387</v>
      </c>
      <c r="G1065" s="56" t="s">
        <v>2388</v>
      </c>
      <c r="H1065" s="56" t="s">
        <v>8</v>
      </c>
      <c r="I1065" s="55" t="s">
        <v>8</v>
      </c>
      <c r="J1065" s="57">
        <v>83.42</v>
      </c>
      <c r="K1065" s="56" t="s">
        <v>2389</v>
      </c>
      <c r="L1065" s="56" t="s">
        <v>2390</v>
      </c>
      <c r="M1065" s="55" t="s">
        <v>2391</v>
      </c>
      <c r="N1065" s="56" t="s">
        <v>2392</v>
      </c>
      <c r="O1065" s="53" t="s">
        <v>8</v>
      </c>
      <c r="P1065" s="56" t="s">
        <v>2812</v>
      </c>
      <c r="Q1065" s="57">
        <v>8600</v>
      </c>
      <c r="R1065" s="58" t="s">
        <v>8</v>
      </c>
      <c r="S1065" s="57" t="s">
        <v>8</v>
      </c>
      <c r="T1065" s="56" t="s">
        <v>2394</v>
      </c>
    </row>
    <row r="1066" spans="1:20">
      <c r="A1066" s="55">
        <v>131084083926</v>
      </c>
      <c r="B1066" s="53" t="s">
        <v>2386</v>
      </c>
      <c r="C1066" s="54">
        <v>45953</v>
      </c>
      <c r="D1066" s="55">
        <v>52098158235</v>
      </c>
      <c r="E1066" s="55">
        <v>2102994573086</v>
      </c>
      <c r="F1066" s="56" t="s">
        <v>2401</v>
      </c>
      <c r="G1066" s="56" t="s">
        <v>2388</v>
      </c>
      <c r="H1066" s="56" t="s">
        <v>8</v>
      </c>
      <c r="I1066" s="55" t="s">
        <v>8</v>
      </c>
      <c r="J1066" s="57">
        <v>188.64</v>
      </c>
      <c r="K1066" s="56" t="s">
        <v>2389</v>
      </c>
      <c r="L1066" s="56" t="s">
        <v>2402</v>
      </c>
      <c r="M1066" s="55" t="s">
        <v>2391</v>
      </c>
      <c r="N1066" s="56" t="s">
        <v>2392</v>
      </c>
      <c r="O1066" s="53" t="s">
        <v>2055</v>
      </c>
      <c r="P1066" s="56" t="s">
        <v>2403</v>
      </c>
      <c r="Q1066" s="57">
        <v>4800</v>
      </c>
      <c r="R1066" s="58" t="s">
        <v>8</v>
      </c>
      <c r="S1066" s="57" t="s">
        <v>8</v>
      </c>
      <c r="T1066" s="56" t="s">
        <v>2394</v>
      </c>
    </row>
    <row r="1067" spans="1:20">
      <c r="A1067" s="55">
        <v>131084512264</v>
      </c>
      <c r="B1067" s="53" t="s">
        <v>2386</v>
      </c>
      <c r="C1067" s="54">
        <v>45953</v>
      </c>
      <c r="D1067" s="55">
        <v>52098228571</v>
      </c>
      <c r="E1067" s="55">
        <v>2102996002048</v>
      </c>
      <c r="F1067" s="56" t="s">
        <v>2401</v>
      </c>
      <c r="G1067" s="56" t="s">
        <v>2388</v>
      </c>
      <c r="H1067" s="56" t="s">
        <v>8</v>
      </c>
      <c r="I1067" s="55" t="s">
        <v>8</v>
      </c>
      <c r="J1067" s="57">
        <v>314.39999999999998</v>
      </c>
      <c r="K1067" s="56" t="s">
        <v>2389</v>
      </c>
      <c r="L1067" s="56" t="s">
        <v>2402</v>
      </c>
      <c r="M1067" s="55" t="s">
        <v>2391</v>
      </c>
      <c r="N1067" s="56" t="s">
        <v>2392</v>
      </c>
      <c r="O1067" s="53" t="s">
        <v>2055</v>
      </c>
      <c r="P1067" s="56" t="s">
        <v>2403</v>
      </c>
      <c r="Q1067" s="57">
        <v>8000</v>
      </c>
      <c r="R1067" s="58" t="s">
        <v>8</v>
      </c>
      <c r="S1067" s="57" t="s">
        <v>8</v>
      </c>
      <c r="T1067" s="56" t="s">
        <v>2394</v>
      </c>
    </row>
    <row r="1068" spans="1:20">
      <c r="A1068" s="55">
        <v>131084590632</v>
      </c>
      <c r="B1068" s="53" t="s">
        <v>2386</v>
      </c>
      <c r="C1068" s="54">
        <v>45953</v>
      </c>
      <c r="D1068" s="55">
        <v>52098280060</v>
      </c>
      <c r="E1068" s="55">
        <v>2102915880243</v>
      </c>
      <c r="F1068" s="56" t="s">
        <v>2401</v>
      </c>
      <c r="G1068" s="56" t="s">
        <v>2388</v>
      </c>
      <c r="H1068" s="56" t="s">
        <v>8</v>
      </c>
      <c r="I1068" s="55" t="s">
        <v>8</v>
      </c>
      <c r="J1068" s="57">
        <v>3250.11</v>
      </c>
      <c r="K1068" s="56" t="s">
        <v>2389</v>
      </c>
      <c r="L1068" s="56" t="s">
        <v>2402</v>
      </c>
      <c r="M1068" s="55" t="s">
        <v>2391</v>
      </c>
      <c r="N1068" s="56" t="s">
        <v>2392</v>
      </c>
      <c r="O1068" s="53" t="s">
        <v>2055</v>
      </c>
      <c r="P1068" s="56" t="s">
        <v>2403</v>
      </c>
      <c r="Q1068" s="57">
        <v>82700</v>
      </c>
      <c r="R1068" s="58" t="s">
        <v>8</v>
      </c>
      <c r="S1068" s="57" t="s">
        <v>8</v>
      </c>
      <c r="T1068" s="56" t="s">
        <v>2394</v>
      </c>
    </row>
    <row r="1069" spans="1:20">
      <c r="A1069" s="55">
        <v>131084662508</v>
      </c>
      <c r="B1069" s="53" t="s">
        <v>2386</v>
      </c>
      <c r="C1069" s="54">
        <v>45953</v>
      </c>
      <c r="D1069" s="55">
        <v>52098332681</v>
      </c>
      <c r="E1069" s="55">
        <v>2102916841157</v>
      </c>
      <c r="F1069" s="56" t="s">
        <v>2387</v>
      </c>
      <c r="G1069" s="56" t="s">
        <v>2388</v>
      </c>
      <c r="H1069" s="56" t="s">
        <v>8</v>
      </c>
      <c r="I1069" s="55" t="s">
        <v>8</v>
      </c>
      <c r="J1069" s="57">
        <v>77.599999999999994</v>
      </c>
      <c r="K1069" s="56" t="s">
        <v>2389</v>
      </c>
      <c r="L1069" s="56" t="s">
        <v>2390</v>
      </c>
      <c r="M1069" s="55" t="s">
        <v>2391</v>
      </c>
      <c r="N1069" s="56" t="s">
        <v>2392</v>
      </c>
      <c r="O1069" s="53" t="s">
        <v>8</v>
      </c>
      <c r="P1069" s="56" t="s">
        <v>2813</v>
      </c>
      <c r="Q1069" s="57">
        <v>8000</v>
      </c>
      <c r="R1069" s="58" t="s">
        <v>8</v>
      </c>
      <c r="S1069" s="57" t="s">
        <v>8</v>
      </c>
      <c r="T1069" s="56" t="s">
        <v>2394</v>
      </c>
    </row>
    <row r="1070" spans="1:20">
      <c r="A1070" s="55">
        <v>131084747440</v>
      </c>
      <c r="B1070" s="53" t="s">
        <v>2386</v>
      </c>
      <c r="C1070" s="54">
        <v>45953</v>
      </c>
      <c r="D1070" s="55">
        <v>52098407657</v>
      </c>
      <c r="E1070" s="55">
        <v>2102918405365</v>
      </c>
      <c r="F1070" s="56" t="s">
        <v>2387</v>
      </c>
      <c r="G1070" s="56" t="s">
        <v>2388</v>
      </c>
      <c r="H1070" s="56" t="s">
        <v>8</v>
      </c>
      <c r="I1070" s="55" t="s">
        <v>8</v>
      </c>
      <c r="J1070" s="57">
        <v>42.68</v>
      </c>
      <c r="K1070" s="56" t="s">
        <v>2389</v>
      </c>
      <c r="L1070" s="56" t="s">
        <v>2390</v>
      </c>
      <c r="M1070" s="55" t="s">
        <v>2391</v>
      </c>
      <c r="N1070" s="56" t="s">
        <v>2392</v>
      </c>
      <c r="O1070" s="53" t="s">
        <v>8</v>
      </c>
      <c r="P1070" s="56" t="s">
        <v>2814</v>
      </c>
      <c r="Q1070" s="57">
        <v>4400</v>
      </c>
      <c r="R1070" s="58" t="s">
        <v>8</v>
      </c>
      <c r="S1070" s="57" t="s">
        <v>8</v>
      </c>
      <c r="T1070" s="56" t="s">
        <v>2394</v>
      </c>
    </row>
    <row r="1071" spans="1:20">
      <c r="A1071" s="55">
        <v>130498345131</v>
      </c>
      <c r="B1071" s="53" t="s">
        <v>2386</v>
      </c>
      <c r="C1071" s="54">
        <v>45953</v>
      </c>
      <c r="D1071" s="55">
        <v>52098448330</v>
      </c>
      <c r="E1071" s="55">
        <v>2103000194960</v>
      </c>
      <c r="F1071" s="56" t="s">
        <v>2387</v>
      </c>
      <c r="G1071" s="56" t="s">
        <v>2388</v>
      </c>
      <c r="H1071" s="56" t="s">
        <v>8</v>
      </c>
      <c r="I1071" s="55" t="s">
        <v>8</v>
      </c>
      <c r="J1071" s="57">
        <v>40.74</v>
      </c>
      <c r="K1071" s="56" t="s">
        <v>2389</v>
      </c>
      <c r="L1071" s="56" t="s">
        <v>2390</v>
      </c>
      <c r="M1071" s="55" t="s">
        <v>2391</v>
      </c>
      <c r="N1071" s="56" t="s">
        <v>2392</v>
      </c>
      <c r="O1071" s="53" t="s">
        <v>8</v>
      </c>
      <c r="P1071" s="56" t="s">
        <v>2815</v>
      </c>
      <c r="Q1071" s="57">
        <v>4200</v>
      </c>
      <c r="R1071" s="58" t="s">
        <v>8</v>
      </c>
      <c r="S1071" s="57" t="s">
        <v>8</v>
      </c>
      <c r="T1071" s="56" t="s">
        <v>2394</v>
      </c>
    </row>
    <row r="1072" spans="1:20">
      <c r="A1072" s="55">
        <v>130498487107</v>
      </c>
      <c r="B1072" s="53" t="s">
        <v>2386</v>
      </c>
      <c r="C1072" s="54">
        <v>45953</v>
      </c>
      <c r="D1072" s="55">
        <v>52098500401</v>
      </c>
      <c r="E1072" s="55">
        <v>2102920303685</v>
      </c>
      <c r="F1072" s="56" t="s">
        <v>2387</v>
      </c>
      <c r="G1072" s="56" t="s">
        <v>2388</v>
      </c>
      <c r="H1072" s="56" t="s">
        <v>8</v>
      </c>
      <c r="I1072" s="55" t="s">
        <v>8</v>
      </c>
      <c r="J1072" s="57">
        <v>85.36</v>
      </c>
      <c r="K1072" s="56" t="s">
        <v>2389</v>
      </c>
      <c r="L1072" s="56" t="s">
        <v>2390</v>
      </c>
      <c r="M1072" s="55" t="s">
        <v>2391</v>
      </c>
      <c r="N1072" s="56" t="s">
        <v>2392</v>
      </c>
      <c r="O1072" s="53" t="s">
        <v>8</v>
      </c>
      <c r="P1072" s="56" t="s">
        <v>2816</v>
      </c>
      <c r="Q1072" s="57">
        <v>8800</v>
      </c>
      <c r="R1072" s="58" t="s">
        <v>8</v>
      </c>
      <c r="S1072" s="57" t="s">
        <v>8</v>
      </c>
      <c r="T1072" s="56" t="s">
        <v>2394</v>
      </c>
    </row>
    <row r="1073" spans="1:20">
      <c r="A1073" s="55">
        <v>131086009404</v>
      </c>
      <c r="B1073" s="53" t="s">
        <v>2386</v>
      </c>
      <c r="C1073" s="54">
        <v>45953</v>
      </c>
      <c r="D1073" s="55">
        <v>52098832388</v>
      </c>
      <c r="E1073" s="55">
        <v>2103008133756</v>
      </c>
      <c r="F1073" s="56" t="s">
        <v>2387</v>
      </c>
      <c r="G1073" s="56" t="s">
        <v>2388</v>
      </c>
      <c r="H1073" s="56" t="s">
        <v>8</v>
      </c>
      <c r="I1073" s="55" t="s">
        <v>8</v>
      </c>
      <c r="J1073" s="57">
        <v>46.56</v>
      </c>
      <c r="K1073" s="56" t="s">
        <v>2389</v>
      </c>
      <c r="L1073" s="56" t="s">
        <v>2390</v>
      </c>
      <c r="M1073" s="55" t="s">
        <v>2391</v>
      </c>
      <c r="N1073" s="56" t="s">
        <v>2392</v>
      </c>
      <c r="O1073" s="53" t="s">
        <v>8</v>
      </c>
      <c r="P1073" s="56" t="s">
        <v>2817</v>
      </c>
      <c r="Q1073" s="57">
        <v>4800</v>
      </c>
      <c r="R1073" s="58" t="s">
        <v>8</v>
      </c>
      <c r="S1073" s="57" t="s">
        <v>8</v>
      </c>
      <c r="T1073" s="56" t="s">
        <v>2394</v>
      </c>
    </row>
    <row r="1074" spans="1:20">
      <c r="A1074" s="55">
        <v>130499575511</v>
      </c>
      <c r="B1074" s="53" t="s">
        <v>2386</v>
      </c>
      <c r="C1074" s="54">
        <v>45953</v>
      </c>
      <c r="D1074" s="55">
        <v>52098956509</v>
      </c>
      <c r="E1074" s="55">
        <v>2103010184918</v>
      </c>
      <c r="F1074" s="56" t="s">
        <v>2387</v>
      </c>
      <c r="G1074" s="56" t="s">
        <v>2388</v>
      </c>
      <c r="H1074" s="56" t="s">
        <v>8</v>
      </c>
      <c r="I1074" s="55" t="s">
        <v>8</v>
      </c>
      <c r="J1074" s="57">
        <v>116.4</v>
      </c>
      <c r="K1074" s="56" t="s">
        <v>2389</v>
      </c>
      <c r="L1074" s="56" t="s">
        <v>2390</v>
      </c>
      <c r="M1074" s="55" t="s">
        <v>2391</v>
      </c>
      <c r="N1074" s="56" t="s">
        <v>2392</v>
      </c>
      <c r="O1074" s="53" t="s">
        <v>8</v>
      </c>
      <c r="P1074" s="56" t="s">
        <v>2818</v>
      </c>
      <c r="Q1074" s="57">
        <v>12000</v>
      </c>
      <c r="R1074" s="58" t="s">
        <v>8</v>
      </c>
      <c r="S1074" s="57" t="s">
        <v>8</v>
      </c>
      <c r="T1074" s="56" t="s">
        <v>2394</v>
      </c>
    </row>
    <row r="1075" spans="1:20">
      <c r="A1075" s="55">
        <v>131086304876</v>
      </c>
      <c r="B1075" s="53" t="s">
        <v>2386</v>
      </c>
      <c r="C1075" s="54">
        <v>45953</v>
      </c>
      <c r="D1075" s="55">
        <v>52098980987</v>
      </c>
      <c r="E1075" s="55">
        <v>2103010380778</v>
      </c>
      <c r="F1075" s="56" t="s">
        <v>2387</v>
      </c>
      <c r="G1075" s="56" t="s">
        <v>2388</v>
      </c>
      <c r="H1075" s="56" t="s">
        <v>8</v>
      </c>
      <c r="I1075" s="55" t="s">
        <v>8</v>
      </c>
      <c r="J1075" s="57">
        <v>203.7</v>
      </c>
      <c r="K1075" s="56" t="s">
        <v>2389</v>
      </c>
      <c r="L1075" s="56" t="s">
        <v>2390</v>
      </c>
      <c r="M1075" s="55" t="s">
        <v>2391</v>
      </c>
      <c r="N1075" s="56" t="s">
        <v>2392</v>
      </c>
      <c r="O1075" s="53" t="s">
        <v>8</v>
      </c>
      <c r="P1075" s="56" t="s">
        <v>2819</v>
      </c>
      <c r="Q1075" s="57">
        <v>21000</v>
      </c>
      <c r="R1075" s="58" t="s">
        <v>8</v>
      </c>
      <c r="S1075" s="57" t="s">
        <v>8</v>
      </c>
      <c r="T1075" s="56" t="s">
        <v>2394</v>
      </c>
    </row>
    <row r="1076" spans="1:20">
      <c r="A1076" s="55">
        <v>131086444340</v>
      </c>
      <c r="B1076" s="53" t="s">
        <v>2386</v>
      </c>
      <c r="C1076" s="54">
        <v>45953</v>
      </c>
      <c r="D1076" s="55">
        <v>52098998777</v>
      </c>
      <c r="E1076" s="55">
        <v>2102930064003</v>
      </c>
      <c r="F1076" s="56" t="s">
        <v>2387</v>
      </c>
      <c r="G1076" s="56" t="s">
        <v>2388</v>
      </c>
      <c r="H1076" s="56" t="s">
        <v>8</v>
      </c>
      <c r="I1076" s="55" t="s">
        <v>8</v>
      </c>
      <c r="J1076" s="57">
        <v>3051.61</v>
      </c>
      <c r="K1076" s="56" t="s">
        <v>2389</v>
      </c>
      <c r="L1076" s="56" t="s">
        <v>2390</v>
      </c>
      <c r="M1076" s="55" t="s">
        <v>2391</v>
      </c>
      <c r="N1076" s="56" t="s">
        <v>2392</v>
      </c>
      <c r="O1076" s="53" t="s">
        <v>8</v>
      </c>
      <c r="P1076" s="56" t="s">
        <v>2439</v>
      </c>
      <c r="Q1076" s="57">
        <v>40100</v>
      </c>
      <c r="R1076" s="58" t="s">
        <v>8</v>
      </c>
      <c r="S1076" s="57" t="s">
        <v>8</v>
      </c>
      <c r="T1076" s="56" t="s">
        <v>2394</v>
      </c>
    </row>
    <row r="1077" spans="1:20">
      <c r="A1077" s="55">
        <v>131086501014</v>
      </c>
      <c r="B1077" s="53" t="s">
        <v>2386</v>
      </c>
      <c r="C1077" s="54">
        <v>45953</v>
      </c>
      <c r="D1077" s="55">
        <v>52099031776</v>
      </c>
      <c r="E1077" s="55">
        <v>2102931112995</v>
      </c>
      <c r="F1077" s="56" t="s">
        <v>2475</v>
      </c>
      <c r="G1077" s="56" t="s">
        <v>2388</v>
      </c>
      <c r="H1077" s="56" t="s">
        <v>8</v>
      </c>
      <c r="I1077" s="55" t="s">
        <v>8</v>
      </c>
      <c r="J1077" s="57">
        <v>303.18</v>
      </c>
      <c r="K1077" s="56" t="s">
        <v>2389</v>
      </c>
      <c r="L1077" s="56" t="s">
        <v>2390</v>
      </c>
      <c r="M1077" s="55" t="s">
        <v>2391</v>
      </c>
      <c r="N1077" s="56" t="s">
        <v>2392</v>
      </c>
      <c r="O1077" s="53" t="s">
        <v>8</v>
      </c>
      <c r="P1077" s="56" t="s">
        <v>2476</v>
      </c>
      <c r="Q1077" s="57">
        <v>18600</v>
      </c>
      <c r="R1077" s="58" t="s">
        <v>8</v>
      </c>
      <c r="S1077" s="57" t="s">
        <v>8</v>
      </c>
      <c r="T1077" s="56" t="s">
        <v>2394</v>
      </c>
    </row>
    <row r="1078" spans="1:20">
      <c r="A1078" s="55">
        <v>131086678184</v>
      </c>
      <c r="B1078" s="53" t="s">
        <v>2386</v>
      </c>
      <c r="C1078" s="54">
        <v>45953</v>
      </c>
      <c r="D1078" s="55">
        <v>52099072887</v>
      </c>
      <c r="E1078" s="55">
        <v>2103012705118</v>
      </c>
      <c r="F1078" s="56" t="s">
        <v>2387</v>
      </c>
      <c r="G1078" s="56" t="s">
        <v>2388</v>
      </c>
      <c r="H1078" s="56" t="s">
        <v>8</v>
      </c>
      <c r="I1078" s="55" t="s">
        <v>8</v>
      </c>
      <c r="J1078" s="57">
        <v>78.569999999999993</v>
      </c>
      <c r="K1078" s="56" t="s">
        <v>2389</v>
      </c>
      <c r="L1078" s="56" t="s">
        <v>2390</v>
      </c>
      <c r="M1078" s="55" t="s">
        <v>2391</v>
      </c>
      <c r="N1078" s="56" t="s">
        <v>2392</v>
      </c>
      <c r="O1078" s="53" t="s">
        <v>8</v>
      </c>
      <c r="P1078" s="56" t="s">
        <v>2820</v>
      </c>
      <c r="Q1078" s="57">
        <v>8100</v>
      </c>
      <c r="R1078" s="58" t="s">
        <v>8</v>
      </c>
      <c r="S1078" s="57" t="s">
        <v>8</v>
      </c>
      <c r="T1078" s="56" t="s">
        <v>2394</v>
      </c>
    </row>
    <row r="1079" spans="1:20">
      <c r="A1079" s="55">
        <v>131087257486</v>
      </c>
      <c r="B1079" s="53" t="s">
        <v>2386</v>
      </c>
      <c r="C1079" s="54">
        <v>45953</v>
      </c>
      <c r="D1079" s="55">
        <v>52099358854</v>
      </c>
      <c r="E1079" s="55">
        <v>2102937388105</v>
      </c>
      <c r="F1079" s="56" t="s">
        <v>2387</v>
      </c>
      <c r="G1079" s="56" t="s">
        <v>2388</v>
      </c>
      <c r="H1079" s="56" t="s">
        <v>8</v>
      </c>
      <c r="I1079" s="55" t="s">
        <v>8</v>
      </c>
      <c r="J1079" s="57">
        <v>46.56</v>
      </c>
      <c r="K1079" s="56" t="s">
        <v>2389</v>
      </c>
      <c r="L1079" s="56" t="s">
        <v>2390</v>
      </c>
      <c r="M1079" s="55" t="s">
        <v>2391</v>
      </c>
      <c r="N1079" s="56" t="s">
        <v>2392</v>
      </c>
      <c r="O1079" s="53" t="s">
        <v>8</v>
      </c>
      <c r="P1079" s="56" t="s">
        <v>2821</v>
      </c>
      <c r="Q1079" s="57">
        <v>4800</v>
      </c>
      <c r="R1079" s="58" t="s">
        <v>8</v>
      </c>
      <c r="S1079" s="57" t="s">
        <v>8</v>
      </c>
      <c r="T1079" s="56" t="s">
        <v>2394</v>
      </c>
    </row>
    <row r="1080" spans="1:20">
      <c r="A1080" s="55">
        <v>131088135338</v>
      </c>
      <c r="B1080" s="53" t="s">
        <v>2386</v>
      </c>
      <c r="C1080" s="54">
        <v>45953</v>
      </c>
      <c r="D1080" s="55">
        <v>52099730961</v>
      </c>
      <c r="E1080" s="55">
        <v>2103025637838</v>
      </c>
      <c r="F1080" s="56" t="s">
        <v>2387</v>
      </c>
      <c r="G1080" s="56" t="s">
        <v>2388</v>
      </c>
      <c r="H1080" s="56" t="s">
        <v>8</v>
      </c>
      <c r="I1080" s="55" t="s">
        <v>8</v>
      </c>
      <c r="J1080" s="57">
        <v>76.63</v>
      </c>
      <c r="K1080" s="56" t="s">
        <v>2389</v>
      </c>
      <c r="L1080" s="56" t="s">
        <v>2390</v>
      </c>
      <c r="M1080" s="55" t="s">
        <v>2391</v>
      </c>
      <c r="N1080" s="56" t="s">
        <v>2392</v>
      </c>
      <c r="O1080" s="53" t="s">
        <v>8</v>
      </c>
      <c r="P1080" s="56" t="s">
        <v>2814</v>
      </c>
      <c r="Q1080" s="57">
        <v>7900</v>
      </c>
      <c r="R1080" s="58" t="s">
        <v>8</v>
      </c>
      <c r="S1080" s="57" t="s">
        <v>8</v>
      </c>
      <c r="T1080" s="56" t="s">
        <v>2394</v>
      </c>
    </row>
    <row r="1081" spans="1:20">
      <c r="A1081" s="55">
        <v>131088197646</v>
      </c>
      <c r="B1081" s="53" t="s">
        <v>2386</v>
      </c>
      <c r="C1081" s="54">
        <v>45953</v>
      </c>
      <c r="D1081" s="55">
        <v>52099786336</v>
      </c>
      <c r="E1081" s="55">
        <v>2102945652723</v>
      </c>
      <c r="F1081" s="56" t="s">
        <v>2387</v>
      </c>
      <c r="G1081" s="56" t="s">
        <v>2388</v>
      </c>
      <c r="H1081" s="56" t="s">
        <v>8</v>
      </c>
      <c r="I1081" s="55" t="s">
        <v>8</v>
      </c>
      <c r="J1081" s="57">
        <v>648.92999999999995</v>
      </c>
      <c r="K1081" s="56" t="s">
        <v>2389</v>
      </c>
      <c r="L1081" s="56" t="s">
        <v>2390</v>
      </c>
      <c r="M1081" s="55" t="s">
        <v>2391</v>
      </c>
      <c r="N1081" s="56" t="s">
        <v>2392</v>
      </c>
      <c r="O1081" s="53" t="s">
        <v>8</v>
      </c>
      <c r="P1081" s="56" t="s">
        <v>2822</v>
      </c>
      <c r="Q1081" s="57">
        <v>66900</v>
      </c>
      <c r="R1081" s="58" t="s">
        <v>8</v>
      </c>
      <c r="S1081" s="57" t="s">
        <v>8</v>
      </c>
      <c r="T1081" s="56" t="s">
        <v>2394</v>
      </c>
    </row>
    <row r="1082" spans="1:20">
      <c r="A1082" s="55">
        <v>131088652378</v>
      </c>
      <c r="B1082" s="53" t="s">
        <v>2386</v>
      </c>
      <c r="C1082" s="54">
        <v>45953</v>
      </c>
      <c r="D1082" s="55">
        <v>52099863438</v>
      </c>
      <c r="E1082" s="55">
        <v>2103028756588</v>
      </c>
      <c r="F1082" s="56" t="s">
        <v>2387</v>
      </c>
      <c r="G1082" s="56" t="s">
        <v>2388</v>
      </c>
      <c r="H1082" s="56" t="s">
        <v>8</v>
      </c>
      <c r="I1082" s="55" t="s">
        <v>8</v>
      </c>
      <c r="J1082" s="57">
        <v>38.799999999999997</v>
      </c>
      <c r="K1082" s="56" t="s">
        <v>2389</v>
      </c>
      <c r="L1082" s="56" t="s">
        <v>2390</v>
      </c>
      <c r="M1082" s="55" t="s">
        <v>2391</v>
      </c>
      <c r="N1082" s="56" t="s">
        <v>2392</v>
      </c>
      <c r="O1082" s="53" t="s">
        <v>8</v>
      </c>
      <c r="P1082" s="56" t="s">
        <v>2562</v>
      </c>
      <c r="Q1082" s="57">
        <v>4000</v>
      </c>
      <c r="R1082" s="58" t="s">
        <v>8</v>
      </c>
      <c r="S1082" s="57" t="s">
        <v>8</v>
      </c>
      <c r="T1082" s="56" t="s">
        <v>2394</v>
      </c>
    </row>
    <row r="1083" spans="1:20">
      <c r="A1083" s="55">
        <v>130502296115</v>
      </c>
      <c r="B1083" s="53" t="s">
        <v>2386</v>
      </c>
      <c r="C1083" s="54">
        <v>45953</v>
      </c>
      <c r="D1083" s="55">
        <v>52099965281</v>
      </c>
      <c r="E1083" s="55">
        <v>2102949493683</v>
      </c>
      <c r="F1083" s="56" t="s">
        <v>2387</v>
      </c>
      <c r="G1083" s="56" t="s">
        <v>2388</v>
      </c>
      <c r="H1083" s="56" t="s">
        <v>8</v>
      </c>
      <c r="I1083" s="55" t="s">
        <v>8</v>
      </c>
      <c r="J1083" s="57">
        <v>53.35</v>
      </c>
      <c r="K1083" s="56" t="s">
        <v>2389</v>
      </c>
      <c r="L1083" s="56" t="s">
        <v>2390</v>
      </c>
      <c r="M1083" s="55" t="s">
        <v>2391</v>
      </c>
      <c r="N1083" s="56" t="s">
        <v>2392</v>
      </c>
      <c r="O1083" s="53" t="s">
        <v>8</v>
      </c>
      <c r="P1083" s="56" t="s">
        <v>2823</v>
      </c>
      <c r="Q1083" s="57">
        <v>5500</v>
      </c>
      <c r="R1083" s="58" t="s">
        <v>8</v>
      </c>
      <c r="S1083" s="57" t="s">
        <v>8</v>
      </c>
      <c r="T1083" s="56" t="s">
        <v>2394</v>
      </c>
    </row>
    <row r="1084" spans="1:20">
      <c r="A1084" s="55">
        <v>131089296298</v>
      </c>
      <c r="B1084" s="53" t="s">
        <v>2386</v>
      </c>
      <c r="C1084" s="54">
        <v>45953</v>
      </c>
      <c r="D1084" s="55">
        <v>52100092515</v>
      </c>
      <c r="E1084" s="55">
        <v>2103032995064</v>
      </c>
      <c r="F1084" s="56" t="s">
        <v>2387</v>
      </c>
      <c r="G1084" s="56" t="s">
        <v>2388</v>
      </c>
      <c r="H1084" s="56" t="s">
        <v>8</v>
      </c>
      <c r="I1084" s="55" t="s">
        <v>8</v>
      </c>
      <c r="J1084" s="57">
        <v>177.51</v>
      </c>
      <c r="K1084" s="56" t="s">
        <v>2389</v>
      </c>
      <c r="L1084" s="56" t="s">
        <v>2390</v>
      </c>
      <c r="M1084" s="55" t="s">
        <v>2391</v>
      </c>
      <c r="N1084" s="56" t="s">
        <v>2392</v>
      </c>
      <c r="O1084" s="53" t="s">
        <v>8</v>
      </c>
      <c r="P1084" s="56" t="s">
        <v>2639</v>
      </c>
      <c r="Q1084" s="57">
        <v>18300</v>
      </c>
      <c r="R1084" s="58" t="s">
        <v>8</v>
      </c>
      <c r="S1084" s="57" t="s">
        <v>8</v>
      </c>
      <c r="T1084" s="56" t="s">
        <v>2394</v>
      </c>
    </row>
    <row r="1085" spans="1:20">
      <c r="A1085" s="55">
        <v>131089712824</v>
      </c>
      <c r="B1085" s="53" t="s">
        <v>2386</v>
      </c>
      <c r="C1085" s="54">
        <v>45953</v>
      </c>
      <c r="D1085" s="55">
        <v>52100333145</v>
      </c>
      <c r="E1085" s="55">
        <v>2102956017495</v>
      </c>
      <c r="F1085" s="56" t="s">
        <v>2401</v>
      </c>
      <c r="G1085" s="56" t="s">
        <v>2388</v>
      </c>
      <c r="H1085" s="56" t="s">
        <v>8</v>
      </c>
      <c r="I1085" s="55" t="s">
        <v>8</v>
      </c>
      <c r="J1085" s="57">
        <v>1425.56</v>
      </c>
      <c r="K1085" s="56" t="s">
        <v>2389</v>
      </c>
      <c r="L1085" s="56" t="s">
        <v>2402</v>
      </c>
      <c r="M1085" s="55" t="s">
        <v>2391</v>
      </c>
      <c r="N1085" s="56" t="s">
        <v>2392</v>
      </c>
      <c r="O1085" s="53" t="s">
        <v>2055</v>
      </c>
      <c r="P1085" s="56" t="s">
        <v>2403</v>
      </c>
      <c r="Q1085" s="57">
        <v>31400</v>
      </c>
      <c r="R1085" s="58" t="s">
        <v>8</v>
      </c>
      <c r="S1085" s="57" t="s">
        <v>8</v>
      </c>
      <c r="T1085" s="56" t="s">
        <v>2394</v>
      </c>
    </row>
    <row r="1086" spans="1:20">
      <c r="A1086" s="55">
        <v>131089749914</v>
      </c>
      <c r="B1086" s="53" t="s">
        <v>2386</v>
      </c>
      <c r="C1086" s="54">
        <v>45953</v>
      </c>
      <c r="D1086" s="55">
        <v>52100404747</v>
      </c>
      <c r="E1086" s="55">
        <v>2103038474824</v>
      </c>
      <c r="F1086" s="56" t="s">
        <v>2387</v>
      </c>
      <c r="G1086" s="56" t="s">
        <v>2388</v>
      </c>
      <c r="H1086" s="56" t="s">
        <v>8</v>
      </c>
      <c r="I1086" s="55" t="s">
        <v>8</v>
      </c>
      <c r="J1086" s="57">
        <v>145.5</v>
      </c>
      <c r="K1086" s="56" t="s">
        <v>2389</v>
      </c>
      <c r="L1086" s="56" t="s">
        <v>2390</v>
      </c>
      <c r="M1086" s="55" t="s">
        <v>2391</v>
      </c>
      <c r="N1086" s="56" t="s">
        <v>2392</v>
      </c>
      <c r="O1086" s="53" t="s">
        <v>8</v>
      </c>
      <c r="P1086" s="56" t="s">
        <v>2824</v>
      </c>
      <c r="Q1086" s="57">
        <v>15000</v>
      </c>
      <c r="R1086" s="58" t="s">
        <v>8</v>
      </c>
      <c r="S1086" s="57" t="s">
        <v>8</v>
      </c>
      <c r="T1086" s="56" t="s">
        <v>2394</v>
      </c>
    </row>
    <row r="1087" spans="1:20">
      <c r="A1087" s="55">
        <v>130503293867</v>
      </c>
      <c r="B1087" s="53" t="s">
        <v>2386</v>
      </c>
      <c r="C1087" s="54">
        <v>45953</v>
      </c>
      <c r="D1087" s="55">
        <v>52100472906</v>
      </c>
      <c r="E1087" s="55">
        <v>2102958804493</v>
      </c>
      <c r="F1087" s="56" t="s">
        <v>2401</v>
      </c>
      <c r="G1087" s="56" t="s">
        <v>2388</v>
      </c>
      <c r="H1087" s="56" t="s">
        <v>8</v>
      </c>
      <c r="I1087" s="55" t="s">
        <v>8</v>
      </c>
      <c r="J1087" s="57">
        <v>786</v>
      </c>
      <c r="K1087" s="56" t="s">
        <v>2389</v>
      </c>
      <c r="L1087" s="56" t="s">
        <v>2402</v>
      </c>
      <c r="M1087" s="55" t="s">
        <v>2391</v>
      </c>
      <c r="N1087" s="56" t="s">
        <v>2392</v>
      </c>
      <c r="O1087" s="53" t="s">
        <v>2055</v>
      </c>
      <c r="P1087" s="56" t="s">
        <v>2403</v>
      </c>
      <c r="Q1087" s="57">
        <v>20000</v>
      </c>
      <c r="R1087" s="58" t="s">
        <v>8</v>
      </c>
      <c r="S1087" s="57" t="s">
        <v>8</v>
      </c>
      <c r="T1087" s="56" t="s">
        <v>2394</v>
      </c>
    </row>
    <row r="1088" spans="1:20">
      <c r="A1088" s="55">
        <v>130503430043</v>
      </c>
      <c r="B1088" s="53" t="s">
        <v>2386</v>
      </c>
      <c r="C1088" s="54">
        <v>45953</v>
      </c>
      <c r="D1088" s="55">
        <v>52100526571</v>
      </c>
      <c r="E1088" s="55">
        <v>2103040509668</v>
      </c>
      <c r="F1088" s="56" t="s">
        <v>2401</v>
      </c>
      <c r="G1088" s="56" t="s">
        <v>2388</v>
      </c>
      <c r="H1088" s="56" t="s">
        <v>8</v>
      </c>
      <c r="I1088" s="55" t="s">
        <v>8</v>
      </c>
      <c r="J1088" s="57">
        <v>314.39999999999998</v>
      </c>
      <c r="K1088" s="56" t="s">
        <v>2389</v>
      </c>
      <c r="L1088" s="56" t="s">
        <v>2402</v>
      </c>
      <c r="M1088" s="55" t="s">
        <v>2391</v>
      </c>
      <c r="N1088" s="56" t="s">
        <v>2392</v>
      </c>
      <c r="O1088" s="53" t="s">
        <v>2055</v>
      </c>
      <c r="P1088" s="56" t="s">
        <v>2403</v>
      </c>
      <c r="Q1088" s="57">
        <v>8000</v>
      </c>
      <c r="R1088" s="58" t="s">
        <v>8</v>
      </c>
      <c r="S1088" s="57" t="s">
        <v>8</v>
      </c>
      <c r="T1088" s="56" t="s">
        <v>2394</v>
      </c>
    </row>
    <row r="1089" spans="1:20">
      <c r="A1089" s="55">
        <v>130503902335</v>
      </c>
      <c r="B1089" s="53" t="s">
        <v>2386</v>
      </c>
      <c r="C1089" s="54">
        <v>45953</v>
      </c>
      <c r="D1089" s="55">
        <v>52100604152</v>
      </c>
      <c r="E1089" s="55">
        <v>2103042281044</v>
      </c>
      <c r="F1089" s="56" t="s">
        <v>2387</v>
      </c>
      <c r="G1089" s="56" t="s">
        <v>2388</v>
      </c>
      <c r="H1089" s="56" t="s">
        <v>8</v>
      </c>
      <c r="I1089" s="55" t="s">
        <v>8</v>
      </c>
      <c r="J1089" s="57">
        <v>233.77</v>
      </c>
      <c r="K1089" s="56" t="s">
        <v>2389</v>
      </c>
      <c r="L1089" s="56" t="s">
        <v>2390</v>
      </c>
      <c r="M1089" s="55" t="s">
        <v>2391</v>
      </c>
      <c r="N1089" s="56" t="s">
        <v>2392</v>
      </c>
      <c r="O1089" s="53" t="s">
        <v>8</v>
      </c>
      <c r="P1089" s="56" t="s">
        <v>2825</v>
      </c>
      <c r="Q1089" s="57">
        <v>24100</v>
      </c>
      <c r="R1089" s="58" t="s">
        <v>8</v>
      </c>
      <c r="S1089" s="57" t="s">
        <v>8</v>
      </c>
      <c r="T1089" s="56" t="s">
        <v>2394</v>
      </c>
    </row>
    <row r="1090" spans="1:20">
      <c r="A1090" s="55">
        <v>131090503118</v>
      </c>
      <c r="B1090" s="53" t="s">
        <v>2386</v>
      </c>
      <c r="C1090" s="54">
        <v>45953</v>
      </c>
      <c r="D1090" s="55">
        <v>52100689732</v>
      </c>
      <c r="E1090" s="55">
        <v>2103043474528</v>
      </c>
      <c r="F1090" s="56" t="s">
        <v>2387</v>
      </c>
      <c r="G1090" s="56" t="s">
        <v>2388</v>
      </c>
      <c r="H1090" s="56" t="s">
        <v>8</v>
      </c>
      <c r="I1090" s="55" t="s">
        <v>8</v>
      </c>
      <c r="J1090" s="57">
        <v>116.4</v>
      </c>
      <c r="K1090" s="56" t="s">
        <v>2389</v>
      </c>
      <c r="L1090" s="56" t="s">
        <v>2390</v>
      </c>
      <c r="M1090" s="55" t="s">
        <v>2391</v>
      </c>
      <c r="N1090" s="56" t="s">
        <v>2392</v>
      </c>
      <c r="O1090" s="53" t="s">
        <v>8</v>
      </c>
      <c r="P1090" s="56" t="s">
        <v>2826</v>
      </c>
      <c r="Q1090" s="57">
        <v>12000</v>
      </c>
      <c r="R1090" s="58" t="s">
        <v>8</v>
      </c>
      <c r="S1090" s="57" t="s">
        <v>8</v>
      </c>
      <c r="T1090" s="56" t="s">
        <v>2394</v>
      </c>
    </row>
    <row r="1091" spans="1:20">
      <c r="A1091" s="55">
        <v>130504284429</v>
      </c>
      <c r="B1091" s="53" t="s">
        <v>2386</v>
      </c>
      <c r="C1091" s="54">
        <v>45953</v>
      </c>
      <c r="D1091" s="55">
        <v>52100744200</v>
      </c>
      <c r="E1091" s="55">
        <v>2102963575281</v>
      </c>
      <c r="F1091" s="56" t="s">
        <v>2411</v>
      </c>
      <c r="G1091" s="56" t="s">
        <v>2388</v>
      </c>
      <c r="H1091" s="56" t="s">
        <v>8</v>
      </c>
      <c r="I1091" s="55" t="s">
        <v>8</v>
      </c>
      <c r="J1091" s="57">
        <v>45.59</v>
      </c>
      <c r="K1091" s="56" t="s">
        <v>2389</v>
      </c>
      <c r="L1091" s="56" t="s">
        <v>2390</v>
      </c>
      <c r="M1091" s="55" t="s">
        <v>2391</v>
      </c>
      <c r="N1091" s="56" t="s">
        <v>2392</v>
      </c>
      <c r="O1091" s="53" t="s">
        <v>8</v>
      </c>
      <c r="P1091" s="56" t="s">
        <v>2412</v>
      </c>
      <c r="Q1091" s="57">
        <v>4700</v>
      </c>
      <c r="R1091" s="58" t="s">
        <v>8</v>
      </c>
      <c r="S1091" s="57" t="s">
        <v>8</v>
      </c>
      <c r="T1091" s="56" t="s">
        <v>8</v>
      </c>
    </row>
    <row r="1092" spans="1:20">
      <c r="A1092" s="55">
        <v>130504289461</v>
      </c>
      <c r="B1092" s="53" t="s">
        <v>2386</v>
      </c>
      <c r="C1092" s="54">
        <v>45953</v>
      </c>
      <c r="D1092" s="55">
        <v>52100793939</v>
      </c>
      <c r="E1092" s="55">
        <v>2103045610614</v>
      </c>
      <c r="F1092" s="56" t="s">
        <v>2387</v>
      </c>
      <c r="G1092" s="56" t="s">
        <v>2388</v>
      </c>
      <c r="H1092" s="56" t="s">
        <v>8</v>
      </c>
      <c r="I1092" s="55" t="s">
        <v>8</v>
      </c>
      <c r="J1092" s="57">
        <v>186.24</v>
      </c>
      <c r="K1092" s="56" t="s">
        <v>2389</v>
      </c>
      <c r="L1092" s="56" t="s">
        <v>2390</v>
      </c>
      <c r="M1092" s="55" t="s">
        <v>2391</v>
      </c>
      <c r="N1092" s="56" t="s">
        <v>2392</v>
      </c>
      <c r="O1092" s="53" t="s">
        <v>8</v>
      </c>
      <c r="P1092" s="56" t="s">
        <v>2827</v>
      </c>
      <c r="Q1092" s="57">
        <v>19200</v>
      </c>
      <c r="R1092" s="58" t="s">
        <v>8</v>
      </c>
      <c r="S1092" s="57" t="s">
        <v>8</v>
      </c>
      <c r="T1092" s="56" t="s">
        <v>2394</v>
      </c>
    </row>
    <row r="1093" spans="1:20">
      <c r="A1093" s="55">
        <v>131091206920</v>
      </c>
      <c r="B1093" s="53" t="s">
        <v>2386</v>
      </c>
      <c r="C1093" s="54">
        <v>45953</v>
      </c>
      <c r="D1093" s="55">
        <v>52100983776</v>
      </c>
      <c r="E1093" s="55">
        <v>2102967729021</v>
      </c>
      <c r="F1093" s="56" t="s">
        <v>2411</v>
      </c>
      <c r="G1093" s="56" t="s">
        <v>2388</v>
      </c>
      <c r="H1093" s="56" t="s">
        <v>8</v>
      </c>
      <c r="I1093" s="55" t="s">
        <v>8</v>
      </c>
      <c r="J1093" s="57">
        <v>652.80999999999995</v>
      </c>
      <c r="K1093" s="56" t="s">
        <v>2389</v>
      </c>
      <c r="L1093" s="56" t="s">
        <v>2390</v>
      </c>
      <c r="M1093" s="55" t="s">
        <v>2391</v>
      </c>
      <c r="N1093" s="56" t="s">
        <v>2392</v>
      </c>
      <c r="O1093" s="53" t="s">
        <v>8</v>
      </c>
      <c r="P1093" s="56" t="s">
        <v>2412</v>
      </c>
      <c r="Q1093" s="57">
        <v>67300</v>
      </c>
      <c r="R1093" s="58" t="s">
        <v>8</v>
      </c>
      <c r="S1093" s="57" t="s">
        <v>8</v>
      </c>
      <c r="T1093" s="56" t="s">
        <v>8</v>
      </c>
    </row>
    <row r="1094" spans="1:20">
      <c r="A1094" s="55">
        <v>130505110651</v>
      </c>
      <c r="B1094" s="53" t="s">
        <v>2386</v>
      </c>
      <c r="C1094" s="54">
        <v>45953</v>
      </c>
      <c r="D1094" s="55">
        <v>52101127188</v>
      </c>
      <c r="E1094" s="55">
        <v>2102970110657</v>
      </c>
      <c r="F1094" s="56" t="s">
        <v>2401</v>
      </c>
      <c r="G1094" s="56" t="s">
        <v>2388</v>
      </c>
      <c r="H1094" s="56" t="s">
        <v>8</v>
      </c>
      <c r="I1094" s="55" t="s">
        <v>8</v>
      </c>
      <c r="J1094" s="57">
        <v>2016.09</v>
      </c>
      <c r="K1094" s="56" t="s">
        <v>2389</v>
      </c>
      <c r="L1094" s="56" t="s">
        <v>2402</v>
      </c>
      <c r="M1094" s="55" t="s">
        <v>2391</v>
      </c>
      <c r="N1094" s="56" t="s">
        <v>2392</v>
      </c>
      <c r="O1094" s="53" t="s">
        <v>2055</v>
      </c>
      <c r="P1094" s="56" t="s">
        <v>2403</v>
      </c>
      <c r="Q1094" s="57">
        <v>51300</v>
      </c>
      <c r="R1094" s="58" t="s">
        <v>8</v>
      </c>
      <c r="S1094" s="57" t="s">
        <v>8</v>
      </c>
      <c r="T1094" s="56" t="s">
        <v>2394</v>
      </c>
    </row>
    <row r="1095" spans="1:20">
      <c r="A1095" s="55">
        <v>131091722710</v>
      </c>
      <c r="B1095" s="53" t="s">
        <v>2386</v>
      </c>
      <c r="C1095" s="54">
        <v>45953</v>
      </c>
      <c r="D1095" s="55">
        <v>52101163240</v>
      </c>
      <c r="E1095" s="55">
        <v>2102971033705</v>
      </c>
      <c r="F1095" s="56" t="s">
        <v>2401</v>
      </c>
      <c r="G1095" s="56" t="s">
        <v>2388</v>
      </c>
      <c r="H1095" s="56" t="s">
        <v>8</v>
      </c>
      <c r="I1095" s="55" t="s">
        <v>8</v>
      </c>
      <c r="J1095" s="57">
        <v>1167.21</v>
      </c>
      <c r="K1095" s="56" t="s">
        <v>2389</v>
      </c>
      <c r="L1095" s="56" t="s">
        <v>2402</v>
      </c>
      <c r="M1095" s="55" t="s">
        <v>2391</v>
      </c>
      <c r="N1095" s="56" t="s">
        <v>2392</v>
      </c>
      <c r="O1095" s="53" t="s">
        <v>2055</v>
      </c>
      <c r="P1095" s="56" t="s">
        <v>2403</v>
      </c>
      <c r="Q1095" s="57">
        <v>29700</v>
      </c>
      <c r="R1095" s="58" t="s">
        <v>8</v>
      </c>
      <c r="S1095" s="57" t="s">
        <v>8</v>
      </c>
      <c r="T1095" s="56" t="s">
        <v>2394</v>
      </c>
    </row>
    <row r="1096" spans="1:20">
      <c r="A1096" s="55">
        <v>130505317979</v>
      </c>
      <c r="B1096" s="53" t="s">
        <v>2386</v>
      </c>
      <c r="C1096" s="54">
        <v>45953</v>
      </c>
      <c r="D1096" s="55">
        <v>52101331992</v>
      </c>
      <c r="E1096" s="55">
        <v>2103054197756</v>
      </c>
      <c r="F1096" s="56" t="s">
        <v>2475</v>
      </c>
      <c r="G1096" s="56" t="s">
        <v>2388</v>
      </c>
      <c r="H1096" s="56" t="s">
        <v>8</v>
      </c>
      <c r="I1096" s="55" t="s">
        <v>8</v>
      </c>
      <c r="J1096" s="57">
        <v>234.72</v>
      </c>
      <c r="K1096" s="56" t="s">
        <v>2389</v>
      </c>
      <c r="L1096" s="56" t="s">
        <v>2390</v>
      </c>
      <c r="M1096" s="55" t="s">
        <v>2391</v>
      </c>
      <c r="N1096" s="56" t="s">
        <v>2392</v>
      </c>
      <c r="O1096" s="53" t="s">
        <v>8</v>
      </c>
      <c r="P1096" s="56" t="s">
        <v>2536</v>
      </c>
      <c r="Q1096" s="57">
        <v>14400</v>
      </c>
      <c r="R1096" s="58" t="s">
        <v>8</v>
      </c>
      <c r="S1096" s="57" t="s">
        <v>8</v>
      </c>
      <c r="T1096" s="56" t="s">
        <v>2394</v>
      </c>
    </row>
    <row r="1097" spans="1:20">
      <c r="A1097" s="55">
        <v>131092165922</v>
      </c>
      <c r="B1097" s="53" t="s">
        <v>2386</v>
      </c>
      <c r="C1097" s="54">
        <v>45953</v>
      </c>
      <c r="D1097" s="55">
        <v>52101402315</v>
      </c>
      <c r="E1097" s="55">
        <v>2103055578934</v>
      </c>
      <c r="F1097" s="56" t="s">
        <v>2387</v>
      </c>
      <c r="G1097" s="56" t="s">
        <v>2388</v>
      </c>
      <c r="H1097" s="56" t="s">
        <v>8</v>
      </c>
      <c r="I1097" s="55" t="s">
        <v>8</v>
      </c>
      <c r="J1097" s="57">
        <v>133.86000000000001</v>
      </c>
      <c r="K1097" s="56" t="s">
        <v>2389</v>
      </c>
      <c r="L1097" s="56" t="s">
        <v>2390</v>
      </c>
      <c r="M1097" s="55" t="s">
        <v>2391</v>
      </c>
      <c r="N1097" s="56" t="s">
        <v>2392</v>
      </c>
      <c r="O1097" s="53" t="s">
        <v>8</v>
      </c>
      <c r="P1097" s="56" t="s">
        <v>2828</v>
      </c>
      <c r="Q1097" s="57">
        <v>13800</v>
      </c>
      <c r="R1097" s="58" t="s">
        <v>8</v>
      </c>
      <c r="S1097" s="57" t="s">
        <v>8</v>
      </c>
      <c r="T1097" s="56" t="s">
        <v>2394</v>
      </c>
    </row>
    <row r="1098" spans="1:20">
      <c r="A1098" s="55">
        <v>130505544007</v>
      </c>
      <c r="B1098" s="53" t="s">
        <v>2386</v>
      </c>
      <c r="C1098" s="54">
        <v>45953</v>
      </c>
      <c r="D1098" s="55">
        <v>52101436864</v>
      </c>
      <c r="E1098" s="55">
        <v>2103055595398</v>
      </c>
      <c r="F1098" s="56" t="s">
        <v>2387</v>
      </c>
      <c r="G1098" s="56" t="s">
        <v>2388</v>
      </c>
      <c r="H1098" s="56" t="s">
        <v>8</v>
      </c>
      <c r="I1098" s="55" t="s">
        <v>8</v>
      </c>
      <c r="J1098" s="57">
        <v>46.56</v>
      </c>
      <c r="K1098" s="56" t="s">
        <v>2389</v>
      </c>
      <c r="L1098" s="56" t="s">
        <v>2390</v>
      </c>
      <c r="M1098" s="55" t="s">
        <v>2391</v>
      </c>
      <c r="N1098" s="56" t="s">
        <v>2392</v>
      </c>
      <c r="O1098" s="53" t="s">
        <v>8</v>
      </c>
      <c r="P1098" s="56" t="s">
        <v>2829</v>
      </c>
      <c r="Q1098" s="57">
        <v>4800</v>
      </c>
      <c r="R1098" s="58" t="s">
        <v>8</v>
      </c>
      <c r="S1098" s="57" t="s">
        <v>8</v>
      </c>
      <c r="T1098" s="56" t="s">
        <v>2394</v>
      </c>
    </row>
    <row r="1099" spans="1:20">
      <c r="A1099" s="55">
        <v>131092388010</v>
      </c>
      <c r="B1099" s="53" t="s">
        <v>2386</v>
      </c>
      <c r="C1099" s="54">
        <v>45953</v>
      </c>
      <c r="D1099" s="55">
        <v>52101513545</v>
      </c>
      <c r="E1099" s="55">
        <v>2102976294405</v>
      </c>
      <c r="F1099" s="56" t="s">
        <v>2411</v>
      </c>
      <c r="G1099" s="56" t="s">
        <v>2388</v>
      </c>
      <c r="H1099" s="56" t="s">
        <v>8</v>
      </c>
      <c r="I1099" s="55" t="s">
        <v>8</v>
      </c>
      <c r="J1099" s="57">
        <v>155.19999999999999</v>
      </c>
      <c r="K1099" s="56" t="s">
        <v>2389</v>
      </c>
      <c r="L1099" s="56" t="s">
        <v>2390</v>
      </c>
      <c r="M1099" s="55" t="s">
        <v>2391</v>
      </c>
      <c r="N1099" s="56" t="s">
        <v>2392</v>
      </c>
      <c r="O1099" s="53" t="s">
        <v>8</v>
      </c>
      <c r="P1099" s="56" t="s">
        <v>2412</v>
      </c>
      <c r="Q1099" s="57">
        <v>16000</v>
      </c>
      <c r="R1099" s="58" t="s">
        <v>8</v>
      </c>
      <c r="S1099" s="57" t="s">
        <v>8</v>
      </c>
      <c r="T1099" s="56" t="s">
        <v>8</v>
      </c>
    </row>
    <row r="1100" spans="1:20">
      <c r="A1100" s="55">
        <v>131092700948</v>
      </c>
      <c r="B1100" s="53" t="s">
        <v>2386</v>
      </c>
      <c r="C1100" s="54">
        <v>45953</v>
      </c>
      <c r="D1100" s="55">
        <v>52101570931</v>
      </c>
      <c r="E1100" s="55">
        <v>2103058159206</v>
      </c>
      <c r="F1100" s="56" t="s">
        <v>2387</v>
      </c>
      <c r="G1100" s="56" t="s">
        <v>2388</v>
      </c>
      <c r="H1100" s="56" t="s">
        <v>8</v>
      </c>
      <c r="I1100" s="55" t="s">
        <v>8</v>
      </c>
      <c r="J1100" s="57">
        <v>194</v>
      </c>
      <c r="K1100" s="56" t="s">
        <v>2389</v>
      </c>
      <c r="L1100" s="56" t="s">
        <v>2390</v>
      </c>
      <c r="M1100" s="55" t="s">
        <v>2391</v>
      </c>
      <c r="N1100" s="56" t="s">
        <v>2392</v>
      </c>
      <c r="O1100" s="53" t="s">
        <v>8</v>
      </c>
      <c r="P1100" s="56" t="s">
        <v>2498</v>
      </c>
      <c r="Q1100" s="57">
        <v>20000</v>
      </c>
      <c r="R1100" s="58" t="s">
        <v>8</v>
      </c>
      <c r="S1100" s="57" t="s">
        <v>8</v>
      </c>
      <c r="T1100" s="56" t="s">
        <v>2394</v>
      </c>
    </row>
    <row r="1101" spans="1:20">
      <c r="A1101" s="55">
        <v>130506540145</v>
      </c>
      <c r="B1101" s="53" t="s">
        <v>2386</v>
      </c>
      <c r="C1101" s="54">
        <v>45954</v>
      </c>
      <c r="D1101" s="55">
        <v>52101801980</v>
      </c>
      <c r="E1101" s="55">
        <v>2102980313417</v>
      </c>
      <c r="F1101" s="56" t="s">
        <v>2411</v>
      </c>
      <c r="G1101" s="56" t="s">
        <v>2388</v>
      </c>
      <c r="H1101" s="56" t="s">
        <v>8</v>
      </c>
      <c r="I1101" s="55" t="s">
        <v>8</v>
      </c>
      <c r="J1101" s="57">
        <v>69.84</v>
      </c>
      <c r="K1101" s="56" t="s">
        <v>2389</v>
      </c>
      <c r="L1101" s="56" t="s">
        <v>2390</v>
      </c>
      <c r="M1101" s="55" t="s">
        <v>2391</v>
      </c>
      <c r="N1101" s="56" t="s">
        <v>2392</v>
      </c>
      <c r="O1101" s="53" t="s">
        <v>8</v>
      </c>
      <c r="P1101" s="56" t="s">
        <v>2412</v>
      </c>
      <c r="Q1101" s="57">
        <v>7200</v>
      </c>
      <c r="R1101" s="58" t="s">
        <v>8</v>
      </c>
      <c r="S1101" s="57" t="s">
        <v>8</v>
      </c>
      <c r="T1101" s="56" t="s">
        <v>8</v>
      </c>
    </row>
    <row r="1102" spans="1:20">
      <c r="A1102" s="55">
        <v>131093035938</v>
      </c>
      <c r="B1102" s="53" t="s">
        <v>2386</v>
      </c>
      <c r="C1102" s="54">
        <v>45954</v>
      </c>
      <c r="D1102" s="55">
        <v>52101818731</v>
      </c>
      <c r="E1102" s="55">
        <v>2103061501822</v>
      </c>
      <c r="F1102" s="56" t="s">
        <v>2387</v>
      </c>
      <c r="G1102" s="56" t="s">
        <v>2388</v>
      </c>
      <c r="H1102" s="56" t="s">
        <v>8</v>
      </c>
      <c r="I1102" s="55" t="s">
        <v>8</v>
      </c>
      <c r="J1102" s="57">
        <v>92.15</v>
      </c>
      <c r="K1102" s="56" t="s">
        <v>2389</v>
      </c>
      <c r="L1102" s="56" t="s">
        <v>2390</v>
      </c>
      <c r="M1102" s="55" t="s">
        <v>2391</v>
      </c>
      <c r="N1102" s="56" t="s">
        <v>2392</v>
      </c>
      <c r="O1102" s="53" t="s">
        <v>8</v>
      </c>
      <c r="P1102" s="56" t="s">
        <v>2830</v>
      </c>
      <c r="Q1102" s="57">
        <v>9500</v>
      </c>
      <c r="R1102" s="58" t="s">
        <v>8</v>
      </c>
      <c r="S1102" s="57" t="s">
        <v>8</v>
      </c>
      <c r="T1102" s="56" t="s">
        <v>2394</v>
      </c>
    </row>
    <row r="1103" spans="1:20">
      <c r="A1103" s="55">
        <v>130506520857</v>
      </c>
      <c r="B1103" s="53" t="s">
        <v>2386</v>
      </c>
      <c r="C1103" s="54">
        <v>45954</v>
      </c>
      <c r="D1103" s="55">
        <v>52101823505</v>
      </c>
      <c r="E1103" s="55">
        <v>2102980932409</v>
      </c>
      <c r="F1103" s="56" t="s">
        <v>2387</v>
      </c>
      <c r="G1103" s="56" t="s">
        <v>2388</v>
      </c>
      <c r="H1103" s="56" t="s">
        <v>8</v>
      </c>
      <c r="I1103" s="55" t="s">
        <v>8</v>
      </c>
      <c r="J1103" s="57">
        <v>106.7</v>
      </c>
      <c r="K1103" s="56" t="s">
        <v>2389</v>
      </c>
      <c r="L1103" s="56" t="s">
        <v>2390</v>
      </c>
      <c r="M1103" s="55" t="s">
        <v>2391</v>
      </c>
      <c r="N1103" s="56" t="s">
        <v>2392</v>
      </c>
      <c r="O1103" s="53" t="s">
        <v>8</v>
      </c>
      <c r="P1103" s="56" t="s">
        <v>2692</v>
      </c>
      <c r="Q1103" s="57">
        <v>11000</v>
      </c>
      <c r="R1103" s="58" t="s">
        <v>8</v>
      </c>
      <c r="S1103" s="57" t="s">
        <v>8</v>
      </c>
      <c r="T1103" s="56" t="s">
        <v>2394</v>
      </c>
    </row>
    <row r="1104" spans="1:20">
      <c r="A1104" s="55">
        <v>130506636747</v>
      </c>
      <c r="B1104" s="53" t="s">
        <v>2386</v>
      </c>
      <c r="C1104" s="54">
        <v>45954</v>
      </c>
      <c r="D1104" s="55">
        <v>52101899286</v>
      </c>
      <c r="E1104" s="55">
        <v>2103062230746</v>
      </c>
      <c r="F1104" s="56" t="s">
        <v>2387</v>
      </c>
      <c r="G1104" s="56" t="s">
        <v>2388</v>
      </c>
      <c r="H1104" s="56" t="s">
        <v>8</v>
      </c>
      <c r="I1104" s="55" t="s">
        <v>8</v>
      </c>
      <c r="J1104" s="57">
        <v>69.84</v>
      </c>
      <c r="K1104" s="56" t="s">
        <v>2389</v>
      </c>
      <c r="L1104" s="56" t="s">
        <v>2390</v>
      </c>
      <c r="M1104" s="55" t="s">
        <v>2391</v>
      </c>
      <c r="N1104" s="56" t="s">
        <v>2392</v>
      </c>
      <c r="O1104" s="53" t="s">
        <v>8</v>
      </c>
      <c r="P1104" s="56" t="s">
        <v>2683</v>
      </c>
      <c r="Q1104" s="57">
        <v>7200</v>
      </c>
      <c r="R1104" s="58" t="s">
        <v>8</v>
      </c>
      <c r="S1104" s="57" t="s">
        <v>8</v>
      </c>
      <c r="T1104" s="56" t="s">
        <v>2394</v>
      </c>
    </row>
    <row r="1105" spans="1:20">
      <c r="A1105" s="55">
        <v>130506543981</v>
      </c>
      <c r="B1105" s="53" t="s">
        <v>2386</v>
      </c>
      <c r="C1105" s="54">
        <v>45954</v>
      </c>
      <c r="D1105" s="55">
        <v>52101923455</v>
      </c>
      <c r="E1105" s="55">
        <v>2103062925656</v>
      </c>
      <c r="F1105" s="56" t="s">
        <v>2401</v>
      </c>
      <c r="G1105" s="56" t="s">
        <v>2388</v>
      </c>
      <c r="H1105" s="56" t="s">
        <v>8</v>
      </c>
      <c r="I1105" s="55" t="s">
        <v>8</v>
      </c>
      <c r="J1105" s="57">
        <v>1422.66</v>
      </c>
      <c r="K1105" s="56" t="s">
        <v>2389</v>
      </c>
      <c r="L1105" s="56" t="s">
        <v>2402</v>
      </c>
      <c r="M1105" s="55" t="s">
        <v>2391</v>
      </c>
      <c r="N1105" s="56" t="s">
        <v>2392</v>
      </c>
      <c r="O1105" s="53" t="s">
        <v>2055</v>
      </c>
      <c r="P1105" s="56" t="s">
        <v>2403</v>
      </c>
      <c r="Q1105" s="57">
        <v>36200</v>
      </c>
      <c r="R1105" s="58" t="s">
        <v>8</v>
      </c>
      <c r="S1105" s="57" t="s">
        <v>8</v>
      </c>
      <c r="T1105" s="56" t="s">
        <v>2394</v>
      </c>
    </row>
    <row r="1106" spans="1:20">
      <c r="A1106" s="55">
        <v>131093307644</v>
      </c>
      <c r="B1106" s="53" t="s">
        <v>2386</v>
      </c>
      <c r="C1106" s="54">
        <v>45954</v>
      </c>
      <c r="D1106" s="55">
        <v>52101983615</v>
      </c>
      <c r="E1106" s="55">
        <v>2102982950593</v>
      </c>
      <c r="F1106" s="56" t="s">
        <v>2411</v>
      </c>
      <c r="G1106" s="56" t="s">
        <v>2388</v>
      </c>
      <c r="H1106" s="56" t="s">
        <v>8</v>
      </c>
      <c r="I1106" s="55" t="s">
        <v>8</v>
      </c>
      <c r="J1106" s="57">
        <v>46.56</v>
      </c>
      <c r="K1106" s="56" t="s">
        <v>2389</v>
      </c>
      <c r="L1106" s="56" t="s">
        <v>2390</v>
      </c>
      <c r="M1106" s="55" t="s">
        <v>2391</v>
      </c>
      <c r="N1106" s="56" t="s">
        <v>2392</v>
      </c>
      <c r="O1106" s="53" t="s">
        <v>8</v>
      </c>
      <c r="P1106" s="56" t="s">
        <v>2412</v>
      </c>
      <c r="Q1106" s="57">
        <v>4800</v>
      </c>
      <c r="R1106" s="58" t="s">
        <v>8</v>
      </c>
      <c r="S1106" s="57" t="s">
        <v>8</v>
      </c>
      <c r="T1106" s="56" t="s">
        <v>8</v>
      </c>
    </row>
    <row r="1107" spans="1:20">
      <c r="A1107" s="55">
        <v>130506875805</v>
      </c>
      <c r="B1107" s="53" t="s">
        <v>2386</v>
      </c>
      <c r="C1107" s="54">
        <v>45954</v>
      </c>
      <c r="D1107" s="55">
        <v>52102082321</v>
      </c>
      <c r="E1107" s="55">
        <v>2102984133987</v>
      </c>
      <c r="F1107" s="56" t="s">
        <v>2411</v>
      </c>
      <c r="G1107" s="56" t="s">
        <v>2388</v>
      </c>
      <c r="H1107" s="56" t="s">
        <v>8</v>
      </c>
      <c r="I1107" s="55" t="s">
        <v>8</v>
      </c>
      <c r="J1107" s="57">
        <v>242.5</v>
      </c>
      <c r="K1107" s="56" t="s">
        <v>2389</v>
      </c>
      <c r="L1107" s="56" t="s">
        <v>2390</v>
      </c>
      <c r="M1107" s="55" t="s">
        <v>2391</v>
      </c>
      <c r="N1107" s="56" t="s">
        <v>2392</v>
      </c>
      <c r="O1107" s="53" t="s">
        <v>8</v>
      </c>
      <c r="P1107" s="56" t="s">
        <v>2412</v>
      </c>
      <c r="Q1107" s="57">
        <v>25000</v>
      </c>
      <c r="R1107" s="58" t="s">
        <v>8</v>
      </c>
      <c r="S1107" s="57" t="s">
        <v>8</v>
      </c>
      <c r="T1107" s="56" t="s">
        <v>8</v>
      </c>
    </row>
    <row r="1108" spans="1:20">
      <c r="A1108" s="55">
        <v>131093488060</v>
      </c>
      <c r="B1108" s="53" t="s">
        <v>2386</v>
      </c>
      <c r="C1108" s="54">
        <v>45954</v>
      </c>
      <c r="D1108" s="55">
        <v>52102115064</v>
      </c>
      <c r="E1108" s="55">
        <v>2102984469513</v>
      </c>
      <c r="F1108" s="56" t="s">
        <v>2401</v>
      </c>
      <c r="G1108" s="56" t="s">
        <v>2388</v>
      </c>
      <c r="H1108" s="56" t="s">
        <v>8</v>
      </c>
      <c r="I1108" s="55" t="s">
        <v>8</v>
      </c>
      <c r="J1108" s="57">
        <v>1733.13</v>
      </c>
      <c r="K1108" s="56" t="s">
        <v>2389</v>
      </c>
      <c r="L1108" s="56" t="s">
        <v>2402</v>
      </c>
      <c r="M1108" s="55" t="s">
        <v>2391</v>
      </c>
      <c r="N1108" s="56" t="s">
        <v>2392</v>
      </c>
      <c r="O1108" s="53" t="s">
        <v>2055</v>
      </c>
      <c r="P1108" s="56" t="s">
        <v>2403</v>
      </c>
      <c r="Q1108" s="57">
        <v>44100</v>
      </c>
      <c r="R1108" s="58" t="s">
        <v>8</v>
      </c>
      <c r="S1108" s="57" t="s">
        <v>8</v>
      </c>
      <c r="T1108" s="56" t="s">
        <v>2394</v>
      </c>
    </row>
    <row r="1109" spans="1:20">
      <c r="A1109" s="55">
        <v>131093724984</v>
      </c>
      <c r="B1109" s="53" t="s">
        <v>2386</v>
      </c>
      <c r="C1109" s="54">
        <v>45954</v>
      </c>
      <c r="D1109" s="55">
        <v>52102157443</v>
      </c>
      <c r="E1109" s="55">
        <v>2102985040965</v>
      </c>
      <c r="F1109" s="56" t="s">
        <v>2387</v>
      </c>
      <c r="G1109" s="56" t="s">
        <v>2388</v>
      </c>
      <c r="H1109" s="56" t="s">
        <v>8</v>
      </c>
      <c r="I1109" s="55" t="s">
        <v>8</v>
      </c>
      <c r="J1109" s="57">
        <v>368.6</v>
      </c>
      <c r="K1109" s="56" t="s">
        <v>2389</v>
      </c>
      <c r="L1109" s="56" t="s">
        <v>2390</v>
      </c>
      <c r="M1109" s="55" t="s">
        <v>2391</v>
      </c>
      <c r="N1109" s="56" t="s">
        <v>2392</v>
      </c>
      <c r="O1109" s="53" t="s">
        <v>8</v>
      </c>
      <c r="P1109" s="56" t="s">
        <v>2831</v>
      </c>
      <c r="Q1109" s="57">
        <v>38000</v>
      </c>
      <c r="R1109" s="58" t="s">
        <v>8</v>
      </c>
      <c r="S1109" s="57" t="s">
        <v>8</v>
      </c>
      <c r="T1109" s="56" t="s">
        <v>2394</v>
      </c>
    </row>
    <row r="1110" spans="1:20">
      <c r="A1110" s="55">
        <v>130507452383</v>
      </c>
      <c r="B1110" s="53" t="s">
        <v>2386</v>
      </c>
      <c r="C1110" s="54">
        <v>45954</v>
      </c>
      <c r="D1110" s="55">
        <v>52102229532</v>
      </c>
      <c r="E1110" s="55">
        <v>2103067226008</v>
      </c>
      <c r="F1110" s="56" t="s">
        <v>2401</v>
      </c>
      <c r="G1110" s="56" t="s">
        <v>2388</v>
      </c>
      <c r="H1110" s="56" t="s">
        <v>8</v>
      </c>
      <c r="I1110" s="55" t="s">
        <v>8</v>
      </c>
      <c r="J1110" s="57">
        <v>11681.35</v>
      </c>
      <c r="K1110" s="56" t="s">
        <v>2389</v>
      </c>
      <c r="L1110" s="56" t="s">
        <v>2402</v>
      </c>
      <c r="M1110" s="55" t="s">
        <v>2391</v>
      </c>
      <c r="N1110" s="56" t="s">
        <v>2392</v>
      </c>
      <c r="O1110" s="53" t="s">
        <v>2055</v>
      </c>
      <c r="P1110" s="56" t="s">
        <v>2403</v>
      </c>
      <c r="Q1110" s="57">
        <v>153500</v>
      </c>
      <c r="R1110" s="58" t="s">
        <v>8</v>
      </c>
      <c r="S1110" s="57" t="s">
        <v>8</v>
      </c>
      <c r="T1110" s="56" t="s">
        <v>2394</v>
      </c>
    </row>
    <row r="1111" spans="1:20">
      <c r="A1111" s="55">
        <v>131093866884</v>
      </c>
      <c r="B1111" s="53" t="s">
        <v>2386</v>
      </c>
      <c r="C1111" s="54">
        <v>45954</v>
      </c>
      <c r="D1111" s="55">
        <v>52102232932</v>
      </c>
      <c r="E1111" s="55">
        <v>2102986564025</v>
      </c>
      <c r="F1111" s="56" t="s">
        <v>2387</v>
      </c>
      <c r="G1111" s="56" t="s">
        <v>2388</v>
      </c>
      <c r="H1111" s="56" t="s">
        <v>8</v>
      </c>
      <c r="I1111" s="55" t="s">
        <v>8</v>
      </c>
      <c r="J1111" s="57">
        <v>810.92</v>
      </c>
      <c r="K1111" s="56" t="s">
        <v>2389</v>
      </c>
      <c r="L1111" s="56" t="s">
        <v>2390</v>
      </c>
      <c r="M1111" s="55" t="s">
        <v>2391</v>
      </c>
      <c r="N1111" s="56" t="s">
        <v>2392</v>
      </c>
      <c r="O1111" s="53" t="s">
        <v>8</v>
      </c>
      <c r="P1111" s="56" t="s">
        <v>2832</v>
      </c>
      <c r="Q1111" s="57">
        <v>83600</v>
      </c>
      <c r="R1111" s="58" t="s">
        <v>8</v>
      </c>
      <c r="S1111" s="57" t="s">
        <v>8</v>
      </c>
      <c r="T1111" s="56" t="s">
        <v>2394</v>
      </c>
    </row>
    <row r="1112" spans="1:20">
      <c r="A1112" s="55">
        <v>131094045138</v>
      </c>
      <c r="B1112" s="53" t="s">
        <v>2386</v>
      </c>
      <c r="C1112" s="54">
        <v>45954</v>
      </c>
      <c r="D1112" s="55">
        <v>52102314324</v>
      </c>
      <c r="E1112" s="55">
        <v>2103068558628</v>
      </c>
      <c r="F1112" s="56" t="s">
        <v>2387</v>
      </c>
      <c r="G1112" s="56" t="s">
        <v>2388</v>
      </c>
      <c r="H1112" s="56" t="s">
        <v>8</v>
      </c>
      <c r="I1112" s="55" t="s">
        <v>8</v>
      </c>
      <c r="J1112" s="57">
        <v>269.66000000000003</v>
      </c>
      <c r="K1112" s="56" t="s">
        <v>2389</v>
      </c>
      <c r="L1112" s="56" t="s">
        <v>2390</v>
      </c>
      <c r="M1112" s="55" t="s">
        <v>2391</v>
      </c>
      <c r="N1112" s="56" t="s">
        <v>2392</v>
      </c>
      <c r="O1112" s="53" t="s">
        <v>8</v>
      </c>
      <c r="P1112" s="56" t="s">
        <v>2705</v>
      </c>
      <c r="Q1112" s="57">
        <v>27800</v>
      </c>
      <c r="R1112" s="58" t="s">
        <v>8</v>
      </c>
      <c r="S1112" s="57" t="s">
        <v>8</v>
      </c>
      <c r="T1112" s="56" t="s">
        <v>2394</v>
      </c>
    </row>
    <row r="1113" spans="1:20">
      <c r="A1113" s="55">
        <v>130507633683</v>
      </c>
      <c r="B1113" s="53" t="s">
        <v>2386</v>
      </c>
      <c r="C1113" s="54">
        <v>45954</v>
      </c>
      <c r="D1113" s="55">
        <v>52102398414</v>
      </c>
      <c r="E1113" s="55">
        <v>2103069806822</v>
      </c>
      <c r="F1113" s="56" t="s">
        <v>2387</v>
      </c>
      <c r="G1113" s="56" t="s">
        <v>2388</v>
      </c>
      <c r="H1113" s="56" t="s">
        <v>8</v>
      </c>
      <c r="I1113" s="55" t="s">
        <v>8</v>
      </c>
      <c r="J1113" s="57">
        <v>525.74</v>
      </c>
      <c r="K1113" s="56" t="s">
        <v>2389</v>
      </c>
      <c r="L1113" s="56" t="s">
        <v>2390</v>
      </c>
      <c r="M1113" s="55" t="s">
        <v>2391</v>
      </c>
      <c r="N1113" s="56" t="s">
        <v>2392</v>
      </c>
      <c r="O1113" s="53" t="s">
        <v>8</v>
      </c>
      <c r="P1113" s="56" t="s">
        <v>2833</v>
      </c>
      <c r="Q1113" s="57">
        <v>54200</v>
      </c>
      <c r="R1113" s="58" t="s">
        <v>8</v>
      </c>
      <c r="S1113" s="57" t="s">
        <v>8</v>
      </c>
      <c r="T1113" s="56" t="s">
        <v>2394</v>
      </c>
    </row>
    <row r="1114" spans="1:20">
      <c r="A1114" s="55">
        <v>131094372322</v>
      </c>
      <c r="B1114" s="53" t="s">
        <v>2386</v>
      </c>
      <c r="C1114" s="54">
        <v>45954</v>
      </c>
      <c r="D1114" s="55">
        <v>52102432018</v>
      </c>
      <c r="E1114" s="55">
        <v>2102989837327</v>
      </c>
      <c r="F1114" s="56" t="s">
        <v>2387</v>
      </c>
      <c r="G1114" s="56" t="s">
        <v>2388</v>
      </c>
      <c r="H1114" s="56" t="s">
        <v>8</v>
      </c>
      <c r="I1114" s="55" t="s">
        <v>8</v>
      </c>
      <c r="J1114" s="57">
        <v>262.87</v>
      </c>
      <c r="K1114" s="56" t="s">
        <v>2389</v>
      </c>
      <c r="L1114" s="56" t="s">
        <v>2390</v>
      </c>
      <c r="M1114" s="55" t="s">
        <v>2391</v>
      </c>
      <c r="N1114" s="56" t="s">
        <v>2392</v>
      </c>
      <c r="O1114" s="53" t="s">
        <v>8</v>
      </c>
      <c r="P1114" s="56" t="s">
        <v>2834</v>
      </c>
      <c r="Q1114" s="57">
        <v>27100</v>
      </c>
      <c r="R1114" s="58" t="s">
        <v>8</v>
      </c>
      <c r="S1114" s="57" t="s">
        <v>8</v>
      </c>
      <c r="T1114" s="56" t="s">
        <v>2394</v>
      </c>
    </row>
    <row r="1115" spans="1:20">
      <c r="A1115" s="55">
        <v>131094378520</v>
      </c>
      <c r="B1115" s="53" t="s">
        <v>2386</v>
      </c>
      <c r="C1115" s="54">
        <v>45954</v>
      </c>
      <c r="D1115" s="55">
        <v>52102465682</v>
      </c>
      <c r="E1115" s="55">
        <v>2102990092481</v>
      </c>
      <c r="F1115" s="56" t="s">
        <v>2411</v>
      </c>
      <c r="G1115" s="56" t="s">
        <v>2388</v>
      </c>
      <c r="H1115" s="56" t="s">
        <v>8</v>
      </c>
      <c r="I1115" s="55" t="s">
        <v>8</v>
      </c>
      <c r="J1115" s="57">
        <v>185.76</v>
      </c>
      <c r="K1115" s="56" t="s">
        <v>2389</v>
      </c>
      <c r="L1115" s="56" t="s">
        <v>2390</v>
      </c>
      <c r="M1115" s="55" t="s">
        <v>2391</v>
      </c>
      <c r="N1115" s="56" t="s">
        <v>2392</v>
      </c>
      <c r="O1115" s="53" t="s">
        <v>8</v>
      </c>
      <c r="P1115" s="56" t="s">
        <v>2412</v>
      </c>
      <c r="Q1115" s="57">
        <v>19150</v>
      </c>
      <c r="R1115" s="58" t="s">
        <v>8</v>
      </c>
      <c r="S1115" s="57" t="s">
        <v>8</v>
      </c>
      <c r="T1115" s="56" t="s">
        <v>8</v>
      </c>
    </row>
    <row r="1116" spans="1:20">
      <c r="A1116" s="55">
        <v>130508048215</v>
      </c>
      <c r="B1116" s="53" t="s">
        <v>2386</v>
      </c>
      <c r="C1116" s="54">
        <v>45954</v>
      </c>
      <c r="D1116" s="55">
        <v>52102496655</v>
      </c>
      <c r="E1116" s="55">
        <v>2102990347445</v>
      </c>
      <c r="F1116" s="56" t="s">
        <v>2401</v>
      </c>
      <c r="G1116" s="56" t="s">
        <v>2388</v>
      </c>
      <c r="H1116" s="56" t="s">
        <v>8</v>
      </c>
      <c r="I1116" s="55" t="s">
        <v>8</v>
      </c>
      <c r="J1116" s="57">
        <v>640.59</v>
      </c>
      <c r="K1116" s="56" t="s">
        <v>2389</v>
      </c>
      <c r="L1116" s="56" t="s">
        <v>2402</v>
      </c>
      <c r="M1116" s="55" t="s">
        <v>2391</v>
      </c>
      <c r="N1116" s="56" t="s">
        <v>2392</v>
      </c>
      <c r="O1116" s="53" t="s">
        <v>2055</v>
      </c>
      <c r="P1116" s="56" t="s">
        <v>2403</v>
      </c>
      <c r="Q1116" s="57">
        <v>16300</v>
      </c>
      <c r="R1116" s="58" t="s">
        <v>8</v>
      </c>
      <c r="S1116" s="57" t="s">
        <v>8</v>
      </c>
      <c r="T1116" s="56" t="s">
        <v>2394</v>
      </c>
    </row>
    <row r="1117" spans="1:20">
      <c r="A1117" s="55">
        <v>130507917861</v>
      </c>
      <c r="B1117" s="53" t="s">
        <v>2386</v>
      </c>
      <c r="C1117" s="54">
        <v>45954</v>
      </c>
      <c r="D1117" s="55">
        <v>52102507903</v>
      </c>
      <c r="E1117" s="55">
        <v>2103071804058</v>
      </c>
      <c r="F1117" s="56" t="s">
        <v>2387</v>
      </c>
      <c r="G1117" s="56" t="s">
        <v>2388</v>
      </c>
      <c r="H1117" s="56" t="s">
        <v>8</v>
      </c>
      <c r="I1117" s="55" t="s">
        <v>8</v>
      </c>
      <c r="J1117" s="57">
        <v>87.3</v>
      </c>
      <c r="K1117" s="56" t="s">
        <v>2389</v>
      </c>
      <c r="L1117" s="56" t="s">
        <v>2390</v>
      </c>
      <c r="M1117" s="55" t="s">
        <v>2391</v>
      </c>
      <c r="N1117" s="56" t="s">
        <v>2392</v>
      </c>
      <c r="O1117" s="53" t="s">
        <v>8</v>
      </c>
      <c r="P1117" s="56" t="s">
        <v>2834</v>
      </c>
      <c r="Q1117" s="57">
        <v>9000</v>
      </c>
      <c r="R1117" s="58" t="s">
        <v>8</v>
      </c>
      <c r="S1117" s="57" t="s">
        <v>8</v>
      </c>
      <c r="T1117" s="56" t="s">
        <v>2394</v>
      </c>
    </row>
    <row r="1118" spans="1:20">
      <c r="A1118" s="55">
        <v>131094616418</v>
      </c>
      <c r="B1118" s="53" t="s">
        <v>2386</v>
      </c>
      <c r="C1118" s="54">
        <v>45954</v>
      </c>
      <c r="D1118" s="55">
        <v>52102544278</v>
      </c>
      <c r="E1118" s="55">
        <v>2102991597411</v>
      </c>
      <c r="F1118" s="56" t="s">
        <v>2387</v>
      </c>
      <c r="G1118" s="56" t="s">
        <v>2388</v>
      </c>
      <c r="H1118" s="56" t="s">
        <v>8</v>
      </c>
      <c r="I1118" s="55" t="s">
        <v>8</v>
      </c>
      <c r="J1118" s="57">
        <v>87.3</v>
      </c>
      <c r="K1118" s="56" t="s">
        <v>2389</v>
      </c>
      <c r="L1118" s="56" t="s">
        <v>2390</v>
      </c>
      <c r="M1118" s="55" t="s">
        <v>2391</v>
      </c>
      <c r="N1118" s="56" t="s">
        <v>2392</v>
      </c>
      <c r="O1118" s="53" t="s">
        <v>8</v>
      </c>
      <c r="P1118" s="56" t="s">
        <v>2835</v>
      </c>
      <c r="Q1118" s="57">
        <v>9000</v>
      </c>
      <c r="R1118" s="58" t="s">
        <v>8</v>
      </c>
      <c r="S1118" s="57" t="s">
        <v>8</v>
      </c>
      <c r="T1118" s="56" t="s">
        <v>2394</v>
      </c>
    </row>
    <row r="1119" spans="1:20">
      <c r="A1119" s="55">
        <v>130508269613</v>
      </c>
      <c r="B1119" s="53" t="s">
        <v>2386</v>
      </c>
      <c r="C1119" s="54">
        <v>45954</v>
      </c>
      <c r="D1119" s="55">
        <v>52102674469</v>
      </c>
      <c r="E1119" s="55">
        <v>2103074736254</v>
      </c>
      <c r="F1119" s="56" t="s">
        <v>2387</v>
      </c>
      <c r="G1119" s="56" t="s">
        <v>2388</v>
      </c>
      <c r="H1119" s="56" t="s">
        <v>8</v>
      </c>
      <c r="I1119" s="55" t="s">
        <v>8</v>
      </c>
      <c r="J1119" s="57">
        <v>161.02000000000001</v>
      </c>
      <c r="K1119" s="56" t="s">
        <v>2389</v>
      </c>
      <c r="L1119" s="56" t="s">
        <v>2390</v>
      </c>
      <c r="M1119" s="55" t="s">
        <v>2391</v>
      </c>
      <c r="N1119" s="56" t="s">
        <v>2392</v>
      </c>
      <c r="O1119" s="53" t="s">
        <v>8</v>
      </c>
      <c r="P1119" s="56" t="s">
        <v>2813</v>
      </c>
      <c r="Q1119" s="57">
        <v>16600</v>
      </c>
      <c r="R1119" s="58" t="s">
        <v>8</v>
      </c>
      <c r="S1119" s="57" t="s">
        <v>8</v>
      </c>
      <c r="T1119" s="56" t="s">
        <v>2394</v>
      </c>
    </row>
    <row r="1120" spans="1:20">
      <c r="A1120" s="55">
        <v>130508474545</v>
      </c>
      <c r="B1120" s="53" t="s">
        <v>2386</v>
      </c>
      <c r="C1120" s="54">
        <v>45954</v>
      </c>
      <c r="D1120" s="55">
        <v>52102700045</v>
      </c>
      <c r="E1120" s="55">
        <v>2103075388574</v>
      </c>
      <c r="F1120" s="56" t="s">
        <v>2387</v>
      </c>
      <c r="G1120" s="56" t="s">
        <v>2388</v>
      </c>
      <c r="H1120" s="56" t="s">
        <v>8</v>
      </c>
      <c r="I1120" s="55" t="s">
        <v>8</v>
      </c>
      <c r="J1120" s="57">
        <v>1637.36</v>
      </c>
      <c r="K1120" s="56" t="s">
        <v>2389</v>
      </c>
      <c r="L1120" s="56" t="s">
        <v>2390</v>
      </c>
      <c r="M1120" s="55" t="s">
        <v>2391</v>
      </c>
      <c r="N1120" s="56" t="s">
        <v>2392</v>
      </c>
      <c r="O1120" s="53" t="s">
        <v>8</v>
      </c>
      <c r="P1120" s="56" t="s">
        <v>2836</v>
      </c>
      <c r="Q1120" s="57">
        <v>168800</v>
      </c>
      <c r="R1120" s="58" t="s">
        <v>8</v>
      </c>
      <c r="S1120" s="57" t="s">
        <v>8</v>
      </c>
      <c r="T1120" s="56" t="s">
        <v>2394</v>
      </c>
    </row>
    <row r="1121" spans="1:20">
      <c r="A1121" s="55">
        <v>130508519393</v>
      </c>
      <c r="B1121" s="53" t="s">
        <v>2386</v>
      </c>
      <c r="C1121" s="54">
        <v>45954</v>
      </c>
      <c r="D1121" s="55">
        <v>52102751371</v>
      </c>
      <c r="E1121" s="55">
        <v>2103076381268</v>
      </c>
      <c r="F1121" s="56" t="s">
        <v>2401</v>
      </c>
      <c r="G1121" s="56" t="s">
        <v>2388</v>
      </c>
      <c r="H1121" s="56" t="s">
        <v>8</v>
      </c>
      <c r="I1121" s="55" t="s">
        <v>8</v>
      </c>
      <c r="J1121" s="57">
        <v>597.36</v>
      </c>
      <c r="K1121" s="56" t="s">
        <v>2389</v>
      </c>
      <c r="L1121" s="56" t="s">
        <v>2402</v>
      </c>
      <c r="M1121" s="55" t="s">
        <v>2391</v>
      </c>
      <c r="N1121" s="56" t="s">
        <v>2392</v>
      </c>
      <c r="O1121" s="53" t="s">
        <v>2055</v>
      </c>
      <c r="P1121" s="56" t="s">
        <v>2403</v>
      </c>
      <c r="Q1121" s="57">
        <v>15200</v>
      </c>
      <c r="R1121" s="58" t="s">
        <v>8</v>
      </c>
      <c r="S1121" s="57" t="s">
        <v>8</v>
      </c>
      <c r="T1121" s="56" t="s">
        <v>2394</v>
      </c>
    </row>
    <row r="1122" spans="1:20">
      <c r="A1122" s="55">
        <v>130508644291</v>
      </c>
      <c r="B1122" s="53" t="s">
        <v>2386</v>
      </c>
      <c r="C1122" s="54">
        <v>45954</v>
      </c>
      <c r="D1122" s="55">
        <v>52102779219</v>
      </c>
      <c r="E1122" s="55">
        <v>2103076776780</v>
      </c>
      <c r="F1122" s="56" t="s">
        <v>2387</v>
      </c>
      <c r="G1122" s="56" t="s">
        <v>2388</v>
      </c>
      <c r="H1122" s="56" t="s">
        <v>8</v>
      </c>
      <c r="I1122" s="55" t="s">
        <v>8</v>
      </c>
      <c r="J1122" s="57">
        <v>313.31</v>
      </c>
      <c r="K1122" s="56" t="s">
        <v>2389</v>
      </c>
      <c r="L1122" s="56" t="s">
        <v>2390</v>
      </c>
      <c r="M1122" s="55" t="s">
        <v>2391</v>
      </c>
      <c r="N1122" s="56" t="s">
        <v>2392</v>
      </c>
      <c r="O1122" s="53" t="s">
        <v>8</v>
      </c>
      <c r="P1122" s="56" t="s">
        <v>2837</v>
      </c>
      <c r="Q1122" s="57">
        <v>32300</v>
      </c>
      <c r="R1122" s="58" t="s">
        <v>8</v>
      </c>
      <c r="S1122" s="57" t="s">
        <v>8</v>
      </c>
      <c r="T1122" s="56" t="s">
        <v>2394</v>
      </c>
    </row>
    <row r="1123" spans="1:20">
      <c r="A1123" s="55">
        <v>130508658823</v>
      </c>
      <c r="B1123" s="53" t="s">
        <v>2386</v>
      </c>
      <c r="C1123" s="54">
        <v>45954</v>
      </c>
      <c r="D1123" s="55">
        <v>52102800691</v>
      </c>
      <c r="E1123" s="55">
        <v>2103077347694</v>
      </c>
      <c r="F1123" s="56" t="s">
        <v>2387</v>
      </c>
      <c r="G1123" s="56" t="s">
        <v>2388</v>
      </c>
      <c r="H1123" s="56" t="s">
        <v>8</v>
      </c>
      <c r="I1123" s="55" t="s">
        <v>8</v>
      </c>
      <c r="J1123" s="57">
        <v>186.24</v>
      </c>
      <c r="K1123" s="56" t="s">
        <v>2389</v>
      </c>
      <c r="L1123" s="56" t="s">
        <v>2390</v>
      </c>
      <c r="M1123" s="55" t="s">
        <v>2391</v>
      </c>
      <c r="N1123" s="56" t="s">
        <v>2392</v>
      </c>
      <c r="O1123" s="53" t="s">
        <v>8</v>
      </c>
      <c r="P1123" s="56" t="s">
        <v>2838</v>
      </c>
      <c r="Q1123" s="57">
        <v>19200</v>
      </c>
      <c r="R1123" s="58" t="s">
        <v>8</v>
      </c>
      <c r="S1123" s="57" t="s">
        <v>8</v>
      </c>
      <c r="T1123" s="56" t="s">
        <v>2394</v>
      </c>
    </row>
    <row r="1124" spans="1:20">
      <c r="A1124" s="55">
        <v>130508778187</v>
      </c>
      <c r="B1124" s="53" t="s">
        <v>2386</v>
      </c>
      <c r="C1124" s="54">
        <v>45954</v>
      </c>
      <c r="D1124" s="55">
        <v>52102832392</v>
      </c>
      <c r="E1124" s="55">
        <v>2102996959827</v>
      </c>
      <c r="F1124" s="56" t="s">
        <v>2387</v>
      </c>
      <c r="G1124" s="56" t="s">
        <v>2388</v>
      </c>
      <c r="H1124" s="56" t="s">
        <v>8</v>
      </c>
      <c r="I1124" s="55" t="s">
        <v>8</v>
      </c>
      <c r="J1124" s="57">
        <v>1812.93</v>
      </c>
      <c r="K1124" s="56" t="s">
        <v>2389</v>
      </c>
      <c r="L1124" s="56" t="s">
        <v>2390</v>
      </c>
      <c r="M1124" s="55" t="s">
        <v>2391</v>
      </c>
      <c r="N1124" s="56" t="s">
        <v>2392</v>
      </c>
      <c r="O1124" s="53" t="s">
        <v>8</v>
      </c>
      <c r="P1124" s="56" t="s">
        <v>2839</v>
      </c>
      <c r="Q1124" s="57">
        <v>186900</v>
      </c>
      <c r="R1124" s="58" t="s">
        <v>8</v>
      </c>
      <c r="S1124" s="57" t="s">
        <v>8</v>
      </c>
      <c r="T1124" s="56" t="s">
        <v>2394</v>
      </c>
    </row>
    <row r="1125" spans="1:20">
      <c r="A1125" s="55">
        <v>131095221900</v>
      </c>
      <c r="B1125" s="53" t="s">
        <v>2386</v>
      </c>
      <c r="C1125" s="54">
        <v>45954</v>
      </c>
      <c r="D1125" s="55">
        <v>52102868846</v>
      </c>
      <c r="E1125" s="55">
        <v>2103078398198</v>
      </c>
      <c r="F1125" s="56" t="s">
        <v>2387</v>
      </c>
      <c r="G1125" s="56" t="s">
        <v>2388</v>
      </c>
      <c r="H1125" s="56" t="s">
        <v>8</v>
      </c>
      <c r="I1125" s="55" t="s">
        <v>8</v>
      </c>
      <c r="J1125" s="57">
        <v>146.47</v>
      </c>
      <c r="K1125" s="56" t="s">
        <v>2389</v>
      </c>
      <c r="L1125" s="56" t="s">
        <v>2390</v>
      </c>
      <c r="M1125" s="55" t="s">
        <v>2391</v>
      </c>
      <c r="N1125" s="56" t="s">
        <v>2392</v>
      </c>
      <c r="O1125" s="53" t="s">
        <v>8</v>
      </c>
      <c r="P1125" s="56" t="s">
        <v>2840</v>
      </c>
      <c r="Q1125" s="57">
        <v>15100</v>
      </c>
      <c r="R1125" s="58" t="s">
        <v>8</v>
      </c>
      <c r="S1125" s="57" t="s">
        <v>8</v>
      </c>
      <c r="T1125" s="56" t="s">
        <v>2394</v>
      </c>
    </row>
    <row r="1126" spans="1:20">
      <c r="A1126" s="55">
        <v>131095368770</v>
      </c>
      <c r="B1126" s="53" t="s">
        <v>2386</v>
      </c>
      <c r="C1126" s="54">
        <v>45954</v>
      </c>
      <c r="D1126" s="55">
        <v>52102915925</v>
      </c>
      <c r="E1126" s="55">
        <v>2103079123024</v>
      </c>
      <c r="F1126" s="56" t="s">
        <v>2401</v>
      </c>
      <c r="G1126" s="56" t="s">
        <v>2388</v>
      </c>
      <c r="H1126" s="56" t="s">
        <v>8</v>
      </c>
      <c r="I1126" s="55" t="s">
        <v>8</v>
      </c>
      <c r="J1126" s="57">
        <v>467.67</v>
      </c>
      <c r="K1126" s="56" t="s">
        <v>2389</v>
      </c>
      <c r="L1126" s="56" t="s">
        <v>2402</v>
      </c>
      <c r="M1126" s="55" t="s">
        <v>2391</v>
      </c>
      <c r="N1126" s="56" t="s">
        <v>2392</v>
      </c>
      <c r="O1126" s="53" t="s">
        <v>2055</v>
      </c>
      <c r="P1126" s="56" t="s">
        <v>2403</v>
      </c>
      <c r="Q1126" s="57">
        <v>11900</v>
      </c>
      <c r="R1126" s="58" t="s">
        <v>8</v>
      </c>
      <c r="S1126" s="57" t="s">
        <v>8</v>
      </c>
      <c r="T1126" s="56" t="s">
        <v>2394</v>
      </c>
    </row>
    <row r="1127" spans="1:20">
      <c r="A1127" s="55">
        <v>130508847989</v>
      </c>
      <c r="B1127" s="53" t="s">
        <v>2386</v>
      </c>
      <c r="C1127" s="54">
        <v>45954</v>
      </c>
      <c r="D1127" s="55">
        <v>52102933735</v>
      </c>
      <c r="E1127" s="55">
        <v>2102999149455</v>
      </c>
      <c r="F1127" s="56" t="s">
        <v>2387</v>
      </c>
      <c r="G1127" s="56" t="s">
        <v>2388</v>
      </c>
      <c r="H1127" s="56" t="s">
        <v>8</v>
      </c>
      <c r="I1127" s="55" t="s">
        <v>8</v>
      </c>
      <c r="J1127" s="57">
        <v>186.73</v>
      </c>
      <c r="K1127" s="56" t="s">
        <v>2389</v>
      </c>
      <c r="L1127" s="56" t="s">
        <v>2390</v>
      </c>
      <c r="M1127" s="55" t="s">
        <v>2391</v>
      </c>
      <c r="N1127" s="56" t="s">
        <v>2392</v>
      </c>
      <c r="O1127" s="53" t="s">
        <v>8</v>
      </c>
      <c r="P1127" s="56" t="s">
        <v>2841</v>
      </c>
      <c r="Q1127" s="57">
        <v>19250</v>
      </c>
      <c r="R1127" s="58" t="s">
        <v>8</v>
      </c>
      <c r="S1127" s="57" t="s">
        <v>8</v>
      </c>
      <c r="T1127" s="56" t="s">
        <v>2394</v>
      </c>
    </row>
    <row r="1128" spans="1:20">
      <c r="A1128" s="55">
        <v>131095375852</v>
      </c>
      <c r="B1128" s="53" t="s">
        <v>2386</v>
      </c>
      <c r="C1128" s="54">
        <v>45954</v>
      </c>
      <c r="D1128" s="55">
        <v>52102943330</v>
      </c>
      <c r="E1128" s="55">
        <v>2103080192608</v>
      </c>
      <c r="F1128" s="56" t="s">
        <v>2387</v>
      </c>
      <c r="G1128" s="56" t="s">
        <v>2388</v>
      </c>
      <c r="H1128" s="56" t="s">
        <v>8</v>
      </c>
      <c r="I1128" s="55" t="s">
        <v>8</v>
      </c>
      <c r="J1128" s="57">
        <v>232.8</v>
      </c>
      <c r="K1128" s="56" t="s">
        <v>2389</v>
      </c>
      <c r="L1128" s="56" t="s">
        <v>2390</v>
      </c>
      <c r="M1128" s="55" t="s">
        <v>2391</v>
      </c>
      <c r="N1128" s="56" t="s">
        <v>2392</v>
      </c>
      <c r="O1128" s="53" t="s">
        <v>8</v>
      </c>
      <c r="P1128" s="56" t="s">
        <v>2842</v>
      </c>
      <c r="Q1128" s="57">
        <v>24000</v>
      </c>
      <c r="R1128" s="58" t="s">
        <v>8</v>
      </c>
      <c r="S1128" s="57" t="s">
        <v>8</v>
      </c>
      <c r="T1128" s="56" t="s">
        <v>2394</v>
      </c>
    </row>
    <row r="1129" spans="1:20">
      <c r="A1129" s="55">
        <v>130509236797</v>
      </c>
      <c r="B1129" s="53" t="s">
        <v>2386</v>
      </c>
      <c r="C1129" s="54">
        <v>45954</v>
      </c>
      <c r="D1129" s="55">
        <v>52103056168</v>
      </c>
      <c r="E1129" s="55">
        <v>2103001452705</v>
      </c>
      <c r="F1129" s="56" t="s">
        <v>2387</v>
      </c>
      <c r="G1129" s="56" t="s">
        <v>2388</v>
      </c>
      <c r="H1129" s="56" t="s">
        <v>8</v>
      </c>
      <c r="I1129" s="55" t="s">
        <v>8</v>
      </c>
      <c r="J1129" s="57">
        <v>79.540000000000006</v>
      </c>
      <c r="K1129" s="56" t="s">
        <v>2389</v>
      </c>
      <c r="L1129" s="56" t="s">
        <v>2390</v>
      </c>
      <c r="M1129" s="55" t="s">
        <v>2391</v>
      </c>
      <c r="N1129" s="56" t="s">
        <v>2392</v>
      </c>
      <c r="O1129" s="53" t="s">
        <v>8</v>
      </c>
      <c r="P1129" s="56" t="s">
        <v>2843</v>
      </c>
      <c r="Q1129" s="57">
        <v>8200</v>
      </c>
      <c r="R1129" s="58" t="s">
        <v>8</v>
      </c>
      <c r="S1129" s="57" t="s">
        <v>8</v>
      </c>
      <c r="T1129" s="56" t="s">
        <v>2394</v>
      </c>
    </row>
    <row r="1130" spans="1:20">
      <c r="A1130" s="55">
        <v>131095647968</v>
      </c>
      <c r="B1130" s="53" t="s">
        <v>2386</v>
      </c>
      <c r="C1130" s="54">
        <v>45954</v>
      </c>
      <c r="D1130" s="55">
        <v>52103094264</v>
      </c>
      <c r="E1130" s="55">
        <v>2103002185607</v>
      </c>
      <c r="F1130" s="56" t="s">
        <v>2387</v>
      </c>
      <c r="G1130" s="56" t="s">
        <v>2388</v>
      </c>
      <c r="H1130" s="56" t="s">
        <v>8</v>
      </c>
      <c r="I1130" s="55" t="s">
        <v>8</v>
      </c>
      <c r="J1130" s="57">
        <v>160.05000000000001</v>
      </c>
      <c r="K1130" s="56" t="s">
        <v>2389</v>
      </c>
      <c r="L1130" s="56" t="s">
        <v>2390</v>
      </c>
      <c r="M1130" s="55" t="s">
        <v>2391</v>
      </c>
      <c r="N1130" s="56" t="s">
        <v>2392</v>
      </c>
      <c r="O1130" s="53" t="s">
        <v>8</v>
      </c>
      <c r="P1130" s="56" t="s">
        <v>2693</v>
      </c>
      <c r="Q1130" s="57">
        <v>16500</v>
      </c>
      <c r="R1130" s="58" t="s">
        <v>8</v>
      </c>
      <c r="S1130" s="57" t="s">
        <v>8</v>
      </c>
      <c r="T1130" s="56" t="s">
        <v>2394</v>
      </c>
    </row>
    <row r="1131" spans="1:20">
      <c r="A1131" s="55">
        <v>131095954450</v>
      </c>
      <c r="B1131" s="53" t="s">
        <v>2386</v>
      </c>
      <c r="C1131" s="54">
        <v>45954</v>
      </c>
      <c r="D1131" s="55">
        <v>52103127623</v>
      </c>
      <c r="E1131" s="55">
        <v>2103003083807</v>
      </c>
      <c r="F1131" s="56" t="s">
        <v>2401</v>
      </c>
      <c r="G1131" s="56" t="s">
        <v>2388</v>
      </c>
      <c r="H1131" s="56" t="s">
        <v>8</v>
      </c>
      <c r="I1131" s="55" t="s">
        <v>8</v>
      </c>
      <c r="J1131" s="57">
        <v>966.78</v>
      </c>
      <c r="K1131" s="56" t="s">
        <v>2389</v>
      </c>
      <c r="L1131" s="56" t="s">
        <v>2402</v>
      </c>
      <c r="M1131" s="55" t="s">
        <v>2391</v>
      </c>
      <c r="N1131" s="56" t="s">
        <v>2392</v>
      </c>
      <c r="O1131" s="53" t="s">
        <v>2055</v>
      </c>
      <c r="P1131" s="56" t="s">
        <v>2403</v>
      </c>
      <c r="Q1131" s="57">
        <v>24600</v>
      </c>
      <c r="R1131" s="58" t="s">
        <v>8</v>
      </c>
      <c r="S1131" s="57" t="s">
        <v>8</v>
      </c>
      <c r="T1131" s="56" t="s">
        <v>2394</v>
      </c>
    </row>
    <row r="1132" spans="1:20">
      <c r="A1132" s="55">
        <v>130509464861</v>
      </c>
      <c r="B1132" s="53" t="s">
        <v>2386</v>
      </c>
      <c r="C1132" s="54">
        <v>45954</v>
      </c>
      <c r="D1132" s="55">
        <v>52103139128</v>
      </c>
      <c r="E1132" s="55">
        <v>2103084984424</v>
      </c>
      <c r="F1132" s="56" t="s">
        <v>2387</v>
      </c>
      <c r="G1132" s="56" t="s">
        <v>2388</v>
      </c>
      <c r="H1132" s="56" t="s">
        <v>8</v>
      </c>
      <c r="I1132" s="55" t="s">
        <v>8</v>
      </c>
      <c r="J1132" s="57">
        <v>85.36</v>
      </c>
      <c r="K1132" s="56" t="s">
        <v>2389</v>
      </c>
      <c r="L1132" s="56" t="s">
        <v>2390</v>
      </c>
      <c r="M1132" s="55" t="s">
        <v>2391</v>
      </c>
      <c r="N1132" s="56" t="s">
        <v>2392</v>
      </c>
      <c r="O1132" s="53" t="s">
        <v>8</v>
      </c>
      <c r="P1132" s="56" t="s">
        <v>2844</v>
      </c>
      <c r="Q1132" s="57">
        <v>8800</v>
      </c>
      <c r="R1132" s="58" t="s">
        <v>8</v>
      </c>
      <c r="S1132" s="57" t="s">
        <v>8</v>
      </c>
      <c r="T1132" s="56" t="s">
        <v>2394</v>
      </c>
    </row>
    <row r="1133" spans="1:20">
      <c r="A1133" s="55">
        <v>130509481677</v>
      </c>
      <c r="B1133" s="53" t="s">
        <v>2386</v>
      </c>
      <c r="C1133" s="54">
        <v>45954</v>
      </c>
      <c r="D1133" s="55">
        <v>52103194859</v>
      </c>
      <c r="E1133" s="55">
        <v>2103005228215</v>
      </c>
      <c r="F1133" s="56" t="s">
        <v>2387</v>
      </c>
      <c r="G1133" s="56" t="s">
        <v>2388</v>
      </c>
      <c r="H1133" s="56" t="s">
        <v>8</v>
      </c>
      <c r="I1133" s="55" t="s">
        <v>8</v>
      </c>
      <c r="J1133" s="57">
        <v>139.68</v>
      </c>
      <c r="K1133" s="56" t="s">
        <v>2389</v>
      </c>
      <c r="L1133" s="56" t="s">
        <v>2390</v>
      </c>
      <c r="M1133" s="55" t="s">
        <v>2391</v>
      </c>
      <c r="N1133" s="56" t="s">
        <v>2392</v>
      </c>
      <c r="O1133" s="53" t="s">
        <v>8</v>
      </c>
      <c r="P1133" s="56" t="s">
        <v>2845</v>
      </c>
      <c r="Q1133" s="57">
        <v>14400</v>
      </c>
      <c r="R1133" s="58" t="s">
        <v>8</v>
      </c>
      <c r="S1133" s="57" t="s">
        <v>8</v>
      </c>
      <c r="T1133" s="56" t="s">
        <v>2394</v>
      </c>
    </row>
    <row r="1134" spans="1:20">
      <c r="A1134" s="55">
        <v>131096089826</v>
      </c>
      <c r="B1134" s="53" t="s">
        <v>2386</v>
      </c>
      <c r="C1134" s="54">
        <v>45954</v>
      </c>
      <c r="D1134" s="55">
        <v>52103210533</v>
      </c>
      <c r="E1134" s="55">
        <v>2103087090712</v>
      </c>
      <c r="F1134" s="56" t="s">
        <v>2387</v>
      </c>
      <c r="G1134" s="56" t="s">
        <v>2388</v>
      </c>
      <c r="H1134" s="56" t="s">
        <v>8</v>
      </c>
      <c r="I1134" s="55" t="s">
        <v>8</v>
      </c>
      <c r="J1134" s="57">
        <v>93.12</v>
      </c>
      <c r="K1134" s="56" t="s">
        <v>2389</v>
      </c>
      <c r="L1134" s="56" t="s">
        <v>2390</v>
      </c>
      <c r="M1134" s="55" t="s">
        <v>2391</v>
      </c>
      <c r="N1134" s="56" t="s">
        <v>2392</v>
      </c>
      <c r="O1134" s="53" t="s">
        <v>8</v>
      </c>
      <c r="P1134" s="56" t="s">
        <v>2846</v>
      </c>
      <c r="Q1134" s="57">
        <v>9600</v>
      </c>
      <c r="R1134" s="58" t="s">
        <v>8</v>
      </c>
      <c r="S1134" s="57" t="s">
        <v>8</v>
      </c>
      <c r="T1134" s="56" t="s">
        <v>2394</v>
      </c>
    </row>
    <row r="1135" spans="1:20">
      <c r="A1135" s="55">
        <v>131096174768</v>
      </c>
      <c r="B1135" s="53" t="s">
        <v>2386</v>
      </c>
      <c r="C1135" s="54">
        <v>45954</v>
      </c>
      <c r="D1135" s="55">
        <v>52103226793</v>
      </c>
      <c r="E1135" s="55">
        <v>2103006158875</v>
      </c>
      <c r="F1135" s="56" t="s">
        <v>2387</v>
      </c>
      <c r="G1135" s="56" t="s">
        <v>2388</v>
      </c>
      <c r="H1135" s="56" t="s">
        <v>8</v>
      </c>
      <c r="I1135" s="55" t="s">
        <v>8</v>
      </c>
      <c r="J1135" s="57">
        <v>167.81</v>
      </c>
      <c r="K1135" s="56" t="s">
        <v>2389</v>
      </c>
      <c r="L1135" s="56" t="s">
        <v>2390</v>
      </c>
      <c r="M1135" s="55" t="s">
        <v>2391</v>
      </c>
      <c r="N1135" s="56" t="s">
        <v>2392</v>
      </c>
      <c r="O1135" s="53" t="s">
        <v>8</v>
      </c>
      <c r="P1135" s="56" t="s">
        <v>2692</v>
      </c>
      <c r="Q1135" s="57">
        <v>17300</v>
      </c>
      <c r="R1135" s="58" t="s">
        <v>8</v>
      </c>
      <c r="S1135" s="57" t="s">
        <v>8</v>
      </c>
      <c r="T1135" s="56" t="s">
        <v>2394</v>
      </c>
    </row>
    <row r="1136" spans="1:20">
      <c r="A1136" s="55">
        <v>131096234866</v>
      </c>
      <c r="B1136" s="53" t="s">
        <v>2386</v>
      </c>
      <c r="C1136" s="54">
        <v>45954</v>
      </c>
      <c r="D1136" s="55">
        <v>52103255689</v>
      </c>
      <c r="E1136" s="55">
        <v>2103088392528</v>
      </c>
      <c r="F1136" s="56" t="s">
        <v>2387</v>
      </c>
      <c r="G1136" s="56" t="s">
        <v>2388</v>
      </c>
      <c r="H1136" s="56" t="s">
        <v>8</v>
      </c>
      <c r="I1136" s="55" t="s">
        <v>8</v>
      </c>
      <c r="J1136" s="57">
        <v>77.599999999999994</v>
      </c>
      <c r="K1136" s="56" t="s">
        <v>2389</v>
      </c>
      <c r="L1136" s="56" t="s">
        <v>2390</v>
      </c>
      <c r="M1136" s="55" t="s">
        <v>2391</v>
      </c>
      <c r="N1136" s="56" t="s">
        <v>2392</v>
      </c>
      <c r="O1136" s="53" t="s">
        <v>8</v>
      </c>
      <c r="P1136" s="56" t="s">
        <v>2847</v>
      </c>
      <c r="Q1136" s="57">
        <v>8000</v>
      </c>
      <c r="R1136" s="58" t="s">
        <v>8</v>
      </c>
      <c r="S1136" s="57" t="s">
        <v>8</v>
      </c>
      <c r="T1136" s="56" t="s">
        <v>2394</v>
      </c>
    </row>
    <row r="1137" spans="1:20">
      <c r="A1137" s="55">
        <v>130509962431</v>
      </c>
      <c r="B1137" s="53" t="s">
        <v>2386</v>
      </c>
      <c r="C1137" s="54">
        <v>45954</v>
      </c>
      <c r="D1137" s="55">
        <v>52103296733</v>
      </c>
      <c r="E1137" s="55">
        <v>2103089756284</v>
      </c>
      <c r="F1137" s="56" t="s">
        <v>2411</v>
      </c>
      <c r="G1137" s="56" t="s">
        <v>2388</v>
      </c>
      <c r="H1137" s="56" t="s">
        <v>8</v>
      </c>
      <c r="I1137" s="55" t="s">
        <v>8</v>
      </c>
      <c r="J1137" s="57">
        <v>46.56</v>
      </c>
      <c r="K1137" s="56" t="s">
        <v>2389</v>
      </c>
      <c r="L1137" s="56" t="s">
        <v>2390</v>
      </c>
      <c r="M1137" s="55" t="s">
        <v>2391</v>
      </c>
      <c r="N1137" s="56" t="s">
        <v>2392</v>
      </c>
      <c r="O1137" s="53" t="s">
        <v>8</v>
      </c>
      <c r="P1137" s="56" t="s">
        <v>2412</v>
      </c>
      <c r="Q1137" s="57">
        <v>4800</v>
      </c>
      <c r="R1137" s="58" t="s">
        <v>8</v>
      </c>
      <c r="S1137" s="57" t="s">
        <v>8</v>
      </c>
      <c r="T1137" s="56" t="s">
        <v>8</v>
      </c>
    </row>
    <row r="1138" spans="1:20">
      <c r="A1138" s="55">
        <v>131096730214</v>
      </c>
      <c r="B1138" s="53" t="s">
        <v>2386</v>
      </c>
      <c r="C1138" s="54">
        <v>45954</v>
      </c>
      <c r="D1138" s="55">
        <v>52103324154</v>
      </c>
      <c r="E1138" s="55">
        <v>2103091903106</v>
      </c>
      <c r="F1138" s="56" t="s">
        <v>2387</v>
      </c>
      <c r="G1138" s="56" t="s">
        <v>2388</v>
      </c>
      <c r="H1138" s="56" t="s">
        <v>8</v>
      </c>
      <c r="I1138" s="55" t="s">
        <v>8</v>
      </c>
      <c r="J1138" s="57">
        <v>46.56</v>
      </c>
      <c r="K1138" s="56" t="s">
        <v>2389</v>
      </c>
      <c r="L1138" s="56" t="s">
        <v>2390</v>
      </c>
      <c r="M1138" s="55" t="s">
        <v>2391</v>
      </c>
      <c r="N1138" s="56" t="s">
        <v>2392</v>
      </c>
      <c r="O1138" s="53" t="s">
        <v>8</v>
      </c>
      <c r="P1138" s="56" t="s">
        <v>2846</v>
      </c>
      <c r="Q1138" s="57">
        <v>4800</v>
      </c>
      <c r="R1138" s="58" t="s">
        <v>8</v>
      </c>
      <c r="S1138" s="57" t="s">
        <v>8</v>
      </c>
      <c r="T1138" s="56" t="s">
        <v>2394</v>
      </c>
    </row>
    <row r="1139" spans="1:20">
      <c r="A1139" s="55">
        <v>131096447346</v>
      </c>
      <c r="B1139" s="53" t="s">
        <v>2386</v>
      </c>
      <c r="C1139" s="54">
        <v>45954</v>
      </c>
      <c r="D1139" s="55">
        <v>52103326295</v>
      </c>
      <c r="E1139" s="55">
        <v>2103090841888</v>
      </c>
      <c r="F1139" s="56" t="s">
        <v>2387</v>
      </c>
      <c r="G1139" s="56" t="s">
        <v>2388</v>
      </c>
      <c r="H1139" s="56" t="s">
        <v>8</v>
      </c>
      <c r="I1139" s="55" t="s">
        <v>8</v>
      </c>
      <c r="J1139" s="57">
        <v>156.16999999999999</v>
      </c>
      <c r="K1139" s="56" t="s">
        <v>2389</v>
      </c>
      <c r="L1139" s="56" t="s">
        <v>2390</v>
      </c>
      <c r="M1139" s="55" t="s">
        <v>2391</v>
      </c>
      <c r="N1139" s="56" t="s">
        <v>2392</v>
      </c>
      <c r="O1139" s="53" t="s">
        <v>8</v>
      </c>
      <c r="P1139" s="56" t="s">
        <v>2848</v>
      </c>
      <c r="Q1139" s="57">
        <v>16100</v>
      </c>
      <c r="R1139" s="58" t="s">
        <v>8</v>
      </c>
      <c r="S1139" s="57" t="s">
        <v>8</v>
      </c>
      <c r="T1139" s="56" t="s">
        <v>2394</v>
      </c>
    </row>
    <row r="1140" spans="1:20">
      <c r="A1140" s="55">
        <v>130510019279</v>
      </c>
      <c r="B1140" s="53" t="s">
        <v>2386</v>
      </c>
      <c r="C1140" s="54">
        <v>45954</v>
      </c>
      <c r="D1140" s="55">
        <v>52103347329</v>
      </c>
      <c r="E1140" s="55">
        <v>2103091286328</v>
      </c>
      <c r="F1140" s="56" t="s">
        <v>2401</v>
      </c>
      <c r="G1140" s="56" t="s">
        <v>2388</v>
      </c>
      <c r="H1140" s="56" t="s">
        <v>8</v>
      </c>
      <c r="I1140" s="55" t="s">
        <v>8</v>
      </c>
      <c r="J1140" s="57">
        <v>217.92</v>
      </c>
      <c r="K1140" s="56" t="s">
        <v>2389</v>
      </c>
      <c r="L1140" s="56" t="s">
        <v>2402</v>
      </c>
      <c r="M1140" s="55" t="s">
        <v>2391</v>
      </c>
      <c r="N1140" s="56" t="s">
        <v>2392</v>
      </c>
      <c r="O1140" s="53" t="s">
        <v>2055</v>
      </c>
      <c r="P1140" s="56" t="s">
        <v>2403</v>
      </c>
      <c r="Q1140" s="57">
        <v>4800</v>
      </c>
      <c r="R1140" s="58" t="s">
        <v>8</v>
      </c>
      <c r="S1140" s="57" t="s">
        <v>8</v>
      </c>
      <c r="T1140" s="56" t="s">
        <v>2394</v>
      </c>
    </row>
    <row r="1141" spans="1:20">
      <c r="A1141" s="55">
        <v>131096867212</v>
      </c>
      <c r="B1141" s="53" t="s">
        <v>2386</v>
      </c>
      <c r="C1141" s="54">
        <v>45954</v>
      </c>
      <c r="D1141" s="55">
        <v>52103469039</v>
      </c>
      <c r="E1141" s="55">
        <v>2103095546052</v>
      </c>
      <c r="F1141" s="56" t="s">
        <v>2411</v>
      </c>
      <c r="G1141" s="56" t="s">
        <v>2388</v>
      </c>
      <c r="H1141" s="56" t="s">
        <v>8</v>
      </c>
      <c r="I1141" s="55" t="s">
        <v>8</v>
      </c>
      <c r="J1141" s="57">
        <v>46.56</v>
      </c>
      <c r="K1141" s="56" t="s">
        <v>2389</v>
      </c>
      <c r="L1141" s="56" t="s">
        <v>2390</v>
      </c>
      <c r="M1141" s="55" t="s">
        <v>2391</v>
      </c>
      <c r="N1141" s="56" t="s">
        <v>2392</v>
      </c>
      <c r="O1141" s="53" t="s">
        <v>8</v>
      </c>
      <c r="P1141" s="56" t="s">
        <v>2412</v>
      </c>
      <c r="Q1141" s="57">
        <v>4800</v>
      </c>
      <c r="R1141" s="58" t="s">
        <v>8</v>
      </c>
      <c r="S1141" s="57" t="s">
        <v>8</v>
      </c>
      <c r="T1141" s="56" t="s">
        <v>8</v>
      </c>
    </row>
    <row r="1142" spans="1:20">
      <c r="A1142" s="55">
        <v>131097041416</v>
      </c>
      <c r="B1142" s="53" t="s">
        <v>2386</v>
      </c>
      <c r="C1142" s="54">
        <v>45954</v>
      </c>
      <c r="D1142" s="55">
        <v>52103534343</v>
      </c>
      <c r="E1142" s="55">
        <v>2103016075403</v>
      </c>
      <c r="F1142" s="56" t="s">
        <v>2387</v>
      </c>
      <c r="G1142" s="56" t="s">
        <v>2388</v>
      </c>
      <c r="H1142" s="56" t="s">
        <v>8</v>
      </c>
      <c r="I1142" s="55" t="s">
        <v>8</v>
      </c>
      <c r="J1142" s="57">
        <v>889.49</v>
      </c>
      <c r="K1142" s="56" t="s">
        <v>2389</v>
      </c>
      <c r="L1142" s="56" t="s">
        <v>2390</v>
      </c>
      <c r="M1142" s="55" t="s">
        <v>2391</v>
      </c>
      <c r="N1142" s="56" t="s">
        <v>2392</v>
      </c>
      <c r="O1142" s="53" t="s">
        <v>8</v>
      </c>
      <c r="P1142" s="56" t="s">
        <v>2849</v>
      </c>
      <c r="Q1142" s="57">
        <v>91700</v>
      </c>
      <c r="R1142" s="58" t="s">
        <v>8</v>
      </c>
      <c r="S1142" s="57" t="s">
        <v>8</v>
      </c>
      <c r="T1142" s="56" t="s">
        <v>2394</v>
      </c>
    </row>
    <row r="1143" spans="1:20">
      <c r="A1143" s="55">
        <v>131097201364</v>
      </c>
      <c r="B1143" s="53" t="s">
        <v>2386</v>
      </c>
      <c r="C1143" s="54">
        <v>45954</v>
      </c>
      <c r="D1143" s="55">
        <v>52103548243</v>
      </c>
      <c r="E1143" s="55">
        <v>2103017520803</v>
      </c>
      <c r="F1143" s="56" t="s">
        <v>2411</v>
      </c>
      <c r="G1143" s="56" t="s">
        <v>2388</v>
      </c>
      <c r="H1143" s="56" t="s">
        <v>8</v>
      </c>
      <c r="I1143" s="55" t="s">
        <v>8</v>
      </c>
      <c r="J1143" s="57">
        <v>46.56</v>
      </c>
      <c r="K1143" s="56" t="s">
        <v>2389</v>
      </c>
      <c r="L1143" s="56" t="s">
        <v>2390</v>
      </c>
      <c r="M1143" s="55" t="s">
        <v>2391</v>
      </c>
      <c r="N1143" s="56" t="s">
        <v>2392</v>
      </c>
      <c r="O1143" s="53" t="s">
        <v>8</v>
      </c>
      <c r="P1143" s="56" t="s">
        <v>2412</v>
      </c>
      <c r="Q1143" s="57">
        <v>4800</v>
      </c>
      <c r="R1143" s="58" t="s">
        <v>8</v>
      </c>
      <c r="S1143" s="57" t="s">
        <v>8</v>
      </c>
      <c r="T1143" s="56" t="s">
        <v>8</v>
      </c>
    </row>
    <row r="1144" spans="1:20">
      <c r="A1144" s="55">
        <v>130510713801</v>
      </c>
      <c r="B1144" s="53" t="s">
        <v>2386</v>
      </c>
      <c r="C1144" s="54">
        <v>45954</v>
      </c>
      <c r="D1144" s="55">
        <v>52103584315</v>
      </c>
      <c r="E1144" s="55">
        <v>2103100421426</v>
      </c>
      <c r="F1144" s="56" t="s">
        <v>2387</v>
      </c>
      <c r="G1144" s="56" t="s">
        <v>2388</v>
      </c>
      <c r="H1144" s="56" t="s">
        <v>8</v>
      </c>
      <c r="I1144" s="55" t="s">
        <v>8</v>
      </c>
      <c r="J1144" s="57">
        <v>46.56</v>
      </c>
      <c r="K1144" s="56" t="s">
        <v>2389</v>
      </c>
      <c r="L1144" s="56" t="s">
        <v>2390</v>
      </c>
      <c r="M1144" s="55" t="s">
        <v>2391</v>
      </c>
      <c r="N1144" s="56" t="s">
        <v>2392</v>
      </c>
      <c r="O1144" s="53" t="s">
        <v>8</v>
      </c>
      <c r="P1144" s="56" t="s">
        <v>2643</v>
      </c>
      <c r="Q1144" s="57">
        <v>4800</v>
      </c>
      <c r="R1144" s="58" t="s">
        <v>8</v>
      </c>
      <c r="S1144" s="57" t="s">
        <v>8</v>
      </c>
      <c r="T1144" s="56" t="s">
        <v>2394</v>
      </c>
    </row>
    <row r="1145" spans="1:20">
      <c r="A1145" s="55">
        <v>130510711625</v>
      </c>
      <c r="B1145" s="53" t="s">
        <v>2386</v>
      </c>
      <c r="C1145" s="54">
        <v>45954</v>
      </c>
      <c r="D1145" s="55">
        <v>52103598771</v>
      </c>
      <c r="E1145" s="55">
        <v>2103100418528</v>
      </c>
      <c r="F1145" s="56" t="s">
        <v>2387</v>
      </c>
      <c r="G1145" s="56" t="s">
        <v>2388</v>
      </c>
      <c r="H1145" s="56" t="s">
        <v>8</v>
      </c>
      <c r="I1145" s="55" t="s">
        <v>8</v>
      </c>
      <c r="J1145" s="57">
        <v>83.42</v>
      </c>
      <c r="K1145" s="56" t="s">
        <v>2389</v>
      </c>
      <c r="L1145" s="56" t="s">
        <v>2390</v>
      </c>
      <c r="M1145" s="55" t="s">
        <v>2391</v>
      </c>
      <c r="N1145" s="56" t="s">
        <v>2392</v>
      </c>
      <c r="O1145" s="53" t="s">
        <v>8</v>
      </c>
      <c r="P1145" s="56" t="s">
        <v>2850</v>
      </c>
      <c r="Q1145" s="57">
        <v>8600</v>
      </c>
      <c r="R1145" s="58" t="s">
        <v>8</v>
      </c>
      <c r="S1145" s="57" t="s">
        <v>8</v>
      </c>
      <c r="T1145" s="56" t="s">
        <v>2394</v>
      </c>
    </row>
    <row r="1146" spans="1:20">
      <c r="A1146" s="55">
        <v>130511034159</v>
      </c>
      <c r="B1146" s="53" t="s">
        <v>2386</v>
      </c>
      <c r="C1146" s="54">
        <v>45954</v>
      </c>
      <c r="D1146" s="55">
        <v>52103629401</v>
      </c>
      <c r="E1146" s="55">
        <v>2103020186395</v>
      </c>
      <c r="F1146" s="56" t="s">
        <v>2401</v>
      </c>
      <c r="G1146" s="56" t="s">
        <v>2388</v>
      </c>
      <c r="H1146" s="56" t="s">
        <v>8</v>
      </c>
      <c r="I1146" s="55" t="s">
        <v>8</v>
      </c>
      <c r="J1146" s="57">
        <v>1305.25</v>
      </c>
      <c r="K1146" s="56" t="s">
        <v>2389</v>
      </c>
      <c r="L1146" s="56" t="s">
        <v>2402</v>
      </c>
      <c r="M1146" s="55" t="s">
        <v>2391</v>
      </c>
      <c r="N1146" s="56" t="s">
        <v>2392</v>
      </c>
      <c r="O1146" s="53" t="s">
        <v>2055</v>
      </c>
      <c r="P1146" s="56" t="s">
        <v>2403</v>
      </c>
      <c r="Q1146" s="57">
        <v>28750</v>
      </c>
      <c r="R1146" s="58" t="s">
        <v>8</v>
      </c>
      <c r="S1146" s="57" t="s">
        <v>8</v>
      </c>
      <c r="T1146" s="56" t="s">
        <v>2394</v>
      </c>
    </row>
    <row r="1147" spans="1:20">
      <c r="A1147" s="55">
        <v>130511024259</v>
      </c>
      <c r="B1147" s="53" t="s">
        <v>2386</v>
      </c>
      <c r="C1147" s="54">
        <v>45954</v>
      </c>
      <c r="D1147" s="55">
        <v>52103639094</v>
      </c>
      <c r="E1147" s="55">
        <v>2103020472039</v>
      </c>
      <c r="F1147" s="56" t="s">
        <v>2387</v>
      </c>
      <c r="G1147" s="56" t="s">
        <v>2388</v>
      </c>
      <c r="H1147" s="56" t="s">
        <v>8</v>
      </c>
      <c r="I1147" s="55" t="s">
        <v>8</v>
      </c>
      <c r="J1147" s="57">
        <v>218.25</v>
      </c>
      <c r="K1147" s="56" t="s">
        <v>2389</v>
      </c>
      <c r="L1147" s="56" t="s">
        <v>2390</v>
      </c>
      <c r="M1147" s="55" t="s">
        <v>2391</v>
      </c>
      <c r="N1147" s="56" t="s">
        <v>2392</v>
      </c>
      <c r="O1147" s="53" t="s">
        <v>8</v>
      </c>
      <c r="P1147" s="56" t="s">
        <v>2851</v>
      </c>
      <c r="Q1147" s="57">
        <v>22500</v>
      </c>
      <c r="R1147" s="58" t="s">
        <v>8</v>
      </c>
      <c r="S1147" s="57" t="s">
        <v>8</v>
      </c>
      <c r="T1147" s="56" t="s">
        <v>2394</v>
      </c>
    </row>
    <row r="1148" spans="1:20">
      <c r="A1148" s="55">
        <v>131097471030</v>
      </c>
      <c r="B1148" s="53" t="s">
        <v>2386</v>
      </c>
      <c r="C1148" s="54">
        <v>45954</v>
      </c>
      <c r="D1148" s="55">
        <v>52103641901</v>
      </c>
      <c r="E1148" s="55">
        <v>2103021171203</v>
      </c>
      <c r="F1148" s="56" t="s">
        <v>2401</v>
      </c>
      <c r="G1148" s="56" t="s">
        <v>2388</v>
      </c>
      <c r="H1148" s="56" t="s">
        <v>8</v>
      </c>
      <c r="I1148" s="55" t="s">
        <v>8</v>
      </c>
      <c r="J1148" s="57">
        <v>1034.08</v>
      </c>
      <c r="K1148" s="56" t="s">
        <v>2389</v>
      </c>
      <c r="L1148" s="56" t="s">
        <v>2402</v>
      </c>
      <c r="M1148" s="55" t="s">
        <v>2391</v>
      </c>
      <c r="N1148" s="56" t="s">
        <v>2392</v>
      </c>
      <c r="O1148" s="53" t="s">
        <v>2055</v>
      </c>
      <c r="P1148" s="56" t="s">
        <v>2403</v>
      </c>
      <c r="Q1148" s="57">
        <v>9200</v>
      </c>
      <c r="R1148" s="58" t="s">
        <v>8</v>
      </c>
      <c r="S1148" s="57" t="s">
        <v>8</v>
      </c>
      <c r="T1148" s="56" t="s">
        <v>2394</v>
      </c>
    </row>
    <row r="1149" spans="1:20">
      <c r="A1149" s="55">
        <v>130510987923</v>
      </c>
      <c r="B1149" s="53" t="s">
        <v>2386</v>
      </c>
      <c r="C1149" s="54">
        <v>45954</v>
      </c>
      <c r="D1149" s="55">
        <v>52103661875</v>
      </c>
      <c r="E1149" s="55">
        <v>2103022665253</v>
      </c>
      <c r="F1149" s="56" t="s">
        <v>2401</v>
      </c>
      <c r="G1149" s="56" t="s">
        <v>2388</v>
      </c>
      <c r="H1149" s="56" t="s">
        <v>8</v>
      </c>
      <c r="I1149" s="55" t="s">
        <v>8</v>
      </c>
      <c r="J1149" s="57">
        <v>744.56</v>
      </c>
      <c r="K1149" s="56" t="s">
        <v>2389</v>
      </c>
      <c r="L1149" s="56" t="s">
        <v>2402</v>
      </c>
      <c r="M1149" s="55" t="s">
        <v>2391</v>
      </c>
      <c r="N1149" s="56" t="s">
        <v>2392</v>
      </c>
      <c r="O1149" s="53" t="s">
        <v>2055</v>
      </c>
      <c r="P1149" s="56" t="s">
        <v>2403</v>
      </c>
      <c r="Q1149" s="57">
        <v>16400</v>
      </c>
      <c r="R1149" s="58" t="s">
        <v>8</v>
      </c>
      <c r="S1149" s="57" t="s">
        <v>8</v>
      </c>
      <c r="T1149" s="56" t="s">
        <v>2394</v>
      </c>
    </row>
    <row r="1150" spans="1:20">
      <c r="A1150" s="55">
        <v>130510939873</v>
      </c>
      <c r="B1150" s="53" t="s">
        <v>2386</v>
      </c>
      <c r="C1150" s="54">
        <v>45954</v>
      </c>
      <c r="D1150" s="55">
        <v>52103665056</v>
      </c>
      <c r="E1150" s="55">
        <v>2103021408199</v>
      </c>
      <c r="F1150" s="56" t="s">
        <v>2401</v>
      </c>
      <c r="G1150" s="56" t="s">
        <v>2388</v>
      </c>
      <c r="H1150" s="56" t="s">
        <v>8</v>
      </c>
      <c r="I1150" s="55" t="s">
        <v>8</v>
      </c>
      <c r="J1150" s="57">
        <v>467.62</v>
      </c>
      <c r="K1150" s="56" t="s">
        <v>2389</v>
      </c>
      <c r="L1150" s="56" t="s">
        <v>2402</v>
      </c>
      <c r="M1150" s="55" t="s">
        <v>2391</v>
      </c>
      <c r="N1150" s="56" t="s">
        <v>2392</v>
      </c>
      <c r="O1150" s="53" t="s">
        <v>2055</v>
      </c>
      <c r="P1150" s="56" t="s">
        <v>2403</v>
      </c>
      <c r="Q1150" s="57">
        <v>10300</v>
      </c>
      <c r="R1150" s="58" t="s">
        <v>8</v>
      </c>
      <c r="S1150" s="57" t="s">
        <v>8</v>
      </c>
      <c r="T1150" s="56" t="s">
        <v>2394</v>
      </c>
    </row>
    <row r="1151" spans="1:20">
      <c r="A1151" s="55">
        <v>131097846962</v>
      </c>
      <c r="B1151" s="53" t="s">
        <v>2386</v>
      </c>
      <c r="C1151" s="54">
        <v>45954</v>
      </c>
      <c r="D1151" s="55">
        <v>52103732732</v>
      </c>
      <c r="E1151" s="55">
        <v>2103106264030</v>
      </c>
      <c r="F1151" s="56" t="s">
        <v>2387</v>
      </c>
      <c r="G1151" s="56" t="s">
        <v>2388</v>
      </c>
      <c r="H1151" s="56" t="s">
        <v>8</v>
      </c>
      <c r="I1151" s="55" t="s">
        <v>8</v>
      </c>
      <c r="J1151" s="57">
        <v>106.7</v>
      </c>
      <c r="K1151" s="56" t="s">
        <v>2389</v>
      </c>
      <c r="L1151" s="56" t="s">
        <v>2390</v>
      </c>
      <c r="M1151" s="55" t="s">
        <v>2391</v>
      </c>
      <c r="N1151" s="56" t="s">
        <v>2392</v>
      </c>
      <c r="O1151" s="53" t="s">
        <v>8</v>
      </c>
      <c r="P1151" s="56" t="s">
        <v>2852</v>
      </c>
      <c r="Q1151" s="57">
        <v>11000</v>
      </c>
      <c r="R1151" s="58" t="s">
        <v>8</v>
      </c>
      <c r="S1151" s="57" t="s">
        <v>8</v>
      </c>
      <c r="T1151" s="56" t="s">
        <v>2394</v>
      </c>
    </row>
    <row r="1152" spans="1:20">
      <c r="A1152" s="55">
        <v>130511115179</v>
      </c>
      <c r="B1152" s="53" t="s">
        <v>2386</v>
      </c>
      <c r="C1152" s="54">
        <v>45954</v>
      </c>
      <c r="D1152" s="55">
        <v>52103734816</v>
      </c>
      <c r="E1152" s="55">
        <v>2103104647574</v>
      </c>
      <c r="F1152" s="56" t="s">
        <v>2401</v>
      </c>
      <c r="G1152" s="56" t="s">
        <v>2388</v>
      </c>
      <c r="H1152" s="56" t="s">
        <v>8</v>
      </c>
      <c r="I1152" s="55" t="s">
        <v>8</v>
      </c>
      <c r="J1152" s="57">
        <v>681</v>
      </c>
      <c r="K1152" s="56" t="s">
        <v>2389</v>
      </c>
      <c r="L1152" s="56" t="s">
        <v>2402</v>
      </c>
      <c r="M1152" s="55" t="s">
        <v>2391</v>
      </c>
      <c r="N1152" s="56" t="s">
        <v>2392</v>
      </c>
      <c r="O1152" s="53" t="s">
        <v>2055</v>
      </c>
      <c r="P1152" s="56" t="s">
        <v>2403</v>
      </c>
      <c r="Q1152" s="57">
        <v>15000</v>
      </c>
      <c r="R1152" s="58" t="s">
        <v>8</v>
      </c>
      <c r="S1152" s="57" t="s">
        <v>8</v>
      </c>
      <c r="T1152" s="56" t="s">
        <v>2394</v>
      </c>
    </row>
    <row r="1153" spans="1:20">
      <c r="A1153" s="55">
        <v>130511316897</v>
      </c>
      <c r="B1153" s="53" t="s">
        <v>2386</v>
      </c>
      <c r="C1153" s="54">
        <v>45954</v>
      </c>
      <c r="D1153" s="55">
        <v>52103752514</v>
      </c>
      <c r="E1153" s="55">
        <v>2103024656801</v>
      </c>
      <c r="F1153" s="56" t="s">
        <v>2387</v>
      </c>
      <c r="G1153" s="56" t="s">
        <v>2388</v>
      </c>
      <c r="H1153" s="56" t="s">
        <v>8</v>
      </c>
      <c r="I1153" s="55" t="s">
        <v>8</v>
      </c>
      <c r="J1153" s="57">
        <v>236.68</v>
      </c>
      <c r="K1153" s="56" t="s">
        <v>2389</v>
      </c>
      <c r="L1153" s="56" t="s">
        <v>2390</v>
      </c>
      <c r="M1153" s="55" t="s">
        <v>2391</v>
      </c>
      <c r="N1153" s="56" t="s">
        <v>2392</v>
      </c>
      <c r="O1153" s="53" t="s">
        <v>8</v>
      </c>
      <c r="P1153" s="56" t="s">
        <v>2812</v>
      </c>
      <c r="Q1153" s="57">
        <v>24400</v>
      </c>
      <c r="R1153" s="58" t="s">
        <v>8</v>
      </c>
      <c r="S1153" s="57" t="s">
        <v>8</v>
      </c>
      <c r="T1153" s="56" t="s">
        <v>2394</v>
      </c>
    </row>
    <row r="1154" spans="1:20">
      <c r="A1154" s="55">
        <v>130511698427</v>
      </c>
      <c r="B1154" s="53" t="s">
        <v>2386</v>
      </c>
      <c r="C1154" s="54">
        <v>45954</v>
      </c>
      <c r="D1154" s="55">
        <v>52103897689</v>
      </c>
      <c r="E1154" s="55">
        <v>2103110308502</v>
      </c>
      <c r="F1154" s="56" t="s">
        <v>2387</v>
      </c>
      <c r="G1154" s="56" t="s">
        <v>2388</v>
      </c>
      <c r="H1154" s="56" t="s">
        <v>8</v>
      </c>
      <c r="I1154" s="55" t="s">
        <v>8</v>
      </c>
      <c r="J1154" s="57">
        <v>173.63</v>
      </c>
      <c r="K1154" s="56" t="s">
        <v>2389</v>
      </c>
      <c r="L1154" s="56" t="s">
        <v>2390</v>
      </c>
      <c r="M1154" s="55" t="s">
        <v>2391</v>
      </c>
      <c r="N1154" s="56" t="s">
        <v>2392</v>
      </c>
      <c r="O1154" s="53" t="s">
        <v>8</v>
      </c>
      <c r="P1154" s="56" t="s">
        <v>2817</v>
      </c>
      <c r="Q1154" s="57">
        <v>17900</v>
      </c>
      <c r="R1154" s="58" t="s">
        <v>8</v>
      </c>
      <c r="S1154" s="57" t="s">
        <v>8</v>
      </c>
      <c r="T1154" s="56" t="s">
        <v>2394</v>
      </c>
    </row>
    <row r="1155" spans="1:20">
      <c r="A1155" s="55">
        <v>131098306232</v>
      </c>
      <c r="B1155" s="53" t="s">
        <v>2386</v>
      </c>
      <c r="C1155" s="54">
        <v>45954</v>
      </c>
      <c r="D1155" s="55">
        <v>52103914402</v>
      </c>
      <c r="E1155" s="55">
        <v>2103029954113</v>
      </c>
      <c r="F1155" s="56" t="s">
        <v>2387</v>
      </c>
      <c r="G1155" s="56" t="s">
        <v>2388</v>
      </c>
      <c r="H1155" s="56" t="s">
        <v>8</v>
      </c>
      <c r="I1155" s="55" t="s">
        <v>8</v>
      </c>
      <c r="J1155" s="57">
        <v>711.98</v>
      </c>
      <c r="K1155" s="56" t="s">
        <v>2389</v>
      </c>
      <c r="L1155" s="56" t="s">
        <v>2390</v>
      </c>
      <c r="M1155" s="55" t="s">
        <v>2391</v>
      </c>
      <c r="N1155" s="56" t="s">
        <v>2392</v>
      </c>
      <c r="O1155" s="53" t="s">
        <v>8</v>
      </c>
      <c r="P1155" s="56" t="s">
        <v>2853</v>
      </c>
      <c r="Q1155" s="57">
        <v>73400</v>
      </c>
      <c r="R1155" s="58" t="s">
        <v>8</v>
      </c>
      <c r="S1155" s="57" t="s">
        <v>8</v>
      </c>
      <c r="T1155" s="56" t="s">
        <v>2394</v>
      </c>
    </row>
    <row r="1156" spans="1:20">
      <c r="A1156" s="55">
        <v>130511872803</v>
      </c>
      <c r="B1156" s="53" t="s">
        <v>2386</v>
      </c>
      <c r="C1156" s="54">
        <v>45954</v>
      </c>
      <c r="D1156" s="55">
        <v>52103939846</v>
      </c>
      <c r="E1156" s="55">
        <v>2103030758169</v>
      </c>
      <c r="F1156" s="56" t="s">
        <v>2387</v>
      </c>
      <c r="G1156" s="56" t="s">
        <v>2388</v>
      </c>
      <c r="H1156" s="56" t="s">
        <v>8</v>
      </c>
      <c r="I1156" s="55" t="s">
        <v>8</v>
      </c>
      <c r="J1156" s="57">
        <v>187.21</v>
      </c>
      <c r="K1156" s="56" t="s">
        <v>2389</v>
      </c>
      <c r="L1156" s="56" t="s">
        <v>2390</v>
      </c>
      <c r="M1156" s="55" t="s">
        <v>2391</v>
      </c>
      <c r="N1156" s="56" t="s">
        <v>2392</v>
      </c>
      <c r="O1156" s="53" t="s">
        <v>8</v>
      </c>
      <c r="P1156" s="56" t="s">
        <v>2825</v>
      </c>
      <c r="Q1156" s="57">
        <v>19300</v>
      </c>
      <c r="R1156" s="58" t="s">
        <v>8</v>
      </c>
      <c r="S1156" s="57" t="s">
        <v>8</v>
      </c>
      <c r="T1156" s="56" t="s">
        <v>2394</v>
      </c>
    </row>
    <row r="1157" spans="1:20">
      <c r="A1157" s="55">
        <v>131098312446</v>
      </c>
      <c r="B1157" s="53" t="s">
        <v>2386</v>
      </c>
      <c r="C1157" s="54">
        <v>45954</v>
      </c>
      <c r="D1157" s="55">
        <v>52103944514</v>
      </c>
      <c r="E1157" s="55">
        <v>2103111389238</v>
      </c>
      <c r="F1157" s="56" t="s">
        <v>2411</v>
      </c>
      <c r="G1157" s="56" t="s">
        <v>2388</v>
      </c>
      <c r="H1157" s="56" t="s">
        <v>8</v>
      </c>
      <c r="I1157" s="55" t="s">
        <v>8</v>
      </c>
      <c r="J1157" s="57">
        <v>43.65</v>
      </c>
      <c r="K1157" s="56" t="s">
        <v>2389</v>
      </c>
      <c r="L1157" s="56" t="s">
        <v>2390</v>
      </c>
      <c r="M1157" s="55" t="s">
        <v>2391</v>
      </c>
      <c r="N1157" s="56" t="s">
        <v>2392</v>
      </c>
      <c r="O1157" s="53" t="s">
        <v>8</v>
      </c>
      <c r="P1157" s="56" t="s">
        <v>2412</v>
      </c>
      <c r="Q1157" s="57">
        <v>4500</v>
      </c>
      <c r="R1157" s="58" t="s">
        <v>8</v>
      </c>
      <c r="S1157" s="57" t="s">
        <v>8</v>
      </c>
      <c r="T1157" s="56" t="s">
        <v>8</v>
      </c>
    </row>
    <row r="1158" spans="1:20">
      <c r="A1158" s="55">
        <v>131098450400</v>
      </c>
      <c r="B1158" s="53" t="s">
        <v>2386</v>
      </c>
      <c r="C1158" s="54">
        <v>45954</v>
      </c>
      <c r="D1158" s="55">
        <v>52103962043</v>
      </c>
      <c r="E1158" s="55">
        <v>2103113064738</v>
      </c>
      <c r="F1158" s="56" t="s">
        <v>2401</v>
      </c>
      <c r="G1158" s="56" t="s">
        <v>2388</v>
      </c>
      <c r="H1158" s="56" t="s">
        <v>8</v>
      </c>
      <c r="I1158" s="55" t="s">
        <v>8</v>
      </c>
      <c r="J1158" s="57">
        <v>539.52</v>
      </c>
      <c r="K1158" s="56" t="s">
        <v>2389</v>
      </c>
      <c r="L1158" s="56" t="s">
        <v>2402</v>
      </c>
      <c r="M1158" s="55" t="s">
        <v>2391</v>
      </c>
      <c r="N1158" s="56" t="s">
        <v>2392</v>
      </c>
      <c r="O1158" s="53" t="s">
        <v>2055</v>
      </c>
      <c r="P1158" s="56" t="s">
        <v>2403</v>
      </c>
      <c r="Q1158" s="57">
        <v>4800</v>
      </c>
      <c r="R1158" s="58" t="s">
        <v>8</v>
      </c>
      <c r="S1158" s="57" t="s">
        <v>8</v>
      </c>
      <c r="T1158" s="56" t="s">
        <v>2394</v>
      </c>
    </row>
    <row r="1159" spans="1:20">
      <c r="A1159" s="55">
        <v>131098620974</v>
      </c>
      <c r="B1159" s="53" t="s">
        <v>2386</v>
      </c>
      <c r="C1159" s="54">
        <v>45954</v>
      </c>
      <c r="D1159" s="55">
        <v>52104039094</v>
      </c>
      <c r="E1159" s="55">
        <v>2103115097010</v>
      </c>
      <c r="F1159" s="56" t="s">
        <v>2411</v>
      </c>
      <c r="G1159" s="56" t="s">
        <v>2388</v>
      </c>
      <c r="H1159" s="56" t="s">
        <v>8</v>
      </c>
      <c r="I1159" s="55" t="s">
        <v>8</v>
      </c>
      <c r="J1159" s="57">
        <v>42.68</v>
      </c>
      <c r="K1159" s="56" t="s">
        <v>2389</v>
      </c>
      <c r="L1159" s="56" t="s">
        <v>2390</v>
      </c>
      <c r="M1159" s="55" t="s">
        <v>2391</v>
      </c>
      <c r="N1159" s="56" t="s">
        <v>2392</v>
      </c>
      <c r="O1159" s="53" t="s">
        <v>8</v>
      </c>
      <c r="P1159" s="56" t="s">
        <v>2412</v>
      </c>
      <c r="Q1159" s="57">
        <v>4400</v>
      </c>
      <c r="R1159" s="58" t="s">
        <v>8</v>
      </c>
      <c r="S1159" s="57" t="s">
        <v>8</v>
      </c>
      <c r="T1159" s="56" t="s">
        <v>8</v>
      </c>
    </row>
    <row r="1160" spans="1:20">
      <c r="A1160" s="55">
        <v>131098699670</v>
      </c>
      <c r="B1160" s="53" t="s">
        <v>2386</v>
      </c>
      <c r="C1160" s="54">
        <v>45954</v>
      </c>
      <c r="D1160" s="55">
        <v>52104081479</v>
      </c>
      <c r="E1160" s="55">
        <v>2103117225080</v>
      </c>
      <c r="F1160" s="56" t="s">
        <v>2401</v>
      </c>
      <c r="G1160" s="56" t="s">
        <v>2388</v>
      </c>
      <c r="H1160" s="56" t="s">
        <v>8</v>
      </c>
      <c r="I1160" s="55" t="s">
        <v>8</v>
      </c>
      <c r="J1160" s="57">
        <v>157.19999999999999</v>
      </c>
      <c r="K1160" s="56" t="s">
        <v>2389</v>
      </c>
      <c r="L1160" s="56" t="s">
        <v>2402</v>
      </c>
      <c r="M1160" s="55" t="s">
        <v>2391</v>
      </c>
      <c r="N1160" s="56" t="s">
        <v>2392</v>
      </c>
      <c r="O1160" s="53" t="s">
        <v>2055</v>
      </c>
      <c r="P1160" s="56" t="s">
        <v>2403</v>
      </c>
      <c r="Q1160" s="57">
        <v>4000</v>
      </c>
      <c r="R1160" s="58" t="s">
        <v>8</v>
      </c>
      <c r="S1160" s="57" t="s">
        <v>8</v>
      </c>
      <c r="T1160" s="56" t="s">
        <v>2394</v>
      </c>
    </row>
    <row r="1161" spans="1:20">
      <c r="A1161" s="55">
        <v>130512338739</v>
      </c>
      <c r="B1161" s="53" t="s">
        <v>2386</v>
      </c>
      <c r="C1161" s="54">
        <v>45954</v>
      </c>
      <c r="D1161" s="55">
        <v>52104097425</v>
      </c>
      <c r="E1161" s="55">
        <v>2103117763638</v>
      </c>
      <c r="F1161" s="56" t="s">
        <v>2401</v>
      </c>
      <c r="G1161" s="56" t="s">
        <v>2388</v>
      </c>
      <c r="H1161" s="56" t="s">
        <v>8</v>
      </c>
      <c r="I1161" s="55" t="s">
        <v>8</v>
      </c>
      <c r="J1161" s="57">
        <v>3780.66</v>
      </c>
      <c r="K1161" s="56" t="s">
        <v>2389</v>
      </c>
      <c r="L1161" s="56" t="s">
        <v>2402</v>
      </c>
      <c r="M1161" s="55" t="s">
        <v>2391</v>
      </c>
      <c r="N1161" s="56" t="s">
        <v>2392</v>
      </c>
      <c r="O1161" s="53" t="s">
        <v>2055</v>
      </c>
      <c r="P1161" s="56" t="s">
        <v>2403</v>
      </c>
      <c r="Q1161" s="57">
        <v>96200</v>
      </c>
      <c r="R1161" s="58" t="s">
        <v>8</v>
      </c>
      <c r="S1161" s="57" t="s">
        <v>8</v>
      </c>
      <c r="T1161" s="56" t="s">
        <v>2394</v>
      </c>
    </row>
    <row r="1162" spans="1:20">
      <c r="A1162" s="55">
        <v>130512335019</v>
      </c>
      <c r="B1162" s="53" t="s">
        <v>2386</v>
      </c>
      <c r="C1162" s="54">
        <v>45954</v>
      </c>
      <c r="D1162" s="55">
        <v>52104099553</v>
      </c>
      <c r="E1162" s="55">
        <v>2103118606122</v>
      </c>
      <c r="F1162" s="56" t="s">
        <v>2387</v>
      </c>
      <c r="G1162" s="56" t="s">
        <v>2388</v>
      </c>
      <c r="H1162" s="56" t="s">
        <v>8</v>
      </c>
      <c r="I1162" s="55" t="s">
        <v>8</v>
      </c>
      <c r="J1162" s="57">
        <v>88.27</v>
      </c>
      <c r="K1162" s="56" t="s">
        <v>2389</v>
      </c>
      <c r="L1162" s="56" t="s">
        <v>2390</v>
      </c>
      <c r="M1162" s="55" t="s">
        <v>2391</v>
      </c>
      <c r="N1162" s="56" t="s">
        <v>2392</v>
      </c>
      <c r="O1162" s="53" t="s">
        <v>8</v>
      </c>
      <c r="P1162" s="56" t="s">
        <v>2854</v>
      </c>
      <c r="Q1162" s="57">
        <v>9100</v>
      </c>
      <c r="R1162" s="58" t="s">
        <v>8</v>
      </c>
      <c r="S1162" s="57" t="s">
        <v>8</v>
      </c>
      <c r="T1162" s="56" t="s">
        <v>2394</v>
      </c>
    </row>
    <row r="1163" spans="1:20">
      <c r="A1163" s="55">
        <v>130512369709</v>
      </c>
      <c r="B1163" s="53" t="s">
        <v>2386</v>
      </c>
      <c r="C1163" s="54">
        <v>45954</v>
      </c>
      <c r="D1163" s="55">
        <v>52104123727</v>
      </c>
      <c r="E1163" s="55">
        <v>2103038921643</v>
      </c>
      <c r="F1163" s="56" t="s">
        <v>2387</v>
      </c>
      <c r="G1163" s="56" t="s">
        <v>2388</v>
      </c>
      <c r="H1163" s="56" t="s">
        <v>8</v>
      </c>
      <c r="I1163" s="55" t="s">
        <v>8</v>
      </c>
      <c r="J1163" s="57">
        <v>46.56</v>
      </c>
      <c r="K1163" s="56" t="s">
        <v>2389</v>
      </c>
      <c r="L1163" s="56" t="s">
        <v>2390</v>
      </c>
      <c r="M1163" s="55" t="s">
        <v>2391</v>
      </c>
      <c r="N1163" s="56" t="s">
        <v>2392</v>
      </c>
      <c r="O1163" s="53" t="s">
        <v>8</v>
      </c>
      <c r="P1163" s="56" t="s">
        <v>2843</v>
      </c>
      <c r="Q1163" s="57">
        <v>4800</v>
      </c>
      <c r="R1163" s="58" t="s">
        <v>8</v>
      </c>
      <c r="S1163" s="57" t="s">
        <v>8</v>
      </c>
      <c r="T1163" s="56" t="s">
        <v>2394</v>
      </c>
    </row>
    <row r="1164" spans="1:20">
      <c r="A1164" s="55">
        <v>131099034366</v>
      </c>
      <c r="B1164" s="53" t="s">
        <v>2386</v>
      </c>
      <c r="C1164" s="54">
        <v>45954</v>
      </c>
      <c r="D1164" s="55">
        <v>52104132822</v>
      </c>
      <c r="E1164" s="55">
        <v>2103037997561</v>
      </c>
      <c r="F1164" s="56" t="s">
        <v>2387</v>
      </c>
      <c r="G1164" s="56" t="s">
        <v>2388</v>
      </c>
      <c r="H1164" s="56" t="s">
        <v>8</v>
      </c>
      <c r="I1164" s="55" t="s">
        <v>8</v>
      </c>
      <c r="J1164" s="57">
        <v>186.24</v>
      </c>
      <c r="K1164" s="56" t="s">
        <v>2389</v>
      </c>
      <c r="L1164" s="56" t="s">
        <v>2390</v>
      </c>
      <c r="M1164" s="55" t="s">
        <v>2391</v>
      </c>
      <c r="N1164" s="56" t="s">
        <v>2392</v>
      </c>
      <c r="O1164" s="53" t="s">
        <v>8</v>
      </c>
      <c r="P1164" s="56" t="s">
        <v>2709</v>
      </c>
      <c r="Q1164" s="57">
        <v>19200</v>
      </c>
      <c r="R1164" s="58" t="s">
        <v>8</v>
      </c>
      <c r="S1164" s="57" t="s">
        <v>8</v>
      </c>
      <c r="T1164" s="56" t="s">
        <v>2394</v>
      </c>
    </row>
    <row r="1165" spans="1:20">
      <c r="A1165" s="55">
        <v>131098837484</v>
      </c>
      <c r="B1165" s="53" t="s">
        <v>2386</v>
      </c>
      <c r="C1165" s="54">
        <v>45954</v>
      </c>
      <c r="D1165" s="55">
        <v>52104137732</v>
      </c>
      <c r="E1165" s="55">
        <v>2103119590438</v>
      </c>
      <c r="F1165" s="56" t="s">
        <v>2387</v>
      </c>
      <c r="G1165" s="56" t="s">
        <v>2388</v>
      </c>
      <c r="H1165" s="56" t="s">
        <v>8</v>
      </c>
      <c r="I1165" s="55" t="s">
        <v>8</v>
      </c>
      <c r="J1165" s="57">
        <v>147.44</v>
      </c>
      <c r="K1165" s="56" t="s">
        <v>2389</v>
      </c>
      <c r="L1165" s="56" t="s">
        <v>2390</v>
      </c>
      <c r="M1165" s="55" t="s">
        <v>2391</v>
      </c>
      <c r="N1165" s="56" t="s">
        <v>2392</v>
      </c>
      <c r="O1165" s="53" t="s">
        <v>8</v>
      </c>
      <c r="P1165" s="56" t="s">
        <v>2824</v>
      </c>
      <c r="Q1165" s="57">
        <v>15200</v>
      </c>
      <c r="R1165" s="58" t="s">
        <v>8</v>
      </c>
      <c r="S1165" s="57" t="s">
        <v>8</v>
      </c>
      <c r="T1165" s="56" t="s">
        <v>2394</v>
      </c>
    </row>
    <row r="1166" spans="1:20">
      <c r="A1166" s="55">
        <v>130512724637</v>
      </c>
      <c r="B1166" s="53" t="s">
        <v>2386</v>
      </c>
      <c r="C1166" s="54">
        <v>45954</v>
      </c>
      <c r="D1166" s="55">
        <v>52104212176</v>
      </c>
      <c r="E1166" s="55">
        <v>2103122818502</v>
      </c>
      <c r="F1166" s="56" t="s">
        <v>2387</v>
      </c>
      <c r="G1166" s="56" t="s">
        <v>2388</v>
      </c>
      <c r="H1166" s="56" t="s">
        <v>8</v>
      </c>
      <c r="I1166" s="55" t="s">
        <v>8</v>
      </c>
      <c r="J1166" s="57">
        <v>85.36</v>
      </c>
      <c r="K1166" s="56" t="s">
        <v>2389</v>
      </c>
      <c r="L1166" s="56" t="s">
        <v>2390</v>
      </c>
      <c r="M1166" s="55" t="s">
        <v>2391</v>
      </c>
      <c r="N1166" s="56" t="s">
        <v>2392</v>
      </c>
      <c r="O1166" s="53" t="s">
        <v>8</v>
      </c>
      <c r="P1166" s="56" t="s">
        <v>2855</v>
      </c>
      <c r="Q1166" s="57">
        <v>8800</v>
      </c>
      <c r="R1166" s="58" t="s">
        <v>8</v>
      </c>
      <c r="S1166" s="57" t="s">
        <v>8</v>
      </c>
      <c r="T1166" s="56" t="s">
        <v>2394</v>
      </c>
    </row>
    <row r="1167" spans="1:20">
      <c r="A1167" s="55">
        <v>131099256710</v>
      </c>
      <c r="B1167" s="53" t="s">
        <v>2386</v>
      </c>
      <c r="C1167" s="54">
        <v>45954</v>
      </c>
      <c r="D1167" s="55">
        <v>52104239734</v>
      </c>
      <c r="E1167" s="55">
        <v>2103123276434</v>
      </c>
      <c r="F1167" s="56" t="s">
        <v>2387</v>
      </c>
      <c r="G1167" s="56" t="s">
        <v>2388</v>
      </c>
      <c r="H1167" s="56" t="s">
        <v>8</v>
      </c>
      <c r="I1167" s="55" t="s">
        <v>8</v>
      </c>
      <c r="J1167" s="57">
        <v>23.28</v>
      </c>
      <c r="K1167" s="56" t="s">
        <v>2389</v>
      </c>
      <c r="L1167" s="56" t="s">
        <v>2390</v>
      </c>
      <c r="M1167" s="55" t="s">
        <v>2391</v>
      </c>
      <c r="N1167" s="56" t="s">
        <v>2392</v>
      </c>
      <c r="O1167" s="53" t="s">
        <v>8</v>
      </c>
      <c r="P1167" s="56" t="s">
        <v>2856</v>
      </c>
      <c r="Q1167" s="57">
        <v>2400</v>
      </c>
      <c r="R1167" s="58" t="s">
        <v>8</v>
      </c>
      <c r="S1167" s="57" t="s">
        <v>8</v>
      </c>
      <c r="T1167" s="56" t="s">
        <v>2394</v>
      </c>
    </row>
    <row r="1168" spans="1:20">
      <c r="A1168" s="55">
        <v>130512786585</v>
      </c>
      <c r="B1168" s="53" t="s">
        <v>2386</v>
      </c>
      <c r="C1168" s="54">
        <v>45954</v>
      </c>
      <c r="D1168" s="55">
        <v>52104259505</v>
      </c>
      <c r="E1168" s="55">
        <v>2103042580659</v>
      </c>
      <c r="F1168" s="56" t="s">
        <v>2411</v>
      </c>
      <c r="G1168" s="56" t="s">
        <v>2388</v>
      </c>
      <c r="H1168" s="56" t="s">
        <v>8</v>
      </c>
      <c r="I1168" s="55" t="s">
        <v>8</v>
      </c>
      <c r="J1168" s="57">
        <v>263.83999999999997</v>
      </c>
      <c r="K1168" s="56" t="s">
        <v>2389</v>
      </c>
      <c r="L1168" s="56" t="s">
        <v>2390</v>
      </c>
      <c r="M1168" s="55" t="s">
        <v>2391</v>
      </c>
      <c r="N1168" s="56" t="s">
        <v>2392</v>
      </c>
      <c r="O1168" s="53" t="s">
        <v>8</v>
      </c>
      <c r="P1168" s="56" t="s">
        <v>2412</v>
      </c>
      <c r="Q1168" s="57">
        <v>27200</v>
      </c>
      <c r="R1168" s="58" t="s">
        <v>8</v>
      </c>
      <c r="S1168" s="57" t="s">
        <v>8</v>
      </c>
      <c r="T1168" s="56" t="s">
        <v>8</v>
      </c>
    </row>
    <row r="1169" spans="1:20">
      <c r="A1169" s="55">
        <v>131099366712</v>
      </c>
      <c r="B1169" s="53" t="s">
        <v>2386</v>
      </c>
      <c r="C1169" s="54">
        <v>45954</v>
      </c>
      <c r="D1169" s="55">
        <v>52104263667</v>
      </c>
      <c r="E1169" s="55">
        <v>2103043324661</v>
      </c>
      <c r="F1169" s="56" t="s">
        <v>2387</v>
      </c>
      <c r="G1169" s="56" t="s">
        <v>2388</v>
      </c>
      <c r="H1169" s="56" t="s">
        <v>8</v>
      </c>
      <c r="I1169" s="55" t="s">
        <v>8</v>
      </c>
      <c r="J1169" s="57">
        <v>38.799999999999997</v>
      </c>
      <c r="K1169" s="56" t="s">
        <v>2389</v>
      </c>
      <c r="L1169" s="56" t="s">
        <v>2390</v>
      </c>
      <c r="M1169" s="55" t="s">
        <v>2391</v>
      </c>
      <c r="N1169" s="56" t="s">
        <v>2392</v>
      </c>
      <c r="O1169" s="53" t="s">
        <v>8</v>
      </c>
      <c r="P1169" s="56" t="s">
        <v>2705</v>
      </c>
      <c r="Q1169" s="57">
        <v>4000</v>
      </c>
      <c r="R1169" s="58" t="s">
        <v>8</v>
      </c>
      <c r="S1169" s="57" t="s">
        <v>8</v>
      </c>
      <c r="T1169" s="56" t="s">
        <v>2394</v>
      </c>
    </row>
    <row r="1170" spans="1:20">
      <c r="A1170" s="55">
        <v>131099538364</v>
      </c>
      <c r="B1170" s="53" t="s">
        <v>2386</v>
      </c>
      <c r="C1170" s="54">
        <v>45954</v>
      </c>
      <c r="D1170" s="55">
        <v>52104317324</v>
      </c>
      <c r="E1170" s="55">
        <v>2103126724410</v>
      </c>
      <c r="F1170" s="56" t="s">
        <v>2387</v>
      </c>
      <c r="G1170" s="56" t="s">
        <v>2388</v>
      </c>
      <c r="H1170" s="56" t="s">
        <v>8</v>
      </c>
      <c r="I1170" s="55" t="s">
        <v>8</v>
      </c>
      <c r="J1170" s="57">
        <v>53.35</v>
      </c>
      <c r="K1170" s="56" t="s">
        <v>2389</v>
      </c>
      <c r="L1170" s="56" t="s">
        <v>2390</v>
      </c>
      <c r="M1170" s="55" t="s">
        <v>2391</v>
      </c>
      <c r="N1170" s="56" t="s">
        <v>2392</v>
      </c>
      <c r="O1170" s="53" t="s">
        <v>8</v>
      </c>
      <c r="P1170" s="56" t="s">
        <v>2852</v>
      </c>
      <c r="Q1170" s="57">
        <v>5500</v>
      </c>
      <c r="R1170" s="58" t="s">
        <v>8</v>
      </c>
      <c r="S1170" s="57" t="s">
        <v>8</v>
      </c>
      <c r="T1170" s="56" t="s">
        <v>2394</v>
      </c>
    </row>
    <row r="1171" spans="1:20">
      <c r="A1171" s="55">
        <v>131099810152</v>
      </c>
      <c r="B1171" s="53" t="s">
        <v>2386</v>
      </c>
      <c r="C1171" s="54">
        <v>45954</v>
      </c>
      <c r="D1171" s="55">
        <v>52104361036</v>
      </c>
      <c r="E1171" s="55">
        <v>2103047964637</v>
      </c>
      <c r="F1171" s="56" t="s">
        <v>2401</v>
      </c>
      <c r="G1171" s="56" t="s">
        <v>2388</v>
      </c>
      <c r="H1171" s="56" t="s">
        <v>8</v>
      </c>
      <c r="I1171" s="55" t="s">
        <v>8</v>
      </c>
      <c r="J1171" s="57">
        <v>998.8</v>
      </c>
      <c r="K1171" s="56" t="s">
        <v>2389</v>
      </c>
      <c r="L1171" s="56" t="s">
        <v>2402</v>
      </c>
      <c r="M1171" s="55" t="s">
        <v>2391</v>
      </c>
      <c r="N1171" s="56" t="s">
        <v>2392</v>
      </c>
      <c r="O1171" s="53" t="s">
        <v>2055</v>
      </c>
      <c r="P1171" s="56" t="s">
        <v>2403</v>
      </c>
      <c r="Q1171" s="57">
        <v>22000</v>
      </c>
      <c r="R1171" s="58" t="s">
        <v>8</v>
      </c>
      <c r="S1171" s="57" t="s">
        <v>8</v>
      </c>
      <c r="T1171" s="56" t="s">
        <v>2394</v>
      </c>
    </row>
    <row r="1172" spans="1:20">
      <c r="A1172" s="55">
        <v>131099852998</v>
      </c>
      <c r="B1172" s="53" t="s">
        <v>2386</v>
      </c>
      <c r="C1172" s="54">
        <v>45954</v>
      </c>
      <c r="D1172" s="55">
        <v>52104435700</v>
      </c>
      <c r="E1172" s="55">
        <v>2103131732168</v>
      </c>
      <c r="F1172" s="56" t="s">
        <v>2411</v>
      </c>
      <c r="G1172" s="56" t="s">
        <v>2388</v>
      </c>
      <c r="H1172" s="56" t="s">
        <v>8</v>
      </c>
      <c r="I1172" s="55" t="s">
        <v>8</v>
      </c>
      <c r="J1172" s="57">
        <v>123.19</v>
      </c>
      <c r="K1172" s="56" t="s">
        <v>2389</v>
      </c>
      <c r="L1172" s="56" t="s">
        <v>2390</v>
      </c>
      <c r="M1172" s="55" t="s">
        <v>2391</v>
      </c>
      <c r="N1172" s="56" t="s">
        <v>2392</v>
      </c>
      <c r="O1172" s="53" t="s">
        <v>8</v>
      </c>
      <c r="P1172" s="56" t="s">
        <v>2412</v>
      </c>
      <c r="Q1172" s="57">
        <v>12700</v>
      </c>
      <c r="R1172" s="58" t="s">
        <v>8</v>
      </c>
      <c r="S1172" s="57" t="s">
        <v>8</v>
      </c>
      <c r="T1172" s="56" t="s">
        <v>8</v>
      </c>
    </row>
    <row r="1173" spans="1:20">
      <c r="A1173" s="55">
        <v>131099953892</v>
      </c>
      <c r="B1173" s="53" t="s">
        <v>2386</v>
      </c>
      <c r="C1173" s="54">
        <v>45954</v>
      </c>
      <c r="D1173" s="55">
        <v>52104528220</v>
      </c>
      <c r="E1173" s="55">
        <v>2103135175962</v>
      </c>
      <c r="F1173" s="56" t="s">
        <v>2387</v>
      </c>
      <c r="G1173" s="56" t="s">
        <v>2388</v>
      </c>
      <c r="H1173" s="56" t="s">
        <v>8</v>
      </c>
      <c r="I1173" s="55" t="s">
        <v>8</v>
      </c>
      <c r="J1173" s="57">
        <v>512.16</v>
      </c>
      <c r="K1173" s="56" t="s">
        <v>2389</v>
      </c>
      <c r="L1173" s="56" t="s">
        <v>2390</v>
      </c>
      <c r="M1173" s="55" t="s">
        <v>2391</v>
      </c>
      <c r="N1173" s="56" t="s">
        <v>2392</v>
      </c>
      <c r="O1173" s="53" t="s">
        <v>8</v>
      </c>
      <c r="P1173" s="56" t="s">
        <v>2857</v>
      </c>
      <c r="Q1173" s="57">
        <v>52800</v>
      </c>
      <c r="R1173" s="58" t="s">
        <v>8</v>
      </c>
      <c r="S1173" s="57" t="s">
        <v>8</v>
      </c>
      <c r="T1173" s="56" t="s">
        <v>2394</v>
      </c>
    </row>
    <row r="1174" spans="1:20">
      <c r="A1174" s="55">
        <v>130513557473</v>
      </c>
      <c r="B1174" s="53" t="s">
        <v>2386</v>
      </c>
      <c r="C1174" s="54">
        <v>45954</v>
      </c>
      <c r="D1174" s="55">
        <v>52104588818</v>
      </c>
      <c r="E1174" s="55">
        <v>2103055255503</v>
      </c>
      <c r="F1174" s="56" t="s">
        <v>2387</v>
      </c>
      <c r="G1174" s="56" t="s">
        <v>2388</v>
      </c>
      <c r="H1174" s="56" t="s">
        <v>8</v>
      </c>
      <c r="I1174" s="55" t="s">
        <v>8</v>
      </c>
      <c r="J1174" s="57">
        <v>572.29999999999995</v>
      </c>
      <c r="K1174" s="56" t="s">
        <v>2389</v>
      </c>
      <c r="L1174" s="56" t="s">
        <v>2390</v>
      </c>
      <c r="M1174" s="55" t="s">
        <v>2391</v>
      </c>
      <c r="N1174" s="56" t="s">
        <v>2392</v>
      </c>
      <c r="O1174" s="53" t="s">
        <v>8</v>
      </c>
      <c r="P1174" s="56" t="s">
        <v>2858</v>
      </c>
      <c r="Q1174" s="57">
        <v>59000</v>
      </c>
      <c r="R1174" s="58" t="s">
        <v>8</v>
      </c>
      <c r="S1174" s="57" t="s">
        <v>8</v>
      </c>
      <c r="T1174" s="56" t="s">
        <v>2394</v>
      </c>
    </row>
    <row r="1175" spans="1:20">
      <c r="A1175" s="55">
        <v>131188487220</v>
      </c>
      <c r="B1175" s="53" t="s">
        <v>2386</v>
      </c>
      <c r="C1175" s="54">
        <v>45954</v>
      </c>
      <c r="D1175" s="55">
        <v>52135917806</v>
      </c>
      <c r="E1175" s="55">
        <v>2103714471710</v>
      </c>
      <c r="F1175" s="56" t="s">
        <v>2401</v>
      </c>
      <c r="G1175" s="56" t="s">
        <v>2388</v>
      </c>
      <c r="H1175" s="56" t="s">
        <v>8</v>
      </c>
      <c r="I1175" s="55" t="s">
        <v>8</v>
      </c>
      <c r="J1175" s="57">
        <v>617.44000000000005</v>
      </c>
      <c r="K1175" s="56" t="s">
        <v>2389</v>
      </c>
      <c r="L1175" s="56" t="s">
        <v>2402</v>
      </c>
      <c r="M1175" s="55" t="s">
        <v>2391</v>
      </c>
      <c r="N1175" s="56" t="s">
        <v>2392</v>
      </c>
      <c r="O1175" s="53" t="s">
        <v>2055</v>
      </c>
      <c r="P1175" s="56" t="s">
        <v>2403</v>
      </c>
      <c r="Q1175" s="57">
        <v>13600</v>
      </c>
      <c r="R1175" s="58" t="s">
        <v>8</v>
      </c>
      <c r="S1175" s="57" t="s">
        <v>8</v>
      </c>
      <c r="T1175" s="56" t="s">
        <v>2394</v>
      </c>
    </row>
    <row r="1176" spans="1:20">
      <c r="A1176" s="55">
        <v>131204235834</v>
      </c>
      <c r="B1176" s="53" t="s">
        <v>2386</v>
      </c>
      <c r="C1176" s="54">
        <v>45954</v>
      </c>
      <c r="D1176" s="55">
        <v>52141572299</v>
      </c>
      <c r="E1176" s="55">
        <v>2103730872561</v>
      </c>
      <c r="F1176" s="56" t="s">
        <v>2387</v>
      </c>
      <c r="G1176" s="56" t="s">
        <v>2388</v>
      </c>
      <c r="H1176" s="56" t="s">
        <v>8</v>
      </c>
      <c r="I1176" s="55" t="s">
        <v>8</v>
      </c>
      <c r="J1176" s="57">
        <v>93.12</v>
      </c>
      <c r="K1176" s="56" t="s">
        <v>2389</v>
      </c>
      <c r="L1176" s="56" t="s">
        <v>2390</v>
      </c>
      <c r="M1176" s="55" t="s">
        <v>2391</v>
      </c>
      <c r="N1176" s="56" t="s">
        <v>2392</v>
      </c>
      <c r="O1176" s="53" t="s">
        <v>8</v>
      </c>
      <c r="P1176" s="56" t="s">
        <v>2859</v>
      </c>
      <c r="Q1176" s="57">
        <v>9600</v>
      </c>
      <c r="R1176" s="58" t="s">
        <v>8</v>
      </c>
      <c r="S1176" s="57" t="s">
        <v>8</v>
      </c>
      <c r="T1176" s="56" t="s">
        <v>2394</v>
      </c>
    </row>
    <row r="1177" spans="1:20">
      <c r="A1177" s="55">
        <v>131207745972</v>
      </c>
      <c r="B1177" s="53" t="s">
        <v>2386</v>
      </c>
      <c r="C1177" s="54">
        <v>45954</v>
      </c>
      <c r="D1177" s="55">
        <v>52142796467</v>
      </c>
      <c r="E1177" s="55">
        <v>2103754484969</v>
      </c>
      <c r="F1177" s="56" t="s">
        <v>2411</v>
      </c>
      <c r="G1177" s="56" t="s">
        <v>2388</v>
      </c>
      <c r="H1177" s="56" t="s">
        <v>8</v>
      </c>
      <c r="I1177" s="55" t="s">
        <v>8</v>
      </c>
      <c r="J1177" s="57">
        <v>46.56</v>
      </c>
      <c r="K1177" s="56" t="s">
        <v>2389</v>
      </c>
      <c r="L1177" s="56" t="s">
        <v>2390</v>
      </c>
      <c r="M1177" s="55" t="s">
        <v>2391</v>
      </c>
      <c r="N1177" s="56" t="s">
        <v>2392</v>
      </c>
      <c r="O1177" s="53" t="s">
        <v>8</v>
      </c>
      <c r="P1177" s="56" t="s">
        <v>2412</v>
      </c>
      <c r="Q1177" s="57">
        <v>4800</v>
      </c>
      <c r="R1177" s="58" t="s">
        <v>8</v>
      </c>
      <c r="S1177" s="57" t="s">
        <v>8</v>
      </c>
      <c r="T1177" s="56" t="s">
        <v>8</v>
      </c>
    </row>
    <row r="1178" spans="1:20">
      <c r="A1178" s="55">
        <v>131207941346</v>
      </c>
      <c r="B1178" s="53" t="s">
        <v>2386</v>
      </c>
      <c r="C1178" s="54">
        <v>45954</v>
      </c>
      <c r="D1178" s="55">
        <v>52142829020</v>
      </c>
      <c r="E1178" s="55">
        <v>2103837547684</v>
      </c>
      <c r="F1178" s="56" t="s">
        <v>2387</v>
      </c>
      <c r="G1178" s="56" t="s">
        <v>2388</v>
      </c>
      <c r="H1178" s="56" t="s">
        <v>8</v>
      </c>
      <c r="I1178" s="55" t="s">
        <v>8</v>
      </c>
      <c r="J1178" s="57">
        <v>113.49</v>
      </c>
      <c r="K1178" s="56" t="s">
        <v>2389</v>
      </c>
      <c r="L1178" s="56" t="s">
        <v>2390</v>
      </c>
      <c r="M1178" s="55" t="s">
        <v>2391</v>
      </c>
      <c r="N1178" s="56" t="s">
        <v>2392</v>
      </c>
      <c r="O1178" s="53" t="s">
        <v>8</v>
      </c>
      <c r="P1178" s="56" t="s">
        <v>2449</v>
      </c>
      <c r="Q1178" s="57">
        <v>11700</v>
      </c>
      <c r="R1178" s="58" t="s">
        <v>8</v>
      </c>
      <c r="S1178" s="57" t="s">
        <v>8</v>
      </c>
      <c r="T1178" s="56" t="s">
        <v>2394</v>
      </c>
    </row>
    <row r="1179" spans="1:20">
      <c r="A1179" s="55">
        <v>130623777749</v>
      </c>
      <c r="B1179" s="53" t="s">
        <v>2386</v>
      </c>
      <c r="C1179" s="54">
        <v>45954</v>
      </c>
      <c r="D1179" s="55">
        <v>52143804005</v>
      </c>
      <c r="E1179" s="55">
        <v>2103858561220</v>
      </c>
      <c r="F1179" s="56" t="s">
        <v>2411</v>
      </c>
      <c r="G1179" s="56" t="s">
        <v>2388</v>
      </c>
      <c r="H1179" s="56" t="s">
        <v>8</v>
      </c>
      <c r="I1179" s="55" t="s">
        <v>8</v>
      </c>
      <c r="J1179" s="57">
        <v>93.12</v>
      </c>
      <c r="K1179" s="56" t="s">
        <v>2389</v>
      </c>
      <c r="L1179" s="56" t="s">
        <v>2390</v>
      </c>
      <c r="M1179" s="55" t="s">
        <v>2391</v>
      </c>
      <c r="N1179" s="56" t="s">
        <v>2392</v>
      </c>
      <c r="O1179" s="53" t="s">
        <v>8</v>
      </c>
      <c r="P1179" s="56" t="s">
        <v>2412</v>
      </c>
      <c r="Q1179" s="57">
        <v>9600</v>
      </c>
      <c r="R1179" s="58" t="s">
        <v>8</v>
      </c>
      <c r="S1179" s="57" t="s">
        <v>8</v>
      </c>
      <c r="T1179" s="56" t="s">
        <v>8</v>
      </c>
    </row>
    <row r="1180" spans="1:20">
      <c r="A1180" s="55">
        <v>130624176389</v>
      </c>
      <c r="B1180" s="53" t="s">
        <v>2386</v>
      </c>
      <c r="C1180" s="54">
        <v>45954</v>
      </c>
      <c r="D1180" s="55">
        <v>52143948789</v>
      </c>
      <c r="E1180" s="55">
        <v>2103861600650</v>
      </c>
      <c r="F1180" s="56" t="s">
        <v>2411</v>
      </c>
      <c r="G1180" s="56" t="s">
        <v>2388</v>
      </c>
      <c r="H1180" s="56" t="s">
        <v>8</v>
      </c>
      <c r="I1180" s="55" t="s">
        <v>8</v>
      </c>
      <c r="J1180" s="57">
        <v>93.12</v>
      </c>
      <c r="K1180" s="56" t="s">
        <v>2389</v>
      </c>
      <c r="L1180" s="56" t="s">
        <v>2390</v>
      </c>
      <c r="M1180" s="55" t="s">
        <v>2391</v>
      </c>
      <c r="N1180" s="56" t="s">
        <v>2392</v>
      </c>
      <c r="O1180" s="53" t="s">
        <v>8</v>
      </c>
      <c r="P1180" s="56" t="s">
        <v>2412</v>
      </c>
      <c r="Q1180" s="57">
        <v>9600</v>
      </c>
      <c r="R1180" s="58" t="s">
        <v>8</v>
      </c>
      <c r="S1180" s="57" t="s">
        <v>8</v>
      </c>
      <c r="T1180" s="56" t="s">
        <v>8</v>
      </c>
    </row>
    <row r="1181" spans="1:20">
      <c r="A1181" s="55">
        <v>130624345861</v>
      </c>
      <c r="B1181" s="53" t="s">
        <v>2386</v>
      </c>
      <c r="C1181" s="54">
        <v>45954</v>
      </c>
      <c r="D1181" s="55">
        <v>52144038002</v>
      </c>
      <c r="E1181" s="55">
        <v>2103781881341</v>
      </c>
      <c r="F1181" s="56" t="s">
        <v>2401</v>
      </c>
      <c r="G1181" s="56" t="s">
        <v>2388</v>
      </c>
      <c r="H1181" s="56" t="s">
        <v>8</v>
      </c>
      <c r="I1181" s="55" t="s">
        <v>8</v>
      </c>
      <c r="J1181" s="57">
        <v>841.02</v>
      </c>
      <c r="K1181" s="56" t="s">
        <v>2389</v>
      </c>
      <c r="L1181" s="56" t="s">
        <v>2402</v>
      </c>
      <c r="M1181" s="55" t="s">
        <v>2391</v>
      </c>
      <c r="N1181" s="56" t="s">
        <v>2392</v>
      </c>
      <c r="O1181" s="53" t="s">
        <v>2055</v>
      </c>
      <c r="P1181" s="56" t="s">
        <v>2403</v>
      </c>
      <c r="Q1181" s="57">
        <v>21400</v>
      </c>
      <c r="R1181" s="58" t="s">
        <v>8</v>
      </c>
      <c r="S1181" s="57" t="s">
        <v>8</v>
      </c>
      <c r="T1181" s="56" t="s">
        <v>2394</v>
      </c>
    </row>
    <row r="1182" spans="1:20">
      <c r="A1182" s="55">
        <v>131212377844</v>
      </c>
      <c r="B1182" s="53" t="s">
        <v>2386</v>
      </c>
      <c r="C1182" s="54">
        <v>45954</v>
      </c>
      <c r="D1182" s="55">
        <v>52144349887</v>
      </c>
      <c r="E1182" s="55">
        <v>2103788571545</v>
      </c>
      <c r="F1182" s="56" t="s">
        <v>2387</v>
      </c>
      <c r="G1182" s="56" t="s">
        <v>2388</v>
      </c>
      <c r="H1182" s="56" t="s">
        <v>8</v>
      </c>
      <c r="I1182" s="55" t="s">
        <v>8</v>
      </c>
      <c r="J1182" s="57">
        <v>416.13</v>
      </c>
      <c r="K1182" s="56" t="s">
        <v>2389</v>
      </c>
      <c r="L1182" s="56" t="s">
        <v>2390</v>
      </c>
      <c r="M1182" s="55" t="s">
        <v>2391</v>
      </c>
      <c r="N1182" s="56" t="s">
        <v>2392</v>
      </c>
      <c r="O1182" s="53" t="s">
        <v>8</v>
      </c>
      <c r="P1182" s="56" t="s">
        <v>2860</v>
      </c>
      <c r="Q1182" s="57">
        <v>42900</v>
      </c>
      <c r="R1182" s="58" t="s">
        <v>8</v>
      </c>
      <c r="S1182" s="57" t="s">
        <v>8</v>
      </c>
      <c r="T1182" s="56" t="s">
        <v>2394</v>
      </c>
    </row>
    <row r="1183" spans="1:20">
      <c r="A1183" s="55">
        <v>131213004572</v>
      </c>
      <c r="B1183" s="53" t="s">
        <v>2386</v>
      </c>
      <c r="C1183" s="54">
        <v>45954</v>
      </c>
      <c r="D1183" s="55">
        <v>52144566087</v>
      </c>
      <c r="E1183" s="55">
        <v>2103874739826</v>
      </c>
      <c r="F1183" s="56" t="s">
        <v>2387</v>
      </c>
      <c r="G1183" s="56" t="s">
        <v>2388</v>
      </c>
      <c r="H1183" s="56" t="s">
        <v>8</v>
      </c>
      <c r="I1183" s="55" t="s">
        <v>8</v>
      </c>
      <c r="J1183" s="57">
        <v>46.56</v>
      </c>
      <c r="K1183" s="56" t="s">
        <v>2389</v>
      </c>
      <c r="L1183" s="56" t="s">
        <v>2390</v>
      </c>
      <c r="M1183" s="55" t="s">
        <v>2391</v>
      </c>
      <c r="N1183" s="56" t="s">
        <v>2392</v>
      </c>
      <c r="O1183" s="53" t="s">
        <v>8</v>
      </c>
      <c r="P1183" s="56" t="s">
        <v>2455</v>
      </c>
      <c r="Q1183" s="57">
        <v>4800</v>
      </c>
      <c r="R1183" s="58" t="s">
        <v>8</v>
      </c>
      <c r="S1183" s="57" t="s">
        <v>8</v>
      </c>
      <c r="T1183" s="56" t="s">
        <v>2394</v>
      </c>
    </row>
    <row r="1184" spans="1:20">
      <c r="A1184" s="55">
        <v>130626395735</v>
      </c>
      <c r="B1184" s="53" t="s">
        <v>2386</v>
      </c>
      <c r="C1184" s="54">
        <v>45954</v>
      </c>
      <c r="D1184" s="55">
        <v>52144723712</v>
      </c>
      <c r="E1184" s="55">
        <v>2103796294297</v>
      </c>
      <c r="F1184" s="56" t="s">
        <v>2401</v>
      </c>
      <c r="G1184" s="56" t="s">
        <v>2388</v>
      </c>
      <c r="H1184" s="56" t="s">
        <v>8</v>
      </c>
      <c r="I1184" s="55" t="s">
        <v>8</v>
      </c>
      <c r="J1184" s="57">
        <v>3913.48</v>
      </c>
      <c r="K1184" s="56" t="s">
        <v>2389</v>
      </c>
      <c r="L1184" s="56" t="s">
        <v>2402</v>
      </c>
      <c r="M1184" s="55" t="s">
        <v>2391</v>
      </c>
      <c r="N1184" s="56" t="s">
        <v>2392</v>
      </c>
      <c r="O1184" s="53" t="s">
        <v>2055</v>
      </c>
      <c r="P1184" s="56" t="s">
        <v>2403</v>
      </c>
      <c r="Q1184" s="57">
        <v>94820</v>
      </c>
      <c r="R1184" s="58" t="s">
        <v>8</v>
      </c>
      <c r="S1184" s="57" t="s">
        <v>8</v>
      </c>
      <c r="T1184" s="56" t="s">
        <v>2394</v>
      </c>
    </row>
    <row r="1185" spans="1:20">
      <c r="A1185" s="55">
        <v>130626570147</v>
      </c>
      <c r="B1185" s="53" t="s">
        <v>2386</v>
      </c>
      <c r="C1185" s="54">
        <v>45954</v>
      </c>
      <c r="D1185" s="55">
        <v>52144753482</v>
      </c>
      <c r="E1185" s="55">
        <v>2103797008303</v>
      </c>
      <c r="F1185" s="56" t="s">
        <v>2401</v>
      </c>
      <c r="G1185" s="56" t="s">
        <v>2388</v>
      </c>
      <c r="H1185" s="56" t="s">
        <v>8</v>
      </c>
      <c r="I1185" s="55" t="s">
        <v>8</v>
      </c>
      <c r="J1185" s="57">
        <v>188.64</v>
      </c>
      <c r="K1185" s="56" t="s">
        <v>2389</v>
      </c>
      <c r="L1185" s="56" t="s">
        <v>2402</v>
      </c>
      <c r="M1185" s="55" t="s">
        <v>2391</v>
      </c>
      <c r="N1185" s="56" t="s">
        <v>2392</v>
      </c>
      <c r="O1185" s="53" t="s">
        <v>2055</v>
      </c>
      <c r="P1185" s="56" t="s">
        <v>2403</v>
      </c>
      <c r="Q1185" s="57">
        <v>4800</v>
      </c>
      <c r="R1185" s="58" t="s">
        <v>8</v>
      </c>
      <c r="S1185" s="57" t="s">
        <v>8</v>
      </c>
      <c r="T1185" s="56" t="s">
        <v>2394</v>
      </c>
    </row>
    <row r="1186" spans="1:20">
      <c r="A1186" s="55">
        <v>131215483074</v>
      </c>
      <c r="B1186" s="53" t="s">
        <v>2386</v>
      </c>
      <c r="C1186" s="54">
        <v>45954</v>
      </c>
      <c r="D1186" s="55">
        <v>52145490389</v>
      </c>
      <c r="E1186" s="55">
        <v>2103894494634</v>
      </c>
      <c r="F1186" s="56" t="s">
        <v>2387</v>
      </c>
      <c r="G1186" s="56" t="s">
        <v>2388</v>
      </c>
      <c r="H1186" s="56" t="s">
        <v>8</v>
      </c>
      <c r="I1186" s="55" t="s">
        <v>8</v>
      </c>
      <c r="J1186" s="57">
        <v>95.06</v>
      </c>
      <c r="K1186" s="56" t="s">
        <v>2389</v>
      </c>
      <c r="L1186" s="56" t="s">
        <v>2390</v>
      </c>
      <c r="M1186" s="55" t="s">
        <v>2391</v>
      </c>
      <c r="N1186" s="56" t="s">
        <v>2392</v>
      </c>
      <c r="O1186" s="53" t="s">
        <v>8</v>
      </c>
      <c r="P1186" s="56" t="s">
        <v>2861</v>
      </c>
      <c r="Q1186" s="57">
        <v>9800</v>
      </c>
      <c r="R1186" s="58" t="s">
        <v>8</v>
      </c>
      <c r="S1186" s="57" t="s">
        <v>8</v>
      </c>
      <c r="T1186" s="56" t="s">
        <v>2394</v>
      </c>
    </row>
    <row r="1187" spans="1:20">
      <c r="A1187" s="55">
        <v>131220424334</v>
      </c>
      <c r="B1187" s="53" t="s">
        <v>2386</v>
      </c>
      <c r="C1187" s="54">
        <v>45954</v>
      </c>
      <c r="D1187" s="55">
        <v>52147300393</v>
      </c>
      <c r="E1187" s="55">
        <v>2103933945650</v>
      </c>
      <c r="F1187" s="56" t="s">
        <v>2387</v>
      </c>
      <c r="G1187" s="56" t="s">
        <v>2388</v>
      </c>
      <c r="H1187" s="56" t="s">
        <v>8</v>
      </c>
      <c r="I1187" s="55" t="s">
        <v>8</v>
      </c>
      <c r="J1187" s="57">
        <v>87.3</v>
      </c>
      <c r="K1187" s="56" t="s">
        <v>2389</v>
      </c>
      <c r="L1187" s="56" t="s">
        <v>2390</v>
      </c>
      <c r="M1187" s="55" t="s">
        <v>2391</v>
      </c>
      <c r="N1187" s="56" t="s">
        <v>2392</v>
      </c>
      <c r="O1187" s="53" t="s">
        <v>8</v>
      </c>
      <c r="P1187" s="56" t="s">
        <v>2862</v>
      </c>
      <c r="Q1187" s="57">
        <v>9000</v>
      </c>
      <c r="R1187" s="58" t="s">
        <v>8</v>
      </c>
      <c r="S1187" s="57" t="s">
        <v>8</v>
      </c>
      <c r="T1187" s="56" t="s">
        <v>2394</v>
      </c>
    </row>
    <row r="1188" spans="1:20">
      <c r="A1188" s="55">
        <v>131222097832</v>
      </c>
      <c r="B1188" s="53" t="s">
        <v>2386</v>
      </c>
      <c r="C1188" s="54">
        <v>45954</v>
      </c>
      <c r="D1188" s="55">
        <v>52147940413</v>
      </c>
      <c r="E1188" s="55">
        <v>2103863917767</v>
      </c>
      <c r="F1188" s="56" t="s">
        <v>2401</v>
      </c>
      <c r="G1188" s="56" t="s">
        <v>2388</v>
      </c>
      <c r="H1188" s="56" t="s">
        <v>8</v>
      </c>
      <c r="I1188" s="55" t="s">
        <v>8</v>
      </c>
      <c r="J1188" s="57">
        <v>703.47</v>
      </c>
      <c r="K1188" s="56" t="s">
        <v>2389</v>
      </c>
      <c r="L1188" s="56" t="s">
        <v>2402</v>
      </c>
      <c r="M1188" s="55" t="s">
        <v>2391</v>
      </c>
      <c r="N1188" s="56" t="s">
        <v>2392</v>
      </c>
      <c r="O1188" s="53" t="s">
        <v>2055</v>
      </c>
      <c r="P1188" s="56" t="s">
        <v>2403</v>
      </c>
      <c r="Q1188" s="57">
        <v>17900</v>
      </c>
      <c r="R1188" s="58" t="s">
        <v>8</v>
      </c>
      <c r="S1188" s="57" t="s">
        <v>8</v>
      </c>
      <c r="T1188" s="56" t="s">
        <v>2394</v>
      </c>
    </row>
    <row r="1189" spans="1:20">
      <c r="A1189" s="55">
        <v>130635351707</v>
      </c>
      <c r="B1189" s="53" t="s">
        <v>2386</v>
      </c>
      <c r="C1189" s="54">
        <v>45954</v>
      </c>
      <c r="D1189" s="55">
        <v>52148049866</v>
      </c>
      <c r="E1189" s="55">
        <v>2103865762629</v>
      </c>
      <c r="F1189" s="56" t="s">
        <v>2401</v>
      </c>
      <c r="G1189" s="56" t="s">
        <v>2388</v>
      </c>
      <c r="H1189" s="56" t="s">
        <v>8</v>
      </c>
      <c r="I1189" s="55" t="s">
        <v>8</v>
      </c>
      <c r="J1189" s="57">
        <v>1446.24</v>
      </c>
      <c r="K1189" s="56" t="s">
        <v>2389</v>
      </c>
      <c r="L1189" s="56" t="s">
        <v>2402</v>
      </c>
      <c r="M1189" s="55" t="s">
        <v>2391</v>
      </c>
      <c r="N1189" s="56" t="s">
        <v>2392</v>
      </c>
      <c r="O1189" s="53" t="s">
        <v>2055</v>
      </c>
      <c r="P1189" s="56" t="s">
        <v>2403</v>
      </c>
      <c r="Q1189" s="57">
        <v>36800</v>
      </c>
      <c r="R1189" s="58" t="s">
        <v>8</v>
      </c>
      <c r="S1189" s="57" t="s">
        <v>8</v>
      </c>
      <c r="T1189" s="56" t="s">
        <v>2394</v>
      </c>
    </row>
    <row r="1190" spans="1:20">
      <c r="A1190" s="55">
        <v>130635780689</v>
      </c>
      <c r="B1190" s="53" t="s">
        <v>2386</v>
      </c>
      <c r="C1190" s="54">
        <v>45954</v>
      </c>
      <c r="D1190" s="55">
        <v>52148221882</v>
      </c>
      <c r="E1190" s="55">
        <v>2103868650723</v>
      </c>
      <c r="F1190" s="56" t="s">
        <v>2387</v>
      </c>
      <c r="G1190" s="56" t="s">
        <v>2388</v>
      </c>
      <c r="H1190" s="56" t="s">
        <v>8</v>
      </c>
      <c r="I1190" s="55" t="s">
        <v>8</v>
      </c>
      <c r="J1190" s="57">
        <v>199.76</v>
      </c>
      <c r="K1190" s="56" t="s">
        <v>2389</v>
      </c>
      <c r="L1190" s="56" t="s">
        <v>2390</v>
      </c>
      <c r="M1190" s="55" t="s">
        <v>2391</v>
      </c>
      <c r="N1190" s="56" t="s">
        <v>2392</v>
      </c>
      <c r="O1190" s="53" t="s">
        <v>8</v>
      </c>
      <c r="P1190" s="56" t="s">
        <v>2863</v>
      </c>
      <c r="Q1190" s="57">
        <v>4400</v>
      </c>
      <c r="R1190" s="58" t="s">
        <v>8</v>
      </c>
      <c r="S1190" s="57" t="s">
        <v>8</v>
      </c>
      <c r="T1190" s="56" t="s">
        <v>2394</v>
      </c>
    </row>
    <row r="1191" spans="1:20">
      <c r="A1191" s="55">
        <v>131223611256</v>
      </c>
      <c r="B1191" s="53" t="s">
        <v>2386</v>
      </c>
      <c r="C1191" s="54">
        <v>45955</v>
      </c>
      <c r="D1191" s="55">
        <v>52148503584</v>
      </c>
      <c r="E1191" s="55">
        <v>2103955179302</v>
      </c>
      <c r="F1191" s="56" t="s">
        <v>2387</v>
      </c>
      <c r="G1191" s="56" t="s">
        <v>2388</v>
      </c>
      <c r="H1191" s="56" t="s">
        <v>8</v>
      </c>
      <c r="I1191" s="55" t="s">
        <v>8</v>
      </c>
      <c r="J1191" s="57">
        <v>581.03</v>
      </c>
      <c r="K1191" s="56" t="s">
        <v>2389</v>
      </c>
      <c r="L1191" s="56" t="s">
        <v>2390</v>
      </c>
      <c r="M1191" s="55" t="s">
        <v>2391</v>
      </c>
      <c r="N1191" s="56" t="s">
        <v>2392</v>
      </c>
      <c r="O1191" s="53" t="s">
        <v>8</v>
      </c>
      <c r="P1191" s="56" t="s">
        <v>2864</v>
      </c>
      <c r="Q1191" s="57">
        <v>59900</v>
      </c>
      <c r="R1191" s="58" t="s">
        <v>8</v>
      </c>
      <c r="S1191" s="57" t="s">
        <v>8</v>
      </c>
      <c r="T1191" s="56" t="s">
        <v>2394</v>
      </c>
    </row>
    <row r="1192" spans="1:20">
      <c r="A1192" s="55">
        <v>131224705868</v>
      </c>
      <c r="B1192" s="53" t="s">
        <v>2386</v>
      </c>
      <c r="C1192" s="54">
        <v>45955</v>
      </c>
      <c r="D1192" s="55">
        <v>52148941663</v>
      </c>
      <c r="E1192" s="55">
        <v>2103879715569</v>
      </c>
      <c r="F1192" s="56" t="s">
        <v>2401</v>
      </c>
      <c r="G1192" s="56" t="s">
        <v>2388</v>
      </c>
      <c r="H1192" s="56" t="s">
        <v>8</v>
      </c>
      <c r="I1192" s="55" t="s">
        <v>8</v>
      </c>
      <c r="J1192" s="57">
        <v>204.36</v>
      </c>
      <c r="K1192" s="56" t="s">
        <v>2389</v>
      </c>
      <c r="L1192" s="56" t="s">
        <v>2402</v>
      </c>
      <c r="M1192" s="55" t="s">
        <v>2391</v>
      </c>
      <c r="N1192" s="56" t="s">
        <v>2392</v>
      </c>
      <c r="O1192" s="53" t="s">
        <v>2055</v>
      </c>
      <c r="P1192" s="56" t="s">
        <v>2403</v>
      </c>
      <c r="Q1192" s="57">
        <v>5200</v>
      </c>
      <c r="R1192" s="58" t="s">
        <v>8</v>
      </c>
      <c r="S1192" s="57" t="s">
        <v>8</v>
      </c>
      <c r="T1192" s="56" t="s">
        <v>2394</v>
      </c>
    </row>
    <row r="1193" spans="1:20">
      <c r="A1193" s="55">
        <v>131224829468</v>
      </c>
      <c r="B1193" s="53" t="s">
        <v>2386</v>
      </c>
      <c r="C1193" s="54">
        <v>45955</v>
      </c>
      <c r="D1193" s="55">
        <v>52148988781</v>
      </c>
      <c r="E1193" s="55">
        <v>2103962289230</v>
      </c>
      <c r="F1193" s="56" t="s">
        <v>2387</v>
      </c>
      <c r="G1193" s="56" t="s">
        <v>2388</v>
      </c>
      <c r="H1193" s="56" t="s">
        <v>8</v>
      </c>
      <c r="I1193" s="55" t="s">
        <v>8</v>
      </c>
      <c r="J1193" s="57">
        <v>980.67</v>
      </c>
      <c r="K1193" s="56" t="s">
        <v>2389</v>
      </c>
      <c r="L1193" s="56" t="s">
        <v>2390</v>
      </c>
      <c r="M1193" s="55" t="s">
        <v>2391</v>
      </c>
      <c r="N1193" s="56" t="s">
        <v>2392</v>
      </c>
      <c r="O1193" s="53" t="s">
        <v>8</v>
      </c>
      <c r="P1193" s="56" t="s">
        <v>2865</v>
      </c>
      <c r="Q1193" s="57">
        <v>101100</v>
      </c>
      <c r="R1193" s="58" t="s">
        <v>8</v>
      </c>
      <c r="S1193" s="57" t="s">
        <v>8</v>
      </c>
      <c r="T1193" s="56" t="s">
        <v>2394</v>
      </c>
    </row>
    <row r="1194" spans="1:20">
      <c r="A1194" s="55">
        <v>130637902867</v>
      </c>
      <c r="B1194" s="53" t="s">
        <v>2386</v>
      </c>
      <c r="C1194" s="54">
        <v>45955</v>
      </c>
      <c r="D1194" s="55">
        <v>52149066427</v>
      </c>
      <c r="E1194" s="55">
        <v>2103963674632</v>
      </c>
      <c r="F1194" s="56" t="s">
        <v>2387</v>
      </c>
      <c r="G1194" s="56" t="s">
        <v>2388</v>
      </c>
      <c r="H1194" s="56" t="s">
        <v>8</v>
      </c>
      <c r="I1194" s="55" t="s">
        <v>8</v>
      </c>
      <c r="J1194" s="57">
        <v>94.09</v>
      </c>
      <c r="K1194" s="56" t="s">
        <v>2389</v>
      </c>
      <c r="L1194" s="56" t="s">
        <v>2390</v>
      </c>
      <c r="M1194" s="55" t="s">
        <v>2391</v>
      </c>
      <c r="N1194" s="56" t="s">
        <v>2392</v>
      </c>
      <c r="O1194" s="53" t="s">
        <v>8</v>
      </c>
      <c r="P1194" s="56" t="s">
        <v>2865</v>
      </c>
      <c r="Q1194" s="57">
        <v>9700</v>
      </c>
      <c r="R1194" s="58" t="s">
        <v>8</v>
      </c>
      <c r="S1194" s="57" t="s">
        <v>8</v>
      </c>
      <c r="T1194" s="56" t="s">
        <v>2394</v>
      </c>
    </row>
    <row r="1195" spans="1:20">
      <c r="A1195" s="55">
        <v>130639275959</v>
      </c>
      <c r="B1195" s="53" t="s">
        <v>2386</v>
      </c>
      <c r="C1195" s="54">
        <v>45955</v>
      </c>
      <c r="D1195" s="55">
        <v>52149699794</v>
      </c>
      <c r="E1195" s="55">
        <v>2103972948752</v>
      </c>
      <c r="F1195" s="56" t="s">
        <v>2387</v>
      </c>
      <c r="G1195" s="56" t="s">
        <v>2388</v>
      </c>
      <c r="H1195" s="56" t="s">
        <v>8</v>
      </c>
      <c r="I1195" s="55" t="s">
        <v>8</v>
      </c>
      <c r="J1195" s="57">
        <v>3774.56</v>
      </c>
      <c r="K1195" s="56" t="s">
        <v>2389</v>
      </c>
      <c r="L1195" s="56" t="s">
        <v>2390</v>
      </c>
      <c r="M1195" s="55" t="s">
        <v>2391</v>
      </c>
      <c r="N1195" s="56" t="s">
        <v>2392</v>
      </c>
      <c r="O1195" s="53" t="s">
        <v>8</v>
      </c>
      <c r="P1195" s="56" t="s">
        <v>2866</v>
      </c>
      <c r="Q1195" s="57">
        <v>49600</v>
      </c>
      <c r="R1195" s="58" t="s">
        <v>8</v>
      </c>
      <c r="S1195" s="57" t="s">
        <v>8</v>
      </c>
      <c r="T1195" s="56" t="s">
        <v>2394</v>
      </c>
    </row>
    <row r="1196" spans="1:20">
      <c r="A1196" s="55">
        <v>130640359985</v>
      </c>
      <c r="B1196" s="53" t="s">
        <v>2386</v>
      </c>
      <c r="C1196" s="54">
        <v>45955</v>
      </c>
      <c r="D1196" s="55">
        <v>52150226490</v>
      </c>
      <c r="E1196" s="55">
        <v>2103897992157</v>
      </c>
      <c r="F1196" s="56" t="s">
        <v>2387</v>
      </c>
      <c r="G1196" s="56" t="s">
        <v>2388</v>
      </c>
      <c r="H1196" s="56" t="s">
        <v>8</v>
      </c>
      <c r="I1196" s="55" t="s">
        <v>8</v>
      </c>
      <c r="J1196" s="57">
        <v>421.95</v>
      </c>
      <c r="K1196" s="56" t="s">
        <v>2389</v>
      </c>
      <c r="L1196" s="56" t="s">
        <v>2390</v>
      </c>
      <c r="M1196" s="55" t="s">
        <v>2391</v>
      </c>
      <c r="N1196" s="56" t="s">
        <v>2392</v>
      </c>
      <c r="O1196" s="53" t="s">
        <v>8</v>
      </c>
      <c r="P1196" s="56" t="s">
        <v>2867</v>
      </c>
      <c r="Q1196" s="57">
        <v>43500</v>
      </c>
      <c r="R1196" s="58" t="s">
        <v>8</v>
      </c>
      <c r="S1196" s="57" t="s">
        <v>8</v>
      </c>
      <c r="T1196" s="56" t="s">
        <v>2394</v>
      </c>
    </row>
    <row r="1197" spans="1:20">
      <c r="A1197" s="55">
        <v>130640958813</v>
      </c>
      <c r="B1197" s="53" t="s">
        <v>2386</v>
      </c>
      <c r="C1197" s="54">
        <v>45955</v>
      </c>
      <c r="D1197" s="55">
        <v>52150458021</v>
      </c>
      <c r="E1197" s="55">
        <v>2103982967710</v>
      </c>
      <c r="F1197" s="56" t="s">
        <v>2387</v>
      </c>
      <c r="G1197" s="56" t="s">
        <v>2388</v>
      </c>
      <c r="H1197" s="56" t="s">
        <v>8</v>
      </c>
      <c r="I1197" s="55" t="s">
        <v>8</v>
      </c>
      <c r="J1197" s="57">
        <v>475.3</v>
      </c>
      <c r="K1197" s="56" t="s">
        <v>2389</v>
      </c>
      <c r="L1197" s="56" t="s">
        <v>2390</v>
      </c>
      <c r="M1197" s="55" t="s">
        <v>2391</v>
      </c>
      <c r="N1197" s="56" t="s">
        <v>2392</v>
      </c>
      <c r="O1197" s="53" t="s">
        <v>8</v>
      </c>
      <c r="P1197" s="56" t="s">
        <v>2643</v>
      </c>
      <c r="Q1197" s="57">
        <v>49000</v>
      </c>
      <c r="R1197" s="58" t="s">
        <v>8</v>
      </c>
      <c r="S1197" s="57" t="s">
        <v>8</v>
      </c>
      <c r="T1197" s="56" t="s">
        <v>2394</v>
      </c>
    </row>
    <row r="1198" spans="1:20">
      <c r="A1198" s="55">
        <v>130641673553</v>
      </c>
      <c r="B1198" s="53" t="s">
        <v>2386</v>
      </c>
      <c r="C1198" s="54">
        <v>45955</v>
      </c>
      <c r="D1198" s="55">
        <v>52150822273</v>
      </c>
      <c r="E1198" s="55">
        <v>2103988329032</v>
      </c>
      <c r="F1198" s="56" t="s">
        <v>2411</v>
      </c>
      <c r="G1198" s="56" t="s">
        <v>2388</v>
      </c>
      <c r="H1198" s="56" t="s">
        <v>8</v>
      </c>
      <c r="I1198" s="55" t="s">
        <v>8</v>
      </c>
      <c r="J1198" s="57">
        <v>176.54</v>
      </c>
      <c r="K1198" s="56" t="s">
        <v>2389</v>
      </c>
      <c r="L1198" s="56" t="s">
        <v>2390</v>
      </c>
      <c r="M1198" s="55" t="s">
        <v>2391</v>
      </c>
      <c r="N1198" s="56" t="s">
        <v>2392</v>
      </c>
      <c r="O1198" s="53" t="s">
        <v>8</v>
      </c>
      <c r="P1198" s="56" t="s">
        <v>2412</v>
      </c>
      <c r="Q1198" s="57">
        <v>18200</v>
      </c>
      <c r="R1198" s="58" t="s">
        <v>8</v>
      </c>
      <c r="S1198" s="57" t="s">
        <v>8</v>
      </c>
      <c r="T1198" s="56" t="s">
        <v>8</v>
      </c>
    </row>
    <row r="1199" spans="1:20">
      <c r="A1199" s="55">
        <v>131229100860</v>
      </c>
      <c r="B1199" s="53" t="s">
        <v>2386</v>
      </c>
      <c r="C1199" s="54">
        <v>45955</v>
      </c>
      <c r="D1199" s="55">
        <v>52150948497</v>
      </c>
      <c r="E1199" s="55">
        <v>2103907402627</v>
      </c>
      <c r="F1199" s="56" t="s">
        <v>2401</v>
      </c>
      <c r="G1199" s="56" t="s">
        <v>2388</v>
      </c>
      <c r="H1199" s="56" t="s">
        <v>8</v>
      </c>
      <c r="I1199" s="55" t="s">
        <v>8</v>
      </c>
      <c r="J1199" s="57">
        <v>337.98</v>
      </c>
      <c r="K1199" s="56" t="s">
        <v>2389</v>
      </c>
      <c r="L1199" s="56" t="s">
        <v>2402</v>
      </c>
      <c r="M1199" s="55" t="s">
        <v>2391</v>
      </c>
      <c r="N1199" s="56" t="s">
        <v>2392</v>
      </c>
      <c r="O1199" s="53" t="s">
        <v>2055</v>
      </c>
      <c r="P1199" s="56" t="s">
        <v>2403</v>
      </c>
      <c r="Q1199" s="57">
        <v>8600</v>
      </c>
      <c r="R1199" s="58" t="s">
        <v>8</v>
      </c>
      <c r="S1199" s="57" t="s">
        <v>8</v>
      </c>
      <c r="T1199" s="56" t="s">
        <v>2394</v>
      </c>
    </row>
    <row r="1200" spans="1:20">
      <c r="A1200" s="55">
        <v>131229851002</v>
      </c>
      <c r="B1200" s="53" t="s">
        <v>2386</v>
      </c>
      <c r="C1200" s="54">
        <v>45955</v>
      </c>
      <c r="D1200" s="55">
        <v>52151329642</v>
      </c>
      <c r="E1200" s="55">
        <v>2103912486637</v>
      </c>
      <c r="F1200" s="56" t="s">
        <v>2387</v>
      </c>
      <c r="G1200" s="56" t="s">
        <v>2388</v>
      </c>
      <c r="H1200" s="56" t="s">
        <v>8</v>
      </c>
      <c r="I1200" s="55" t="s">
        <v>8</v>
      </c>
      <c r="J1200" s="57">
        <v>457.84</v>
      </c>
      <c r="K1200" s="56" t="s">
        <v>2389</v>
      </c>
      <c r="L1200" s="56" t="s">
        <v>2390</v>
      </c>
      <c r="M1200" s="55" t="s">
        <v>2391</v>
      </c>
      <c r="N1200" s="56" t="s">
        <v>2392</v>
      </c>
      <c r="O1200" s="53" t="s">
        <v>8</v>
      </c>
      <c r="P1200" s="56" t="s">
        <v>2868</v>
      </c>
      <c r="Q1200" s="57">
        <v>47200</v>
      </c>
      <c r="R1200" s="58" t="s">
        <v>8</v>
      </c>
      <c r="S1200" s="57" t="s">
        <v>8</v>
      </c>
      <c r="T1200" s="56" t="s">
        <v>2394</v>
      </c>
    </row>
    <row r="1201" spans="1:20">
      <c r="A1201" s="55">
        <v>130642704973</v>
      </c>
      <c r="B1201" s="53" t="s">
        <v>2386</v>
      </c>
      <c r="C1201" s="54">
        <v>45955</v>
      </c>
      <c r="D1201" s="55">
        <v>52151355635</v>
      </c>
      <c r="E1201" s="55">
        <v>2103994904176</v>
      </c>
      <c r="F1201" s="56" t="s">
        <v>2387</v>
      </c>
      <c r="G1201" s="56" t="s">
        <v>2388</v>
      </c>
      <c r="H1201" s="56" t="s">
        <v>8</v>
      </c>
      <c r="I1201" s="55" t="s">
        <v>8</v>
      </c>
      <c r="J1201" s="57">
        <v>186.24</v>
      </c>
      <c r="K1201" s="56" t="s">
        <v>2389</v>
      </c>
      <c r="L1201" s="56" t="s">
        <v>2390</v>
      </c>
      <c r="M1201" s="55" t="s">
        <v>2391</v>
      </c>
      <c r="N1201" s="56" t="s">
        <v>2392</v>
      </c>
      <c r="O1201" s="53" t="s">
        <v>8</v>
      </c>
      <c r="P1201" s="56" t="s">
        <v>2869</v>
      </c>
      <c r="Q1201" s="57">
        <v>19200</v>
      </c>
      <c r="R1201" s="58" t="s">
        <v>8</v>
      </c>
      <c r="S1201" s="57" t="s">
        <v>8</v>
      </c>
      <c r="T1201" s="56" t="s">
        <v>2394</v>
      </c>
    </row>
    <row r="1202" spans="1:20">
      <c r="A1202" s="55">
        <v>130642807553</v>
      </c>
      <c r="B1202" s="53" t="s">
        <v>2386</v>
      </c>
      <c r="C1202" s="54">
        <v>45955</v>
      </c>
      <c r="D1202" s="55">
        <v>52151419211</v>
      </c>
      <c r="E1202" s="55">
        <v>2103913596729</v>
      </c>
      <c r="F1202" s="56" t="s">
        <v>2387</v>
      </c>
      <c r="G1202" s="56" t="s">
        <v>2388</v>
      </c>
      <c r="H1202" s="56" t="s">
        <v>8</v>
      </c>
      <c r="I1202" s="55" t="s">
        <v>8</v>
      </c>
      <c r="J1202" s="57">
        <v>282.27</v>
      </c>
      <c r="K1202" s="56" t="s">
        <v>2389</v>
      </c>
      <c r="L1202" s="56" t="s">
        <v>2390</v>
      </c>
      <c r="M1202" s="55" t="s">
        <v>2391</v>
      </c>
      <c r="N1202" s="56" t="s">
        <v>2392</v>
      </c>
      <c r="O1202" s="53" t="s">
        <v>8</v>
      </c>
      <c r="P1202" s="56" t="s">
        <v>2870</v>
      </c>
      <c r="Q1202" s="57">
        <v>29100</v>
      </c>
      <c r="R1202" s="58" t="s">
        <v>8</v>
      </c>
      <c r="S1202" s="57" t="s">
        <v>8</v>
      </c>
      <c r="T1202" s="56" t="s">
        <v>2394</v>
      </c>
    </row>
    <row r="1203" spans="1:20">
      <c r="A1203" s="55">
        <v>130719097737</v>
      </c>
      <c r="B1203" s="53" t="s">
        <v>2386</v>
      </c>
      <c r="C1203" s="54">
        <v>45955</v>
      </c>
      <c r="D1203" s="55">
        <v>52182989495</v>
      </c>
      <c r="E1203" s="55">
        <v>2104462736856</v>
      </c>
      <c r="F1203" s="56" t="s">
        <v>2387</v>
      </c>
      <c r="G1203" s="56" t="s">
        <v>2388</v>
      </c>
      <c r="H1203" s="56" t="s">
        <v>8</v>
      </c>
      <c r="I1203" s="55" t="s">
        <v>8</v>
      </c>
      <c r="J1203" s="57">
        <v>43.17</v>
      </c>
      <c r="K1203" s="56" t="s">
        <v>2389</v>
      </c>
      <c r="L1203" s="56" t="s">
        <v>2390</v>
      </c>
      <c r="M1203" s="55" t="s">
        <v>2391</v>
      </c>
      <c r="N1203" s="56" t="s">
        <v>2392</v>
      </c>
      <c r="O1203" s="53" t="s">
        <v>8</v>
      </c>
      <c r="P1203" s="56" t="s">
        <v>2871</v>
      </c>
      <c r="Q1203" s="57">
        <v>4450</v>
      </c>
      <c r="R1203" s="58" t="s">
        <v>8</v>
      </c>
      <c r="S1203" s="57" t="s">
        <v>8</v>
      </c>
      <c r="T1203" s="56" t="s">
        <v>2394</v>
      </c>
    </row>
    <row r="1204" spans="1:20">
      <c r="A1204" s="55">
        <v>130724478645</v>
      </c>
      <c r="B1204" s="53" t="s">
        <v>2386</v>
      </c>
      <c r="C1204" s="54">
        <v>45955</v>
      </c>
      <c r="D1204" s="55">
        <v>52184907262</v>
      </c>
      <c r="E1204" s="55">
        <v>2104413394351</v>
      </c>
      <c r="F1204" s="56" t="s">
        <v>2387</v>
      </c>
      <c r="G1204" s="56" t="s">
        <v>2388</v>
      </c>
      <c r="H1204" s="56" t="s">
        <v>8</v>
      </c>
      <c r="I1204" s="55" t="s">
        <v>8</v>
      </c>
      <c r="J1204" s="57">
        <v>234.74</v>
      </c>
      <c r="K1204" s="56" t="s">
        <v>2389</v>
      </c>
      <c r="L1204" s="56" t="s">
        <v>2390</v>
      </c>
      <c r="M1204" s="55" t="s">
        <v>2391</v>
      </c>
      <c r="N1204" s="56" t="s">
        <v>2392</v>
      </c>
      <c r="O1204" s="53" t="s">
        <v>8</v>
      </c>
      <c r="P1204" s="56" t="s">
        <v>2872</v>
      </c>
      <c r="Q1204" s="57">
        <v>24200</v>
      </c>
      <c r="R1204" s="58" t="s">
        <v>8</v>
      </c>
      <c r="S1204" s="57" t="s">
        <v>8</v>
      </c>
      <c r="T1204" s="56" t="s">
        <v>2394</v>
      </c>
    </row>
    <row r="1205" spans="1:20">
      <c r="A1205" s="55">
        <v>130725052849</v>
      </c>
      <c r="B1205" s="53" t="s">
        <v>2386</v>
      </c>
      <c r="C1205" s="54">
        <v>45955</v>
      </c>
      <c r="D1205" s="55">
        <v>52185109416</v>
      </c>
      <c r="E1205" s="55">
        <v>2104499339990</v>
      </c>
      <c r="F1205" s="56" t="s">
        <v>2387</v>
      </c>
      <c r="G1205" s="56" t="s">
        <v>2388</v>
      </c>
      <c r="H1205" s="56" t="s">
        <v>8</v>
      </c>
      <c r="I1205" s="55" t="s">
        <v>8</v>
      </c>
      <c r="J1205" s="57">
        <v>112.52</v>
      </c>
      <c r="K1205" s="56" t="s">
        <v>2389</v>
      </c>
      <c r="L1205" s="56" t="s">
        <v>2390</v>
      </c>
      <c r="M1205" s="55" t="s">
        <v>2391</v>
      </c>
      <c r="N1205" s="56" t="s">
        <v>2392</v>
      </c>
      <c r="O1205" s="53" t="s">
        <v>8</v>
      </c>
      <c r="P1205" s="56" t="s">
        <v>2873</v>
      </c>
      <c r="Q1205" s="57">
        <v>11600</v>
      </c>
      <c r="R1205" s="58" t="s">
        <v>8</v>
      </c>
      <c r="S1205" s="57" t="s">
        <v>8</v>
      </c>
      <c r="T1205" s="56" t="s">
        <v>2394</v>
      </c>
    </row>
    <row r="1206" spans="1:20">
      <c r="A1206" s="55">
        <v>130725248729</v>
      </c>
      <c r="B1206" s="53" t="s">
        <v>2386</v>
      </c>
      <c r="C1206" s="54">
        <v>45955</v>
      </c>
      <c r="D1206" s="55">
        <v>52185174140</v>
      </c>
      <c r="E1206" s="55">
        <v>2104417926797</v>
      </c>
      <c r="F1206" s="56" t="s">
        <v>2387</v>
      </c>
      <c r="G1206" s="56" t="s">
        <v>2388</v>
      </c>
      <c r="H1206" s="56" t="s">
        <v>8</v>
      </c>
      <c r="I1206" s="55" t="s">
        <v>8</v>
      </c>
      <c r="J1206" s="57">
        <v>139.68</v>
      </c>
      <c r="K1206" s="56" t="s">
        <v>2389</v>
      </c>
      <c r="L1206" s="56" t="s">
        <v>2390</v>
      </c>
      <c r="M1206" s="55" t="s">
        <v>2391</v>
      </c>
      <c r="N1206" s="56" t="s">
        <v>2392</v>
      </c>
      <c r="O1206" s="53" t="s">
        <v>8</v>
      </c>
      <c r="P1206" s="56" t="s">
        <v>2449</v>
      </c>
      <c r="Q1206" s="57">
        <v>14400</v>
      </c>
      <c r="R1206" s="58" t="s">
        <v>8</v>
      </c>
      <c r="S1206" s="57" t="s">
        <v>8</v>
      </c>
      <c r="T1206" s="56" t="s">
        <v>2394</v>
      </c>
    </row>
    <row r="1207" spans="1:20">
      <c r="A1207" s="55">
        <v>130725213917</v>
      </c>
      <c r="B1207" s="53" t="s">
        <v>2386</v>
      </c>
      <c r="C1207" s="54">
        <v>45955</v>
      </c>
      <c r="D1207" s="55">
        <v>52185208667</v>
      </c>
      <c r="E1207" s="55">
        <v>2104500828774</v>
      </c>
      <c r="F1207" s="56" t="s">
        <v>2411</v>
      </c>
      <c r="G1207" s="56" t="s">
        <v>2388</v>
      </c>
      <c r="H1207" s="56" t="s">
        <v>8</v>
      </c>
      <c r="I1207" s="55" t="s">
        <v>8</v>
      </c>
      <c r="J1207" s="57">
        <v>47.53</v>
      </c>
      <c r="K1207" s="56" t="s">
        <v>2389</v>
      </c>
      <c r="L1207" s="56" t="s">
        <v>2390</v>
      </c>
      <c r="M1207" s="55" t="s">
        <v>2391</v>
      </c>
      <c r="N1207" s="56" t="s">
        <v>2392</v>
      </c>
      <c r="O1207" s="53" t="s">
        <v>8</v>
      </c>
      <c r="P1207" s="56" t="s">
        <v>2412</v>
      </c>
      <c r="Q1207" s="57">
        <v>4900</v>
      </c>
      <c r="R1207" s="58" t="s">
        <v>8</v>
      </c>
      <c r="S1207" s="57" t="s">
        <v>8</v>
      </c>
      <c r="T1207" s="56" t="s">
        <v>8</v>
      </c>
    </row>
    <row r="1208" spans="1:20">
      <c r="A1208" s="55">
        <v>131314622960</v>
      </c>
      <c r="B1208" s="53" t="s">
        <v>2386</v>
      </c>
      <c r="C1208" s="54">
        <v>45955</v>
      </c>
      <c r="D1208" s="55">
        <v>52185783993</v>
      </c>
      <c r="E1208" s="55">
        <v>2104429690617</v>
      </c>
      <c r="F1208" s="56" t="s">
        <v>2401</v>
      </c>
      <c r="G1208" s="56" t="s">
        <v>2388</v>
      </c>
      <c r="H1208" s="56" t="s">
        <v>8</v>
      </c>
      <c r="I1208" s="55" t="s">
        <v>8</v>
      </c>
      <c r="J1208" s="57">
        <v>754.56</v>
      </c>
      <c r="K1208" s="56" t="s">
        <v>2389</v>
      </c>
      <c r="L1208" s="56" t="s">
        <v>2402</v>
      </c>
      <c r="M1208" s="55" t="s">
        <v>2391</v>
      </c>
      <c r="N1208" s="56" t="s">
        <v>2392</v>
      </c>
      <c r="O1208" s="53" t="s">
        <v>2055</v>
      </c>
      <c r="P1208" s="56" t="s">
        <v>2403</v>
      </c>
      <c r="Q1208" s="57">
        <v>19200</v>
      </c>
      <c r="R1208" s="58" t="s">
        <v>8</v>
      </c>
      <c r="S1208" s="57" t="s">
        <v>8</v>
      </c>
      <c r="T1208" s="56" t="s">
        <v>2394</v>
      </c>
    </row>
    <row r="1209" spans="1:20">
      <c r="A1209" s="55">
        <v>130727892081</v>
      </c>
      <c r="B1209" s="53" t="s">
        <v>2386</v>
      </c>
      <c r="C1209" s="54">
        <v>45955</v>
      </c>
      <c r="D1209" s="55">
        <v>52186146103</v>
      </c>
      <c r="E1209" s="55">
        <v>2104435179865</v>
      </c>
      <c r="F1209" s="56" t="s">
        <v>2387</v>
      </c>
      <c r="G1209" s="56" t="s">
        <v>2388</v>
      </c>
      <c r="H1209" s="56" t="s">
        <v>8</v>
      </c>
      <c r="I1209" s="55" t="s">
        <v>8</v>
      </c>
      <c r="J1209" s="57">
        <v>149.38</v>
      </c>
      <c r="K1209" s="56" t="s">
        <v>2389</v>
      </c>
      <c r="L1209" s="56" t="s">
        <v>2390</v>
      </c>
      <c r="M1209" s="55" t="s">
        <v>2391</v>
      </c>
      <c r="N1209" s="56" t="s">
        <v>2392</v>
      </c>
      <c r="O1209" s="53" t="s">
        <v>8</v>
      </c>
      <c r="P1209" s="56" t="s">
        <v>2874</v>
      </c>
      <c r="Q1209" s="57">
        <v>15400</v>
      </c>
      <c r="R1209" s="58" t="s">
        <v>8</v>
      </c>
      <c r="S1209" s="57" t="s">
        <v>8</v>
      </c>
      <c r="T1209" s="56" t="s">
        <v>2394</v>
      </c>
    </row>
    <row r="1210" spans="1:20">
      <c r="A1210" s="55">
        <v>131315931076</v>
      </c>
      <c r="B1210" s="53" t="s">
        <v>2386</v>
      </c>
      <c r="C1210" s="54">
        <v>45955</v>
      </c>
      <c r="D1210" s="55">
        <v>52186307689</v>
      </c>
      <c r="E1210" s="55">
        <v>2104437725945</v>
      </c>
      <c r="F1210" s="56" t="s">
        <v>2401</v>
      </c>
      <c r="G1210" s="56" t="s">
        <v>2388</v>
      </c>
      <c r="H1210" s="56" t="s">
        <v>8</v>
      </c>
      <c r="I1210" s="55" t="s">
        <v>8</v>
      </c>
      <c r="J1210" s="57">
        <v>754.56</v>
      </c>
      <c r="K1210" s="56" t="s">
        <v>2389</v>
      </c>
      <c r="L1210" s="56" t="s">
        <v>2402</v>
      </c>
      <c r="M1210" s="55" t="s">
        <v>2391</v>
      </c>
      <c r="N1210" s="56" t="s">
        <v>2392</v>
      </c>
      <c r="O1210" s="53" t="s">
        <v>2055</v>
      </c>
      <c r="P1210" s="56" t="s">
        <v>2403</v>
      </c>
      <c r="Q1210" s="57">
        <v>19200</v>
      </c>
      <c r="R1210" s="58" t="s">
        <v>8</v>
      </c>
      <c r="S1210" s="57" t="s">
        <v>8</v>
      </c>
      <c r="T1210" s="56" t="s">
        <v>2394</v>
      </c>
    </row>
    <row r="1211" spans="1:20">
      <c r="A1211" s="55">
        <v>131316106848</v>
      </c>
      <c r="B1211" s="53" t="s">
        <v>2386</v>
      </c>
      <c r="C1211" s="54">
        <v>45955</v>
      </c>
      <c r="D1211" s="55">
        <v>52186337023</v>
      </c>
      <c r="E1211" s="55">
        <v>2104521032210</v>
      </c>
      <c r="F1211" s="56" t="s">
        <v>2387</v>
      </c>
      <c r="G1211" s="56" t="s">
        <v>2388</v>
      </c>
      <c r="H1211" s="56" t="s">
        <v>8</v>
      </c>
      <c r="I1211" s="55" t="s">
        <v>8</v>
      </c>
      <c r="J1211" s="57">
        <v>46.56</v>
      </c>
      <c r="K1211" s="56" t="s">
        <v>2389</v>
      </c>
      <c r="L1211" s="56" t="s">
        <v>2390</v>
      </c>
      <c r="M1211" s="55" t="s">
        <v>2391</v>
      </c>
      <c r="N1211" s="56" t="s">
        <v>2392</v>
      </c>
      <c r="O1211" s="53" t="s">
        <v>8</v>
      </c>
      <c r="P1211" s="56" t="s">
        <v>2875</v>
      </c>
      <c r="Q1211" s="57">
        <v>4800</v>
      </c>
      <c r="R1211" s="58" t="s">
        <v>8</v>
      </c>
      <c r="S1211" s="57" t="s">
        <v>8</v>
      </c>
      <c r="T1211" s="56" t="s">
        <v>2394</v>
      </c>
    </row>
    <row r="1212" spans="1:20">
      <c r="A1212" s="55">
        <v>130728828519</v>
      </c>
      <c r="B1212" s="53" t="s">
        <v>2386</v>
      </c>
      <c r="C1212" s="54">
        <v>45955</v>
      </c>
      <c r="D1212" s="55">
        <v>52186452237</v>
      </c>
      <c r="E1212" s="55">
        <v>2104440705601</v>
      </c>
      <c r="F1212" s="56" t="s">
        <v>2387</v>
      </c>
      <c r="G1212" s="56" t="s">
        <v>2388</v>
      </c>
      <c r="H1212" s="56" t="s">
        <v>8</v>
      </c>
      <c r="I1212" s="55" t="s">
        <v>8</v>
      </c>
      <c r="J1212" s="57">
        <v>81.48</v>
      </c>
      <c r="K1212" s="56" t="s">
        <v>2389</v>
      </c>
      <c r="L1212" s="56" t="s">
        <v>2390</v>
      </c>
      <c r="M1212" s="55" t="s">
        <v>2391</v>
      </c>
      <c r="N1212" s="56" t="s">
        <v>2392</v>
      </c>
      <c r="O1212" s="53" t="s">
        <v>8</v>
      </c>
      <c r="P1212" s="56" t="s">
        <v>2876</v>
      </c>
      <c r="Q1212" s="57">
        <v>8400</v>
      </c>
      <c r="R1212" s="58" t="s">
        <v>8</v>
      </c>
      <c r="S1212" s="57" t="s">
        <v>8</v>
      </c>
      <c r="T1212" s="56" t="s">
        <v>2394</v>
      </c>
    </row>
    <row r="1213" spans="1:20">
      <c r="A1213" s="55">
        <v>131317335230</v>
      </c>
      <c r="B1213" s="53" t="s">
        <v>2386</v>
      </c>
      <c r="C1213" s="54">
        <v>45955</v>
      </c>
      <c r="D1213" s="55">
        <v>52186752778</v>
      </c>
      <c r="E1213" s="55">
        <v>2104446148101</v>
      </c>
      <c r="F1213" s="56" t="s">
        <v>2401</v>
      </c>
      <c r="G1213" s="56" t="s">
        <v>2388</v>
      </c>
      <c r="H1213" s="56" t="s">
        <v>8</v>
      </c>
      <c r="I1213" s="55" t="s">
        <v>8</v>
      </c>
      <c r="J1213" s="57">
        <v>330.12</v>
      </c>
      <c r="K1213" s="56" t="s">
        <v>2389</v>
      </c>
      <c r="L1213" s="56" t="s">
        <v>2402</v>
      </c>
      <c r="M1213" s="55" t="s">
        <v>2391</v>
      </c>
      <c r="N1213" s="56" t="s">
        <v>2392</v>
      </c>
      <c r="O1213" s="53" t="s">
        <v>2055</v>
      </c>
      <c r="P1213" s="56" t="s">
        <v>2403</v>
      </c>
      <c r="Q1213" s="57">
        <v>8400</v>
      </c>
      <c r="R1213" s="58" t="s">
        <v>8</v>
      </c>
      <c r="S1213" s="57" t="s">
        <v>8</v>
      </c>
      <c r="T1213" s="56" t="s">
        <v>2394</v>
      </c>
    </row>
    <row r="1214" spans="1:20">
      <c r="A1214" s="55">
        <v>130729893207</v>
      </c>
      <c r="B1214" s="53" t="s">
        <v>2386</v>
      </c>
      <c r="C1214" s="54">
        <v>45955</v>
      </c>
      <c r="D1214" s="55">
        <v>52186856616</v>
      </c>
      <c r="E1214" s="55">
        <v>2104447446879</v>
      </c>
      <c r="F1214" s="56" t="s">
        <v>2401</v>
      </c>
      <c r="G1214" s="56" t="s">
        <v>2388</v>
      </c>
      <c r="H1214" s="56" t="s">
        <v>8</v>
      </c>
      <c r="I1214" s="55" t="s">
        <v>8</v>
      </c>
      <c r="J1214" s="57">
        <v>2785.26</v>
      </c>
      <c r="K1214" s="56" t="s">
        <v>2389</v>
      </c>
      <c r="L1214" s="56" t="s">
        <v>2402</v>
      </c>
      <c r="M1214" s="55" t="s">
        <v>2391</v>
      </c>
      <c r="N1214" s="56" t="s">
        <v>2392</v>
      </c>
      <c r="O1214" s="53" t="s">
        <v>2055</v>
      </c>
      <c r="P1214" s="56" t="s">
        <v>2403</v>
      </c>
      <c r="Q1214" s="57">
        <v>36600</v>
      </c>
      <c r="R1214" s="58" t="s">
        <v>8</v>
      </c>
      <c r="S1214" s="57" t="s">
        <v>8</v>
      </c>
      <c r="T1214" s="56" t="s">
        <v>2394</v>
      </c>
    </row>
    <row r="1215" spans="1:20">
      <c r="A1215" s="55">
        <v>131319128256</v>
      </c>
      <c r="B1215" s="53" t="s">
        <v>2386</v>
      </c>
      <c r="C1215" s="54">
        <v>45955</v>
      </c>
      <c r="D1215" s="55">
        <v>52187390282</v>
      </c>
      <c r="E1215" s="55">
        <v>2104457070351</v>
      </c>
      <c r="F1215" s="56" t="s">
        <v>2411</v>
      </c>
      <c r="G1215" s="56" t="s">
        <v>2388</v>
      </c>
      <c r="H1215" s="56" t="s">
        <v>8</v>
      </c>
      <c r="I1215" s="55" t="s">
        <v>8</v>
      </c>
      <c r="J1215" s="57">
        <v>47.53</v>
      </c>
      <c r="K1215" s="56" t="s">
        <v>2389</v>
      </c>
      <c r="L1215" s="56" t="s">
        <v>2390</v>
      </c>
      <c r="M1215" s="55" t="s">
        <v>2391</v>
      </c>
      <c r="N1215" s="56" t="s">
        <v>2392</v>
      </c>
      <c r="O1215" s="53" t="s">
        <v>8</v>
      </c>
      <c r="P1215" s="56" t="s">
        <v>2412</v>
      </c>
      <c r="Q1215" s="57">
        <v>4900</v>
      </c>
      <c r="R1215" s="58" t="s">
        <v>8</v>
      </c>
      <c r="S1215" s="57" t="s">
        <v>8</v>
      </c>
      <c r="T1215" s="56" t="s">
        <v>8</v>
      </c>
    </row>
    <row r="1216" spans="1:20">
      <c r="A1216" s="55">
        <v>130732522431</v>
      </c>
      <c r="B1216" s="53" t="s">
        <v>2386</v>
      </c>
      <c r="C1216" s="54">
        <v>45955</v>
      </c>
      <c r="D1216" s="55">
        <v>52187778305</v>
      </c>
      <c r="E1216" s="55">
        <v>2104463394049</v>
      </c>
      <c r="F1216" s="56" t="s">
        <v>2401</v>
      </c>
      <c r="G1216" s="56" t="s">
        <v>2388</v>
      </c>
      <c r="H1216" s="56" t="s">
        <v>8</v>
      </c>
      <c r="I1216" s="55" t="s">
        <v>8</v>
      </c>
      <c r="J1216" s="57">
        <v>1041.45</v>
      </c>
      <c r="K1216" s="56" t="s">
        <v>2389</v>
      </c>
      <c r="L1216" s="56" t="s">
        <v>2402</v>
      </c>
      <c r="M1216" s="55" t="s">
        <v>2391</v>
      </c>
      <c r="N1216" s="56" t="s">
        <v>2392</v>
      </c>
      <c r="O1216" s="53" t="s">
        <v>2055</v>
      </c>
      <c r="P1216" s="56" t="s">
        <v>2403</v>
      </c>
      <c r="Q1216" s="57">
        <v>26500</v>
      </c>
      <c r="R1216" s="58" t="s">
        <v>8</v>
      </c>
      <c r="S1216" s="57" t="s">
        <v>8</v>
      </c>
      <c r="T1216" s="56" t="s">
        <v>2394</v>
      </c>
    </row>
    <row r="1217" spans="1:20">
      <c r="A1217" s="55">
        <v>130733187221</v>
      </c>
      <c r="B1217" s="53" t="s">
        <v>2386</v>
      </c>
      <c r="C1217" s="54">
        <v>45955</v>
      </c>
      <c r="D1217" s="55">
        <v>52187996172</v>
      </c>
      <c r="E1217" s="55">
        <v>2104467634917</v>
      </c>
      <c r="F1217" s="56" t="s">
        <v>2387</v>
      </c>
      <c r="G1217" s="56" t="s">
        <v>2388</v>
      </c>
      <c r="H1217" s="56" t="s">
        <v>8</v>
      </c>
      <c r="I1217" s="55" t="s">
        <v>8</v>
      </c>
      <c r="J1217" s="57">
        <v>85.36</v>
      </c>
      <c r="K1217" s="56" t="s">
        <v>2389</v>
      </c>
      <c r="L1217" s="56" t="s">
        <v>2390</v>
      </c>
      <c r="M1217" s="55" t="s">
        <v>2391</v>
      </c>
      <c r="N1217" s="56" t="s">
        <v>2392</v>
      </c>
      <c r="O1217" s="53" t="s">
        <v>8</v>
      </c>
      <c r="P1217" s="56" t="s">
        <v>2877</v>
      </c>
      <c r="Q1217" s="57">
        <v>8800</v>
      </c>
      <c r="R1217" s="58" t="s">
        <v>8</v>
      </c>
      <c r="S1217" s="57" t="s">
        <v>8</v>
      </c>
      <c r="T1217" s="56" t="s">
        <v>2394</v>
      </c>
    </row>
    <row r="1218" spans="1:20">
      <c r="A1218" s="55">
        <v>131322059578</v>
      </c>
      <c r="B1218" s="53" t="s">
        <v>2386</v>
      </c>
      <c r="C1218" s="54">
        <v>45955</v>
      </c>
      <c r="D1218" s="55">
        <v>52188413204</v>
      </c>
      <c r="E1218" s="55">
        <v>2104557537724</v>
      </c>
      <c r="F1218" s="56" t="s">
        <v>2401</v>
      </c>
      <c r="G1218" s="56" t="s">
        <v>2388</v>
      </c>
      <c r="H1218" s="56" t="s">
        <v>8</v>
      </c>
      <c r="I1218" s="55" t="s">
        <v>8</v>
      </c>
      <c r="J1218" s="57">
        <v>365.28</v>
      </c>
      <c r="K1218" s="56" t="s">
        <v>2389</v>
      </c>
      <c r="L1218" s="56" t="s">
        <v>2402</v>
      </c>
      <c r="M1218" s="55" t="s">
        <v>2391</v>
      </c>
      <c r="N1218" s="56" t="s">
        <v>2392</v>
      </c>
      <c r="O1218" s="53" t="s">
        <v>2055</v>
      </c>
      <c r="P1218" s="56" t="s">
        <v>2403</v>
      </c>
      <c r="Q1218" s="57">
        <v>4800</v>
      </c>
      <c r="R1218" s="58" t="s">
        <v>8</v>
      </c>
      <c r="S1218" s="57" t="s">
        <v>8</v>
      </c>
      <c r="T1218" s="56" t="s">
        <v>2394</v>
      </c>
    </row>
    <row r="1219" spans="1:20">
      <c r="A1219" s="55">
        <v>131323046338</v>
      </c>
      <c r="B1219" s="53" t="s">
        <v>2386</v>
      </c>
      <c r="C1219" s="54">
        <v>45955</v>
      </c>
      <c r="D1219" s="55">
        <v>52188737569</v>
      </c>
      <c r="E1219" s="55">
        <v>2104480849845</v>
      </c>
      <c r="F1219" s="56" t="s">
        <v>2401</v>
      </c>
      <c r="G1219" s="56" t="s">
        <v>2388</v>
      </c>
      <c r="H1219" s="56" t="s">
        <v>8</v>
      </c>
      <c r="I1219" s="55" t="s">
        <v>8</v>
      </c>
      <c r="J1219" s="57">
        <v>1458.03</v>
      </c>
      <c r="K1219" s="56" t="s">
        <v>2389</v>
      </c>
      <c r="L1219" s="56" t="s">
        <v>2402</v>
      </c>
      <c r="M1219" s="55" t="s">
        <v>2391</v>
      </c>
      <c r="N1219" s="56" t="s">
        <v>2392</v>
      </c>
      <c r="O1219" s="53" t="s">
        <v>2055</v>
      </c>
      <c r="P1219" s="56" t="s">
        <v>2403</v>
      </c>
      <c r="Q1219" s="57">
        <v>37100</v>
      </c>
      <c r="R1219" s="58" t="s">
        <v>8</v>
      </c>
      <c r="S1219" s="57" t="s">
        <v>8</v>
      </c>
      <c r="T1219" s="56" t="s">
        <v>2394</v>
      </c>
    </row>
    <row r="1220" spans="1:20">
      <c r="A1220" s="55">
        <v>130735353251</v>
      </c>
      <c r="B1220" s="53" t="s">
        <v>2386</v>
      </c>
      <c r="C1220" s="54">
        <v>45955</v>
      </c>
      <c r="D1220" s="55">
        <v>52188760604</v>
      </c>
      <c r="E1220" s="55">
        <v>2104481219681</v>
      </c>
      <c r="F1220" s="56" t="s">
        <v>2401</v>
      </c>
      <c r="G1220" s="56" t="s">
        <v>2388</v>
      </c>
      <c r="H1220" s="56" t="s">
        <v>8</v>
      </c>
      <c r="I1220" s="55" t="s">
        <v>8</v>
      </c>
      <c r="J1220" s="57">
        <v>180.78</v>
      </c>
      <c r="K1220" s="56" t="s">
        <v>2389</v>
      </c>
      <c r="L1220" s="56" t="s">
        <v>2402</v>
      </c>
      <c r="M1220" s="55" t="s">
        <v>2391</v>
      </c>
      <c r="N1220" s="56" t="s">
        <v>2392</v>
      </c>
      <c r="O1220" s="53" t="s">
        <v>2055</v>
      </c>
      <c r="P1220" s="56" t="s">
        <v>2403</v>
      </c>
      <c r="Q1220" s="57">
        <v>4600</v>
      </c>
      <c r="R1220" s="58" t="s">
        <v>8</v>
      </c>
      <c r="S1220" s="57" t="s">
        <v>8</v>
      </c>
      <c r="T1220" s="56" t="s">
        <v>2394</v>
      </c>
    </row>
    <row r="1221" spans="1:20">
      <c r="A1221" s="55">
        <v>130735485837</v>
      </c>
      <c r="B1221" s="53" t="s">
        <v>2386</v>
      </c>
      <c r="C1221" s="54">
        <v>45955</v>
      </c>
      <c r="D1221" s="55">
        <v>52188815351</v>
      </c>
      <c r="E1221" s="55">
        <v>2104564334364</v>
      </c>
      <c r="F1221" s="56" t="s">
        <v>2387</v>
      </c>
      <c r="G1221" s="56" t="s">
        <v>2388</v>
      </c>
      <c r="H1221" s="56" t="s">
        <v>8</v>
      </c>
      <c r="I1221" s="55" t="s">
        <v>8</v>
      </c>
      <c r="J1221" s="57">
        <v>112.52</v>
      </c>
      <c r="K1221" s="56" t="s">
        <v>2389</v>
      </c>
      <c r="L1221" s="56" t="s">
        <v>2390</v>
      </c>
      <c r="M1221" s="55" t="s">
        <v>2391</v>
      </c>
      <c r="N1221" s="56" t="s">
        <v>2392</v>
      </c>
      <c r="O1221" s="53" t="s">
        <v>8</v>
      </c>
      <c r="P1221" s="56" t="s">
        <v>2560</v>
      </c>
      <c r="Q1221" s="57">
        <v>11600</v>
      </c>
      <c r="R1221" s="58" t="s">
        <v>8</v>
      </c>
      <c r="S1221" s="57" t="s">
        <v>8</v>
      </c>
      <c r="T1221" s="56" t="s">
        <v>2394</v>
      </c>
    </row>
    <row r="1222" spans="1:20">
      <c r="A1222" s="55">
        <v>131324787042</v>
      </c>
      <c r="B1222" s="53" t="s">
        <v>2386</v>
      </c>
      <c r="C1222" s="54">
        <v>45955</v>
      </c>
      <c r="D1222" s="55">
        <v>52189355329</v>
      </c>
      <c r="E1222" s="55">
        <v>2104573925106</v>
      </c>
      <c r="F1222" s="56" t="s">
        <v>2401</v>
      </c>
      <c r="G1222" s="56" t="s">
        <v>2388</v>
      </c>
      <c r="H1222" s="56" t="s">
        <v>8</v>
      </c>
      <c r="I1222" s="55" t="s">
        <v>8</v>
      </c>
      <c r="J1222" s="57">
        <v>7313.21</v>
      </c>
      <c r="K1222" s="56" t="s">
        <v>2389</v>
      </c>
      <c r="L1222" s="56" t="s">
        <v>2402</v>
      </c>
      <c r="M1222" s="55" t="s">
        <v>2391</v>
      </c>
      <c r="N1222" s="56" t="s">
        <v>2392</v>
      </c>
      <c r="O1222" s="53" t="s">
        <v>2055</v>
      </c>
      <c r="P1222" s="56" t="s">
        <v>2403</v>
      </c>
      <c r="Q1222" s="57">
        <v>96100</v>
      </c>
      <c r="R1222" s="58" t="s">
        <v>8</v>
      </c>
      <c r="S1222" s="57" t="s">
        <v>8</v>
      </c>
      <c r="T1222" s="56" t="s">
        <v>2394</v>
      </c>
    </row>
    <row r="1223" spans="1:20">
      <c r="A1223" s="55">
        <v>131325048714</v>
      </c>
      <c r="B1223" s="53" t="s">
        <v>2386</v>
      </c>
      <c r="C1223" s="54">
        <v>45955</v>
      </c>
      <c r="D1223" s="55">
        <v>52189409949</v>
      </c>
      <c r="E1223" s="55">
        <v>2104575459590</v>
      </c>
      <c r="F1223" s="56" t="s">
        <v>2475</v>
      </c>
      <c r="G1223" s="56" t="s">
        <v>2388</v>
      </c>
      <c r="H1223" s="56" t="s">
        <v>8</v>
      </c>
      <c r="I1223" s="55" t="s">
        <v>8</v>
      </c>
      <c r="J1223" s="57">
        <v>316.22000000000003</v>
      </c>
      <c r="K1223" s="56" t="s">
        <v>2389</v>
      </c>
      <c r="L1223" s="56" t="s">
        <v>2390</v>
      </c>
      <c r="M1223" s="55" t="s">
        <v>2391</v>
      </c>
      <c r="N1223" s="56" t="s">
        <v>2392</v>
      </c>
      <c r="O1223" s="53" t="s">
        <v>8</v>
      </c>
      <c r="P1223" s="56" t="s">
        <v>2536</v>
      </c>
      <c r="Q1223" s="57">
        <v>19400</v>
      </c>
      <c r="R1223" s="58" t="s">
        <v>8</v>
      </c>
      <c r="S1223" s="57" t="s">
        <v>8</v>
      </c>
      <c r="T1223" s="56" t="s">
        <v>2394</v>
      </c>
    </row>
    <row r="1224" spans="1:20">
      <c r="A1224" s="55">
        <v>131325856646</v>
      </c>
      <c r="B1224" s="53" t="s">
        <v>2386</v>
      </c>
      <c r="C1224" s="54">
        <v>45955</v>
      </c>
      <c r="D1224" s="55">
        <v>52189728984</v>
      </c>
      <c r="E1224" s="55">
        <v>2104580398446</v>
      </c>
      <c r="F1224" s="56" t="s">
        <v>2387</v>
      </c>
      <c r="G1224" s="56" t="s">
        <v>2388</v>
      </c>
      <c r="H1224" s="56" t="s">
        <v>8</v>
      </c>
      <c r="I1224" s="55" t="s">
        <v>8</v>
      </c>
      <c r="J1224" s="57">
        <v>369.57</v>
      </c>
      <c r="K1224" s="56" t="s">
        <v>2389</v>
      </c>
      <c r="L1224" s="56" t="s">
        <v>2390</v>
      </c>
      <c r="M1224" s="55" t="s">
        <v>2391</v>
      </c>
      <c r="N1224" s="56" t="s">
        <v>2392</v>
      </c>
      <c r="O1224" s="53" t="s">
        <v>8</v>
      </c>
      <c r="P1224" s="56" t="s">
        <v>2878</v>
      </c>
      <c r="Q1224" s="57">
        <v>38100</v>
      </c>
      <c r="R1224" s="58" t="s">
        <v>8</v>
      </c>
      <c r="S1224" s="57" t="s">
        <v>8</v>
      </c>
      <c r="T1224" s="56" t="s">
        <v>2394</v>
      </c>
    </row>
    <row r="1225" spans="1:20">
      <c r="A1225" s="55">
        <v>131328664518</v>
      </c>
      <c r="B1225" s="53" t="s">
        <v>2386</v>
      </c>
      <c r="C1225" s="54">
        <v>45955</v>
      </c>
      <c r="D1225" s="55">
        <v>52190748293</v>
      </c>
      <c r="E1225" s="55">
        <v>2104598011744</v>
      </c>
      <c r="F1225" s="56" t="s">
        <v>2387</v>
      </c>
      <c r="G1225" s="56" t="s">
        <v>2388</v>
      </c>
      <c r="H1225" s="56" t="s">
        <v>8</v>
      </c>
      <c r="I1225" s="55" t="s">
        <v>8</v>
      </c>
      <c r="J1225" s="57">
        <v>93.12</v>
      </c>
      <c r="K1225" s="56" t="s">
        <v>2389</v>
      </c>
      <c r="L1225" s="56" t="s">
        <v>2390</v>
      </c>
      <c r="M1225" s="55" t="s">
        <v>2391</v>
      </c>
      <c r="N1225" s="56" t="s">
        <v>2392</v>
      </c>
      <c r="O1225" s="53" t="s">
        <v>8</v>
      </c>
      <c r="P1225" s="56" t="s">
        <v>2879</v>
      </c>
      <c r="Q1225" s="57">
        <v>9600</v>
      </c>
      <c r="R1225" s="58" t="s">
        <v>8</v>
      </c>
      <c r="S1225" s="57" t="s">
        <v>8</v>
      </c>
      <c r="T1225" s="56" t="s">
        <v>2394</v>
      </c>
    </row>
    <row r="1226" spans="1:20">
      <c r="A1226" s="55">
        <v>130741580317</v>
      </c>
      <c r="B1226" s="53" t="s">
        <v>2386</v>
      </c>
      <c r="C1226" s="54">
        <v>45955</v>
      </c>
      <c r="D1226" s="55">
        <v>52190936225</v>
      </c>
      <c r="E1226" s="55">
        <v>2104601066836</v>
      </c>
      <c r="F1226" s="56" t="s">
        <v>2387</v>
      </c>
      <c r="G1226" s="56" t="s">
        <v>2388</v>
      </c>
      <c r="H1226" s="56" t="s">
        <v>8</v>
      </c>
      <c r="I1226" s="55" t="s">
        <v>8</v>
      </c>
      <c r="J1226" s="57">
        <v>806.07</v>
      </c>
      <c r="K1226" s="56" t="s">
        <v>2389</v>
      </c>
      <c r="L1226" s="56" t="s">
        <v>2390</v>
      </c>
      <c r="M1226" s="55" t="s">
        <v>2391</v>
      </c>
      <c r="N1226" s="56" t="s">
        <v>2392</v>
      </c>
      <c r="O1226" s="53" t="s">
        <v>8</v>
      </c>
      <c r="P1226" s="56" t="s">
        <v>2880</v>
      </c>
      <c r="Q1226" s="57">
        <v>83100</v>
      </c>
      <c r="R1226" s="58" t="s">
        <v>8</v>
      </c>
      <c r="S1226" s="57" t="s">
        <v>8</v>
      </c>
      <c r="T1226" s="56" t="s">
        <v>2394</v>
      </c>
    </row>
    <row r="1227" spans="1:20">
      <c r="A1227" s="55">
        <v>130743027301</v>
      </c>
      <c r="B1227" s="53" t="s">
        <v>2386</v>
      </c>
      <c r="C1227" s="54">
        <v>45955</v>
      </c>
      <c r="D1227" s="55">
        <v>52191449250</v>
      </c>
      <c r="E1227" s="55">
        <v>2104609997070</v>
      </c>
      <c r="F1227" s="56" t="s">
        <v>2387</v>
      </c>
      <c r="G1227" s="56" t="s">
        <v>2388</v>
      </c>
      <c r="H1227" s="56" t="s">
        <v>8</v>
      </c>
      <c r="I1227" s="55" t="s">
        <v>8</v>
      </c>
      <c r="J1227" s="57">
        <v>399.64</v>
      </c>
      <c r="K1227" s="56" t="s">
        <v>2389</v>
      </c>
      <c r="L1227" s="56" t="s">
        <v>2390</v>
      </c>
      <c r="M1227" s="55" t="s">
        <v>2391</v>
      </c>
      <c r="N1227" s="56" t="s">
        <v>2392</v>
      </c>
      <c r="O1227" s="53" t="s">
        <v>8</v>
      </c>
      <c r="P1227" s="56" t="s">
        <v>2554</v>
      </c>
      <c r="Q1227" s="57">
        <v>41200</v>
      </c>
      <c r="R1227" s="58" t="s">
        <v>8</v>
      </c>
      <c r="S1227" s="57" t="s">
        <v>8</v>
      </c>
      <c r="T1227" s="56" t="s">
        <v>2394</v>
      </c>
    </row>
    <row r="1228" spans="1:20">
      <c r="A1228" s="55">
        <v>131330704286</v>
      </c>
      <c r="B1228" s="53" t="s">
        <v>2386</v>
      </c>
      <c r="C1228" s="54">
        <v>45955</v>
      </c>
      <c r="D1228" s="55">
        <v>52191469917</v>
      </c>
      <c r="E1228" s="55">
        <v>2104610490764</v>
      </c>
      <c r="F1228" s="56" t="s">
        <v>2387</v>
      </c>
      <c r="G1228" s="56" t="s">
        <v>2388</v>
      </c>
      <c r="H1228" s="56" t="s">
        <v>8</v>
      </c>
      <c r="I1228" s="55" t="s">
        <v>8</v>
      </c>
      <c r="J1228" s="57">
        <v>371.51</v>
      </c>
      <c r="K1228" s="56" t="s">
        <v>2389</v>
      </c>
      <c r="L1228" s="56" t="s">
        <v>2390</v>
      </c>
      <c r="M1228" s="55" t="s">
        <v>2391</v>
      </c>
      <c r="N1228" s="56" t="s">
        <v>2392</v>
      </c>
      <c r="O1228" s="53" t="s">
        <v>8</v>
      </c>
      <c r="P1228" s="56" t="s">
        <v>2881</v>
      </c>
      <c r="Q1228" s="57">
        <v>38300</v>
      </c>
      <c r="R1228" s="58" t="s">
        <v>8</v>
      </c>
      <c r="S1228" s="57" t="s">
        <v>8</v>
      </c>
      <c r="T1228" s="56" t="s">
        <v>2394</v>
      </c>
    </row>
    <row r="1229" spans="1:20">
      <c r="A1229" s="55">
        <v>131331474758</v>
      </c>
      <c r="B1229" s="53" t="s">
        <v>2386</v>
      </c>
      <c r="C1229" s="54">
        <v>45955</v>
      </c>
      <c r="D1229" s="55">
        <v>52191712105</v>
      </c>
      <c r="E1229" s="55">
        <v>2104532153357</v>
      </c>
      <c r="F1229" s="56" t="s">
        <v>2387</v>
      </c>
      <c r="G1229" s="56" t="s">
        <v>2388</v>
      </c>
      <c r="H1229" s="56" t="s">
        <v>8</v>
      </c>
      <c r="I1229" s="55" t="s">
        <v>8</v>
      </c>
      <c r="J1229" s="57">
        <v>265.77999999999997</v>
      </c>
      <c r="K1229" s="56" t="s">
        <v>2389</v>
      </c>
      <c r="L1229" s="56" t="s">
        <v>2390</v>
      </c>
      <c r="M1229" s="55" t="s">
        <v>2391</v>
      </c>
      <c r="N1229" s="56" t="s">
        <v>2392</v>
      </c>
      <c r="O1229" s="53" t="s">
        <v>8</v>
      </c>
      <c r="P1229" s="56" t="s">
        <v>2882</v>
      </c>
      <c r="Q1229" s="57">
        <v>27400</v>
      </c>
      <c r="R1229" s="58" t="s">
        <v>8</v>
      </c>
      <c r="S1229" s="57" t="s">
        <v>8</v>
      </c>
      <c r="T1229" s="56" t="s">
        <v>2394</v>
      </c>
    </row>
    <row r="1230" spans="1:20">
      <c r="A1230" s="55">
        <v>131332537164</v>
      </c>
      <c r="B1230" s="53" t="s">
        <v>2386</v>
      </c>
      <c r="C1230" s="54">
        <v>45955</v>
      </c>
      <c r="D1230" s="55">
        <v>52192139960</v>
      </c>
      <c r="E1230" s="55">
        <v>2104621995590</v>
      </c>
      <c r="F1230" s="56" t="s">
        <v>2401</v>
      </c>
      <c r="G1230" s="56" t="s">
        <v>2388</v>
      </c>
      <c r="H1230" s="56" t="s">
        <v>8</v>
      </c>
      <c r="I1230" s="55" t="s">
        <v>8</v>
      </c>
      <c r="J1230" s="57">
        <v>2305.83</v>
      </c>
      <c r="K1230" s="56" t="s">
        <v>2389</v>
      </c>
      <c r="L1230" s="56" t="s">
        <v>2402</v>
      </c>
      <c r="M1230" s="55" t="s">
        <v>2391</v>
      </c>
      <c r="N1230" s="56" t="s">
        <v>2392</v>
      </c>
      <c r="O1230" s="53" t="s">
        <v>2055</v>
      </c>
      <c r="P1230" s="56" t="s">
        <v>2403</v>
      </c>
      <c r="Q1230" s="57">
        <v>33330</v>
      </c>
      <c r="R1230" s="58" t="s">
        <v>8</v>
      </c>
      <c r="S1230" s="57" t="s">
        <v>8</v>
      </c>
      <c r="T1230" s="56" t="s">
        <v>2394</v>
      </c>
    </row>
    <row r="1231" spans="1:20">
      <c r="A1231" s="55">
        <v>131332603236</v>
      </c>
      <c r="B1231" s="53" t="s">
        <v>2386</v>
      </c>
      <c r="C1231" s="54">
        <v>45955</v>
      </c>
      <c r="D1231" s="55">
        <v>52192161291</v>
      </c>
      <c r="E1231" s="55">
        <v>2104622314080</v>
      </c>
      <c r="F1231" s="56" t="s">
        <v>2387</v>
      </c>
      <c r="G1231" s="56" t="s">
        <v>2388</v>
      </c>
      <c r="H1231" s="56" t="s">
        <v>8</v>
      </c>
      <c r="I1231" s="55" t="s">
        <v>8</v>
      </c>
      <c r="J1231" s="57">
        <v>170.72</v>
      </c>
      <c r="K1231" s="56" t="s">
        <v>2389</v>
      </c>
      <c r="L1231" s="56" t="s">
        <v>2390</v>
      </c>
      <c r="M1231" s="55" t="s">
        <v>2391</v>
      </c>
      <c r="N1231" s="56" t="s">
        <v>2392</v>
      </c>
      <c r="O1231" s="53" t="s">
        <v>8</v>
      </c>
      <c r="P1231" s="56" t="s">
        <v>2883</v>
      </c>
      <c r="Q1231" s="57">
        <v>17600</v>
      </c>
      <c r="R1231" s="58" t="s">
        <v>8</v>
      </c>
      <c r="S1231" s="57" t="s">
        <v>8</v>
      </c>
      <c r="T1231" s="56" t="s">
        <v>2394</v>
      </c>
    </row>
    <row r="1232" spans="1:20">
      <c r="A1232" s="55">
        <v>130745117635</v>
      </c>
      <c r="B1232" s="53" t="s">
        <v>2386</v>
      </c>
      <c r="C1232" s="54">
        <v>45955</v>
      </c>
      <c r="D1232" s="55">
        <v>52192205166</v>
      </c>
      <c r="E1232" s="55">
        <v>2104622764576</v>
      </c>
      <c r="F1232" s="56" t="s">
        <v>2387</v>
      </c>
      <c r="G1232" s="56" t="s">
        <v>2388</v>
      </c>
      <c r="H1232" s="56" t="s">
        <v>8</v>
      </c>
      <c r="I1232" s="55" t="s">
        <v>8</v>
      </c>
      <c r="J1232" s="57">
        <v>373.45</v>
      </c>
      <c r="K1232" s="56" t="s">
        <v>2389</v>
      </c>
      <c r="L1232" s="56" t="s">
        <v>2390</v>
      </c>
      <c r="M1232" s="55" t="s">
        <v>2391</v>
      </c>
      <c r="N1232" s="56" t="s">
        <v>2392</v>
      </c>
      <c r="O1232" s="53" t="s">
        <v>8</v>
      </c>
      <c r="P1232" s="56" t="s">
        <v>2884</v>
      </c>
      <c r="Q1232" s="57">
        <v>38500</v>
      </c>
      <c r="R1232" s="58" t="s">
        <v>8</v>
      </c>
      <c r="S1232" s="57" t="s">
        <v>8</v>
      </c>
      <c r="T1232" s="56" t="s">
        <v>2394</v>
      </c>
    </row>
    <row r="1233" spans="1:20">
      <c r="A1233" s="55">
        <v>130745183261</v>
      </c>
      <c r="B1233" s="53" t="s">
        <v>2386</v>
      </c>
      <c r="C1233" s="54">
        <v>45955</v>
      </c>
      <c r="D1233" s="55">
        <v>52192209245</v>
      </c>
      <c r="E1233" s="55">
        <v>2104623176010</v>
      </c>
      <c r="F1233" s="56" t="s">
        <v>2387</v>
      </c>
      <c r="G1233" s="56" t="s">
        <v>2388</v>
      </c>
      <c r="H1233" s="56" t="s">
        <v>8</v>
      </c>
      <c r="I1233" s="55" t="s">
        <v>8</v>
      </c>
      <c r="J1233" s="57">
        <v>99.91</v>
      </c>
      <c r="K1233" s="56" t="s">
        <v>2389</v>
      </c>
      <c r="L1233" s="56" t="s">
        <v>2390</v>
      </c>
      <c r="M1233" s="55" t="s">
        <v>2391</v>
      </c>
      <c r="N1233" s="56" t="s">
        <v>2392</v>
      </c>
      <c r="O1233" s="53" t="s">
        <v>8</v>
      </c>
      <c r="P1233" s="56" t="s">
        <v>2885</v>
      </c>
      <c r="Q1233" s="57">
        <v>10300</v>
      </c>
      <c r="R1233" s="58" t="s">
        <v>8</v>
      </c>
      <c r="S1233" s="57" t="s">
        <v>8</v>
      </c>
      <c r="T1233" s="56" t="s">
        <v>2394</v>
      </c>
    </row>
    <row r="1234" spans="1:20">
      <c r="A1234" s="55">
        <v>130745282565</v>
      </c>
      <c r="B1234" s="53" t="s">
        <v>2386</v>
      </c>
      <c r="C1234" s="54">
        <v>45955</v>
      </c>
      <c r="D1234" s="55">
        <v>52192235780</v>
      </c>
      <c r="E1234" s="55">
        <v>2104623486832</v>
      </c>
      <c r="F1234" s="56" t="s">
        <v>2401</v>
      </c>
      <c r="G1234" s="56" t="s">
        <v>2388</v>
      </c>
      <c r="H1234" s="56" t="s">
        <v>8</v>
      </c>
      <c r="I1234" s="55" t="s">
        <v>8</v>
      </c>
      <c r="J1234" s="57">
        <v>734.91</v>
      </c>
      <c r="K1234" s="56" t="s">
        <v>2389</v>
      </c>
      <c r="L1234" s="56" t="s">
        <v>2402</v>
      </c>
      <c r="M1234" s="55" t="s">
        <v>2391</v>
      </c>
      <c r="N1234" s="56" t="s">
        <v>2392</v>
      </c>
      <c r="O1234" s="53" t="s">
        <v>2055</v>
      </c>
      <c r="P1234" s="56" t="s">
        <v>2403</v>
      </c>
      <c r="Q1234" s="57">
        <v>18700</v>
      </c>
      <c r="R1234" s="58" t="s">
        <v>8</v>
      </c>
      <c r="S1234" s="57" t="s">
        <v>8</v>
      </c>
      <c r="T1234" s="56" t="s">
        <v>2394</v>
      </c>
    </row>
    <row r="1235" spans="1:20">
      <c r="A1235" s="55">
        <v>131333075890</v>
      </c>
      <c r="B1235" s="53" t="s">
        <v>2386</v>
      </c>
      <c r="C1235" s="54">
        <v>45955</v>
      </c>
      <c r="D1235" s="55">
        <v>52192345855</v>
      </c>
      <c r="E1235" s="55">
        <v>2104542641703</v>
      </c>
      <c r="F1235" s="56" t="s">
        <v>2387</v>
      </c>
      <c r="G1235" s="56" t="s">
        <v>2388</v>
      </c>
      <c r="H1235" s="56" t="s">
        <v>8</v>
      </c>
      <c r="I1235" s="55" t="s">
        <v>8</v>
      </c>
      <c r="J1235" s="57">
        <v>427.77</v>
      </c>
      <c r="K1235" s="56" t="s">
        <v>2389</v>
      </c>
      <c r="L1235" s="56" t="s">
        <v>2390</v>
      </c>
      <c r="M1235" s="55" t="s">
        <v>2391</v>
      </c>
      <c r="N1235" s="56" t="s">
        <v>2392</v>
      </c>
      <c r="O1235" s="53" t="s">
        <v>8</v>
      </c>
      <c r="P1235" s="56" t="s">
        <v>2886</v>
      </c>
      <c r="Q1235" s="57">
        <v>44100</v>
      </c>
      <c r="R1235" s="58" t="s">
        <v>8</v>
      </c>
      <c r="S1235" s="57" t="s">
        <v>8</v>
      </c>
      <c r="T1235" s="56" t="s">
        <v>2394</v>
      </c>
    </row>
    <row r="1236" spans="1:20">
      <c r="A1236" s="55">
        <v>131334393716</v>
      </c>
      <c r="B1236" s="53" t="s">
        <v>2386</v>
      </c>
      <c r="C1236" s="54">
        <v>45955</v>
      </c>
      <c r="D1236" s="55">
        <v>52192819974</v>
      </c>
      <c r="E1236" s="55">
        <v>2104551308757</v>
      </c>
      <c r="F1236" s="56" t="s">
        <v>2401</v>
      </c>
      <c r="G1236" s="56" t="s">
        <v>2388</v>
      </c>
      <c r="H1236" s="56" t="s">
        <v>8</v>
      </c>
      <c r="I1236" s="55" t="s">
        <v>8</v>
      </c>
      <c r="J1236" s="57">
        <v>1937.49</v>
      </c>
      <c r="K1236" s="56" t="s">
        <v>2389</v>
      </c>
      <c r="L1236" s="56" t="s">
        <v>2402</v>
      </c>
      <c r="M1236" s="55" t="s">
        <v>2391</v>
      </c>
      <c r="N1236" s="56" t="s">
        <v>2392</v>
      </c>
      <c r="O1236" s="53" t="s">
        <v>2055</v>
      </c>
      <c r="P1236" s="56" t="s">
        <v>2403</v>
      </c>
      <c r="Q1236" s="57">
        <v>49300</v>
      </c>
      <c r="R1236" s="58" t="s">
        <v>8</v>
      </c>
      <c r="S1236" s="57" t="s">
        <v>8</v>
      </c>
      <c r="T1236" s="56" t="s">
        <v>2394</v>
      </c>
    </row>
    <row r="1237" spans="1:20">
      <c r="A1237" s="55">
        <v>130746971109</v>
      </c>
      <c r="B1237" s="53" t="s">
        <v>2386</v>
      </c>
      <c r="C1237" s="54">
        <v>45955</v>
      </c>
      <c r="D1237" s="55">
        <v>52192860823</v>
      </c>
      <c r="E1237" s="55">
        <v>2104551468023</v>
      </c>
      <c r="F1237" s="56" t="s">
        <v>2401</v>
      </c>
      <c r="G1237" s="56" t="s">
        <v>2388</v>
      </c>
      <c r="H1237" s="56" t="s">
        <v>8</v>
      </c>
      <c r="I1237" s="55" t="s">
        <v>8</v>
      </c>
      <c r="J1237" s="57">
        <v>1862.82</v>
      </c>
      <c r="K1237" s="56" t="s">
        <v>2389</v>
      </c>
      <c r="L1237" s="56" t="s">
        <v>2402</v>
      </c>
      <c r="M1237" s="55" t="s">
        <v>2391</v>
      </c>
      <c r="N1237" s="56" t="s">
        <v>2392</v>
      </c>
      <c r="O1237" s="53" t="s">
        <v>2055</v>
      </c>
      <c r="P1237" s="56" t="s">
        <v>2403</v>
      </c>
      <c r="Q1237" s="57">
        <v>47400</v>
      </c>
      <c r="R1237" s="58" t="s">
        <v>8</v>
      </c>
      <c r="S1237" s="57" t="s">
        <v>8</v>
      </c>
      <c r="T1237" s="56" t="s">
        <v>2394</v>
      </c>
    </row>
    <row r="1238" spans="1:20">
      <c r="A1238" s="55">
        <v>131334683124</v>
      </c>
      <c r="B1238" s="53" t="s">
        <v>2386</v>
      </c>
      <c r="C1238" s="54">
        <v>45955</v>
      </c>
      <c r="D1238" s="55">
        <v>52192915031</v>
      </c>
      <c r="E1238" s="55">
        <v>2104634672784</v>
      </c>
      <c r="F1238" s="56" t="s">
        <v>2387</v>
      </c>
      <c r="G1238" s="56" t="s">
        <v>2388</v>
      </c>
      <c r="H1238" s="56" t="s">
        <v>8</v>
      </c>
      <c r="I1238" s="55" t="s">
        <v>8</v>
      </c>
      <c r="J1238" s="57">
        <v>383.15</v>
      </c>
      <c r="K1238" s="56" t="s">
        <v>2389</v>
      </c>
      <c r="L1238" s="56" t="s">
        <v>2390</v>
      </c>
      <c r="M1238" s="55" t="s">
        <v>2391</v>
      </c>
      <c r="N1238" s="56" t="s">
        <v>2392</v>
      </c>
      <c r="O1238" s="53" t="s">
        <v>8</v>
      </c>
      <c r="P1238" s="56" t="s">
        <v>2887</v>
      </c>
      <c r="Q1238" s="57">
        <v>39500</v>
      </c>
      <c r="R1238" s="58" t="s">
        <v>8</v>
      </c>
      <c r="S1238" s="57" t="s">
        <v>8</v>
      </c>
      <c r="T1238" s="56" t="s">
        <v>2394</v>
      </c>
    </row>
    <row r="1239" spans="1:20">
      <c r="A1239" s="55">
        <v>131334827174</v>
      </c>
      <c r="B1239" s="53" t="s">
        <v>2386</v>
      </c>
      <c r="C1239" s="54">
        <v>45956</v>
      </c>
      <c r="D1239" s="55">
        <v>52192957291</v>
      </c>
      <c r="E1239" s="55">
        <v>2104553182159</v>
      </c>
      <c r="F1239" s="56" t="s">
        <v>2387</v>
      </c>
      <c r="G1239" s="56" t="s">
        <v>2388</v>
      </c>
      <c r="H1239" s="56" t="s">
        <v>8</v>
      </c>
      <c r="I1239" s="55" t="s">
        <v>8</v>
      </c>
      <c r="J1239" s="57">
        <v>139.68</v>
      </c>
      <c r="K1239" s="56" t="s">
        <v>2389</v>
      </c>
      <c r="L1239" s="56" t="s">
        <v>2390</v>
      </c>
      <c r="M1239" s="55" t="s">
        <v>2391</v>
      </c>
      <c r="N1239" s="56" t="s">
        <v>2392</v>
      </c>
      <c r="O1239" s="53" t="s">
        <v>8</v>
      </c>
      <c r="P1239" s="56" t="s">
        <v>2888</v>
      </c>
      <c r="Q1239" s="57">
        <v>14400</v>
      </c>
      <c r="R1239" s="58" t="s">
        <v>8</v>
      </c>
      <c r="S1239" s="57" t="s">
        <v>8</v>
      </c>
      <c r="T1239" s="56" t="s">
        <v>2394</v>
      </c>
    </row>
    <row r="1240" spans="1:20">
      <c r="A1240" s="55">
        <v>131334970938</v>
      </c>
      <c r="B1240" s="53" t="s">
        <v>2386</v>
      </c>
      <c r="C1240" s="54">
        <v>45956</v>
      </c>
      <c r="D1240" s="55">
        <v>52192972952</v>
      </c>
      <c r="E1240" s="55">
        <v>2104636478414</v>
      </c>
      <c r="F1240" s="56" t="s">
        <v>2387</v>
      </c>
      <c r="G1240" s="56" t="s">
        <v>2388</v>
      </c>
      <c r="H1240" s="56" t="s">
        <v>8</v>
      </c>
      <c r="I1240" s="55" t="s">
        <v>8</v>
      </c>
      <c r="J1240" s="57">
        <v>40.74</v>
      </c>
      <c r="K1240" s="56" t="s">
        <v>2389</v>
      </c>
      <c r="L1240" s="56" t="s">
        <v>2390</v>
      </c>
      <c r="M1240" s="55" t="s">
        <v>2391</v>
      </c>
      <c r="N1240" s="56" t="s">
        <v>2392</v>
      </c>
      <c r="O1240" s="53" t="s">
        <v>8</v>
      </c>
      <c r="P1240" s="56" t="s">
        <v>2889</v>
      </c>
      <c r="Q1240" s="57">
        <v>4200</v>
      </c>
      <c r="R1240" s="58" t="s">
        <v>8</v>
      </c>
      <c r="S1240" s="57" t="s">
        <v>8</v>
      </c>
      <c r="T1240" s="56" t="s">
        <v>2394</v>
      </c>
    </row>
    <row r="1241" spans="1:20">
      <c r="A1241" s="55">
        <v>130747270087</v>
      </c>
      <c r="B1241" s="53" t="s">
        <v>2386</v>
      </c>
      <c r="C1241" s="54">
        <v>45956</v>
      </c>
      <c r="D1241" s="55">
        <v>52193039670</v>
      </c>
      <c r="E1241" s="55">
        <v>2104637090378</v>
      </c>
      <c r="F1241" s="56" t="s">
        <v>2387</v>
      </c>
      <c r="G1241" s="56" t="s">
        <v>2388</v>
      </c>
      <c r="H1241" s="56" t="s">
        <v>8</v>
      </c>
      <c r="I1241" s="55" t="s">
        <v>8</v>
      </c>
      <c r="J1241" s="57">
        <v>478.21</v>
      </c>
      <c r="K1241" s="56" t="s">
        <v>2389</v>
      </c>
      <c r="L1241" s="56" t="s">
        <v>2390</v>
      </c>
      <c r="M1241" s="55" t="s">
        <v>2391</v>
      </c>
      <c r="N1241" s="56" t="s">
        <v>2392</v>
      </c>
      <c r="O1241" s="53" t="s">
        <v>8</v>
      </c>
      <c r="P1241" s="56" t="s">
        <v>2890</v>
      </c>
      <c r="Q1241" s="57">
        <v>49300</v>
      </c>
      <c r="R1241" s="58" t="s">
        <v>8</v>
      </c>
      <c r="S1241" s="57" t="s">
        <v>8</v>
      </c>
      <c r="T1241" s="56" t="s">
        <v>2394</v>
      </c>
    </row>
    <row r="1242" spans="1:20">
      <c r="A1242" s="55">
        <v>131335191102</v>
      </c>
      <c r="B1242" s="53" t="s">
        <v>2386</v>
      </c>
      <c r="C1242" s="54">
        <v>45956</v>
      </c>
      <c r="D1242" s="55">
        <v>52193064159</v>
      </c>
      <c r="E1242" s="55">
        <v>2104555150257</v>
      </c>
      <c r="F1242" s="56" t="s">
        <v>2411</v>
      </c>
      <c r="G1242" s="56" t="s">
        <v>2388</v>
      </c>
      <c r="H1242" s="56" t="s">
        <v>8</v>
      </c>
      <c r="I1242" s="55" t="s">
        <v>8</v>
      </c>
      <c r="J1242" s="57">
        <v>441.35</v>
      </c>
      <c r="K1242" s="56" t="s">
        <v>2389</v>
      </c>
      <c r="L1242" s="56" t="s">
        <v>2390</v>
      </c>
      <c r="M1242" s="55" t="s">
        <v>2391</v>
      </c>
      <c r="N1242" s="56" t="s">
        <v>2392</v>
      </c>
      <c r="O1242" s="53" t="s">
        <v>8</v>
      </c>
      <c r="P1242" s="56" t="s">
        <v>2412</v>
      </c>
      <c r="Q1242" s="57">
        <v>45500</v>
      </c>
      <c r="R1242" s="58" t="s">
        <v>8</v>
      </c>
      <c r="S1242" s="57" t="s">
        <v>8</v>
      </c>
      <c r="T1242" s="56" t="s">
        <v>8</v>
      </c>
    </row>
    <row r="1243" spans="1:20">
      <c r="A1243" s="55">
        <v>131335286100</v>
      </c>
      <c r="B1243" s="53" t="s">
        <v>2386</v>
      </c>
      <c r="C1243" s="54">
        <v>45956</v>
      </c>
      <c r="D1243" s="55">
        <v>52193128986</v>
      </c>
      <c r="E1243" s="55">
        <v>2104556079675</v>
      </c>
      <c r="F1243" s="56" t="s">
        <v>2411</v>
      </c>
      <c r="G1243" s="56" t="s">
        <v>2388</v>
      </c>
      <c r="H1243" s="56" t="s">
        <v>8</v>
      </c>
      <c r="I1243" s="55" t="s">
        <v>8</v>
      </c>
      <c r="J1243" s="57">
        <v>444.26</v>
      </c>
      <c r="K1243" s="56" t="s">
        <v>2389</v>
      </c>
      <c r="L1243" s="56" t="s">
        <v>2390</v>
      </c>
      <c r="M1243" s="55" t="s">
        <v>2391</v>
      </c>
      <c r="N1243" s="56" t="s">
        <v>2392</v>
      </c>
      <c r="O1243" s="53" t="s">
        <v>8</v>
      </c>
      <c r="P1243" s="56" t="s">
        <v>2412</v>
      </c>
      <c r="Q1243" s="57">
        <v>45800</v>
      </c>
      <c r="R1243" s="58" t="s">
        <v>8</v>
      </c>
      <c r="S1243" s="57" t="s">
        <v>8</v>
      </c>
      <c r="T1243" s="56" t="s">
        <v>8</v>
      </c>
    </row>
    <row r="1244" spans="1:20">
      <c r="A1244" s="55">
        <v>131406329738</v>
      </c>
      <c r="B1244" s="53" t="s">
        <v>2386</v>
      </c>
      <c r="C1244" s="54">
        <v>45956</v>
      </c>
      <c r="D1244" s="55">
        <v>52224336818</v>
      </c>
      <c r="E1244" s="55">
        <v>2105076260016</v>
      </c>
      <c r="F1244" s="56" t="s">
        <v>2387</v>
      </c>
      <c r="G1244" s="56" t="s">
        <v>2388</v>
      </c>
      <c r="H1244" s="56" t="s">
        <v>8</v>
      </c>
      <c r="I1244" s="55" t="s">
        <v>8</v>
      </c>
      <c r="J1244" s="57">
        <v>58.2</v>
      </c>
      <c r="K1244" s="56" t="s">
        <v>2389</v>
      </c>
      <c r="L1244" s="56" t="s">
        <v>2390</v>
      </c>
      <c r="M1244" s="55" t="s">
        <v>2391</v>
      </c>
      <c r="N1244" s="56" t="s">
        <v>2392</v>
      </c>
      <c r="O1244" s="53" t="s">
        <v>8</v>
      </c>
      <c r="P1244" s="56" t="s">
        <v>2439</v>
      </c>
      <c r="Q1244" s="57">
        <v>6000</v>
      </c>
      <c r="R1244" s="58" t="s">
        <v>8</v>
      </c>
      <c r="S1244" s="57" t="s">
        <v>8</v>
      </c>
      <c r="T1244" s="56" t="s">
        <v>2394</v>
      </c>
    </row>
    <row r="1245" spans="1:20">
      <c r="A1245" s="55">
        <v>130819415363</v>
      </c>
      <c r="B1245" s="53" t="s">
        <v>2386</v>
      </c>
      <c r="C1245" s="54">
        <v>45956</v>
      </c>
      <c r="D1245" s="55">
        <v>52224750582</v>
      </c>
      <c r="E1245" s="55">
        <v>2105083056260</v>
      </c>
      <c r="F1245" s="56" t="s">
        <v>2401</v>
      </c>
      <c r="G1245" s="56" t="s">
        <v>2388</v>
      </c>
      <c r="H1245" s="56" t="s">
        <v>8</v>
      </c>
      <c r="I1245" s="55" t="s">
        <v>8</v>
      </c>
      <c r="J1245" s="57">
        <v>487.32</v>
      </c>
      <c r="K1245" s="56" t="s">
        <v>2389</v>
      </c>
      <c r="L1245" s="56" t="s">
        <v>2402</v>
      </c>
      <c r="M1245" s="55" t="s">
        <v>2391</v>
      </c>
      <c r="N1245" s="56" t="s">
        <v>2392</v>
      </c>
      <c r="O1245" s="53" t="s">
        <v>2055</v>
      </c>
      <c r="P1245" s="56" t="s">
        <v>2403</v>
      </c>
      <c r="Q1245" s="57">
        <v>12400</v>
      </c>
      <c r="R1245" s="58" t="s">
        <v>8</v>
      </c>
      <c r="S1245" s="57" t="s">
        <v>8</v>
      </c>
      <c r="T1245" s="56" t="s">
        <v>2394</v>
      </c>
    </row>
    <row r="1246" spans="1:20">
      <c r="A1246" s="55">
        <v>130820163603</v>
      </c>
      <c r="B1246" s="53" t="s">
        <v>2386</v>
      </c>
      <c r="C1246" s="54">
        <v>45956</v>
      </c>
      <c r="D1246" s="55">
        <v>52225058063</v>
      </c>
      <c r="E1246" s="55">
        <v>2105004916397</v>
      </c>
      <c r="F1246" s="56" t="s">
        <v>2387</v>
      </c>
      <c r="G1246" s="56" t="s">
        <v>2388</v>
      </c>
      <c r="H1246" s="56" t="s">
        <v>8</v>
      </c>
      <c r="I1246" s="55" t="s">
        <v>8</v>
      </c>
      <c r="J1246" s="57">
        <v>85.36</v>
      </c>
      <c r="K1246" s="56" t="s">
        <v>2389</v>
      </c>
      <c r="L1246" s="56" t="s">
        <v>2390</v>
      </c>
      <c r="M1246" s="55" t="s">
        <v>2391</v>
      </c>
      <c r="N1246" s="56" t="s">
        <v>2392</v>
      </c>
      <c r="O1246" s="53" t="s">
        <v>8</v>
      </c>
      <c r="P1246" s="56" t="s">
        <v>2781</v>
      </c>
      <c r="Q1246" s="57">
        <v>8800</v>
      </c>
      <c r="R1246" s="58" t="s">
        <v>8</v>
      </c>
      <c r="S1246" s="57" t="s">
        <v>8</v>
      </c>
      <c r="T1246" s="56" t="s">
        <v>2394</v>
      </c>
    </row>
    <row r="1247" spans="1:20">
      <c r="A1247" s="55">
        <v>131408840112</v>
      </c>
      <c r="B1247" s="53" t="s">
        <v>2386</v>
      </c>
      <c r="C1247" s="54">
        <v>45956</v>
      </c>
      <c r="D1247" s="55">
        <v>52225314494</v>
      </c>
      <c r="E1247" s="55">
        <v>2105008430665</v>
      </c>
      <c r="F1247" s="56" t="s">
        <v>2387</v>
      </c>
      <c r="G1247" s="56" t="s">
        <v>2388</v>
      </c>
      <c r="H1247" s="56" t="s">
        <v>8</v>
      </c>
      <c r="I1247" s="55" t="s">
        <v>8</v>
      </c>
      <c r="J1247" s="57">
        <v>85.36</v>
      </c>
      <c r="K1247" s="56" t="s">
        <v>2389</v>
      </c>
      <c r="L1247" s="56" t="s">
        <v>2390</v>
      </c>
      <c r="M1247" s="55" t="s">
        <v>2391</v>
      </c>
      <c r="N1247" s="56" t="s">
        <v>2392</v>
      </c>
      <c r="O1247" s="53" t="s">
        <v>8</v>
      </c>
      <c r="P1247" s="56" t="s">
        <v>2891</v>
      </c>
      <c r="Q1247" s="57">
        <v>8800</v>
      </c>
      <c r="R1247" s="58" t="s">
        <v>8</v>
      </c>
      <c r="S1247" s="57" t="s">
        <v>8</v>
      </c>
      <c r="T1247" s="56" t="s">
        <v>2394</v>
      </c>
    </row>
    <row r="1248" spans="1:20">
      <c r="A1248" s="55">
        <v>131409048748</v>
      </c>
      <c r="B1248" s="53" t="s">
        <v>2386</v>
      </c>
      <c r="C1248" s="54">
        <v>45956</v>
      </c>
      <c r="D1248" s="55">
        <v>52225401474</v>
      </c>
      <c r="E1248" s="55">
        <v>2105093016730</v>
      </c>
      <c r="F1248" s="56" t="s">
        <v>2387</v>
      </c>
      <c r="G1248" s="56" t="s">
        <v>2388</v>
      </c>
      <c r="H1248" s="56" t="s">
        <v>8</v>
      </c>
      <c r="I1248" s="55" t="s">
        <v>8</v>
      </c>
      <c r="J1248" s="57">
        <v>327.86</v>
      </c>
      <c r="K1248" s="56" t="s">
        <v>2389</v>
      </c>
      <c r="L1248" s="56" t="s">
        <v>2390</v>
      </c>
      <c r="M1248" s="55" t="s">
        <v>2391</v>
      </c>
      <c r="N1248" s="56" t="s">
        <v>2392</v>
      </c>
      <c r="O1248" s="53" t="s">
        <v>8</v>
      </c>
      <c r="P1248" s="56" t="s">
        <v>2556</v>
      </c>
      <c r="Q1248" s="57">
        <v>33800</v>
      </c>
      <c r="R1248" s="58" t="s">
        <v>8</v>
      </c>
      <c r="S1248" s="57" t="s">
        <v>8</v>
      </c>
      <c r="T1248" s="56" t="s">
        <v>2394</v>
      </c>
    </row>
    <row r="1249" spans="1:20">
      <c r="A1249" s="55">
        <v>130822112395</v>
      </c>
      <c r="B1249" s="53" t="s">
        <v>2386</v>
      </c>
      <c r="C1249" s="54">
        <v>45956</v>
      </c>
      <c r="D1249" s="55">
        <v>52225807957</v>
      </c>
      <c r="E1249" s="55">
        <v>2105016621557</v>
      </c>
      <c r="F1249" s="56" t="s">
        <v>2387</v>
      </c>
      <c r="G1249" s="56" t="s">
        <v>2388</v>
      </c>
      <c r="H1249" s="56" t="s">
        <v>8</v>
      </c>
      <c r="I1249" s="55" t="s">
        <v>8</v>
      </c>
      <c r="J1249" s="57">
        <v>365.28</v>
      </c>
      <c r="K1249" s="56" t="s">
        <v>2389</v>
      </c>
      <c r="L1249" s="56" t="s">
        <v>2390</v>
      </c>
      <c r="M1249" s="55" t="s">
        <v>2391</v>
      </c>
      <c r="N1249" s="56" t="s">
        <v>2392</v>
      </c>
      <c r="O1249" s="53" t="s">
        <v>8</v>
      </c>
      <c r="P1249" s="56" t="s">
        <v>2869</v>
      </c>
      <c r="Q1249" s="57">
        <v>4800</v>
      </c>
      <c r="R1249" s="58" t="s">
        <v>8</v>
      </c>
      <c r="S1249" s="57" t="s">
        <v>8</v>
      </c>
      <c r="T1249" s="56" t="s">
        <v>2394</v>
      </c>
    </row>
    <row r="1250" spans="1:20">
      <c r="A1250" s="55">
        <v>130822354383</v>
      </c>
      <c r="B1250" s="53" t="s">
        <v>2386</v>
      </c>
      <c r="C1250" s="54">
        <v>45956</v>
      </c>
      <c r="D1250" s="55">
        <v>52225881114</v>
      </c>
      <c r="E1250" s="55">
        <v>2105018012217</v>
      </c>
      <c r="F1250" s="56" t="s">
        <v>2387</v>
      </c>
      <c r="G1250" s="56" t="s">
        <v>2388</v>
      </c>
      <c r="H1250" s="56" t="s">
        <v>8</v>
      </c>
      <c r="I1250" s="55" t="s">
        <v>8</v>
      </c>
      <c r="J1250" s="57">
        <v>47.53</v>
      </c>
      <c r="K1250" s="56" t="s">
        <v>2389</v>
      </c>
      <c r="L1250" s="56" t="s">
        <v>2390</v>
      </c>
      <c r="M1250" s="55" t="s">
        <v>2391</v>
      </c>
      <c r="N1250" s="56" t="s">
        <v>2392</v>
      </c>
      <c r="O1250" s="53" t="s">
        <v>8</v>
      </c>
      <c r="P1250" s="56" t="s">
        <v>2892</v>
      </c>
      <c r="Q1250" s="57">
        <v>4900</v>
      </c>
      <c r="R1250" s="58" t="s">
        <v>8</v>
      </c>
      <c r="S1250" s="57" t="s">
        <v>8</v>
      </c>
      <c r="T1250" s="56" t="s">
        <v>2394</v>
      </c>
    </row>
    <row r="1251" spans="1:20">
      <c r="A1251" s="55">
        <v>131410397354</v>
      </c>
      <c r="B1251" s="53" t="s">
        <v>2386</v>
      </c>
      <c r="C1251" s="54">
        <v>45956</v>
      </c>
      <c r="D1251" s="55">
        <v>52225916787</v>
      </c>
      <c r="E1251" s="55">
        <v>2105018351193</v>
      </c>
      <c r="F1251" s="56" t="s">
        <v>2411</v>
      </c>
      <c r="G1251" s="56" t="s">
        <v>2388</v>
      </c>
      <c r="H1251" s="56" t="s">
        <v>8</v>
      </c>
      <c r="I1251" s="55" t="s">
        <v>8</v>
      </c>
      <c r="J1251" s="57">
        <v>262.39</v>
      </c>
      <c r="K1251" s="56" t="s">
        <v>2389</v>
      </c>
      <c r="L1251" s="56" t="s">
        <v>2390</v>
      </c>
      <c r="M1251" s="55" t="s">
        <v>2391</v>
      </c>
      <c r="N1251" s="56" t="s">
        <v>2392</v>
      </c>
      <c r="O1251" s="53" t="s">
        <v>8</v>
      </c>
      <c r="P1251" s="56" t="s">
        <v>2412</v>
      </c>
      <c r="Q1251" s="57">
        <v>27050</v>
      </c>
      <c r="R1251" s="58" t="s">
        <v>8</v>
      </c>
      <c r="S1251" s="57" t="s">
        <v>8</v>
      </c>
      <c r="T1251" s="56" t="s">
        <v>8</v>
      </c>
    </row>
    <row r="1252" spans="1:20">
      <c r="A1252" s="55">
        <v>131411820276</v>
      </c>
      <c r="B1252" s="53" t="s">
        <v>2386</v>
      </c>
      <c r="C1252" s="54">
        <v>45956</v>
      </c>
      <c r="D1252" s="55">
        <v>52226477214</v>
      </c>
      <c r="E1252" s="55">
        <v>2105027254951</v>
      </c>
      <c r="F1252" s="56" t="s">
        <v>2387</v>
      </c>
      <c r="G1252" s="56" t="s">
        <v>2388</v>
      </c>
      <c r="H1252" s="56" t="s">
        <v>8</v>
      </c>
      <c r="I1252" s="55" t="s">
        <v>8</v>
      </c>
      <c r="J1252" s="57">
        <v>2123.19</v>
      </c>
      <c r="K1252" s="56" t="s">
        <v>2389</v>
      </c>
      <c r="L1252" s="56" t="s">
        <v>2390</v>
      </c>
      <c r="M1252" s="55" t="s">
        <v>2391</v>
      </c>
      <c r="N1252" s="56" t="s">
        <v>2392</v>
      </c>
      <c r="O1252" s="53" t="s">
        <v>8</v>
      </c>
      <c r="P1252" s="56" t="s">
        <v>2438</v>
      </c>
      <c r="Q1252" s="57">
        <v>27900</v>
      </c>
      <c r="R1252" s="58" t="s">
        <v>8</v>
      </c>
      <c r="S1252" s="57" t="s">
        <v>8</v>
      </c>
      <c r="T1252" s="56" t="s">
        <v>2394</v>
      </c>
    </row>
    <row r="1253" spans="1:20">
      <c r="A1253" s="55">
        <v>130824133399</v>
      </c>
      <c r="B1253" s="53" t="s">
        <v>2386</v>
      </c>
      <c r="C1253" s="54">
        <v>45956</v>
      </c>
      <c r="D1253" s="55">
        <v>52226613145</v>
      </c>
      <c r="E1253" s="55">
        <v>2105112014066</v>
      </c>
      <c r="F1253" s="56" t="s">
        <v>2401</v>
      </c>
      <c r="G1253" s="56" t="s">
        <v>2388</v>
      </c>
      <c r="H1253" s="56" t="s">
        <v>8</v>
      </c>
      <c r="I1253" s="55" t="s">
        <v>8</v>
      </c>
      <c r="J1253" s="57">
        <v>644.52</v>
      </c>
      <c r="K1253" s="56" t="s">
        <v>2389</v>
      </c>
      <c r="L1253" s="56" t="s">
        <v>2402</v>
      </c>
      <c r="M1253" s="55" t="s">
        <v>2391</v>
      </c>
      <c r="N1253" s="56" t="s">
        <v>2392</v>
      </c>
      <c r="O1253" s="53" t="s">
        <v>2055</v>
      </c>
      <c r="P1253" s="56" t="s">
        <v>2403</v>
      </c>
      <c r="Q1253" s="57">
        <v>16400</v>
      </c>
      <c r="R1253" s="58" t="s">
        <v>8</v>
      </c>
      <c r="S1253" s="57" t="s">
        <v>8</v>
      </c>
      <c r="T1253" s="56" t="s">
        <v>2394</v>
      </c>
    </row>
    <row r="1254" spans="1:20">
      <c r="A1254" s="55">
        <v>131412096670</v>
      </c>
      <c r="B1254" s="53" t="s">
        <v>2386</v>
      </c>
      <c r="C1254" s="54">
        <v>45956</v>
      </c>
      <c r="D1254" s="55">
        <v>52226616449</v>
      </c>
      <c r="E1254" s="55">
        <v>2105029216609</v>
      </c>
      <c r="F1254" s="56" t="s">
        <v>2387</v>
      </c>
      <c r="G1254" s="56" t="s">
        <v>2388</v>
      </c>
      <c r="H1254" s="56" t="s">
        <v>8</v>
      </c>
      <c r="I1254" s="55" t="s">
        <v>8</v>
      </c>
      <c r="J1254" s="57">
        <v>140.65</v>
      </c>
      <c r="K1254" s="56" t="s">
        <v>2389</v>
      </c>
      <c r="L1254" s="56" t="s">
        <v>2390</v>
      </c>
      <c r="M1254" s="55" t="s">
        <v>2391</v>
      </c>
      <c r="N1254" s="56" t="s">
        <v>2392</v>
      </c>
      <c r="O1254" s="53" t="s">
        <v>8</v>
      </c>
      <c r="P1254" s="56" t="s">
        <v>2893</v>
      </c>
      <c r="Q1254" s="57">
        <v>14500</v>
      </c>
      <c r="R1254" s="58" t="s">
        <v>8</v>
      </c>
      <c r="S1254" s="57" t="s">
        <v>8</v>
      </c>
      <c r="T1254" s="56" t="s">
        <v>2394</v>
      </c>
    </row>
    <row r="1255" spans="1:20">
      <c r="A1255" s="55">
        <v>130824222455</v>
      </c>
      <c r="B1255" s="53" t="s">
        <v>2386</v>
      </c>
      <c r="C1255" s="54">
        <v>45956</v>
      </c>
      <c r="D1255" s="55">
        <v>52226630758</v>
      </c>
      <c r="E1255" s="55">
        <v>2105112390060</v>
      </c>
      <c r="F1255" s="56" t="s">
        <v>2401</v>
      </c>
      <c r="G1255" s="56" t="s">
        <v>2388</v>
      </c>
      <c r="H1255" s="56" t="s">
        <v>8</v>
      </c>
      <c r="I1255" s="55" t="s">
        <v>8</v>
      </c>
      <c r="J1255" s="57">
        <v>7362.2</v>
      </c>
      <c r="K1255" s="56" t="s">
        <v>2389</v>
      </c>
      <c r="L1255" s="56" t="s">
        <v>2402</v>
      </c>
      <c r="M1255" s="55" t="s">
        <v>2391</v>
      </c>
      <c r="N1255" s="56" t="s">
        <v>2392</v>
      </c>
      <c r="O1255" s="53" t="s">
        <v>2055</v>
      </c>
      <c r="P1255" s="56" t="s">
        <v>2403</v>
      </c>
      <c r="Q1255" s="57">
        <v>65500</v>
      </c>
      <c r="R1255" s="58" t="s">
        <v>8</v>
      </c>
      <c r="S1255" s="57" t="s">
        <v>8</v>
      </c>
      <c r="T1255" s="56" t="s">
        <v>2394</v>
      </c>
    </row>
    <row r="1256" spans="1:20">
      <c r="A1256" s="55">
        <v>130824828049</v>
      </c>
      <c r="B1256" s="53" t="s">
        <v>2386</v>
      </c>
      <c r="C1256" s="54">
        <v>45956</v>
      </c>
      <c r="D1256" s="55">
        <v>52226937311</v>
      </c>
      <c r="E1256" s="55">
        <v>2105034154631</v>
      </c>
      <c r="F1256" s="56" t="s">
        <v>2401</v>
      </c>
      <c r="G1256" s="56" t="s">
        <v>2388</v>
      </c>
      <c r="H1256" s="56" t="s">
        <v>8</v>
      </c>
      <c r="I1256" s="55" t="s">
        <v>8</v>
      </c>
      <c r="J1256" s="57">
        <v>2475.9</v>
      </c>
      <c r="K1256" s="56" t="s">
        <v>2389</v>
      </c>
      <c r="L1256" s="56" t="s">
        <v>2402</v>
      </c>
      <c r="M1256" s="55" t="s">
        <v>2391</v>
      </c>
      <c r="N1256" s="56" t="s">
        <v>2392</v>
      </c>
      <c r="O1256" s="53" t="s">
        <v>2055</v>
      </c>
      <c r="P1256" s="56" t="s">
        <v>2403</v>
      </c>
      <c r="Q1256" s="57">
        <v>63000</v>
      </c>
      <c r="R1256" s="58" t="s">
        <v>8</v>
      </c>
      <c r="S1256" s="57" t="s">
        <v>8</v>
      </c>
      <c r="T1256" s="56" t="s">
        <v>2394</v>
      </c>
    </row>
    <row r="1257" spans="1:20">
      <c r="A1257" s="55">
        <v>130826569483</v>
      </c>
      <c r="B1257" s="53" t="s">
        <v>2386</v>
      </c>
      <c r="C1257" s="54">
        <v>45956</v>
      </c>
      <c r="D1257" s="55">
        <v>52227620831</v>
      </c>
      <c r="E1257" s="55">
        <v>2105127559472</v>
      </c>
      <c r="F1257" s="56" t="s">
        <v>2387</v>
      </c>
      <c r="G1257" s="56" t="s">
        <v>2388</v>
      </c>
      <c r="H1257" s="56" t="s">
        <v>8</v>
      </c>
      <c r="I1257" s="55" t="s">
        <v>8</v>
      </c>
      <c r="J1257" s="57">
        <v>800.25</v>
      </c>
      <c r="K1257" s="56" t="s">
        <v>2389</v>
      </c>
      <c r="L1257" s="56" t="s">
        <v>2390</v>
      </c>
      <c r="M1257" s="55" t="s">
        <v>2391</v>
      </c>
      <c r="N1257" s="56" t="s">
        <v>2392</v>
      </c>
      <c r="O1257" s="53" t="s">
        <v>8</v>
      </c>
      <c r="P1257" s="56" t="s">
        <v>2434</v>
      </c>
      <c r="Q1257" s="57">
        <v>82500</v>
      </c>
      <c r="R1257" s="58" t="s">
        <v>8</v>
      </c>
      <c r="S1257" s="57" t="s">
        <v>8</v>
      </c>
      <c r="T1257" s="56" t="s">
        <v>2394</v>
      </c>
    </row>
    <row r="1258" spans="1:20">
      <c r="A1258" s="55">
        <v>131414928320</v>
      </c>
      <c r="B1258" s="53" t="s">
        <v>2386</v>
      </c>
      <c r="C1258" s="54">
        <v>45956</v>
      </c>
      <c r="D1258" s="55">
        <v>52227716583</v>
      </c>
      <c r="E1258" s="55">
        <v>2105045854585</v>
      </c>
      <c r="F1258" s="56" t="s">
        <v>2401</v>
      </c>
      <c r="G1258" s="56" t="s">
        <v>2388</v>
      </c>
      <c r="H1258" s="56" t="s">
        <v>8</v>
      </c>
      <c r="I1258" s="55" t="s">
        <v>8</v>
      </c>
      <c r="J1258" s="57">
        <v>738.84</v>
      </c>
      <c r="K1258" s="56" t="s">
        <v>2389</v>
      </c>
      <c r="L1258" s="56" t="s">
        <v>2402</v>
      </c>
      <c r="M1258" s="55" t="s">
        <v>2391</v>
      </c>
      <c r="N1258" s="56" t="s">
        <v>2392</v>
      </c>
      <c r="O1258" s="53" t="s">
        <v>2055</v>
      </c>
      <c r="P1258" s="56" t="s">
        <v>2403</v>
      </c>
      <c r="Q1258" s="57">
        <v>18800</v>
      </c>
      <c r="R1258" s="58" t="s">
        <v>8</v>
      </c>
      <c r="S1258" s="57" t="s">
        <v>8</v>
      </c>
      <c r="T1258" s="56" t="s">
        <v>2394</v>
      </c>
    </row>
    <row r="1259" spans="1:20">
      <c r="A1259" s="55">
        <v>130826888049</v>
      </c>
      <c r="B1259" s="53" t="s">
        <v>2386</v>
      </c>
      <c r="C1259" s="54">
        <v>45956</v>
      </c>
      <c r="D1259" s="55">
        <v>52227787878</v>
      </c>
      <c r="E1259" s="55">
        <v>2105129796508</v>
      </c>
      <c r="F1259" s="56" t="s">
        <v>2475</v>
      </c>
      <c r="G1259" s="56" t="s">
        <v>2388</v>
      </c>
      <c r="H1259" s="56" t="s">
        <v>8</v>
      </c>
      <c r="I1259" s="55" t="s">
        <v>8</v>
      </c>
      <c r="J1259" s="57">
        <v>544.41999999999996</v>
      </c>
      <c r="K1259" s="56" t="s">
        <v>2389</v>
      </c>
      <c r="L1259" s="56" t="s">
        <v>2390</v>
      </c>
      <c r="M1259" s="55" t="s">
        <v>2391</v>
      </c>
      <c r="N1259" s="56" t="s">
        <v>2392</v>
      </c>
      <c r="O1259" s="53" t="s">
        <v>8</v>
      </c>
      <c r="P1259" s="56" t="s">
        <v>2476</v>
      </c>
      <c r="Q1259" s="57">
        <v>33400</v>
      </c>
      <c r="R1259" s="58" t="s">
        <v>8</v>
      </c>
      <c r="S1259" s="57" t="s">
        <v>8</v>
      </c>
      <c r="T1259" s="56" t="s">
        <v>2394</v>
      </c>
    </row>
    <row r="1260" spans="1:20">
      <c r="A1260" s="55">
        <v>131415465152</v>
      </c>
      <c r="B1260" s="53" t="s">
        <v>2386</v>
      </c>
      <c r="C1260" s="54">
        <v>45956</v>
      </c>
      <c r="D1260" s="55">
        <v>52227973024</v>
      </c>
      <c r="E1260" s="55">
        <v>2105132951040</v>
      </c>
      <c r="F1260" s="56" t="s">
        <v>2411</v>
      </c>
      <c r="G1260" s="56" t="s">
        <v>2388</v>
      </c>
      <c r="H1260" s="56" t="s">
        <v>8</v>
      </c>
      <c r="I1260" s="55" t="s">
        <v>8</v>
      </c>
      <c r="J1260" s="57">
        <v>129.97999999999999</v>
      </c>
      <c r="K1260" s="56" t="s">
        <v>2389</v>
      </c>
      <c r="L1260" s="56" t="s">
        <v>2390</v>
      </c>
      <c r="M1260" s="55" t="s">
        <v>2391</v>
      </c>
      <c r="N1260" s="56" t="s">
        <v>2392</v>
      </c>
      <c r="O1260" s="53" t="s">
        <v>8</v>
      </c>
      <c r="P1260" s="56" t="s">
        <v>2412</v>
      </c>
      <c r="Q1260" s="57">
        <v>13400</v>
      </c>
      <c r="R1260" s="58" t="s">
        <v>8</v>
      </c>
      <c r="S1260" s="57" t="s">
        <v>8</v>
      </c>
      <c r="T1260" s="56" t="s">
        <v>8</v>
      </c>
    </row>
    <row r="1261" spans="1:20">
      <c r="A1261" s="55">
        <v>131415773332</v>
      </c>
      <c r="B1261" s="53" t="s">
        <v>2386</v>
      </c>
      <c r="C1261" s="54">
        <v>45956</v>
      </c>
      <c r="D1261" s="55">
        <v>52228103437</v>
      </c>
      <c r="E1261" s="55">
        <v>2105052409675</v>
      </c>
      <c r="F1261" s="56" t="s">
        <v>2387</v>
      </c>
      <c r="G1261" s="56" t="s">
        <v>2388</v>
      </c>
      <c r="H1261" s="56" t="s">
        <v>8</v>
      </c>
      <c r="I1261" s="55" t="s">
        <v>8</v>
      </c>
      <c r="J1261" s="57">
        <v>357.93</v>
      </c>
      <c r="K1261" s="56" t="s">
        <v>2389</v>
      </c>
      <c r="L1261" s="56" t="s">
        <v>2390</v>
      </c>
      <c r="M1261" s="55" t="s">
        <v>2391</v>
      </c>
      <c r="N1261" s="56" t="s">
        <v>2392</v>
      </c>
      <c r="O1261" s="53" t="s">
        <v>8</v>
      </c>
      <c r="P1261" s="56" t="s">
        <v>2894</v>
      </c>
      <c r="Q1261" s="57">
        <v>36900</v>
      </c>
      <c r="R1261" s="58" t="s">
        <v>8</v>
      </c>
      <c r="S1261" s="57" t="s">
        <v>8</v>
      </c>
      <c r="T1261" s="56" t="s">
        <v>2394</v>
      </c>
    </row>
    <row r="1262" spans="1:20">
      <c r="A1262" s="55">
        <v>131416326220</v>
      </c>
      <c r="B1262" s="53" t="s">
        <v>2386</v>
      </c>
      <c r="C1262" s="54">
        <v>45956</v>
      </c>
      <c r="D1262" s="55">
        <v>52228316037</v>
      </c>
      <c r="E1262" s="55">
        <v>2105137735486</v>
      </c>
      <c r="F1262" s="56" t="s">
        <v>2387</v>
      </c>
      <c r="G1262" s="56" t="s">
        <v>2388</v>
      </c>
      <c r="H1262" s="56" t="s">
        <v>8</v>
      </c>
      <c r="I1262" s="55" t="s">
        <v>8</v>
      </c>
      <c r="J1262" s="57">
        <v>644.08000000000004</v>
      </c>
      <c r="K1262" s="56" t="s">
        <v>2389</v>
      </c>
      <c r="L1262" s="56" t="s">
        <v>2390</v>
      </c>
      <c r="M1262" s="55" t="s">
        <v>2391</v>
      </c>
      <c r="N1262" s="56" t="s">
        <v>2392</v>
      </c>
      <c r="O1262" s="53" t="s">
        <v>8</v>
      </c>
      <c r="P1262" s="56" t="s">
        <v>2895</v>
      </c>
      <c r="Q1262" s="57">
        <v>66400</v>
      </c>
      <c r="R1262" s="58" t="s">
        <v>8</v>
      </c>
      <c r="S1262" s="57" t="s">
        <v>8</v>
      </c>
      <c r="T1262" s="56" t="s">
        <v>2394</v>
      </c>
    </row>
    <row r="1263" spans="1:20">
      <c r="A1263" s="55">
        <v>131417185922</v>
      </c>
      <c r="B1263" s="53" t="s">
        <v>2386</v>
      </c>
      <c r="C1263" s="54">
        <v>45956</v>
      </c>
      <c r="D1263" s="55">
        <v>52228661950</v>
      </c>
      <c r="E1263" s="55">
        <v>2105143462488</v>
      </c>
      <c r="F1263" s="56" t="s">
        <v>2387</v>
      </c>
      <c r="G1263" s="56" t="s">
        <v>2388</v>
      </c>
      <c r="H1263" s="56" t="s">
        <v>8</v>
      </c>
      <c r="I1263" s="55" t="s">
        <v>8</v>
      </c>
      <c r="J1263" s="57">
        <v>651.84</v>
      </c>
      <c r="K1263" s="56" t="s">
        <v>2389</v>
      </c>
      <c r="L1263" s="56" t="s">
        <v>2390</v>
      </c>
      <c r="M1263" s="55" t="s">
        <v>2391</v>
      </c>
      <c r="N1263" s="56" t="s">
        <v>2392</v>
      </c>
      <c r="O1263" s="53" t="s">
        <v>8</v>
      </c>
      <c r="P1263" s="56" t="s">
        <v>2896</v>
      </c>
      <c r="Q1263" s="57">
        <v>67200</v>
      </c>
      <c r="R1263" s="58" t="s">
        <v>8</v>
      </c>
      <c r="S1263" s="57" t="s">
        <v>8</v>
      </c>
      <c r="T1263" s="56" t="s">
        <v>2394</v>
      </c>
    </row>
    <row r="1264" spans="1:20">
      <c r="A1264" s="55">
        <v>130829133981</v>
      </c>
      <c r="B1264" s="53" t="s">
        <v>2386</v>
      </c>
      <c r="C1264" s="54">
        <v>45956</v>
      </c>
      <c r="D1264" s="55">
        <v>52228677748</v>
      </c>
      <c r="E1264" s="55">
        <v>2105143451636</v>
      </c>
      <c r="F1264" s="56" t="s">
        <v>2387</v>
      </c>
      <c r="G1264" s="56" t="s">
        <v>2388</v>
      </c>
      <c r="H1264" s="56" t="s">
        <v>8</v>
      </c>
      <c r="I1264" s="55" t="s">
        <v>8</v>
      </c>
      <c r="J1264" s="57">
        <v>960.3</v>
      </c>
      <c r="K1264" s="56" t="s">
        <v>2389</v>
      </c>
      <c r="L1264" s="56" t="s">
        <v>2390</v>
      </c>
      <c r="M1264" s="55" t="s">
        <v>2391</v>
      </c>
      <c r="N1264" s="56" t="s">
        <v>2392</v>
      </c>
      <c r="O1264" s="53" t="s">
        <v>8</v>
      </c>
      <c r="P1264" s="56" t="s">
        <v>2897</v>
      </c>
      <c r="Q1264" s="57">
        <v>99000</v>
      </c>
      <c r="R1264" s="58" t="s">
        <v>8</v>
      </c>
      <c r="S1264" s="57" t="s">
        <v>8</v>
      </c>
      <c r="T1264" s="56" t="s">
        <v>2394</v>
      </c>
    </row>
    <row r="1265" spans="1:20">
      <c r="A1265" s="55">
        <v>131417419112</v>
      </c>
      <c r="B1265" s="53" t="s">
        <v>2386</v>
      </c>
      <c r="C1265" s="54">
        <v>45956</v>
      </c>
      <c r="D1265" s="55">
        <v>52228776187</v>
      </c>
      <c r="E1265" s="55">
        <v>2105144927844</v>
      </c>
      <c r="F1265" s="56" t="s">
        <v>2387</v>
      </c>
      <c r="G1265" s="56" t="s">
        <v>2388</v>
      </c>
      <c r="H1265" s="56" t="s">
        <v>8</v>
      </c>
      <c r="I1265" s="55" t="s">
        <v>8</v>
      </c>
      <c r="J1265" s="57">
        <v>756.6</v>
      </c>
      <c r="K1265" s="56" t="s">
        <v>2389</v>
      </c>
      <c r="L1265" s="56" t="s">
        <v>2390</v>
      </c>
      <c r="M1265" s="55" t="s">
        <v>2391</v>
      </c>
      <c r="N1265" s="56" t="s">
        <v>2392</v>
      </c>
      <c r="O1265" s="53" t="s">
        <v>8</v>
      </c>
      <c r="P1265" s="56" t="s">
        <v>2643</v>
      </c>
      <c r="Q1265" s="57">
        <v>78000</v>
      </c>
      <c r="R1265" s="58" t="s">
        <v>8</v>
      </c>
      <c r="S1265" s="57" t="s">
        <v>8</v>
      </c>
      <c r="T1265" s="56" t="s">
        <v>2394</v>
      </c>
    </row>
    <row r="1266" spans="1:20">
      <c r="A1266" s="55">
        <v>130829609829</v>
      </c>
      <c r="B1266" s="53" t="s">
        <v>2386</v>
      </c>
      <c r="C1266" s="54">
        <v>45956</v>
      </c>
      <c r="D1266" s="55">
        <v>52228840018</v>
      </c>
      <c r="E1266" s="55">
        <v>2105146214338</v>
      </c>
      <c r="F1266" s="56" t="s">
        <v>2387</v>
      </c>
      <c r="G1266" s="56" t="s">
        <v>2388</v>
      </c>
      <c r="H1266" s="56" t="s">
        <v>8</v>
      </c>
      <c r="I1266" s="55" t="s">
        <v>8</v>
      </c>
      <c r="J1266" s="57">
        <v>243.47</v>
      </c>
      <c r="K1266" s="56" t="s">
        <v>2389</v>
      </c>
      <c r="L1266" s="56" t="s">
        <v>2390</v>
      </c>
      <c r="M1266" s="55" t="s">
        <v>2391</v>
      </c>
      <c r="N1266" s="56" t="s">
        <v>2392</v>
      </c>
      <c r="O1266" s="53" t="s">
        <v>8</v>
      </c>
      <c r="P1266" s="56" t="s">
        <v>2898</v>
      </c>
      <c r="Q1266" s="57">
        <v>25100</v>
      </c>
      <c r="R1266" s="58" t="s">
        <v>8</v>
      </c>
      <c r="S1266" s="57" t="s">
        <v>8</v>
      </c>
      <c r="T1266" s="56" t="s">
        <v>2394</v>
      </c>
    </row>
    <row r="1267" spans="1:20">
      <c r="A1267" s="55">
        <v>130829896373</v>
      </c>
      <c r="B1267" s="53" t="s">
        <v>2386</v>
      </c>
      <c r="C1267" s="54">
        <v>45956</v>
      </c>
      <c r="D1267" s="55">
        <v>52228852603</v>
      </c>
      <c r="E1267" s="55">
        <v>2105147004074</v>
      </c>
      <c r="F1267" s="56" t="s">
        <v>2387</v>
      </c>
      <c r="G1267" s="56" t="s">
        <v>2388</v>
      </c>
      <c r="H1267" s="56" t="s">
        <v>8</v>
      </c>
      <c r="I1267" s="55" t="s">
        <v>8</v>
      </c>
      <c r="J1267" s="57">
        <v>5342.22</v>
      </c>
      <c r="K1267" s="56" t="s">
        <v>2389</v>
      </c>
      <c r="L1267" s="56" t="s">
        <v>2390</v>
      </c>
      <c r="M1267" s="55" t="s">
        <v>2391</v>
      </c>
      <c r="N1267" s="56" t="s">
        <v>2392</v>
      </c>
      <c r="O1267" s="53" t="s">
        <v>8</v>
      </c>
      <c r="P1267" s="56" t="s">
        <v>2899</v>
      </c>
      <c r="Q1267" s="57">
        <v>70200</v>
      </c>
      <c r="R1267" s="58" t="s">
        <v>8</v>
      </c>
      <c r="S1267" s="57" t="s">
        <v>8</v>
      </c>
      <c r="T1267" s="56" t="s">
        <v>2394</v>
      </c>
    </row>
    <row r="1268" spans="1:20">
      <c r="A1268" s="55">
        <v>130830174093</v>
      </c>
      <c r="B1268" s="53" t="s">
        <v>2386</v>
      </c>
      <c r="C1268" s="54">
        <v>45956</v>
      </c>
      <c r="D1268" s="55">
        <v>52229050891</v>
      </c>
      <c r="E1268" s="55">
        <v>2105149838416</v>
      </c>
      <c r="F1268" s="56" t="s">
        <v>2387</v>
      </c>
      <c r="G1268" s="56" t="s">
        <v>2388</v>
      </c>
      <c r="H1268" s="56" t="s">
        <v>8</v>
      </c>
      <c r="I1268" s="55" t="s">
        <v>8</v>
      </c>
      <c r="J1268" s="57">
        <v>3394.06</v>
      </c>
      <c r="K1268" s="56" t="s">
        <v>2389</v>
      </c>
      <c r="L1268" s="56" t="s">
        <v>2390</v>
      </c>
      <c r="M1268" s="55" t="s">
        <v>2391</v>
      </c>
      <c r="N1268" s="56" t="s">
        <v>2392</v>
      </c>
      <c r="O1268" s="53" t="s">
        <v>8</v>
      </c>
      <c r="P1268" s="56" t="s">
        <v>2900</v>
      </c>
      <c r="Q1268" s="57">
        <v>44600</v>
      </c>
      <c r="R1268" s="58" t="s">
        <v>8</v>
      </c>
      <c r="S1268" s="57" t="s">
        <v>8</v>
      </c>
      <c r="T1268" s="56" t="s">
        <v>2394</v>
      </c>
    </row>
    <row r="1269" spans="1:20">
      <c r="A1269" s="55">
        <v>131418186586</v>
      </c>
      <c r="B1269" s="53" t="s">
        <v>2386</v>
      </c>
      <c r="C1269" s="54">
        <v>45956</v>
      </c>
      <c r="D1269" s="55">
        <v>52229064714</v>
      </c>
      <c r="E1269" s="55">
        <v>2105149483142</v>
      </c>
      <c r="F1269" s="56" t="s">
        <v>2387</v>
      </c>
      <c r="G1269" s="56" t="s">
        <v>2388</v>
      </c>
      <c r="H1269" s="56" t="s">
        <v>8</v>
      </c>
      <c r="I1269" s="55" t="s">
        <v>8</v>
      </c>
      <c r="J1269" s="57">
        <v>378.3</v>
      </c>
      <c r="K1269" s="56" t="s">
        <v>2389</v>
      </c>
      <c r="L1269" s="56" t="s">
        <v>2390</v>
      </c>
      <c r="M1269" s="55" t="s">
        <v>2391</v>
      </c>
      <c r="N1269" s="56" t="s">
        <v>2392</v>
      </c>
      <c r="O1269" s="53" t="s">
        <v>8</v>
      </c>
      <c r="P1269" s="56" t="s">
        <v>2901</v>
      </c>
      <c r="Q1269" s="57">
        <v>39000</v>
      </c>
      <c r="R1269" s="58" t="s">
        <v>8</v>
      </c>
      <c r="S1269" s="57" t="s">
        <v>8</v>
      </c>
      <c r="T1269" s="56" t="s">
        <v>2394</v>
      </c>
    </row>
    <row r="1270" spans="1:20">
      <c r="A1270" s="55">
        <v>131419481488</v>
      </c>
      <c r="B1270" s="53" t="s">
        <v>2386</v>
      </c>
      <c r="C1270" s="54">
        <v>45956</v>
      </c>
      <c r="D1270" s="55">
        <v>52229611915</v>
      </c>
      <c r="E1270" s="55">
        <v>2105075435427</v>
      </c>
      <c r="F1270" s="56" t="s">
        <v>2401</v>
      </c>
      <c r="G1270" s="56" t="s">
        <v>2388</v>
      </c>
      <c r="H1270" s="56" t="s">
        <v>8</v>
      </c>
      <c r="I1270" s="55" t="s">
        <v>8</v>
      </c>
      <c r="J1270" s="57">
        <v>1925.7</v>
      </c>
      <c r="K1270" s="56" t="s">
        <v>2389</v>
      </c>
      <c r="L1270" s="56" t="s">
        <v>2402</v>
      </c>
      <c r="M1270" s="55" t="s">
        <v>2391</v>
      </c>
      <c r="N1270" s="56" t="s">
        <v>2392</v>
      </c>
      <c r="O1270" s="53" t="s">
        <v>2055</v>
      </c>
      <c r="P1270" s="56" t="s">
        <v>2403</v>
      </c>
      <c r="Q1270" s="57">
        <v>49000</v>
      </c>
      <c r="R1270" s="58" t="s">
        <v>8</v>
      </c>
      <c r="S1270" s="57" t="s">
        <v>8</v>
      </c>
      <c r="T1270" s="56" t="s">
        <v>2394</v>
      </c>
    </row>
    <row r="1271" spans="1:20">
      <c r="A1271" s="55">
        <v>131419980308</v>
      </c>
      <c r="B1271" s="53" t="s">
        <v>2386</v>
      </c>
      <c r="C1271" s="54">
        <v>45956</v>
      </c>
      <c r="D1271" s="55">
        <v>52229769642</v>
      </c>
      <c r="E1271" s="55">
        <v>2105160512552</v>
      </c>
      <c r="F1271" s="56" t="s">
        <v>2387</v>
      </c>
      <c r="G1271" s="56" t="s">
        <v>2388</v>
      </c>
      <c r="H1271" s="56" t="s">
        <v>8</v>
      </c>
      <c r="I1271" s="55" t="s">
        <v>8</v>
      </c>
      <c r="J1271" s="57">
        <v>388.97</v>
      </c>
      <c r="K1271" s="56" t="s">
        <v>2389</v>
      </c>
      <c r="L1271" s="56" t="s">
        <v>2390</v>
      </c>
      <c r="M1271" s="55" t="s">
        <v>2391</v>
      </c>
      <c r="N1271" s="56" t="s">
        <v>2392</v>
      </c>
      <c r="O1271" s="53" t="s">
        <v>8</v>
      </c>
      <c r="P1271" s="56" t="s">
        <v>2902</v>
      </c>
      <c r="Q1271" s="57">
        <v>40100</v>
      </c>
      <c r="R1271" s="58" t="s">
        <v>8</v>
      </c>
      <c r="S1271" s="57" t="s">
        <v>8</v>
      </c>
      <c r="T1271" s="56" t="s">
        <v>2394</v>
      </c>
    </row>
    <row r="1272" spans="1:20">
      <c r="A1272" s="55">
        <v>131420014070</v>
      </c>
      <c r="B1272" s="53" t="s">
        <v>2386</v>
      </c>
      <c r="C1272" s="54">
        <v>45956</v>
      </c>
      <c r="D1272" s="55">
        <v>52229837744</v>
      </c>
      <c r="E1272" s="55">
        <v>2105161367322</v>
      </c>
      <c r="F1272" s="56" t="s">
        <v>2387</v>
      </c>
      <c r="G1272" s="56" t="s">
        <v>2388</v>
      </c>
      <c r="H1272" s="56" t="s">
        <v>8</v>
      </c>
      <c r="I1272" s="55" t="s">
        <v>8</v>
      </c>
      <c r="J1272" s="57">
        <v>595.58000000000004</v>
      </c>
      <c r="K1272" s="56" t="s">
        <v>2389</v>
      </c>
      <c r="L1272" s="56" t="s">
        <v>2390</v>
      </c>
      <c r="M1272" s="55" t="s">
        <v>2391</v>
      </c>
      <c r="N1272" s="56" t="s">
        <v>2392</v>
      </c>
      <c r="O1272" s="53" t="s">
        <v>8</v>
      </c>
      <c r="P1272" s="56" t="s">
        <v>2903</v>
      </c>
      <c r="Q1272" s="57">
        <v>61400</v>
      </c>
      <c r="R1272" s="58" t="s">
        <v>8</v>
      </c>
      <c r="S1272" s="57" t="s">
        <v>8</v>
      </c>
      <c r="T1272" s="56" t="s">
        <v>2394</v>
      </c>
    </row>
    <row r="1273" spans="1:20">
      <c r="A1273" s="55">
        <v>130832190117</v>
      </c>
      <c r="B1273" s="53" t="s">
        <v>2386</v>
      </c>
      <c r="C1273" s="54">
        <v>45956</v>
      </c>
      <c r="D1273" s="55">
        <v>52229847857</v>
      </c>
      <c r="E1273" s="55">
        <v>2105161791936</v>
      </c>
      <c r="F1273" s="56" t="s">
        <v>2387</v>
      </c>
      <c r="G1273" s="56" t="s">
        <v>2388</v>
      </c>
      <c r="H1273" s="56" t="s">
        <v>8</v>
      </c>
      <c r="I1273" s="55" t="s">
        <v>8</v>
      </c>
      <c r="J1273" s="57">
        <v>286.14999999999998</v>
      </c>
      <c r="K1273" s="56" t="s">
        <v>2389</v>
      </c>
      <c r="L1273" s="56" t="s">
        <v>2390</v>
      </c>
      <c r="M1273" s="55" t="s">
        <v>2391</v>
      </c>
      <c r="N1273" s="56" t="s">
        <v>2392</v>
      </c>
      <c r="O1273" s="53" t="s">
        <v>8</v>
      </c>
      <c r="P1273" s="56" t="s">
        <v>2904</v>
      </c>
      <c r="Q1273" s="57">
        <v>29500</v>
      </c>
      <c r="R1273" s="58" t="s">
        <v>8</v>
      </c>
      <c r="S1273" s="57" t="s">
        <v>8</v>
      </c>
      <c r="T1273" s="56" t="s">
        <v>2394</v>
      </c>
    </row>
    <row r="1274" spans="1:20">
      <c r="A1274" s="55">
        <v>131420396454</v>
      </c>
      <c r="B1274" s="53" t="s">
        <v>2386</v>
      </c>
      <c r="C1274" s="54">
        <v>45956</v>
      </c>
      <c r="D1274" s="55">
        <v>52229923592</v>
      </c>
      <c r="E1274" s="55">
        <v>2105163008696</v>
      </c>
      <c r="F1274" s="56" t="s">
        <v>2475</v>
      </c>
      <c r="G1274" s="56" t="s">
        <v>2388</v>
      </c>
      <c r="H1274" s="56" t="s">
        <v>8</v>
      </c>
      <c r="I1274" s="55" t="s">
        <v>8</v>
      </c>
      <c r="J1274" s="57">
        <v>5661.84</v>
      </c>
      <c r="K1274" s="56" t="s">
        <v>2389</v>
      </c>
      <c r="L1274" s="56" t="s">
        <v>2390</v>
      </c>
      <c r="M1274" s="55" t="s">
        <v>2391</v>
      </c>
      <c r="N1274" s="56" t="s">
        <v>2392</v>
      </c>
      <c r="O1274" s="53" t="s">
        <v>8</v>
      </c>
      <c r="P1274" s="56" t="s">
        <v>2634</v>
      </c>
      <c r="Q1274" s="57">
        <v>74400</v>
      </c>
      <c r="R1274" s="58" t="s">
        <v>8</v>
      </c>
      <c r="S1274" s="57" t="s">
        <v>8</v>
      </c>
      <c r="T1274" s="56" t="s">
        <v>2394</v>
      </c>
    </row>
    <row r="1275" spans="1:20">
      <c r="A1275" s="55">
        <v>130832438629</v>
      </c>
      <c r="B1275" s="53" t="s">
        <v>2386</v>
      </c>
      <c r="C1275" s="54">
        <v>45956</v>
      </c>
      <c r="D1275" s="55">
        <v>52229975862</v>
      </c>
      <c r="E1275" s="55">
        <v>2105163647610</v>
      </c>
      <c r="F1275" s="56" t="s">
        <v>2475</v>
      </c>
      <c r="G1275" s="56" t="s">
        <v>2388</v>
      </c>
      <c r="H1275" s="56" t="s">
        <v>8</v>
      </c>
      <c r="I1275" s="55" t="s">
        <v>8</v>
      </c>
      <c r="J1275" s="57">
        <v>555.83000000000004</v>
      </c>
      <c r="K1275" s="56" t="s">
        <v>2389</v>
      </c>
      <c r="L1275" s="56" t="s">
        <v>2390</v>
      </c>
      <c r="M1275" s="55" t="s">
        <v>2391</v>
      </c>
      <c r="N1275" s="56" t="s">
        <v>2392</v>
      </c>
      <c r="O1275" s="53" t="s">
        <v>8</v>
      </c>
      <c r="P1275" s="56" t="s">
        <v>2536</v>
      </c>
      <c r="Q1275" s="57">
        <v>34100</v>
      </c>
      <c r="R1275" s="58" t="s">
        <v>8</v>
      </c>
      <c r="S1275" s="57" t="s">
        <v>8</v>
      </c>
      <c r="T1275" s="56" t="s">
        <v>2394</v>
      </c>
    </row>
    <row r="1276" spans="1:20">
      <c r="A1276" s="55">
        <v>131420714572</v>
      </c>
      <c r="B1276" s="53" t="s">
        <v>2386</v>
      </c>
      <c r="C1276" s="54">
        <v>45956</v>
      </c>
      <c r="D1276" s="55">
        <v>52230052155</v>
      </c>
      <c r="E1276" s="55">
        <v>2105082242203</v>
      </c>
      <c r="F1276" s="56" t="s">
        <v>2387</v>
      </c>
      <c r="G1276" s="56" t="s">
        <v>2388</v>
      </c>
      <c r="H1276" s="56" t="s">
        <v>8</v>
      </c>
      <c r="I1276" s="55" t="s">
        <v>8</v>
      </c>
      <c r="J1276" s="57">
        <v>297.79000000000002</v>
      </c>
      <c r="K1276" s="56" t="s">
        <v>2389</v>
      </c>
      <c r="L1276" s="56" t="s">
        <v>2390</v>
      </c>
      <c r="M1276" s="55" t="s">
        <v>2391</v>
      </c>
      <c r="N1276" s="56" t="s">
        <v>2392</v>
      </c>
      <c r="O1276" s="53" t="s">
        <v>8</v>
      </c>
      <c r="P1276" s="56" t="s">
        <v>2905</v>
      </c>
      <c r="Q1276" s="57">
        <v>30700</v>
      </c>
      <c r="R1276" s="58" t="s">
        <v>8</v>
      </c>
      <c r="S1276" s="57" t="s">
        <v>8</v>
      </c>
      <c r="T1276" s="56" t="s">
        <v>2394</v>
      </c>
    </row>
    <row r="1277" spans="1:20">
      <c r="A1277" s="55">
        <v>131420822362</v>
      </c>
      <c r="B1277" s="53" t="s">
        <v>2386</v>
      </c>
      <c r="C1277" s="54">
        <v>45956</v>
      </c>
      <c r="D1277" s="55">
        <v>52230084046</v>
      </c>
      <c r="E1277" s="55">
        <v>2105083154183</v>
      </c>
      <c r="F1277" s="56" t="s">
        <v>2401</v>
      </c>
      <c r="G1277" s="56" t="s">
        <v>2388</v>
      </c>
      <c r="H1277" s="56" t="s">
        <v>8</v>
      </c>
      <c r="I1277" s="55" t="s">
        <v>8</v>
      </c>
      <c r="J1277" s="57">
        <v>593.42999999999995</v>
      </c>
      <c r="K1277" s="56" t="s">
        <v>2389</v>
      </c>
      <c r="L1277" s="56" t="s">
        <v>2402</v>
      </c>
      <c r="M1277" s="55" t="s">
        <v>2391</v>
      </c>
      <c r="N1277" s="56" t="s">
        <v>2392</v>
      </c>
      <c r="O1277" s="53" t="s">
        <v>2055</v>
      </c>
      <c r="P1277" s="56" t="s">
        <v>2403</v>
      </c>
      <c r="Q1277" s="57">
        <v>15100</v>
      </c>
      <c r="R1277" s="58" t="s">
        <v>8</v>
      </c>
      <c r="S1277" s="57" t="s">
        <v>8</v>
      </c>
      <c r="T1277" s="56" t="s">
        <v>2394</v>
      </c>
    </row>
    <row r="1278" spans="1:20">
      <c r="A1278" s="55">
        <v>130832886979</v>
      </c>
      <c r="B1278" s="53" t="s">
        <v>2386</v>
      </c>
      <c r="C1278" s="54">
        <v>45956</v>
      </c>
      <c r="D1278" s="55">
        <v>52230138759</v>
      </c>
      <c r="E1278" s="55">
        <v>2105166277402</v>
      </c>
      <c r="F1278" s="56" t="s">
        <v>2387</v>
      </c>
      <c r="G1278" s="56" t="s">
        <v>2388</v>
      </c>
      <c r="H1278" s="56" t="s">
        <v>8</v>
      </c>
      <c r="I1278" s="55" t="s">
        <v>8</v>
      </c>
      <c r="J1278" s="57">
        <v>296.82</v>
      </c>
      <c r="K1278" s="56" t="s">
        <v>2389</v>
      </c>
      <c r="L1278" s="56" t="s">
        <v>2390</v>
      </c>
      <c r="M1278" s="55" t="s">
        <v>2391</v>
      </c>
      <c r="N1278" s="56" t="s">
        <v>2392</v>
      </c>
      <c r="O1278" s="53" t="s">
        <v>8</v>
      </c>
      <c r="P1278" s="56" t="s">
        <v>2906</v>
      </c>
      <c r="Q1278" s="57">
        <v>30600</v>
      </c>
      <c r="R1278" s="58" t="s">
        <v>8</v>
      </c>
      <c r="S1278" s="57" t="s">
        <v>8</v>
      </c>
      <c r="T1278" s="56" t="s">
        <v>2394</v>
      </c>
    </row>
    <row r="1279" spans="1:20">
      <c r="A1279" s="55">
        <v>130833236173</v>
      </c>
      <c r="B1279" s="53" t="s">
        <v>2386</v>
      </c>
      <c r="C1279" s="54">
        <v>45956</v>
      </c>
      <c r="D1279" s="55">
        <v>52230268267</v>
      </c>
      <c r="E1279" s="55">
        <v>2105167869362</v>
      </c>
      <c r="F1279" s="56" t="s">
        <v>2387</v>
      </c>
      <c r="G1279" s="56" t="s">
        <v>2388</v>
      </c>
      <c r="H1279" s="56" t="s">
        <v>8</v>
      </c>
      <c r="I1279" s="55" t="s">
        <v>8</v>
      </c>
      <c r="J1279" s="57">
        <v>2739.6</v>
      </c>
      <c r="K1279" s="56" t="s">
        <v>2389</v>
      </c>
      <c r="L1279" s="56" t="s">
        <v>2390</v>
      </c>
      <c r="M1279" s="55" t="s">
        <v>2391</v>
      </c>
      <c r="N1279" s="56" t="s">
        <v>2392</v>
      </c>
      <c r="O1279" s="53" t="s">
        <v>8</v>
      </c>
      <c r="P1279" s="56" t="s">
        <v>2907</v>
      </c>
      <c r="Q1279" s="57">
        <v>36000</v>
      </c>
      <c r="R1279" s="58" t="s">
        <v>8</v>
      </c>
      <c r="S1279" s="57" t="s">
        <v>8</v>
      </c>
      <c r="T1279" s="56" t="s">
        <v>2394</v>
      </c>
    </row>
    <row r="1280" spans="1:20">
      <c r="A1280" s="55">
        <v>131421083902</v>
      </c>
      <c r="B1280" s="53" t="s">
        <v>2386</v>
      </c>
      <c r="C1280" s="54">
        <v>45957</v>
      </c>
      <c r="D1280" s="55">
        <v>52230305333</v>
      </c>
      <c r="E1280" s="55">
        <v>2105168333610</v>
      </c>
      <c r="F1280" s="56" t="s">
        <v>2387</v>
      </c>
      <c r="G1280" s="56" t="s">
        <v>2388</v>
      </c>
      <c r="H1280" s="56" t="s">
        <v>8</v>
      </c>
      <c r="I1280" s="55" t="s">
        <v>8</v>
      </c>
      <c r="J1280" s="57">
        <v>15813.58</v>
      </c>
      <c r="K1280" s="56" t="s">
        <v>2389</v>
      </c>
      <c r="L1280" s="56" t="s">
        <v>2390</v>
      </c>
      <c r="M1280" s="55" t="s">
        <v>2391</v>
      </c>
      <c r="N1280" s="56" t="s">
        <v>2392</v>
      </c>
      <c r="O1280" s="53" t="s">
        <v>8</v>
      </c>
      <c r="P1280" s="56" t="s">
        <v>2908</v>
      </c>
      <c r="Q1280" s="57">
        <v>207800</v>
      </c>
      <c r="R1280" s="58" t="s">
        <v>8</v>
      </c>
      <c r="S1280" s="57" t="s">
        <v>8</v>
      </c>
      <c r="T1280" s="56" t="s">
        <v>2394</v>
      </c>
    </row>
    <row r="1281" spans="1:20">
      <c r="A1281" s="55">
        <v>130833658261</v>
      </c>
      <c r="B1281" s="53" t="s">
        <v>2386</v>
      </c>
      <c r="C1281" s="54">
        <v>45957</v>
      </c>
      <c r="D1281" s="55">
        <v>52230481757</v>
      </c>
      <c r="E1281" s="55">
        <v>2105171178114</v>
      </c>
      <c r="F1281" s="56" t="s">
        <v>2401</v>
      </c>
      <c r="G1281" s="56" t="s">
        <v>2388</v>
      </c>
      <c r="H1281" s="56" t="s">
        <v>8</v>
      </c>
      <c r="I1281" s="55" t="s">
        <v>8</v>
      </c>
      <c r="J1281" s="57">
        <v>1721.34</v>
      </c>
      <c r="K1281" s="56" t="s">
        <v>2389</v>
      </c>
      <c r="L1281" s="56" t="s">
        <v>2402</v>
      </c>
      <c r="M1281" s="55" t="s">
        <v>2391</v>
      </c>
      <c r="N1281" s="56" t="s">
        <v>2392</v>
      </c>
      <c r="O1281" s="53" t="s">
        <v>2055</v>
      </c>
      <c r="P1281" s="56" t="s">
        <v>2403</v>
      </c>
      <c r="Q1281" s="57">
        <v>43800</v>
      </c>
      <c r="R1281" s="58" t="s">
        <v>8</v>
      </c>
      <c r="S1281" s="57" t="s">
        <v>8</v>
      </c>
      <c r="T1281" s="56" t="s">
        <v>2394</v>
      </c>
    </row>
    <row r="1282" spans="1:20">
      <c r="A1282" s="55">
        <v>131422078742</v>
      </c>
      <c r="B1282" s="53" t="s">
        <v>2386</v>
      </c>
      <c r="C1282" s="54">
        <v>45957</v>
      </c>
      <c r="D1282" s="55">
        <v>52230665326</v>
      </c>
      <c r="E1282" s="55">
        <v>2105090927597</v>
      </c>
      <c r="F1282" s="56" t="s">
        <v>2387</v>
      </c>
      <c r="G1282" s="56" t="s">
        <v>2388</v>
      </c>
      <c r="H1282" s="56" t="s">
        <v>8</v>
      </c>
      <c r="I1282" s="55" t="s">
        <v>8</v>
      </c>
      <c r="J1282" s="57">
        <v>729.44</v>
      </c>
      <c r="K1282" s="56" t="s">
        <v>2389</v>
      </c>
      <c r="L1282" s="56" t="s">
        <v>2390</v>
      </c>
      <c r="M1282" s="55" t="s">
        <v>2391</v>
      </c>
      <c r="N1282" s="56" t="s">
        <v>2392</v>
      </c>
      <c r="O1282" s="53" t="s">
        <v>8</v>
      </c>
      <c r="P1282" s="56" t="s">
        <v>2909</v>
      </c>
      <c r="Q1282" s="57">
        <v>75200</v>
      </c>
      <c r="R1282" s="58" t="s">
        <v>8</v>
      </c>
      <c r="S1282" s="57" t="s">
        <v>8</v>
      </c>
      <c r="T1282" s="56" t="s">
        <v>2394</v>
      </c>
    </row>
    <row r="1283" spans="1:20">
      <c r="A1283" s="55">
        <v>131422130626</v>
      </c>
      <c r="B1283" s="53" t="s">
        <v>2386</v>
      </c>
      <c r="C1283" s="54">
        <v>45957</v>
      </c>
      <c r="D1283" s="55">
        <v>52230689679</v>
      </c>
      <c r="E1283" s="55">
        <v>2105091144605</v>
      </c>
      <c r="F1283" s="56" t="s">
        <v>2401</v>
      </c>
      <c r="G1283" s="56" t="s">
        <v>2388</v>
      </c>
      <c r="H1283" s="56" t="s">
        <v>8</v>
      </c>
      <c r="I1283" s="55" t="s">
        <v>8</v>
      </c>
      <c r="J1283" s="57">
        <v>3843.05</v>
      </c>
      <c r="K1283" s="56" t="s">
        <v>2389</v>
      </c>
      <c r="L1283" s="56" t="s">
        <v>2402</v>
      </c>
      <c r="M1283" s="55" t="s">
        <v>2391</v>
      </c>
      <c r="N1283" s="56" t="s">
        <v>2392</v>
      </c>
      <c r="O1283" s="53" t="s">
        <v>2055</v>
      </c>
      <c r="P1283" s="56" t="s">
        <v>2403</v>
      </c>
      <c r="Q1283" s="57">
        <v>50500</v>
      </c>
      <c r="R1283" s="58" t="s">
        <v>8</v>
      </c>
      <c r="S1283" s="57" t="s">
        <v>8</v>
      </c>
      <c r="T1283" s="56" t="s">
        <v>2394</v>
      </c>
    </row>
    <row r="1284" spans="1:20">
      <c r="A1284" s="55">
        <v>130835214777</v>
      </c>
      <c r="B1284" s="53" t="s">
        <v>2386</v>
      </c>
      <c r="C1284" s="54">
        <v>45957</v>
      </c>
      <c r="D1284" s="55">
        <v>52231073436</v>
      </c>
      <c r="E1284" s="55">
        <v>2105182375152</v>
      </c>
      <c r="F1284" s="56" t="s">
        <v>2387</v>
      </c>
      <c r="G1284" s="56" t="s">
        <v>2388</v>
      </c>
      <c r="H1284" s="56" t="s">
        <v>8</v>
      </c>
      <c r="I1284" s="55" t="s">
        <v>8</v>
      </c>
      <c r="J1284" s="57">
        <v>91.18</v>
      </c>
      <c r="K1284" s="56" t="s">
        <v>2389</v>
      </c>
      <c r="L1284" s="56" t="s">
        <v>2390</v>
      </c>
      <c r="M1284" s="55" t="s">
        <v>2391</v>
      </c>
      <c r="N1284" s="56" t="s">
        <v>2392</v>
      </c>
      <c r="O1284" s="53" t="s">
        <v>8</v>
      </c>
      <c r="P1284" s="56" t="s">
        <v>2910</v>
      </c>
      <c r="Q1284" s="57">
        <v>9400</v>
      </c>
      <c r="R1284" s="58" t="s">
        <v>8</v>
      </c>
      <c r="S1284" s="57" t="s">
        <v>8</v>
      </c>
      <c r="T1284" s="56" t="s">
        <v>2394</v>
      </c>
    </row>
    <row r="1285" spans="1:20">
      <c r="A1285" s="55">
        <v>130835123143</v>
      </c>
      <c r="B1285" s="53" t="s">
        <v>2386</v>
      </c>
      <c r="C1285" s="54">
        <v>45957</v>
      </c>
      <c r="D1285" s="55">
        <v>52231074992</v>
      </c>
      <c r="E1285" s="55">
        <v>2105099661933</v>
      </c>
      <c r="F1285" s="56" t="s">
        <v>2387</v>
      </c>
      <c r="G1285" s="56" t="s">
        <v>2388</v>
      </c>
      <c r="H1285" s="56" t="s">
        <v>8</v>
      </c>
      <c r="I1285" s="55" t="s">
        <v>8</v>
      </c>
      <c r="J1285" s="57">
        <v>40.74</v>
      </c>
      <c r="K1285" s="56" t="s">
        <v>2389</v>
      </c>
      <c r="L1285" s="56" t="s">
        <v>2390</v>
      </c>
      <c r="M1285" s="55" t="s">
        <v>2391</v>
      </c>
      <c r="N1285" s="56" t="s">
        <v>2392</v>
      </c>
      <c r="O1285" s="53" t="s">
        <v>8</v>
      </c>
      <c r="P1285" s="56" t="s">
        <v>2911</v>
      </c>
      <c r="Q1285" s="57">
        <v>4200</v>
      </c>
      <c r="R1285" s="58" t="s">
        <v>8</v>
      </c>
      <c r="S1285" s="57" t="s">
        <v>8</v>
      </c>
      <c r="T1285" s="56" t="s">
        <v>2394</v>
      </c>
    </row>
    <row r="1286" spans="1:20">
      <c r="A1286" s="55">
        <v>131423917348</v>
      </c>
      <c r="B1286" s="53" t="s">
        <v>2386</v>
      </c>
      <c r="C1286" s="54">
        <v>45957</v>
      </c>
      <c r="D1286" s="55">
        <v>52231330892</v>
      </c>
      <c r="E1286" s="55">
        <v>2105189775974</v>
      </c>
      <c r="F1286" s="56" t="s">
        <v>2387</v>
      </c>
      <c r="G1286" s="56" t="s">
        <v>2388</v>
      </c>
      <c r="H1286" s="56" t="s">
        <v>8</v>
      </c>
      <c r="I1286" s="55" t="s">
        <v>8</v>
      </c>
      <c r="J1286" s="57">
        <v>279.36</v>
      </c>
      <c r="K1286" s="56" t="s">
        <v>2389</v>
      </c>
      <c r="L1286" s="56" t="s">
        <v>2390</v>
      </c>
      <c r="M1286" s="55" t="s">
        <v>2391</v>
      </c>
      <c r="N1286" s="56" t="s">
        <v>2392</v>
      </c>
      <c r="O1286" s="53" t="s">
        <v>8</v>
      </c>
      <c r="P1286" s="56" t="s">
        <v>2912</v>
      </c>
      <c r="Q1286" s="57">
        <v>28800</v>
      </c>
      <c r="R1286" s="58" t="s">
        <v>8</v>
      </c>
      <c r="S1286" s="57" t="s">
        <v>8</v>
      </c>
      <c r="T1286" s="56" t="s">
        <v>2394</v>
      </c>
    </row>
    <row r="1287" spans="1:20">
      <c r="A1287" s="55">
        <v>130836071205</v>
      </c>
      <c r="B1287" s="53" t="s">
        <v>2386</v>
      </c>
      <c r="C1287" s="54">
        <v>45957</v>
      </c>
      <c r="D1287" s="55">
        <v>52231351005</v>
      </c>
      <c r="E1287" s="55">
        <v>2105107621189</v>
      </c>
      <c r="F1287" s="56" t="s">
        <v>2387</v>
      </c>
      <c r="G1287" s="56" t="s">
        <v>2388</v>
      </c>
      <c r="H1287" s="56" t="s">
        <v>8</v>
      </c>
      <c r="I1287" s="55" t="s">
        <v>8</v>
      </c>
      <c r="J1287" s="57">
        <v>93.12</v>
      </c>
      <c r="K1287" s="56" t="s">
        <v>2389</v>
      </c>
      <c r="L1287" s="56" t="s">
        <v>2390</v>
      </c>
      <c r="M1287" s="55" t="s">
        <v>2391</v>
      </c>
      <c r="N1287" s="56" t="s">
        <v>2392</v>
      </c>
      <c r="O1287" s="53" t="s">
        <v>8</v>
      </c>
      <c r="P1287" s="56" t="s">
        <v>2913</v>
      </c>
      <c r="Q1287" s="57">
        <v>9600</v>
      </c>
      <c r="R1287" s="58" t="s">
        <v>8</v>
      </c>
      <c r="S1287" s="57" t="s">
        <v>8</v>
      </c>
      <c r="T1287" s="56" t="s">
        <v>2394</v>
      </c>
    </row>
    <row r="1288" spans="1:20">
      <c r="A1288" s="55">
        <v>131424102768</v>
      </c>
      <c r="B1288" s="53" t="s">
        <v>2386</v>
      </c>
      <c r="C1288" s="54">
        <v>45957</v>
      </c>
      <c r="D1288" s="55">
        <v>52231375518</v>
      </c>
      <c r="E1288" s="55">
        <v>2105107776841</v>
      </c>
      <c r="F1288" s="56" t="s">
        <v>2411</v>
      </c>
      <c r="G1288" s="56" t="s">
        <v>2388</v>
      </c>
      <c r="H1288" s="56" t="s">
        <v>8</v>
      </c>
      <c r="I1288" s="55" t="s">
        <v>8</v>
      </c>
      <c r="J1288" s="57">
        <v>905.01</v>
      </c>
      <c r="K1288" s="56" t="s">
        <v>2389</v>
      </c>
      <c r="L1288" s="56" t="s">
        <v>2390</v>
      </c>
      <c r="M1288" s="55" t="s">
        <v>2391</v>
      </c>
      <c r="N1288" s="56" t="s">
        <v>2392</v>
      </c>
      <c r="O1288" s="53" t="s">
        <v>8</v>
      </c>
      <c r="P1288" s="56" t="s">
        <v>2412</v>
      </c>
      <c r="Q1288" s="57">
        <v>93300</v>
      </c>
      <c r="R1288" s="58" t="s">
        <v>8</v>
      </c>
      <c r="S1288" s="57" t="s">
        <v>8</v>
      </c>
      <c r="T1288" s="56" t="s">
        <v>8</v>
      </c>
    </row>
    <row r="1289" spans="1:20">
      <c r="A1289" s="55">
        <v>131425827694</v>
      </c>
      <c r="B1289" s="53" t="s">
        <v>2386</v>
      </c>
      <c r="C1289" s="54">
        <v>45957</v>
      </c>
      <c r="D1289" s="55">
        <v>52231836719</v>
      </c>
      <c r="E1289" s="55">
        <v>2105126654873</v>
      </c>
      <c r="F1289" s="56" t="s">
        <v>2411</v>
      </c>
      <c r="G1289" s="56" t="s">
        <v>2388</v>
      </c>
      <c r="H1289" s="56" t="s">
        <v>8</v>
      </c>
      <c r="I1289" s="55" t="s">
        <v>8</v>
      </c>
      <c r="J1289" s="57">
        <v>194</v>
      </c>
      <c r="K1289" s="56" t="s">
        <v>2389</v>
      </c>
      <c r="L1289" s="56" t="s">
        <v>2390</v>
      </c>
      <c r="M1289" s="55" t="s">
        <v>2391</v>
      </c>
      <c r="N1289" s="56" t="s">
        <v>2392</v>
      </c>
      <c r="O1289" s="53" t="s">
        <v>8</v>
      </c>
      <c r="P1289" s="56" t="s">
        <v>2412</v>
      </c>
      <c r="Q1289" s="57">
        <v>20000</v>
      </c>
      <c r="R1289" s="58" t="s">
        <v>8</v>
      </c>
      <c r="S1289" s="57" t="s">
        <v>8</v>
      </c>
      <c r="T1289" s="56" t="s">
        <v>8</v>
      </c>
    </row>
    <row r="1290" spans="1:20">
      <c r="A1290" s="55">
        <v>130837987485</v>
      </c>
      <c r="B1290" s="53" t="s">
        <v>2386</v>
      </c>
      <c r="C1290" s="54">
        <v>45957</v>
      </c>
      <c r="D1290" s="55">
        <v>52231855123</v>
      </c>
      <c r="E1290" s="55">
        <v>2105127640943</v>
      </c>
      <c r="F1290" s="56" t="s">
        <v>2401</v>
      </c>
      <c r="G1290" s="56" t="s">
        <v>2388</v>
      </c>
      <c r="H1290" s="56" t="s">
        <v>8</v>
      </c>
      <c r="I1290" s="55" t="s">
        <v>8</v>
      </c>
      <c r="J1290" s="57">
        <v>789.96</v>
      </c>
      <c r="K1290" s="56" t="s">
        <v>2389</v>
      </c>
      <c r="L1290" s="56" t="s">
        <v>2402</v>
      </c>
      <c r="M1290" s="55" t="s">
        <v>2391</v>
      </c>
      <c r="N1290" s="56" t="s">
        <v>2392</v>
      </c>
      <c r="O1290" s="53" t="s">
        <v>2055</v>
      </c>
      <c r="P1290" s="56" t="s">
        <v>2403</v>
      </c>
      <c r="Q1290" s="57">
        <v>17400</v>
      </c>
      <c r="R1290" s="58" t="s">
        <v>8</v>
      </c>
      <c r="S1290" s="57" t="s">
        <v>8</v>
      </c>
      <c r="T1290" s="56" t="s">
        <v>2394</v>
      </c>
    </row>
    <row r="1291" spans="1:20">
      <c r="A1291" s="55">
        <v>131769417760</v>
      </c>
      <c r="B1291" s="53" t="s">
        <v>2386</v>
      </c>
      <c r="C1291" s="54">
        <v>45959</v>
      </c>
      <c r="D1291" s="55">
        <v>52360829999</v>
      </c>
      <c r="E1291" s="55">
        <v>2107472479437</v>
      </c>
      <c r="F1291" s="56" t="s">
        <v>2387</v>
      </c>
      <c r="G1291" s="56" t="s">
        <v>2388</v>
      </c>
      <c r="H1291" s="56" t="s">
        <v>8</v>
      </c>
      <c r="I1291" s="55" t="s">
        <v>8</v>
      </c>
      <c r="J1291" s="57">
        <v>444.26</v>
      </c>
      <c r="K1291" s="56" t="s">
        <v>2389</v>
      </c>
      <c r="L1291" s="56" t="s">
        <v>2390</v>
      </c>
      <c r="M1291" s="55" t="s">
        <v>2391</v>
      </c>
      <c r="N1291" s="56" t="s">
        <v>2392</v>
      </c>
      <c r="O1291" s="53" t="s">
        <v>8</v>
      </c>
      <c r="P1291" s="56" t="s">
        <v>2914</v>
      </c>
      <c r="Q1291" s="57">
        <v>45800</v>
      </c>
      <c r="R1291" s="58" t="s">
        <v>8</v>
      </c>
      <c r="S1291" s="57" t="s">
        <v>8</v>
      </c>
      <c r="T1291" s="56" t="s">
        <v>2394</v>
      </c>
    </row>
    <row r="1292" spans="1:20">
      <c r="A1292" s="55">
        <v>131772095336</v>
      </c>
      <c r="B1292" s="53" t="s">
        <v>2386</v>
      </c>
      <c r="C1292" s="54">
        <v>45959</v>
      </c>
      <c r="D1292" s="55">
        <v>52361809831</v>
      </c>
      <c r="E1292" s="55">
        <v>2107491000133</v>
      </c>
      <c r="F1292" s="56" t="s">
        <v>2387</v>
      </c>
      <c r="G1292" s="56" t="s">
        <v>2388</v>
      </c>
      <c r="H1292" s="56" t="s">
        <v>8</v>
      </c>
      <c r="I1292" s="55" t="s">
        <v>8</v>
      </c>
      <c r="J1292" s="57">
        <v>195.58</v>
      </c>
      <c r="K1292" s="56" t="s">
        <v>2389</v>
      </c>
      <c r="L1292" s="56" t="s">
        <v>2390</v>
      </c>
      <c r="M1292" s="55" t="s">
        <v>2391</v>
      </c>
      <c r="N1292" s="56" t="s">
        <v>2392</v>
      </c>
      <c r="O1292" s="53" t="s">
        <v>8</v>
      </c>
      <c r="P1292" s="56" t="s">
        <v>2432</v>
      </c>
      <c r="Q1292" s="57">
        <v>11999</v>
      </c>
      <c r="R1292" s="58" t="s">
        <v>8</v>
      </c>
      <c r="S1292" s="57" t="s">
        <v>8</v>
      </c>
      <c r="T1292" s="56" t="s">
        <v>2394</v>
      </c>
    </row>
    <row r="1293" spans="1:20">
      <c r="A1293" s="55">
        <v>131774856988</v>
      </c>
      <c r="B1293" s="53" t="s">
        <v>2386</v>
      </c>
      <c r="C1293" s="54">
        <v>45959</v>
      </c>
      <c r="D1293" s="55">
        <v>52362787985</v>
      </c>
      <c r="E1293" s="55">
        <v>2107598888010</v>
      </c>
      <c r="F1293" s="56" t="s">
        <v>2387</v>
      </c>
      <c r="G1293" s="56" t="s">
        <v>2388</v>
      </c>
      <c r="H1293" s="56" t="s">
        <v>8</v>
      </c>
      <c r="I1293" s="55" t="s">
        <v>8</v>
      </c>
      <c r="J1293" s="57">
        <v>81.48</v>
      </c>
      <c r="K1293" s="56" t="s">
        <v>2389</v>
      </c>
      <c r="L1293" s="56" t="s">
        <v>2390</v>
      </c>
      <c r="M1293" s="55" t="s">
        <v>2391</v>
      </c>
      <c r="N1293" s="56" t="s">
        <v>2392</v>
      </c>
      <c r="O1293" s="53" t="s">
        <v>8</v>
      </c>
      <c r="P1293" s="56" t="s">
        <v>2915</v>
      </c>
      <c r="Q1293" s="57">
        <v>8400</v>
      </c>
      <c r="R1293" s="58" t="s">
        <v>8</v>
      </c>
      <c r="S1293" s="57" t="s">
        <v>8</v>
      </c>
      <c r="T1293" s="56" t="s">
        <v>2394</v>
      </c>
    </row>
    <row r="1294" spans="1:20">
      <c r="A1294" s="55">
        <v>131181171991</v>
      </c>
      <c r="B1294" s="53" t="s">
        <v>2386</v>
      </c>
      <c r="C1294" s="54">
        <v>45959</v>
      </c>
      <c r="D1294" s="55">
        <v>52363188654</v>
      </c>
      <c r="E1294" s="55">
        <v>2107518470679</v>
      </c>
      <c r="F1294" s="56" t="s">
        <v>2401</v>
      </c>
      <c r="G1294" s="56" t="s">
        <v>2388</v>
      </c>
      <c r="H1294" s="56" t="s">
        <v>8</v>
      </c>
      <c r="I1294" s="55" t="s">
        <v>8</v>
      </c>
      <c r="J1294" s="57">
        <v>2792.79</v>
      </c>
      <c r="K1294" s="56" t="s">
        <v>2389</v>
      </c>
      <c r="L1294" s="56" t="s">
        <v>2402</v>
      </c>
      <c r="M1294" s="55" t="s">
        <v>2391</v>
      </c>
      <c r="N1294" s="56" t="s">
        <v>2392</v>
      </c>
      <c r="O1294" s="53" t="s">
        <v>2055</v>
      </c>
      <c r="P1294" s="56" t="s">
        <v>2403</v>
      </c>
      <c r="Q1294" s="57">
        <v>36699</v>
      </c>
      <c r="R1294" s="58" t="s">
        <v>8</v>
      </c>
      <c r="S1294" s="57" t="s">
        <v>8</v>
      </c>
      <c r="T1294" s="56" t="s">
        <v>2394</v>
      </c>
    </row>
    <row r="1295" spans="1:20">
      <c r="A1295" s="55">
        <v>131777732222</v>
      </c>
      <c r="B1295" s="53" t="s">
        <v>2386</v>
      </c>
      <c r="C1295" s="54">
        <v>45959</v>
      </c>
      <c r="D1295" s="55">
        <v>52363947091</v>
      </c>
      <c r="E1295" s="55">
        <v>2107621768546</v>
      </c>
      <c r="F1295" s="56" t="s">
        <v>2401</v>
      </c>
      <c r="G1295" s="56" t="s">
        <v>2388</v>
      </c>
      <c r="H1295" s="56" t="s">
        <v>8</v>
      </c>
      <c r="I1295" s="55" t="s">
        <v>8</v>
      </c>
      <c r="J1295" s="57">
        <v>2416.9499999999998</v>
      </c>
      <c r="K1295" s="56" t="s">
        <v>2389</v>
      </c>
      <c r="L1295" s="56" t="s">
        <v>2402</v>
      </c>
      <c r="M1295" s="55" t="s">
        <v>2391</v>
      </c>
      <c r="N1295" s="56" t="s">
        <v>2392</v>
      </c>
      <c r="O1295" s="53" t="s">
        <v>2055</v>
      </c>
      <c r="P1295" s="56" t="s">
        <v>2403</v>
      </c>
      <c r="Q1295" s="57">
        <v>61500</v>
      </c>
      <c r="R1295" s="58" t="s">
        <v>8</v>
      </c>
      <c r="S1295" s="57" t="s">
        <v>8</v>
      </c>
      <c r="T1295" s="56" t="s">
        <v>2394</v>
      </c>
    </row>
    <row r="1296" spans="1:20">
      <c r="A1296" s="55">
        <v>131778003664</v>
      </c>
      <c r="B1296" s="53" t="s">
        <v>2386</v>
      </c>
      <c r="C1296" s="54">
        <v>45959</v>
      </c>
      <c r="D1296" s="55">
        <v>52364138256</v>
      </c>
      <c r="E1296" s="55">
        <v>2107536726237</v>
      </c>
      <c r="F1296" s="56" t="s">
        <v>2387</v>
      </c>
      <c r="G1296" s="56" t="s">
        <v>2388</v>
      </c>
      <c r="H1296" s="56" t="s">
        <v>8</v>
      </c>
      <c r="I1296" s="55" t="s">
        <v>8</v>
      </c>
      <c r="J1296" s="57">
        <v>487.91</v>
      </c>
      <c r="K1296" s="56" t="s">
        <v>2389</v>
      </c>
      <c r="L1296" s="56" t="s">
        <v>2390</v>
      </c>
      <c r="M1296" s="55" t="s">
        <v>2391</v>
      </c>
      <c r="N1296" s="56" t="s">
        <v>2392</v>
      </c>
      <c r="O1296" s="53" t="s">
        <v>8</v>
      </c>
      <c r="P1296" s="56" t="s">
        <v>2916</v>
      </c>
      <c r="Q1296" s="57">
        <v>50300</v>
      </c>
      <c r="R1296" s="58" t="s">
        <v>8</v>
      </c>
      <c r="S1296" s="57" t="s">
        <v>8</v>
      </c>
      <c r="T1296" s="56" t="s">
        <v>2394</v>
      </c>
    </row>
    <row r="1297" spans="1:20">
      <c r="A1297" s="55">
        <v>131778463862</v>
      </c>
      <c r="B1297" s="53" t="s">
        <v>2386</v>
      </c>
      <c r="C1297" s="54">
        <v>45959</v>
      </c>
      <c r="D1297" s="55">
        <v>52364348707</v>
      </c>
      <c r="E1297" s="55">
        <v>2107540747715</v>
      </c>
      <c r="F1297" s="56" t="s">
        <v>2387</v>
      </c>
      <c r="G1297" s="56" t="s">
        <v>2388</v>
      </c>
      <c r="H1297" s="56" t="s">
        <v>8</v>
      </c>
      <c r="I1297" s="55" t="s">
        <v>8</v>
      </c>
      <c r="J1297" s="57">
        <v>349.17</v>
      </c>
      <c r="K1297" s="56" t="s">
        <v>2389</v>
      </c>
      <c r="L1297" s="56" t="s">
        <v>2390</v>
      </c>
      <c r="M1297" s="55" t="s">
        <v>2391</v>
      </c>
      <c r="N1297" s="56" t="s">
        <v>2392</v>
      </c>
      <c r="O1297" s="53" t="s">
        <v>8</v>
      </c>
      <c r="P1297" s="56" t="s">
        <v>2464</v>
      </c>
      <c r="Q1297" s="57">
        <v>35997</v>
      </c>
      <c r="R1297" s="58" t="s">
        <v>8</v>
      </c>
      <c r="S1297" s="57" t="s">
        <v>8</v>
      </c>
      <c r="T1297" s="56" t="s">
        <v>2394</v>
      </c>
    </row>
    <row r="1298" spans="1:20">
      <c r="A1298" s="55">
        <v>131184379239</v>
      </c>
      <c r="B1298" s="53" t="s">
        <v>2386</v>
      </c>
      <c r="C1298" s="54">
        <v>45959</v>
      </c>
      <c r="D1298" s="55">
        <v>52364465643</v>
      </c>
      <c r="E1298" s="55">
        <v>2107631615678</v>
      </c>
      <c r="F1298" s="56" t="s">
        <v>2401</v>
      </c>
      <c r="G1298" s="56" t="s">
        <v>2388</v>
      </c>
      <c r="H1298" s="56" t="s">
        <v>8</v>
      </c>
      <c r="I1298" s="55" t="s">
        <v>8</v>
      </c>
      <c r="J1298" s="57">
        <v>1089.51</v>
      </c>
      <c r="K1298" s="56" t="s">
        <v>2389</v>
      </c>
      <c r="L1298" s="56" t="s">
        <v>2402</v>
      </c>
      <c r="M1298" s="55" t="s">
        <v>2391</v>
      </c>
      <c r="N1298" s="56" t="s">
        <v>2392</v>
      </c>
      <c r="O1298" s="53" t="s">
        <v>2055</v>
      </c>
      <c r="P1298" s="56" t="s">
        <v>2403</v>
      </c>
      <c r="Q1298" s="57">
        <v>23998</v>
      </c>
      <c r="R1298" s="58" t="s">
        <v>8</v>
      </c>
      <c r="S1298" s="57" t="s">
        <v>8</v>
      </c>
      <c r="T1298" s="56" t="s">
        <v>2394</v>
      </c>
    </row>
    <row r="1299" spans="1:20">
      <c r="A1299" s="55">
        <v>131778914868</v>
      </c>
      <c r="B1299" s="53" t="s">
        <v>2386</v>
      </c>
      <c r="C1299" s="54">
        <v>45959</v>
      </c>
      <c r="D1299" s="55">
        <v>52364489151</v>
      </c>
      <c r="E1299" s="55">
        <v>2107543980241</v>
      </c>
      <c r="F1299" s="56" t="s">
        <v>2387</v>
      </c>
      <c r="G1299" s="56" t="s">
        <v>2388</v>
      </c>
      <c r="H1299" s="56" t="s">
        <v>8</v>
      </c>
      <c r="I1299" s="55" t="s">
        <v>8</v>
      </c>
      <c r="J1299" s="57">
        <v>349.17</v>
      </c>
      <c r="K1299" s="56" t="s">
        <v>2389</v>
      </c>
      <c r="L1299" s="56" t="s">
        <v>2390</v>
      </c>
      <c r="M1299" s="55" t="s">
        <v>2391</v>
      </c>
      <c r="N1299" s="56" t="s">
        <v>2392</v>
      </c>
      <c r="O1299" s="53" t="s">
        <v>8</v>
      </c>
      <c r="P1299" s="56" t="s">
        <v>2917</v>
      </c>
      <c r="Q1299" s="57">
        <v>35997</v>
      </c>
      <c r="R1299" s="58" t="s">
        <v>8</v>
      </c>
      <c r="S1299" s="57" t="s">
        <v>8</v>
      </c>
      <c r="T1299" s="56" t="s">
        <v>2394</v>
      </c>
    </row>
    <row r="1300" spans="1:20">
      <c r="A1300" s="55">
        <v>131185425007</v>
      </c>
      <c r="B1300" s="53" t="s">
        <v>2386</v>
      </c>
      <c r="C1300" s="54">
        <v>45959</v>
      </c>
      <c r="D1300" s="55">
        <v>52364897754</v>
      </c>
      <c r="E1300" s="55">
        <v>2107640367570</v>
      </c>
      <c r="F1300" s="56" t="s">
        <v>2411</v>
      </c>
      <c r="G1300" s="56" t="s">
        <v>2388</v>
      </c>
      <c r="H1300" s="56" t="s">
        <v>8</v>
      </c>
      <c r="I1300" s="55" t="s">
        <v>8</v>
      </c>
      <c r="J1300" s="57">
        <v>407.4</v>
      </c>
      <c r="K1300" s="56" t="s">
        <v>2389</v>
      </c>
      <c r="L1300" s="56" t="s">
        <v>2390</v>
      </c>
      <c r="M1300" s="55" t="s">
        <v>2391</v>
      </c>
      <c r="N1300" s="56" t="s">
        <v>2392</v>
      </c>
      <c r="O1300" s="53" t="s">
        <v>8</v>
      </c>
      <c r="P1300" s="56" t="s">
        <v>2412</v>
      </c>
      <c r="Q1300" s="57">
        <v>42000</v>
      </c>
      <c r="R1300" s="58" t="s">
        <v>8</v>
      </c>
      <c r="S1300" s="57" t="s">
        <v>8</v>
      </c>
      <c r="T1300" s="56" t="s">
        <v>8</v>
      </c>
    </row>
    <row r="1301" spans="1:20">
      <c r="A1301" s="55">
        <v>131781695512</v>
      </c>
      <c r="B1301" s="53" t="s">
        <v>2386</v>
      </c>
      <c r="C1301" s="54">
        <v>45959</v>
      </c>
      <c r="D1301" s="55">
        <v>52365766185</v>
      </c>
      <c r="E1301" s="55">
        <v>2107564470395</v>
      </c>
      <c r="F1301" s="56" t="s">
        <v>2401</v>
      </c>
      <c r="G1301" s="56" t="s">
        <v>2388</v>
      </c>
      <c r="H1301" s="56" t="s">
        <v>8</v>
      </c>
      <c r="I1301" s="55" t="s">
        <v>8</v>
      </c>
      <c r="J1301" s="57">
        <v>1957.14</v>
      </c>
      <c r="K1301" s="56" t="s">
        <v>2389</v>
      </c>
      <c r="L1301" s="56" t="s">
        <v>2402</v>
      </c>
      <c r="M1301" s="55" t="s">
        <v>2391</v>
      </c>
      <c r="N1301" s="56" t="s">
        <v>2392</v>
      </c>
      <c r="O1301" s="53" t="s">
        <v>2055</v>
      </c>
      <c r="P1301" s="56" t="s">
        <v>2403</v>
      </c>
      <c r="Q1301" s="57">
        <v>49800</v>
      </c>
      <c r="R1301" s="58" t="s">
        <v>8</v>
      </c>
      <c r="S1301" s="57" t="s">
        <v>8</v>
      </c>
      <c r="T1301" s="56" t="s">
        <v>2394</v>
      </c>
    </row>
    <row r="1302" spans="1:20">
      <c r="A1302" s="55">
        <v>131782498642</v>
      </c>
      <c r="B1302" s="53" t="s">
        <v>2386</v>
      </c>
      <c r="C1302" s="54">
        <v>45959</v>
      </c>
      <c r="D1302" s="55">
        <v>52366096050</v>
      </c>
      <c r="E1302" s="55">
        <v>2107658308624</v>
      </c>
      <c r="F1302" s="56" t="s">
        <v>2411</v>
      </c>
      <c r="G1302" s="56" t="s">
        <v>2388</v>
      </c>
      <c r="H1302" s="56" t="s">
        <v>8</v>
      </c>
      <c r="I1302" s="55" t="s">
        <v>8</v>
      </c>
      <c r="J1302" s="57">
        <v>1049.49</v>
      </c>
      <c r="K1302" s="56" t="s">
        <v>2389</v>
      </c>
      <c r="L1302" s="56" t="s">
        <v>2390</v>
      </c>
      <c r="M1302" s="55" t="s">
        <v>2391</v>
      </c>
      <c r="N1302" s="56" t="s">
        <v>2392</v>
      </c>
      <c r="O1302" s="53" t="s">
        <v>8</v>
      </c>
      <c r="P1302" s="56" t="s">
        <v>2412</v>
      </c>
      <c r="Q1302" s="57">
        <v>108195</v>
      </c>
      <c r="R1302" s="58" t="s">
        <v>8</v>
      </c>
      <c r="S1302" s="57" t="s">
        <v>8</v>
      </c>
      <c r="T1302" s="56" t="s">
        <v>8</v>
      </c>
    </row>
    <row r="1303" spans="1:20">
      <c r="A1303" s="55">
        <v>131783903282</v>
      </c>
      <c r="B1303" s="53" t="s">
        <v>2386</v>
      </c>
      <c r="C1303" s="54">
        <v>45959</v>
      </c>
      <c r="D1303" s="55">
        <v>52366763309</v>
      </c>
      <c r="E1303" s="55">
        <v>2107667032414</v>
      </c>
      <c r="F1303" s="56" t="s">
        <v>2411</v>
      </c>
      <c r="G1303" s="56" t="s">
        <v>2388</v>
      </c>
      <c r="H1303" s="56" t="s">
        <v>8</v>
      </c>
      <c r="I1303" s="55" t="s">
        <v>8</v>
      </c>
      <c r="J1303" s="57">
        <v>470.45</v>
      </c>
      <c r="K1303" s="56" t="s">
        <v>2389</v>
      </c>
      <c r="L1303" s="56" t="s">
        <v>2390</v>
      </c>
      <c r="M1303" s="55" t="s">
        <v>2391</v>
      </c>
      <c r="N1303" s="56" t="s">
        <v>2392</v>
      </c>
      <c r="O1303" s="53" t="s">
        <v>8</v>
      </c>
      <c r="P1303" s="56" t="s">
        <v>2412</v>
      </c>
      <c r="Q1303" s="57">
        <v>48500</v>
      </c>
      <c r="R1303" s="58" t="s">
        <v>8</v>
      </c>
      <c r="S1303" s="57" t="s">
        <v>8</v>
      </c>
      <c r="T1303" s="56" t="s">
        <v>8</v>
      </c>
    </row>
    <row r="1304" spans="1:20">
      <c r="A1304" s="55">
        <v>131190834783</v>
      </c>
      <c r="B1304" s="53" t="s">
        <v>2386</v>
      </c>
      <c r="C1304" s="54">
        <v>45960</v>
      </c>
      <c r="D1304" s="55">
        <v>52367528328</v>
      </c>
      <c r="E1304" s="55">
        <v>2107675560668</v>
      </c>
      <c r="F1304" s="56" t="s">
        <v>2387</v>
      </c>
      <c r="G1304" s="56" t="s">
        <v>2388</v>
      </c>
      <c r="H1304" s="56" t="s">
        <v>8</v>
      </c>
      <c r="I1304" s="55" t="s">
        <v>8</v>
      </c>
      <c r="J1304" s="57">
        <v>1826.25</v>
      </c>
      <c r="K1304" s="56" t="s">
        <v>2389</v>
      </c>
      <c r="L1304" s="56" t="s">
        <v>2390</v>
      </c>
      <c r="M1304" s="55" t="s">
        <v>2391</v>
      </c>
      <c r="N1304" s="56" t="s">
        <v>2392</v>
      </c>
      <c r="O1304" s="53" t="s">
        <v>8</v>
      </c>
      <c r="P1304" s="56" t="s">
        <v>2918</v>
      </c>
      <c r="Q1304" s="57">
        <v>23998</v>
      </c>
      <c r="R1304" s="58" t="s">
        <v>8</v>
      </c>
      <c r="S1304" s="57" t="s">
        <v>8</v>
      </c>
      <c r="T1304" s="56" t="s">
        <v>2394</v>
      </c>
    </row>
    <row r="1305" spans="1:20">
      <c r="A1305" s="55">
        <v>131786100454</v>
      </c>
      <c r="B1305" s="53" t="s">
        <v>2386</v>
      </c>
      <c r="C1305" s="54">
        <v>45960</v>
      </c>
      <c r="D1305" s="55">
        <v>52367854630</v>
      </c>
      <c r="E1305" s="55">
        <v>2107591292273</v>
      </c>
      <c r="F1305" s="56" t="s">
        <v>2387</v>
      </c>
      <c r="G1305" s="56" t="s">
        <v>2388</v>
      </c>
      <c r="H1305" s="56" t="s">
        <v>8</v>
      </c>
      <c r="I1305" s="55" t="s">
        <v>8</v>
      </c>
      <c r="J1305" s="57">
        <v>1826.25</v>
      </c>
      <c r="K1305" s="56" t="s">
        <v>2389</v>
      </c>
      <c r="L1305" s="56" t="s">
        <v>2390</v>
      </c>
      <c r="M1305" s="55" t="s">
        <v>2391</v>
      </c>
      <c r="N1305" s="56" t="s">
        <v>2392</v>
      </c>
      <c r="O1305" s="53" t="s">
        <v>8</v>
      </c>
      <c r="P1305" s="56" t="s">
        <v>2919</v>
      </c>
      <c r="Q1305" s="57">
        <v>23998</v>
      </c>
      <c r="R1305" s="58" t="s">
        <v>8</v>
      </c>
      <c r="S1305" s="57" t="s">
        <v>8</v>
      </c>
      <c r="T1305" s="56" t="s">
        <v>2394</v>
      </c>
    </row>
    <row r="1306" spans="1:20">
      <c r="A1306" s="55">
        <v>131786628190</v>
      </c>
      <c r="B1306" s="53" t="s">
        <v>2386</v>
      </c>
      <c r="C1306" s="54">
        <v>45960</v>
      </c>
      <c r="D1306" s="55">
        <v>52368068479</v>
      </c>
      <c r="E1306" s="55">
        <v>2107683444592</v>
      </c>
      <c r="F1306" s="56" t="s">
        <v>2387</v>
      </c>
      <c r="G1306" s="56" t="s">
        <v>2388</v>
      </c>
      <c r="H1306" s="56" t="s">
        <v>8</v>
      </c>
      <c r="I1306" s="55" t="s">
        <v>8</v>
      </c>
      <c r="J1306" s="57">
        <v>213.4</v>
      </c>
      <c r="K1306" s="56" t="s">
        <v>2389</v>
      </c>
      <c r="L1306" s="56" t="s">
        <v>2390</v>
      </c>
      <c r="M1306" s="55" t="s">
        <v>2391</v>
      </c>
      <c r="N1306" s="56" t="s">
        <v>2392</v>
      </c>
      <c r="O1306" s="53" t="s">
        <v>8</v>
      </c>
      <c r="P1306" s="56" t="s">
        <v>2920</v>
      </c>
      <c r="Q1306" s="57">
        <v>22000</v>
      </c>
      <c r="R1306" s="58" t="s">
        <v>8</v>
      </c>
      <c r="S1306" s="57" t="s">
        <v>8</v>
      </c>
      <c r="T1306" s="56" t="s">
        <v>2394</v>
      </c>
    </row>
    <row r="1307" spans="1:20">
      <c r="A1307" s="55">
        <v>131789264688</v>
      </c>
      <c r="B1307" s="53" t="s">
        <v>2386</v>
      </c>
      <c r="C1307" s="54">
        <v>45960</v>
      </c>
      <c r="D1307" s="55">
        <v>52369174395</v>
      </c>
      <c r="E1307" s="55">
        <v>2107620048735</v>
      </c>
      <c r="F1307" s="56" t="s">
        <v>2401</v>
      </c>
      <c r="G1307" s="56" t="s">
        <v>2388</v>
      </c>
      <c r="H1307" s="56" t="s">
        <v>8</v>
      </c>
      <c r="I1307" s="55" t="s">
        <v>8</v>
      </c>
      <c r="J1307" s="57">
        <v>1567.66</v>
      </c>
      <c r="K1307" s="56" t="s">
        <v>2389</v>
      </c>
      <c r="L1307" s="56" t="s">
        <v>2402</v>
      </c>
      <c r="M1307" s="55" t="s">
        <v>2391</v>
      </c>
      <c r="N1307" s="56" t="s">
        <v>2392</v>
      </c>
      <c r="O1307" s="53" t="s">
        <v>2055</v>
      </c>
      <c r="P1307" s="56" t="s">
        <v>2403</v>
      </c>
      <c r="Q1307" s="57">
        <v>20600</v>
      </c>
      <c r="R1307" s="58" t="s">
        <v>8</v>
      </c>
      <c r="S1307" s="57" t="s">
        <v>8</v>
      </c>
      <c r="T1307" s="56" t="s">
        <v>2394</v>
      </c>
    </row>
    <row r="1308" spans="1:20">
      <c r="A1308" s="55">
        <v>131286438671</v>
      </c>
      <c r="B1308" s="53" t="s">
        <v>2386</v>
      </c>
      <c r="C1308" s="54">
        <v>45960</v>
      </c>
      <c r="D1308" s="55">
        <v>52403457780</v>
      </c>
      <c r="E1308" s="55">
        <v>2108336307136</v>
      </c>
      <c r="F1308" s="56" t="s">
        <v>2401</v>
      </c>
      <c r="G1308" s="56" t="s">
        <v>2388</v>
      </c>
      <c r="H1308" s="56" t="s">
        <v>8</v>
      </c>
      <c r="I1308" s="55" t="s">
        <v>8</v>
      </c>
      <c r="J1308" s="57">
        <v>168.99</v>
      </c>
      <c r="K1308" s="56" t="s">
        <v>2389</v>
      </c>
      <c r="L1308" s="56" t="s">
        <v>2402</v>
      </c>
      <c r="M1308" s="55" t="s">
        <v>2391</v>
      </c>
      <c r="N1308" s="56" t="s">
        <v>2392</v>
      </c>
      <c r="O1308" s="53" t="s">
        <v>2055</v>
      </c>
      <c r="P1308" s="56" t="s">
        <v>2403</v>
      </c>
      <c r="Q1308" s="57">
        <v>4300</v>
      </c>
      <c r="R1308" s="58" t="s">
        <v>8</v>
      </c>
      <c r="S1308" s="57" t="s">
        <v>8</v>
      </c>
      <c r="T1308" s="56" t="s">
        <v>2394</v>
      </c>
    </row>
    <row r="1309" spans="1:20">
      <c r="A1309" s="55">
        <v>131885222868</v>
      </c>
      <c r="B1309" s="53" t="s">
        <v>2386</v>
      </c>
      <c r="C1309" s="54">
        <v>45960</v>
      </c>
      <c r="D1309" s="55">
        <v>52404006630</v>
      </c>
      <c r="E1309" s="55">
        <v>2108252835355</v>
      </c>
      <c r="F1309" s="56" t="s">
        <v>2387</v>
      </c>
      <c r="G1309" s="56" t="s">
        <v>2388</v>
      </c>
      <c r="H1309" s="56" t="s">
        <v>8</v>
      </c>
      <c r="I1309" s="55" t="s">
        <v>8</v>
      </c>
      <c r="J1309" s="57">
        <v>162.96</v>
      </c>
      <c r="K1309" s="56" t="s">
        <v>2389</v>
      </c>
      <c r="L1309" s="56" t="s">
        <v>2390</v>
      </c>
      <c r="M1309" s="55" t="s">
        <v>2391</v>
      </c>
      <c r="N1309" s="56" t="s">
        <v>2392</v>
      </c>
      <c r="O1309" s="53" t="s">
        <v>8</v>
      </c>
      <c r="P1309" s="56" t="s">
        <v>2921</v>
      </c>
      <c r="Q1309" s="57">
        <v>16800</v>
      </c>
      <c r="R1309" s="58" t="s">
        <v>8</v>
      </c>
      <c r="S1309" s="57" t="s">
        <v>8</v>
      </c>
      <c r="T1309" s="56" t="s">
        <v>2394</v>
      </c>
    </row>
    <row r="1310" spans="1:20">
      <c r="A1310" s="55">
        <v>131293843097</v>
      </c>
      <c r="B1310" s="53" t="s">
        <v>2386</v>
      </c>
      <c r="C1310" s="54">
        <v>45960</v>
      </c>
      <c r="D1310" s="55">
        <v>52406039359</v>
      </c>
      <c r="E1310" s="55">
        <v>2108285539499</v>
      </c>
      <c r="F1310" s="56" t="s">
        <v>2387</v>
      </c>
      <c r="G1310" s="56" t="s">
        <v>2388</v>
      </c>
      <c r="H1310" s="56" t="s">
        <v>8</v>
      </c>
      <c r="I1310" s="55" t="s">
        <v>8</v>
      </c>
      <c r="J1310" s="57">
        <v>38.799999999999997</v>
      </c>
      <c r="K1310" s="56" t="s">
        <v>2389</v>
      </c>
      <c r="L1310" s="56" t="s">
        <v>2390</v>
      </c>
      <c r="M1310" s="55" t="s">
        <v>2391</v>
      </c>
      <c r="N1310" s="56" t="s">
        <v>2392</v>
      </c>
      <c r="O1310" s="53" t="s">
        <v>8</v>
      </c>
      <c r="P1310" s="56" t="s">
        <v>2922</v>
      </c>
      <c r="Q1310" s="57">
        <v>4000</v>
      </c>
      <c r="R1310" s="58" t="s">
        <v>8</v>
      </c>
      <c r="S1310" s="57" t="s">
        <v>8</v>
      </c>
      <c r="T1310" s="56" t="s">
        <v>2394</v>
      </c>
    </row>
    <row r="1311" spans="1:20">
      <c r="A1311" s="55">
        <v>131890487764</v>
      </c>
      <c r="B1311" s="53" t="s">
        <v>2386</v>
      </c>
      <c r="C1311" s="54">
        <v>45960</v>
      </c>
      <c r="D1311" s="55">
        <v>52406187025</v>
      </c>
      <c r="E1311" s="55">
        <v>2108288703161</v>
      </c>
      <c r="F1311" s="56" t="s">
        <v>2387</v>
      </c>
      <c r="G1311" s="56" t="s">
        <v>2388</v>
      </c>
      <c r="H1311" s="56" t="s">
        <v>8</v>
      </c>
      <c r="I1311" s="55" t="s">
        <v>8</v>
      </c>
      <c r="J1311" s="57">
        <v>2115.58</v>
      </c>
      <c r="K1311" s="56" t="s">
        <v>2389</v>
      </c>
      <c r="L1311" s="56" t="s">
        <v>2390</v>
      </c>
      <c r="M1311" s="55" t="s">
        <v>2391</v>
      </c>
      <c r="N1311" s="56" t="s">
        <v>2392</v>
      </c>
      <c r="O1311" s="53" t="s">
        <v>8</v>
      </c>
      <c r="P1311" s="56" t="s">
        <v>2527</v>
      </c>
      <c r="Q1311" s="57">
        <v>27800</v>
      </c>
      <c r="R1311" s="58" t="s">
        <v>8</v>
      </c>
      <c r="S1311" s="57" t="s">
        <v>8</v>
      </c>
      <c r="T1311" s="56" t="s">
        <v>2394</v>
      </c>
    </row>
    <row r="1312" spans="1:20">
      <c r="A1312" s="55">
        <v>131890761018</v>
      </c>
      <c r="B1312" s="53" t="s">
        <v>2386</v>
      </c>
      <c r="C1312" s="54">
        <v>45960</v>
      </c>
      <c r="D1312" s="55">
        <v>52406286959</v>
      </c>
      <c r="E1312" s="55">
        <v>2108290451051</v>
      </c>
      <c r="F1312" s="56" t="s">
        <v>2411</v>
      </c>
      <c r="G1312" s="56" t="s">
        <v>2388</v>
      </c>
      <c r="H1312" s="56" t="s">
        <v>8</v>
      </c>
      <c r="I1312" s="55" t="s">
        <v>8</v>
      </c>
      <c r="J1312" s="57">
        <v>452.99</v>
      </c>
      <c r="K1312" s="56" t="s">
        <v>2389</v>
      </c>
      <c r="L1312" s="56" t="s">
        <v>2390</v>
      </c>
      <c r="M1312" s="55" t="s">
        <v>2391</v>
      </c>
      <c r="N1312" s="56" t="s">
        <v>2392</v>
      </c>
      <c r="O1312" s="53" t="s">
        <v>8</v>
      </c>
      <c r="P1312" s="56" t="s">
        <v>2412</v>
      </c>
      <c r="Q1312" s="57">
        <v>46700</v>
      </c>
      <c r="R1312" s="58" t="s">
        <v>8</v>
      </c>
      <c r="S1312" s="57" t="s">
        <v>8</v>
      </c>
      <c r="T1312" s="56" t="s">
        <v>8</v>
      </c>
    </row>
    <row r="1313" spans="1:20">
      <c r="A1313" s="55">
        <v>131298223245</v>
      </c>
      <c r="B1313" s="53" t="s">
        <v>2386</v>
      </c>
      <c r="C1313" s="54">
        <v>45960</v>
      </c>
      <c r="D1313" s="55">
        <v>52407725889</v>
      </c>
      <c r="E1313" s="55">
        <v>2108407167864</v>
      </c>
      <c r="F1313" s="56" t="s">
        <v>2401</v>
      </c>
      <c r="G1313" s="56" t="s">
        <v>2388</v>
      </c>
      <c r="H1313" s="56" t="s">
        <v>8</v>
      </c>
      <c r="I1313" s="55" t="s">
        <v>8</v>
      </c>
      <c r="J1313" s="57">
        <v>608.79999999999995</v>
      </c>
      <c r="K1313" s="56" t="s">
        <v>2389</v>
      </c>
      <c r="L1313" s="56" t="s">
        <v>2402</v>
      </c>
      <c r="M1313" s="55" t="s">
        <v>2391</v>
      </c>
      <c r="N1313" s="56" t="s">
        <v>2392</v>
      </c>
      <c r="O1313" s="53" t="s">
        <v>2055</v>
      </c>
      <c r="P1313" s="56" t="s">
        <v>2403</v>
      </c>
      <c r="Q1313" s="57">
        <v>8000</v>
      </c>
      <c r="R1313" s="58" t="s">
        <v>8</v>
      </c>
      <c r="S1313" s="57" t="s">
        <v>8</v>
      </c>
      <c r="T1313" s="56" t="s">
        <v>2394</v>
      </c>
    </row>
    <row r="1314" spans="1:20">
      <c r="A1314" s="55">
        <v>131896819466</v>
      </c>
      <c r="B1314" s="53" t="s">
        <v>2386</v>
      </c>
      <c r="C1314" s="54">
        <v>45960</v>
      </c>
      <c r="D1314" s="55">
        <v>52408422137</v>
      </c>
      <c r="E1314" s="55">
        <v>2108419615622</v>
      </c>
      <c r="F1314" s="56" t="s">
        <v>2411</v>
      </c>
      <c r="G1314" s="56" t="s">
        <v>2388</v>
      </c>
      <c r="H1314" s="56" t="s">
        <v>8</v>
      </c>
      <c r="I1314" s="55" t="s">
        <v>8</v>
      </c>
      <c r="J1314" s="57">
        <v>393.82</v>
      </c>
      <c r="K1314" s="56" t="s">
        <v>2389</v>
      </c>
      <c r="L1314" s="56" t="s">
        <v>2390</v>
      </c>
      <c r="M1314" s="55" t="s">
        <v>2391</v>
      </c>
      <c r="N1314" s="56" t="s">
        <v>2392</v>
      </c>
      <c r="O1314" s="53" t="s">
        <v>8</v>
      </c>
      <c r="P1314" s="56" t="s">
        <v>2412</v>
      </c>
      <c r="Q1314" s="57">
        <v>40600</v>
      </c>
      <c r="R1314" s="58" t="s">
        <v>8</v>
      </c>
      <c r="S1314" s="57" t="s">
        <v>8</v>
      </c>
      <c r="T1314" s="56" t="s">
        <v>8</v>
      </c>
    </row>
    <row r="1315" spans="1:20">
      <c r="A1315" s="55">
        <v>131901497916</v>
      </c>
      <c r="B1315" s="53" t="s">
        <v>2386</v>
      </c>
      <c r="C1315" s="54">
        <v>45960</v>
      </c>
      <c r="D1315" s="55">
        <v>52410318943</v>
      </c>
      <c r="E1315" s="55">
        <v>2108455308294</v>
      </c>
      <c r="F1315" s="56" t="s">
        <v>2401</v>
      </c>
      <c r="G1315" s="56" t="s">
        <v>2388</v>
      </c>
      <c r="H1315" s="56" t="s">
        <v>8</v>
      </c>
      <c r="I1315" s="55" t="s">
        <v>8</v>
      </c>
      <c r="J1315" s="57">
        <v>730.56</v>
      </c>
      <c r="K1315" s="56" t="s">
        <v>2389</v>
      </c>
      <c r="L1315" s="56" t="s">
        <v>2402</v>
      </c>
      <c r="M1315" s="55" t="s">
        <v>2391</v>
      </c>
      <c r="N1315" s="56" t="s">
        <v>2392</v>
      </c>
      <c r="O1315" s="53" t="s">
        <v>2055</v>
      </c>
      <c r="P1315" s="56" t="s">
        <v>2403</v>
      </c>
      <c r="Q1315" s="57">
        <v>9600</v>
      </c>
      <c r="R1315" s="58" t="s">
        <v>8</v>
      </c>
      <c r="S1315" s="57" t="s">
        <v>8</v>
      </c>
      <c r="T1315" s="56" t="s">
        <v>2394</v>
      </c>
    </row>
    <row r="1316" spans="1:20">
      <c r="A1316" s="55">
        <v>131901950294</v>
      </c>
      <c r="B1316" s="53" t="s">
        <v>2386</v>
      </c>
      <c r="C1316" s="54">
        <v>45960</v>
      </c>
      <c r="D1316" s="55">
        <v>52410452071</v>
      </c>
      <c r="E1316" s="55">
        <v>2108457724988</v>
      </c>
      <c r="F1316" s="56" t="s">
        <v>2387</v>
      </c>
      <c r="G1316" s="56" t="s">
        <v>2388</v>
      </c>
      <c r="H1316" s="56" t="s">
        <v>8</v>
      </c>
      <c r="I1316" s="55" t="s">
        <v>8</v>
      </c>
      <c r="J1316" s="57">
        <v>53.35</v>
      </c>
      <c r="K1316" s="56" t="s">
        <v>2389</v>
      </c>
      <c r="L1316" s="56" t="s">
        <v>2390</v>
      </c>
      <c r="M1316" s="55" t="s">
        <v>2391</v>
      </c>
      <c r="N1316" s="56" t="s">
        <v>2392</v>
      </c>
      <c r="O1316" s="53" t="s">
        <v>8</v>
      </c>
      <c r="P1316" s="56" t="s">
        <v>2923</v>
      </c>
      <c r="Q1316" s="57">
        <v>5500</v>
      </c>
      <c r="R1316" s="58" t="s">
        <v>8</v>
      </c>
      <c r="S1316" s="57" t="s">
        <v>8</v>
      </c>
      <c r="T1316" s="56" t="s">
        <v>2394</v>
      </c>
    </row>
    <row r="1317" spans="1:20">
      <c r="A1317" s="55">
        <v>131305593613</v>
      </c>
      <c r="B1317" s="53" t="s">
        <v>2386</v>
      </c>
      <c r="C1317" s="54">
        <v>45960</v>
      </c>
      <c r="D1317" s="55">
        <v>52410540349</v>
      </c>
      <c r="E1317" s="55">
        <v>2108460175558</v>
      </c>
      <c r="F1317" s="56" t="s">
        <v>2411</v>
      </c>
      <c r="G1317" s="56" t="s">
        <v>2388</v>
      </c>
      <c r="H1317" s="56" t="s">
        <v>8</v>
      </c>
      <c r="I1317" s="55" t="s">
        <v>8</v>
      </c>
      <c r="J1317" s="57">
        <v>198.85</v>
      </c>
      <c r="K1317" s="56" t="s">
        <v>2389</v>
      </c>
      <c r="L1317" s="56" t="s">
        <v>2390</v>
      </c>
      <c r="M1317" s="55" t="s">
        <v>2391</v>
      </c>
      <c r="N1317" s="56" t="s">
        <v>2392</v>
      </c>
      <c r="O1317" s="53" t="s">
        <v>8</v>
      </c>
      <c r="P1317" s="56" t="s">
        <v>2412</v>
      </c>
      <c r="Q1317" s="57">
        <v>20500</v>
      </c>
      <c r="R1317" s="58" t="s">
        <v>8</v>
      </c>
      <c r="S1317" s="57" t="s">
        <v>8</v>
      </c>
      <c r="T1317" s="56" t="s">
        <v>8</v>
      </c>
    </row>
    <row r="1318" spans="1:20">
      <c r="A1318" s="55">
        <v>131305925337</v>
      </c>
      <c r="B1318" s="53" t="s">
        <v>2386</v>
      </c>
      <c r="C1318" s="54">
        <v>45960</v>
      </c>
      <c r="D1318" s="55">
        <v>52410654006</v>
      </c>
      <c r="E1318" s="55">
        <v>2108462150172</v>
      </c>
      <c r="F1318" s="56" t="s">
        <v>2411</v>
      </c>
      <c r="G1318" s="56" t="s">
        <v>2388</v>
      </c>
      <c r="H1318" s="56" t="s">
        <v>8</v>
      </c>
      <c r="I1318" s="55" t="s">
        <v>8</v>
      </c>
      <c r="J1318" s="57">
        <v>46.56</v>
      </c>
      <c r="K1318" s="56" t="s">
        <v>2389</v>
      </c>
      <c r="L1318" s="56" t="s">
        <v>2390</v>
      </c>
      <c r="M1318" s="55" t="s">
        <v>2391</v>
      </c>
      <c r="N1318" s="56" t="s">
        <v>2392</v>
      </c>
      <c r="O1318" s="53" t="s">
        <v>8</v>
      </c>
      <c r="P1318" s="56" t="s">
        <v>2412</v>
      </c>
      <c r="Q1318" s="57">
        <v>4800</v>
      </c>
      <c r="R1318" s="58" t="s">
        <v>8</v>
      </c>
      <c r="S1318" s="57" t="s">
        <v>8</v>
      </c>
      <c r="T1318" s="56" t="s">
        <v>8</v>
      </c>
    </row>
    <row r="1319" spans="1:20">
      <c r="A1319" s="55">
        <v>131902908484</v>
      </c>
      <c r="B1319" s="53" t="s">
        <v>2386</v>
      </c>
      <c r="C1319" s="54">
        <v>45960</v>
      </c>
      <c r="D1319" s="55">
        <v>52410701252</v>
      </c>
      <c r="E1319" s="55">
        <v>2108462704162</v>
      </c>
      <c r="F1319" s="56" t="s">
        <v>2387</v>
      </c>
      <c r="G1319" s="56" t="s">
        <v>2388</v>
      </c>
      <c r="H1319" s="56" t="s">
        <v>8</v>
      </c>
      <c r="I1319" s="55" t="s">
        <v>8</v>
      </c>
      <c r="J1319" s="57">
        <v>38.799999999999997</v>
      </c>
      <c r="K1319" s="56" t="s">
        <v>2389</v>
      </c>
      <c r="L1319" s="56" t="s">
        <v>2390</v>
      </c>
      <c r="M1319" s="55" t="s">
        <v>2391</v>
      </c>
      <c r="N1319" s="56" t="s">
        <v>2392</v>
      </c>
      <c r="O1319" s="53" t="s">
        <v>8</v>
      </c>
      <c r="P1319" s="56" t="s">
        <v>2681</v>
      </c>
      <c r="Q1319" s="57">
        <v>4000</v>
      </c>
      <c r="R1319" s="58" t="s">
        <v>8</v>
      </c>
      <c r="S1319" s="57" t="s">
        <v>8</v>
      </c>
      <c r="T1319" s="56" t="s">
        <v>2394</v>
      </c>
    </row>
    <row r="1320" spans="1:20">
      <c r="A1320" s="55">
        <v>131902863112</v>
      </c>
      <c r="B1320" s="53" t="s">
        <v>2386</v>
      </c>
      <c r="C1320" s="54">
        <v>45960</v>
      </c>
      <c r="D1320" s="55">
        <v>52410730864</v>
      </c>
      <c r="E1320" s="55">
        <v>2108463188536</v>
      </c>
      <c r="F1320" s="56" t="s">
        <v>2401</v>
      </c>
      <c r="G1320" s="56" t="s">
        <v>2388</v>
      </c>
      <c r="H1320" s="56" t="s">
        <v>8</v>
      </c>
      <c r="I1320" s="55" t="s">
        <v>8</v>
      </c>
      <c r="J1320" s="57">
        <v>157.19999999999999</v>
      </c>
      <c r="K1320" s="56" t="s">
        <v>2389</v>
      </c>
      <c r="L1320" s="56" t="s">
        <v>2402</v>
      </c>
      <c r="M1320" s="55" t="s">
        <v>2391</v>
      </c>
      <c r="N1320" s="56" t="s">
        <v>2392</v>
      </c>
      <c r="O1320" s="53" t="s">
        <v>2055</v>
      </c>
      <c r="P1320" s="56" t="s">
        <v>2403</v>
      </c>
      <c r="Q1320" s="57">
        <v>4000</v>
      </c>
      <c r="R1320" s="58" t="s">
        <v>8</v>
      </c>
      <c r="S1320" s="57" t="s">
        <v>8</v>
      </c>
      <c r="T1320" s="56" t="s">
        <v>2394</v>
      </c>
    </row>
    <row r="1321" spans="1:20">
      <c r="A1321" s="55">
        <v>131903448136</v>
      </c>
      <c r="B1321" s="53" t="s">
        <v>2386</v>
      </c>
      <c r="C1321" s="54">
        <v>45960</v>
      </c>
      <c r="D1321" s="55">
        <v>52410838988</v>
      </c>
      <c r="E1321" s="55">
        <v>2108373066095</v>
      </c>
      <c r="F1321" s="56" t="s">
        <v>2387</v>
      </c>
      <c r="G1321" s="56" t="s">
        <v>2388</v>
      </c>
      <c r="H1321" s="56" t="s">
        <v>8</v>
      </c>
      <c r="I1321" s="55" t="s">
        <v>8</v>
      </c>
      <c r="J1321" s="57">
        <v>46.56</v>
      </c>
      <c r="K1321" s="56" t="s">
        <v>2389</v>
      </c>
      <c r="L1321" s="56" t="s">
        <v>2390</v>
      </c>
      <c r="M1321" s="55" t="s">
        <v>2391</v>
      </c>
      <c r="N1321" s="56" t="s">
        <v>2392</v>
      </c>
      <c r="O1321" s="53" t="s">
        <v>8</v>
      </c>
      <c r="P1321" s="56" t="s">
        <v>2443</v>
      </c>
      <c r="Q1321" s="57">
        <v>4800</v>
      </c>
      <c r="R1321" s="58" t="s">
        <v>8</v>
      </c>
      <c r="S1321" s="57" t="s">
        <v>8</v>
      </c>
      <c r="T1321" s="56" t="s">
        <v>2394</v>
      </c>
    </row>
    <row r="1322" spans="1:20">
      <c r="A1322" s="55">
        <v>131306395943</v>
      </c>
      <c r="B1322" s="53" t="s">
        <v>2386</v>
      </c>
      <c r="C1322" s="54">
        <v>45960</v>
      </c>
      <c r="D1322" s="55">
        <v>52410992217</v>
      </c>
      <c r="E1322" s="55">
        <v>2108468045622</v>
      </c>
      <c r="F1322" s="56" t="s">
        <v>2387</v>
      </c>
      <c r="G1322" s="56" t="s">
        <v>2388</v>
      </c>
      <c r="H1322" s="56" t="s">
        <v>8</v>
      </c>
      <c r="I1322" s="55" t="s">
        <v>8</v>
      </c>
      <c r="J1322" s="57">
        <v>23.28</v>
      </c>
      <c r="K1322" s="56" t="s">
        <v>2389</v>
      </c>
      <c r="L1322" s="56" t="s">
        <v>2390</v>
      </c>
      <c r="M1322" s="55" t="s">
        <v>2391</v>
      </c>
      <c r="N1322" s="56" t="s">
        <v>2392</v>
      </c>
      <c r="O1322" s="53" t="s">
        <v>8</v>
      </c>
      <c r="P1322" s="56" t="s">
        <v>2443</v>
      </c>
      <c r="Q1322" s="57">
        <v>2400</v>
      </c>
      <c r="R1322" s="58" t="s">
        <v>8</v>
      </c>
      <c r="S1322" s="57" t="s">
        <v>8</v>
      </c>
      <c r="T1322" s="56" t="s">
        <v>2394</v>
      </c>
    </row>
    <row r="1323" spans="1:20">
      <c r="A1323" s="55">
        <v>131903795584</v>
      </c>
      <c r="B1323" s="53" t="s">
        <v>2386</v>
      </c>
      <c r="C1323" s="54">
        <v>45960</v>
      </c>
      <c r="D1323" s="55">
        <v>52411012603</v>
      </c>
      <c r="E1323" s="55">
        <v>2108376459691</v>
      </c>
      <c r="F1323" s="56" t="s">
        <v>2401</v>
      </c>
      <c r="G1323" s="56" t="s">
        <v>2388</v>
      </c>
      <c r="H1323" s="56" t="s">
        <v>8</v>
      </c>
      <c r="I1323" s="55" t="s">
        <v>8</v>
      </c>
      <c r="J1323" s="57">
        <v>534.48</v>
      </c>
      <c r="K1323" s="56" t="s">
        <v>2389</v>
      </c>
      <c r="L1323" s="56" t="s">
        <v>2402</v>
      </c>
      <c r="M1323" s="55" t="s">
        <v>2391</v>
      </c>
      <c r="N1323" s="56" t="s">
        <v>2392</v>
      </c>
      <c r="O1323" s="53" t="s">
        <v>2055</v>
      </c>
      <c r="P1323" s="56" t="s">
        <v>2403</v>
      </c>
      <c r="Q1323" s="57">
        <v>13600</v>
      </c>
      <c r="R1323" s="58" t="s">
        <v>8</v>
      </c>
      <c r="S1323" s="57" t="s">
        <v>8</v>
      </c>
      <c r="T1323" s="56" t="s">
        <v>2394</v>
      </c>
    </row>
    <row r="1324" spans="1:20">
      <c r="A1324" s="55">
        <v>131306924489</v>
      </c>
      <c r="B1324" s="53" t="s">
        <v>2386</v>
      </c>
      <c r="C1324" s="54">
        <v>45960</v>
      </c>
      <c r="D1324" s="55">
        <v>52411215369</v>
      </c>
      <c r="E1324" s="55">
        <v>2108379709833</v>
      </c>
      <c r="F1324" s="56" t="s">
        <v>2387</v>
      </c>
      <c r="G1324" s="56" t="s">
        <v>2388</v>
      </c>
      <c r="H1324" s="56" t="s">
        <v>8</v>
      </c>
      <c r="I1324" s="55" t="s">
        <v>8</v>
      </c>
      <c r="J1324" s="57">
        <v>40.74</v>
      </c>
      <c r="K1324" s="56" t="s">
        <v>2389</v>
      </c>
      <c r="L1324" s="56" t="s">
        <v>2390</v>
      </c>
      <c r="M1324" s="55" t="s">
        <v>2391</v>
      </c>
      <c r="N1324" s="56" t="s">
        <v>2392</v>
      </c>
      <c r="O1324" s="53" t="s">
        <v>8</v>
      </c>
      <c r="P1324" s="56" t="s">
        <v>2924</v>
      </c>
      <c r="Q1324" s="57">
        <v>4200</v>
      </c>
      <c r="R1324" s="58" t="s">
        <v>8</v>
      </c>
      <c r="S1324" s="57" t="s">
        <v>8</v>
      </c>
      <c r="T1324" s="56" t="s">
        <v>2394</v>
      </c>
    </row>
    <row r="1325" spans="1:20">
      <c r="A1325" s="55">
        <v>131904338486</v>
      </c>
      <c r="B1325" s="53" t="s">
        <v>2386</v>
      </c>
      <c r="C1325" s="54">
        <v>45960</v>
      </c>
      <c r="D1325" s="55">
        <v>52411290515</v>
      </c>
      <c r="E1325" s="55">
        <v>2108381246553</v>
      </c>
      <c r="F1325" s="56" t="s">
        <v>2401</v>
      </c>
      <c r="G1325" s="56" t="s">
        <v>2388</v>
      </c>
      <c r="H1325" s="56" t="s">
        <v>8</v>
      </c>
      <c r="I1325" s="55" t="s">
        <v>8</v>
      </c>
      <c r="J1325" s="57">
        <v>432.3</v>
      </c>
      <c r="K1325" s="56" t="s">
        <v>2389</v>
      </c>
      <c r="L1325" s="56" t="s">
        <v>2402</v>
      </c>
      <c r="M1325" s="55" t="s">
        <v>2391</v>
      </c>
      <c r="N1325" s="56" t="s">
        <v>2392</v>
      </c>
      <c r="O1325" s="53" t="s">
        <v>2055</v>
      </c>
      <c r="P1325" s="56" t="s">
        <v>2403</v>
      </c>
      <c r="Q1325" s="57">
        <v>11000</v>
      </c>
      <c r="R1325" s="58" t="s">
        <v>8</v>
      </c>
      <c r="S1325" s="57" t="s">
        <v>8</v>
      </c>
      <c r="T1325" s="56" t="s">
        <v>2394</v>
      </c>
    </row>
    <row r="1326" spans="1:20">
      <c r="A1326" s="55">
        <v>131904438130</v>
      </c>
      <c r="B1326" s="53" t="s">
        <v>2386</v>
      </c>
      <c r="C1326" s="54">
        <v>45960</v>
      </c>
      <c r="D1326" s="55">
        <v>52411330103</v>
      </c>
      <c r="E1326" s="55">
        <v>2108473984604</v>
      </c>
      <c r="F1326" s="56" t="s">
        <v>2401</v>
      </c>
      <c r="G1326" s="56" t="s">
        <v>2388</v>
      </c>
      <c r="H1326" s="56" t="s">
        <v>8</v>
      </c>
      <c r="I1326" s="55" t="s">
        <v>8</v>
      </c>
      <c r="J1326" s="57">
        <v>418.55</v>
      </c>
      <c r="K1326" s="56" t="s">
        <v>2389</v>
      </c>
      <c r="L1326" s="56" t="s">
        <v>2402</v>
      </c>
      <c r="M1326" s="55" t="s">
        <v>2391</v>
      </c>
      <c r="N1326" s="56" t="s">
        <v>2392</v>
      </c>
      <c r="O1326" s="53" t="s">
        <v>2055</v>
      </c>
      <c r="P1326" s="56" t="s">
        <v>2403</v>
      </c>
      <c r="Q1326" s="57">
        <v>5500</v>
      </c>
      <c r="R1326" s="58" t="s">
        <v>8</v>
      </c>
      <c r="S1326" s="57" t="s">
        <v>8</v>
      </c>
      <c r="T1326" s="56" t="s">
        <v>2394</v>
      </c>
    </row>
    <row r="1327" spans="1:20">
      <c r="A1327" s="55">
        <v>131307691391</v>
      </c>
      <c r="B1327" s="53" t="s">
        <v>2386</v>
      </c>
      <c r="C1327" s="54">
        <v>45960</v>
      </c>
      <c r="D1327" s="55">
        <v>52411451687</v>
      </c>
      <c r="E1327" s="55">
        <v>2108384097487</v>
      </c>
      <c r="F1327" s="56" t="s">
        <v>2387</v>
      </c>
      <c r="G1327" s="56" t="s">
        <v>2388</v>
      </c>
      <c r="H1327" s="56" t="s">
        <v>8</v>
      </c>
      <c r="I1327" s="55" t="s">
        <v>8</v>
      </c>
      <c r="J1327" s="57">
        <v>46.56</v>
      </c>
      <c r="K1327" s="56" t="s">
        <v>2389</v>
      </c>
      <c r="L1327" s="56" t="s">
        <v>2390</v>
      </c>
      <c r="M1327" s="55" t="s">
        <v>2391</v>
      </c>
      <c r="N1327" s="56" t="s">
        <v>2392</v>
      </c>
      <c r="O1327" s="53" t="s">
        <v>8</v>
      </c>
      <c r="P1327" s="56" t="s">
        <v>2925</v>
      </c>
      <c r="Q1327" s="57">
        <v>4800</v>
      </c>
      <c r="R1327" s="58" t="s">
        <v>8</v>
      </c>
      <c r="S1327" s="57" t="s">
        <v>8</v>
      </c>
      <c r="T1327" s="56" t="s">
        <v>2394</v>
      </c>
    </row>
    <row r="1328" spans="1:20">
      <c r="A1328" s="55">
        <v>131308959291</v>
      </c>
      <c r="B1328" s="53" t="s">
        <v>2386</v>
      </c>
      <c r="C1328" s="54">
        <v>45960</v>
      </c>
      <c r="D1328" s="55">
        <v>52411875432</v>
      </c>
      <c r="E1328" s="55">
        <v>2108392167535</v>
      </c>
      <c r="F1328" s="56" t="s">
        <v>2401</v>
      </c>
      <c r="G1328" s="56" t="s">
        <v>2388</v>
      </c>
      <c r="H1328" s="56" t="s">
        <v>8</v>
      </c>
      <c r="I1328" s="55" t="s">
        <v>8</v>
      </c>
      <c r="J1328" s="57">
        <v>2088.4</v>
      </c>
      <c r="K1328" s="56" t="s">
        <v>2389</v>
      </c>
      <c r="L1328" s="56" t="s">
        <v>2402</v>
      </c>
      <c r="M1328" s="55" t="s">
        <v>2391</v>
      </c>
      <c r="N1328" s="56" t="s">
        <v>2392</v>
      </c>
      <c r="O1328" s="53" t="s">
        <v>2055</v>
      </c>
      <c r="P1328" s="56" t="s">
        <v>2403</v>
      </c>
      <c r="Q1328" s="57">
        <v>46000</v>
      </c>
      <c r="R1328" s="58" t="s">
        <v>8</v>
      </c>
      <c r="S1328" s="57" t="s">
        <v>8</v>
      </c>
      <c r="T1328" s="56" t="s">
        <v>2394</v>
      </c>
    </row>
    <row r="1329" spans="1:20">
      <c r="A1329" s="55">
        <v>131905568532</v>
      </c>
      <c r="B1329" s="53" t="s">
        <v>2386</v>
      </c>
      <c r="C1329" s="54">
        <v>45960</v>
      </c>
      <c r="D1329" s="55">
        <v>52411955446</v>
      </c>
      <c r="E1329" s="55">
        <v>2108485432784</v>
      </c>
      <c r="F1329" s="56" t="s">
        <v>2411</v>
      </c>
      <c r="G1329" s="56" t="s">
        <v>2388</v>
      </c>
      <c r="H1329" s="56" t="s">
        <v>8</v>
      </c>
      <c r="I1329" s="55" t="s">
        <v>8</v>
      </c>
      <c r="J1329" s="57">
        <v>85.36</v>
      </c>
      <c r="K1329" s="56" t="s">
        <v>2389</v>
      </c>
      <c r="L1329" s="56" t="s">
        <v>2390</v>
      </c>
      <c r="M1329" s="55" t="s">
        <v>2391</v>
      </c>
      <c r="N1329" s="56" t="s">
        <v>2392</v>
      </c>
      <c r="O1329" s="53" t="s">
        <v>8</v>
      </c>
      <c r="P1329" s="56" t="s">
        <v>2412</v>
      </c>
      <c r="Q1329" s="57">
        <v>8800</v>
      </c>
      <c r="R1329" s="58" t="s">
        <v>8</v>
      </c>
      <c r="S1329" s="57" t="s">
        <v>8</v>
      </c>
      <c r="T1329" s="56" t="s">
        <v>8</v>
      </c>
    </row>
    <row r="1330" spans="1:20">
      <c r="A1330" s="55">
        <v>131905809004</v>
      </c>
      <c r="B1330" s="53" t="s">
        <v>2386</v>
      </c>
      <c r="C1330" s="54">
        <v>45960</v>
      </c>
      <c r="D1330" s="55">
        <v>52412047553</v>
      </c>
      <c r="E1330" s="55">
        <v>2108395694345</v>
      </c>
      <c r="F1330" s="56" t="s">
        <v>2387</v>
      </c>
      <c r="G1330" s="56" t="s">
        <v>2388</v>
      </c>
      <c r="H1330" s="56" t="s">
        <v>8</v>
      </c>
      <c r="I1330" s="55" t="s">
        <v>8</v>
      </c>
      <c r="J1330" s="57">
        <v>46.56</v>
      </c>
      <c r="K1330" s="56" t="s">
        <v>2389</v>
      </c>
      <c r="L1330" s="56" t="s">
        <v>2390</v>
      </c>
      <c r="M1330" s="55" t="s">
        <v>2391</v>
      </c>
      <c r="N1330" s="56" t="s">
        <v>2392</v>
      </c>
      <c r="O1330" s="53" t="s">
        <v>8</v>
      </c>
      <c r="P1330" s="56" t="s">
        <v>2443</v>
      </c>
      <c r="Q1330" s="57">
        <v>4800</v>
      </c>
      <c r="R1330" s="58" t="s">
        <v>8</v>
      </c>
      <c r="S1330" s="57" t="s">
        <v>8</v>
      </c>
      <c r="T1330" s="56" t="s">
        <v>2394</v>
      </c>
    </row>
    <row r="1331" spans="1:20">
      <c r="A1331" s="55">
        <v>131309391639</v>
      </c>
      <c r="B1331" s="53" t="s">
        <v>2386</v>
      </c>
      <c r="C1331" s="54">
        <v>45960</v>
      </c>
      <c r="D1331" s="55">
        <v>52412136246</v>
      </c>
      <c r="E1331" s="55">
        <v>2108488769142</v>
      </c>
      <c r="F1331" s="56" t="s">
        <v>2411</v>
      </c>
      <c r="G1331" s="56" t="s">
        <v>2388</v>
      </c>
      <c r="H1331" s="56" t="s">
        <v>8</v>
      </c>
      <c r="I1331" s="55" t="s">
        <v>8</v>
      </c>
      <c r="J1331" s="57">
        <v>44.62</v>
      </c>
      <c r="K1331" s="56" t="s">
        <v>2389</v>
      </c>
      <c r="L1331" s="56" t="s">
        <v>2390</v>
      </c>
      <c r="M1331" s="55" t="s">
        <v>2391</v>
      </c>
      <c r="N1331" s="56" t="s">
        <v>2392</v>
      </c>
      <c r="O1331" s="53" t="s">
        <v>8</v>
      </c>
      <c r="P1331" s="56" t="s">
        <v>2412</v>
      </c>
      <c r="Q1331" s="57">
        <v>4600</v>
      </c>
      <c r="R1331" s="58" t="s">
        <v>8</v>
      </c>
      <c r="S1331" s="57" t="s">
        <v>8</v>
      </c>
      <c r="T1331" s="56" t="s">
        <v>8</v>
      </c>
    </row>
    <row r="1332" spans="1:20">
      <c r="A1332" s="55">
        <v>131309712763</v>
      </c>
      <c r="B1332" s="53" t="s">
        <v>2386</v>
      </c>
      <c r="C1332" s="54">
        <v>45960</v>
      </c>
      <c r="D1332" s="55">
        <v>52412214678</v>
      </c>
      <c r="E1332" s="55">
        <v>2108490693658</v>
      </c>
      <c r="F1332" s="56" t="s">
        <v>2387</v>
      </c>
      <c r="G1332" s="56" t="s">
        <v>2388</v>
      </c>
      <c r="H1332" s="56" t="s">
        <v>8</v>
      </c>
      <c r="I1332" s="55" t="s">
        <v>8</v>
      </c>
      <c r="J1332" s="57">
        <v>249.29</v>
      </c>
      <c r="K1332" s="56" t="s">
        <v>2389</v>
      </c>
      <c r="L1332" s="56" t="s">
        <v>2390</v>
      </c>
      <c r="M1332" s="55" t="s">
        <v>2391</v>
      </c>
      <c r="N1332" s="56" t="s">
        <v>2392</v>
      </c>
      <c r="O1332" s="53" t="s">
        <v>8</v>
      </c>
      <c r="P1332" s="56" t="s">
        <v>2926</v>
      </c>
      <c r="Q1332" s="57">
        <v>25700</v>
      </c>
      <c r="R1332" s="58" t="s">
        <v>8</v>
      </c>
      <c r="S1332" s="57" t="s">
        <v>8</v>
      </c>
      <c r="T1332" s="56" t="s">
        <v>2394</v>
      </c>
    </row>
    <row r="1333" spans="1:20">
      <c r="A1333" s="55">
        <v>131906789090</v>
      </c>
      <c r="B1333" s="53" t="s">
        <v>2386</v>
      </c>
      <c r="C1333" s="54">
        <v>45960</v>
      </c>
      <c r="D1333" s="55">
        <v>52412297046</v>
      </c>
      <c r="E1333" s="55">
        <v>2108399633275</v>
      </c>
      <c r="F1333" s="56" t="s">
        <v>2475</v>
      </c>
      <c r="G1333" s="56" t="s">
        <v>2388</v>
      </c>
      <c r="H1333" s="56" t="s">
        <v>8</v>
      </c>
      <c r="I1333" s="55" t="s">
        <v>8</v>
      </c>
      <c r="J1333" s="57">
        <v>565.61</v>
      </c>
      <c r="K1333" s="56" t="s">
        <v>2389</v>
      </c>
      <c r="L1333" s="56" t="s">
        <v>2390</v>
      </c>
      <c r="M1333" s="55" t="s">
        <v>2391</v>
      </c>
      <c r="N1333" s="56" t="s">
        <v>2392</v>
      </c>
      <c r="O1333" s="53" t="s">
        <v>8</v>
      </c>
      <c r="P1333" s="56" t="s">
        <v>2476</v>
      </c>
      <c r="Q1333" s="57">
        <v>34700</v>
      </c>
      <c r="R1333" s="58" t="s">
        <v>8</v>
      </c>
      <c r="S1333" s="57" t="s">
        <v>8</v>
      </c>
      <c r="T1333" s="56" t="s">
        <v>2394</v>
      </c>
    </row>
    <row r="1334" spans="1:20">
      <c r="A1334" s="55">
        <v>131907151016</v>
      </c>
      <c r="B1334" s="53" t="s">
        <v>2386</v>
      </c>
      <c r="C1334" s="54">
        <v>45960</v>
      </c>
      <c r="D1334" s="55">
        <v>52412398016</v>
      </c>
      <c r="E1334" s="55">
        <v>2108494533860</v>
      </c>
      <c r="F1334" s="56" t="s">
        <v>2387</v>
      </c>
      <c r="G1334" s="56" t="s">
        <v>2388</v>
      </c>
      <c r="H1334" s="56" t="s">
        <v>8</v>
      </c>
      <c r="I1334" s="55" t="s">
        <v>8</v>
      </c>
      <c r="J1334" s="57">
        <v>277.42</v>
      </c>
      <c r="K1334" s="56" t="s">
        <v>2389</v>
      </c>
      <c r="L1334" s="56" t="s">
        <v>2390</v>
      </c>
      <c r="M1334" s="55" t="s">
        <v>2391</v>
      </c>
      <c r="N1334" s="56" t="s">
        <v>2392</v>
      </c>
      <c r="O1334" s="53" t="s">
        <v>8</v>
      </c>
      <c r="P1334" s="56" t="s">
        <v>2927</v>
      </c>
      <c r="Q1334" s="57">
        <v>28600</v>
      </c>
      <c r="R1334" s="58" t="s">
        <v>8</v>
      </c>
      <c r="S1334" s="57" t="s">
        <v>8</v>
      </c>
      <c r="T1334" s="56" t="s">
        <v>2394</v>
      </c>
    </row>
    <row r="1335" spans="1:20">
      <c r="A1335" s="55">
        <v>131907151510</v>
      </c>
      <c r="B1335" s="53" t="s">
        <v>2386</v>
      </c>
      <c r="C1335" s="54">
        <v>45960</v>
      </c>
      <c r="D1335" s="55">
        <v>52412436720</v>
      </c>
      <c r="E1335" s="55">
        <v>2108494667512</v>
      </c>
      <c r="F1335" s="56" t="s">
        <v>2387</v>
      </c>
      <c r="G1335" s="56" t="s">
        <v>2388</v>
      </c>
      <c r="H1335" s="56" t="s">
        <v>8</v>
      </c>
      <c r="I1335" s="55" t="s">
        <v>8</v>
      </c>
      <c r="J1335" s="57">
        <v>45.59</v>
      </c>
      <c r="K1335" s="56" t="s">
        <v>2389</v>
      </c>
      <c r="L1335" s="56" t="s">
        <v>2390</v>
      </c>
      <c r="M1335" s="55" t="s">
        <v>2391</v>
      </c>
      <c r="N1335" s="56" t="s">
        <v>2392</v>
      </c>
      <c r="O1335" s="53" t="s">
        <v>8</v>
      </c>
      <c r="P1335" s="56" t="s">
        <v>2928</v>
      </c>
      <c r="Q1335" s="57">
        <v>4700</v>
      </c>
      <c r="R1335" s="58" t="s">
        <v>8</v>
      </c>
      <c r="S1335" s="57" t="s">
        <v>8</v>
      </c>
      <c r="T1335" s="56" t="s">
        <v>2394</v>
      </c>
    </row>
    <row r="1336" spans="1:20">
      <c r="A1336" s="55">
        <v>131907367616</v>
      </c>
      <c r="B1336" s="53" t="s">
        <v>2386</v>
      </c>
      <c r="C1336" s="54">
        <v>45960</v>
      </c>
      <c r="D1336" s="55">
        <v>52412493869</v>
      </c>
      <c r="E1336" s="55">
        <v>2108404346563</v>
      </c>
      <c r="F1336" s="56" t="s">
        <v>2387</v>
      </c>
      <c r="G1336" s="56" t="s">
        <v>2388</v>
      </c>
      <c r="H1336" s="56" t="s">
        <v>8</v>
      </c>
      <c r="I1336" s="55" t="s">
        <v>8</v>
      </c>
      <c r="J1336" s="57">
        <v>193.03</v>
      </c>
      <c r="K1336" s="56" t="s">
        <v>2389</v>
      </c>
      <c r="L1336" s="56" t="s">
        <v>2390</v>
      </c>
      <c r="M1336" s="55" t="s">
        <v>2391</v>
      </c>
      <c r="N1336" s="56" t="s">
        <v>2392</v>
      </c>
      <c r="O1336" s="53" t="s">
        <v>8</v>
      </c>
      <c r="P1336" s="56" t="s">
        <v>2929</v>
      </c>
      <c r="Q1336" s="57">
        <v>19900</v>
      </c>
      <c r="R1336" s="58" t="s">
        <v>8</v>
      </c>
      <c r="S1336" s="57" t="s">
        <v>8</v>
      </c>
      <c r="T1336" s="56" t="s">
        <v>2394</v>
      </c>
    </row>
    <row r="1337" spans="1:20">
      <c r="A1337" s="55">
        <v>131310426325</v>
      </c>
      <c r="B1337" s="53" t="s">
        <v>2386</v>
      </c>
      <c r="C1337" s="54">
        <v>45960</v>
      </c>
      <c r="D1337" s="55">
        <v>52412552160</v>
      </c>
      <c r="E1337" s="55">
        <v>2108497556870</v>
      </c>
      <c r="F1337" s="56" t="s">
        <v>2387</v>
      </c>
      <c r="G1337" s="56" t="s">
        <v>2388</v>
      </c>
      <c r="H1337" s="56" t="s">
        <v>8</v>
      </c>
      <c r="I1337" s="55" t="s">
        <v>8</v>
      </c>
      <c r="J1337" s="57">
        <v>186.24</v>
      </c>
      <c r="K1337" s="56" t="s">
        <v>2389</v>
      </c>
      <c r="L1337" s="56" t="s">
        <v>2390</v>
      </c>
      <c r="M1337" s="55" t="s">
        <v>2391</v>
      </c>
      <c r="N1337" s="56" t="s">
        <v>2392</v>
      </c>
      <c r="O1337" s="53" t="s">
        <v>8</v>
      </c>
      <c r="P1337" s="56" t="s">
        <v>2930</v>
      </c>
      <c r="Q1337" s="57">
        <v>19200</v>
      </c>
      <c r="R1337" s="58" t="s">
        <v>8</v>
      </c>
      <c r="S1337" s="57" t="s">
        <v>8</v>
      </c>
      <c r="T1337" s="56" t="s">
        <v>2394</v>
      </c>
    </row>
    <row r="1338" spans="1:20">
      <c r="A1338" s="55">
        <v>131310354047</v>
      </c>
      <c r="B1338" s="53" t="s">
        <v>2386</v>
      </c>
      <c r="C1338" s="54">
        <v>45960</v>
      </c>
      <c r="D1338" s="55">
        <v>52412629863</v>
      </c>
      <c r="E1338" s="55">
        <v>2108498244734</v>
      </c>
      <c r="F1338" s="56" t="s">
        <v>2387</v>
      </c>
      <c r="G1338" s="56" t="s">
        <v>2388</v>
      </c>
      <c r="H1338" s="56" t="s">
        <v>8</v>
      </c>
      <c r="I1338" s="55" t="s">
        <v>8</v>
      </c>
      <c r="J1338" s="57">
        <v>77.599999999999994</v>
      </c>
      <c r="K1338" s="56" t="s">
        <v>2389</v>
      </c>
      <c r="L1338" s="56" t="s">
        <v>2390</v>
      </c>
      <c r="M1338" s="55" t="s">
        <v>2391</v>
      </c>
      <c r="N1338" s="56" t="s">
        <v>2392</v>
      </c>
      <c r="O1338" s="53" t="s">
        <v>8</v>
      </c>
      <c r="P1338" s="56" t="s">
        <v>2789</v>
      </c>
      <c r="Q1338" s="57">
        <v>8000</v>
      </c>
      <c r="R1338" s="58" t="s">
        <v>8</v>
      </c>
      <c r="S1338" s="57" t="s">
        <v>8</v>
      </c>
      <c r="T1338" s="56" t="s">
        <v>2394</v>
      </c>
    </row>
    <row r="1339" spans="1:20">
      <c r="A1339" s="55">
        <v>131310713093</v>
      </c>
      <c r="B1339" s="53" t="s">
        <v>2386</v>
      </c>
      <c r="C1339" s="54">
        <v>45960</v>
      </c>
      <c r="D1339" s="55">
        <v>52412761551</v>
      </c>
      <c r="E1339" s="55">
        <v>2108409629257</v>
      </c>
      <c r="F1339" s="56" t="s">
        <v>2475</v>
      </c>
      <c r="G1339" s="56" t="s">
        <v>2388</v>
      </c>
      <c r="H1339" s="56" t="s">
        <v>8</v>
      </c>
      <c r="I1339" s="55" t="s">
        <v>8</v>
      </c>
      <c r="J1339" s="57">
        <v>515.08000000000004</v>
      </c>
      <c r="K1339" s="56" t="s">
        <v>2389</v>
      </c>
      <c r="L1339" s="56" t="s">
        <v>2390</v>
      </c>
      <c r="M1339" s="55" t="s">
        <v>2391</v>
      </c>
      <c r="N1339" s="56" t="s">
        <v>2392</v>
      </c>
      <c r="O1339" s="53" t="s">
        <v>8</v>
      </c>
      <c r="P1339" s="56" t="s">
        <v>2536</v>
      </c>
      <c r="Q1339" s="57">
        <v>31600</v>
      </c>
      <c r="R1339" s="58" t="s">
        <v>8</v>
      </c>
      <c r="S1339" s="57" t="s">
        <v>8</v>
      </c>
      <c r="T1339" s="56" t="s">
        <v>2394</v>
      </c>
    </row>
    <row r="1340" spans="1:20">
      <c r="A1340" s="55">
        <v>131310863993</v>
      </c>
      <c r="B1340" s="53" t="s">
        <v>2386</v>
      </c>
      <c r="C1340" s="54">
        <v>45960</v>
      </c>
      <c r="D1340" s="55">
        <v>52412875245</v>
      </c>
      <c r="E1340" s="55">
        <v>2108411916175</v>
      </c>
      <c r="F1340" s="56" t="s">
        <v>2387</v>
      </c>
      <c r="G1340" s="56" t="s">
        <v>2388</v>
      </c>
      <c r="H1340" s="56" t="s">
        <v>8</v>
      </c>
      <c r="I1340" s="55" t="s">
        <v>8</v>
      </c>
      <c r="J1340" s="57">
        <v>93.12</v>
      </c>
      <c r="K1340" s="56" t="s">
        <v>2389</v>
      </c>
      <c r="L1340" s="56" t="s">
        <v>2390</v>
      </c>
      <c r="M1340" s="55" t="s">
        <v>2391</v>
      </c>
      <c r="N1340" s="56" t="s">
        <v>2392</v>
      </c>
      <c r="O1340" s="53" t="s">
        <v>8</v>
      </c>
      <c r="P1340" s="56" t="s">
        <v>2931</v>
      </c>
      <c r="Q1340" s="57">
        <v>9600</v>
      </c>
      <c r="R1340" s="58" t="s">
        <v>8</v>
      </c>
      <c r="S1340" s="57" t="s">
        <v>8</v>
      </c>
      <c r="T1340" s="56" t="s">
        <v>2394</v>
      </c>
    </row>
    <row r="1341" spans="1:20">
      <c r="A1341" s="55">
        <v>131908282314</v>
      </c>
      <c r="B1341" s="53" t="s">
        <v>2386</v>
      </c>
      <c r="C1341" s="54">
        <v>45960</v>
      </c>
      <c r="D1341" s="55">
        <v>52412888813</v>
      </c>
      <c r="E1341" s="55">
        <v>2108412180591</v>
      </c>
      <c r="F1341" s="56" t="s">
        <v>2387</v>
      </c>
      <c r="G1341" s="56" t="s">
        <v>2388</v>
      </c>
      <c r="H1341" s="56" t="s">
        <v>8</v>
      </c>
      <c r="I1341" s="55" t="s">
        <v>8</v>
      </c>
      <c r="J1341" s="57">
        <v>290.02999999999997</v>
      </c>
      <c r="K1341" s="56" t="s">
        <v>2389</v>
      </c>
      <c r="L1341" s="56" t="s">
        <v>2390</v>
      </c>
      <c r="M1341" s="55" t="s">
        <v>2391</v>
      </c>
      <c r="N1341" s="56" t="s">
        <v>2392</v>
      </c>
      <c r="O1341" s="53" t="s">
        <v>8</v>
      </c>
      <c r="P1341" s="56" t="s">
        <v>2932</v>
      </c>
      <c r="Q1341" s="57">
        <v>29900</v>
      </c>
      <c r="R1341" s="58" t="s">
        <v>8</v>
      </c>
      <c r="S1341" s="57" t="s">
        <v>8</v>
      </c>
      <c r="T1341" s="56" t="s">
        <v>2394</v>
      </c>
    </row>
    <row r="1342" spans="1:20">
      <c r="A1342" s="55">
        <v>131311356653</v>
      </c>
      <c r="B1342" s="53" t="s">
        <v>2386</v>
      </c>
      <c r="C1342" s="54">
        <v>45960</v>
      </c>
      <c r="D1342" s="55">
        <v>52412903352</v>
      </c>
      <c r="E1342" s="55">
        <v>2108412415715</v>
      </c>
      <c r="F1342" s="56" t="s">
        <v>2387</v>
      </c>
      <c r="G1342" s="56" t="s">
        <v>2388</v>
      </c>
      <c r="H1342" s="56" t="s">
        <v>8</v>
      </c>
      <c r="I1342" s="55" t="s">
        <v>8</v>
      </c>
      <c r="J1342" s="57">
        <v>160.05000000000001</v>
      </c>
      <c r="K1342" s="56" t="s">
        <v>2389</v>
      </c>
      <c r="L1342" s="56" t="s">
        <v>2390</v>
      </c>
      <c r="M1342" s="55" t="s">
        <v>2391</v>
      </c>
      <c r="N1342" s="56" t="s">
        <v>2392</v>
      </c>
      <c r="O1342" s="53" t="s">
        <v>8</v>
      </c>
      <c r="P1342" s="56" t="s">
        <v>2933</v>
      </c>
      <c r="Q1342" s="57">
        <v>16500</v>
      </c>
      <c r="R1342" s="58" t="s">
        <v>8</v>
      </c>
      <c r="S1342" s="57" t="s">
        <v>8</v>
      </c>
      <c r="T1342" s="56" t="s">
        <v>2394</v>
      </c>
    </row>
    <row r="1343" spans="1:20">
      <c r="A1343" s="55">
        <v>131908241628</v>
      </c>
      <c r="B1343" s="53" t="s">
        <v>2386</v>
      </c>
      <c r="C1343" s="54">
        <v>45960</v>
      </c>
      <c r="D1343" s="55">
        <v>52412957081</v>
      </c>
      <c r="E1343" s="55">
        <v>2108413283795</v>
      </c>
      <c r="F1343" s="56" t="s">
        <v>2387</v>
      </c>
      <c r="G1343" s="56" t="s">
        <v>2388</v>
      </c>
      <c r="H1343" s="56" t="s">
        <v>8</v>
      </c>
      <c r="I1343" s="55" t="s">
        <v>8</v>
      </c>
      <c r="J1343" s="57">
        <v>259.95999999999998</v>
      </c>
      <c r="K1343" s="56" t="s">
        <v>2389</v>
      </c>
      <c r="L1343" s="56" t="s">
        <v>2390</v>
      </c>
      <c r="M1343" s="55" t="s">
        <v>2391</v>
      </c>
      <c r="N1343" s="56" t="s">
        <v>2392</v>
      </c>
      <c r="O1343" s="53" t="s">
        <v>8</v>
      </c>
      <c r="P1343" s="56" t="s">
        <v>2677</v>
      </c>
      <c r="Q1343" s="57">
        <v>26800</v>
      </c>
      <c r="R1343" s="58" t="s">
        <v>8</v>
      </c>
      <c r="S1343" s="57" t="s">
        <v>8</v>
      </c>
      <c r="T1343" s="56" t="s">
        <v>2394</v>
      </c>
    </row>
    <row r="1344" spans="1:20">
      <c r="A1344" s="55">
        <v>131311443397</v>
      </c>
      <c r="B1344" s="53" t="s">
        <v>2386</v>
      </c>
      <c r="C1344" s="54">
        <v>45960</v>
      </c>
      <c r="D1344" s="55">
        <v>52412983590</v>
      </c>
      <c r="E1344" s="55">
        <v>2108505957348</v>
      </c>
      <c r="F1344" s="56" t="s">
        <v>2387</v>
      </c>
      <c r="G1344" s="56" t="s">
        <v>2388</v>
      </c>
      <c r="H1344" s="56" t="s">
        <v>8</v>
      </c>
      <c r="I1344" s="55" t="s">
        <v>8</v>
      </c>
      <c r="J1344" s="57">
        <v>468.51</v>
      </c>
      <c r="K1344" s="56" t="s">
        <v>2389</v>
      </c>
      <c r="L1344" s="56" t="s">
        <v>2390</v>
      </c>
      <c r="M1344" s="55" t="s">
        <v>2391</v>
      </c>
      <c r="N1344" s="56" t="s">
        <v>2392</v>
      </c>
      <c r="O1344" s="53" t="s">
        <v>8</v>
      </c>
      <c r="P1344" s="56" t="s">
        <v>2934</v>
      </c>
      <c r="Q1344" s="57">
        <v>48300</v>
      </c>
      <c r="R1344" s="58" t="s">
        <v>8</v>
      </c>
      <c r="S1344" s="57" t="s">
        <v>8</v>
      </c>
      <c r="T1344" s="56" t="s">
        <v>2394</v>
      </c>
    </row>
    <row r="1345" spans="1:20">
      <c r="A1345" s="55">
        <v>131311573781</v>
      </c>
      <c r="B1345" s="53" t="s">
        <v>2386</v>
      </c>
      <c r="C1345" s="54">
        <v>45960</v>
      </c>
      <c r="D1345" s="55">
        <v>52413019912</v>
      </c>
      <c r="E1345" s="55">
        <v>2108414737559</v>
      </c>
      <c r="F1345" s="56" t="s">
        <v>2401</v>
      </c>
      <c r="G1345" s="56" t="s">
        <v>2388</v>
      </c>
      <c r="H1345" s="56" t="s">
        <v>8</v>
      </c>
      <c r="I1345" s="55" t="s">
        <v>8</v>
      </c>
      <c r="J1345" s="57">
        <v>435.84</v>
      </c>
      <c r="K1345" s="56" t="s">
        <v>2389</v>
      </c>
      <c r="L1345" s="56" t="s">
        <v>2402</v>
      </c>
      <c r="M1345" s="55" t="s">
        <v>2391</v>
      </c>
      <c r="N1345" s="56" t="s">
        <v>2392</v>
      </c>
      <c r="O1345" s="53" t="s">
        <v>2055</v>
      </c>
      <c r="P1345" s="56" t="s">
        <v>2403</v>
      </c>
      <c r="Q1345" s="57">
        <v>9600</v>
      </c>
      <c r="R1345" s="58" t="s">
        <v>8</v>
      </c>
      <c r="S1345" s="57" t="s">
        <v>8</v>
      </c>
      <c r="T1345" s="56" t="s">
        <v>2394</v>
      </c>
    </row>
    <row r="1346" spans="1:20">
      <c r="A1346" s="55">
        <v>131311969845</v>
      </c>
      <c r="B1346" s="53" t="s">
        <v>2386</v>
      </c>
      <c r="C1346" s="54">
        <v>45960</v>
      </c>
      <c r="D1346" s="55">
        <v>52413135296</v>
      </c>
      <c r="E1346" s="55">
        <v>2108508046332</v>
      </c>
      <c r="F1346" s="56" t="s">
        <v>2387</v>
      </c>
      <c r="G1346" s="56" t="s">
        <v>2388</v>
      </c>
      <c r="H1346" s="56" t="s">
        <v>8</v>
      </c>
      <c r="I1346" s="55" t="s">
        <v>8</v>
      </c>
      <c r="J1346" s="57">
        <v>79.540000000000006</v>
      </c>
      <c r="K1346" s="56" t="s">
        <v>2389</v>
      </c>
      <c r="L1346" s="56" t="s">
        <v>2390</v>
      </c>
      <c r="M1346" s="55" t="s">
        <v>2391</v>
      </c>
      <c r="N1346" s="56" t="s">
        <v>2392</v>
      </c>
      <c r="O1346" s="53" t="s">
        <v>8</v>
      </c>
      <c r="P1346" s="56" t="s">
        <v>2492</v>
      </c>
      <c r="Q1346" s="57">
        <v>8200</v>
      </c>
      <c r="R1346" s="58" t="s">
        <v>8</v>
      </c>
      <c r="S1346" s="57" t="s">
        <v>8</v>
      </c>
      <c r="T1346" s="56" t="s">
        <v>2394</v>
      </c>
    </row>
    <row r="1347" spans="1:20">
      <c r="A1347" s="55">
        <v>131312518579</v>
      </c>
      <c r="B1347" s="53" t="s">
        <v>2386</v>
      </c>
      <c r="C1347" s="54">
        <v>45960</v>
      </c>
      <c r="D1347" s="55">
        <v>52413257766</v>
      </c>
      <c r="E1347" s="55">
        <v>2108418267475</v>
      </c>
      <c r="F1347" s="56" t="s">
        <v>2387</v>
      </c>
      <c r="G1347" s="56" t="s">
        <v>2388</v>
      </c>
      <c r="H1347" s="56" t="s">
        <v>8</v>
      </c>
      <c r="I1347" s="55" t="s">
        <v>8</v>
      </c>
      <c r="J1347" s="57">
        <v>242.5</v>
      </c>
      <c r="K1347" s="56" t="s">
        <v>2389</v>
      </c>
      <c r="L1347" s="56" t="s">
        <v>2390</v>
      </c>
      <c r="M1347" s="55" t="s">
        <v>2391</v>
      </c>
      <c r="N1347" s="56" t="s">
        <v>2392</v>
      </c>
      <c r="O1347" s="53" t="s">
        <v>8</v>
      </c>
      <c r="P1347" s="56" t="s">
        <v>2935</v>
      </c>
      <c r="Q1347" s="57">
        <v>25000</v>
      </c>
      <c r="R1347" s="58" t="s">
        <v>8</v>
      </c>
      <c r="S1347" s="57" t="s">
        <v>8</v>
      </c>
      <c r="T1347" s="56" t="s">
        <v>2394</v>
      </c>
    </row>
    <row r="1348" spans="1:20">
      <c r="A1348" s="55">
        <v>131312521617</v>
      </c>
      <c r="B1348" s="53" t="s">
        <v>2386</v>
      </c>
      <c r="C1348" s="54">
        <v>45960</v>
      </c>
      <c r="D1348" s="55">
        <v>52413317348</v>
      </c>
      <c r="E1348" s="55">
        <v>2108511250220</v>
      </c>
      <c r="F1348" s="56" t="s">
        <v>2387</v>
      </c>
      <c r="G1348" s="56" t="s">
        <v>2388</v>
      </c>
      <c r="H1348" s="56" t="s">
        <v>8</v>
      </c>
      <c r="I1348" s="55" t="s">
        <v>8</v>
      </c>
      <c r="J1348" s="57">
        <v>93.12</v>
      </c>
      <c r="K1348" s="56" t="s">
        <v>2389</v>
      </c>
      <c r="L1348" s="56" t="s">
        <v>2390</v>
      </c>
      <c r="M1348" s="55" t="s">
        <v>2391</v>
      </c>
      <c r="N1348" s="56" t="s">
        <v>2392</v>
      </c>
      <c r="O1348" s="53" t="s">
        <v>8</v>
      </c>
      <c r="P1348" s="56" t="s">
        <v>2885</v>
      </c>
      <c r="Q1348" s="57">
        <v>9600</v>
      </c>
      <c r="R1348" s="58" t="s">
        <v>8</v>
      </c>
      <c r="S1348" s="57" t="s">
        <v>8</v>
      </c>
      <c r="T1348" s="56" t="s">
        <v>2394</v>
      </c>
    </row>
    <row r="1349" spans="1:20">
      <c r="A1349" s="55">
        <v>131312526083</v>
      </c>
      <c r="B1349" s="53" t="s">
        <v>2386</v>
      </c>
      <c r="C1349" s="54">
        <v>45960</v>
      </c>
      <c r="D1349" s="55">
        <v>52413355222</v>
      </c>
      <c r="E1349" s="55">
        <v>2108510951778</v>
      </c>
      <c r="F1349" s="56" t="s">
        <v>2475</v>
      </c>
      <c r="G1349" s="56" t="s">
        <v>2388</v>
      </c>
      <c r="H1349" s="56" t="s">
        <v>8</v>
      </c>
      <c r="I1349" s="55" t="s">
        <v>8</v>
      </c>
      <c r="J1349" s="57">
        <v>707.42</v>
      </c>
      <c r="K1349" s="56" t="s">
        <v>2389</v>
      </c>
      <c r="L1349" s="56" t="s">
        <v>2390</v>
      </c>
      <c r="M1349" s="55" t="s">
        <v>2391</v>
      </c>
      <c r="N1349" s="56" t="s">
        <v>2392</v>
      </c>
      <c r="O1349" s="53" t="s">
        <v>8</v>
      </c>
      <c r="P1349" s="56" t="s">
        <v>2536</v>
      </c>
      <c r="Q1349" s="57">
        <v>43400</v>
      </c>
      <c r="R1349" s="58" t="s">
        <v>8</v>
      </c>
      <c r="S1349" s="57" t="s">
        <v>8</v>
      </c>
      <c r="T1349" s="56" t="s">
        <v>2394</v>
      </c>
    </row>
    <row r="1350" spans="1:20">
      <c r="A1350" s="55">
        <v>131312741747</v>
      </c>
      <c r="B1350" s="53" t="s">
        <v>2386</v>
      </c>
      <c r="C1350" s="54">
        <v>45960</v>
      </c>
      <c r="D1350" s="55">
        <v>52413456037</v>
      </c>
      <c r="E1350" s="55">
        <v>2108513653832</v>
      </c>
      <c r="F1350" s="56" t="s">
        <v>2387</v>
      </c>
      <c r="G1350" s="56" t="s">
        <v>2388</v>
      </c>
      <c r="H1350" s="56" t="s">
        <v>8</v>
      </c>
      <c r="I1350" s="55" t="s">
        <v>8</v>
      </c>
      <c r="J1350" s="57">
        <v>88.27</v>
      </c>
      <c r="K1350" s="56" t="s">
        <v>2389</v>
      </c>
      <c r="L1350" s="56" t="s">
        <v>2390</v>
      </c>
      <c r="M1350" s="55" t="s">
        <v>2391</v>
      </c>
      <c r="N1350" s="56" t="s">
        <v>2392</v>
      </c>
      <c r="O1350" s="53" t="s">
        <v>8</v>
      </c>
      <c r="P1350" s="56" t="s">
        <v>2618</v>
      </c>
      <c r="Q1350" s="57">
        <v>9100</v>
      </c>
      <c r="R1350" s="58" t="s">
        <v>8</v>
      </c>
      <c r="S1350" s="57" t="s">
        <v>8</v>
      </c>
      <c r="T1350" s="56" t="s">
        <v>2394</v>
      </c>
    </row>
    <row r="1351" spans="1:20">
      <c r="A1351" s="55">
        <v>131312947683</v>
      </c>
      <c r="B1351" s="53" t="s">
        <v>2386</v>
      </c>
      <c r="C1351" s="54">
        <v>45960</v>
      </c>
      <c r="D1351" s="55">
        <v>52413512451</v>
      </c>
      <c r="E1351" s="55">
        <v>2108422532131</v>
      </c>
      <c r="F1351" s="56" t="s">
        <v>2401</v>
      </c>
      <c r="G1351" s="56" t="s">
        <v>2388</v>
      </c>
      <c r="H1351" s="56" t="s">
        <v>8</v>
      </c>
      <c r="I1351" s="55" t="s">
        <v>8</v>
      </c>
      <c r="J1351" s="57">
        <v>361.56</v>
      </c>
      <c r="K1351" s="56" t="s">
        <v>2389</v>
      </c>
      <c r="L1351" s="56" t="s">
        <v>2402</v>
      </c>
      <c r="M1351" s="55" t="s">
        <v>2391</v>
      </c>
      <c r="N1351" s="56" t="s">
        <v>2392</v>
      </c>
      <c r="O1351" s="53" t="s">
        <v>2055</v>
      </c>
      <c r="P1351" s="56" t="s">
        <v>2403</v>
      </c>
      <c r="Q1351" s="57">
        <v>9200</v>
      </c>
      <c r="R1351" s="58" t="s">
        <v>8</v>
      </c>
      <c r="S1351" s="57" t="s">
        <v>8</v>
      </c>
      <c r="T1351" s="56" t="s">
        <v>2394</v>
      </c>
    </row>
    <row r="1352" spans="1:20">
      <c r="A1352" s="55">
        <v>131909518870</v>
      </c>
      <c r="B1352" s="53" t="s">
        <v>2386</v>
      </c>
      <c r="C1352" s="54">
        <v>45960</v>
      </c>
      <c r="D1352" s="55">
        <v>52413533297</v>
      </c>
      <c r="E1352" s="55">
        <v>2108423329827</v>
      </c>
      <c r="F1352" s="56" t="s">
        <v>2475</v>
      </c>
      <c r="G1352" s="56" t="s">
        <v>2388</v>
      </c>
      <c r="H1352" s="56" t="s">
        <v>8</v>
      </c>
      <c r="I1352" s="55" t="s">
        <v>8</v>
      </c>
      <c r="J1352" s="57">
        <v>681.34</v>
      </c>
      <c r="K1352" s="56" t="s">
        <v>2389</v>
      </c>
      <c r="L1352" s="56" t="s">
        <v>2390</v>
      </c>
      <c r="M1352" s="55" t="s">
        <v>2391</v>
      </c>
      <c r="N1352" s="56" t="s">
        <v>2392</v>
      </c>
      <c r="O1352" s="53" t="s">
        <v>8</v>
      </c>
      <c r="P1352" s="56" t="s">
        <v>2536</v>
      </c>
      <c r="Q1352" s="57">
        <v>41800</v>
      </c>
      <c r="R1352" s="58" t="s">
        <v>8</v>
      </c>
      <c r="S1352" s="57" t="s">
        <v>8</v>
      </c>
      <c r="T1352" s="56" t="s">
        <v>2394</v>
      </c>
    </row>
    <row r="1353" spans="1:20">
      <c r="A1353" s="55">
        <v>131313176875</v>
      </c>
      <c r="B1353" s="53" t="s">
        <v>2386</v>
      </c>
      <c r="C1353" s="54">
        <v>45960</v>
      </c>
      <c r="D1353" s="55">
        <v>52413646090</v>
      </c>
      <c r="E1353" s="55">
        <v>2108423768625</v>
      </c>
      <c r="F1353" s="56" t="s">
        <v>2387</v>
      </c>
      <c r="G1353" s="56" t="s">
        <v>2388</v>
      </c>
      <c r="H1353" s="56" t="s">
        <v>8</v>
      </c>
      <c r="I1353" s="55" t="s">
        <v>8</v>
      </c>
      <c r="J1353" s="57">
        <v>38.799999999999997</v>
      </c>
      <c r="K1353" s="56" t="s">
        <v>2389</v>
      </c>
      <c r="L1353" s="56" t="s">
        <v>2390</v>
      </c>
      <c r="M1353" s="55" t="s">
        <v>2391</v>
      </c>
      <c r="N1353" s="56" t="s">
        <v>2392</v>
      </c>
      <c r="O1353" s="53" t="s">
        <v>8</v>
      </c>
      <c r="P1353" s="56" t="s">
        <v>2936</v>
      </c>
      <c r="Q1353" s="57">
        <v>4000</v>
      </c>
      <c r="R1353" s="58" t="s">
        <v>8</v>
      </c>
      <c r="S1353" s="57" t="s">
        <v>8</v>
      </c>
      <c r="T1353" s="56" t="s">
        <v>2394</v>
      </c>
    </row>
    <row r="1354" spans="1:20">
      <c r="A1354" s="55">
        <v>131910008744</v>
      </c>
      <c r="B1354" s="53" t="s">
        <v>2386</v>
      </c>
      <c r="C1354" s="54">
        <v>45960</v>
      </c>
      <c r="D1354" s="55">
        <v>52413652395</v>
      </c>
      <c r="E1354" s="55">
        <v>2108516438980</v>
      </c>
      <c r="F1354" s="56" t="s">
        <v>2387</v>
      </c>
      <c r="G1354" s="56" t="s">
        <v>2388</v>
      </c>
      <c r="H1354" s="56" t="s">
        <v>8</v>
      </c>
      <c r="I1354" s="55" t="s">
        <v>8</v>
      </c>
      <c r="J1354" s="57">
        <v>42.68</v>
      </c>
      <c r="K1354" s="56" t="s">
        <v>2389</v>
      </c>
      <c r="L1354" s="56" t="s">
        <v>2390</v>
      </c>
      <c r="M1354" s="55" t="s">
        <v>2391</v>
      </c>
      <c r="N1354" s="56" t="s">
        <v>2392</v>
      </c>
      <c r="O1354" s="53" t="s">
        <v>8</v>
      </c>
      <c r="P1354" s="56" t="s">
        <v>2937</v>
      </c>
      <c r="Q1354" s="57">
        <v>4400</v>
      </c>
      <c r="R1354" s="58" t="s">
        <v>8</v>
      </c>
      <c r="S1354" s="57" t="s">
        <v>8</v>
      </c>
      <c r="T1354" s="56" t="s">
        <v>2394</v>
      </c>
    </row>
    <row r="1355" spans="1:20">
      <c r="A1355" s="55">
        <v>131910231374</v>
      </c>
      <c r="B1355" s="53" t="s">
        <v>2386</v>
      </c>
      <c r="C1355" s="54">
        <v>45960</v>
      </c>
      <c r="D1355" s="55">
        <v>52413756487</v>
      </c>
      <c r="E1355" s="55">
        <v>2108517210218</v>
      </c>
      <c r="F1355" s="56" t="s">
        <v>2387</v>
      </c>
      <c r="G1355" s="56" t="s">
        <v>2388</v>
      </c>
      <c r="H1355" s="56" t="s">
        <v>8</v>
      </c>
      <c r="I1355" s="55" t="s">
        <v>8</v>
      </c>
      <c r="J1355" s="57">
        <v>79.540000000000006</v>
      </c>
      <c r="K1355" s="56" t="s">
        <v>2389</v>
      </c>
      <c r="L1355" s="56" t="s">
        <v>2390</v>
      </c>
      <c r="M1355" s="55" t="s">
        <v>2391</v>
      </c>
      <c r="N1355" s="56" t="s">
        <v>2392</v>
      </c>
      <c r="O1355" s="53" t="s">
        <v>8</v>
      </c>
      <c r="P1355" s="56" t="s">
        <v>2938</v>
      </c>
      <c r="Q1355" s="57">
        <v>8200</v>
      </c>
      <c r="R1355" s="58" t="s">
        <v>8</v>
      </c>
      <c r="S1355" s="57" t="s">
        <v>8</v>
      </c>
      <c r="T1355" s="56" t="s">
        <v>2394</v>
      </c>
    </row>
    <row r="1356" spans="1:20">
      <c r="A1356" s="55">
        <v>131910426998</v>
      </c>
      <c r="B1356" s="53" t="s">
        <v>2386</v>
      </c>
      <c r="C1356" s="54">
        <v>45960</v>
      </c>
      <c r="D1356" s="55">
        <v>52413781567</v>
      </c>
      <c r="E1356" s="55">
        <v>2108518371774</v>
      </c>
      <c r="F1356" s="56" t="s">
        <v>2387</v>
      </c>
      <c r="G1356" s="56" t="s">
        <v>2388</v>
      </c>
      <c r="H1356" s="56" t="s">
        <v>8</v>
      </c>
      <c r="I1356" s="55" t="s">
        <v>8</v>
      </c>
      <c r="J1356" s="57">
        <v>335.62</v>
      </c>
      <c r="K1356" s="56" t="s">
        <v>2389</v>
      </c>
      <c r="L1356" s="56" t="s">
        <v>2390</v>
      </c>
      <c r="M1356" s="55" t="s">
        <v>2391</v>
      </c>
      <c r="N1356" s="56" t="s">
        <v>2392</v>
      </c>
      <c r="O1356" s="53" t="s">
        <v>8</v>
      </c>
      <c r="P1356" s="56" t="s">
        <v>2821</v>
      </c>
      <c r="Q1356" s="57">
        <v>34600</v>
      </c>
      <c r="R1356" s="58" t="s">
        <v>8</v>
      </c>
      <c r="S1356" s="57" t="s">
        <v>8</v>
      </c>
      <c r="T1356" s="56" t="s">
        <v>2394</v>
      </c>
    </row>
    <row r="1357" spans="1:20">
      <c r="A1357" s="55">
        <v>131313630355</v>
      </c>
      <c r="B1357" s="53" t="s">
        <v>2386</v>
      </c>
      <c r="C1357" s="54">
        <v>45960</v>
      </c>
      <c r="D1357" s="55">
        <v>52413868469</v>
      </c>
      <c r="E1357" s="55">
        <v>2108427540341</v>
      </c>
      <c r="F1357" s="56" t="s">
        <v>2387</v>
      </c>
      <c r="G1357" s="56" t="s">
        <v>2388</v>
      </c>
      <c r="H1357" s="56" t="s">
        <v>8</v>
      </c>
      <c r="I1357" s="55" t="s">
        <v>8</v>
      </c>
      <c r="J1357" s="57">
        <v>1620.93</v>
      </c>
      <c r="K1357" s="56" t="s">
        <v>2389</v>
      </c>
      <c r="L1357" s="56" t="s">
        <v>2390</v>
      </c>
      <c r="M1357" s="55" t="s">
        <v>2391</v>
      </c>
      <c r="N1357" s="56" t="s">
        <v>2392</v>
      </c>
      <c r="O1357" s="53" t="s">
        <v>8</v>
      </c>
      <c r="P1357" s="56" t="s">
        <v>2939</v>
      </c>
      <c r="Q1357" s="57">
        <v>21300</v>
      </c>
      <c r="R1357" s="58" t="s">
        <v>8</v>
      </c>
      <c r="S1357" s="57" t="s">
        <v>8</v>
      </c>
      <c r="T1357" s="56" t="s">
        <v>2394</v>
      </c>
    </row>
    <row r="1358" spans="1:20">
      <c r="A1358" s="55">
        <v>131313557783</v>
      </c>
      <c r="B1358" s="53" t="s">
        <v>2386</v>
      </c>
      <c r="C1358" s="54">
        <v>45960</v>
      </c>
      <c r="D1358" s="55">
        <v>52413902084</v>
      </c>
      <c r="E1358" s="55">
        <v>2108520436050</v>
      </c>
      <c r="F1358" s="56" t="s">
        <v>2387</v>
      </c>
      <c r="G1358" s="56" t="s">
        <v>2388</v>
      </c>
      <c r="H1358" s="56" t="s">
        <v>8</v>
      </c>
      <c r="I1358" s="55" t="s">
        <v>8</v>
      </c>
      <c r="J1358" s="57">
        <v>46.56</v>
      </c>
      <c r="K1358" s="56" t="s">
        <v>2389</v>
      </c>
      <c r="L1358" s="56" t="s">
        <v>2390</v>
      </c>
      <c r="M1358" s="55" t="s">
        <v>2391</v>
      </c>
      <c r="N1358" s="56" t="s">
        <v>2392</v>
      </c>
      <c r="O1358" s="53" t="s">
        <v>8</v>
      </c>
      <c r="P1358" s="56" t="s">
        <v>2684</v>
      </c>
      <c r="Q1358" s="57">
        <v>4800</v>
      </c>
      <c r="R1358" s="58" t="s">
        <v>8</v>
      </c>
      <c r="S1358" s="57" t="s">
        <v>8</v>
      </c>
      <c r="T1358" s="56" t="s">
        <v>2394</v>
      </c>
    </row>
    <row r="1359" spans="1:20">
      <c r="A1359" s="55">
        <v>131313650019</v>
      </c>
      <c r="B1359" s="53" t="s">
        <v>2386</v>
      </c>
      <c r="C1359" s="54">
        <v>45960</v>
      </c>
      <c r="D1359" s="55">
        <v>52413979910</v>
      </c>
      <c r="E1359" s="55">
        <v>2108428485137</v>
      </c>
      <c r="F1359" s="56" t="s">
        <v>2401</v>
      </c>
      <c r="G1359" s="56" t="s">
        <v>2388</v>
      </c>
      <c r="H1359" s="56" t="s">
        <v>8</v>
      </c>
      <c r="I1359" s="55" t="s">
        <v>8</v>
      </c>
      <c r="J1359" s="57">
        <v>3485.91</v>
      </c>
      <c r="K1359" s="56" t="s">
        <v>2389</v>
      </c>
      <c r="L1359" s="56" t="s">
        <v>2402</v>
      </c>
      <c r="M1359" s="55" t="s">
        <v>2391</v>
      </c>
      <c r="N1359" s="56" t="s">
        <v>2392</v>
      </c>
      <c r="O1359" s="53" t="s">
        <v>2055</v>
      </c>
      <c r="P1359" s="56" t="s">
        <v>2403</v>
      </c>
      <c r="Q1359" s="57">
        <v>88700</v>
      </c>
      <c r="R1359" s="58" t="s">
        <v>8</v>
      </c>
      <c r="S1359" s="57" t="s">
        <v>8</v>
      </c>
      <c r="T1359" s="56" t="s">
        <v>2394</v>
      </c>
    </row>
    <row r="1360" spans="1:20">
      <c r="A1360" s="55">
        <v>131910955522</v>
      </c>
      <c r="B1360" s="53" t="s">
        <v>2386</v>
      </c>
      <c r="C1360" s="54">
        <v>45960</v>
      </c>
      <c r="D1360" s="55">
        <v>52414010852</v>
      </c>
      <c r="E1360" s="55">
        <v>2108521851872</v>
      </c>
      <c r="F1360" s="56" t="s">
        <v>2401</v>
      </c>
      <c r="G1360" s="56" t="s">
        <v>2388</v>
      </c>
      <c r="H1360" s="56" t="s">
        <v>8</v>
      </c>
      <c r="I1360" s="55" t="s">
        <v>8</v>
      </c>
      <c r="J1360" s="57">
        <v>456.6</v>
      </c>
      <c r="K1360" s="56" t="s">
        <v>2389</v>
      </c>
      <c r="L1360" s="56" t="s">
        <v>2402</v>
      </c>
      <c r="M1360" s="55" t="s">
        <v>2391</v>
      </c>
      <c r="N1360" s="56" t="s">
        <v>2392</v>
      </c>
      <c r="O1360" s="53" t="s">
        <v>2055</v>
      </c>
      <c r="P1360" s="56" t="s">
        <v>2403</v>
      </c>
      <c r="Q1360" s="57">
        <v>6000</v>
      </c>
      <c r="R1360" s="58" t="s">
        <v>8</v>
      </c>
      <c r="S1360" s="57" t="s">
        <v>8</v>
      </c>
      <c r="T1360" s="56" t="s">
        <v>2394</v>
      </c>
    </row>
    <row r="1361" spans="1:20">
      <c r="A1361" s="55">
        <v>131314138549</v>
      </c>
      <c r="B1361" s="53" t="s">
        <v>2386</v>
      </c>
      <c r="C1361" s="54">
        <v>45960</v>
      </c>
      <c r="D1361" s="55">
        <v>52414133895</v>
      </c>
      <c r="E1361" s="55">
        <v>2108431757719</v>
      </c>
      <c r="F1361" s="56" t="s">
        <v>2401</v>
      </c>
      <c r="G1361" s="56" t="s">
        <v>2388</v>
      </c>
      <c r="H1361" s="56" t="s">
        <v>8</v>
      </c>
      <c r="I1361" s="55" t="s">
        <v>8</v>
      </c>
      <c r="J1361" s="57">
        <v>377.28</v>
      </c>
      <c r="K1361" s="56" t="s">
        <v>2389</v>
      </c>
      <c r="L1361" s="56" t="s">
        <v>2402</v>
      </c>
      <c r="M1361" s="55" t="s">
        <v>2391</v>
      </c>
      <c r="N1361" s="56" t="s">
        <v>2392</v>
      </c>
      <c r="O1361" s="53" t="s">
        <v>2055</v>
      </c>
      <c r="P1361" s="56" t="s">
        <v>2403</v>
      </c>
      <c r="Q1361" s="57">
        <v>9600</v>
      </c>
      <c r="R1361" s="58" t="s">
        <v>8</v>
      </c>
      <c r="S1361" s="57" t="s">
        <v>8</v>
      </c>
      <c r="T1361" s="56" t="s">
        <v>2394</v>
      </c>
    </row>
    <row r="1362" spans="1:20">
      <c r="A1362" s="55">
        <v>131314279823</v>
      </c>
      <c r="B1362" s="53" t="s">
        <v>2386</v>
      </c>
      <c r="C1362" s="54">
        <v>45961</v>
      </c>
      <c r="D1362" s="55">
        <v>52414325900</v>
      </c>
      <c r="E1362" s="55">
        <v>2108526141160</v>
      </c>
      <c r="F1362" s="56" t="s">
        <v>2387</v>
      </c>
      <c r="G1362" s="56" t="s">
        <v>2388</v>
      </c>
      <c r="H1362" s="56" t="s">
        <v>8</v>
      </c>
      <c r="I1362" s="55" t="s">
        <v>8</v>
      </c>
      <c r="J1362" s="57">
        <v>471.42</v>
      </c>
      <c r="K1362" s="56" t="s">
        <v>2389</v>
      </c>
      <c r="L1362" s="56" t="s">
        <v>2390</v>
      </c>
      <c r="M1362" s="55" t="s">
        <v>2391</v>
      </c>
      <c r="N1362" s="56" t="s">
        <v>2392</v>
      </c>
      <c r="O1362" s="53" t="s">
        <v>8</v>
      </c>
      <c r="P1362" s="56" t="s">
        <v>2873</v>
      </c>
      <c r="Q1362" s="57">
        <v>48600</v>
      </c>
      <c r="R1362" s="58" t="s">
        <v>8</v>
      </c>
      <c r="S1362" s="57" t="s">
        <v>8</v>
      </c>
      <c r="T1362" s="56" t="s">
        <v>2394</v>
      </c>
    </row>
    <row r="1363" spans="1:20">
      <c r="A1363" s="55">
        <v>131911569716</v>
      </c>
      <c r="B1363" s="53" t="s">
        <v>2386</v>
      </c>
      <c r="C1363" s="54">
        <v>45961</v>
      </c>
      <c r="D1363" s="55">
        <v>52414369778</v>
      </c>
      <c r="E1363" s="55">
        <v>2108434693535</v>
      </c>
      <c r="F1363" s="56" t="s">
        <v>2387</v>
      </c>
      <c r="G1363" s="56" t="s">
        <v>2388</v>
      </c>
      <c r="H1363" s="56" t="s">
        <v>8</v>
      </c>
      <c r="I1363" s="55" t="s">
        <v>8</v>
      </c>
      <c r="J1363" s="57">
        <v>152.29</v>
      </c>
      <c r="K1363" s="56" t="s">
        <v>2389</v>
      </c>
      <c r="L1363" s="56" t="s">
        <v>2390</v>
      </c>
      <c r="M1363" s="55" t="s">
        <v>2391</v>
      </c>
      <c r="N1363" s="56" t="s">
        <v>2392</v>
      </c>
      <c r="O1363" s="53" t="s">
        <v>8</v>
      </c>
      <c r="P1363" s="56" t="s">
        <v>2707</v>
      </c>
      <c r="Q1363" s="57">
        <v>15700</v>
      </c>
      <c r="R1363" s="58" t="s">
        <v>8</v>
      </c>
      <c r="S1363" s="57" t="s">
        <v>8</v>
      </c>
      <c r="T1363" s="56" t="s">
        <v>2394</v>
      </c>
    </row>
    <row r="1364" spans="1:20">
      <c r="A1364" s="55">
        <v>131911758332</v>
      </c>
      <c r="B1364" s="53" t="s">
        <v>2386</v>
      </c>
      <c r="C1364" s="54">
        <v>45961</v>
      </c>
      <c r="D1364" s="55">
        <v>52414422919</v>
      </c>
      <c r="E1364" s="55">
        <v>2108528017770</v>
      </c>
      <c r="F1364" s="56" t="s">
        <v>2411</v>
      </c>
      <c r="G1364" s="56" t="s">
        <v>2388</v>
      </c>
      <c r="H1364" s="56" t="s">
        <v>8</v>
      </c>
      <c r="I1364" s="55" t="s">
        <v>8</v>
      </c>
      <c r="J1364" s="57">
        <v>46.56</v>
      </c>
      <c r="K1364" s="56" t="s">
        <v>2389</v>
      </c>
      <c r="L1364" s="56" t="s">
        <v>2390</v>
      </c>
      <c r="M1364" s="55" t="s">
        <v>2391</v>
      </c>
      <c r="N1364" s="56" t="s">
        <v>2392</v>
      </c>
      <c r="O1364" s="53" t="s">
        <v>8</v>
      </c>
      <c r="P1364" s="56" t="s">
        <v>2412</v>
      </c>
      <c r="Q1364" s="57">
        <v>4800</v>
      </c>
      <c r="R1364" s="58" t="s">
        <v>8</v>
      </c>
      <c r="S1364" s="57" t="s">
        <v>8</v>
      </c>
      <c r="T1364" s="56" t="s">
        <v>8</v>
      </c>
    </row>
    <row r="1365" spans="1:20">
      <c r="A1365" s="55">
        <v>131911994644</v>
      </c>
      <c r="B1365" s="53" t="s">
        <v>2386</v>
      </c>
      <c r="C1365" s="54">
        <v>45961</v>
      </c>
      <c r="D1365" s="55">
        <v>52414539152</v>
      </c>
      <c r="E1365" s="55">
        <v>2108531685764</v>
      </c>
      <c r="F1365" s="56" t="s">
        <v>2387</v>
      </c>
      <c r="G1365" s="56" t="s">
        <v>2388</v>
      </c>
      <c r="H1365" s="56" t="s">
        <v>8</v>
      </c>
      <c r="I1365" s="55" t="s">
        <v>8</v>
      </c>
      <c r="J1365" s="57">
        <v>38.799999999999997</v>
      </c>
      <c r="K1365" s="56" t="s">
        <v>2389</v>
      </c>
      <c r="L1365" s="56" t="s">
        <v>2390</v>
      </c>
      <c r="M1365" s="55" t="s">
        <v>2391</v>
      </c>
      <c r="N1365" s="56" t="s">
        <v>2392</v>
      </c>
      <c r="O1365" s="53" t="s">
        <v>8</v>
      </c>
      <c r="P1365" s="56" t="s">
        <v>2940</v>
      </c>
      <c r="Q1365" s="57">
        <v>4000</v>
      </c>
      <c r="R1365" s="58" t="s">
        <v>8</v>
      </c>
      <c r="S1365" s="57" t="s">
        <v>8</v>
      </c>
      <c r="T1365" s="56" t="s">
        <v>2394</v>
      </c>
    </row>
    <row r="1366" spans="1:20">
      <c r="A1366" s="55">
        <v>131911831956</v>
      </c>
      <c r="B1366" s="53" t="s">
        <v>2386</v>
      </c>
      <c r="C1366" s="54">
        <v>45961</v>
      </c>
      <c r="D1366" s="55">
        <v>52414542255</v>
      </c>
      <c r="E1366" s="55">
        <v>2108531230520</v>
      </c>
      <c r="F1366" s="56" t="s">
        <v>2401</v>
      </c>
      <c r="G1366" s="56" t="s">
        <v>2388</v>
      </c>
      <c r="H1366" s="56" t="s">
        <v>8</v>
      </c>
      <c r="I1366" s="55" t="s">
        <v>8</v>
      </c>
      <c r="J1366" s="57">
        <v>1541.33</v>
      </c>
      <c r="K1366" s="56" t="s">
        <v>2389</v>
      </c>
      <c r="L1366" s="56" t="s">
        <v>2402</v>
      </c>
      <c r="M1366" s="55" t="s">
        <v>2391</v>
      </c>
      <c r="N1366" s="56" t="s">
        <v>2392</v>
      </c>
      <c r="O1366" s="53" t="s">
        <v>2055</v>
      </c>
      <c r="P1366" s="56" t="s">
        <v>2403</v>
      </c>
      <c r="Q1366" s="57">
        <v>33950</v>
      </c>
      <c r="R1366" s="58" t="s">
        <v>8</v>
      </c>
      <c r="S1366" s="57" t="s">
        <v>8</v>
      </c>
      <c r="T1366" s="56" t="s">
        <v>2394</v>
      </c>
    </row>
    <row r="1367" spans="1:20">
      <c r="A1367" s="55">
        <v>131315445485</v>
      </c>
      <c r="B1367" s="53" t="s">
        <v>2386</v>
      </c>
      <c r="C1367" s="54">
        <v>45961</v>
      </c>
      <c r="D1367" s="55">
        <v>52414631788</v>
      </c>
      <c r="E1367" s="55">
        <v>2108531269120</v>
      </c>
      <c r="F1367" s="56" t="s">
        <v>2387</v>
      </c>
      <c r="G1367" s="56" t="s">
        <v>2388</v>
      </c>
      <c r="H1367" s="56" t="s">
        <v>8</v>
      </c>
      <c r="I1367" s="55" t="s">
        <v>8</v>
      </c>
      <c r="J1367" s="57">
        <v>329.8</v>
      </c>
      <c r="K1367" s="56" t="s">
        <v>2389</v>
      </c>
      <c r="L1367" s="56" t="s">
        <v>2390</v>
      </c>
      <c r="M1367" s="55" t="s">
        <v>2391</v>
      </c>
      <c r="N1367" s="56" t="s">
        <v>2392</v>
      </c>
      <c r="O1367" s="53" t="s">
        <v>8</v>
      </c>
      <c r="P1367" s="56" t="s">
        <v>2941</v>
      </c>
      <c r="Q1367" s="57">
        <v>34000</v>
      </c>
      <c r="R1367" s="58" t="s">
        <v>8</v>
      </c>
      <c r="S1367" s="57" t="s">
        <v>8</v>
      </c>
      <c r="T1367" s="56" t="s">
        <v>2394</v>
      </c>
    </row>
    <row r="1368" spans="1:20">
      <c r="A1368" s="55">
        <v>131315798133</v>
      </c>
      <c r="B1368" s="53" t="s">
        <v>2386</v>
      </c>
      <c r="C1368" s="54">
        <v>45961</v>
      </c>
      <c r="D1368" s="55">
        <v>52414648615</v>
      </c>
      <c r="E1368" s="55">
        <v>2108442572409</v>
      </c>
      <c r="F1368" s="56" t="s">
        <v>2401</v>
      </c>
      <c r="G1368" s="56" t="s">
        <v>2388</v>
      </c>
      <c r="H1368" s="56" t="s">
        <v>8</v>
      </c>
      <c r="I1368" s="55" t="s">
        <v>8</v>
      </c>
      <c r="J1368" s="57">
        <v>499.4</v>
      </c>
      <c r="K1368" s="56" t="s">
        <v>2389</v>
      </c>
      <c r="L1368" s="56" t="s">
        <v>2402</v>
      </c>
      <c r="M1368" s="55" t="s">
        <v>2391</v>
      </c>
      <c r="N1368" s="56" t="s">
        <v>2392</v>
      </c>
      <c r="O1368" s="53" t="s">
        <v>2055</v>
      </c>
      <c r="P1368" s="56" t="s">
        <v>2403</v>
      </c>
      <c r="Q1368" s="57">
        <v>11000</v>
      </c>
      <c r="R1368" s="58" t="s">
        <v>8</v>
      </c>
      <c r="S1368" s="57" t="s">
        <v>8</v>
      </c>
      <c r="T1368" s="56" t="s">
        <v>2394</v>
      </c>
    </row>
    <row r="1369" spans="1:20">
      <c r="A1369" s="55">
        <v>131315537649</v>
      </c>
      <c r="B1369" s="53" t="s">
        <v>2386</v>
      </c>
      <c r="C1369" s="54">
        <v>45961</v>
      </c>
      <c r="D1369" s="55">
        <v>52414669078</v>
      </c>
      <c r="E1369" s="55">
        <v>2108442843583</v>
      </c>
      <c r="F1369" s="56" t="s">
        <v>2387</v>
      </c>
      <c r="G1369" s="56" t="s">
        <v>2388</v>
      </c>
      <c r="H1369" s="56" t="s">
        <v>8</v>
      </c>
      <c r="I1369" s="55" t="s">
        <v>8</v>
      </c>
      <c r="J1369" s="57">
        <v>485.97</v>
      </c>
      <c r="K1369" s="56" t="s">
        <v>2389</v>
      </c>
      <c r="L1369" s="56" t="s">
        <v>2390</v>
      </c>
      <c r="M1369" s="55" t="s">
        <v>2391</v>
      </c>
      <c r="N1369" s="56" t="s">
        <v>2392</v>
      </c>
      <c r="O1369" s="53" t="s">
        <v>8</v>
      </c>
      <c r="P1369" s="56" t="s">
        <v>2942</v>
      </c>
      <c r="Q1369" s="57">
        <v>50100</v>
      </c>
      <c r="R1369" s="58" t="s">
        <v>8</v>
      </c>
      <c r="S1369" s="57" t="s">
        <v>8</v>
      </c>
      <c r="T1369" s="56" t="s">
        <v>2394</v>
      </c>
    </row>
    <row r="1370" spans="1:20">
      <c r="A1370" s="55">
        <v>131912442132</v>
      </c>
      <c r="B1370" s="53" t="s">
        <v>2386</v>
      </c>
      <c r="C1370" s="54">
        <v>45961</v>
      </c>
      <c r="D1370" s="55">
        <v>52414744176</v>
      </c>
      <c r="E1370" s="55">
        <v>2108445159115</v>
      </c>
      <c r="F1370" s="56" t="s">
        <v>2401</v>
      </c>
      <c r="G1370" s="56" t="s">
        <v>2388</v>
      </c>
      <c r="H1370" s="56" t="s">
        <v>8</v>
      </c>
      <c r="I1370" s="55" t="s">
        <v>8</v>
      </c>
      <c r="J1370" s="57">
        <v>353.7</v>
      </c>
      <c r="K1370" s="56" t="s">
        <v>2389</v>
      </c>
      <c r="L1370" s="56" t="s">
        <v>2402</v>
      </c>
      <c r="M1370" s="55" t="s">
        <v>2391</v>
      </c>
      <c r="N1370" s="56" t="s">
        <v>2392</v>
      </c>
      <c r="O1370" s="53" t="s">
        <v>2055</v>
      </c>
      <c r="P1370" s="56" t="s">
        <v>2403</v>
      </c>
      <c r="Q1370" s="57">
        <v>9000</v>
      </c>
      <c r="R1370" s="58" t="s">
        <v>8</v>
      </c>
      <c r="S1370" s="57" t="s">
        <v>8</v>
      </c>
      <c r="T1370" s="56" t="s">
        <v>2394</v>
      </c>
    </row>
    <row r="1371" spans="1:20">
      <c r="A1371" s="55">
        <v>131315987293</v>
      </c>
      <c r="B1371" s="53" t="s">
        <v>2386</v>
      </c>
      <c r="C1371" s="54">
        <v>45961</v>
      </c>
      <c r="D1371" s="55">
        <v>52414848350</v>
      </c>
      <c r="E1371" s="55">
        <v>2108541035430</v>
      </c>
      <c r="F1371" s="56" t="s">
        <v>2401</v>
      </c>
      <c r="G1371" s="56" t="s">
        <v>2388</v>
      </c>
      <c r="H1371" s="56" t="s">
        <v>8</v>
      </c>
      <c r="I1371" s="55" t="s">
        <v>8</v>
      </c>
      <c r="J1371" s="57">
        <v>1004.52</v>
      </c>
      <c r="K1371" s="56" t="s">
        <v>2389</v>
      </c>
      <c r="L1371" s="56" t="s">
        <v>2402</v>
      </c>
      <c r="M1371" s="55" t="s">
        <v>2391</v>
      </c>
      <c r="N1371" s="56" t="s">
        <v>2392</v>
      </c>
      <c r="O1371" s="53" t="s">
        <v>2055</v>
      </c>
      <c r="P1371" s="56" t="s">
        <v>2403</v>
      </c>
      <c r="Q1371" s="57">
        <v>13200</v>
      </c>
      <c r="R1371" s="58" t="s">
        <v>8</v>
      </c>
      <c r="S1371" s="57" t="s">
        <v>8</v>
      </c>
      <c r="T1371" s="56" t="s">
        <v>2394</v>
      </c>
    </row>
    <row r="1372" spans="1:20">
      <c r="A1372" s="55">
        <v>131316170617</v>
      </c>
      <c r="B1372" s="53" t="s">
        <v>2386</v>
      </c>
      <c r="C1372" s="54">
        <v>45961</v>
      </c>
      <c r="D1372" s="55">
        <v>52414871392</v>
      </c>
      <c r="E1372" s="55">
        <v>2108449514199</v>
      </c>
      <c r="F1372" s="56" t="s">
        <v>2387</v>
      </c>
      <c r="G1372" s="56" t="s">
        <v>2388</v>
      </c>
      <c r="H1372" s="56" t="s">
        <v>8</v>
      </c>
      <c r="I1372" s="55" t="s">
        <v>8</v>
      </c>
      <c r="J1372" s="57">
        <v>133.86000000000001</v>
      </c>
      <c r="K1372" s="56" t="s">
        <v>2389</v>
      </c>
      <c r="L1372" s="56" t="s">
        <v>2390</v>
      </c>
      <c r="M1372" s="55" t="s">
        <v>2391</v>
      </c>
      <c r="N1372" s="56" t="s">
        <v>2392</v>
      </c>
      <c r="O1372" s="53" t="s">
        <v>8</v>
      </c>
      <c r="P1372" s="56" t="s">
        <v>2943</v>
      </c>
      <c r="Q1372" s="57">
        <v>13800</v>
      </c>
      <c r="R1372" s="58" t="s">
        <v>8</v>
      </c>
      <c r="S1372" s="57" t="s">
        <v>8</v>
      </c>
      <c r="T1372" s="56" t="s">
        <v>2394</v>
      </c>
    </row>
    <row r="1373" spans="1:20">
      <c r="A1373" s="55">
        <v>131316233559</v>
      </c>
      <c r="B1373" s="53" t="s">
        <v>2386</v>
      </c>
      <c r="C1373" s="54">
        <v>45961</v>
      </c>
      <c r="D1373" s="55">
        <v>52414955941</v>
      </c>
      <c r="E1373" s="55">
        <v>2108544869806</v>
      </c>
      <c r="F1373" s="56" t="s">
        <v>2387</v>
      </c>
      <c r="G1373" s="56" t="s">
        <v>2388</v>
      </c>
      <c r="H1373" s="56" t="s">
        <v>8</v>
      </c>
      <c r="I1373" s="55" t="s">
        <v>8</v>
      </c>
      <c r="J1373" s="57">
        <v>106.7</v>
      </c>
      <c r="K1373" s="56" t="s">
        <v>2389</v>
      </c>
      <c r="L1373" s="56" t="s">
        <v>2390</v>
      </c>
      <c r="M1373" s="55" t="s">
        <v>2391</v>
      </c>
      <c r="N1373" s="56" t="s">
        <v>2392</v>
      </c>
      <c r="O1373" s="53" t="s">
        <v>8</v>
      </c>
      <c r="P1373" s="56" t="s">
        <v>2944</v>
      </c>
      <c r="Q1373" s="57">
        <v>11000</v>
      </c>
      <c r="R1373" s="58" t="s">
        <v>8</v>
      </c>
      <c r="S1373" s="57" t="s">
        <v>8</v>
      </c>
      <c r="T1373" s="56" t="s">
        <v>2394</v>
      </c>
    </row>
    <row r="1374" spans="1:20">
      <c r="A1374" s="55">
        <v>131316259873</v>
      </c>
      <c r="B1374" s="53" t="s">
        <v>2386</v>
      </c>
      <c r="C1374" s="54">
        <v>45961</v>
      </c>
      <c r="D1374" s="55">
        <v>52414995547</v>
      </c>
      <c r="E1374" s="55">
        <v>2108546618438</v>
      </c>
      <c r="F1374" s="56" t="s">
        <v>2401</v>
      </c>
      <c r="G1374" s="56" t="s">
        <v>2388</v>
      </c>
      <c r="H1374" s="56" t="s">
        <v>8</v>
      </c>
      <c r="I1374" s="55" t="s">
        <v>8</v>
      </c>
      <c r="J1374" s="57">
        <v>1328.34</v>
      </c>
      <c r="K1374" s="56" t="s">
        <v>2389</v>
      </c>
      <c r="L1374" s="56" t="s">
        <v>2402</v>
      </c>
      <c r="M1374" s="55" t="s">
        <v>2391</v>
      </c>
      <c r="N1374" s="56" t="s">
        <v>2392</v>
      </c>
      <c r="O1374" s="53" t="s">
        <v>2055</v>
      </c>
      <c r="P1374" s="56" t="s">
        <v>2403</v>
      </c>
      <c r="Q1374" s="57">
        <v>33800</v>
      </c>
      <c r="R1374" s="58" t="s">
        <v>8</v>
      </c>
      <c r="S1374" s="57" t="s">
        <v>8</v>
      </c>
      <c r="T1374" s="56" t="s">
        <v>2394</v>
      </c>
    </row>
    <row r="1375" spans="1:20">
      <c r="A1375" s="55">
        <v>131913233904</v>
      </c>
      <c r="B1375" s="53" t="s">
        <v>2386</v>
      </c>
      <c r="C1375" s="54">
        <v>45961</v>
      </c>
      <c r="D1375" s="55">
        <v>52415093222</v>
      </c>
      <c r="E1375" s="55">
        <v>2108550104442</v>
      </c>
      <c r="F1375" s="56" t="s">
        <v>2387</v>
      </c>
      <c r="G1375" s="56" t="s">
        <v>2388</v>
      </c>
      <c r="H1375" s="56" t="s">
        <v>8</v>
      </c>
      <c r="I1375" s="55" t="s">
        <v>8</v>
      </c>
      <c r="J1375" s="57">
        <v>299.73</v>
      </c>
      <c r="K1375" s="56" t="s">
        <v>2389</v>
      </c>
      <c r="L1375" s="56" t="s">
        <v>2390</v>
      </c>
      <c r="M1375" s="55" t="s">
        <v>2391</v>
      </c>
      <c r="N1375" s="56" t="s">
        <v>2392</v>
      </c>
      <c r="O1375" s="53" t="s">
        <v>8</v>
      </c>
      <c r="P1375" s="56" t="s">
        <v>2692</v>
      </c>
      <c r="Q1375" s="57">
        <v>30900</v>
      </c>
      <c r="R1375" s="58" t="s">
        <v>8</v>
      </c>
      <c r="S1375" s="57" t="s">
        <v>8</v>
      </c>
      <c r="T1375" s="56" t="s">
        <v>2394</v>
      </c>
    </row>
    <row r="1376" spans="1:20">
      <c r="A1376" s="55">
        <v>131913625570</v>
      </c>
      <c r="B1376" s="53" t="s">
        <v>2386</v>
      </c>
      <c r="C1376" s="54">
        <v>45961</v>
      </c>
      <c r="D1376" s="55">
        <v>52415205348</v>
      </c>
      <c r="E1376" s="55">
        <v>2108553390120</v>
      </c>
      <c r="F1376" s="56" t="s">
        <v>2387</v>
      </c>
      <c r="G1376" s="56" t="s">
        <v>2388</v>
      </c>
      <c r="H1376" s="56" t="s">
        <v>8</v>
      </c>
      <c r="I1376" s="55" t="s">
        <v>8</v>
      </c>
      <c r="J1376" s="57">
        <v>625.65</v>
      </c>
      <c r="K1376" s="56" t="s">
        <v>2389</v>
      </c>
      <c r="L1376" s="56" t="s">
        <v>2390</v>
      </c>
      <c r="M1376" s="55" t="s">
        <v>2391</v>
      </c>
      <c r="N1376" s="56" t="s">
        <v>2392</v>
      </c>
      <c r="O1376" s="53" t="s">
        <v>8</v>
      </c>
      <c r="P1376" s="56" t="s">
        <v>2489</v>
      </c>
      <c r="Q1376" s="57">
        <v>64500</v>
      </c>
      <c r="R1376" s="58" t="s">
        <v>8</v>
      </c>
      <c r="S1376" s="57" t="s">
        <v>8</v>
      </c>
      <c r="T1376" s="56" t="s">
        <v>2394</v>
      </c>
    </row>
    <row r="1377" spans="1:20">
      <c r="A1377" s="55">
        <v>131913776076</v>
      </c>
      <c r="B1377" s="53" t="s">
        <v>2386</v>
      </c>
      <c r="C1377" s="54">
        <v>45961</v>
      </c>
      <c r="D1377" s="55">
        <v>52415270578</v>
      </c>
      <c r="E1377" s="55">
        <v>2108464691995</v>
      </c>
      <c r="F1377" s="56" t="s">
        <v>2401</v>
      </c>
      <c r="G1377" s="56" t="s">
        <v>2388</v>
      </c>
      <c r="H1377" s="56" t="s">
        <v>8</v>
      </c>
      <c r="I1377" s="55" t="s">
        <v>8</v>
      </c>
      <c r="J1377" s="57">
        <v>754.56</v>
      </c>
      <c r="K1377" s="56" t="s">
        <v>2389</v>
      </c>
      <c r="L1377" s="56" t="s">
        <v>2402</v>
      </c>
      <c r="M1377" s="55" t="s">
        <v>2391</v>
      </c>
      <c r="N1377" s="56" t="s">
        <v>2392</v>
      </c>
      <c r="O1377" s="53" t="s">
        <v>2055</v>
      </c>
      <c r="P1377" s="56" t="s">
        <v>2403</v>
      </c>
      <c r="Q1377" s="57">
        <v>19200</v>
      </c>
      <c r="R1377" s="58" t="s">
        <v>8</v>
      </c>
      <c r="S1377" s="57" t="s">
        <v>8</v>
      </c>
      <c r="T1377" s="56" t="s">
        <v>2394</v>
      </c>
    </row>
    <row r="1378" spans="1:20">
      <c r="A1378" s="55">
        <v>131914000620</v>
      </c>
      <c r="B1378" s="53" t="s">
        <v>2386</v>
      </c>
      <c r="C1378" s="54">
        <v>45961</v>
      </c>
      <c r="D1378" s="55">
        <v>52415357410</v>
      </c>
      <c r="E1378" s="55">
        <v>2108468117007</v>
      </c>
      <c r="F1378" s="56" t="s">
        <v>2387</v>
      </c>
      <c r="G1378" s="56" t="s">
        <v>2388</v>
      </c>
      <c r="H1378" s="56" t="s">
        <v>8</v>
      </c>
      <c r="I1378" s="55" t="s">
        <v>8</v>
      </c>
      <c r="J1378" s="57">
        <v>507.31</v>
      </c>
      <c r="K1378" s="56" t="s">
        <v>2389</v>
      </c>
      <c r="L1378" s="56" t="s">
        <v>2390</v>
      </c>
      <c r="M1378" s="55" t="s">
        <v>2391</v>
      </c>
      <c r="N1378" s="56" t="s">
        <v>2392</v>
      </c>
      <c r="O1378" s="53" t="s">
        <v>8</v>
      </c>
      <c r="P1378" s="56" t="s">
        <v>2945</v>
      </c>
      <c r="Q1378" s="57">
        <v>52300</v>
      </c>
      <c r="R1378" s="58" t="s">
        <v>8</v>
      </c>
      <c r="S1378" s="57" t="s">
        <v>8</v>
      </c>
      <c r="T1378" s="56" t="s">
        <v>2394</v>
      </c>
    </row>
    <row r="1379" spans="1:20">
      <c r="A1379" s="55">
        <v>131317503951</v>
      </c>
      <c r="B1379" s="53" t="s">
        <v>2386</v>
      </c>
      <c r="C1379" s="54">
        <v>45961</v>
      </c>
      <c r="D1379" s="55">
        <v>52415467470</v>
      </c>
      <c r="E1379" s="55">
        <v>2108472555287</v>
      </c>
      <c r="F1379" s="56" t="s">
        <v>2387</v>
      </c>
      <c r="G1379" s="56" t="s">
        <v>2388</v>
      </c>
      <c r="H1379" s="56" t="s">
        <v>8</v>
      </c>
      <c r="I1379" s="55" t="s">
        <v>8</v>
      </c>
      <c r="J1379" s="57">
        <v>87.3</v>
      </c>
      <c r="K1379" s="56" t="s">
        <v>2389</v>
      </c>
      <c r="L1379" s="56" t="s">
        <v>2390</v>
      </c>
      <c r="M1379" s="55" t="s">
        <v>2391</v>
      </c>
      <c r="N1379" s="56" t="s">
        <v>2392</v>
      </c>
      <c r="O1379" s="53" t="s">
        <v>8</v>
      </c>
      <c r="P1379" s="56" t="s">
        <v>2946</v>
      </c>
      <c r="Q1379" s="57">
        <v>9000</v>
      </c>
      <c r="R1379" s="58" t="s">
        <v>8</v>
      </c>
      <c r="S1379" s="57" t="s">
        <v>8</v>
      </c>
      <c r="T1379" s="56" t="s">
        <v>2394</v>
      </c>
    </row>
    <row r="1380" spans="1:20">
      <c r="A1380" s="55">
        <v>131317701455</v>
      </c>
      <c r="B1380" s="53" t="s">
        <v>2386</v>
      </c>
      <c r="C1380" s="54">
        <v>45961</v>
      </c>
      <c r="D1380" s="55">
        <v>52415568306</v>
      </c>
      <c r="E1380" s="55">
        <v>2108477121621</v>
      </c>
      <c r="F1380" s="56" t="s">
        <v>2387</v>
      </c>
      <c r="G1380" s="56" t="s">
        <v>2388</v>
      </c>
      <c r="H1380" s="56" t="s">
        <v>8</v>
      </c>
      <c r="I1380" s="55" t="s">
        <v>8</v>
      </c>
      <c r="J1380" s="57">
        <v>489.85</v>
      </c>
      <c r="K1380" s="56" t="s">
        <v>2389</v>
      </c>
      <c r="L1380" s="56" t="s">
        <v>2390</v>
      </c>
      <c r="M1380" s="55" t="s">
        <v>2391</v>
      </c>
      <c r="N1380" s="56" t="s">
        <v>2392</v>
      </c>
      <c r="O1380" s="53" t="s">
        <v>8</v>
      </c>
      <c r="P1380" s="56" t="s">
        <v>2947</v>
      </c>
      <c r="Q1380" s="57">
        <v>50500</v>
      </c>
      <c r="R1380" s="58" t="s">
        <v>8</v>
      </c>
      <c r="S1380" s="57" t="s">
        <v>8</v>
      </c>
      <c r="T1380" s="56" t="s">
        <v>2394</v>
      </c>
    </row>
    <row r="1381" spans="1:20">
      <c r="A1381" s="55">
        <v>131317789095</v>
      </c>
      <c r="B1381" s="53" t="s">
        <v>2386</v>
      </c>
      <c r="C1381" s="54">
        <v>45961</v>
      </c>
      <c r="D1381" s="55">
        <v>52415618160</v>
      </c>
      <c r="E1381" s="55">
        <v>2108478493019</v>
      </c>
      <c r="F1381" s="56" t="s">
        <v>2387</v>
      </c>
      <c r="G1381" s="56" t="s">
        <v>2388</v>
      </c>
      <c r="H1381" s="56" t="s">
        <v>8</v>
      </c>
      <c r="I1381" s="55" t="s">
        <v>8</v>
      </c>
      <c r="J1381" s="57">
        <v>93.12</v>
      </c>
      <c r="K1381" s="56" t="s">
        <v>2389</v>
      </c>
      <c r="L1381" s="56" t="s">
        <v>2390</v>
      </c>
      <c r="M1381" s="55" t="s">
        <v>2391</v>
      </c>
      <c r="N1381" s="56" t="s">
        <v>2392</v>
      </c>
      <c r="O1381" s="53" t="s">
        <v>8</v>
      </c>
      <c r="P1381" s="56" t="s">
        <v>2850</v>
      </c>
      <c r="Q1381" s="57">
        <v>9600</v>
      </c>
      <c r="R1381" s="58" t="s">
        <v>8</v>
      </c>
      <c r="S1381" s="57" t="s">
        <v>8</v>
      </c>
      <c r="T1381" s="56" t="s">
        <v>2394</v>
      </c>
    </row>
    <row r="1382" spans="1:20">
      <c r="A1382" s="55">
        <v>131914746862</v>
      </c>
      <c r="B1382" s="53" t="s">
        <v>2386</v>
      </c>
      <c r="C1382" s="54">
        <v>45961</v>
      </c>
      <c r="D1382" s="55">
        <v>52415645067</v>
      </c>
      <c r="E1382" s="55">
        <v>2108571806944</v>
      </c>
      <c r="F1382" s="56" t="s">
        <v>2387</v>
      </c>
      <c r="G1382" s="56" t="s">
        <v>2388</v>
      </c>
      <c r="H1382" s="56" t="s">
        <v>8</v>
      </c>
      <c r="I1382" s="55" t="s">
        <v>8</v>
      </c>
      <c r="J1382" s="57">
        <v>93.12</v>
      </c>
      <c r="K1382" s="56" t="s">
        <v>2389</v>
      </c>
      <c r="L1382" s="56" t="s">
        <v>2390</v>
      </c>
      <c r="M1382" s="55" t="s">
        <v>2391</v>
      </c>
      <c r="N1382" s="56" t="s">
        <v>2392</v>
      </c>
      <c r="O1382" s="53" t="s">
        <v>8</v>
      </c>
      <c r="P1382" s="56" t="s">
        <v>2927</v>
      </c>
      <c r="Q1382" s="57">
        <v>9600</v>
      </c>
      <c r="R1382" s="58" t="s">
        <v>8</v>
      </c>
      <c r="S1382" s="57" t="s">
        <v>8</v>
      </c>
      <c r="T1382" s="56" t="s">
        <v>2394</v>
      </c>
    </row>
    <row r="1383" spans="1:20">
      <c r="A1383" s="55">
        <v>131318108529</v>
      </c>
      <c r="B1383" s="53" t="s">
        <v>2386</v>
      </c>
      <c r="C1383" s="54">
        <v>45961</v>
      </c>
      <c r="D1383" s="55">
        <v>52415654105</v>
      </c>
      <c r="E1383" s="55">
        <v>2108572899944</v>
      </c>
      <c r="F1383" s="56" t="s">
        <v>2387</v>
      </c>
      <c r="G1383" s="56" t="s">
        <v>2388</v>
      </c>
      <c r="H1383" s="56" t="s">
        <v>8</v>
      </c>
      <c r="I1383" s="55" t="s">
        <v>8</v>
      </c>
      <c r="J1383" s="57">
        <v>160.05000000000001</v>
      </c>
      <c r="K1383" s="56" t="s">
        <v>2389</v>
      </c>
      <c r="L1383" s="56" t="s">
        <v>2390</v>
      </c>
      <c r="M1383" s="55" t="s">
        <v>2391</v>
      </c>
      <c r="N1383" s="56" t="s">
        <v>2392</v>
      </c>
      <c r="O1383" s="53" t="s">
        <v>8</v>
      </c>
      <c r="P1383" s="56" t="s">
        <v>2948</v>
      </c>
      <c r="Q1383" s="57">
        <v>16500</v>
      </c>
      <c r="R1383" s="58" t="s">
        <v>8</v>
      </c>
      <c r="S1383" s="57" t="s">
        <v>8</v>
      </c>
      <c r="T1383" s="56" t="s">
        <v>2394</v>
      </c>
    </row>
    <row r="1384" spans="1:20">
      <c r="A1384" s="55">
        <v>131317780025</v>
      </c>
      <c r="B1384" s="53" t="s">
        <v>2386</v>
      </c>
      <c r="C1384" s="54">
        <v>45961</v>
      </c>
      <c r="D1384" s="55">
        <v>52415655949</v>
      </c>
      <c r="E1384" s="55">
        <v>2108479774843</v>
      </c>
      <c r="F1384" s="56" t="s">
        <v>2387</v>
      </c>
      <c r="G1384" s="56" t="s">
        <v>2388</v>
      </c>
      <c r="H1384" s="56" t="s">
        <v>8</v>
      </c>
      <c r="I1384" s="55" t="s">
        <v>8</v>
      </c>
      <c r="J1384" s="57">
        <v>302.64</v>
      </c>
      <c r="K1384" s="56" t="s">
        <v>2389</v>
      </c>
      <c r="L1384" s="56" t="s">
        <v>2390</v>
      </c>
      <c r="M1384" s="55" t="s">
        <v>2391</v>
      </c>
      <c r="N1384" s="56" t="s">
        <v>2392</v>
      </c>
      <c r="O1384" s="53" t="s">
        <v>8</v>
      </c>
      <c r="P1384" s="56" t="s">
        <v>2930</v>
      </c>
      <c r="Q1384" s="57">
        <v>31200</v>
      </c>
      <c r="R1384" s="58" t="s">
        <v>8</v>
      </c>
      <c r="S1384" s="57" t="s">
        <v>8</v>
      </c>
      <c r="T1384" s="56" t="s">
        <v>2394</v>
      </c>
    </row>
    <row r="1385" spans="1:20">
      <c r="A1385" s="55">
        <v>131914914580</v>
      </c>
      <c r="B1385" s="53" t="s">
        <v>2386</v>
      </c>
      <c r="C1385" s="54">
        <v>45961</v>
      </c>
      <c r="D1385" s="55">
        <v>52415720490</v>
      </c>
      <c r="E1385" s="55">
        <v>2108576409646</v>
      </c>
      <c r="F1385" s="56" t="s">
        <v>2411</v>
      </c>
      <c r="G1385" s="56" t="s">
        <v>2388</v>
      </c>
      <c r="H1385" s="56" t="s">
        <v>8</v>
      </c>
      <c r="I1385" s="55" t="s">
        <v>8</v>
      </c>
      <c r="J1385" s="57">
        <v>399.64</v>
      </c>
      <c r="K1385" s="56" t="s">
        <v>2389</v>
      </c>
      <c r="L1385" s="56" t="s">
        <v>2390</v>
      </c>
      <c r="M1385" s="55" t="s">
        <v>2391</v>
      </c>
      <c r="N1385" s="56" t="s">
        <v>2392</v>
      </c>
      <c r="O1385" s="53" t="s">
        <v>8</v>
      </c>
      <c r="P1385" s="56" t="s">
        <v>2412</v>
      </c>
      <c r="Q1385" s="57">
        <v>41200</v>
      </c>
      <c r="R1385" s="58" t="s">
        <v>8</v>
      </c>
      <c r="S1385" s="57" t="s">
        <v>8</v>
      </c>
      <c r="T1385" s="56" t="s">
        <v>8</v>
      </c>
    </row>
    <row r="1386" spans="1:20">
      <c r="A1386" s="55">
        <v>131318226099</v>
      </c>
      <c r="B1386" s="53" t="s">
        <v>2386</v>
      </c>
      <c r="C1386" s="54">
        <v>45961</v>
      </c>
      <c r="D1386" s="55">
        <v>52415743969</v>
      </c>
      <c r="E1386" s="55">
        <v>2108484480445</v>
      </c>
      <c r="F1386" s="56" t="s">
        <v>2401</v>
      </c>
      <c r="G1386" s="56" t="s">
        <v>2388</v>
      </c>
      <c r="H1386" s="56" t="s">
        <v>8</v>
      </c>
      <c r="I1386" s="55" t="s">
        <v>8</v>
      </c>
      <c r="J1386" s="57">
        <v>190.68</v>
      </c>
      <c r="K1386" s="56" t="s">
        <v>2389</v>
      </c>
      <c r="L1386" s="56" t="s">
        <v>2402</v>
      </c>
      <c r="M1386" s="55" t="s">
        <v>2391</v>
      </c>
      <c r="N1386" s="56" t="s">
        <v>2392</v>
      </c>
      <c r="O1386" s="53" t="s">
        <v>2055</v>
      </c>
      <c r="P1386" s="56" t="s">
        <v>2403</v>
      </c>
      <c r="Q1386" s="57">
        <v>4200</v>
      </c>
      <c r="R1386" s="58" t="s">
        <v>8</v>
      </c>
      <c r="S1386" s="57" t="s">
        <v>8</v>
      </c>
      <c r="T1386" s="56" t="s">
        <v>2394</v>
      </c>
    </row>
    <row r="1387" spans="1:20">
      <c r="A1387" s="55">
        <v>131915208972</v>
      </c>
      <c r="B1387" s="53" t="s">
        <v>2386</v>
      </c>
      <c r="C1387" s="54">
        <v>45961</v>
      </c>
      <c r="D1387" s="55">
        <v>52415797408</v>
      </c>
      <c r="E1387" s="55">
        <v>2108486471729</v>
      </c>
      <c r="F1387" s="56" t="s">
        <v>2401</v>
      </c>
      <c r="G1387" s="56" t="s">
        <v>2388</v>
      </c>
      <c r="H1387" s="56" t="s">
        <v>8</v>
      </c>
      <c r="I1387" s="55" t="s">
        <v>8</v>
      </c>
      <c r="J1387" s="57">
        <v>435.84</v>
      </c>
      <c r="K1387" s="56" t="s">
        <v>2389</v>
      </c>
      <c r="L1387" s="56" t="s">
        <v>2402</v>
      </c>
      <c r="M1387" s="55" t="s">
        <v>2391</v>
      </c>
      <c r="N1387" s="56" t="s">
        <v>2392</v>
      </c>
      <c r="O1387" s="53" t="s">
        <v>2055</v>
      </c>
      <c r="P1387" s="56" t="s">
        <v>2403</v>
      </c>
      <c r="Q1387" s="57">
        <v>9600</v>
      </c>
      <c r="R1387" s="58" t="s">
        <v>8</v>
      </c>
      <c r="S1387" s="57" t="s">
        <v>8</v>
      </c>
      <c r="T1387" s="56" t="s">
        <v>2394</v>
      </c>
    </row>
    <row r="1388" spans="1:20">
      <c r="A1388" s="55">
        <v>131915199812</v>
      </c>
      <c r="B1388" s="53" t="s">
        <v>2386</v>
      </c>
      <c r="C1388" s="54">
        <v>45961</v>
      </c>
      <c r="D1388" s="55">
        <v>52415811864</v>
      </c>
      <c r="E1388" s="55">
        <v>2108487865123</v>
      </c>
      <c r="F1388" s="56" t="s">
        <v>2387</v>
      </c>
      <c r="G1388" s="56" t="s">
        <v>2388</v>
      </c>
      <c r="H1388" s="56" t="s">
        <v>8</v>
      </c>
      <c r="I1388" s="55" t="s">
        <v>8</v>
      </c>
      <c r="J1388" s="57">
        <v>134.83000000000001</v>
      </c>
      <c r="K1388" s="56" t="s">
        <v>2389</v>
      </c>
      <c r="L1388" s="56" t="s">
        <v>2390</v>
      </c>
      <c r="M1388" s="55" t="s">
        <v>2391</v>
      </c>
      <c r="N1388" s="56" t="s">
        <v>2392</v>
      </c>
      <c r="O1388" s="53" t="s">
        <v>8</v>
      </c>
      <c r="P1388" s="56" t="s">
        <v>2923</v>
      </c>
      <c r="Q1388" s="57">
        <v>13900</v>
      </c>
      <c r="R1388" s="58" t="s">
        <v>8</v>
      </c>
      <c r="S1388" s="57" t="s">
        <v>8</v>
      </c>
      <c r="T1388" s="56" t="s">
        <v>2394</v>
      </c>
    </row>
    <row r="1389" spans="1:20">
      <c r="A1389" s="55">
        <v>131915245194</v>
      </c>
      <c r="B1389" s="53" t="s">
        <v>2386</v>
      </c>
      <c r="C1389" s="54">
        <v>45961</v>
      </c>
      <c r="D1389" s="55">
        <v>52415819862</v>
      </c>
      <c r="E1389" s="55">
        <v>2108487903331</v>
      </c>
      <c r="F1389" s="56" t="s">
        <v>2387</v>
      </c>
      <c r="G1389" s="56" t="s">
        <v>2388</v>
      </c>
      <c r="H1389" s="56" t="s">
        <v>8</v>
      </c>
      <c r="I1389" s="55" t="s">
        <v>8</v>
      </c>
      <c r="J1389" s="57">
        <v>136.77000000000001</v>
      </c>
      <c r="K1389" s="56" t="s">
        <v>2389</v>
      </c>
      <c r="L1389" s="56" t="s">
        <v>2390</v>
      </c>
      <c r="M1389" s="55" t="s">
        <v>2391</v>
      </c>
      <c r="N1389" s="56" t="s">
        <v>2392</v>
      </c>
      <c r="O1389" s="53" t="s">
        <v>8</v>
      </c>
      <c r="P1389" s="56" t="s">
        <v>2949</v>
      </c>
      <c r="Q1389" s="57">
        <v>14100</v>
      </c>
      <c r="R1389" s="58" t="s">
        <v>8</v>
      </c>
      <c r="S1389" s="57" t="s">
        <v>8</v>
      </c>
      <c r="T1389" s="56" t="s">
        <v>2394</v>
      </c>
    </row>
    <row r="1390" spans="1:20">
      <c r="A1390" s="55">
        <v>131318475295</v>
      </c>
      <c r="B1390" s="53" t="s">
        <v>2386</v>
      </c>
      <c r="C1390" s="54">
        <v>45961</v>
      </c>
      <c r="D1390" s="55">
        <v>52415866310</v>
      </c>
      <c r="E1390" s="55">
        <v>2108489199817</v>
      </c>
      <c r="F1390" s="56" t="s">
        <v>2387</v>
      </c>
      <c r="G1390" s="56" t="s">
        <v>2388</v>
      </c>
      <c r="H1390" s="56" t="s">
        <v>8</v>
      </c>
      <c r="I1390" s="55" t="s">
        <v>8</v>
      </c>
      <c r="J1390" s="57">
        <v>159.08000000000001</v>
      </c>
      <c r="K1390" s="56" t="s">
        <v>2389</v>
      </c>
      <c r="L1390" s="56" t="s">
        <v>2390</v>
      </c>
      <c r="M1390" s="55" t="s">
        <v>2391</v>
      </c>
      <c r="N1390" s="56" t="s">
        <v>2392</v>
      </c>
      <c r="O1390" s="53" t="s">
        <v>8</v>
      </c>
      <c r="P1390" s="56" t="s">
        <v>2813</v>
      </c>
      <c r="Q1390" s="57">
        <v>16400</v>
      </c>
      <c r="R1390" s="58" t="s">
        <v>8</v>
      </c>
      <c r="S1390" s="57" t="s">
        <v>8</v>
      </c>
      <c r="T1390" s="56" t="s">
        <v>2394</v>
      </c>
    </row>
    <row r="1391" spans="1:20">
      <c r="A1391" s="55">
        <v>131318639651</v>
      </c>
      <c r="B1391" s="53" t="s">
        <v>2386</v>
      </c>
      <c r="C1391" s="54">
        <v>45961</v>
      </c>
      <c r="D1391" s="55">
        <v>52415899146</v>
      </c>
      <c r="E1391" s="55">
        <v>2108583158904</v>
      </c>
      <c r="F1391" s="56" t="s">
        <v>2401</v>
      </c>
      <c r="G1391" s="56" t="s">
        <v>2388</v>
      </c>
      <c r="H1391" s="56" t="s">
        <v>8</v>
      </c>
      <c r="I1391" s="55" t="s">
        <v>8</v>
      </c>
      <c r="J1391" s="57">
        <v>199.76</v>
      </c>
      <c r="K1391" s="56" t="s">
        <v>2389</v>
      </c>
      <c r="L1391" s="56" t="s">
        <v>2402</v>
      </c>
      <c r="M1391" s="55" t="s">
        <v>2391</v>
      </c>
      <c r="N1391" s="56" t="s">
        <v>2392</v>
      </c>
      <c r="O1391" s="53" t="s">
        <v>2055</v>
      </c>
      <c r="P1391" s="56" t="s">
        <v>2403</v>
      </c>
      <c r="Q1391" s="57">
        <v>4400</v>
      </c>
      <c r="R1391" s="58" t="s">
        <v>8</v>
      </c>
      <c r="S1391" s="57" t="s">
        <v>8</v>
      </c>
      <c r="T1391" s="56" t="s">
        <v>2394</v>
      </c>
    </row>
    <row r="1392" spans="1:20">
      <c r="A1392" s="55">
        <v>131915750288</v>
      </c>
      <c r="B1392" s="53" t="s">
        <v>2386</v>
      </c>
      <c r="C1392" s="54">
        <v>45961</v>
      </c>
      <c r="D1392" s="55">
        <v>52415959048</v>
      </c>
      <c r="E1392" s="55">
        <v>2108492257241</v>
      </c>
      <c r="F1392" s="56" t="s">
        <v>2387</v>
      </c>
      <c r="G1392" s="56" t="s">
        <v>2388</v>
      </c>
      <c r="H1392" s="56" t="s">
        <v>8</v>
      </c>
      <c r="I1392" s="55" t="s">
        <v>8</v>
      </c>
      <c r="J1392" s="57">
        <v>44.62</v>
      </c>
      <c r="K1392" s="56" t="s">
        <v>2389</v>
      </c>
      <c r="L1392" s="56" t="s">
        <v>2390</v>
      </c>
      <c r="M1392" s="55" t="s">
        <v>2391</v>
      </c>
      <c r="N1392" s="56" t="s">
        <v>2392</v>
      </c>
      <c r="O1392" s="53" t="s">
        <v>8</v>
      </c>
      <c r="P1392" s="56" t="s">
        <v>2950</v>
      </c>
      <c r="Q1392" s="57">
        <v>4600</v>
      </c>
      <c r="R1392" s="58" t="s">
        <v>8</v>
      </c>
      <c r="S1392" s="57" t="s">
        <v>8</v>
      </c>
      <c r="T1392" s="56" t="s">
        <v>2394</v>
      </c>
    </row>
    <row r="1393" spans="1:20">
      <c r="A1393" s="55">
        <v>131915932200</v>
      </c>
      <c r="B1393" s="53" t="s">
        <v>2386</v>
      </c>
      <c r="C1393" s="54">
        <v>45961</v>
      </c>
      <c r="D1393" s="55">
        <v>52416080861</v>
      </c>
      <c r="E1393" s="55">
        <v>2108495984031</v>
      </c>
      <c r="F1393" s="56" t="s">
        <v>2387</v>
      </c>
      <c r="G1393" s="56" t="s">
        <v>2388</v>
      </c>
      <c r="H1393" s="56" t="s">
        <v>8</v>
      </c>
      <c r="I1393" s="55" t="s">
        <v>8</v>
      </c>
      <c r="J1393" s="57">
        <v>115.43</v>
      </c>
      <c r="K1393" s="56" t="s">
        <v>2389</v>
      </c>
      <c r="L1393" s="56" t="s">
        <v>2390</v>
      </c>
      <c r="M1393" s="55" t="s">
        <v>2391</v>
      </c>
      <c r="N1393" s="56" t="s">
        <v>2392</v>
      </c>
      <c r="O1393" s="53" t="s">
        <v>8</v>
      </c>
      <c r="P1393" s="56" t="s">
        <v>2951</v>
      </c>
      <c r="Q1393" s="57">
        <v>11900</v>
      </c>
      <c r="R1393" s="58" t="s">
        <v>8</v>
      </c>
      <c r="S1393" s="57" t="s">
        <v>8</v>
      </c>
      <c r="T1393" s="56" t="s">
        <v>2394</v>
      </c>
    </row>
    <row r="1394" spans="1:20">
      <c r="A1394" s="55">
        <v>131319369569</v>
      </c>
      <c r="B1394" s="53" t="s">
        <v>2386</v>
      </c>
      <c r="C1394" s="54">
        <v>45961</v>
      </c>
      <c r="D1394" s="55">
        <v>52416159062</v>
      </c>
      <c r="E1394" s="55">
        <v>2108590796466</v>
      </c>
      <c r="F1394" s="56" t="s">
        <v>2387</v>
      </c>
      <c r="G1394" s="56" t="s">
        <v>2388</v>
      </c>
      <c r="H1394" s="56" t="s">
        <v>8</v>
      </c>
      <c r="I1394" s="55" t="s">
        <v>8</v>
      </c>
      <c r="J1394" s="57">
        <v>95.06</v>
      </c>
      <c r="K1394" s="56" t="s">
        <v>2389</v>
      </c>
      <c r="L1394" s="56" t="s">
        <v>2390</v>
      </c>
      <c r="M1394" s="55" t="s">
        <v>2391</v>
      </c>
      <c r="N1394" s="56" t="s">
        <v>2392</v>
      </c>
      <c r="O1394" s="53" t="s">
        <v>8</v>
      </c>
      <c r="P1394" s="56" t="s">
        <v>2952</v>
      </c>
      <c r="Q1394" s="57">
        <v>9800</v>
      </c>
      <c r="R1394" s="58" t="s">
        <v>8</v>
      </c>
      <c r="S1394" s="57" t="s">
        <v>8</v>
      </c>
      <c r="T1394" s="56" t="s">
        <v>2394</v>
      </c>
    </row>
    <row r="1395" spans="1:20">
      <c r="A1395" s="55">
        <v>131319428755</v>
      </c>
      <c r="B1395" s="53" t="s">
        <v>2386</v>
      </c>
      <c r="C1395" s="54">
        <v>45961</v>
      </c>
      <c r="D1395" s="55">
        <v>52416163768</v>
      </c>
      <c r="E1395" s="55">
        <v>2108498811729</v>
      </c>
      <c r="F1395" s="56" t="s">
        <v>2411</v>
      </c>
      <c r="G1395" s="56" t="s">
        <v>2388</v>
      </c>
      <c r="H1395" s="56" t="s">
        <v>8</v>
      </c>
      <c r="I1395" s="55" t="s">
        <v>8</v>
      </c>
      <c r="J1395" s="57">
        <v>155.19999999999999</v>
      </c>
      <c r="K1395" s="56" t="s">
        <v>2389</v>
      </c>
      <c r="L1395" s="56" t="s">
        <v>2390</v>
      </c>
      <c r="M1395" s="55" t="s">
        <v>2391</v>
      </c>
      <c r="N1395" s="56" t="s">
        <v>2392</v>
      </c>
      <c r="O1395" s="53" t="s">
        <v>8</v>
      </c>
      <c r="P1395" s="56" t="s">
        <v>2412</v>
      </c>
      <c r="Q1395" s="57">
        <v>16000</v>
      </c>
      <c r="R1395" s="58" t="s">
        <v>8</v>
      </c>
      <c r="S1395" s="57" t="s">
        <v>8</v>
      </c>
      <c r="T1395" s="56" t="s">
        <v>8</v>
      </c>
    </row>
    <row r="1396" spans="1:20">
      <c r="A1396" s="55">
        <v>131916032026</v>
      </c>
      <c r="B1396" s="53" t="s">
        <v>2386</v>
      </c>
      <c r="C1396" s="54">
        <v>45961</v>
      </c>
      <c r="D1396" s="55">
        <v>52416196281</v>
      </c>
      <c r="E1396" s="55">
        <v>2108499214061</v>
      </c>
      <c r="F1396" s="56" t="s">
        <v>2401</v>
      </c>
      <c r="G1396" s="56" t="s">
        <v>2388</v>
      </c>
      <c r="H1396" s="56" t="s">
        <v>8</v>
      </c>
      <c r="I1396" s="55" t="s">
        <v>8</v>
      </c>
      <c r="J1396" s="57">
        <v>217.92</v>
      </c>
      <c r="K1396" s="56" t="s">
        <v>2389</v>
      </c>
      <c r="L1396" s="56" t="s">
        <v>2402</v>
      </c>
      <c r="M1396" s="55" t="s">
        <v>2391</v>
      </c>
      <c r="N1396" s="56" t="s">
        <v>2392</v>
      </c>
      <c r="O1396" s="53" t="s">
        <v>2055</v>
      </c>
      <c r="P1396" s="56" t="s">
        <v>2403</v>
      </c>
      <c r="Q1396" s="57">
        <v>4800</v>
      </c>
      <c r="R1396" s="58" t="s">
        <v>8</v>
      </c>
      <c r="S1396" s="57" t="s">
        <v>8</v>
      </c>
      <c r="T1396" s="56" t="s">
        <v>2394</v>
      </c>
    </row>
    <row r="1397" spans="1:20">
      <c r="A1397" s="55">
        <v>131916342834</v>
      </c>
      <c r="B1397" s="53" t="s">
        <v>2386</v>
      </c>
      <c r="C1397" s="54">
        <v>45961</v>
      </c>
      <c r="D1397" s="55">
        <v>52416215150</v>
      </c>
      <c r="E1397" s="55">
        <v>2108592936524</v>
      </c>
      <c r="F1397" s="56" t="s">
        <v>2387</v>
      </c>
      <c r="G1397" s="56" t="s">
        <v>2388</v>
      </c>
      <c r="H1397" s="56" t="s">
        <v>8</v>
      </c>
      <c r="I1397" s="55" t="s">
        <v>8</v>
      </c>
      <c r="J1397" s="57">
        <v>46.56</v>
      </c>
      <c r="K1397" s="56" t="s">
        <v>2389</v>
      </c>
      <c r="L1397" s="56" t="s">
        <v>2390</v>
      </c>
      <c r="M1397" s="55" t="s">
        <v>2391</v>
      </c>
      <c r="N1397" s="56" t="s">
        <v>2392</v>
      </c>
      <c r="O1397" s="53" t="s">
        <v>8</v>
      </c>
      <c r="P1397" s="56" t="s">
        <v>2953</v>
      </c>
      <c r="Q1397" s="57">
        <v>4800</v>
      </c>
      <c r="R1397" s="58" t="s">
        <v>8</v>
      </c>
      <c r="S1397" s="57" t="s">
        <v>8</v>
      </c>
      <c r="T1397" s="56" t="s">
        <v>2394</v>
      </c>
    </row>
    <row r="1398" spans="1:20">
      <c r="A1398" s="55">
        <v>131916342992</v>
      </c>
      <c r="B1398" s="53" t="s">
        <v>2386</v>
      </c>
      <c r="C1398" s="54">
        <v>45961</v>
      </c>
      <c r="D1398" s="55">
        <v>52416217609</v>
      </c>
      <c r="E1398" s="55">
        <v>2108593111478</v>
      </c>
      <c r="F1398" s="56" t="s">
        <v>2387</v>
      </c>
      <c r="G1398" s="56" t="s">
        <v>2388</v>
      </c>
      <c r="H1398" s="56" t="s">
        <v>8</v>
      </c>
      <c r="I1398" s="55" t="s">
        <v>8</v>
      </c>
      <c r="J1398" s="57">
        <v>253.17</v>
      </c>
      <c r="K1398" s="56" t="s">
        <v>2389</v>
      </c>
      <c r="L1398" s="56" t="s">
        <v>2390</v>
      </c>
      <c r="M1398" s="55" t="s">
        <v>2391</v>
      </c>
      <c r="N1398" s="56" t="s">
        <v>2392</v>
      </c>
      <c r="O1398" s="53" t="s">
        <v>8</v>
      </c>
      <c r="P1398" s="56" t="s">
        <v>2937</v>
      </c>
      <c r="Q1398" s="57">
        <v>26100</v>
      </c>
      <c r="R1398" s="58" t="s">
        <v>8</v>
      </c>
      <c r="S1398" s="57" t="s">
        <v>8</v>
      </c>
      <c r="T1398" s="56" t="s">
        <v>2394</v>
      </c>
    </row>
    <row r="1399" spans="1:20">
      <c r="A1399" s="55">
        <v>131916546200</v>
      </c>
      <c r="B1399" s="53" t="s">
        <v>2386</v>
      </c>
      <c r="C1399" s="54">
        <v>45961</v>
      </c>
      <c r="D1399" s="55">
        <v>52416243917</v>
      </c>
      <c r="E1399" s="55">
        <v>2108502400953</v>
      </c>
      <c r="F1399" s="56" t="s">
        <v>2401</v>
      </c>
      <c r="G1399" s="56" t="s">
        <v>2388</v>
      </c>
      <c r="H1399" s="56" t="s">
        <v>8</v>
      </c>
      <c r="I1399" s="55" t="s">
        <v>8</v>
      </c>
      <c r="J1399" s="57">
        <v>217.92</v>
      </c>
      <c r="K1399" s="56" t="s">
        <v>2389</v>
      </c>
      <c r="L1399" s="56" t="s">
        <v>2402</v>
      </c>
      <c r="M1399" s="55" t="s">
        <v>2391</v>
      </c>
      <c r="N1399" s="56" t="s">
        <v>2392</v>
      </c>
      <c r="O1399" s="53" t="s">
        <v>2055</v>
      </c>
      <c r="P1399" s="56" t="s">
        <v>2403</v>
      </c>
      <c r="Q1399" s="57">
        <v>4800</v>
      </c>
      <c r="R1399" s="58" t="s">
        <v>8</v>
      </c>
      <c r="S1399" s="57" t="s">
        <v>8</v>
      </c>
      <c r="T1399" s="56" t="s">
        <v>2394</v>
      </c>
    </row>
    <row r="1400" spans="1:20">
      <c r="A1400" s="55">
        <v>131319845291</v>
      </c>
      <c r="B1400" s="53" t="s">
        <v>2386</v>
      </c>
      <c r="C1400" s="54">
        <v>45961</v>
      </c>
      <c r="D1400" s="55">
        <v>52416259976</v>
      </c>
      <c r="E1400" s="55">
        <v>2108595125750</v>
      </c>
      <c r="F1400" s="56" t="s">
        <v>2387</v>
      </c>
      <c r="G1400" s="56" t="s">
        <v>2388</v>
      </c>
      <c r="H1400" s="56" t="s">
        <v>8</v>
      </c>
      <c r="I1400" s="55" t="s">
        <v>8</v>
      </c>
      <c r="J1400" s="57">
        <v>160.05000000000001</v>
      </c>
      <c r="K1400" s="56" t="s">
        <v>2389</v>
      </c>
      <c r="L1400" s="56" t="s">
        <v>2390</v>
      </c>
      <c r="M1400" s="55" t="s">
        <v>2391</v>
      </c>
      <c r="N1400" s="56" t="s">
        <v>2392</v>
      </c>
      <c r="O1400" s="53" t="s">
        <v>8</v>
      </c>
      <c r="P1400" s="56" t="s">
        <v>2954</v>
      </c>
      <c r="Q1400" s="57">
        <v>16500</v>
      </c>
      <c r="R1400" s="58" t="s">
        <v>8</v>
      </c>
      <c r="S1400" s="57" t="s">
        <v>8</v>
      </c>
      <c r="T1400" s="56" t="s">
        <v>2394</v>
      </c>
    </row>
    <row r="1401" spans="1:20">
      <c r="A1401" s="55">
        <v>131916575874</v>
      </c>
      <c r="B1401" s="53" t="s">
        <v>2386</v>
      </c>
      <c r="C1401" s="54">
        <v>45961</v>
      </c>
      <c r="D1401" s="55">
        <v>52416329853</v>
      </c>
      <c r="E1401" s="55">
        <v>2108505384871</v>
      </c>
      <c r="F1401" s="56" t="s">
        <v>2387</v>
      </c>
      <c r="G1401" s="56" t="s">
        <v>2388</v>
      </c>
      <c r="H1401" s="56" t="s">
        <v>8</v>
      </c>
      <c r="I1401" s="55" t="s">
        <v>8</v>
      </c>
      <c r="J1401" s="57">
        <v>230.86</v>
      </c>
      <c r="K1401" s="56" t="s">
        <v>2389</v>
      </c>
      <c r="L1401" s="56" t="s">
        <v>2390</v>
      </c>
      <c r="M1401" s="55" t="s">
        <v>2391</v>
      </c>
      <c r="N1401" s="56" t="s">
        <v>2392</v>
      </c>
      <c r="O1401" s="53" t="s">
        <v>8</v>
      </c>
      <c r="P1401" s="56" t="s">
        <v>2842</v>
      </c>
      <c r="Q1401" s="57">
        <v>23800</v>
      </c>
      <c r="R1401" s="58" t="s">
        <v>8</v>
      </c>
      <c r="S1401" s="57" t="s">
        <v>8</v>
      </c>
      <c r="T1401" s="56" t="s">
        <v>2394</v>
      </c>
    </row>
    <row r="1402" spans="1:20">
      <c r="A1402" s="55">
        <v>131320133169</v>
      </c>
      <c r="B1402" s="53" t="s">
        <v>2386</v>
      </c>
      <c r="C1402" s="54">
        <v>45961</v>
      </c>
      <c r="D1402" s="55">
        <v>52416370690</v>
      </c>
      <c r="E1402" s="55">
        <v>2108506725421</v>
      </c>
      <c r="F1402" s="56" t="s">
        <v>2401</v>
      </c>
      <c r="G1402" s="56" t="s">
        <v>2388</v>
      </c>
      <c r="H1402" s="56" t="s">
        <v>8</v>
      </c>
      <c r="I1402" s="55" t="s">
        <v>8</v>
      </c>
      <c r="J1402" s="57">
        <v>1670.25</v>
      </c>
      <c r="K1402" s="56" t="s">
        <v>2389</v>
      </c>
      <c r="L1402" s="56" t="s">
        <v>2402</v>
      </c>
      <c r="M1402" s="55" t="s">
        <v>2391</v>
      </c>
      <c r="N1402" s="56" t="s">
        <v>2392</v>
      </c>
      <c r="O1402" s="53" t="s">
        <v>2055</v>
      </c>
      <c r="P1402" s="56" t="s">
        <v>2403</v>
      </c>
      <c r="Q1402" s="57">
        <v>42500</v>
      </c>
      <c r="R1402" s="58" t="s">
        <v>8</v>
      </c>
      <c r="S1402" s="57" t="s">
        <v>8</v>
      </c>
      <c r="T1402" s="56" t="s">
        <v>2394</v>
      </c>
    </row>
    <row r="1403" spans="1:20">
      <c r="A1403" s="55">
        <v>131319977785</v>
      </c>
      <c r="B1403" s="53" t="s">
        <v>2386</v>
      </c>
      <c r="C1403" s="54">
        <v>45961</v>
      </c>
      <c r="D1403" s="55">
        <v>52416377650</v>
      </c>
      <c r="E1403" s="55">
        <v>2108506501241</v>
      </c>
      <c r="F1403" s="56" t="s">
        <v>2387</v>
      </c>
      <c r="G1403" s="56" t="s">
        <v>2388</v>
      </c>
      <c r="H1403" s="56" t="s">
        <v>8</v>
      </c>
      <c r="I1403" s="55" t="s">
        <v>8</v>
      </c>
      <c r="J1403" s="57">
        <v>46.56</v>
      </c>
      <c r="K1403" s="56" t="s">
        <v>2389</v>
      </c>
      <c r="L1403" s="56" t="s">
        <v>2390</v>
      </c>
      <c r="M1403" s="55" t="s">
        <v>2391</v>
      </c>
      <c r="N1403" s="56" t="s">
        <v>2392</v>
      </c>
      <c r="O1403" s="53" t="s">
        <v>8</v>
      </c>
      <c r="P1403" s="56" t="s">
        <v>2955</v>
      </c>
      <c r="Q1403" s="57">
        <v>4800</v>
      </c>
      <c r="R1403" s="58" t="s">
        <v>8</v>
      </c>
      <c r="S1403" s="57" t="s">
        <v>8</v>
      </c>
      <c r="T1403" s="56" t="s">
        <v>2394</v>
      </c>
    </row>
    <row r="1404" spans="1:20">
      <c r="A1404" s="55">
        <v>131320310663</v>
      </c>
      <c r="B1404" s="53" t="s">
        <v>2386</v>
      </c>
      <c r="C1404" s="54">
        <v>45961</v>
      </c>
      <c r="D1404" s="55">
        <v>52416389434</v>
      </c>
      <c r="E1404" s="55">
        <v>2108507490637</v>
      </c>
      <c r="F1404" s="56" t="s">
        <v>2387</v>
      </c>
      <c r="G1404" s="56" t="s">
        <v>2388</v>
      </c>
      <c r="H1404" s="56" t="s">
        <v>8</v>
      </c>
      <c r="I1404" s="55" t="s">
        <v>8</v>
      </c>
      <c r="J1404" s="57">
        <v>1542.3</v>
      </c>
      <c r="K1404" s="56" t="s">
        <v>2389</v>
      </c>
      <c r="L1404" s="56" t="s">
        <v>2390</v>
      </c>
      <c r="M1404" s="55" t="s">
        <v>2391</v>
      </c>
      <c r="N1404" s="56" t="s">
        <v>2392</v>
      </c>
      <c r="O1404" s="53" t="s">
        <v>8</v>
      </c>
      <c r="P1404" s="56" t="s">
        <v>2956</v>
      </c>
      <c r="Q1404" s="57">
        <v>159000</v>
      </c>
      <c r="R1404" s="58" t="s">
        <v>8</v>
      </c>
      <c r="S1404" s="57" t="s">
        <v>8</v>
      </c>
      <c r="T1404" s="56" t="s">
        <v>2394</v>
      </c>
    </row>
    <row r="1405" spans="1:20">
      <c r="A1405" s="55">
        <v>131320327125</v>
      </c>
      <c r="B1405" s="53" t="s">
        <v>2386</v>
      </c>
      <c r="C1405" s="54">
        <v>45961</v>
      </c>
      <c r="D1405" s="55">
        <v>52416447043</v>
      </c>
      <c r="E1405" s="55">
        <v>2108600940830</v>
      </c>
      <c r="F1405" s="56" t="s">
        <v>2387</v>
      </c>
      <c r="G1405" s="56" t="s">
        <v>2388</v>
      </c>
      <c r="H1405" s="56" t="s">
        <v>8</v>
      </c>
      <c r="I1405" s="55" t="s">
        <v>8</v>
      </c>
      <c r="J1405" s="57">
        <v>85.36</v>
      </c>
      <c r="K1405" s="56" t="s">
        <v>2389</v>
      </c>
      <c r="L1405" s="56" t="s">
        <v>2390</v>
      </c>
      <c r="M1405" s="55" t="s">
        <v>2391</v>
      </c>
      <c r="N1405" s="56" t="s">
        <v>2392</v>
      </c>
      <c r="O1405" s="53" t="s">
        <v>8</v>
      </c>
      <c r="P1405" s="56" t="s">
        <v>2957</v>
      </c>
      <c r="Q1405" s="57">
        <v>8800</v>
      </c>
      <c r="R1405" s="58" t="s">
        <v>8</v>
      </c>
      <c r="S1405" s="57" t="s">
        <v>8</v>
      </c>
      <c r="T1405" s="56" t="s">
        <v>2394</v>
      </c>
    </row>
    <row r="1406" spans="1:20">
      <c r="A1406" s="55">
        <v>131917265204</v>
      </c>
      <c r="B1406" s="53" t="s">
        <v>2386</v>
      </c>
      <c r="C1406" s="54">
        <v>45961</v>
      </c>
      <c r="D1406" s="55">
        <v>52416533685</v>
      </c>
      <c r="E1406" s="55">
        <v>2108511713131</v>
      </c>
      <c r="F1406" s="56" t="s">
        <v>2387</v>
      </c>
      <c r="G1406" s="56" t="s">
        <v>2388</v>
      </c>
      <c r="H1406" s="56" t="s">
        <v>8</v>
      </c>
      <c r="I1406" s="55" t="s">
        <v>8</v>
      </c>
      <c r="J1406" s="57">
        <v>259.95999999999998</v>
      </c>
      <c r="K1406" s="56" t="s">
        <v>2389</v>
      </c>
      <c r="L1406" s="56" t="s">
        <v>2390</v>
      </c>
      <c r="M1406" s="55" t="s">
        <v>2391</v>
      </c>
      <c r="N1406" s="56" t="s">
        <v>2392</v>
      </c>
      <c r="O1406" s="53" t="s">
        <v>8</v>
      </c>
      <c r="P1406" s="56" t="s">
        <v>2958</v>
      </c>
      <c r="Q1406" s="57">
        <v>26800</v>
      </c>
      <c r="R1406" s="58" t="s">
        <v>8</v>
      </c>
      <c r="S1406" s="57" t="s">
        <v>8</v>
      </c>
      <c r="T1406" s="56" t="s">
        <v>2394</v>
      </c>
    </row>
    <row r="1407" spans="1:20">
      <c r="A1407" s="55">
        <v>131917283282</v>
      </c>
      <c r="B1407" s="53" t="s">
        <v>2386</v>
      </c>
      <c r="C1407" s="54">
        <v>45961</v>
      </c>
      <c r="D1407" s="55">
        <v>52416541334</v>
      </c>
      <c r="E1407" s="55">
        <v>2108512116483</v>
      </c>
      <c r="F1407" s="56" t="s">
        <v>2387</v>
      </c>
      <c r="G1407" s="56" t="s">
        <v>2388</v>
      </c>
      <c r="H1407" s="56" t="s">
        <v>8</v>
      </c>
      <c r="I1407" s="55" t="s">
        <v>8</v>
      </c>
      <c r="J1407" s="57">
        <v>77.599999999999994</v>
      </c>
      <c r="K1407" s="56" t="s">
        <v>2389</v>
      </c>
      <c r="L1407" s="56" t="s">
        <v>2390</v>
      </c>
      <c r="M1407" s="55" t="s">
        <v>2391</v>
      </c>
      <c r="N1407" s="56" t="s">
        <v>2392</v>
      </c>
      <c r="O1407" s="53" t="s">
        <v>8</v>
      </c>
      <c r="P1407" s="56" t="s">
        <v>2959</v>
      </c>
      <c r="Q1407" s="57">
        <v>8000</v>
      </c>
      <c r="R1407" s="58" t="s">
        <v>8</v>
      </c>
      <c r="S1407" s="57" t="s">
        <v>8</v>
      </c>
      <c r="T1407" s="56" t="s">
        <v>2394</v>
      </c>
    </row>
    <row r="1408" spans="1:20">
      <c r="A1408" s="55">
        <v>131320695005</v>
      </c>
      <c r="B1408" s="53" t="s">
        <v>2386</v>
      </c>
      <c r="C1408" s="54">
        <v>45961</v>
      </c>
      <c r="D1408" s="55">
        <v>52416575641</v>
      </c>
      <c r="E1408" s="55">
        <v>2108512656327</v>
      </c>
      <c r="F1408" s="56" t="s">
        <v>2387</v>
      </c>
      <c r="G1408" s="56" t="s">
        <v>2388</v>
      </c>
      <c r="H1408" s="56" t="s">
        <v>8</v>
      </c>
      <c r="I1408" s="55" t="s">
        <v>8</v>
      </c>
      <c r="J1408" s="57">
        <v>222.13</v>
      </c>
      <c r="K1408" s="56" t="s">
        <v>2389</v>
      </c>
      <c r="L1408" s="56" t="s">
        <v>2390</v>
      </c>
      <c r="M1408" s="55" t="s">
        <v>2391</v>
      </c>
      <c r="N1408" s="56" t="s">
        <v>2392</v>
      </c>
      <c r="O1408" s="53" t="s">
        <v>8</v>
      </c>
      <c r="P1408" s="56" t="s">
        <v>2960</v>
      </c>
      <c r="Q1408" s="57">
        <v>22900</v>
      </c>
      <c r="R1408" s="58" t="s">
        <v>8</v>
      </c>
      <c r="S1408" s="57" t="s">
        <v>8</v>
      </c>
      <c r="T1408" s="56" t="s">
        <v>2394</v>
      </c>
    </row>
    <row r="1409" spans="1:20">
      <c r="A1409" s="55">
        <v>131320643815</v>
      </c>
      <c r="B1409" s="53" t="s">
        <v>2386</v>
      </c>
      <c r="C1409" s="54">
        <v>45961</v>
      </c>
      <c r="D1409" s="55">
        <v>52416579141</v>
      </c>
      <c r="E1409" s="55">
        <v>2108605605928</v>
      </c>
      <c r="F1409" s="56" t="s">
        <v>2387</v>
      </c>
      <c r="G1409" s="56" t="s">
        <v>2388</v>
      </c>
      <c r="H1409" s="56" t="s">
        <v>8</v>
      </c>
      <c r="I1409" s="55" t="s">
        <v>8</v>
      </c>
      <c r="J1409" s="57">
        <v>438.44</v>
      </c>
      <c r="K1409" s="56" t="s">
        <v>2389</v>
      </c>
      <c r="L1409" s="56" t="s">
        <v>2390</v>
      </c>
      <c r="M1409" s="55" t="s">
        <v>2391</v>
      </c>
      <c r="N1409" s="56" t="s">
        <v>2392</v>
      </c>
      <c r="O1409" s="53" t="s">
        <v>8</v>
      </c>
      <c r="P1409" s="56" t="s">
        <v>2927</v>
      </c>
      <c r="Q1409" s="57">
        <v>45200</v>
      </c>
      <c r="R1409" s="58" t="s">
        <v>8</v>
      </c>
      <c r="S1409" s="57" t="s">
        <v>8</v>
      </c>
      <c r="T1409" s="56" t="s">
        <v>2394</v>
      </c>
    </row>
    <row r="1410" spans="1:20">
      <c r="A1410" s="55">
        <v>131917566708</v>
      </c>
      <c r="B1410" s="53" t="s">
        <v>2386</v>
      </c>
      <c r="C1410" s="54">
        <v>45961</v>
      </c>
      <c r="D1410" s="55">
        <v>52416619563</v>
      </c>
      <c r="E1410" s="55">
        <v>2108514051185</v>
      </c>
      <c r="F1410" s="56" t="s">
        <v>2401</v>
      </c>
      <c r="G1410" s="56" t="s">
        <v>2388</v>
      </c>
      <c r="H1410" s="56" t="s">
        <v>8</v>
      </c>
      <c r="I1410" s="55" t="s">
        <v>8</v>
      </c>
      <c r="J1410" s="57">
        <v>188.64</v>
      </c>
      <c r="K1410" s="56" t="s">
        <v>2389</v>
      </c>
      <c r="L1410" s="56" t="s">
        <v>2402</v>
      </c>
      <c r="M1410" s="55" t="s">
        <v>2391</v>
      </c>
      <c r="N1410" s="56" t="s">
        <v>2392</v>
      </c>
      <c r="O1410" s="53" t="s">
        <v>2055</v>
      </c>
      <c r="P1410" s="56" t="s">
        <v>2403</v>
      </c>
      <c r="Q1410" s="57">
        <v>4800</v>
      </c>
      <c r="R1410" s="58" t="s">
        <v>8</v>
      </c>
      <c r="S1410" s="57" t="s">
        <v>8</v>
      </c>
      <c r="T1410" s="56" t="s">
        <v>2394</v>
      </c>
    </row>
    <row r="1411" spans="1:20">
      <c r="A1411" s="55">
        <v>131320786849</v>
      </c>
      <c r="B1411" s="53" t="s">
        <v>2386</v>
      </c>
      <c r="C1411" s="54">
        <v>45961</v>
      </c>
      <c r="D1411" s="55">
        <v>52416625326</v>
      </c>
      <c r="E1411" s="55">
        <v>2108514037733</v>
      </c>
      <c r="F1411" s="56" t="s">
        <v>2401</v>
      </c>
      <c r="G1411" s="56" t="s">
        <v>2388</v>
      </c>
      <c r="H1411" s="56" t="s">
        <v>8</v>
      </c>
      <c r="I1411" s="55" t="s">
        <v>8</v>
      </c>
      <c r="J1411" s="57">
        <v>377.28</v>
      </c>
      <c r="K1411" s="56" t="s">
        <v>2389</v>
      </c>
      <c r="L1411" s="56" t="s">
        <v>2402</v>
      </c>
      <c r="M1411" s="55" t="s">
        <v>2391</v>
      </c>
      <c r="N1411" s="56" t="s">
        <v>2392</v>
      </c>
      <c r="O1411" s="53" t="s">
        <v>2055</v>
      </c>
      <c r="P1411" s="56" t="s">
        <v>2403</v>
      </c>
      <c r="Q1411" s="57">
        <v>9600</v>
      </c>
      <c r="R1411" s="58" t="s">
        <v>8</v>
      </c>
      <c r="S1411" s="57" t="s">
        <v>8</v>
      </c>
      <c r="T1411" s="56" t="s">
        <v>2394</v>
      </c>
    </row>
    <row r="1412" spans="1:20">
      <c r="A1412" s="55">
        <v>131917577150</v>
      </c>
      <c r="B1412" s="53" t="s">
        <v>2386</v>
      </c>
      <c r="C1412" s="54">
        <v>45961</v>
      </c>
      <c r="D1412" s="55">
        <v>52416665478</v>
      </c>
      <c r="E1412" s="55">
        <v>2108607537264</v>
      </c>
      <c r="F1412" s="56" t="s">
        <v>2387</v>
      </c>
      <c r="G1412" s="56" t="s">
        <v>2388</v>
      </c>
      <c r="H1412" s="56" t="s">
        <v>8</v>
      </c>
      <c r="I1412" s="55" t="s">
        <v>8</v>
      </c>
      <c r="J1412" s="57">
        <v>40.74</v>
      </c>
      <c r="K1412" s="56" t="s">
        <v>2389</v>
      </c>
      <c r="L1412" s="56" t="s">
        <v>2390</v>
      </c>
      <c r="M1412" s="55" t="s">
        <v>2391</v>
      </c>
      <c r="N1412" s="56" t="s">
        <v>2392</v>
      </c>
      <c r="O1412" s="53" t="s">
        <v>8</v>
      </c>
      <c r="P1412" s="56" t="s">
        <v>2961</v>
      </c>
      <c r="Q1412" s="57">
        <v>4200</v>
      </c>
      <c r="R1412" s="58" t="s">
        <v>8</v>
      </c>
      <c r="S1412" s="57" t="s">
        <v>8</v>
      </c>
      <c r="T1412" s="56" t="s">
        <v>2394</v>
      </c>
    </row>
    <row r="1413" spans="1:20">
      <c r="A1413" s="55">
        <v>131320829761</v>
      </c>
      <c r="B1413" s="53" t="s">
        <v>2386</v>
      </c>
      <c r="C1413" s="54">
        <v>45961</v>
      </c>
      <c r="D1413" s="55">
        <v>52416669568</v>
      </c>
      <c r="E1413" s="55">
        <v>2108515662005</v>
      </c>
      <c r="F1413" s="56" t="s">
        <v>2387</v>
      </c>
      <c r="G1413" s="56" t="s">
        <v>2388</v>
      </c>
      <c r="H1413" s="56" t="s">
        <v>8</v>
      </c>
      <c r="I1413" s="55" t="s">
        <v>8</v>
      </c>
      <c r="J1413" s="57">
        <v>137.74</v>
      </c>
      <c r="K1413" s="56" t="s">
        <v>2389</v>
      </c>
      <c r="L1413" s="56" t="s">
        <v>2390</v>
      </c>
      <c r="M1413" s="55" t="s">
        <v>2391</v>
      </c>
      <c r="N1413" s="56" t="s">
        <v>2392</v>
      </c>
      <c r="O1413" s="53" t="s">
        <v>8</v>
      </c>
      <c r="P1413" s="56" t="s">
        <v>2962</v>
      </c>
      <c r="Q1413" s="57">
        <v>14200</v>
      </c>
      <c r="R1413" s="58" t="s">
        <v>8</v>
      </c>
      <c r="S1413" s="57" t="s">
        <v>8</v>
      </c>
      <c r="T1413" s="56" t="s">
        <v>2394</v>
      </c>
    </row>
    <row r="1414" spans="1:20">
      <c r="A1414" s="55">
        <v>131917714840</v>
      </c>
      <c r="B1414" s="53" t="s">
        <v>2386</v>
      </c>
      <c r="C1414" s="54">
        <v>45961</v>
      </c>
      <c r="D1414" s="55">
        <v>52416682628</v>
      </c>
      <c r="E1414" s="55">
        <v>2108608497794</v>
      </c>
      <c r="F1414" s="56" t="s">
        <v>2387</v>
      </c>
      <c r="G1414" s="56" t="s">
        <v>2388</v>
      </c>
      <c r="H1414" s="56" t="s">
        <v>8</v>
      </c>
      <c r="I1414" s="55" t="s">
        <v>8</v>
      </c>
      <c r="J1414" s="57">
        <v>240.56</v>
      </c>
      <c r="K1414" s="56" t="s">
        <v>2389</v>
      </c>
      <c r="L1414" s="56" t="s">
        <v>2390</v>
      </c>
      <c r="M1414" s="55" t="s">
        <v>2391</v>
      </c>
      <c r="N1414" s="56" t="s">
        <v>2392</v>
      </c>
      <c r="O1414" s="53" t="s">
        <v>8</v>
      </c>
      <c r="P1414" s="56" t="s">
        <v>2963</v>
      </c>
      <c r="Q1414" s="57">
        <v>24800</v>
      </c>
      <c r="R1414" s="58" t="s">
        <v>8</v>
      </c>
      <c r="S1414" s="57" t="s">
        <v>8</v>
      </c>
      <c r="T1414" s="56" t="s">
        <v>2394</v>
      </c>
    </row>
    <row r="1415" spans="1:20">
      <c r="A1415" s="55">
        <v>131917669410</v>
      </c>
      <c r="B1415" s="53" t="s">
        <v>2386</v>
      </c>
      <c r="C1415" s="54">
        <v>45961</v>
      </c>
      <c r="D1415" s="55">
        <v>52416717483</v>
      </c>
      <c r="E1415" s="55">
        <v>2108516846875</v>
      </c>
      <c r="F1415" s="56" t="s">
        <v>2387</v>
      </c>
      <c r="G1415" s="56" t="s">
        <v>2388</v>
      </c>
      <c r="H1415" s="56" t="s">
        <v>8</v>
      </c>
      <c r="I1415" s="55" t="s">
        <v>8</v>
      </c>
      <c r="J1415" s="57">
        <v>44.62</v>
      </c>
      <c r="K1415" s="56" t="s">
        <v>2389</v>
      </c>
      <c r="L1415" s="56" t="s">
        <v>2390</v>
      </c>
      <c r="M1415" s="55" t="s">
        <v>2391</v>
      </c>
      <c r="N1415" s="56" t="s">
        <v>2392</v>
      </c>
      <c r="O1415" s="53" t="s">
        <v>8</v>
      </c>
      <c r="P1415" s="56" t="s">
        <v>2854</v>
      </c>
      <c r="Q1415" s="57">
        <v>4600</v>
      </c>
      <c r="R1415" s="58" t="s">
        <v>8</v>
      </c>
      <c r="S1415" s="57" t="s">
        <v>8</v>
      </c>
      <c r="T1415" s="56" t="s">
        <v>2394</v>
      </c>
    </row>
    <row r="1416" spans="1:20">
      <c r="A1416" s="55">
        <v>131321198139</v>
      </c>
      <c r="B1416" s="53" t="s">
        <v>2386</v>
      </c>
      <c r="C1416" s="54">
        <v>45961</v>
      </c>
      <c r="D1416" s="55">
        <v>52416722456</v>
      </c>
      <c r="E1416" s="55">
        <v>2108517631649</v>
      </c>
      <c r="F1416" s="56" t="s">
        <v>2387</v>
      </c>
      <c r="G1416" s="56" t="s">
        <v>2388</v>
      </c>
      <c r="H1416" s="56" t="s">
        <v>8</v>
      </c>
      <c r="I1416" s="55" t="s">
        <v>8</v>
      </c>
      <c r="J1416" s="57">
        <v>46.56</v>
      </c>
      <c r="K1416" s="56" t="s">
        <v>2389</v>
      </c>
      <c r="L1416" s="56" t="s">
        <v>2390</v>
      </c>
      <c r="M1416" s="55" t="s">
        <v>2391</v>
      </c>
      <c r="N1416" s="56" t="s">
        <v>2392</v>
      </c>
      <c r="O1416" s="53" t="s">
        <v>8</v>
      </c>
      <c r="P1416" s="56" t="s">
        <v>2709</v>
      </c>
      <c r="Q1416" s="57">
        <v>4800</v>
      </c>
      <c r="R1416" s="58" t="s">
        <v>8</v>
      </c>
      <c r="S1416" s="57" t="s">
        <v>8</v>
      </c>
      <c r="T1416" s="56" t="s">
        <v>2394</v>
      </c>
    </row>
    <row r="1417" spans="1:20">
      <c r="A1417" s="55">
        <v>131918000406</v>
      </c>
      <c r="B1417" s="53" t="s">
        <v>2386</v>
      </c>
      <c r="C1417" s="54">
        <v>45961</v>
      </c>
      <c r="D1417" s="55">
        <v>52416755020</v>
      </c>
      <c r="E1417" s="55">
        <v>2108610498220</v>
      </c>
      <c r="F1417" s="56" t="s">
        <v>2387</v>
      </c>
      <c r="G1417" s="56" t="s">
        <v>2388</v>
      </c>
      <c r="H1417" s="56" t="s">
        <v>8</v>
      </c>
      <c r="I1417" s="55" t="s">
        <v>8</v>
      </c>
      <c r="J1417" s="57">
        <v>252.2</v>
      </c>
      <c r="K1417" s="56" t="s">
        <v>2389</v>
      </c>
      <c r="L1417" s="56" t="s">
        <v>2390</v>
      </c>
      <c r="M1417" s="55" t="s">
        <v>2391</v>
      </c>
      <c r="N1417" s="56" t="s">
        <v>2392</v>
      </c>
      <c r="O1417" s="53" t="s">
        <v>8</v>
      </c>
      <c r="P1417" s="56" t="s">
        <v>2964</v>
      </c>
      <c r="Q1417" s="57">
        <v>26000</v>
      </c>
      <c r="R1417" s="58" t="s">
        <v>8</v>
      </c>
      <c r="S1417" s="57" t="s">
        <v>8</v>
      </c>
      <c r="T1417" s="56" t="s">
        <v>2394</v>
      </c>
    </row>
    <row r="1418" spans="1:20">
      <c r="A1418" s="55">
        <v>131426444169</v>
      </c>
      <c r="B1418" s="53" t="s">
        <v>2386</v>
      </c>
      <c r="C1418" s="54">
        <v>45961</v>
      </c>
      <c r="D1418" s="55">
        <v>52454641539</v>
      </c>
      <c r="E1418" s="55">
        <v>2109215626091</v>
      </c>
      <c r="F1418" s="56" t="s">
        <v>2387</v>
      </c>
      <c r="G1418" s="56" t="s">
        <v>2388</v>
      </c>
      <c r="H1418" s="56" t="s">
        <v>8</v>
      </c>
      <c r="I1418" s="55" t="s">
        <v>8</v>
      </c>
      <c r="J1418" s="57">
        <v>93.12</v>
      </c>
      <c r="K1418" s="56" t="s">
        <v>2389</v>
      </c>
      <c r="L1418" s="56" t="s">
        <v>2390</v>
      </c>
      <c r="M1418" s="55" t="s">
        <v>2391</v>
      </c>
      <c r="N1418" s="56" t="s">
        <v>2392</v>
      </c>
      <c r="O1418" s="53" t="s">
        <v>8</v>
      </c>
      <c r="P1418" s="56" t="s">
        <v>2965</v>
      </c>
      <c r="Q1418" s="57">
        <v>9600</v>
      </c>
      <c r="R1418" s="58" t="s">
        <v>8</v>
      </c>
      <c r="S1418" s="57" t="s">
        <v>8</v>
      </c>
      <c r="T1418" s="56" t="s">
        <v>2394</v>
      </c>
    </row>
    <row r="1419" spans="1:20">
      <c r="A1419" s="55">
        <v>132024371420</v>
      </c>
      <c r="B1419" s="53" t="s">
        <v>2386</v>
      </c>
      <c r="C1419" s="54">
        <v>45961</v>
      </c>
      <c r="D1419" s="55">
        <v>52454817738</v>
      </c>
      <c r="E1419" s="55">
        <v>2109218744689</v>
      </c>
      <c r="F1419" s="56" t="s">
        <v>2387</v>
      </c>
      <c r="G1419" s="56" t="s">
        <v>2388</v>
      </c>
      <c r="H1419" s="56" t="s">
        <v>8</v>
      </c>
      <c r="I1419" s="55" t="s">
        <v>8</v>
      </c>
      <c r="J1419" s="57">
        <v>93.12</v>
      </c>
      <c r="K1419" s="56" t="s">
        <v>2389</v>
      </c>
      <c r="L1419" s="56" t="s">
        <v>2390</v>
      </c>
      <c r="M1419" s="55" t="s">
        <v>2391</v>
      </c>
      <c r="N1419" s="56" t="s">
        <v>2392</v>
      </c>
      <c r="O1419" s="53" t="s">
        <v>8</v>
      </c>
      <c r="P1419" s="56" t="s">
        <v>2582</v>
      </c>
      <c r="Q1419" s="57">
        <v>9600</v>
      </c>
      <c r="R1419" s="58" t="s">
        <v>8</v>
      </c>
      <c r="S1419" s="57" t="s">
        <v>8</v>
      </c>
      <c r="T1419" s="56" t="s">
        <v>2394</v>
      </c>
    </row>
    <row r="1420" spans="1:20">
      <c r="A1420" s="55">
        <v>132026588886</v>
      </c>
      <c r="B1420" s="53" t="s">
        <v>2386</v>
      </c>
      <c r="C1420" s="54">
        <v>45961</v>
      </c>
      <c r="D1420" s="55">
        <v>52455629282</v>
      </c>
      <c r="E1420" s="55">
        <v>2109325926150</v>
      </c>
      <c r="F1420" s="56" t="s">
        <v>2387</v>
      </c>
      <c r="G1420" s="56" t="s">
        <v>2388</v>
      </c>
      <c r="H1420" s="56" t="s">
        <v>8</v>
      </c>
      <c r="I1420" s="55" t="s">
        <v>8</v>
      </c>
      <c r="J1420" s="57">
        <v>85.36</v>
      </c>
      <c r="K1420" s="56" t="s">
        <v>2389</v>
      </c>
      <c r="L1420" s="56" t="s">
        <v>2390</v>
      </c>
      <c r="M1420" s="55" t="s">
        <v>2391</v>
      </c>
      <c r="N1420" s="56" t="s">
        <v>2392</v>
      </c>
      <c r="O1420" s="53" t="s">
        <v>8</v>
      </c>
      <c r="P1420" s="56" t="s">
        <v>2966</v>
      </c>
      <c r="Q1420" s="57">
        <v>8800</v>
      </c>
      <c r="R1420" s="58" t="s">
        <v>8</v>
      </c>
      <c r="S1420" s="57" t="s">
        <v>8</v>
      </c>
      <c r="T1420" s="56" t="s">
        <v>2394</v>
      </c>
    </row>
    <row r="1421" spans="1:20">
      <c r="A1421" s="55">
        <v>131431493777</v>
      </c>
      <c r="B1421" s="53" t="s">
        <v>2386</v>
      </c>
      <c r="C1421" s="54">
        <v>45961</v>
      </c>
      <c r="D1421" s="55">
        <v>52456458726</v>
      </c>
      <c r="E1421" s="55">
        <v>2109246914655</v>
      </c>
      <c r="F1421" s="56" t="s">
        <v>2387</v>
      </c>
      <c r="G1421" s="56" t="s">
        <v>2388</v>
      </c>
      <c r="H1421" s="56" t="s">
        <v>8</v>
      </c>
      <c r="I1421" s="55" t="s">
        <v>8</v>
      </c>
      <c r="J1421" s="57">
        <v>114.46</v>
      </c>
      <c r="K1421" s="56" t="s">
        <v>2389</v>
      </c>
      <c r="L1421" s="56" t="s">
        <v>2390</v>
      </c>
      <c r="M1421" s="55" t="s">
        <v>2391</v>
      </c>
      <c r="N1421" s="56" t="s">
        <v>2392</v>
      </c>
      <c r="O1421" s="53" t="s">
        <v>8</v>
      </c>
      <c r="P1421" s="56" t="s">
        <v>2967</v>
      </c>
      <c r="Q1421" s="57">
        <v>11800</v>
      </c>
      <c r="R1421" s="58" t="s">
        <v>8</v>
      </c>
      <c r="S1421" s="57" t="s">
        <v>8</v>
      </c>
      <c r="T1421" s="56" t="s">
        <v>2394</v>
      </c>
    </row>
    <row r="1422" spans="1:20">
      <c r="A1422" s="55">
        <v>132032843916</v>
      </c>
      <c r="B1422" s="53" t="s">
        <v>2386</v>
      </c>
      <c r="C1422" s="54">
        <v>45961</v>
      </c>
      <c r="D1422" s="55">
        <v>52457868377</v>
      </c>
      <c r="E1422" s="55">
        <v>2109366752588</v>
      </c>
      <c r="F1422" s="56" t="s">
        <v>2401</v>
      </c>
      <c r="G1422" s="56" t="s">
        <v>2388</v>
      </c>
      <c r="H1422" s="56" t="s">
        <v>8</v>
      </c>
      <c r="I1422" s="55" t="s">
        <v>8</v>
      </c>
      <c r="J1422" s="57">
        <v>165.06</v>
      </c>
      <c r="K1422" s="56" t="s">
        <v>2389</v>
      </c>
      <c r="L1422" s="56" t="s">
        <v>2402</v>
      </c>
      <c r="M1422" s="55" t="s">
        <v>2391</v>
      </c>
      <c r="N1422" s="56" t="s">
        <v>2392</v>
      </c>
      <c r="O1422" s="53" t="s">
        <v>2055</v>
      </c>
      <c r="P1422" s="56" t="s">
        <v>2403</v>
      </c>
      <c r="Q1422" s="57">
        <v>4200</v>
      </c>
      <c r="R1422" s="58" t="s">
        <v>8</v>
      </c>
      <c r="S1422" s="57" t="s">
        <v>8</v>
      </c>
      <c r="T1422" s="56" t="s">
        <v>2394</v>
      </c>
    </row>
    <row r="1423" spans="1:20">
      <c r="A1423" s="55">
        <v>132033280404</v>
      </c>
      <c r="B1423" s="53" t="s">
        <v>2386</v>
      </c>
      <c r="C1423" s="54">
        <v>45961</v>
      </c>
      <c r="D1423" s="55">
        <v>52457955566</v>
      </c>
      <c r="E1423" s="55">
        <v>2109274786771</v>
      </c>
      <c r="F1423" s="56" t="s">
        <v>2387</v>
      </c>
      <c r="G1423" s="56" t="s">
        <v>2388</v>
      </c>
      <c r="H1423" s="56" t="s">
        <v>8</v>
      </c>
      <c r="I1423" s="55" t="s">
        <v>8</v>
      </c>
      <c r="J1423" s="57">
        <v>193.03</v>
      </c>
      <c r="K1423" s="56" t="s">
        <v>2389</v>
      </c>
      <c r="L1423" s="56" t="s">
        <v>2390</v>
      </c>
      <c r="M1423" s="55" t="s">
        <v>2391</v>
      </c>
      <c r="N1423" s="56" t="s">
        <v>2392</v>
      </c>
      <c r="O1423" s="53" t="s">
        <v>8</v>
      </c>
      <c r="P1423" s="56" t="s">
        <v>2968</v>
      </c>
      <c r="Q1423" s="57">
        <v>19900</v>
      </c>
      <c r="R1423" s="58" t="s">
        <v>8</v>
      </c>
      <c r="S1423" s="57" t="s">
        <v>8</v>
      </c>
      <c r="T1423" s="56" t="s">
        <v>2394</v>
      </c>
    </row>
    <row r="1424" spans="1:20">
      <c r="A1424" s="55">
        <v>131437180631</v>
      </c>
      <c r="B1424" s="53" t="s">
        <v>2386</v>
      </c>
      <c r="C1424" s="54">
        <v>45961</v>
      </c>
      <c r="D1424" s="55">
        <v>52458407479</v>
      </c>
      <c r="E1424" s="55">
        <v>2109283819225</v>
      </c>
      <c r="F1424" s="56" t="s">
        <v>2387</v>
      </c>
      <c r="G1424" s="56" t="s">
        <v>2388</v>
      </c>
      <c r="H1424" s="56" t="s">
        <v>8</v>
      </c>
      <c r="I1424" s="55" t="s">
        <v>8</v>
      </c>
      <c r="J1424" s="57">
        <v>93.12</v>
      </c>
      <c r="K1424" s="56" t="s">
        <v>2389</v>
      </c>
      <c r="L1424" s="56" t="s">
        <v>2390</v>
      </c>
      <c r="M1424" s="55" t="s">
        <v>2391</v>
      </c>
      <c r="N1424" s="56" t="s">
        <v>2392</v>
      </c>
      <c r="O1424" s="53" t="s">
        <v>8</v>
      </c>
      <c r="P1424" s="56" t="s">
        <v>2590</v>
      </c>
      <c r="Q1424" s="57">
        <v>9600</v>
      </c>
      <c r="R1424" s="58" t="s">
        <v>8</v>
      </c>
      <c r="S1424" s="57" t="s">
        <v>8</v>
      </c>
      <c r="T1424" s="56" t="s">
        <v>2394</v>
      </c>
    </row>
    <row r="1425" spans="1:20">
      <c r="A1425" s="55">
        <v>132035156628</v>
      </c>
      <c r="B1425" s="53" t="s">
        <v>2386</v>
      </c>
      <c r="C1425" s="54">
        <v>45961</v>
      </c>
      <c r="D1425" s="55">
        <v>52458629927</v>
      </c>
      <c r="E1425" s="55">
        <v>2109381707530</v>
      </c>
      <c r="F1425" s="56" t="s">
        <v>2401</v>
      </c>
      <c r="G1425" s="56" t="s">
        <v>2388</v>
      </c>
      <c r="H1425" s="56" t="s">
        <v>8</v>
      </c>
      <c r="I1425" s="55" t="s">
        <v>8</v>
      </c>
      <c r="J1425" s="57">
        <v>377.28</v>
      </c>
      <c r="K1425" s="56" t="s">
        <v>2389</v>
      </c>
      <c r="L1425" s="56" t="s">
        <v>2402</v>
      </c>
      <c r="M1425" s="55" t="s">
        <v>2391</v>
      </c>
      <c r="N1425" s="56" t="s">
        <v>2392</v>
      </c>
      <c r="O1425" s="53" t="s">
        <v>2055</v>
      </c>
      <c r="P1425" s="56" t="s">
        <v>2403</v>
      </c>
      <c r="Q1425" s="57">
        <v>9600</v>
      </c>
      <c r="R1425" s="58" t="s">
        <v>8</v>
      </c>
      <c r="S1425" s="57" t="s">
        <v>8</v>
      </c>
      <c r="T1425" s="56" t="s">
        <v>2394</v>
      </c>
    </row>
    <row r="1426" spans="1:20">
      <c r="A1426" s="55">
        <v>131438131109</v>
      </c>
      <c r="B1426" s="53" t="s">
        <v>2386</v>
      </c>
      <c r="C1426" s="54">
        <v>45961</v>
      </c>
      <c r="D1426" s="55">
        <v>52458739407</v>
      </c>
      <c r="E1426" s="55">
        <v>2109290694257</v>
      </c>
      <c r="F1426" s="56" t="s">
        <v>2387</v>
      </c>
      <c r="G1426" s="56" t="s">
        <v>2388</v>
      </c>
      <c r="H1426" s="56" t="s">
        <v>8</v>
      </c>
      <c r="I1426" s="55" t="s">
        <v>8</v>
      </c>
      <c r="J1426" s="57">
        <v>93.12</v>
      </c>
      <c r="K1426" s="56" t="s">
        <v>2389</v>
      </c>
      <c r="L1426" s="56" t="s">
        <v>2390</v>
      </c>
      <c r="M1426" s="55" t="s">
        <v>2391</v>
      </c>
      <c r="N1426" s="56" t="s">
        <v>2392</v>
      </c>
      <c r="O1426" s="53" t="s">
        <v>8</v>
      </c>
      <c r="P1426" s="56" t="s">
        <v>2969</v>
      </c>
      <c r="Q1426" s="57">
        <v>9600</v>
      </c>
      <c r="R1426" s="58" t="s">
        <v>8</v>
      </c>
      <c r="S1426" s="57" t="s">
        <v>8</v>
      </c>
      <c r="T1426" s="56" t="s">
        <v>2394</v>
      </c>
    </row>
    <row r="1427" spans="1:20">
      <c r="A1427" s="55">
        <v>132035989400</v>
      </c>
      <c r="B1427" s="53" t="s">
        <v>2386</v>
      </c>
      <c r="C1427" s="54">
        <v>45961</v>
      </c>
      <c r="D1427" s="55">
        <v>52458929428</v>
      </c>
      <c r="E1427" s="55">
        <v>2109387894942</v>
      </c>
      <c r="F1427" s="56" t="s">
        <v>2411</v>
      </c>
      <c r="G1427" s="56" t="s">
        <v>2388</v>
      </c>
      <c r="H1427" s="56" t="s">
        <v>8</v>
      </c>
      <c r="I1427" s="55" t="s">
        <v>8</v>
      </c>
      <c r="J1427" s="57">
        <v>93.12</v>
      </c>
      <c r="K1427" s="56" t="s">
        <v>2389</v>
      </c>
      <c r="L1427" s="56" t="s">
        <v>2390</v>
      </c>
      <c r="M1427" s="55" t="s">
        <v>2391</v>
      </c>
      <c r="N1427" s="56" t="s">
        <v>2392</v>
      </c>
      <c r="O1427" s="53" t="s">
        <v>8</v>
      </c>
      <c r="P1427" s="56" t="s">
        <v>2412</v>
      </c>
      <c r="Q1427" s="57">
        <v>9600</v>
      </c>
      <c r="R1427" s="58" t="s">
        <v>8</v>
      </c>
      <c r="S1427" s="57" t="s">
        <v>8</v>
      </c>
      <c r="T1427" s="56" t="s">
        <v>8</v>
      </c>
    </row>
    <row r="1428" spans="1:20">
      <c r="A1428" s="55">
        <v>131440599777</v>
      </c>
      <c r="B1428" s="53" t="s">
        <v>2386</v>
      </c>
      <c r="C1428" s="54">
        <v>45961</v>
      </c>
      <c r="D1428" s="55">
        <v>52459578386</v>
      </c>
      <c r="E1428" s="55">
        <v>2109402010604</v>
      </c>
      <c r="F1428" s="56" t="s">
        <v>2401</v>
      </c>
      <c r="G1428" s="56" t="s">
        <v>2388</v>
      </c>
      <c r="H1428" s="56" t="s">
        <v>8</v>
      </c>
      <c r="I1428" s="55" t="s">
        <v>8</v>
      </c>
      <c r="J1428" s="57">
        <v>4185.5</v>
      </c>
      <c r="K1428" s="56" t="s">
        <v>2389</v>
      </c>
      <c r="L1428" s="56" t="s">
        <v>2402</v>
      </c>
      <c r="M1428" s="55" t="s">
        <v>2391</v>
      </c>
      <c r="N1428" s="56" t="s">
        <v>2392</v>
      </c>
      <c r="O1428" s="53" t="s">
        <v>2055</v>
      </c>
      <c r="P1428" s="56" t="s">
        <v>2403</v>
      </c>
      <c r="Q1428" s="57">
        <v>55000</v>
      </c>
      <c r="R1428" s="58" t="s">
        <v>8</v>
      </c>
      <c r="S1428" s="57" t="s">
        <v>8</v>
      </c>
      <c r="T1428" s="56" t="s">
        <v>2394</v>
      </c>
    </row>
    <row r="1429" spans="1:20">
      <c r="A1429" s="55">
        <v>131440703545</v>
      </c>
      <c r="B1429" s="53" t="s">
        <v>2386</v>
      </c>
      <c r="C1429" s="54">
        <v>45961</v>
      </c>
      <c r="D1429" s="55">
        <v>52459599358</v>
      </c>
      <c r="E1429" s="55">
        <v>2109308706465</v>
      </c>
      <c r="F1429" s="56" t="s">
        <v>2387</v>
      </c>
      <c r="G1429" s="56" t="s">
        <v>2388</v>
      </c>
      <c r="H1429" s="56" t="s">
        <v>8</v>
      </c>
      <c r="I1429" s="55" t="s">
        <v>8</v>
      </c>
      <c r="J1429" s="57">
        <v>386.06</v>
      </c>
      <c r="K1429" s="56" t="s">
        <v>2389</v>
      </c>
      <c r="L1429" s="56" t="s">
        <v>2390</v>
      </c>
      <c r="M1429" s="55" t="s">
        <v>2391</v>
      </c>
      <c r="N1429" s="56" t="s">
        <v>2392</v>
      </c>
      <c r="O1429" s="53" t="s">
        <v>8</v>
      </c>
      <c r="P1429" s="56" t="s">
        <v>2970</v>
      </c>
      <c r="Q1429" s="57">
        <v>39800</v>
      </c>
      <c r="R1429" s="58" t="s">
        <v>8</v>
      </c>
      <c r="S1429" s="57" t="s">
        <v>8</v>
      </c>
      <c r="T1429" s="56" t="s">
        <v>2394</v>
      </c>
    </row>
    <row r="1430" spans="1:20">
      <c r="A1430" s="55">
        <v>132038856812</v>
      </c>
      <c r="B1430" s="53" t="s">
        <v>2386</v>
      </c>
      <c r="C1430" s="54">
        <v>45961</v>
      </c>
      <c r="D1430" s="55">
        <v>52459857435</v>
      </c>
      <c r="E1430" s="55">
        <v>2109407685944</v>
      </c>
      <c r="F1430" s="56" t="s">
        <v>2401</v>
      </c>
      <c r="G1430" s="56" t="s">
        <v>2388</v>
      </c>
      <c r="H1430" s="56" t="s">
        <v>8</v>
      </c>
      <c r="I1430" s="55" t="s">
        <v>8</v>
      </c>
      <c r="J1430" s="57">
        <v>3295.13</v>
      </c>
      <c r="K1430" s="56" t="s">
        <v>2389</v>
      </c>
      <c r="L1430" s="56" t="s">
        <v>2402</v>
      </c>
      <c r="M1430" s="55" t="s">
        <v>2391</v>
      </c>
      <c r="N1430" s="56" t="s">
        <v>2392</v>
      </c>
      <c r="O1430" s="53" t="s">
        <v>2055</v>
      </c>
      <c r="P1430" s="56" t="s">
        <v>2403</v>
      </c>
      <c r="Q1430" s="57">
        <v>43300</v>
      </c>
      <c r="R1430" s="58" t="s">
        <v>8</v>
      </c>
      <c r="S1430" s="57" t="s">
        <v>8</v>
      </c>
      <c r="T1430" s="56" t="s">
        <v>2394</v>
      </c>
    </row>
    <row r="1431" spans="1:20">
      <c r="A1431" s="55">
        <v>131442369167</v>
      </c>
      <c r="B1431" s="53" t="s">
        <v>2386</v>
      </c>
      <c r="C1431" s="54">
        <v>45961</v>
      </c>
      <c r="D1431" s="55">
        <v>52460185998</v>
      </c>
      <c r="E1431" s="55">
        <v>2109320912681</v>
      </c>
      <c r="F1431" s="56" t="s">
        <v>2387</v>
      </c>
      <c r="G1431" s="56" t="s">
        <v>2388</v>
      </c>
      <c r="H1431" s="56" t="s">
        <v>8</v>
      </c>
      <c r="I1431" s="55" t="s">
        <v>8</v>
      </c>
      <c r="J1431" s="57">
        <v>322.04000000000002</v>
      </c>
      <c r="K1431" s="56" t="s">
        <v>2389</v>
      </c>
      <c r="L1431" s="56" t="s">
        <v>2390</v>
      </c>
      <c r="M1431" s="55" t="s">
        <v>2391</v>
      </c>
      <c r="N1431" s="56" t="s">
        <v>2392</v>
      </c>
      <c r="O1431" s="53" t="s">
        <v>8</v>
      </c>
      <c r="P1431" s="56" t="s">
        <v>2768</v>
      </c>
      <c r="Q1431" s="57">
        <v>33200</v>
      </c>
      <c r="R1431" s="58" t="s">
        <v>8</v>
      </c>
      <c r="S1431" s="57" t="s">
        <v>8</v>
      </c>
      <c r="T1431" s="56" t="s">
        <v>2394</v>
      </c>
    </row>
    <row r="1432" spans="1:20">
      <c r="A1432" s="55">
        <v>132040086204</v>
      </c>
      <c r="B1432" s="53" t="s">
        <v>2386</v>
      </c>
      <c r="C1432" s="54">
        <v>45961</v>
      </c>
      <c r="D1432" s="55">
        <v>52460277424</v>
      </c>
      <c r="E1432" s="55">
        <v>2109323422361</v>
      </c>
      <c r="F1432" s="56" t="s">
        <v>2411</v>
      </c>
      <c r="G1432" s="56" t="s">
        <v>2388</v>
      </c>
      <c r="H1432" s="56" t="s">
        <v>8</v>
      </c>
      <c r="I1432" s="55" t="s">
        <v>8</v>
      </c>
      <c r="J1432" s="57">
        <v>473.36</v>
      </c>
      <c r="K1432" s="56" t="s">
        <v>2389</v>
      </c>
      <c r="L1432" s="56" t="s">
        <v>2390</v>
      </c>
      <c r="M1432" s="55" t="s">
        <v>2391</v>
      </c>
      <c r="N1432" s="56" t="s">
        <v>2392</v>
      </c>
      <c r="O1432" s="53" t="s">
        <v>8</v>
      </c>
      <c r="P1432" s="56" t="s">
        <v>2412</v>
      </c>
      <c r="Q1432" s="57">
        <v>48800</v>
      </c>
      <c r="R1432" s="58" t="s">
        <v>8</v>
      </c>
      <c r="S1432" s="57" t="s">
        <v>8</v>
      </c>
      <c r="T1432" s="56" t="s">
        <v>8</v>
      </c>
    </row>
    <row r="1433" spans="1:20">
      <c r="A1433" s="55">
        <v>131442820443</v>
      </c>
      <c r="B1433" s="53" t="s">
        <v>2386</v>
      </c>
      <c r="C1433" s="54">
        <v>45961</v>
      </c>
      <c r="D1433" s="55">
        <v>52460294118</v>
      </c>
      <c r="E1433" s="55">
        <v>2109417652090</v>
      </c>
      <c r="F1433" s="56" t="s">
        <v>2401</v>
      </c>
      <c r="G1433" s="56" t="s">
        <v>2388</v>
      </c>
      <c r="H1433" s="56" t="s">
        <v>8</v>
      </c>
      <c r="I1433" s="55" t="s">
        <v>8</v>
      </c>
      <c r="J1433" s="57">
        <v>231.87</v>
      </c>
      <c r="K1433" s="56" t="s">
        <v>2389</v>
      </c>
      <c r="L1433" s="56" t="s">
        <v>2402</v>
      </c>
      <c r="M1433" s="55" t="s">
        <v>2391</v>
      </c>
      <c r="N1433" s="56" t="s">
        <v>2392</v>
      </c>
      <c r="O1433" s="53" t="s">
        <v>2055</v>
      </c>
      <c r="P1433" s="56" t="s">
        <v>2403</v>
      </c>
      <c r="Q1433" s="57">
        <v>5900</v>
      </c>
      <c r="R1433" s="58" t="s">
        <v>8</v>
      </c>
      <c r="S1433" s="57" t="s">
        <v>8</v>
      </c>
      <c r="T1433" s="56" t="s">
        <v>2394</v>
      </c>
    </row>
    <row r="1434" spans="1:20">
      <c r="A1434" s="55">
        <v>131442949423</v>
      </c>
      <c r="B1434" s="53" t="s">
        <v>2386</v>
      </c>
      <c r="C1434" s="54">
        <v>45961</v>
      </c>
      <c r="D1434" s="55">
        <v>52460359235</v>
      </c>
      <c r="E1434" s="55">
        <v>2109418908240</v>
      </c>
      <c r="F1434" s="56" t="s">
        <v>2401</v>
      </c>
      <c r="G1434" s="56" t="s">
        <v>2388</v>
      </c>
      <c r="H1434" s="56" t="s">
        <v>8</v>
      </c>
      <c r="I1434" s="55" t="s">
        <v>8</v>
      </c>
      <c r="J1434" s="57">
        <v>1131.8399999999999</v>
      </c>
      <c r="K1434" s="56" t="s">
        <v>2389</v>
      </c>
      <c r="L1434" s="56" t="s">
        <v>2402</v>
      </c>
      <c r="M1434" s="55" t="s">
        <v>2391</v>
      </c>
      <c r="N1434" s="56" t="s">
        <v>2392</v>
      </c>
      <c r="O1434" s="53" t="s">
        <v>2055</v>
      </c>
      <c r="P1434" s="56" t="s">
        <v>2403</v>
      </c>
      <c r="Q1434" s="57">
        <v>28800</v>
      </c>
      <c r="R1434" s="58" t="s">
        <v>8</v>
      </c>
      <c r="S1434" s="57" t="s">
        <v>8</v>
      </c>
      <c r="T1434" s="56" t="s">
        <v>2394</v>
      </c>
    </row>
    <row r="1435" spans="1:20">
      <c r="A1435" s="55">
        <v>131443126827</v>
      </c>
      <c r="B1435" s="53" t="s">
        <v>2386</v>
      </c>
      <c r="C1435" s="54">
        <v>45961</v>
      </c>
      <c r="D1435" s="55">
        <v>52460402828</v>
      </c>
      <c r="E1435" s="55">
        <v>2109326476681</v>
      </c>
      <c r="F1435" s="56" t="s">
        <v>2387</v>
      </c>
      <c r="G1435" s="56" t="s">
        <v>2388</v>
      </c>
      <c r="H1435" s="56" t="s">
        <v>8</v>
      </c>
      <c r="I1435" s="55" t="s">
        <v>8</v>
      </c>
      <c r="J1435" s="57">
        <v>283.24</v>
      </c>
      <c r="K1435" s="56" t="s">
        <v>2389</v>
      </c>
      <c r="L1435" s="56" t="s">
        <v>2390</v>
      </c>
      <c r="M1435" s="55" t="s">
        <v>2391</v>
      </c>
      <c r="N1435" s="56" t="s">
        <v>2392</v>
      </c>
      <c r="O1435" s="53" t="s">
        <v>8</v>
      </c>
      <c r="P1435" s="56" t="s">
        <v>2723</v>
      </c>
      <c r="Q1435" s="57">
        <v>29200</v>
      </c>
      <c r="R1435" s="58" t="s">
        <v>8</v>
      </c>
      <c r="S1435" s="57" t="s">
        <v>8</v>
      </c>
      <c r="T1435" s="56" t="s">
        <v>2394</v>
      </c>
    </row>
    <row r="1436" spans="1:20">
      <c r="A1436" s="55">
        <v>132040871854</v>
      </c>
      <c r="B1436" s="53" t="s">
        <v>2386</v>
      </c>
      <c r="C1436" s="54">
        <v>45961</v>
      </c>
      <c r="D1436" s="55">
        <v>52460563233</v>
      </c>
      <c r="E1436" s="55">
        <v>2109330236825</v>
      </c>
      <c r="F1436" s="56" t="s">
        <v>2401</v>
      </c>
      <c r="G1436" s="56" t="s">
        <v>2388</v>
      </c>
      <c r="H1436" s="56" t="s">
        <v>8</v>
      </c>
      <c r="I1436" s="55" t="s">
        <v>8</v>
      </c>
      <c r="J1436" s="57">
        <v>377.28</v>
      </c>
      <c r="K1436" s="56" t="s">
        <v>2389</v>
      </c>
      <c r="L1436" s="56" t="s">
        <v>2402</v>
      </c>
      <c r="M1436" s="55" t="s">
        <v>2391</v>
      </c>
      <c r="N1436" s="56" t="s">
        <v>2392</v>
      </c>
      <c r="O1436" s="53" t="s">
        <v>2055</v>
      </c>
      <c r="P1436" s="56" t="s">
        <v>2403</v>
      </c>
      <c r="Q1436" s="57">
        <v>11040</v>
      </c>
      <c r="R1436" s="58" t="s">
        <v>8</v>
      </c>
      <c r="S1436" s="57" t="s">
        <v>8</v>
      </c>
      <c r="T1436" s="56" t="s">
        <v>2394</v>
      </c>
    </row>
    <row r="1437" spans="1:20">
      <c r="A1437" s="55">
        <v>132042598568</v>
      </c>
      <c r="B1437" s="53" t="s">
        <v>2386</v>
      </c>
      <c r="C1437" s="54">
        <v>45961</v>
      </c>
      <c r="D1437" s="55">
        <v>52461185259</v>
      </c>
      <c r="E1437" s="55">
        <v>2109342128327</v>
      </c>
      <c r="F1437" s="56" t="s">
        <v>2401</v>
      </c>
      <c r="G1437" s="56" t="s">
        <v>2388</v>
      </c>
      <c r="H1437" s="56" t="s">
        <v>8</v>
      </c>
      <c r="I1437" s="55" t="s">
        <v>8</v>
      </c>
      <c r="J1437" s="57">
        <v>917.08</v>
      </c>
      <c r="K1437" s="56" t="s">
        <v>2389</v>
      </c>
      <c r="L1437" s="56" t="s">
        <v>2402</v>
      </c>
      <c r="M1437" s="55" t="s">
        <v>2391</v>
      </c>
      <c r="N1437" s="56" t="s">
        <v>2392</v>
      </c>
      <c r="O1437" s="53" t="s">
        <v>2055</v>
      </c>
      <c r="P1437" s="56" t="s">
        <v>2403</v>
      </c>
      <c r="Q1437" s="57">
        <v>20200</v>
      </c>
      <c r="R1437" s="58" t="s">
        <v>8</v>
      </c>
      <c r="S1437" s="57" t="s">
        <v>8</v>
      </c>
      <c r="T1437" s="56" t="s">
        <v>2394</v>
      </c>
    </row>
    <row r="1438" spans="1:20">
      <c r="A1438" s="55">
        <v>131445281177</v>
      </c>
      <c r="B1438" s="53" t="s">
        <v>2386</v>
      </c>
      <c r="C1438" s="54">
        <v>45961</v>
      </c>
      <c r="D1438" s="55">
        <v>52461200839</v>
      </c>
      <c r="E1438" s="55">
        <v>2109343360057</v>
      </c>
      <c r="F1438" s="56" t="s">
        <v>2401</v>
      </c>
      <c r="G1438" s="56" t="s">
        <v>2388</v>
      </c>
      <c r="H1438" s="56" t="s">
        <v>8</v>
      </c>
      <c r="I1438" s="55" t="s">
        <v>8</v>
      </c>
      <c r="J1438" s="57">
        <v>2283.33</v>
      </c>
      <c r="K1438" s="56" t="s">
        <v>2389</v>
      </c>
      <c r="L1438" s="56" t="s">
        <v>2402</v>
      </c>
      <c r="M1438" s="55" t="s">
        <v>2391</v>
      </c>
      <c r="N1438" s="56" t="s">
        <v>2392</v>
      </c>
      <c r="O1438" s="53" t="s">
        <v>2055</v>
      </c>
      <c r="P1438" s="56" t="s">
        <v>2403</v>
      </c>
      <c r="Q1438" s="57">
        <v>58100</v>
      </c>
      <c r="R1438" s="58" t="s">
        <v>8</v>
      </c>
      <c r="S1438" s="57" t="s">
        <v>8</v>
      </c>
      <c r="T1438" s="56" t="s">
        <v>2394</v>
      </c>
    </row>
    <row r="1439" spans="1:20">
      <c r="A1439" s="55">
        <v>131446697595</v>
      </c>
      <c r="B1439" s="53" t="s">
        <v>2386</v>
      </c>
      <c r="C1439" s="54">
        <v>45961</v>
      </c>
      <c r="D1439" s="55">
        <v>52461709609</v>
      </c>
      <c r="E1439" s="55">
        <v>2109447807776</v>
      </c>
      <c r="F1439" s="56" t="s">
        <v>2401</v>
      </c>
      <c r="G1439" s="56" t="s">
        <v>2388</v>
      </c>
      <c r="H1439" s="56" t="s">
        <v>8</v>
      </c>
      <c r="I1439" s="55" t="s">
        <v>8</v>
      </c>
      <c r="J1439" s="57">
        <v>1862.82</v>
      </c>
      <c r="K1439" s="56" t="s">
        <v>2389</v>
      </c>
      <c r="L1439" s="56" t="s">
        <v>2402</v>
      </c>
      <c r="M1439" s="55" t="s">
        <v>2391</v>
      </c>
      <c r="N1439" s="56" t="s">
        <v>2392</v>
      </c>
      <c r="O1439" s="53" t="s">
        <v>2055</v>
      </c>
      <c r="P1439" s="56" t="s">
        <v>2403</v>
      </c>
      <c r="Q1439" s="57">
        <v>47400</v>
      </c>
      <c r="R1439" s="58" t="s">
        <v>8</v>
      </c>
      <c r="S1439" s="57" t="s">
        <v>8</v>
      </c>
      <c r="T1439" s="56" t="s">
        <v>2394</v>
      </c>
    </row>
    <row r="1440" spans="1:20">
      <c r="A1440" s="55">
        <v>131447307481</v>
      </c>
      <c r="B1440" s="53" t="s">
        <v>2386</v>
      </c>
      <c r="C1440" s="54">
        <v>45961</v>
      </c>
      <c r="D1440" s="55">
        <v>52461902040</v>
      </c>
      <c r="E1440" s="55">
        <v>2109452398356</v>
      </c>
      <c r="F1440" s="56" t="s">
        <v>2387</v>
      </c>
      <c r="G1440" s="56" t="s">
        <v>2388</v>
      </c>
      <c r="H1440" s="56" t="s">
        <v>8</v>
      </c>
      <c r="I1440" s="55" t="s">
        <v>8</v>
      </c>
      <c r="J1440" s="57">
        <v>46.56</v>
      </c>
      <c r="K1440" s="56" t="s">
        <v>2389</v>
      </c>
      <c r="L1440" s="56" t="s">
        <v>2390</v>
      </c>
      <c r="M1440" s="55" t="s">
        <v>2391</v>
      </c>
      <c r="N1440" s="56" t="s">
        <v>2392</v>
      </c>
      <c r="O1440" s="53" t="s">
        <v>8</v>
      </c>
      <c r="P1440" s="56" t="s">
        <v>2971</v>
      </c>
      <c r="Q1440" s="57">
        <v>4800</v>
      </c>
      <c r="R1440" s="58" t="s">
        <v>8</v>
      </c>
      <c r="S1440" s="57" t="s">
        <v>8</v>
      </c>
      <c r="T1440" s="56" t="s">
        <v>2394</v>
      </c>
    </row>
    <row r="1441" spans="1:20">
      <c r="A1441" s="55">
        <v>131449789851</v>
      </c>
      <c r="B1441" s="53" t="s">
        <v>2386</v>
      </c>
      <c r="C1441" s="54">
        <v>45961</v>
      </c>
      <c r="D1441" s="55">
        <v>52462826633</v>
      </c>
      <c r="E1441" s="55">
        <v>2109472340998</v>
      </c>
      <c r="F1441" s="56" t="s">
        <v>2411</v>
      </c>
      <c r="G1441" s="56" t="s">
        <v>2388</v>
      </c>
      <c r="H1441" s="56" t="s">
        <v>8</v>
      </c>
      <c r="I1441" s="55" t="s">
        <v>8</v>
      </c>
      <c r="J1441" s="57">
        <v>626.62</v>
      </c>
      <c r="K1441" s="56" t="s">
        <v>2389</v>
      </c>
      <c r="L1441" s="56" t="s">
        <v>2390</v>
      </c>
      <c r="M1441" s="55" t="s">
        <v>2391</v>
      </c>
      <c r="N1441" s="56" t="s">
        <v>2392</v>
      </c>
      <c r="O1441" s="53" t="s">
        <v>8</v>
      </c>
      <c r="P1441" s="56" t="s">
        <v>2412</v>
      </c>
      <c r="Q1441" s="57">
        <v>64600</v>
      </c>
      <c r="R1441" s="58" t="s">
        <v>8</v>
      </c>
      <c r="S1441" s="57" t="s">
        <v>8</v>
      </c>
      <c r="T1441" s="56" t="s">
        <v>8</v>
      </c>
    </row>
    <row r="1442" spans="1:20">
      <c r="A1442" s="55">
        <v>131450205625</v>
      </c>
      <c r="B1442" s="53" t="s">
        <v>2386</v>
      </c>
      <c r="C1442" s="54">
        <v>45961</v>
      </c>
      <c r="D1442" s="55">
        <v>52462983961</v>
      </c>
      <c r="E1442" s="55">
        <v>2109474906398</v>
      </c>
      <c r="F1442" s="56" t="s">
        <v>2387</v>
      </c>
      <c r="G1442" s="56" t="s">
        <v>2388</v>
      </c>
      <c r="H1442" s="56" t="s">
        <v>8</v>
      </c>
      <c r="I1442" s="55" t="s">
        <v>8</v>
      </c>
      <c r="J1442" s="57">
        <v>89.24</v>
      </c>
      <c r="K1442" s="56" t="s">
        <v>2389</v>
      </c>
      <c r="L1442" s="56" t="s">
        <v>2390</v>
      </c>
      <c r="M1442" s="55" t="s">
        <v>2391</v>
      </c>
      <c r="N1442" s="56" t="s">
        <v>2392</v>
      </c>
      <c r="O1442" s="53" t="s">
        <v>8</v>
      </c>
      <c r="P1442" s="56" t="s">
        <v>2972</v>
      </c>
      <c r="Q1442" s="57">
        <v>9200</v>
      </c>
      <c r="R1442" s="58" t="s">
        <v>8</v>
      </c>
      <c r="S1442" s="57" t="s">
        <v>8</v>
      </c>
      <c r="T1442" s="56" t="s">
        <v>2394</v>
      </c>
    </row>
    <row r="1443" spans="1:20">
      <c r="A1443" s="55">
        <v>131450361471</v>
      </c>
      <c r="B1443" s="53" t="s">
        <v>2386</v>
      </c>
      <c r="C1443" s="54">
        <v>45961</v>
      </c>
      <c r="D1443" s="55">
        <v>52463040730</v>
      </c>
      <c r="E1443" s="55">
        <v>2109382140721</v>
      </c>
      <c r="F1443" s="56" t="s">
        <v>2387</v>
      </c>
      <c r="G1443" s="56" t="s">
        <v>2388</v>
      </c>
      <c r="H1443" s="56" t="s">
        <v>8</v>
      </c>
      <c r="I1443" s="55" t="s">
        <v>8</v>
      </c>
      <c r="J1443" s="57">
        <v>3584.31</v>
      </c>
      <c r="K1443" s="56" t="s">
        <v>2389</v>
      </c>
      <c r="L1443" s="56" t="s">
        <v>2390</v>
      </c>
      <c r="M1443" s="55" t="s">
        <v>2391</v>
      </c>
      <c r="N1443" s="56" t="s">
        <v>2392</v>
      </c>
      <c r="O1443" s="53" t="s">
        <v>8</v>
      </c>
      <c r="P1443" s="56" t="s">
        <v>2973</v>
      </c>
      <c r="Q1443" s="57">
        <v>47100</v>
      </c>
      <c r="R1443" s="58" t="s">
        <v>8</v>
      </c>
      <c r="S1443" s="57" t="s">
        <v>8</v>
      </c>
      <c r="T1443" s="56" t="s">
        <v>2394</v>
      </c>
    </row>
    <row r="1444" spans="1:20">
      <c r="A1444" s="55">
        <v>131450649595</v>
      </c>
      <c r="B1444" s="53" t="s">
        <v>2386</v>
      </c>
      <c r="C1444" s="54">
        <v>45961</v>
      </c>
      <c r="D1444" s="55">
        <v>52463133640</v>
      </c>
      <c r="E1444" s="55">
        <v>2109477717104</v>
      </c>
      <c r="F1444" s="56" t="s">
        <v>2387</v>
      </c>
      <c r="G1444" s="56" t="s">
        <v>2388</v>
      </c>
      <c r="H1444" s="56" t="s">
        <v>8</v>
      </c>
      <c r="I1444" s="55" t="s">
        <v>8</v>
      </c>
      <c r="J1444" s="57">
        <v>138.71</v>
      </c>
      <c r="K1444" s="56" t="s">
        <v>2389</v>
      </c>
      <c r="L1444" s="56" t="s">
        <v>2390</v>
      </c>
      <c r="M1444" s="55" t="s">
        <v>2391</v>
      </c>
      <c r="N1444" s="56" t="s">
        <v>2392</v>
      </c>
      <c r="O1444" s="53" t="s">
        <v>8</v>
      </c>
      <c r="P1444" s="56" t="s">
        <v>2974</v>
      </c>
      <c r="Q1444" s="57">
        <v>14300</v>
      </c>
      <c r="R1444" s="58" t="s">
        <v>8</v>
      </c>
      <c r="S1444" s="57" t="s">
        <v>8</v>
      </c>
      <c r="T1444" s="56" t="s">
        <v>2394</v>
      </c>
    </row>
    <row r="1445" spans="1:20">
      <c r="A1445" s="55">
        <v>132048145386</v>
      </c>
      <c r="B1445" s="53" t="s">
        <v>2386</v>
      </c>
      <c r="C1445" s="54">
        <v>45961</v>
      </c>
      <c r="D1445" s="55">
        <v>52463206360</v>
      </c>
      <c r="E1445" s="55">
        <v>2109478573756</v>
      </c>
      <c r="F1445" s="56" t="s">
        <v>2401</v>
      </c>
      <c r="G1445" s="56" t="s">
        <v>2388</v>
      </c>
      <c r="H1445" s="56" t="s">
        <v>8</v>
      </c>
      <c r="I1445" s="55" t="s">
        <v>8</v>
      </c>
      <c r="J1445" s="57">
        <v>4505.12</v>
      </c>
      <c r="K1445" s="56" t="s">
        <v>2389</v>
      </c>
      <c r="L1445" s="56" t="s">
        <v>2402</v>
      </c>
      <c r="M1445" s="55" t="s">
        <v>2391</v>
      </c>
      <c r="N1445" s="56" t="s">
        <v>2392</v>
      </c>
      <c r="O1445" s="53" t="s">
        <v>2055</v>
      </c>
      <c r="P1445" s="56" t="s">
        <v>2403</v>
      </c>
      <c r="Q1445" s="57">
        <v>59200</v>
      </c>
      <c r="R1445" s="58" t="s">
        <v>8</v>
      </c>
      <c r="S1445" s="57" t="s">
        <v>8</v>
      </c>
      <c r="T1445" s="56" t="s">
        <v>2394</v>
      </c>
    </row>
    <row r="1446" spans="1:20">
      <c r="A1446" s="55">
        <v>131450909125</v>
      </c>
      <c r="B1446" s="53" t="s">
        <v>2386</v>
      </c>
      <c r="C1446" s="54">
        <v>45961</v>
      </c>
      <c r="D1446" s="55">
        <v>52463265492</v>
      </c>
      <c r="E1446" s="55">
        <v>2109479552386</v>
      </c>
      <c r="F1446" s="56" t="s">
        <v>2411</v>
      </c>
      <c r="G1446" s="56" t="s">
        <v>2388</v>
      </c>
      <c r="H1446" s="56" t="s">
        <v>8</v>
      </c>
      <c r="I1446" s="55" t="s">
        <v>8</v>
      </c>
      <c r="J1446" s="57">
        <v>88.27</v>
      </c>
      <c r="K1446" s="56" t="s">
        <v>2389</v>
      </c>
      <c r="L1446" s="56" t="s">
        <v>2390</v>
      </c>
      <c r="M1446" s="55" t="s">
        <v>2391</v>
      </c>
      <c r="N1446" s="56" t="s">
        <v>2392</v>
      </c>
      <c r="O1446" s="53" t="s">
        <v>8</v>
      </c>
      <c r="P1446" s="56" t="s">
        <v>2412</v>
      </c>
      <c r="Q1446" s="57">
        <v>9100</v>
      </c>
      <c r="R1446" s="58" t="s">
        <v>8</v>
      </c>
      <c r="S1446" s="57" t="s">
        <v>8</v>
      </c>
      <c r="T1446" s="56" t="s">
        <v>8</v>
      </c>
    </row>
    <row r="1447" spans="1:20">
      <c r="A1447" s="55">
        <v>132048712642</v>
      </c>
      <c r="B1447" s="53" t="s">
        <v>2386</v>
      </c>
      <c r="C1447" s="54">
        <v>45961</v>
      </c>
      <c r="D1447" s="55">
        <v>52463399261</v>
      </c>
      <c r="E1447" s="55">
        <v>2109482077768</v>
      </c>
      <c r="F1447" s="56" t="s">
        <v>2387</v>
      </c>
      <c r="G1447" s="56" t="s">
        <v>2388</v>
      </c>
      <c r="H1447" s="56" t="s">
        <v>8</v>
      </c>
      <c r="I1447" s="55" t="s">
        <v>8</v>
      </c>
      <c r="J1447" s="57">
        <v>323.01</v>
      </c>
      <c r="K1447" s="56" t="s">
        <v>2389</v>
      </c>
      <c r="L1447" s="56" t="s">
        <v>2390</v>
      </c>
      <c r="M1447" s="55" t="s">
        <v>2391</v>
      </c>
      <c r="N1447" s="56" t="s">
        <v>2392</v>
      </c>
      <c r="O1447" s="53" t="s">
        <v>8</v>
      </c>
      <c r="P1447" s="56" t="s">
        <v>2975</v>
      </c>
      <c r="Q1447" s="57">
        <v>33300</v>
      </c>
      <c r="R1447" s="58" t="s">
        <v>8</v>
      </c>
      <c r="S1447" s="57" t="s">
        <v>8</v>
      </c>
      <c r="T1447" s="56" t="s">
        <v>2394</v>
      </c>
    </row>
    <row r="1448" spans="1:20">
      <c r="A1448" s="55">
        <v>131451440131</v>
      </c>
      <c r="B1448" s="53" t="s">
        <v>2386</v>
      </c>
      <c r="C1448" s="54">
        <v>45961</v>
      </c>
      <c r="D1448" s="55">
        <v>52463459929</v>
      </c>
      <c r="E1448" s="55">
        <v>2109389167525</v>
      </c>
      <c r="F1448" s="56" t="s">
        <v>2387</v>
      </c>
      <c r="G1448" s="56" t="s">
        <v>2388</v>
      </c>
      <c r="H1448" s="56" t="s">
        <v>8</v>
      </c>
      <c r="I1448" s="55" t="s">
        <v>8</v>
      </c>
      <c r="J1448" s="57">
        <v>343.38</v>
      </c>
      <c r="K1448" s="56" t="s">
        <v>2389</v>
      </c>
      <c r="L1448" s="56" t="s">
        <v>2390</v>
      </c>
      <c r="M1448" s="55" t="s">
        <v>2391</v>
      </c>
      <c r="N1448" s="56" t="s">
        <v>2392</v>
      </c>
      <c r="O1448" s="53" t="s">
        <v>8</v>
      </c>
      <c r="P1448" s="56" t="s">
        <v>2976</v>
      </c>
      <c r="Q1448" s="57">
        <v>35400</v>
      </c>
      <c r="R1448" s="58" t="s">
        <v>8</v>
      </c>
      <c r="S1448" s="57" t="s">
        <v>8</v>
      </c>
      <c r="T1448" s="56" t="s">
        <v>2394</v>
      </c>
    </row>
    <row r="1449" spans="1:20">
      <c r="A1449" s="55">
        <v>132049026310</v>
      </c>
      <c r="B1449" s="53" t="s">
        <v>2386</v>
      </c>
      <c r="C1449" s="54">
        <v>45961</v>
      </c>
      <c r="D1449" s="55">
        <v>52463548054</v>
      </c>
      <c r="E1449" s="55">
        <v>2109390414139</v>
      </c>
      <c r="F1449" s="56" t="s">
        <v>2411</v>
      </c>
      <c r="G1449" s="56" t="s">
        <v>2388</v>
      </c>
      <c r="H1449" s="56" t="s">
        <v>8</v>
      </c>
      <c r="I1449" s="55" t="s">
        <v>8</v>
      </c>
      <c r="J1449" s="57">
        <v>126.1</v>
      </c>
      <c r="K1449" s="56" t="s">
        <v>2389</v>
      </c>
      <c r="L1449" s="56" t="s">
        <v>2390</v>
      </c>
      <c r="M1449" s="55" t="s">
        <v>2391</v>
      </c>
      <c r="N1449" s="56" t="s">
        <v>2392</v>
      </c>
      <c r="O1449" s="53" t="s">
        <v>8</v>
      </c>
      <c r="P1449" s="56" t="s">
        <v>2412</v>
      </c>
      <c r="Q1449" s="57">
        <v>13000</v>
      </c>
      <c r="R1449" s="58" t="s">
        <v>8</v>
      </c>
      <c r="S1449" s="57" t="s">
        <v>8</v>
      </c>
      <c r="T1449" s="56" t="s">
        <v>8</v>
      </c>
    </row>
    <row r="1450" spans="1:20">
      <c r="A1450" s="55">
        <v>132051231038</v>
      </c>
      <c r="B1450" s="53" t="s">
        <v>2386</v>
      </c>
      <c r="C1450" s="54">
        <v>45961</v>
      </c>
      <c r="D1450" s="55">
        <v>52464386605</v>
      </c>
      <c r="E1450" s="55">
        <v>2109497586050</v>
      </c>
      <c r="F1450" s="56" t="s">
        <v>2475</v>
      </c>
      <c r="G1450" s="56" t="s">
        <v>2388</v>
      </c>
      <c r="H1450" s="56" t="s">
        <v>8</v>
      </c>
      <c r="I1450" s="55" t="s">
        <v>8</v>
      </c>
      <c r="J1450" s="57">
        <v>4809.5200000000004</v>
      </c>
      <c r="K1450" s="56" t="s">
        <v>2389</v>
      </c>
      <c r="L1450" s="56" t="s">
        <v>2390</v>
      </c>
      <c r="M1450" s="55" t="s">
        <v>2391</v>
      </c>
      <c r="N1450" s="56" t="s">
        <v>2392</v>
      </c>
      <c r="O1450" s="53" t="s">
        <v>8</v>
      </c>
      <c r="P1450" s="56" t="s">
        <v>2634</v>
      </c>
      <c r="Q1450" s="57">
        <v>63200</v>
      </c>
      <c r="R1450" s="58" t="s">
        <v>8</v>
      </c>
      <c r="S1450" s="57" t="s">
        <v>8</v>
      </c>
      <c r="T1450" s="56" t="s">
        <v>2394</v>
      </c>
    </row>
    <row r="1451" spans="1:20">
      <c r="A1451" s="55">
        <v>131454294961</v>
      </c>
      <c r="B1451" s="53" t="s">
        <v>2386</v>
      </c>
      <c r="C1451" s="54">
        <v>45961</v>
      </c>
      <c r="D1451" s="55">
        <v>52464557818</v>
      </c>
      <c r="E1451" s="55">
        <v>2109406750131</v>
      </c>
      <c r="F1451" s="56" t="s">
        <v>2387</v>
      </c>
      <c r="G1451" s="56" t="s">
        <v>2388</v>
      </c>
      <c r="H1451" s="56" t="s">
        <v>8</v>
      </c>
      <c r="I1451" s="55" t="s">
        <v>8</v>
      </c>
      <c r="J1451" s="57">
        <v>798.31</v>
      </c>
      <c r="K1451" s="56" t="s">
        <v>2389</v>
      </c>
      <c r="L1451" s="56" t="s">
        <v>2390</v>
      </c>
      <c r="M1451" s="55" t="s">
        <v>2391</v>
      </c>
      <c r="N1451" s="56" t="s">
        <v>2392</v>
      </c>
      <c r="O1451" s="53" t="s">
        <v>8</v>
      </c>
      <c r="P1451" s="56" t="s">
        <v>2977</v>
      </c>
      <c r="Q1451" s="57">
        <v>82300</v>
      </c>
      <c r="R1451" s="58" t="s">
        <v>8</v>
      </c>
      <c r="S1451" s="57" t="s">
        <v>8</v>
      </c>
      <c r="T1451" s="56" t="s">
        <v>2394</v>
      </c>
    </row>
    <row r="1452" spans="1:20">
      <c r="A1452" s="55"/>
      <c r="B1452" s="53"/>
      <c r="C1452" s="54"/>
      <c r="D1452" s="55"/>
      <c r="E1452" s="55"/>
      <c r="F1452" s="56"/>
      <c r="G1452" s="56"/>
      <c r="H1452" s="56"/>
      <c r="I1452" s="55"/>
      <c r="J1452" s="57"/>
      <c r="K1452" s="56"/>
      <c r="L1452" s="56"/>
      <c r="M1452" s="55"/>
      <c r="N1452" s="56"/>
      <c r="O1452" s="53"/>
      <c r="P1452" s="56"/>
      <c r="Q1452" s="57"/>
      <c r="R1452" s="58"/>
      <c r="S1452" s="57"/>
      <c r="T1452" s="56"/>
    </row>
    <row r="1453" spans="1:20">
      <c r="A1453" s="55"/>
      <c r="B1453" s="53"/>
      <c r="C1453" s="54"/>
      <c r="D1453" s="55"/>
      <c r="E1453" s="55"/>
      <c r="F1453" s="56"/>
      <c r="G1453" s="56"/>
      <c r="H1453" s="56"/>
      <c r="I1453" s="55"/>
      <c r="J1453" s="79">
        <f>SUM(J9:J1452)</f>
        <v>925999.72000000265</v>
      </c>
      <c r="K1453" s="56"/>
      <c r="L1453" s="56"/>
      <c r="M1453" s="55"/>
      <c r="N1453" s="56"/>
      <c r="O1453" s="53"/>
      <c r="P1453" s="56"/>
      <c r="Q1453" s="79">
        <f>SUM(Q9:Q1452)</f>
        <v>36817384</v>
      </c>
      <c r="R1453" s="58"/>
      <c r="S1453" s="57"/>
      <c r="T1453" s="56"/>
    </row>
    <row r="1454" spans="1:20">
      <c r="A1454" s="55"/>
      <c r="B1454" s="53"/>
      <c r="C1454" s="54"/>
      <c r="D1454" s="55"/>
      <c r="E1454" s="55"/>
      <c r="F1454" s="56"/>
      <c r="G1454" s="56"/>
      <c r="H1454" s="56"/>
      <c r="I1454" s="55"/>
      <c r="J1454" s="57"/>
      <c r="K1454" s="56"/>
      <c r="L1454" s="56"/>
      <c r="M1454" s="55"/>
      <c r="N1454" s="56"/>
      <c r="O1454" s="53"/>
      <c r="P1454" s="56"/>
      <c r="Q1454" s="57"/>
      <c r="R1454" s="58"/>
      <c r="S1454" s="57"/>
      <c r="T1454" s="56"/>
    </row>
    <row r="1455" spans="1:20">
      <c r="A1455" s="55"/>
      <c r="B1455" s="53"/>
      <c r="C1455" s="54"/>
      <c r="D1455" s="55"/>
      <c r="E1455" s="55"/>
      <c r="F1455" s="56"/>
      <c r="G1455" s="56"/>
      <c r="H1455" s="56"/>
      <c r="I1455" s="55"/>
      <c r="J1455" s="57"/>
      <c r="K1455" s="56"/>
      <c r="L1455" s="56"/>
      <c r="M1455" s="55"/>
      <c r="N1455" s="56"/>
      <c r="O1455" s="53"/>
      <c r="P1455" s="56"/>
      <c r="Q1455" s="57"/>
      <c r="R1455" s="58"/>
      <c r="S1455" s="57"/>
      <c r="T1455" s="56"/>
    </row>
    <row r="1456" spans="1:20">
      <c r="A1456" s="55"/>
      <c r="B1456" s="53"/>
      <c r="C1456" s="54"/>
      <c r="D1456" s="55"/>
      <c r="E1456" s="55"/>
      <c r="F1456" s="56"/>
      <c r="G1456" s="56"/>
      <c r="H1456" s="56"/>
      <c r="I1456" s="55"/>
      <c r="J1456" s="57"/>
      <c r="K1456" s="56"/>
      <c r="L1456" s="56"/>
      <c r="M1456" s="55"/>
      <c r="N1456" s="56"/>
      <c r="O1456" s="53"/>
      <c r="P1456" s="56"/>
      <c r="Q1456" s="57"/>
      <c r="R1456" s="58"/>
      <c r="S1456" s="57"/>
      <c r="T1456" s="56"/>
    </row>
    <row r="1457" spans="1:20">
      <c r="A1457" s="55"/>
      <c r="B1457" s="53"/>
      <c r="C1457" s="54"/>
      <c r="D1457" s="55"/>
      <c r="E1457" s="55"/>
      <c r="F1457" s="56"/>
      <c r="G1457" s="56"/>
      <c r="H1457" s="56"/>
      <c r="I1457" s="55"/>
      <c r="J1457" s="57"/>
      <c r="K1457" s="56"/>
      <c r="L1457" s="56"/>
      <c r="M1457" s="55"/>
      <c r="N1457" s="56"/>
      <c r="O1457" s="53"/>
      <c r="P1457" s="56"/>
      <c r="Q1457" s="57"/>
      <c r="R1457" s="58"/>
      <c r="S1457" s="57"/>
      <c r="T1457" s="56"/>
    </row>
    <row r="1458" spans="1:20">
      <c r="A1458" s="55"/>
      <c r="B1458" s="53"/>
      <c r="C1458" s="54"/>
      <c r="D1458" s="55"/>
      <c r="E1458" s="55"/>
      <c r="F1458" s="56"/>
      <c r="G1458" s="56"/>
      <c r="H1458" s="56"/>
      <c r="I1458" s="55"/>
      <c r="J1458" s="57"/>
      <c r="K1458" s="56"/>
      <c r="L1458" s="56"/>
      <c r="M1458" s="55"/>
      <c r="N1458" s="56"/>
      <c r="O1458" s="53"/>
      <c r="P1458" s="56"/>
      <c r="Q1458" s="57"/>
      <c r="R1458" s="58"/>
      <c r="S1458" s="57"/>
      <c r="T1458" s="56"/>
    </row>
    <row r="1459" spans="1:20">
      <c r="A1459" s="55"/>
      <c r="B1459" s="53"/>
      <c r="C1459" s="54"/>
      <c r="D1459" s="55"/>
      <c r="E1459" s="55"/>
      <c r="F1459" s="56"/>
      <c r="G1459" s="56"/>
      <c r="H1459" s="56"/>
      <c r="I1459" s="55"/>
      <c r="J1459" s="57"/>
      <c r="K1459" s="56"/>
      <c r="L1459" s="56"/>
      <c r="M1459" s="55"/>
      <c r="N1459" s="56"/>
      <c r="O1459" s="53"/>
      <c r="P1459" s="56"/>
      <c r="Q1459" s="57"/>
      <c r="R1459" s="58"/>
      <c r="S1459" s="57"/>
      <c r="T1459" s="56"/>
    </row>
    <row r="1460" spans="1:20">
      <c r="A1460" s="55"/>
      <c r="B1460" s="53"/>
      <c r="C1460" s="54"/>
      <c r="D1460" s="55"/>
      <c r="E1460" s="55"/>
      <c r="F1460" s="56"/>
      <c r="G1460" s="56"/>
      <c r="H1460" s="56"/>
      <c r="I1460" s="55"/>
      <c r="J1460" s="57"/>
      <c r="K1460" s="56"/>
      <c r="L1460" s="56"/>
      <c r="M1460" s="55"/>
      <c r="N1460" s="56"/>
      <c r="O1460" s="53"/>
      <c r="P1460" s="56"/>
      <c r="Q1460" s="57"/>
      <c r="R1460" s="58"/>
      <c r="S1460" s="57"/>
      <c r="T1460" s="56"/>
    </row>
    <row r="1461" spans="1:20">
      <c r="A1461" s="55"/>
      <c r="B1461" s="53"/>
      <c r="C1461" s="54"/>
      <c r="D1461" s="55"/>
      <c r="E1461" s="55"/>
      <c r="F1461" s="56"/>
      <c r="G1461" s="56"/>
      <c r="H1461" s="56"/>
      <c r="I1461" s="55"/>
      <c r="J1461" s="57"/>
      <c r="K1461" s="56"/>
      <c r="L1461" s="56"/>
      <c r="M1461" s="55"/>
      <c r="N1461" s="56"/>
      <c r="O1461" s="53"/>
      <c r="P1461" s="56"/>
      <c r="Q1461" s="57"/>
      <c r="R1461" s="58"/>
      <c r="S1461" s="57"/>
      <c r="T1461" s="56"/>
    </row>
    <row r="1462" spans="1:20">
      <c r="A1462" s="55"/>
      <c r="B1462" s="53"/>
      <c r="C1462" s="54"/>
      <c r="D1462" s="55"/>
      <c r="E1462" s="55"/>
      <c r="F1462" s="56"/>
      <c r="G1462" s="56"/>
      <c r="H1462" s="56"/>
      <c r="I1462" s="55"/>
      <c r="J1462" s="57"/>
      <c r="K1462" s="56"/>
      <c r="L1462" s="56"/>
      <c r="M1462" s="55"/>
      <c r="N1462" s="56"/>
      <c r="O1462" s="53"/>
      <c r="P1462" s="56"/>
      <c r="Q1462" s="57"/>
      <c r="R1462" s="58"/>
      <c r="S1462" s="57"/>
      <c r="T1462" s="56"/>
    </row>
    <row r="1463" spans="1:20">
      <c r="A1463" s="55"/>
      <c r="B1463" s="53"/>
      <c r="C1463" s="54"/>
      <c r="D1463" s="55"/>
      <c r="E1463" s="55"/>
      <c r="F1463" s="56"/>
      <c r="G1463" s="56"/>
      <c r="H1463" s="56"/>
      <c r="I1463" s="55"/>
      <c r="J1463" s="57"/>
      <c r="K1463" s="56"/>
      <c r="L1463" s="56"/>
      <c r="M1463" s="55"/>
      <c r="N1463" s="56"/>
      <c r="O1463" s="53"/>
      <c r="P1463" s="56"/>
      <c r="Q1463" s="57"/>
      <c r="R1463" s="58"/>
      <c r="S1463" s="57"/>
      <c r="T1463" s="56"/>
    </row>
    <row r="1464" spans="1:20">
      <c r="A1464" s="55"/>
      <c r="B1464" s="53"/>
      <c r="C1464" s="54"/>
      <c r="D1464" s="55"/>
      <c r="E1464" s="55"/>
      <c r="F1464" s="56"/>
      <c r="G1464" s="56"/>
      <c r="H1464" s="56"/>
      <c r="I1464" s="55"/>
      <c r="J1464" s="57"/>
      <c r="K1464" s="56"/>
      <c r="L1464" s="56"/>
      <c r="M1464" s="55"/>
      <c r="N1464" s="56"/>
      <c r="O1464" s="53"/>
      <c r="P1464" s="56"/>
      <c r="Q1464" s="57"/>
      <c r="R1464" s="58"/>
      <c r="S1464" s="57"/>
      <c r="T1464" s="56"/>
    </row>
    <row r="1465" spans="1:20">
      <c r="A1465" s="55">
        <v>132052239804</v>
      </c>
      <c r="B1465" s="53" t="s">
        <v>2386</v>
      </c>
      <c r="C1465" s="54">
        <v>45962</v>
      </c>
      <c r="D1465" s="55">
        <v>52464809693</v>
      </c>
      <c r="E1465" s="55">
        <v>2109410509373</v>
      </c>
      <c r="F1465" s="56" t="s">
        <v>2401</v>
      </c>
      <c r="G1465" s="56" t="s">
        <v>2388</v>
      </c>
      <c r="H1465" s="56" t="s">
        <v>8</v>
      </c>
      <c r="I1465" s="55" t="s">
        <v>8</v>
      </c>
      <c r="J1465" s="57">
        <v>1552.35</v>
      </c>
      <c r="K1465" s="56" t="s">
        <v>2389</v>
      </c>
      <c r="L1465" s="56" t="s">
        <v>2402</v>
      </c>
      <c r="M1465" s="55" t="s">
        <v>2391</v>
      </c>
      <c r="N1465" s="56" t="s">
        <v>2392</v>
      </c>
      <c r="O1465" s="53" t="s">
        <v>2055</v>
      </c>
      <c r="P1465" s="56" t="s">
        <v>2403</v>
      </c>
      <c r="Q1465" s="57">
        <v>39500</v>
      </c>
      <c r="R1465" s="58" t="s">
        <v>8</v>
      </c>
      <c r="S1465" s="57" t="s">
        <v>8</v>
      </c>
      <c r="T1465" s="56" t="s">
        <v>2394</v>
      </c>
    </row>
    <row r="1466" spans="1:20">
      <c r="A1466" s="55">
        <v>131455026773</v>
      </c>
      <c r="B1466" s="53" t="s">
        <v>2386</v>
      </c>
      <c r="C1466" s="54">
        <v>45962</v>
      </c>
      <c r="D1466" s="55">
        <v>52464853646</v>
      </c>
      <c r="E1466" s="55">
        <v>2109504858638</v>
      </c>
      <c r="F1466" s="56" t="s">
        <v>2411</v>
      </c>
      <c r="G1466" s="56" t="s">
        <v>2388</v>
      </c>
      <c r="H1466" s="56" t="s">
        <v>8</v>
      </c>
      <c r="I1466" s="55" t="s">
        <v>8</v>
      </c>
      <c r="J1466" s="57">
        <v>448.14</v>
      </c>
      <c r="K1466" s="56" t="s">
        <v>2389</v>
      </c>
      <c r="L1466" s="56" t="s">
        <v>2390</v>
      </c>
      <c r="M1466" s="55" t="s">
        <v>2391</v>
      </c>
      <c r="N1466" s="56" t="s">
        <v>2392</v>
      </c>
      <c r="O1466" s="53" t="s">
        <v>8</v>
      </c>
      <c r="P1466" s="56" t="s">
        <v>2412</v>
      </c>
      <c r="Q1466" s="57">
        <v>46200</v>
      </c>
      <c r="R1466" s="58" t="s">
        <v>8</v>
      </c>
      <c r="S1466" s="57" t="s">
        <v>8</v>
      </c>
      <c r="T1466" s="56" t="s">
        <v>8</v>
      </c>
    </row>
    <row r="1467" spans="1:20">
      <c r="A1467" s="55">
        <v>131455081763</v>
      </c>
      <c r="B1467" s="53" t="s">
        <v>2386</v>
      </c>
      <c r="C1467" s="54">
        <v>45962</v>
      </c>
      <c r="D1467" s="55">
        <v>52464936296</v>
      </c>
      <c r="E1467" s="55">
        <v>2109411825463</v>
      </c>
      <c r="F1467" s="56" t="s">
        <v>2387</v>
      </c>
      <c r="G1467" s="56" t="s">
        <v>2388</v>
      </c>
      <c r="H1467" s="56" t="s">
        <v>8</v>
      </c>
      <c r="I1467" s="55" t="s">
        <v>8</v>
      </c>
      <c r="J1467" s="57">
        <v>267.72000000000003</v>
      </c>
      <c r="K1467" s="56" t="s">
        <v>2389</v>
      </c>
      <c r="L1467" s="56" t="s">
        <v>2390</v>
      </c>
      <c r="M1467" s="55" t="s">
        <v>2391</v>
      </c>
      <c r="N1467" s="56" t="s">
        <v>2392</v>
      </c>
      <c r="O1467" s="53" t="s">
        <v>8</v>
      </c>
      <c r="P1467" s="56" t="s">
        <v>2749</v>
      </c>
      <c r="Q1467" s="57">
        <v>27600</v>
      </c>
      <c r="R1467" s="58" t="s">
        <v>8</v>
      </c>
      <c r="S1467" s="57" t="s">
        <v>8</v>
      </c>
      <c r="T1467" s="56" t="s">
        <v>2394</v>
      </c>
    </row>
    <row r="1468" spans="1:20">
      <c r="A1468" s="55">
        <v>132052913658</v>
      </c>
      <c r="B1468" s="53" t="s">
        <v>2386</v>
      </c>
      <c r="C1468" s="54">
        <v>45962</v>
      </c>
      <c r="D1468" s="55">
        <v>52465110983</v>
      </c>
      <c r="E1468" s="55">
        <v>2109414248241</v>
      </c>
      <c r="F1468" s="56" t="s">
        <v>2387</v>
      </c>
      <c r="G1468" s="56" t="s">
        <v>2388</v>
      </c>
      <c r="H1468" s="56" t="s">
        <v>8</v>
      </c>
      <c r="I1468" s="55" t="s">
        <v>8</v>
      </c>
      <c r="J1468" s="57">
        <v>388.97</v>
      </c>
      <c r="K1468" s="56" t="s">
        <v>2389</v>
      </c>
      <c r="L1468" s="56" t="s">
        <v>2390</v>
      </c>
      <c r="M1468" s="55" t="s">
        <v>2391</v>
      </c>
      <c r="N1468" s="56" t="s">
        <v>2392</v>
      </c>
      <c r="O1468" s="53" t="s">
        <v>8</v>
      </c>
      <c r="P1468" s="56" t="s">
        <v>2978</v>
      </c>
      <c r="Q1468" s="57">
        <v>40100</v>
      </c>
      <c r="R1468" s="58" t="s">
        <v>8</v>
      </c>
      <c r="S1468" s="57" t="s">
        <v>8</v>
      </c>
      <c r="T1468" s="56" t="s">
        <v>2394</v>
      </c>
    </row>
    <row r="1469" spans="1:20">
      <c r="A1469" s="55">
        <v>131455763539</v>
      </c>
      <c r="B1469" s="53" t="s">
        <v>2386</v>
      </c>
      <c r="C1469" s="54">
        <v>45962</v>
      </c>
      <c r="D1469" s="55">
        <v>52465250552</v>
      </c>
      <c r="E1469" s="55">
        <v>2109509554418</v>
      </c>
      <c r="F1469" s="56" t="s">
        <v>2387</v>
      </c>
      <c r="G1469" s="56" t="s">
        <v>2388</v>
      </c>
      <c r="H1469" s="56" t="s">
        <v>8</v>
      </c>
      <c r="I1469" s="55" t="s">
        <v>8</v>
      </c>
      <c r="J1469" s="57">
        <v>106.7</v>
      </c>
      <c r="K1469" s="56" t="s">
        <v>2389</v>
      </c>
      <c r="L1469" s="56" t="s">
        <v>2390</v>
      </c>
      <c r="M1469" s="55" t="s">
        <v>2391</v>
      </c>
      <c r="N1469" s="56" t="s">
        <v>2392</v>
      </c>
      <c r="O1469" s="53" t="s">
        <v>8</v>
      </c>
      <c r="P1469" s="56" t="s">
        <v>2979</v>
      </c>
      <c r="Q1469" s="57">
        <v>11000</v>
      </c>
      <c r="R1469" s="58" t="s">
        <v>8</v>
      </c>
      <c r="S1469" s="57" t="s">
        <v>8</v>
      </c>
      <c r="T1469" s="56" t="s">
        <v>2394</v>
      </c>
    </row>
    <row r="1470" spans="1:20">
      <c r="A1470" s="55">
        <v>131456214529</v>
      </c>
      <c r="B1470" s="53" t="s">
        <v>2386</v>
      </c>
      <c r="C1470" s="54">
        <v>45962</v>
      </c>
      <c r="D1470" s="55">
        <v>52465454894</v>
      </c>
      <c r="E1470" s="55">
        <v>2109418037759</v>
      </c>
      <c r="F1470" s="56" t="s">
        <v>2411</v>
      </c>
      <c r="G1470" s="56" t="s">
        <v>2388</v>
      </c>
      <c r="H1470" s="56" t="s">
        <v>8</v>
      </c>
      <c r="I1470" s="55" t="s">
        <v>8</v>
      </c>
      <c r="J1470" s="57">
        <v>1261.97</v>
      </c>
      <c r="K1470" s="56" t="s">
        <v>2389</v>
      </c>
      <c r="L1470" s="56" t="s">
        <v>2390</v>
      </c>
      <c r="M1470" s="55" t="s">
        <v>2391</v>
      </c>
      <c r="N1470" s="56" t="s">
        <v>2392</v>
      </c>
      <c r="O1470" s="53" t="s">
        <v>8</v>
      </c>
      <c r="P1470" s="56" t="s">
        <v>2412</v>
      </c>
      <c r="Q1470" s="57">
        <v>130100</v>
      </c>
      <c r="R1470" s="58" t="s">
        <v>8</v>
      </c>
      <c r="S1470" s="57" t="s">
        <v>8</v>
      </c>
      <c r="T1470" s="56" t="s">
        <v>8</v>
      </c>
    </row>
    <row r="1471" spans="1:20">
      <c r="A1471" s="55">
        <v>132053623776</v>
      </c>
      <c r="B1471" s="53" t="s">
        <v>2386</v>
      </c>
      <c r="C1471" s="54">
        <v>45962</v>
      </c>
      <c r="D1471" s="55">
        <v>52465509879</v>
      </c>
      <c r="E1471" s="55">
        <v>2109418828541</v>
      </c>
      <c r="F1471" s="56" t="s">
        <v>2387</v>
      </c>
      <c r="G1471" s="56" t="s">
        <v>2388</v>
      </c>
      <c r="H1471" s="56" t="s">
        <v>8</v>
      </c>
      <c r="I1471" s="55" t="s">
        <v>8</v>
      </c>
      <c r="J1471" s="57">
        <v>210.49</v>
      </c>
      <c r="K1471" s="56" t="s">
        <v>2389</v>
      </c>
      <c r="L1471" s="56" t="s">
        <v>2390</v>
      </c>
      <c r="M1471" s="55" t="s">
        <v>2391</v>
      </c>
      <c r="N1471" s="56" t="s">
        <v>2392</v>
      </c>
      <c r="O1471" s="53" t="s">
        <v>8</v>
      </c>
      <c r="P1471" s="56" t="s">
        <v>2972</v>
      </c>
      <c r="Q1471" s="57">
        <v>21700</v>
      </c>
      <c r="R1471" s="58" t="s">
        <v>8</v>
      </c>
      <c r="S1471" s="57" t="s">
        <v>8</v>
      </c>
      <c r="T1471" s="56" t="s">
        <v>2394</v>
      </c>
    </row>
    <row r="1472" spans="1:20">
      <c r="A1472" s="55">
        <v>131457190213</v>
      </c>
      <c r="B1472" s="53" t="s">
        <v>2386</v>
      </c>
      <c r="C1472" s="54">
        <v>45962</v>
      </c>
      <c r="D1472" s="55">
        <v>52466032806</v>
      </c>
      <c r="E1472" s="55">
        <v>2109517410674</v>
      </c>
      <c r="F1472" s="56" t="s">
        <v>2387</v>
      </c>
      <c r="G1472" s="56" t="s">
        <v>2388</v>
      </c>
      <c r="H1472" s="56" t="s">
        <v>8</v>
      </c>
      <c r="I1472" s="55" t="s">
        <v>8</v>
      </c>
      <c r="J1472" s="57">
        <v>184.3</v>
      </c>
      <c r="K1472" s="56" t="s">
        <v>2389</v>
      </c>
      <c r="L1472" s="56" t="s">
        <v>2390</v>
      </c>
      <c r="M1472" s="55" t="s">
        <v>2391</v>
      </c>
      <c r="N1472" s="56" t="s">
        <v>2392</v>
      </c>
      <c r="O1472" s="53" t="s">
        <v>8</v>
      </c>
      <c r="P1472" s="56" t="s">
        <v>2618</v>
      </c>
      <c r="Q1472" s="57">
        <v>19000</v>
      </c>
      <c r="R1472" s="58" t="s">
        <v>8</v>
      </c>
      <c r="S1472" s="57" t="s">
        <v>8</v>
      </c>
      <c r="T1472" s="56" t="s">
        <v>2394</v>
      </c>
    </row>
    <row r="1473" spans="1:20">
      <c r="A1473" s="55">
        <v>132055115248</v>
      </c>
      <c r="B1473" s="53" t="s">
        <v>2386</v>
      </c>
      <c r="C1473" s="54">
        <v>45962</v>
      </c>
      <c r="D1473" s="55">
        <v>52466477883</v>
      </c>
      <c r="E1473" s="55">
        <v>2109427184821</v>
      </c>
      <c r="F1473" s="56" t="s">
        <v>2387</v>
      </c>
      <c r="G1473" s="56" t="s">
        <v>2388</v>
      </c>
      <c r="H1473" s="56" t="s">
        <v>8</v>
      </c>
      <c r="I1473" s="55" t="s">
        <v>8</v>
      </c>
      <c r="J1473" s="57">
        <v>141.62</v>
      </c>
      <c r="K1473" s="56" t="s">
        <v>2389</v>
      </c>
      <c r="L1473" s="56" t="s">
        <v>2390</v>
      </c>
      <c r="M1473" s="55" t="s">
        <v>2391</v>
      </c>
      <c r="N1473" s="56" t="s">
        <v>2392</v>
      </c>
      <c r="O1473" s="53" t="s">
        <v>8</v>
      </c>
      <c r="P1473" s="56" t="s">
        <v>2980</v>
      </c>
      <c r="Q1473" s="57">
        <v>14600</v>
      </c>
      <c r="R1473" s="58" t="s">
        <v>8</v>
      </c>
      <c r="S1473" s="57" t="s">
        <v>8</v>
      </c>
      <c r="T1473" s="56" t="s">
        <v>2394</v>
      </c>
    </row>
    <row r="1474" spans="1:20">
      <c r="A1474" s="55">
        <v>132055387448</v>
      </c>
      <c r="B1474" s="53" t="s">
        <v>2386</v>
      </c>
      <c r="C1474" s="54">
        <v>45962</v>
      </c>
      <c r="D1474" s="55">
        <v>52466617692</v>
      </c>
      <c r="E1474" s="55">
        <v>2109429051509</v>
      </c>
      <c r="F1474" s="56" t="s">
        <v>2401</v>
      </c>
      <c r="G1474" s="56" t="s">
        <v>2388</v>
      </c>
      <c r="H1474" s="56" t="s">
        <v>8</v>
      </c>
      <c r="I1474" s="55" t="s">
        <v>8</v>
      </c>
      <c r="J1474" s="57">
        <v>1921.77</v>
      </c>
      <c r="K1474" s="56" t="s">
        <v>2389</v>
      </c>
      <c r="L1474" s="56" t="s">
        <v>2402</v>
      </c>
      <c r="M1474" s="55" t="s">
        <v>2391</v>
      </c>
      <c r="N1474" s="56" t="s">
        <v>2392</v>
      </c>
      <c r="O1474" s="53" t="s">
        <v>2055</v>
      </c>
      <c r="P1474" s="56" t="s">
        <v>2403</v>
      </c>
      <c r="Q1474" s="57">
        <v>48900</v>
      </c>
      <c r="R1474" s="58" t="s">
        <v>8</v>
      </c>
      <c r="S1474" s="57" t="s">
        <v>8</v>
      </c>
      <c r="T1474" s="56" t="s">
        <v>2394</v>
      </c>
    </row>
    <row r="1475" spans="1:20">
      <c r="A1475" s="55">
        <v>131458138389</v>
      </c>
      <c r="B1475" s="53" t="s">
        <v>2386</v>
      </c>
      <c r="C1475" s="54">
        <v>45962</v>
      </c>
      <c r="D1475" s="55">
        <v>52466639131</v>
      </c>
      <c r="E1475" s="55">
        <v>2109523185874</v>
      </c>
      <c r="F1475" s="56" t="s">
        <v>2401</v>
      </c>
      <c r="G1475" s="56" t="s">
        <v>2388</v>
      </c>
      <c r="H1475" s="56" t="s">
        <v>8</v>
      </c>
      <c r="I1475" s="55" t="s">
        <v>8</v>
      </c>
      <c r="J1475" s="57">
        <v>7008.81</v>
      </c>
      <c r="K1475" s="56" t="s">
        <v>2389</v>
      </c>
      <c r="L1475" s="56" t="s">
        <v>2402</v>
      </c>
      <c r="M1475" s="55" t="s">
        <v>2391</v>
      </c>
      <c r="N1475" s="56" t="s">
        <v>2392</v>
      </c>
      <c r="O1475" s="53" t="s">
        <v>2055</v>
      </c>
      <c r="P1475" s="56" t="s">
        <v>2403</v>
      </c>
      <c r="Q1475" s="57">
        <v>92100</v>
      </c>
      <c r="R1475" s="58" t="s">
        <v>8</v>
      </c>
      <c r="S1475" s="57" t="s">
        <v>8</v>
      </c>
      <c r="T1475" s="56" t="s">
        <v>2394</v>
      </c>
    </row>
    <row r="1476" spans="1:20">
      <c r="A1476" s="55">
        <v>132055965040</v>
      </c>
      <c r="B1476" s="53" t="s">
        <v>2386</v>
      </c>
      <c r="C1476" s="54">
        <v>45962</v>
      </c>
      <c r="D1476" s="55">
        <v>52466851758</v>
      </c>
      <c r="E1476" s="55">
        <v>2109525947308</v>
      </c>
      <c r="F1476" s="56" t="s">
        <v>2387</v>
      </c>
      <c r="G1476" s="56" t="s">
        <v>2388</v>
      </c>
      <c r="H1476" s="56" t="s">
        <v>8</v>
      </c>
      <c r="I1476" s="55" t="s">
        <v>8</v>
      </c>
      <c r="J1476" s="57">
        <v>706.16</v>
      </c>
      <c r="K1476" s="56" t="s">
        <v>2389</v>
      </c>
      <c r="L1476" s="56" t="s">
        <v>2390</v>
      </c>
      <c r="M1476" s="55" t="s">
        <v>2391</v>
      </c>
      <c r="N1476" s="56" t="s">
        <v>2392</v>
      </c>
      <c r="O1476" s="53" t="s">
        <v>8</v>
      </c>
      <c r="P1476" s="56" t="s">
        <v>2981</v>
      </c>
      <c r="Q1476" s="57">
        <v>72800</v>
      </c>
      <c r="R1476" s="58" t="s">
        <v>8</v>
      </c>
      <c r="S1476" s="57" t="s">
        <v>8</v>
      </c>
      <c r="T1476" s="56" t="s">
        <v>2394</v>
      </c>
    </row>
    <row r="1477" spans="1:20">
      <c r="A1477" s="55">
        <v>132056029654</v>
      </c>
      <c r="B1477" s="53" t="s">
        <v>2386</v>
      </c>
      <c r="C1477" s="54">
        <v>45962</v>
      </c>
      <c r="D1477" s="55">
        <v>52466921023</v>
      </c>
      <c r="E1477" s="55">
        <v>2109526753804</v>
      </c>
      <c r="F1477" s="56" t="s">
        <v>2411</v>
      </c>
      <c r="G1477" s="56" t="s">
        <v>2388</v>
      </c>
      <c r="H1477" s="56" t="s">
        <v>8</v>
      </c>
      <c r="I1477" s="55" t="s">
        <v>8</v>
      </c>
      <c r="J1477" s="57">
        <v>302.64</v>
      </c>
      <c r="K1477" s="56" t="s">
        <v>2389</v>
      </c>
      <c r="L1477" s="56" t="s">
        <v>2390</v>
      </c>
      <c r="M1477" s="55" t="s">
        <v>2391</v>
      </c>
      <c r="N1477" s="56" t="s">
        <v>2392</v>
      </c>
      <c r="O1477" s="53" t="s">
        <v>8</v>
      </c>
      <c r="P1477" s="56" t="s">
        <v>2412</v>
      </c>
      <c r="Q1477" s="57">
        <v>31200</v>
      </c>
      <c r="R1477" s="58" t="s">
        <v>8</v>
      </c>
      <c r="S1477" s="57" t="s">
        <v>8</v>
      </c>
      <c r="T1477" s="56" t="s">
        <v>8</v>
      </c>
    </row>
    <row r="1478" spans="1:20">
      <c r="A1478" s="55">
        <v>131459408087</v>
      </c>
      <c r="B1478" s="53" t="s">
        <v>2386</v>
      </c>
      <c r="C1478" s="54">
        <v>45962</v>
      </c>
      <c r="D1478" s="55">
        <v>52467261466</v>
      </c>
      <c r="E1478" s="55">
        <v>2109531658802</v>
      </c>
      <c r="F1478" s="56" t="s">
        <v>2387</v>
      </c>
      <c r="G1478" s="56" t="s">
        <v>2388</v>
      </c>
      <c r="H1478" s="56" t="s">
        <v>8</v>
      </c>
      <c r="I1478" s="55" t="s">
        <v>8</v>
      </c>
      <c r="J1478" s="57">
        <v>340.47</v>
      </c>
      <c r="K1478" s="56" t="s">
        <v>2389</v>
      </c>
      <c r="L1478" s="56" t="s">
        <v>2390</v>
      </c>
      <c r="M1478" s="55" t="s">
        <v>2391</v>
      </c>
      <c r="N1478" s="56" t="s">
        <v>2392</v>
      </c>
      <c r="O1478" s="53" t="s">
        <v>8</v>
      </c>
      <c r="P1478" s="56" t="s">
        <v>2982</v>
      </c>
      <c r="Q1478" s="57">
        <v>35100</v>
      </c>
      <c r="R1478" s="58" t="s">
        <v>8</v>
      </c>
      <c r="S1478" s="57" t="s">
        <v>8</v>
      </c>
      <c r="T1478" s="56" t="s">
        <v>2394</v>
      </c>
    </row>
    <row r="1479" spans="1:20">
      <c r="A1479" s="55">
        <v>132057028190</v>
      </c>
      <c r="B1479" s="53" t="s">
        <v>2386</v>
      </c>
      <c r="C1479" s="54">
        <v>45962</v>
      </c>
      <c r="D1479" s="55">
        <v>52467316806</v>
      </c>
      <c r="E1479" s="55">
        <v>2109532146084</v>
      </c>
      <c r="F1479" s="56" t="s">
        <v>2411</v>
      </c>
      <c r="G1479" s="56" t="s">
        <v>2388</v>
      </c>
      <c r="H1479" s="56" t="s">
        <v>8</v>
      </c>
      <c r="I1479" s="55" t="s">
        <v>8</v>
      </c>
      <c r="J1479" s="57">
        <v>173.63</v>
      </c>
      <c r="K1479" s="56" t="s">
        <v>2389</v>
      </c>
      <c r="L1479" s="56" t="s">
        <v>2390</v>
      </c>
      <c r="M1479" s="55" t="s">
        <v>2391</v>
      </c>
      <c r="N1479" s="56" t="s">
        <v>2392</v>
      </c>
      <c r="O1479" s="53" t="s">
        <v>8</v>
      </c>
      <c r="P1479" s="56" t="s">
        <v>2412</v>
      </c>
      <c r="Q1479" s="57">
        <v>17900</v>
      </c>
      <c r="R1479" s="58" t="s">
        <v>8</v>
      </c>
      <c r="S1479" s="57" t="s">
        <v>8</v>
      </c>
      <c r="T1479" s="56" t="s">
        <v>8</v>
      </c>
    </row>
    <row r="1480" spans="1:20">
      <c r="A1480" s="55">
        <v>131460056581</v>
      </c>
      <c r="B1480" s="53" t="s">
        <v>2386</v>
      </c>
      <c r="C1480" s="54">
        <v>45962</v>
      </c>
      <c r="D1480" s="55">
        <v>52467555237</v>
      </c>
      <c r="E1480" s="55">
        <v>2109441320599</v>
      </c>
      <c r="F1480" s="56" t="s">
        <v>2387</v>
      </c>
      <c r="G1480" s="56" t="s">
        <v>2388</v>
      </c>
      <c r="H1480" s="56" t="s">
        <v>8</v>
      </c>
      <c r="I1480" s="55" t="s">
        <v>8</v>
      </c>
      <c r="J1480" s="57">
        <v>398.67</v>
      </c>
      <c r="K1480" s="56" t="s">
        <v>2389</v>
      </c>
      <c r="L1480" s="56" t="s">
        <v>2390</v>
      </c>
      <c r="M1480" s="55" t="s">
        <v>2391</v>
      </c>
      <c r="N1480" s="56" t="s">
        <v>2392</v>
      </c>
      <c r="O1480" s="53" t="s">
        <v>8</v>
      </c>
      <c r="P1480" s="56" t="s">
        <v>2974</v>
      </c>
      <c r="Q1480" s="57">
        <v>41100</v>
      </c>
      <c r="R1480" s="58" t="s">
        <v>8</v>
      </c>
      <c r="S1480" s="57" t="s">
        <v>8</v>
      </c>
      <c r="T1480" s="56" t="s">
        <v>2394</v>
      </c>
    </row>
    <row r="1481" spans="1:20">
      <c r="A1481" s="55">
        <v>132057557082</v>
      </c>
      <c r="B1481" s="53" t="s">
        <v>2386</v>
      </c>
      <c r="C1481" s="54">
        <v>45962</v>
      </c>
      <c r="D1481" s="55">
        <v>52467570346</v>
      </c>
      <c r="E1481" s="55">
        <v>2109441698513</v>
      </c>
      <c r="F1481" s="56" t="s">
        <v>2387</v>
      </c>
      <c r="G1481" s="56" t="s">
        <v>2388</v>
      </c>
      <c r="H1481" s="56" t="s">
        <v>8</v>
      </c>
      <c r="I1481" s="55" t="s">
        <v>8</v>
      </c>
      <c r="J1481" s="57">
        <v>267.72000000000003</v>
      </c>
      <c r="K1481" s="56" t="s">
        <v>2389</v>
      </c>
      <c r="L1481" s="56" t="s">
        <v>2390</v>
      </c>
      <c r="M1481" s="55" t="s">
        <v>2391</v>
      </c>
      <c r="N1481" s="56" t="s">
        <v>2392</v>
      </c>
      <c r="O1481" s="53" t="s">
        <v>8</v>
      </c>
      <c r="P1481" s="56" t="s">
        <v>2622</v>
      </c>
      <c r="Q1481" s="57">
        <v>27600</v>
      </c>
      <c r="R1481" s="58" t="s">
        <v>8</v>
      </c>
      <c r="S1481" s="57" t="s">
        <v>8</v>
      </c>
      <c r="T1481" s="56" t="s">
        <v>2394</v>
      </c>
    </row>
    <row r="1482" spans="1:20">
      <c r="A1482" s="55">
        <v>131460571647</v>
      </c>
      <c r="B1482" s="53" t="s">
        <v>2386</v>
      </c>
      <c r="C1482" s="54">
        <v>45962</v>
      </c>
      <c r="D1482" s="55">
        <v>52467826406</v>
      </c>
      <c r="E1482" s="55">
        <v>2109538509404</v>
      </c>
      <c r="F1482" s="56" t="s">
        <v>2387</v>
      </c>
      <c r="G1482" s="56" t="s">
        <v>2388</v>
      </c>
      <c r="H1482" s="56" t="s">
        <v>8</v>
      </c>
      <c r="I1482" s="55" t="s">
        <v>8</v>
      </c>
      <c r="J1482" s="57">
        <v>53.35</v>
      </c>
      <c r="K1482" s="56" t="s">
        <v>2389</v>
      </c>
      <c r="L1482" s="56" t="s">
        <v>2390</v>
      </c>
      <c r="M1482" s="55" t="s">
        <v>2391</v>
      </c>
      <c r="N1482" s="56" t="s">
        <v>2392</v>
      </c>
      <c r="O1482" s="53" t="s">
        <v>8</v>
      </c>
      <c r="P1482" s="56" t="s">
        <v>2983</v>
      </c>
      <c r="Q1482" s="57">
        <v>5500</v>
      </c>
      <c r="R1482" s="58" t="s">
        <v>8</v>
      </c>
      <c r="S1482" s="57" t="s">
        <v>8</v>
      </c>
      <c r="T1482" s="56" t="s">
        <v>2394</v>
      </c>
    </row>
    <row r="1483" spans="1:20">
      <c r="A1483" s="55">
        <v>131461068663</v>
      </c>
      <c r="B1483" s="53" t="s">
        <v>2386</v>
      </c>
      <c r="C1483" s="54">
        <v>45962</v>
      </c>
      <c r="D1483" s="55">
        <v>52468034137</v>
      </c>
      <c r="E1483" s="55">
        <v>2109447728903</v>
      </c>
      <c r="F1483" s="56" t="s">
        <v>2387</v>
      </c>
      <c r="G1483" s="56" t="s">
        <v>2388</v>
      </c>
      <c r="H1483" s="56" t="s">
        <v>8</v>
      </c>
      <c r="I1483" s="55" t="s">
        <v>8</v>
      </c>
      <c r="J1483" s="57">
        <v>568.41999999999996</v>
      </c>
      <c r="K1483" s="56" t="s">
        <v>2389</v>
      </c>
      <c r="L1483" s="56" t="s">
        <v>2390</v>
      </c>
      <c r="M1483" s="55" t="s">
        <v>2391</v>
      </c>
      <c r="N1483" s="56" t="s">
        <v>2392</v>
      </c>
      <c r="O1483" s="53" t="s">
        <v>8</v>
      </c>
      <c r="P1483" s="56" t="s">
        <v>2984</v>
      </c>
      <c r="Q1483" s="57">
        <v>58600</v>
      </c>
      <c r="R1483" s="58" t="s">
        <v>8</v>
      </c>
      <c r="S1483" s="57" t="s">
        <v>8</v>
      </c>
      <c r="T1483" s="56" t="s">
        <v>2394</v>
      </c>
    </row>
    <row r="1484" spans="1:20">
      <c r="A1484" s="55">
        <v>132058425180</v>
      </c>
      <c r="B1484" s="53" t="s">
        <v>2386</v>
      </c>
      <c r="C1484" s="54">
        <v>45962</v>
      </c>
      <c r="D1484" s="55">
        <v>52468044618</v>
      </c>
      <c r="E1484" s="55">
        <v>2109447347847</v>
      </c>
      <c r="F1484" s="56" t="s">
        <v>2387</v>
      </c>
      <c r="G1484" s="56" t="s">
        <v>2388</v>
      </c>
      <c r="H1484" s="56" t="s">
        <v>8</v>
      </c>
      <c r="I1484" s="55" t="s">
        <v>8</v>
      </c>
      <c r="J1484" s="57">
        <v>372.48</v>
      </c>
      <c r="K1484" s="56" t="s">
        <v>2389</v>
      </c>
      <c r="L1484" s="56" t="s">
        <v>2390</v>
      </c>
      <c r="M1484" s="55" t="s">
        <v>2391</v>
      </c>
      <c r="N1484" s="56" t="s">
        <v>2392</v>
      </c>
      <c r="O1484" s="53" t="s">
        <v>8</v>
      </c>
      <c r="P1484" s="56" t="s">
        <v>2985</v>
      </c>
      <c r="Q1484" s="57">
        <v>38400</v>
      </c>
      <c r="R1484" s="58" t="s">
        <v>8</v>
      </c>
      <c r="S1484" s="57" t="s">
        <v>8</v>
      </c>
      <c r="T1484" s="56" t="s">
        <v>2394</v>
      </c>
    </row>
    <row r="1485" spans="1:20">
      <c r="A1485" s="55">
        <v>131461803783</v>
      </c>
      <c r="B1485" s="53" t="s">
        <v>2386</v>
      </c>
      <c r="C1485" s="54">
        <v>45962</v>
      </c>
      <c r="D1485" s="55">
        <v>52468371775</v>
      </c>
      <c r="E1485" s="55">
        <v>2109545899066</v>
      </c>
      <c r="F1485" s="56" t="s">
        <v>2387</v>
      </c>
      <c r="G1485" s="56" t="s">
        <v>2388</v>
      </c>
      <c r="H1485" s="56" t="s">
        <v>8</v>
      </c>
      <c r="I1485" s="55" t="s">
        <v>8</v>
      </c>
      <c r="J1485" s="57">
        <v>193.03</v>
      </c>
      <c r="K1485" s="56" t="s">
        <v>2389</v>
      </c>
      <c r="L1485" s="56" t="s">
        <v>2390</v>
      </c>
      <c r="M1485" s="55" t="s">
        <v>2391</v>
      </c>
      <c r="N1485" s="56" t="s">
        <v>2392</v>
      </c>
      <c r="O1485" s="53" t="s">
        <v>8</v>
      </c>
      <c r="P1485" s="56" t="s">
        <v>2986</v>
      </c>
      <c r="Q1485" s="57">
        <v>19900</v>
      </c>
      <c r="R1485" s="58" t="s">
        <v>8</v>
      </c>
      <c r="S1485" s="57" t="s">
        <v>8</v>
      </c>
      <c r="T1485" s="56" t="s">
        <v>2394</v>
      </c>
    </row>
    <row r="1486" spans="1:20">
      <c r="A1486" s="55">
        <v>131462014055</v>
      </c>
      <c r="B1486" s="53" t="s">
        <v>2386</v>
      </c>
      <c r="C1486" s="54">
        <v>45962</v>
      </c>
      <c r="D1486" s="55">
        <v>52468494945</v>
      </c>
      <c r="E1486" s="55">
        <v>2109453648723</v>
      </c>
      <c r="F1486" s="56" t="s">
        <v>2387</v>
      </c>
      <c r="G1486" s="56" t="s">
        <v>2388</v>
      </c>
      <c r="H1486" s="56" t="s">
        <v>8</v>
      </c>
      <c r="I1486" s="55" t="s">
        <v>8</v>
      </c>
      <c r="J1486" s="57">
        <v>285.18</v>
      </c>
      <c r="K1486" s="56" t="s">
        <v>2389</v>
      </c>
      <c r="L1486" s="56" t="s">
        <v>2390</v>
      </c>
      <c r="M1486" s="55" t="s">
        <v>2391</v>
      </c>
      <c r="N1486" s="56" t="s">
        <v>2392</v>
      </c>
      <c r="O1486" s="53" t="s">
        <v>8</v>
      </c>
      <c r="P1486" s="56" t="s">
        <v>2987</v>
      </c>
      <c r="Q1486" s="57">
        <v>29400</v>
      </c>
      <c r="R1486" s="58" t="s">
        <v>8</v>
      </c>
      <c r="S1486" s="57" t="s">
        <v>8</v>
      </c>
      <c r="T1486" s="56" t="s">
        <v>2394</v>
      </c>
    </row>
    <row r="1487" spans="1:20">
      <c r="A1487" s="55">
        <v>132059566050</v>
      </c>
      <c r="B1487" s="53" t="s">
        <v>2386</v>
      </c>
      <c r="C1487" s="54">
        <v>45962</v>
      </c>
      <c r="D1487" s="55">
        <v>52468523409</v>
      </c>
      <c r="E1487" s="55">
        <v>2109454501365</v>
      </c>
      <c r="F1487" s="56" t="s">
        <v>2387</v>
      </c>
      <c r="G1487" s="56" t="s">
        <v>2388</v>
      </c>
      <c r="H1487" s="56" t="s">
        <v>8</v>
      </c>
      <c r="I1487" s="55" t="s">
        <v>8</v>
      </c>
      <c r="J1487" s="57">
        <v>328.83</v>
      </c>
      <c r="K1487" s="56" t="s">
        <v>2389</v>
      </c>
      <c r="L1487" s="56" t="s">
        <v>2390</v>
      </c>
      <c r="M1487" s="55" t="s">
        <v>2391</v>
      </c>
      <c r="N1487" s="56" t="s">
        <v>2392</v>
      </c>
      <c r="O1487" s="53" t="s">
        <v>8</v>
      </c>
      <c r="P1487" s="56" t="s">
        <v>2795</v>
      </c>
      <c r="Q1487" s="57">
        <v>33900</v>
      </c>
      <c r="R1487" s="58" t="s">
        <v>8</v>
      </c>
      <c r="S1487" s="57" t="s">
        <v>8</v>
      </c>
      <c r="T1487" s="56" t="s">
        <v>2394</v>
      </c>
    </row>
    <row r="1488" spans="1:20">
      <c r="A1488" s="55">
        <v>132059906366</v>
      </c>
      <c r="B1488" s="53" t="s">
        <v>2386</v>
      </c>
      <c r="C1488" s="54">
        <v>45962</v>
      </c>
      <c r="D1488" s="55">
        <v>52468602806</v>
      </c>
      <c r="E1488" s="55">
        <v>2109455572967</v>
      </c>
      <c r="F1488" s="56" t="s">
        <v>2387</v>
      </c>
      <c r="G1488" s="56" t="s">
        <v>2388</v>
      </c>
      <c r="H1488" s="56" t="s">
        <v>8</v>
      </c>
      <c r="I1488" s="55" t="s">
        <v>8</v>
      </c>
      <c r="J1488" s="57">
        <v>199.82</v>
      </c>
      <c r="K1488" s="56" t="s">
        <v>2389</v>
      </c>
      <c r="L1488" s="56" t="s">
        <v>2390</v>
      </c>
      <c r="M1488" s="55" t="s">
        <v>2391</v>
      </c>
      <c r="N1488" s="56" t="s">
        <v>2392</v>
      </c>
      <c r="O1488" s="53" t="s">
        <v>8</v>
      </c>
      <c r="P1488" s="56" t="s">
        <v>2773</v>
      </c>
      <c r="Q1488" s="57">
        <v>20600</v>
      </c>
      <c r="R1488" s="58" t="s">
        <v>8</v>
      </c>
      <c r="S1488" s="57" t="s">
        <v>8</v>
      </c>
      <c r="T1488" s="56" t="s">
        <v>2394</v>
      </c>
    </row>
    <row r="1489" spans="1:20">
      <c r="A1489" s="55">
        <v>132059777870</v>
      </c>
      <c r="B1489" s="53" t="s">
        <v>2386</v>
      </c>
      <c r="C1489" s="54">
        <v>45962</v>
      </c>
      <c r="D1489" s="55">
        <v>52468608761</v>
      </c>
      <c r="E1489" s="55">
        <v>2109549438422</v>
      </c>
      <c r="F1489" s="56" t="s">
        <v>2387</v>
      </c>
      <c r="G1489" s="56" t="s">
        <v>2388</v>
      </c>
      <c r="H1489" s="56" t="s">
        <v>8</v>
      </c>
      <c r="I1489" s="55" t="s">
        <v>8</v>
      </c>
      <c r="J1489" s="57">
        <v>106.7</v>
      </c>
      <c r="K1489" s="56" t="s">
        <v>2389</v>
      </c>
      <c r="L1489" s="56" t="s">
        <v>2390</v>
      </c>
      <c r="M1489" s="55" t="s">
        <v>2391</v>
      </c>
      <c r="N1489" s="56" t="s">
        <v>2392</v>
      </c>
      <c r="O1489" s="53" t="s">
        <v>8</v>
      </c>
      <c r="P1489" s="56" t="s">
        <v>2988</v>
      </c>
      <c r="Q1489" s="57">
        <v>11000</v>
      </c>
      <c r="R1489" s="58" t="s">
        <v>8</v>
      </c>
      <c r="S1489" s="57" t="s">
        <v>8</v>
      </c>
      <c r="T1489" s="56" t="s">
        <v>2394</v>
      </c>
    </row>
    <row r="1490" spans="1:20">
      <c r="A1490" s="55">
        <v>132142231840</v>
      </c>
      <c r="B1490" s="53" t="s">
        <v>2386</v>
      </c>
      <c r="C1490" s="54">
        <v>45962</v>
      </c>
      <c r="D1490" s="55">
        <v>52502431153</v>
      </c>
      <c r="E1490" s="55">
        <v>2109957504557</v>
      </c>
      <c r="F1490" s="56" t="s">
        <v>2401</v>
      </c>
      <c r="G1490" s="56" t="s">
        <v>2388</v>
      </c>
      <c r="H1490" s="56" t="s">
        <v>8</v>
      </c>
      <c r="I1490" s="55" t="s">
        <v>8</v>
      </c>
      <c r="J1490" s="57">
        <v>377.28</v>
      </c>
      <c r="K1490" s="56" t="s">
        <v>2389</v>
      </c>
      <c r="L1490" s="56" t="s">
        <v>2402</v>
      </c>
      <c r="M1490" s="55" t="s">
        <v>2391</v>
      </c>
      <c r="N1490" s="56" t="s">
        <v>2392</v>
      </c>
      <c r="O1490" s="53" t="s">
        <v>2055</v>
      </c>
      <c r="P1490" s="56" t="s">
        <v>2403</v>
      </c>
      <c r="Q1490" s="57">
        <v>9600</v>
      </c>
      <c r="R1490" s="58" t="s">
        <v>8</v>
      </c>
      <c r="S1490" s="57" t="s">
        <v>8</v>
      </c>
      <c r="T1490" s="56" t="s">
        <v>2394</v>
      </c>
    </row>
    <row r="1491" spans="1:20">
      <c r="A1491" s="55">
        <v>132151858318</v>
      </c>
      <c r="B1491" s="53" t="s">
        <v>2386</v>
      </c>
      <c r="C1491" s="54">
        <v>45962</v>
      </c>
      <c r="D1491" s="55">
        <v>52505863623</v>
      </c>
      <c r="E1491" s="55">
        <v>2110110115826</v>
      </c>
      <c r="F1491" s="56" t="s">
        <v>2401</v>
      </c>
      <c r="G1491" s="56" t="s">
        <v>2388</v>
      </c>
      <c r="H1491" s="56" t="s">
        <v>8</v>
      </c>
      <c r="I1491" s="55" t="s">
        <v>8</v>
      </c>
      <c r="J1491" s="57">
        <v>919.62</v>
      </c>
      <c r="K1491" s="56" t="s">
        <v>2389</v>
      </c>
      <c r="L1491" s="56" t="s">
        <v>2402</v>
      </c>
      <c r="M1491" s="55" t="s">
        <v>2391</v>
      </c>
      <c r="N1491" s="56" t="s">
        <v>2392</v>
      </c>
      <c r="O1491" s="53" t="s">
        <v>2055</v>
      </c>
      <c r="P1491" s="56" t="s">
        <v>2403</v>
      </c>
      <c r="Q1491" s="57">
        <v>23400</v>
      </c>
      <c r="R1491" s="58" t="s">
        <v>8</v>
      </c>
      <c r="S1491" s="57" t="s">
        <v>8</v>
      </c>
      <c r="T1491" s="56" t="s">
        <v>2394</v>
      </c>
    </row>
    <row r="1492" spans="1:20">
      <c r="A1492" s="55">
        <v>131557771975</v>
      </c>
      <c r="B1492" s="53" t="s">
        <v>2386</v>
      </c>
      <c r="C1492" s="54">
        <v>45962</v>
      </c>
      <c r="D1492" s="55">
        <v>52507287560</v>
      </c>
      <c r="E1492" s="55">
        <v>2110040176893</v>
      </c>
      <c r="F1492" s="56" t="s">
        <v>2401</v>
      </c>
      <c r="G1492" s="56" t="s">
        <v>2388</v>
      </c>
      <c r="H1492" s="56" t="s">
        <v>8</v>
      </c>
      <c r="I1492" s="55" t="s">
        <v>8</v>
      </c>
      <c r="J1492" s="57">
        <v>455.88</v>
      </c>
      <c r="K1492" s="56" t="s">
        <v>2389</v>
      </c>
      <c r="L1492" s="56" t="s">
        <v>2402</v>
      </c>
      <c r="M1492" s="55" t="s">
        <v>2391</v>
      </c>
      <c r="N1492" s="56" t="s">
        <v>2392</v>
      </c>
      <c r="O1492" s="53" t="s">
        <v>2055</v>
      </c>
      <c r="P1492" s="56" t="s">
        <v>2403</v>
      </c>
      <c r="Q1492" s="57">
        <v>11600</v>
      </c>
      <c r="R1492" s="58" t="s">
        <v>8</v>
      </c>
      <c r="S1492" s="57" t="s">
        <v>8</v>
      </c>
      <c r="T1492" s="56" t="s">
        <v>2394</v>
      </c>
    </row>
    <row r="1493" spans="1:20">
      <c r="A1493" s="55">
        <v>132156161244</v>
      </c>
      <c r="B1493" s="53" t="s">
        <v>2386</v>
      </c>
      <c r="C1493" s="54">
        <v>45962</v>
      </c>
      <c r="D1493" s="55">
        <v>52507477654</v>
      </c>
      <c r="E1493" s="55">
        <v>2110043484755</v>
      </c>
      <c r="F1493" s="56" t="s">
        <v>2401</v>
      </c>
      <c r="G1493" s="56" t="s">
        <v>2388</v>
      </c>
      <c r="H1493" s="56" t="s">
        <v>8</v>
      </c>
      <c r="I1493" s="55" t="s">
        <v>8</v>
      </c>
      <c r="J1493" s="57">
        <v>565.91999999999996</v>
      </c>
      <c r="K1493" s="56" t="s">
        <v>2389</v>
      </c>
      <c r="L1493" s="56" t="s">
        <v>2402</v>
      </c>
      <c r="M1493" s="55" t="s">
        <v>2391</v>
      </c>
      <c r="N1493" s="56" t="s">
        <v>2392</v>
      </c>
      <c r="O1493" s="53" t="s">
        <v>2055</v>
      </c>
      <c r="P1493" s="56" t="s">
        <v>2403</v>
      </c>
      <c r="Q1493" s="57">
        <v>14400</v>
      </c>
      <c r="R1493" s="58" t="s">
        <v>8</v>
      </c>
      <c r="S1493" s="57" t="s">
        <v>8</v>
      </c>
      <c r="T1493" s="56" t="s">
        <v>2394</v>
      </c>
    </row>
    <row r="1494" spans="1:20">
      <c r="A1494" s="55">
        <v>132156526470</v>
      </c>
      <c r="B1494" s="53" t="s">
        <v>2386</v>
      </c>
      <c r="C1494" s="54">
        <v>45962</v>
      </c>
      <c r="D1494" s="55">
        <v>52507568439</v>
      </c>
      <c r="E1494" s="55">
        <v>2110139487244</v>
      </c>
      <c r="F1494" s="56" t="s">
        <v>2387</v>
      </c>
      <c r="G1494" s="56" t="s">
        <v>2388</v>
      </c>
      <c r="H1494" s="56" t="s">
        <v>8</v>
      </c>
      <c r="I1494" s="55" t="s">
        <v>8</v>
      </c>
      <c r="J1494" s="57">
        <v>285.18</v>
      </c>
      <c r="K1494" s="56" t="s">
        <v>2389</v>
      </c>
      <c r="L1494" s="56" t="s">
        <v>2390</v>
      </c>
      <c r="M1494" s="55" t="s">
        <v>2391</v>
      </c>
      <c r="N1494" s="56" t="s">
        <v>2392</v>
      </c>
      <c r="O1494" s="53" t="s">
        <v>8</v>
      </c>
      <c r="P1494" s="56" t="s">
        <v>2989</v>
      </c>
      <c r="Q1494" s="57">
        <v>29400</v>
      </c>
      <c r="R1494" s="58" t="s">
        <v>8</v>
      </c>
      <c r="S1494" s="57" t="s">
        <v>8</v>
      </c>
      <c r="T1494" s="56" t="s">
        <v>2394</v>
      </c>
    </row>
    <row r="1495" spans="1:20">
      <c r="A1495" s="55">
        <v>132156880960</v>
      </c>
      <c r="B1495" s="53" t="s">
        <v>2386</v>
      </c>
      <c r="C1495" s="54">
        <v>45962</v>
      </c>
      <c r="D1495" s="55">
        <v>52507699854</v>
      </c>
      <c r="E1495" s="55">
        <v>2110047301617</v>
      </c>
      <c r="F1495" s="56" t="s">
        <v>2401</v>
      </c>
      <c r="G1495" s="56" t="s">
        <v>2388</v>
      </c>
      <c r="H1495" s="56" t="s">
        <v>8</v>
      </c>
      <c r="I1495" s="55" t="s">
        <v>8</v>
      </c>
      <c r="J1495" s="57">
        <v>385.14</v>
      </c>
      <c r="K1495" s="56" t="s">
        <v>2389</v>
      </c>
      <c r="L1495" s="56" t="s">
        <v>2402</v>
      </c>
      <c r="M1495" s="55" t="s">
        <v>2391</v>
      </c>
      <c r="N1495" s="56" t="s">
        <v>2392</v>
      </c>
      <c r="O1495" s="53" t="s">
        <v>2055</v>
      </c>
      <c r="P1495" s="56" t="s">
        <v>2403</v>
      </c>
      <c r="Q1495" s="57">
        <v>9800</v>
      </c>
      <c r="R1495" s="58" t="s">
        <v>8</v>
      </c>
      <c r="S1495" s="57" t="s">
        <v>8</v>
      </c>
      <c r="T1495" s="56" t="s">
        <v>2394</v>
      </c>
    </row>
    <row r="1496" spans="1:20">
      <c r="A1496" s="55">
        <v>131560760339</v>
      </c>
      <c r="B1496" s="53" t="s">
        <v>2386</v>
      </c>
      <c r="C1496" s="54">
        <v>45962</v>
      </c>
      <c r="D1496" s="55">
        <v>52508277962</v>
      </c>
      <c r="E1496" s="55">
        <v>2110151387276</v>
      </c>
      <c r="F1496" s="56" t="s">
        <v>2387</v>
      </c>
      <c r="G1496" s="56" t="s">
        <v>2388</v>
      </c>
      <c r="H1496" s="56" t="s">
        <v>8</v>
      </c>
      <c r="I1496" s="55" t="s">
        <v>8</v>
      </c>
      <c r="J1496" s="57">
        <v>204.67</v>
      </c>
      <c r="K1496" s="56" t="s">
        <v>2389</v>
      </c>
      <c r="L1496" s="56" t="s">
        <v>2390</v>
      </c>
      <c r="M1496" s="55" t="s">
        <v>2391</v>
      </c>
      <c r="N1496" s="56" t="s">
        <v>2392</v>
      </c>
      <c r="O1496" s="53" t="s">
        <v>8</v>
      </c>
      <c r="P1496" s="56" t="s">
        <v>2990</v>
      </c>
      <c r="Q1496" s="57">
        <v>21100</v>
      </c>
      <c r="R1496" s="58" t="s">
        <v>8</v>
      </c>
      <c r="S1496" s="57" t="s">
        <v>8</v>
      </c>
      <c r="T1496" s="56" t="s">
        <v>2394</v>
      </c>
    </row>
    <row r="1497" spans="1:20">
      <c r="A1497" s="55">
        <v>131561116095</v>
      </c>
      <c r="B1497" s="53" t="s">
        <v>2386</v>
      </c>
      <c r="C1497" s="54">
        <v>45962</v>
      </c>
      <c r="D1497" s="55">
        <v>52508448629</v>
      </c>
      <c r="E1497" s="55">
        <v>2110154525956</v>
      </c>
      <c r="F1497" s="56" t="s">
        <v>2387</v>
      </c>
      <c r="G1497" s="56" t="s">
        <v>2388</v>
      </c>
      <c r="H1497" s="56" t="s">
        <v>8</v>
      </c>
      <c r="I1497" s="55" t="s">
        <v>8</v>
      </c>
      <c r="J1497" s="57">
        <v>112.52</v>
      </c>
      <c r="K1497" s="56" t="s">
        <v>2389</v>
      </c>
      <c r="L1497" s="56" t="s">
        <v>2390</v>
      </c>
      <c r="M1497" s="55" t="s">
        <v>2391</v>
      </c>
      <c r="N1497" s="56" t="s">
        <v>2392</v>
      </c>
      <c r="O1497" s="53" t="s">
        <v>8</v>
      </c>
      <c r="P1497" s="56" t="s">
        <v>2991</v>
      </c>
      <c r="Q1497" s="57">
        <v>11600</v>
      </c>
      <c r="R1497" s="58" t="s">
        <v>8</v>
      </c>
      <c r="S1497" s="57" t="s">
        <v>8</v>
      </c>
      <c r="T1497" s="56" t="s">
        <v>2394</v>
      </c>
    </row>
    <row r="1498" spans="1:20">
      <c r="A1498" s="55">
        <v>131563913679</v>
      </c>
      <c r="B1498" s="53" t="s">
        <v>2386</v>
      </c>
      <c r="C1498" s="54">
        <v>45962</v>
      </c>
      <c r="D1498" s="55">
        <v>52509430891</v>
      </c>
      <c r="E1498" s="55">
        <v>2110171847224</v>
      </c>
      <c r="F1498" s="56" t="s">
        <v>2475</v>
      </c>
      <c r="G1498" s="56" t="s">
        <v>2388</v>
      </c>
      <c r="H1498" s="56" t="s">
        <v>8</v>
      </c>
      <c r="I1498" s="55" t="s">
        <v>8</v>
      </c>
      <c r="J1498" s="57">
        <v>37.49</v>
      </c>
      <c r="K1498" s="56" t="s">
        <v>2389</v>
      </c>
      <c r="L1498" s="56" t="s">
        <v>2390</v>
      </c>
      <c r="M1498" s="55" t="s">
        <v>2391</v>
      </c>
      <c r="N1498" s="56" t="s">
        <v>2392</v>
      </c>
      <c r="O1498" s="53" t="s">
        <v>8</v>
      </c>
      <c r="P1498" s="56" t="s">
        <v>2634</v>
      </c>
      <c r="Q1498" s="57">
        <v>2300</v>
      </c>
      <c r="R1498" s="58" t="s">
        <v>8</v>
      </c>
      <c r="S1498" s="57" t="s">
        <v>8</v>
      </c>
      <c r="T1498" s="56" t="s">
        <v>2394</v>
      </c>
    </row>
    <row r="1499" spans="1:20">
      <c r="A1499" s="55">
        <v>131564596361</v>
      </c>
      <c r="B1499" s="53" t="s">
        <v>2386</v>
      </c>
      <c r="C1499" s="54">
        <v>45962</v>
      </c>
      <c r="D1499" s="55">
        <v>52509632705</v>
      </c>
      <c r="E1499" s="55">
        <v>2110175378590</v>
      </c>
      <c r="F1499" s="56" t="s">
        <v>2401</v>
      </c>
      <c r="G1499" s="56" t="s">
        <v>2388</v>
      </c>
      <c r="H1499" s="56" t="s">
        <v>8</v>
      </c>
      <c r="I1499" s="55" t="s">
        <v>8</v>
      </c>
      <c r="J1499" s="57">
        <v>662.84</v>
      </c>
      <c r="K1499" s="56" t="s">
        <v>2389</v>
      </c>
      <c r="L1499" s="56" t="s">
        <v>2402</v>
      </c>
      <c r="M1499" s="55" t="s">
        <v>2391</v>
      </c>
      <c r="N1499" s="56" t="s">
        <v>2392</v>
      </c>
      <c r="O1499" s="53" t="s">
        <v>2055</v>
      </c>
      <c r="P1499" s="56" t="s">
        <v>2403</v>
      </c>
      <c r="Q1499" s="57">
        <v>14600</v>
      </c>
      <c r="R1499" s="58" t="s">
        <v>8</v>
      </c>
      <c r="S1499" s="57" t="s">
        <v>8</v>
      </c>
      <c r="T1499" s="56" t="s">
        <v>2394</v>
      </c>
    </row>
    <row r="1500" spans="1:20">
      <c r="A1500" s="55">
        <v>132167577648</v>
      </c>
      <c r="B1500" s="53" t="s">
        <v>2386</v>
      </c>
      <c r="C1500" s="54">
        <v>45962</v>
      </c>
      <c r="D1500" s="55">
        <v>52511499068</v>
      </c>
      <c r="E1500" s="55">
        <v>2110112718221</v>
      </c>
      <c r="F1500" s="56" t="s">
        <v>2401</v>
      </c>
      <c r="G1500" s="56" t="s">
        <v>2388</v>
      </c>
      <c r="H1500" s="56" t="s">
        <v>8</v>
      </c>
      <c r="I1500" s="55" t="s">
        <v>8</v>
      </c>
      <c r="J1500" s="57">
        <v>1190.79</v>
      </c>
      <c r="K1500" s="56" t="s">
        <v>2389</v>
      </c>
      <c r="L1500" s="56" t="s">
        <v>2402</v>
      </c>
      <c r="M1500" s="55" t="s">
        <v>2391</v>
      </c>
      <c r="N1500" s="56" t="s">
        <v>2392</v>
      </c>
      <c r="O1500" s="53" t="s">
        <v>2055</v>
      </c>
      <c r="P1500" s="56" t="s">
        <v>2403</v>
      </c>
      <c r="Q1500" s="57">
        <v>30300</v>
      </c>
      <c r="R1500" s="58" t="s">
        <v>8</v>
      </c>
      <c r="S1500" s="57" t="s">
        <v>8</v>
      </c>
      <c r="T1500" s="56" t="s">
        <v>2394</v>
      </c>
    </row>
    <row r="1501" spans="1:20">
      <c r="A1501" s="55">
        <v>132167613940</v>
      </c>
      <c r="B1501" s="53" t="s">
        <v>2386</v>
      </c>
      <c r="C1501" s="54">
        <v>45962</v>
      </c>
      <c r="D1501" s="55">
        <v>52511519253</v>
      </c>
      <c r="E1501" s="55">
        <v>2110207207078</v>
      </c>
      <c r="F1501" s="56" t="s">
        <v>2387</v>
      </c>
      <c r="G1501" s="56" t="s">
        <v>2388</v>
      </c>
      <c r="H1501" s="56" t="s">
        <v>8</v>
      </c>
      <c r="I1501" s="55" t="s">
        <v>8</v>
      </c>
      <c r="J1501" s="57">
        <v>351.14</v>
      </c>
      <c r="K1501" s="56" t="s">
        <v>2389</v>
      </c>
      <c r="L1501" s="56" t="s">
        <v>2390</v>
      </c>
      <c r="M1501" s="55" t="s">
        <v>2391</v>
      </c>
      <c r="N1501" s="56" t="s">
        <v>2392</v>
      </c>
      <c r="O1501" s="53" t="s">
        <v>8</v>
      </c>
      <c r="P1501" s="56" t="s">
        <v>2992</v>
      </c>
      <c r="Q1501" s="57">
        <v>36200</v>
      </c>
      <c r="R1501" s="58" t="s">
        <v>8</v>
      </c>
      <c r="S1501" s="57" t="s">
        <v>8</v>
      </c>
      <c r="T1501" s="56" t="s">
        <v>2394</v>
      </c>
    </row>
    <row r="1502" spans="1:20">
      <c r="A1502" s="55">
        <v>132167850164</v>
      </c>
      <c r="B1502" s="53" t="s">
        <v>2386</v>
      </c>
      <c r="C1502" s="54">
        <v>45962</v>
      </c>
      <c r="D1502" s="55">
        <v>52511553569</v>
      </c>
      <c r="E1502" s="55">
        <v>2110208056806</v>
      </c>
      <c r="F1502" s="56" t="s">
        <v>2401</v>
      </c>
      <c r="G1502" s="56" t="s">
        <v>2388</v>
      </c>
      <c r="H1502" s="56" t="s">
        <v>8</v>
      </c>
      <c r="I1502" s="55" t="s">
        <v>8</v>
      </c>
      <c r="J1502" s="57">
        <v>2322.63</v>
      </c>
      <c r="K1502" s="56" t="s">
        <v>2389</v>
      </c>
      <c r="L1502" s="56" t="s">
        <v>2402</v>
      </c>
      <c r="M1502" s="55" t="s">
        <v>2391</v>
      </c>
      <c r="N1502" s="56" t="s">
        <v>2392</v>
      </c>
      <c r="O1502" s="53" t="s">
        <v>2055</v>
      </c>
      <c r="P1502" s="56" t="s">
        <v>2403</v>
      </c>
      <c r="Q1502" s="57">
        <v>59100</v>
      </c>
      <c r="R1502" s="58" t="s">
        <v>8</v>
      </c>
      <c r="S1502" s="57" t="s">
        <v>8</v>
      </c>
      <c r="T1502" s="56" t="s">
        <v>2394</v>
      </c>
    </row>
    <row r="1503" spans="1:20">
      <c r="A1503" s="55">
        <v>131570532387</v>
      </c>
      <c r="B1503" s="53" t="s">
        <v>2386</v>
      </c>
      <c r="C1503" s="54">
        <v>45962</v>
      </c>
      <c r="D1503" s="55">
        <v>52511741657</v>
      </c>
      <c r="E1503" s="55">
        <v>2110116953553</v>
      </c>
      <c r="F1503" s="56" t="s">
        <v>2401</v>
      </c>
      <c r="G1503" s="56" t="s">
        <v>2388</v>
      </c>
      <c r="H1503" s="56" t="s">
        <v>8</v>
      </c>
      <c r="I1503" s="55" t="s">
        <v>8</v>
      </c>
      <c r="J1503" s="57">
        <v>1045.3800000000001</v>
      </c>
      <c r="K1503" s="56" t="s">
        <v>2389</v>
      </c>
      <c r="L1503" s="56" t="s">
        <v>2402</v>
      </c>
      <c r="M1503" s="55" t="s">
        <v>2391</v>
      </c>
      <c r="N1503" s="56" t="s">
        <v>2392</v>
      </c>
      <c r="O1503" s="53" t="s">
        <v>2055</v>
      </c>
      <c r="P1503" s="56" t="s">
        <v>2403</v>
      </c>
      <c r="Q1503" s="57">
        <v>26600</v>
      </c>
      <c r="R1503" s="58" t="s">
        <v>8</v>
      </c>
      <c r="S1503" s="57" t="s">
        <v>8</v>
      </c>
      <c r="T1503" s="56" t="s">
        <v>2394</v>
      </c>
    </row>
    <row r="1504" spans="1:20">
      <c r="A1504" s="55">
        <v>132168375198</v>
      </c>
      <c r="B1504" s="53" t="s">
        <v>2386</v>
      </c>
      <c r="C1504" s="54">
        <v>45962</v>
      </c>
      <c r="D1504" s="55">
        <v>52511782345</v>
      </c>
      <c r="E1504" s="55">
        <v>2110117660405</v>
      </c>
      <c r="F1504" s="56" t="s">
        <v>2401</v>
      </c>
      <c r="G1504" s="56" t="s">
        <v>2388</v>
      </c>
      <c r="H1504" s="56" t="s">
        <v>8</v>
      </c>
      <c r="I1504" s="55" t="s">
        <v>8</v>
      </c>
      <c r="J1504" s="57">
        <v>1021.8</v>
      </c>
      <c r="K1504" s="56" t="s">
        <v>2389</v>
      </c>
      <c r="L1504" s="56" t="s">
        <v>2402</v>
      </c>
      <c r="M1504" s="55" t="s">
        <v>2391</v>
      </c>
      <c r="N1504" s="56" t="s">
        <v>2392</v>
      </c>
      <c r="O1504" s="53" t="s">
        <v>2055</v>
      </c>
      <c r="P1504" s="56" t="s">
        <v>2403</v>
      </c>
      <c r="Q1504" s="57">
        <v>26000</v>
      </c>
      <c r="R1504" s="58" t="s">
        <v>8</v>
      </c>
      <c r="S1504" s="57" t="s">
        <v>8</v>
      </c>
      <c r="T1504" s="56" t="s">
        <v>2394</v>
      </c>
    </row>
    <row r="1505" spans="1:20">
      <c r="A1505" s="55">
        <v>131570693323</v>
      </c>
      <c r="B1505" s="53" t="s">
        <v>2386</v>
      </c>
      <c r="C1505" s="54">
        <v>45962</v>
      </c>
      <c r="D1505" s="55">
        <v>52511836129</v>
      </c>
      <c r="E1505" s="55">
        <v>2110118107989</v>
      </c>
      <c r="F1505" s="56" t="s">
        <v>2401</v>
      </c>
      <c r="G1505" s="56" t="s">
        <v>2388</v>
      </c>
      <c r="H1505" s="56" t="s">
        <v>8</v>
      </c>
      <c r="I1505" s="55" t="s">
        <v>8</v>
      </c>
      <c r="J1505" s="57">
        <v>377.28</v>
      </c>
      <c r="K1505" s="56" t="s">
        <v>2389</v>
      </c>
      <c r="L1505" s="56" t="s">
        <v>2402</v>
      </c>
      <c r="M1505" s="55" t="s">
        <v>2391</v>
      </c>
      <c r="N1505" s="56" t="s">
        <v>2392</v>
      </c>
      <c r="O1505" s="53" t="s">
        <v>2055</v>
      </c>
      <c r="P1505" s="56" t="s">
        <v>2403</v>
      </c>
      <c r="Q1505" s="57">
        <v>9600</v>
      </c>
      <c r="R1505" s="58" t="s">
        <v>8</v>
      </c>
      <c r="S1505" s="57" t="s">
        <v>8</v>
      </c>
      <c r="T1505" s="56" t="s">
        <v>2394</v>
      </c>
    </row>
    <row r="1506" spans="1:20">
      <c r="A1506" s="55">
        <v>132169724314</v>
      </c>
      <c r="B1506" s="53" t="s">
        <v>2386</v>
      </c>
      <c r="C1506" s="54">
        <v>45962</v>
      </c>
      <c r="D1506" s="55">
        <v>52512228186</v>
      </c>
      <c r="E1506" s="55">
        <v>2110219302176</v>
      </c>
      <c r="F1506" s="56" t="s">
        <v>2387</v>
      </c>
      <c r="G1506" s="56" t="s">
        <v>2388</v>
      </c>
      <c r="H1506" s="56" t="s">
        <v>8</v>
      </c>
      <c r="I1506" s="55" t="s">
        <v>8</v>
      </c>
      <c r="J1506" s="57">
        <v>2693.94</v>
      </c>
      <c r="K1506" s="56" t="s">
        <v>2389</v>
      </c>
      <c r="L1506" s="56" t="s">
        <v>2390</v>
      </c>
      <c r="M1506" s="55" t="s">
        <v>2391</v>
      </c>
      <c r="N1506" s="56" t="s">
        <v>2392</v>
      </c>
      <c r="O1506" s="53" t="s">
        <v>8</v>
      </c>
      <c r="P1506" s="56" t="s">
        <v>2993</v>
      </c>
      <c r="Q1506" s="57">
        <v>35400</v>
      </c>
      <c r="R1506" s="58" t="s">
        <v>8</v>
      </c>
      <c r="S1506" s="57" t="s">
        <v>8</v>
      </c>
      <c r="T1506" s="56" t="s">
        <v>2394</v>
      </c>
    </row>
    <row r="1507" spans="1:20">
      <c r="A1507" s="55">
        <v>131573182899</v>
      </c>
      <c r="B1507" s="53" t="s">
        <v>2386</v>
      </c>
      <c r="C1507" s="54">
        <v>45962</v>
      </c>
      <c r="D1507" s="55">
        <v>52512716553</v>
      </c>
      <c r="E1507" s="55">
        <v>2110227264720</v>
      </c>
      <c r="F1507" s="56" t="s">
        <v>2387</v>
      </c>
      <c r="G1507" s="56" t="s">
        <v>2388</v>
      </c>
      <c r="H1507" s="56" t="s">
        <v>8</v>
      </c>
      <c r="I1507" s="55" t="s">
        <v>8</v>
      </c>
      <c r="J1507" s="57">
        <v>296.82</v>
      </c>
      <c r="K1507" s="56" t="s">
        <v>2389</v>
      </c>
      <c r="L1507" s="56" t="s">
        <v>2390</v>
      </c>
      <c r="M1507" s="55" t="s">
        <v>2391</v>
      </c>
      <c r="N1507" s="56" t="s">
        <v>2392</v>
      </c>
      <c r="O1507" s="53" t="s">
        <v>8</v>
      </c>
      <c r="P1507" s="56" t="s">
        <v>2994</v>
      </c>
      <c r="Q1507" s="57">
        <v>30600</v>
      </c>
      <c r="R1507" s="58" t="s">
        <v>8</v>
      </c>
      <c r="S1507" s="57" t="s">
        <v>8</v>
      </c>
      <c r="T1507" s="56" t="s">
        <v>2394</v>
      </c>
    </row>
    <row r="1508" spans="1:20">
      <c r="A1508" s="55">
        <v>132171323038</v>
      </c>
      <c r="B1508" s="53" t="s">
        <v>2386</v>
      </c>
      <c r="C1508" s="54">
        <v>45962</v>
      </c>
      <c r="D1508" s="55">
        <v>52512840396</v>
      </c>
      <c r="E1508" s="55">
        <v>2110229341642</v>
      </c>
      <c r="F1508" s="56" t="s">
        <v>2387</v>
      </c>
      <c r="G1508" s="56" t="s">
        <v>2388</v>
      </c>
      <c r="H1508" s="56" t="s">
        <v>8</v>
      </c>
      <c r="I1508" s="55" t="s">
        <v>8</v>
      </c>
      <c r="J1508" s="57">
        <v>272.57</v>
      </c>
      <c r="K1508" s="56" t="s">
        <v>2389</v>
      </c>
      <c r="L1508" s="56" t="s">
        <v>2390</v>
      </c>
      <c r="M1508" s="55" t="s">
        <v>2391</v>
      </c>
      <c r="N1508" s="56" t="s">
        <v>2392</v>
      </c>
      <c r="O1508" s="53" t="s">
        <v>8</v>
      </c>
      <c r="P1508" s="56" t="s">
        <v>2995</v>
      </c>
      <c r="Q1508" s="57">
        <v>28100</v>
      </c>
      <c r="R1508" s="58" t="s">
        <v>8</v>
      </c>
      <c r="S1508" s="57" t="s">
        <v>8</v>
      </c>
      <c r="T1508" s="56" t="s">
        <v>2394</v>
      </c>
    </row>
    <row r="1509" spans="1:20">
      <c r="A1509" s="55">
        <v>131573655861</v>
      </c>
      <c r="B1509" s="53" t="s">
        <v>2386</v>
      </c>
      <c r="C1509" s="54">
        <v>45962</v>
      </c>
      <c r="D1509" s="55">
        <v>52512935645</v>
      </c>
      <c r="E1509" s="55">
        <v>2110136532957</v>
      </c>
      <c r="F1509" s="56" t="s">
        <v>2387</v>
      </c>
      <c r="G1509" s="56" t="s">
        <v>2388</v>
      </c>
      <c r="H1509" s="56" t="s">
        <v>8</v>
      </c>
      <c r="I1509" s="55" t="s">
        <v>8</v>
      </c>
      <c r="J1509" s="57">
        <v>291</v>
      </c>
      <c r="K1509" s="56" t="s">
        <v>2389</v>
      </c>
      <c r="L1509" s="56" t="s">
        <v>2390</v>
      </c>
      <c r="M1509" s="55" t="s">
        <v>2391</v>
      </c>
      <c r="N1509" s="56" t="s">
        <v>2392</v>
      </c>
      <c r="O1509" s="53" t="s">
        <v>8</v>
      </c>
      <c r="P1509" s="56" t="s">
        <v>2996</v>
      </c>
      <c r="Q1509" s="57">
        <v>30000</v>
      </c>
      <c r="R1509" s="58" t="s">
        <v>8</v>
      </c>
      <c r="S1509" s="57" t="s">
        <v>8</v>
      </c>
      <c r="T1509" s="56" t="s">
        <v>2394</v>
      </c>
    </row>
    <row r="1510" spans="1:20">
      <c r="A1510" s="55">
        <v>132172242648</v>
      </c>
      <c r="B1510" s="53" t="s">
        <v>2386</v>
      </c>
      <c r="C1510" s="54">
        <v>45962</v>
      </c>
      <c r="D1510" s="55">
        <v>52513158523</v>
      </c>
      <c r="E1510" s="55">
        <v>2110234611276</v>
      </c>
      <c r="F1510" s="56" t="s">
        <v>2401</v>
      </c>
      <c r="G1510" s="56" t="s">
        <v>2388</v>
      </c>
      <c r="H1510" s="56" t="s">
        <v>8</v>
      </c>
      <c r="I1510" s="55" t="s">
        <v>8</v>
      </c>
      <c r="J1510" s="57">
        <v>7733.12</v>
      </c>
      <c r="K1510" s="56" t="s">
        <v>2389</v>
      </c>
      <c r="L1510" s="56" t="s">
        <v>2402</v>
      </c>
      <c r="M1510" s="55" t="s">
        <v>2391</v>
      </c>
      <c r="N1510" s="56" t="s">
        <v>2392</v>
      </c>
      <c r="O1510" s="53" t="s">
        <v>2055</v>
      </c>
      <c r="P1510" s="56" t="s">
        <v>2403</v>
      </c>
      <c r="Q1510" s="57">
        <v>68800</v>
      </c>
      <c r="R1510" s="58" t="s">
        <v>8</v>
      </c>
      <c r="S1510" s="57" t="s">
        <v>8</v>
      </c>
      <c r="T1510" s="56" t="s">
        <v>2394</v>
      </c>
    </row>
    <row r="1511" spans="1:20">
      <c r="A1511" s="55">
        <v>131575087177</v>
      </c>
      <c r="B1511" s="53" t="s">
        <v>2386</v>
      </c>
      <c r="C1511" s="54">
        <v>45962</v>
      </c>
      <c r="D1511" s="55">
        <v>52513400992</v>
      </c>
      <c r="E1511" s="55">
        <v>2110238807532</v>
      </c>
      <c r="F1511" s="56" t="s">
        <v>2387</v>
      </c>
      <c r="G1511" s="56" t="s">
        <v>2388</v>
      </c>
      <c r="H1511" s="56" t="s">
        <v>8</v>
      </c>
      <c r="I1511" s="55" t="s">
        <v>8</v>
      </c>
      <c r="J1511" s="57">
        <v>422.92</v>
      </c>
      <c r="K1511" s="56" t="s">
        <v>2389</v>
      </c>
      <c r="L1511" s="56" t="s">
        <v>2390</v>
      </c>
      <c r="M1511" s="55" t="s">
        <v>2391</v>
      </c>
      <c r="N1511" s="56" t="s">
        <v>2392</v>
      </c>
      <c r="O1511" s="53" t="s">
        <v>8</v>
      </c>
      <c r="P1511" s="56" t="s">
        <v>2997</v>
      </c>
      <c r="Q1511" s="57">
        <v>43600</v>
      </c>
      <c r="R1511" s="58" t="s">
        <v>8</v>
      </c>
      <c r="S1511" s="57" t="s">
        <v>8</v>
      </c>
      <c r="T1511" s="56" t="s">
        <v>2394</v>
      </c>
    </row>
    <row r="1512" spans="1:20">
      <c r="A1512" s="55">
        <v>132172960086</v>
      </c>
      <c r="B1512" s="53" t="s">
        <v>2386</v>
      </c>
      <c r="C1512" s="54">
        <v>45962</v>
      </c>
      <c r="D1512" s="55">
        <v>52513459672</v>
      </c>
      <c r="E1512" s="55">
        <v>2110239642182</v>
      </c>
      <c r="F1512" s="56" t="s">
        <v>2401</v>
      </c>
      <c r="G1512" s="56" t="s">
        <v>2388</v>
      </c>
      <c r="H1512" s="56" t="s">
        <v>8</v>
      </c>
      <c r="I1512" s="55" t="s">
        <v>8</v>
      </c>
      <c r="J1512" s="57">
        <v>2177.2199999999998</v>
      </c>
      <c r="K1512" s="56" t="s">
        <v>2389</v>
      </c>
      <c r="L1512" s="56" t="s">
        <v>2402</v>
      </c>
      <c r="M1512" s="55" t="s">
        <v>2391</v>
      </c>
      <c r="N1512" s="56" t="s">
        <v>2392</v>
      </c>
      <c r="O1512" s="53" t="s">
        <v>2055</v>
      </c>
      <c r="P1512" s="56" t="s">
        <v>2403</v>
      </c>
      <c r="Q1512" s="57">
        <v>55400</v>
      </c>
      <c r="R1512" s="58" t="s">
        <v>8</v>
      </c>
      <c r="S1512" s="57" t="s">
        <v>8</v>
      </c>
      <c r="T1512" s="56" t="s">
        <v>2394</v>
      </c>
    </row>
    <row r="1513" spans="1:20">
      <c r="A1513" s="55">
        <v>131575571071</v>
      </c>
      <c r="B1513" s="53" t="s">
        <v>2386</v>
      </c>
      <c r="C1513" s="54">
        <v>45962</v>
      </c>
      <c r="D1513" s="55">
        <v>52513576859</v>
      </c>
      <c r="E1513" s="55">
        <v>2110241422428</v>
      </c>
      <c r="F1513" s="56" t="s">
        <v>2411</v>
      </c>
      <c r="G1513" s="56" t="s">
        <v>2388</v>
      </c>
      <c r="H1513" s="56" t="s">
        <v>8</v>
      </c>
      <c r="I1513" s="55" t="s">
        <v>8</v>
      </c>
      <c r="J1513" s="57">
        <v>402.55</v>
      </c>
      <c r="K1513" s="56" t="s">
        <v>2389</v>
      </c>
      <c r="L1513" s="56" t="s">
        <v>2390</v>
      </c>
      <c r="M1513" s="55" t="s">
        <v>2391</v>
      </c>
      <c r="N1513" s="56" t="s">
        <v>2392</v>
      </c>
      <c r="O1513" s="53" t="s">
        <v>8</v>
      </c>
      <c r="P1513" s="56" t="s">
        <v>2412</v>
      </c>
      <c r="Q1513" s="57">
        <v>41500</v>
      </c>
      <c r="R1513" s="58" t="s">
        <v>8</v>
      </c>
      <c r="S1513" s="57" t="s">
        <v>8</v>
      </c>
      <c r="T1513" s="56" t="s">
        <v>8</v>
      </c>
    </row>
    <row r="1514" spans="1:20">
      <c r="A1514" s="55">
        <v>131575758323</v>
      </c>
      <c r="B1514" s="53" t="s">
        <v>2386</v>
      </c>
      <c r="C1514" s="54">
        <v>45962</v>
      </c>
      <c r="D1514" s="55">
        <v>52513645226</v>
      </c>
      <c r="E1514" s="55">
        <v>2110242418450</v>
      </c>
      <c r="F1514" s="56" t="s">
        <v>2387</v>
      </c>
      <c r="G1514" s="56" t="s">
        <v>2388</v>
      </c>
      <c r="H1514" s="56" t="s">
        <v>8</v>
      </c>
      <c r="I1514" s="55" t="s">
        <v>8</v>
      </c>
      <c r="J1514" s="57">
        <v>143.56</v>
      </c>
      <c r="K1514" s="56" t="s">
        <v>2389</v>
      </c>
      <c r="L1514" s="56" t="s">
        <v>2390</v>
      </c>
      <c r="M1514" s="55" t="s">
        <v>2391</v>
      </c>
      <c r="N1514" s="56" t="s">
        <v>2392</v>
      </c>
      <c r="O1514" s="53" t="s">
        <v>8</v>
      </c>
      <c r="P1514" s="56" t="s">
        <v>2998</v>
      </c>
      <c r="Q1514" s="57">
        <v>14800</v>
      </c>
      <c r="R1514" s="58" t="s">
        <v>8</v>
      </c>
      <c r="S1514" s="57" t="s">
        <v>8</v>
      </c>
      <c r="T1514" s="56" t="s">
        <v>2394</v>
      </c>
    </row>
    <row r="1515" spans="1:20">
      <c r="A1515" s="55">
        <v>132173642032</v>
      </c>
      <c r="B1515" s="53" t="s">
        <v>2386</v>
      </c>
      <c r="C1515" s="54">
        <v>45962</v>
      </c>
      <c r="D1515" s="55">
        <v>52513715926</v>
      </c>
      <c r="E1515" s="55">
        <v>2110149505873</v>
      </c>
      <c r="F1515" s="56" t="s">
        <v>2401</v>
      </c>
      <c r="G1515" s="56" t="s">
        <v>2388</v>
      </c>
      <c r="H1515" s="56" t="s">
        <v>8</v>
      </c>
      <c r="I1515" s="55" t="s">
        <v>8</v>
      </c>
      <c r="J1515" s="57">
        <v>1924.96</v>
      </c>
      <c r="K1515" s="56" t="s">
        <v>2389</v>
      </c>
      <c r="L1515" s="56" t="s">
        <v>2402</v>
      </c>
      <c r="M1515" s="55" t="s">
        <v>2391</v>
      </c>
      <c r="N1515" s="56" t="s">
        <v>2392</v>
      </c>
      <c r="O1515" s="53" t="s">
        <v>2055</v>
      </c>
      <c r="P1515" s="56" t="s">
        <v>2403</v>
      </c>
      <c r="Q1515" s="57">
        <v>42400</v>
      </c>
      <c r="R1515" s="58" t="s">
        <v>8</v>
      </c>
      <c r="S1515" s="57" t="s">
        <v>8</v>
      </c>
      <c r="T1515" s="56" t="s">
        <v>2394</v>
      </c>
    </row>
    <row r="1516" spans="1:20">
      <c r="A1516" s="55">
        <v>131575921471</v>
      </c>
      <c r="B1516" s="53" t="s">
        <v>2386</v>
      </c>
      <c r="C1516" s="54">
        <v>45962</v>
      </c>
      <c r="D1516" s="55">
        <v>52513722146</v>
      </c>
      <c r="E1516" s="55">
        <v>2110244010954</v>
      </c>
      <c r="F1516" s="56" t="s">
        <v>2401</v>
      </c>
      <c r="G1516" s="56" t="s">
        <v>2388</v>
      </c>
      <c r="H1516" s="56" t="s">
        <v>8</v>
      </c>
      <c r="I1516" s="55" t="s">
        <v>8</v>
      </c>
      <c r="J1516" s="57">
        <v>3112.49</v>
      </c>
      <c r="K1516" s="56" t="s">
        <v>2389</v>
      </c>
      <c r="L1516" s="56" t="s">
        <v>2402</v>
      </c>
      <c r="M1516" s="55" t="s">
        <v>2391</v>
      </c>
      <c r="N1516" s="56" t="s">
        <v>2392</v>
      </c>
      <c r="O1516" s="53" t="s">
        <v>2055</v>
      </c>
      <c r="P1516" s="56" t="s">
        <v>2403</v>
      </c>
      <c r="Q1516" s="57">
        <v>40900</v>
      </c>
      <c r="R1516" s="58" t="s">
        <v>8</v>
      </c>
      <c r="S1516" s="57" t="s">
        <v>8</v>
      </c>
      <c r="T1516" s="56" t="s">
        <v>2394</v>
      </c>
    </row>
    <row r="1517" spans="1:20">
      <c r="A1517" s="55">
        <v>132173998208</v>
      </c>
      <c r="B1517" s="53" t="s">
        <v>2386</v>
      </c>
      <c r="C1517" s="54">
        <v>45962</v>
      </c>
      <c r="D1517" s="55">
        <v>52513776454</v>
      </c>
      <c r="E1517" s="55">
        <v>2110245028650</v>
      </c>
      <c r="F1517" s="56" t="s">
        <v>2387</v>
      </c>
      <c r="G1517" s="56" t="s">
        <v>2388</v>
      </c>
      <c r="H1517" s="56" t="s">
        <v>8</v>
      </c>
      <c r="I1517" s="55" t="s">
        <v>8</v>
      </c>
      <c r="J1517" s="57">
        <v>375.39</v>
      </c>
      <c r="K1517" s="56" t="s">
        <v>2389</v>
      </c>
      <c r="L1517" s="56" t="s">
        <v>2390</v>
      </c>
      <c r="M1517" s="55" t="s">
        <v>2391</v>
      </c>
      <c r="N1517" s="56" t="s">
        <v>2392</v>
      </c>
      <c r="O1517" s="53" t="s">
        <v>8</v>
      </c>
      <c r="P1517" s="56" t="s">
        <v>2999</v>
      </c>
      <c r="Q1517" s="57">
        <v>38700</v>
      </c>
      <c r="R1517" s="58" t="s">
        <v>8</v>
      </c>
      <c r="S1517" s="57" t="s">
        <v>8</v>
      </c>
      <c r="T1517" s="56" t="s">
        <v>2394</v>
      </c>
    </row>
    <row r="1518" spans="1:20">
      <c r="A1518" s="55">
        <v>131576487977</v>
      </c>
      <c r="B1518" s="53" t="s">
        <v>2386</v>
      </c>
      <c r="C1518" s="54">
        <v>45962</v>
      </c>
      <c r="D1518" s="55">
        <v>52513931320</v>
      </c>
      <c r="E1518" s="55">
        <v>2110247303460</v>
      </c>
      <c r="F1518" s="56" t="s">
        <v>2387</v>
      </c>
      <c r="G1518" s="56" t="s">
        <v>2388</v>
      </c>
      <c r="H1518" s="56" t="s">
        <v>8</v>
      </c>
      <c r="I1518" s="55" t="s">
        <v>8</v>
      </c>
      <c r="J1518" s="57">
        <v>386.06</v>
      </c>
      <c r="K1518" s="56" t="s">
        <v>2389</v>
      </c>
      <c r="L1518" s="56" t="s">
        <v>2390</v>
      </c>
      <c r="M1518" s="55" t="s">
        <v>2391</v>
      </c>
      <c r="N1518" s="56" t="s">
        <v>2392</v>
      </c>
      <c r="O1518" s="53" t="s">
        <v>8</v>
      </c>
      <c r="P1518" s="56" t="s">
        <v>3000</v>
      </c>
      <c r="Q1518" s="57">
        <v>39800</v>
      </c>
      <c r="R1518" s="58" t="s">
        <v>8</v>
      </c>
      <c r="S1518" s="57" t="s">
        <v>8</v>
      </c>
      <c r="T1518" s="56" t="s">
        <v>2394</v>
      </c>
    </row>
    <row r="1519" spans="1:20">
      <c r="A1519" s="55">
        <v>131576573415</v>
      </c>
      <c r="B1519" s="53" t="s">
        <v>2386</v>
      </c>
      <c r="C1519" s="54">
        <v>45962</v>
      </c>
      <c r="D1519" s="55">
        <v>52513953987</v>
      </c>
      <c r="E1519" s="55">
        <v>2110153907169</v>
      </c>
      <c r="F1519" s="56" t="s">
        <v>2401</v>
      </c>
      <c r="G1519" s="56" t="s">
        <v>2388</v>
      </c>
      <c r="H1519" s="56" t="s">
        <v>8</v>
      </c>
      <c r="I1519" s="55" t="s">
        <v>8</v>
      </c>
      <c r="J1519" s="57">
        <v>377.28</v>
      </c>
      <c r="K1519" s="56" t="s">
        <v>2389</v>
      </c>
      <c r="L1519" s="56" t="s">
        <v>2402</v>
      </c>
      <c r="M1519" s="55" t="s">
        <v>2391</v>
      </c>
      <c r="N1519" s="56" t="s">
        <v>2392</v>
      </c>
      <c r="O1519" s="53" t="s">
        <v>2055</v>
      </c>
      <c r="P1519" s="56" t="s">
        <v>2403</v>
      </c>
      <c r="Q1519" s="57">
        <v>9600</v>
      </c>
      <c r="R1519" s="58" t="s">
        <v>8</v>
      </c>
      <c r="S1519" s="57" t="s">
        <v>8</v>
      </c>
      <c r="T1519" s="56" t="s">
        <v>2394</v>
      </c>
    </row>
    <row r="1520" spans="1:20">
      <c r="A1520" s="55">
        <v>131576778161</v>
      </c>
      <c r="B1520" s="53" t="s">
        <v>2386</v>
      </c>
      <c r="C1520" s="54">
        <v>45962</v>
      </c>
      <c r="D1520" s="55">
        <v>52514012804</v>
      </c>
      <c r="E1520" s="55">
        <v>2110248339012</v>
      </c>
      <c r="F1520" s="56" t="s">
        <v>2475</v>
      </c>
      <c r="G1520" s="56" t="s">
        <v>2388</v>
      </c>
      <c r="H1520" s="56" t="s">
        <v>8</v>
      </c>
      <c r="I1520" s="55" t="s">
        <v>8</v>
      </c>
      <c r="J1520" s="57">
        <v>202.12</v>
      </c>
      <c r="K1520" s="56" t="s">
        <v>2389</v>
      </c>
      <c r="L1520" s="56" t="s">
        <v>2390</v>
      </c>
      <c r="M1520" s="55" t="s">
        <v>2391</v>
      </c>
      <c r="N1520" s="56" t="s">
        <v>2392</v>
      </c>
      <c r="O1520" s="53" t="s">
        <v>8</v>
      </c>
      <c r="P1520" s="56" t="s">
        <v>2634</v>
      </c>
      <c r="Q1520" s="57">
        <v>12400</v>
      </c>
      <c r="R1520" s="58" t="s">
        <v>8</v>
      </c>
      <c r="S1520" s="57" t="s">
        <v>8</v>
      </c>
      <c r="T1520" s="56" t="s">
        <v>2394</v>
      </c>
    </row>
    <row r="1521" spans="1:20">
      <c r="A1521" s="55">
        <v>131576856023</v>
      </c>
      <c r="B1521" s="53" t="s">
        <v>2386</v>
      </c>
      <c r="C1521" s="54">
        <v>45962</v>
      </c>
      <c r="D1521" s="55">
        <v>52514107017</v>
      </c>
      <c r="E1521" s="55">
        <v>2110155655795</v>
      </c>
      <c r="F1521" s="56" t="s">
        <v>2387</v>
      </c>
      <c r="G1521" s="56" t="s">
        <v>2388</v>
      </c>
      <c r="H1521" s="56" t="s">
        <v>8</v>
      </c>
      <c r="I1521" s="55" t="s">
        <v>8</v>
      </c>
      <c r="J1521" s="57">
        <v>79.540000000000006</v>
      </c>
      <c r="K1521" s="56" t="s">
        <v>2389</v>
      </c>
      <c r="L1521" s="56" t="s">
        <v>2390</v>
      </c>
      <c r="M1521" s="55" t="s">
        <v>2391</v>
      </c>
      <c r="N1521" s="56" t="s">
        <v>2392</v>
      </c>
      <c r="O1521" s="53" t="s">
        <v>8</v>
      </c>
      <c r="P1521" s="56" t="s">
        <v>3001</v>
      </c>
      <c r="Q1521" s="57">
        <v>8200</v>
      </c>
      <c r="R1521" s="58" t="s">
        <v>8</v>
      </c>
      <c r="S1521" s="57" t="s">
        <v>8</v>
      </c>
      <c r="T1521" s="56" t="s">
        <v>2394</v>
      </c>
    </row>
    <row r="1522" spans="1:20">
      <c r="A1522" s="55">
        <v>132174941170</v>
      </c>
      <c r="B1522" s="53" t="s">
        <v>2386</v>
      </c>
      <c r="C1522" s="54">
        <v>45963</v>
      </c>
      <c r="D1522" s="55">
        <v>52514133625</v>
      </c>
      <c r="E1522" s="55">
        <v>2110156558883</v>
      </c>
      <c r="F1522" s="56" t="s">
        <v>2401</v>
      </c>
      <c r="G1522" s="56" t="s">
        <v>2388</v>
      </c>
      <c r="H1522" s="56" t="s">
        <v>8</v>
      </c>
      <c r="I1522" s="55" t="s">
        <v>8</v>
      </c>
      <c r="J1522" s="57">
        <v>404.79</v>
      </c>
      <c r="K1522" s="56" t="s">
        <v>2389</v>
      </c>
      <c r="L1522" s="56" t="s">
        <v>2402</v>
      </c>
      <c r="M1522" s="55" t="s">
        <v>2391</v>
      </c>
      <c r="N1522" s="56" t="s">
        <v>2392</v>
      </c>
      <c r="O1522" s="53" t="s">
        <v>2055</v>
      </c>
      <c r="P1522" s="56" t="s">
        <v>2403</v>
      </c>
      <c r="Q1522" s="57">
        <v>10300</v>
      </c>
      <c r="R1522" s="58" t="s">
        <v>8</v>
      </c>
      <c r="S1522" s="57" t="s">
        <v>8</v>
      </c>
      <c r="T1522" s="56" t="s">
        <v>2394</v>
      </c>
    </row>
    <row r="1523" spans="1:20">
      <c r="A1523" s="55">
        <v>131577259373</v>
      </c>
      <c r="B1523" s="53" t="s">
        <v>2386</v>
      </c>
      <c r="C1523" s="54">
        <v>45963</v>
      </c>
      <c r="D1523" s="55">
        <v>52514204221</v>
      </c>
      <c r="E1523" s="55">
        <v>2110251812598</v>
      </c>
      <c r="F1523" s="56" t="s">
        <v>2387</v>
      </c>
      <c r="G1523" s="56" t="s">
        <v>2388</v>
      </c>
      <c r="H1523" s="56" t="s">
        <v>8</v>
      </c>
      <c r="I1523" s="55" t="s">
        <v>8</v>
      </c>
      <c r="J1523" s="57">
        <v>291</v>
      </c>
      <c r="K1523" s="56" t="s">
        <v>2389</v>
      </c>
      <c r="L1523" s="56" t="s">
        <v>2390</v>
      </c>
      <c r="M1523" s="55" t="s">
        <v>2391</v>
      </c>
      <c r="N1523" s="56" t="s">
        <v>2392</v>
      </c>
      <c r="O1523" s="53" t="s">
        <v>8</v>
      </c>
      <c r="P1523" s="56" t="s">
        <v>3002</v>
      </c>
      <c r="Q1523" s="57">
        <v>30000</v>
      </c>
      <c r="R1523" s="58" t="s">
        <v>8</v>
      </c>
      <c r="S1523" s="57" t="s">
        <v>8</v>
      </c>
      <c r="T1523" s="56" t="s">
        <v>2394</v>
      </c>
    </row>
    <row r="1524" spans="1:20">
      <c r="A1524" s="55">
        <v>131577618637</v>
      </c>
      <c r="B1524" s="53" t="s">
        <v>2386</v>
      </c>
      <c r="C1524" s="54">
        <v>45963</v>
      </c>
      <c r="D1524" s="55">
        <v>52514352065</v>
      </c>
      <c r="E1524" s="55">
        <v>2110159638451</v>
      </c>
      <c r="F1524" s="56" t="s">
        <v>2401</v>
      </c>
      <c r="G1524" s="56" t="s">
        <v>2388</v>
      </c>
      <c r="H1524" s="56" t="s">
        <v>8</v>
      </c>
      <c r="I1524" s="55" t="s">
        <v>8</v>
      </c>
      <c r="J1524" s="57">
        <v>2075.04</v>
      </c>
      <c r="K1524" s="56" t="s">
        <v>2389</v>
      </c>
      <c r="L1524" s="56" t="s">
        <v>2402</v>
      </c>
      <c r="M1524" s="55" t="s">
        <v>2391</v>
      </c>
      <c r="N1524" s="56" t="s">
        <v>2392</v>
      </c>
      <c r="O1524" s="53" t="s">
        <v>2055</v>
      </c>
      <c r="P1524" s="56" t="s">
        <v>2403</v>
      </c>
      <c r="Q1524" s="57">
        <v>52800</v>
      </c>
      <c r="R1524" s="58" t="s">
        <v>8</v>
      </c>
      <c r="S1524" s="57" t="s">
        <v>8</v>
      </c>
      <c r="T1524" s="56" t="s">
        <v>2394</v>
      </c>
    </row>
    <row r="1525" spans="1:20">
      <c r="A1525" s="55">
        <v>131577658249</v>
      </c>
      <c r="B1525" s="53" t="s">
        <v>2386</v>
      </c>
      <c r="C1525" s="54">
        <v>45963</v>
      </c>
      <c r="D1525" s="55">
        <v>52514372421</v>
      </c>
      <c r="E1525" s="55">
        <v>2110254115032</v>
      </c>
      <c r="F1525" s="56" t="s">
        <v>2387</v>
      </c>
      <c r="G1525" s="56" t="s">
        <v>2388</v>
      </c>
      <c r="H1525" s="56" t="s">
        <v>8</v>
      </c>
      <c r="I1525" s="55" t="s">
        <v>8</v>
      </c>
      <c r="J1525" s="57">
        <v>469.48</v>
      </c>
      <c r="K1525" s="56" t="s">
        <v>2389</v>
      </c>
      <c r="L1525" s="56" t="s">
        <v>2390</v>
      </c>
      <c r="M1525" s="55" t="s">
        <v>2391</v>
      </c>
      <c r="N1525" s="56" t="s">
        <v>2392</v>
      </c>
      <c r="O1525" s="53" t="s">
        <v>8</v>
      </c>
      <c r="P1525" s="56" t="s">
        <v>3003</v>
      </c>
      <c r="Q1525" s="57">
        <v>48400</v>
      </c>
      <c r="R1525" s="58" t="s">
        <v>8</v>
      </c>
      <c r="S1525" s="57" t="s">
        <v>8</v>
      </c>
      <c r="T1525" s="56" t="s">
        <v>2394</v>
      </c>
    </row>
    <row r="1526" spans="1:20">
      <c r="A1526" s="55">
        <v>132175561740</v>
      </c>
      <c r="B1526" s="53" t="s">
        <v>2386</v>
      </c>
      <c r="C1526" s="54">
        <v>45963</v>
      </c>
      <c r="D1526" s="55">
        <v>52514400934</v>
      </c>
      <c r="E1526" s="55">
        <v>2110160461555</v>
      </c>
      <c r="F1526" s="56" t="s">
        <v>2401</v>
      </c>
      <c r="G1526" s="56" t="s">
        <v>2388</v>
      </c>
      <c r="H1526" s="56" t="s">
        <v>8</v>
      </c>
      <c r="I1526" s="55" t="s">
        <v>8</v>
      </c>
      <c r="J1526" s="57">
        <v>1426.59</v>
      </c>
      <c r="K1526" s="56" t="s">
        <v>2389</v>
      </c>
      <c r="L1526" s="56" t="s">
        <v>2402</v>
      </c>
      <c r="M1526" s="55" t="s">
        <v>2391</v>
      </c>
      <c r="N1526" s="56" t="s">
        <v>2392</v>
      </c>
      <c r="O1526" s="53" t="s">
        <v>2055</v>
      </c>
      <c r="P1526" s="56" t="s">
        <v>2403</v>
      </c>
      <c r="Q1526" s="57">
        <v>36300</v>
      </c>
      <c r="R1526" s="58" t="s">
        <v>8</v>
      </c>
      <c r="S1526" s="57" t="s">
        <v>8</v>
      </c>
      <c r="T1526" s="56" t="s">
        <v>2394</v>
      </c>
    </row>
    <row r="1527" spans="1:20">
      <c r="A1527" s="55">
        <v>132175628956</v>
      </c>
      <c r="B1527" s="53" t="s">
        <v>2386</v>
      </c>
      <c r="C1527" s="54">
        <v>45963</v>
      </c>
      <c r="D1527" s="55">
        <v>52514418478</v>
      </c>
      <c r="E1527" s="55">
        <v>2110254933550</v>
      </c>
      <c r="F1527" s="56" t="s">
        <v>2387</v>
      </c>
      <c r="G1527" s="56" t="s">
        <v>2388</v>
      </c>
      <c r="H1527" s="56" t="s">
        <v>8</v>
      </c>
      <c r="I1527" s="55" t="s">
        <v>8</v>
      </c>
      <c r="J1527" s="57">
        <v>387.03</v>
      </c>
      <c r="K1527" s="56" t="s">
        <v>2389</v>
      </c>
      <c r="L1527" s="56" t="s">
        <v>2390</v>
      </c>
      <c r="M1527" s="55" t="s">
        <v>2391</v>
      </c>
      <c r="N1527" s="56" t="s">
        <v>2392</v>
      </c>
      <c r="O1527" s="53" t="s">
        <v>8</v>
      </c>
      <c r="P1527" s="56" t="s">
        <v>3004</v>
      </c>
      <c r="Q1527" s="57">
        <v>39900</v>
      </c>
      <c r="R1527" s="58" t="s">
        <v>8</v>
      </c>
      <c r="S1527" s="57" t="s">
        <v>8</v>
      </c>
      <c r="T1527" s="56" t="s">
        <v>2394</v>
      </c>
    </row>
    <row r="1528" spans="1:20">
      <c r="A1528" s="55">
        <v>132176170110</v>
      </c>
      <c r="B1528" s="53" t="s">
        <v>2386</v>
      </c>
      <c r="C1528" s="54">
        <v>45963</v>
      </c>
      <c r="D1528" s="55">
        <v>52514572871</v>
      </c>
      <c r="E1528" s="55">
        <v>2110257839596</v>
      </c>
      <c r="F1528" s="56" t="s">
        <v>2401</v>
      </c>
      <c r="G1528" s="56" t="s">
        <v>2388</v>
      </c>
      <c r="H1528" s="56" t="s">
        <v>8</v>
      </c>
      <c r="I1528" s="55" t="s">
        <v>8</v>
      </c>
      <c r="J1528" s="57">
        <v>188.64</v>
      </c>
      <c r="K1528" s="56" t="s">
        <v>2389</v>
      </c>
      <c r="L1528" s="56" t="s">
        <v>2402</v>
      </c>
      <c r="M1528" s="55" t="s">
        <v>2391</v>
      </c>
      <c r="N1528" s="56" t="s">
        <v>2392</v>
      </c>
      <c r="O1528" s="53" t="s">
        <v>2055</v>
      </c>
      <c r="P1528" s="56" t="s">
        <v>2403</v>
      </c>
      <c r="Q1528" s="57">
        <v>4800</v>
      </c>
      <c r="R1528" s="58" t="s">
        <v>8</v>
      </c>
      <c r="S1528" s="57" t="s">
        <v>8</v>
      </c>
      <c r="T1528" s="56" t="s">
        <v>2394</v>
      </c>
    </row>
    <row r="1529" spans="1:20">
      <c r="A1529" s="55">
        <v>131578681107</v>
      </c>
      <c r="B1529" s="53" t="s">
        <v>2386</v>
      </c>
      <c r="C1529" s="54">
        <v>45963</v>
      </c>
      <c r="D1529" s="55">
        <v>52514749798</v>
      </c>
      <c r="E1529" s="55">
        <v>2110166204711</v>
      </c>
      <c r="F1529" s="56" t="s">
        <v>2411</v>
      </c>
      <c r="G1529" s="56" t="s">
        <v>2388</v>
      </c>
      <c r="H1529" s="56" t="s">
        <v>8</v>
      </c>
      <c r="I1529" s="55" t="s">
        <v>8</v>
      </c>
      <c r="J1529" s="57">
        <v>697.43</v>
      </c>
      <c r="K1529" s="56" t="s">
        <v>2389</v>
      </c>
      <c r="L1529" s="56" t="s">
        <v>2390</v>
      </c>
      <c r="M1529" s="55" t="s">
        <v>2391</v>
      </c>
      <c r="N1529" s="56" t="s">
        <v>2392</v>
      </c>
      <c r="O1529" s="53" t="s">
        <v>8</v>
      </c>
      <c r="P1529" s="56" t="s">
        <v>2412</v>
      </c>
      <c r="Q1529" s="57">
        <v>71900</v>
      </c>
      <c r="R1529" s="58" t="s">
        <v>8</v>
      </c>
      <c r="S1529" s="57" t="s">
        <v>8</v>
      </c>
      <c r="T1529" s="56" t="s">
        <v>8</v>
      </c>
    </row>
    <row r="1530" spans="1:20">
      <c r="A1530" s="55">
        <v>132176598634</v>
      </c>
      <c r="B1530" s="53" t="s">
        <v>2386</v>
      </c>
      <c r="C1530" s="54">
        <v>45963</v>
      </c>
      <c r="D1530" s="55">
        <v>52514763468</v>
      </c>
      <c r="E1530" s="55">
        <v>2110260818926</v>
      </c>
      <c r="F1530" s="56" t="s">
        <v>2387</v>
      </c>
      <c r="G1530" s="56" t="s">
        <v>2388</v>
      </c>
      <c r="H1530" s="56" t="s">
        <v>8</v>
      </c>
      <c r="I1530" s="55" t="s">
        <v>8</v>
      </c>
      <c r="J1530" s="57">
        <v>614.01</v>
      </c>
      <c r="K1530" s="56" t="s">
        <v>2389</v>
      </c>
      <c r="L1530" s="56" t="s">
        <v>2390</v>
      </c>
      <c r="M1530" s="55" t="s">
        <v>2391</v>
      </c>
      <c r="N1530" s="56" t="s">
        <v>2392</v>
      </c>
      <c r="O1530" s="53" t="s">
        <v>8</v>
      </c>
      <c r="P1530" s="56" t="s">
        <v>3005</v>
      </c>
      <c r="Q1530" s="57">
        <v>63300</v>
      </c>
      <c r="R1530" s="58" t="s">
        <v>8</v>
      </c>
      <c r="S1530" s="57" t="s">
        <v>8</v>
      </c>
      <c r="T1530" s="56" t="s">
        <v>2394</v>
      </c>
    </row>
    <row r="1531" spans="1:20">
      <c r="A1531" s="55">
        <v>132176782308</v>
      </c>
      <c r="B1531" s="53" t="s">
        <v>2386</v>
      </c>
      <c r="C1531" s="54">
        <v>45963</v>
      </c>
      <c r="D1531" s="55">
        <v>52514823998</v>
      </c>
      <c r="E1531" s="55">
        <v>2110261606450</v>
      </c>
      <c r="F1531" s="56" t="s">
        <v>2387</v>
      </c>
      <c r="G1531" s="56" t="s">
        <v>2388</v>
      </c>
      <c r="H1531" s="56" t="s">
        <v>8</v>
      </c>
      <c r="I1531" s="55" t="s">
        <v>8</v>
      </c>
      <c r="J1531" s="57">
        <v>129.97999999999999</v>
      </c>
      <c r="K1531" s="56" t="s">
        <v>2389</v>
      </c>
      <c r="L1531" s="56" t="s">
        <v>2390</v>
      </c>
      <c r="M1531" s="55" t="s">
        <v>2391</v>
      </c>
      <c r="N1531" s="56" t="s">
        <v>2392</v>
      </c>
      <c r="O1531" s="53" t="s">
        <v>8</v>
      </c>
      <c r="P1531" s="56" t="s">
        <v>3006</v>
      </c>
      <c r="Q1531" s="57">
        <v>13400</v>
      </c>
      <c r="R1531" s="58" t="s">
        <v>8</v>
      </c>
      <c r="S1531" s="57" t="s">
        <v>8</v>
      </c>
      <c r="T1531" s="56" t="s">
        <v>2394</v>
      </c>
    </row>
    <row r="1532" spans="1:20">
      <c r="A1532" s="55">
        <v>131578979163</v>
      </c>
      <c r="B1532" s="53" t="s">
        <v>2386</v>
      </c>
      <c r="C1532" s="54">
        <v>45963</v>
      </c>
      <c r="D1532" s="55">
        <v>52514875308</v>
      </c>
      <c r="E1532" s="55">
        <v>2110261945936</v>
      </c>
      <c r="F1532" s="56" t="s">
        <v>2411</v>
      </c>
      <c r="G1532" s="56" t="s">
        <v>2388</v>
      </c>
      <c r="H1532" s="56" t="s">
        <v>8</v>
      </c>
      <c r="I1532" s="55" t="s">
        <v>8</v>
      </c>
      <c r="J1532" s="57">
        <v>222.13</v>
      </c>
      <c r="K1532" s="56" t="s">
        <v>2389</v>
      </c>
      <c r="L1532" s="56" t="s">
        <v>2390</v>
      </c>
      <c r="M1532" s="55" t="s">
        <v>2391</v>
      </c>
      <c r="N1532" s="56" t="s">
        <v>2392</v>
      </c>
      <c r="O1532" s="53" t="s">
        <v>8</v>
      </c>
      <c r="P1532" s="56" t="s">
        <v>2412</v>
      </c>
      <c r="Q1532" s="57">
        <v>22900</v>
      </c>
      <c r="R1532" s="58" t="s">
        <v>8</v>
      </c>
      <c r="S1532" s="57" t="s">
        <v>8</v>
      </c>
      <c r="T1532" s="56" t="s">
        <v>8</v>
      </c>
    </row>
    <row r="1533" spans="1:20">
      <c r="A1533" s="55">
        <v>132177107032</v>
      </c>
      <c r="B1533" s="53" t="s">
        <v>2386</v>
      </c>
      <c r="C1533" s="54">
        <v>45963</v>
      </c>
      <c r="D1533" s="55">
        <v>52514962649</v>
      </c>
      <c r="E1533" s="55">
        <v>2110263677700</v>
      </c>
      <c r="F1533" s="56" t="s">
        <v>2387</v>
      </c>
      <c r="G1533" s="56" t="s">
        <v>2388</v>
      </c>
      <c r="H1533" s="56" t="s">
        <v>8</v>
      </c>
      <c r="I1533" s="55" t="s">
        <v>8</v>
      </c>
      <c r="J1533" s="57">
        <v>130.94999999999999</v>
      </c>
      <c r="K1533" s="56" t="s">
        <v>2389</v>
      </c>
      <c r="L1533" s="56" t="s">
        <v>2390</v>
      </c>
      <c r="M1533" s="55" t="s">
        <v>2391</v>
      </c>
      <c r="N1533" s="56" t="s">
        <v>2392</v>
      </c>
      <c r="O1533" s="53" t="s">
        <v>8</v>
      </c>
      <c r="P1533" s="56" t="s">
        <v>3007</v>
      </c>
      <c r="Q1533" s="57">
        <v>13500</v>
      </c>
      <c r="R1533" s="58" t="s">
        <v>8</v>
      </c>
      <c r="S1533" s="57" t="s">
        <v>8</v>
      </c>
      <c r="T1533" s="56" t="s">
        <v>2394</v>
      </c>
    </row>
    <row r="1534" spans="1:20">
      <c r="A1534" s="55">
        <v>131579321899</v>
      </c>
      <c r="B1534" s="53" t="s">
        <v>2386</v>
      </c>
      <c r="C1534" s="54">
        <v>45963</v>
      </c>
      <c r="D1534" s="55">
        <v>52515018980</v>
      </c>
      <c r="E1534" s="55">
        <v>2110264354214</v>
      </c>
      <c r="F1534" s="56" t="s">
        <v>2387</v>
      </c>
      <c r="G1534" s="56" t="s">
        <v>2388</v>
      </c>
      <c r="H1534" s="56" t="s">
        <v>8</v>
      </c>
      <c r="I1534" s="55" t="s">
        <v>8</v>
      </c>
      <c r="J1534" s="57">
        <v>219.22</v>
      </c>
      <c r="K1534" s="56" t="s">
        <v>2389</v>
      </c>
      <c r="L1534" s="56" t="s">
        <v>2390</v>
      </c>
      <c r="M1534" s="55" t="s">
        <v>2391</v>
      </c>
      <c r="N1534" s="56" t="s">
        <v>2392</v>
      </c>
      <c r="O1534" s="53" t="s">
        <v>8</v>
      </c>
      <c r="P1534" s="56" t="s">
        <v>3008</v>
      </c>
      <c r="Q1534" s="57">
        <v>22600</v>
      </c>
      <c r="R1534" s="58" t="s">
        <v>8</v>
      </c>
      <c r="S1534" s="57" t="s">
        <v>8</v>
      </c>
      <c r="T1534" s="56" t="s">
        <v>2394</v>
      </c>
    </row>
    <row r="1535" spans="1:20">
      <c r="A1535" s="55">
        <v>132177096328</v>
      </c>
      <c r="B1535" s="53" t="s">
        <v>2386</v>
      </c>
      <c r="C1535" s="54">
        <v>45963</v>
      </c>
      <c r="D1535" s="55">
        <v>52515267820</v>
      </c>
      <c r="E1535" s="55">
        <v>2110169184855</v>
      </c>
      <c r="F1535" s="56" t="s">
        <v>2387</v>
      </c>
      <c r="G1535" s="56" t="s">
        <v>2388</v>
      </c>
      <c r="H1535" s="56" t="s">
        <v>8</v>
      </c>
      <c r="I1535" s="55" t="s">
        <v>8</v>
      </c>
      <c r="J1535" s="57">
        <v>748.84</v>
      </c>
      <c r="K1535" s="56" t="s">
        <v>2389</v>
      </c>
      <c r="L1535" s="56" t="s">
        <v>2390</v>
      </c>
      <c r="M1535" s="55" t="s">
        <v>2391</v>
      </c>
      <c r="N1535" s="56" t="s">
        <v>2392</v>
      </c>
      <c r="O1535" s="53" t="s">
        <v>8</v>
      </c>
      <c r="P1535" s="56" t="s">
        <v>3009</v>
      </c>
      <c r="Q1535" s="57">
        <v>77200</v>
      </c>
      <c r="R1535" s="58" t="s">
        <v>8</v>
      </c>
      <c r="S1535" s="57" t="s">
        <v>8</v>
      </c>
      <c r="T1535" s="56" t="s">
        <v>2394</v>
      </c>
    </row>
    <row r="1536" spans="1:20">
      <c r="A1536" s="55">
        <v>132177869824</v>
      </c>
      <c r="B1536" s="53" t="s">
        <v>2386</v>
      </c>
      <c r="C1536" s="54">
        <v>45963</v>
      </c>
      <c r="D1536" s="55">
        <v>52515279615</v>
      </c>
      <c r="E1536" s="55">
        <v>2110268605388</v>
      </c>
      <c r="F1536" s="56" t="s">
        <v>2401</v>
      </c>
      <c r="G1536" s="56" t="s">
        <v>2388</v>
      </c>
      <c r="H1536" s="56" t="s">
        <v>8</v>
      </c>
      <c r="I1536" s="55" t="s">
        <v>8</v>
      </c>
      <c r="J1536" s="57">
        <v>4109.3999999999996</v>
      </c>
      <c r="K1536" s="56" t="s">
        <v>2389</v>
      </c>
      <c r="L1536" s="56" t="s">
        <v>2402</v>
      </c>
      <c r="M1536" s="55" t="s">
        <v>2391</v>
      </c>
      <c r="N1536" s="56" t="s">
        <v>2392</v>
      </c>
      <c r="O1536" s="53" t="s">
        <v>2055</v>
      </c>
      <c r="P1536" s="56" t="s">
        <v>2403</v>
      </c>
      <c r="Q1536" s="57">
        <v>54000</v>
      </c>
      <c r="R1536" s="58" t="s">
        <v>8</v>
      </c>
      <c r="S1536" s="57" t="s">
        <v>8</v>
      </c>
      <c r="T1536" s="56" t="s">
        <v>2394</v>
      </c>
    </row>
    <row r="1537" spans="1:20">
      <c r="A1537" s="55">
        <v>131580064903</v>
      </c>
      <c r="B1537" s="53" t="s">
        <v>2386</v>
      </c>
      <c r="C1537" s="54">
        <v>45963</v>
      </c>
      <c r="D1537" s="55">
        <v>52515285018</v>
      </c>
      <c r="E1537" s="55">
        <v>2110268563076</v>
      </c>
      <c r="F1537" s="56" t="s">
        <v>2387</v>
      </c>
      <c r="G1537" s="56" t="s">
        <v>2388</v>
      </c>
      <c r="H1537" s="56" t="s">
        <v>8</v>
      </c>
      <c r="I1537" s="55" t="s">
        <v>8</v>
      </c>
      <c r="J1537" s="57">
        <v>89.24</v>
      </c>
      <c r="K1537" s="56" t="s">
        <v>2389</v>
      </c>
      <c r="L1537" s="56" t="s">
        <v>2390</v>
      </c>
      <c r="M1537" s="55" t="s">
        <v>2391</v>
      </c>
      <c r="N1537" s="56" t="s">
        <v>2392</v>
      </c>
      <c r="O1537" s="53" t="s">
        <v>8</v>
      </c>
      <c r="P1537" s="56" t="s">
        <v>3010</v>
      </c>
      <c r="Q1537" s="57">
        <v>9200</v>
      </c>
      <c r="R1537" s="58" t="s">
        <v>8</v>
      </c>
      <c r="S1537" s="57" t="s">
        <v>8</v>
      </c>
      <c r="T1537" s="56" t="s">
        <v>2394</v>
      </c>
    </row>
    <row r="1538" spans="1:20">
      <c r="A1538" s="55">
        <v>132178184768</v>
      </c>
      <c r="B1538" s="53" t="s">
        <v>2386</v>
      </c>
      <c r="C1538" s="54">
        <v>45963</v>
      </c>
      <c r="D1538" s="55">
        <v>52515362871</v>
      </c>
      <c r="E1538" s="55">
        <v>2110175856891</v>
      </c>
      <c r="F1538" s="56" t="s">
        <v>2401</v>
      </c>
      <c r="G1538" s="56" t="s">
        <v>2388</v>
      </c>
      <c r="H1538" s="56" t="s">
        <v>8</v>
      </c>
      <c r="I1538" s="55" t="s">
        <v>8</v>
      </c>
      <c r="J1538" s="57">
        <v>628.79999999999995</v>
      </c>
      <c r="K1538" s="56" t="s">
        <v>2389</v>
      </c>
      <c r="L1538" s="56" t="s">
        <v>2402</v>
      </c>
      <c r="M1538" s="55" t="s">
        <v>2391</v>
      </c>
      <c r="N1538" s="56" t="s">
        <v>2392</v>
      </c>
      <c r="O1538" s="53" t="s">
        <v>2055</v>
      </c>
      <c r="P1538" s="56" t="s">
        <v>2403</v>
      </c>
      <c r="Q1538" s="57">
        <v>16000</v>
      </c>
      <c r="R1538" s="58" t="s">
        <v>8</v>
      </c>
      <c r="S1538" s="57" t="s">
        <v>8</v>
      </c>
      <c r="T1538" s="56" t="s">
        <v>2394</v>
      </c>
    </row>
    <row r="1539" spans="1:20">
      <c r="A1539" s="55">
        <v>131580718023</v>
      </c>
      <c r="B1539" s="53" t="s">
        <v>2386</v>
      </c>
      <c r="C1539" s="54">
        <v>45963</v>
      </c>
      <c r="D1539" s="55">
        <v>52515560125</v>
      </c>
      <c r="E1539" s="55">
        <v>2110272933094</v>
      </c>
      <c r="F1539" s="56" t="s">
        <v>2401</v>
      </c>
      <c r="G1539" s="56" t="s">
        <v>2388</v>
      </c>
      <c r="H1539" s="56" t="s">
        <v>8</v>
      </c>
      <c r="I1539" s="55" t="s">
        <v>8</v>
      </c>
      <c r="J1539" s="57">
        <v>2012.16</v>
      </c>
      <c r="K1539" s="56" t="s">
        <v>2389</v>
      </c>
      <c r="L1539" s="56" t="s">
        <v>2402</v>
      </c>
      <c r="M1539" s="55" t="s">
        <v>2391</v>
      </c>
      <c r="N1539" s="56" t="s">
        <v>2392</v>
      </c>
      <c r="O1539" s="53" t="s">
        <v>2055</v>
      </c>
      <c r="P1539" s="56" t="s">
        <v>2403</v>
      </c>
      <c r="Q1539" s="57">
        <v>51200</v>
      </c>
      <c r="R1539" s="58" t="s">
        <v>8</v>
      </c>
      <c r="S1539" s="57" t="s">
        <v>8</v>
      </c>
      <c r="T1539" s="56" t="s">
        <v>2394</v>
      </c>
    </row>
    <row r="1540" spans="1:20">
      <c r="A1540" s="55">
        <v>132178656708</v>
      </c>
      <c r="B1540" s="53" t="s">
        <v>2386</v>
      </c>
      <c r="C1540" s="54">
        <v>45963</v>
      </c>
      <c r="D1540" s="55">
        <v>52515572126</v>
      </c>
      <c r="E1540" s="55">
        <v>2110273062836</v>
      </c>
      <c r="F1540" s="56" t="s">
        <v>2387</v>
      </c>
      <c r="G1540" s="56" t="s">
        <v>2388</v>
      </c>
      <c r="H1540" s="56" t="s">
        <v>8</v>
      </c>
      <c r="I1540" s="55" t="s">
        <v>8</v>
      </c>
      <c r="J1540" s="57">
        <v>185.27</v>
      </c>
      <c r="K1540" s="56" t="s">
        <v>2389</v>
      </c>
      <c r="L1540" s="56" t="s">
        <v>2390</v>
      </c>
      <c r="M1540" s="55" t="s">
        <v>2391</v>
      </c>
      <c r="N1540" s="56" t="s">
        <v>2392</v>
      </c>
      <c r="O1540" s="53" t="s">
        <v>8</v>
      </c>
      <c r="P1540" s="56" t="s">
        <v>3011</v>
      </c>
      <c r="Q1540" s="57">
        <v>19100</v>
      </c>
      <c r="R1540" s="58" t="s">
        <v>8</v>
      </c>
      <c r="S1540" s="57" t="s">
        <v>8</v>
      </c>
      <c r="T1540" s="56" t="s">
        <v>2394</v>
      </c>
    </row>
    <row r="1541" spans="1:20">
      <c r="A1541" s="55">
        <v>132178648016</v>
      </c>
      <c r="B1541" s="53" t="s">
        <v>2386</v>
      </c>
      <c r="C1541" s="54">
        <v>45963</v>
      </c>
      <c r="D1541" s="55">
        <v>52515609625</v>
      </c>
      <c r="E1541" s="55">
        <v>2110179281665</v>
      </c>
      <c r="F1541" s="56" t="s">
        <v>2387</v>
      </c>
      <c r="G1541" s="56" t="s">
        <v>2388</v>
      </c>
      <c r="H1541" s="56" t="s">
        <v>8</v>
      </c>
      <c r="I1541" s="55" t="s">
        <v>8</v>
      </c>
      <c r="J1541" s="57">
        <v>154.22999999999999</v>
      </c>
      <c r="K1541" s="56" t="s">
        <v>2389</v>
      </c>
      <c r="L1541" s="56" t="s">
        <v>2390</v>
      </c>
      <c r="M1541" s="55" t="s">
        <v>2391</v>
      </c>
      <c r="N1541" s="56" t="s">
        <v>2392</v>
      </c>
      <c r="O1541" s="53" t="s">
        <v>8</v>
      </c>
      <c r="P1541" s="56" t="s">
        <v>3012</v>
      </c>
      <c r="Q1541" s="57">
        <v>15900</v>
      </c>
      <c r="R1541" s="58" t="s">
        <v>8</v>
      </c>
      <c r="S1541" s="57" t="s">
        <v>8</v>
      </c>
      <c r="T1541" s="56" t="s">
        <v>2394</v>
      </c>
    </row>
    <row r="1542" spans="1:20">
      <c r="A1542" s="55">
        <v>132179069762</v>
      </c>
      <c r="B1542" s="53" t="s">
        <v>2386</v>
      </c>
      <c r="C1542" s="54">
        <v>45963</v>
      </c>
      <c r="D1542" s="55">
        <v>52515758679</v>
      </c>
      <c r="E1542" s="55">
        <v>2110181344429</v>
      </c>
      <c r="F1542" s="56" t="s">
        <v>2387</v>
      </c>
      <c r="G1542" s="56" t="s">
        <v>2388</v>
      </c>
      <c r="H1542" s="56" t="s">
        <v>8</v>
      </c>
      <c r="I1542" s="55" t="s">
        <v>8</v>
      </c>
      <c r="J1542" s="57">
        <v>286.14999999999998</v>
      </c>
      <c r="K1542" s="56" t="s">
        <v>2389</v>
      </c>
      <c r="L1542" s="56" t="s">
        <v>2390</v>
      </c>
      <c r="M1542" s="55" t="s">
        <v>2391</v>
      </c>
      <c r="N1542" s="56" t="s">
        <v>2392</v>
      </c>
      <c r="O1542" s="53" t="s">
        <v>8</v>
      </c>
      <c r="P1542" s="56" t="s">
        <v>2758</v>
      </c>
      <c r="Q1542" s="57">
        <v>29500</v>
      </c>
      <c r="R1542" s="58" t="s">
        <v>8</v>
      </c>
      <c r="S1542" s="57" t="s">
        <v>8</v>
      </c>
      <c r="T1542" s="56" t="s">
        <v>2394</v>
      </c>
    </row>
    <row r="1543" spans="1:20">
      <c r="A1543" s="55">
        <v>131581362431</v>
      </c>
      <c r="B1543" s="53" t="s">
        <v>2386</v>
      </c>
      <c r="C1543" s="54">
        <v>45963</v>
      </c>
      <c r="D1543" s="55">
        <v>52515775460</v>
      </c>
      <c r="E1543" s="55">
        <v>2110275983878</v>
      </c>
      <c r="F1543" s="56" t="s">
        <v>2411</v>
      </c>
      <c r="G1543" s="56" t="s">
        <v>2388</v>
      </c>
      <c r="H1543" s="56" t="s">
        <v>8</v>
      </c>
      <c r="I1543" s="55" t="s">
        <v>8</v>
      </c>
      <c r="J1543" s="57">
        <v>87.3</v>
      </c>
      <c r="K1543" s="56" t="s">
        <v>2389</v>
      </c>
      <c r="L1543" s="56" t="s">
        <v>2390</v>
      </c>
      <c r="M1543" s="55" t="s">
        <v>2391</v>
      </c>
      <c r="N1543" s="56" t="s">
        <v>2392</v>
      </c>
      <c r="O1543" s="53" t="s">
        <v>8</v>
      </c>
      <c r="P1543" s="56" t="s">
        <v>2412</v>
      </c>
      <c r="Q1543" s="57">
        <v>9000</v>
      </c>
      <c r="R1543" s="58" t="s">
        <v>8</v>
      </c>
      <c r="S1543" s="57" t="s">
        <v>8</v>
      </c>
      <c r="T1543" s="56" t="s">
        <v>8</v>
      </c>
    </row>
    <row r="1544" spans="1:20">
      <c r="A1544" s="55">
        <v>131581454143</v>
      </c>
      <c r="B1544" s="53" t="s">
        <v>2386</v>
      </c>
      <c r="C1544" s="54">
        <v>45963</v>
      </c>
      <c r="D1544" s="55">
        <v>52515792385</v>
      </c>
      <c r="E1544" s="55">
        <v>2110182108977</v>
      </c>
      <c r="F1544" s="56" t="s">
        <v>2387</v>
      </c>
      <c r="G1544" s="56" t="s">
        <v>2388</v>
      </c>
      <c r="H1544" s="56" t="s">
        <v>8</v>
      </c>
      <c r="I1544" s="55" t="s">
        <v>8</v>
      </c>
      <c r="J1544" s="57">
        <v>260.93</v>
      </c>
      <c r="K1544" s="56" t="s">
        <v>2389</v>
      </c>
      <c r="L1544" s="56" t="s">
        <v>2390</v>
      </c>
      <c r="M1544" s="55" t="s">
        <v>2391</v>
      </c>
      <c r="N1544" s="56" t="s">
        <v>2392</v>
      </c>
      <c r="O1544" s="53" t="s">
        <v>8</v>
      </c>
      <c r="P1544" s="56" t="s">
        <v>3013</v>
      </c>
      <c r="Q1544" s="57">
        <v>26900</v>
      </c>
      <c r="R1544" s="58" t="s">
        <v>8</v>
      </c>
      <c r="S1544" s="57" t="s">
        <v>8</v>
      </c>
      <c r="T1544" s="56" t="s">
        <v>2394</v>
      </c>
    </row>
    <row r="1545" spans="1:20">
      <c r="A1545" s="55">
        <v>131581570295</v>
      </c>
      <c r="B1545" s="53" t="s">
        <v>2386</v>
      </c>
      <c r="C1545" s="54">
        <v>45963</v>
      </c>
      <c r="D1545" s="55">
        <v>52515838704</v>
      </c>
      <c r="E1545" s="55">
        <v>2110182874891</v>
      </c>
      <c r="F1545" s="56" t="s">
        <v>2387</v>
      </c>
      <c r="G1545" s="56" t="s">
        <v>2388</v>
      </c>
      <c r="H1545" s="56" t="s">
        <v>8</v>
      </c>
      <c r="I1545" s="55" t="s">
        <v>8</v>
      </c>
      <c r="J1545" s="57">
        <v>62.08</v>
      </c>
      <c r="K1545" s="56" t="s">
        <v>2389</v>
      </c>
      <c r="L1545" s="56" t="s">
        <v>2390</v>
      </c>
      <c r="M1545" s="55" t="s">
        <v>2391</v>
      </c>
      <c r="N1545" s="56" t="s">
        <v>2392</v>
      </c>
      <c r="O1545" s="53" t="s">
        <v>8</v>
      </c>
      <c r="P1545" s="56" t="s">
        <v>3014</v>
      </c>
      <c r="Q1545" s="57">
        <v>6400</v>
      </c>
      <c r="R1545" s="58" t="s">
        <v>8</v>
      </c>
      <c r="S1545" s="57" t="s">
        <v>8</v>
      </c>
      <c r="T1545" s="56" t="s">
        <v>2394</v>
      </c>
    </row>
    <row r="1546" spans="1:20">
      <c r="A1546" s="55">
        <v>132179457042</v>
      </c>
      <c r="B1546" s="53" t="s">
        <v>2386</v>
      </c>
      <c r="C1546" s="54">
        <v>45963</v>
      </c>
      <c r="D1546" s="55">
        <v>52515878639</v>
      </c>
      <c r="E1546" s="55">
        <v>2110183759523</v>
      </c>
      <c r="F1546" s="56" t="s">
        <v>2387</v>
      </c>
      <c r="G1546" s="56" t="s">
        <v>2388</v>
      </c>
      <c r="H1546" s="56" t="s">
        <v>8</v>
      </c>
      <c r="I1546" s="55" t="s">
        <v>8</v>
      </c>
      <c r="J1546" s="57">
        <v>128.04</v>
      </c>
      <c r="K1546" s="56" t="s">
        <v>2389</v>
      </c>
      <c r="L1546" s="56" t="s">
        <v>2390</v>
      </c>
      <c r="M1546" s="55" t="s">
        <v>2391</v>
      </c>
      <c r="N1546" s="56" t="s">
        <v>2392</v>
      </c>
      <c r="O1546" s="53" t="s">
        <v>8</v>
      </c>
      <c r="P1546" s="56" t="s">
        <v>2998</v>
      </c>
      <c r="Q1546" s="57">
        <v>13200</v>
      </c>
      <c r="R1546" s="58" t="s">
        <v>8</v>
      </c>
      <c r="S1546" s="57" t="s">
        <v>8</v>
      </c>
      <c r="T1546" s="56" t="s">
        <v>2394</v>
      </c>
    </row>
    <row r="1547" spans="1:20">
      <c r="A1547" s="55">
        <v>131581842663</v>
      </c>
      <c r="B1547" s="53" t="s">
        <v>2386</v>
      </c>
      <c r="C1547" s="54">
        <v>45963</v>
      </c>
      <c r="D1547" s="55">
        <v>52515933108</v>
      </c>
      <c r="E1547" s="55">
        <v>2110278839938</v>
      </c>
      <c r="F1547" s="56" t="s">
        <v>2387</v>
      </c>
      <c r="G1547" s="56" t="s">
        <v>2388</v>
      </c>
      <c r="H1547" s="56" t="s">
        <v>8</v>
      </c>
      <c r="I1547" s="55" t="s">
        <v>8</v>
      </c>
      <c r="J1547" s="57">
        <v>46.56</v>
      </c>
      <c r="K1547" s="56" t="s">
        <v>2389</v>
      </c>
      <c r="L1547" s="56" t="s">
        <v>2390</v>
      </c>
      <c r="M1547" s="55" t="s">
        <v>2391</v>
      </c>
      <c r="N1547" s="56" t="s">
        <v>2392</v>
      </c>
      <c r="O1547" s="53" t="s">
        <v>8</v>
      </c>
      <c r="P1547" s="56" t="s">
        <v>3015</v>
      </c>
      <c r="Q1547" s="57">
        <v>4800</v>
      </c>
      <c r="R1547" s="58" t="s">
        <v>8</v>
      </c>
      <c r="S1547" s="57" t="s">
        <v>8</v>
      </c>
      <c r="T1547" s="56" t="s">
        <v>2394</v>
      </c>
    </row>
    <row r="1548" spans="1:20">
      <c r="A1548" s="55">
        <v>131581735159</v>
      </c>
      <c r="B1548" s="53" t="s">
        <v>2386</v>
      </c>
      <c r="C1548" s="54">
        <v>45963</v>
      </c>
      <c r="D1548" s="55">
        <v>52515946196</v>
      </c>
      <c r="E1548" s="55">
        <v>2110278387724</v>
      </c>
      <c r="F1548" s="56" t="s">
        <v>2387</v>
      </c>
      <c r="G1548" s="56" t="s">
        <v>2388</v>
      </c>
      <c r="H1548" s="56" t="s">
        <v>8</v>
      </c>
      <c r="I1548" s="55" t="s">
        <v>8</v>
      </c>
      <c r="J1548" s="57">
        <v>99.91</v>
      </c>
      <c r="K1548" s="56" t="s">
        <v>2389</v>
      </c>
      <c r="L1548" s="56" t="s">
        <v>2390</v>
      </c>
      <c r="M1548" s="55" t="s">
        <v>2391</v>
      </c>
      <c r="N1548" s="56" t="s">
        <v>2392</v>
      </c>
      <c r="O1548" s="53" t="s">
        <v>8</v>
      </c>
      <c r="P1548" s="56" t="s">
        <v>3010</v>
      </c>
      <c r="Q1548" s="57">
        <v>10300</v>
      </c>
      <c r="R1548" s="58" t="s">
        <v>8</v>
      </c>
      <c r="S1548" s="57" t="s">
        <v>8</v>
      </c>
      <c r="T1548" s="56" t="s">
        <v>2394</v>
      </c>
    </row>
    <row r="1549" spans="1:20">
      <c r="A1549" s="55">
        <v>131582062659</v>
      </c>
      <c r="B1549" s="53" t="s">
        <v>2386</v>
      </c>
      <c r="C1549" s="54">
        <v>45963</v>
      </c>
      <c r="D1549" s="55">
        <v>52516043340</v>
      </c>
      <c r="E1549" s="55">
        <v>2110280229574</v>
      </c>
      <c r="F1549" s="56" t="s">
        <v>2411</v>
      </c>
      <c r="G1549" s="56" t="s">
        <v>2388</v>
      </c>
      <c r="H1549" s="56" t="s">
        <v>8</v>
      </c>
      <c r="I1549" s="55" t="s">
        <v>8</v>
      </c>
      <c r="J1549" s="57">
        <v>277.42</v>
      </c>
      <c r="K1549" s="56" t="s">
        <v>2389</v>
      </c>
      <c r="L1549" s="56" t="s">
        <v>2390</v>
      </c>
      <c r="M1549" s="55" t="s">
        <v>2391</v>
      </c>
      <c r="N1549" s="56" t="s">
        <v>2392</v>
      </c>
      <c r="O1549" s="53" t="s">
        <v>8</v>
      </c>
      <c r="P1549" s="56" t="s">
        <v>2412</v>
      </c>
      <c r="Q1549" s="57">
        <v>28600</v>
      </c>
      <c r="R1549" s="58" t="s">
        <v>8</v>
      </c>
      <c r="S1549" s="57" t="s">
        <v>8</v>
      </c>
      <c r="T1549" s="56" t="s">
        <v>8</v>
      </c>
    </row>
    <row r="1550" spans="1:20">
      <c r="A1550" s="55">
        <v>132179996012</v>
      </c>
      <c r="B1550" s="53" t="s">
        <v>2386</v>
      </c>
      <c r="C1550" s="54">
        <v>45963</v>
      </c>
      <c r="D1550" s="55">
        <v>52516093901</v>
      </c>
      <c r="E1550" s="55">
        <v>2110281482452</v>
      </c>
      <c r="F1550" s="56" t="s">
        <v>2387</v>
      </c>
      <c r="G1550" s="56" t="s">
        <v>2388</v>
      </c>
      <c r="H1550" s="56" t="s">
        <v>8</v>
      </c>
      <c r="I1550" s="55" t="s">
        <v>8</v>
      </c>
      <c r="J1550" s="57">
        <v>142.59</v>
      </c>
      <c r="K1550" s="56" t="s">
        <v>2389</v>
      </c>
      <c r="L1550" s="56" t="s">
        <v>2390</v>
      </c>
      <c r="M1550" s="55" t="s">
        <v>2391</v>
      </c>
      <c r="N1550" s="56" t="s">
        <v>2392</v>
      </c>
      <c r="O1550" s="53" t="s">
        <v>8</v>
      </c>
      <c r="P1550" s="56" t="s">
        <v>3016</v>
      </c>
      <c r="Q1550" s="57">
        <v>14700</v>
      </c>
      <c r="R1550" s="58" t="s">
        <v>8</v>
      </c>
      <c r="S1550" s="57" t="s">
        <v>8</v>
      </c>
      <c r="T1550" s="56" t="s">
        <v>2394</v>
      </c>
    </row>
    <row r="1551" spans="1:20">
      <c r="A1551" s="55">
        <v>132180177488</v>
      </c>
      <c r="B1551" s="53" t="s">
        <v>2386</v>
      </c>
      <c r="C1551" s="54">
        <v>45963</v>
      </c>
      <c r="D1551" s="55">
        <v>52516150030</v>
      </c>
      <c r="E1551" s="55">
        <v>2110187838165</v>
      </c>
      <c r="F1551" s="56" t="s">
        <v>2387</v>
      </c>
      <c r="G1551" s="56" t="s">
        <v>2388</v>
      </c>
      <c r="H1551" s="56" t="s">
        <v>8</v>
      </c>
      <c r="I1551" s="55" t="s">
        <v>8</v>
      </c>
      <c r="J1551" s="57">
        <v>213.4</v>
      </c>
      <c r="K1551" s="56" t="s">
        <v>2389</v>
      </c>
      <c r="L1551" s="56" t="s">
        <v>2390</v>
      </c>
      <c r="M1551" s="55" t="s">
        <v>2391</v>
      </c>
      <c r="N1551" s="56" t="s">
        <v>2392</v>
      </c>
      <c r="O1551" s="53" t="s">
        <v>8</v>
      </c>
      <c r="P1551" s="56" t="s">
        <v>3017</v>
      </c>
      <c r="Q1551" s="57">
        <v>22000</v>
      </c>
      <c r="R1551" s="58" t="s">
        <v>8</v>
      </c>
      <c r="S1551" s="57" t="s">
        <v>8</v>
      </c>
      <c r="T1551" s="56" t="s">
        <v>2394</v>
      </c>
    </row>
    <row r="1552" spans="1:20">
      <c r="A1552" s="55">
        <v>132180129622</v>
      </c>
      <c r="B1552" s="53" t="s">
        <v>2386</v>
      </c>
      <c r="C1552" s="54">
        <v>45963</v>
      </c>
      <c r="D1552" s="55">
        <v>52516166936</v>
      </c>
      <c r="E1552" s="55">
        <v>2110188009727</v>
      </c>
      <c r="F1552" s="56" t="s">
        <v>2387</v>
      </c>
      <c r="G1552" s="56" t="s">
        <v>2388</v>
      </c>
      <c r="H1552" s="56" t="s">
        <v>8</v>
      </c>
      <c r="I1552" s="55" t="s">
        <v>8</v>
      </c>
      <c r="J1552" s="57">
        <v>193.03</v>
      </c>
      <c r="K1552" s="56" t="s">
        <v>2389</v>
      </c>
      <c r="L1552" s="56" t="s">
        <v>2390</v>
      </c>
      <c r="M1552" s="55" t="s">
        <v>2391</v>
      </c>
      <c r="N1552" s="56" t="s">
        <v>2392</v>
      </c>
      <c r="O1552" s="53" t="s">
        <v>8</v>
      </c>
      <c r="P1552" s="56" t="s">
        <v>3018</v>
      </c>
      <c r="Q1552" s="57">
        <v>19900</v>
      </c>
      <c r="R1552" s="58" t="s">
        <v>8</v>
      </c>
      <c r="S1552" s="57" t="s">
        <v>8</v>
      </c>
      <c r="T1552" s="56" t="s">
        <v>2394</v>
      </c>
    </row>
    <row r="1553" spans="1:20">
      <c r="A1553" s="55">
        <v>131582444187</v>
      </c>
      <c r="B1553" s="53" t="s">
        <v>2386</v>
      </c>
      <c r="C1553" s="54">
        <v>45963</v>
      </c>
      <c r="D1553" s="55">
        <v>52516182987</v>
      </c>
      <c r="E1553" s="55">
        <v>2110282530226</v>
      </c>
      <c r="F1553" s="56" t="s">
        <v>2387</v>
      </c>
      <c r="G1553" s="56" t="s">
        <v>2388</v>
      </c>
      <c r="H1553" s="56" t="s">
        <v>8</v>
      </c>
      <c r="I1553" s="55" t="s">
        <v>8</v>
      </c>
      <c r="J1553" s="57">
        <v>139.68</v>
      </c>
      <c r="K1553" s="56" t="s">
        <v>2389</v>
      </c>
      <c r="L1553" s="56" t="s">
        <v>2390</v>
      </c>
      <c r="M1553" s="55" t="s">
        <v>2391</v>
      </c>
      <c r="N1553" s="56" t="s">
        <v>2392</v>
      </c>
      <c r="O1553" s="53" t="s">
        <v>8</v>
      </c>
      <c r="P1553" s="56" t="s">
        <v>3019</v>
      </c>
      <c r="Q1553" s="57">
        <v>14400</v>
      </c>
      <c r="R1553" s="58" t="s">
        <v>8</v>
      </c>
      <c r="S1553" s="57" t="s">
        <v>8</v>
      </c>
      <c r="T1553" s="56" t="s">
        <v>2394</v>
      </c>
    </row>
    <row r="1554" spans="1:20">
      <c r="A1554" s="55">
        <v>132180740610</v>
      </c>
      <c r="B1554" s="53" t="s">
        <v>2386</v>
      </c>
      <c r="C1554" s="54">
        <v>45963</v>
      </c>
      <c r="D1554" s="55">
        <v>52516342156</v>
      </c>
      <c r="E1554" s="55">
        <v>2110191250619</v>
      </c>
      <c r="F1554" s="56" t="s">
        <v>2401</v>
      </c>
      <c r="G1554" s="56" t="s">
        <v>2388</v>
      </c>
      <c r="H1554" s="56" t="s">
        <v>8</v>
      </c>
      <c r="I1554" s="55" t="s">
        <v>8</v>
      </c>
      <c r="J1554" s="57">
        <v>1111.06</v>
      </c>
      <c r="K1554" s="56" t="s">
        <v>2389</v>
      </c>
      <c r="L1554" s="56" t="s">
        <v>2402</v>
      </c>
      <c r="M1554" s="55" t="s">
        <v>2391</v>
      </c>
      <c r="N1554" s="56" t="s">
        <v>2392</v>
      </c>
      <c r="O1554" s="53" t="s">
        <v>2055</v>
      </c>
      <c r="P1554" s="56" t="s">
        <v>2403</v>
      </c>
      <c r="Q1554" s="57">
        <v>14600</v>
      </c>
      <c r="R1554" s="58" t="s">
        <v>8</v>
      </c>
      <c r="S1554" s="57" t="s">
        <v>8</v>
      </c>
      <c r="T1554" s="56" t="s">
        <v>2394</v>
      </c>
    </row>
    <row r="1555" spans="1:20">
      <c r="A1555" s="55">
        <v>131582934295</v>
      </c>
      <c r="B1555" s="53" t="s">
        <v>2386</v>
      </c>
      <c r="C1555" s="54">
        <v>45963</v>
      </c>
      <c r="D1555" s="55">
        <v>52516369713</v>
      </c>
      <c r="E1555" s="55">
        <v>2110191453233</v>
      </c>
      <c r="F1555" s="56" t="s">
        <v>2387</v>
      </c>
      <c r="G1555" s="56" t="s">
        <v>2388</v>
      </c>
      <c r="H1555" s="56" t="s">
        <v>8</v>
      </c>
      <c r="I1555" s="55" t="s">
        <v>8</v>
      </c>
      <c r="J1555" s="57">
        <v>141.62</v>
      </c>
      <c r="K1555" s="56" t="s">
        <v>2389</v>
      </c>
      <c r="L1555" s="56" t="s">
        <v>2390</v>
      </c>
      <c r="M1555" s="55" t="s">
        <v>2391</v>
      </c>
      <c r="N1555" s="56" t="s">
        <v>2392</v>
      </c>
      <c r="O1555" s="53" t="s">
        <v>8</v>
      </c>
      <c r="P1555" s="56" t="s">
        <v>2628</v>
      </c>
      <c r="Q1555" s="57">
        <v>14600</v>
      </c>
      <c r="R1555" s="58" t="s">
        <v>8</v>
      </c>
      <c r="S1555" s="57" t="s">
        <v>8</v>
      </c>
      <c r="T1555" s="56" t="s">
        <v>2394</v>
      </c>
    </row>
    <row r="1556" spans="1:20">
      <c r="A1556" s="55">
        <v>131583431153</v>
      </c>
      <c r="B1556" s="53" t="s">
        <v>2386</v>
      </c>
      <c r="C1556" s="54">
        <v>45963</v>
      </c>
      <c r="D1556" s="55">
        <v>52516598823</v>
      </c>
      <c r="E1556" s="55">
        <v>2110194696943</v>
      </c>
      <c r="F1556" s="56" t="s">
        <v>2475</v>
      </c>
      <c r="G1556" s="56" t="s">
        <v>2388</v>
      </c>
      <c r="H1556" s="56" t="s">
        <v>8</v>
      </c>
      <c r="I1556" s="55" t="s">
        <v>8</v>
      </c>
      <c r="J1556" s="57">
        <v>1095.8399999999999</v>
      </c>
      <c r="K1556" s="56" t="s">
        <v>2389</v>
      </c>
      <c r="L1556" s="56" t="s">
        <v>2390</v>
      </c>
      <c r="M1556" s="55" t="s">
        <v>2391</v>
      </c>
      <c r="N1556" s="56" t="s">
        <v>2392</v>
      </c>
      <c r="O1556" s="53" t="s">
        <v>8</v>
      </c>
      <c r="P1556" s="56" t="s">
        <v>2536</v>
      </c>
      <c r="Q1556" s="57">
        <v>14400</v>
      </c>
      <c r="R1556" s="58" t="s">
        <v>8</v>
      </c>
      <c r="S1556" s="57" t="s">
        <v>8</v>
      </c>
      <c r="T1556" s="56" t="s">
        <v>2394</v>
      </c>
    </row>
    <row r="1557" spans="1:20">
      <c r="A1557" s="55">
        <v>132181289380</v>
      </c>
      <c r="B1557" s="53" t="s">
        <v>2386</v>
      </c>
      <c r="C1557" s="54">
        <v>45963</v>
      </c>
      <c r="D1557" s="55">
        <v>52516614559</v>
      </c>
      <c r="E1557" s="55">
        <v>2110289022582</v>
      </c>
      <c r="F1557" s="56" t="s">
        <v>2401</v>
      </c>
      <c r="G1557" s="56" t="s">
        <v>2388</v>
      </c>
      <c r="H1557" s="56" t="s">
        <v>8</v>
      </c>
      <c r="I1557" s="55" t="s">
        <v>8</v>
      </c>
      <c r="J1557" s="57">
        <v>754.56</v>
      </c>
      <c r="K1557" s="56" t="s">
        <v>2389</v>
      </c>
      <c r="L1557" s="56" t="s">
        <v>2402</v>
      </c>
      <c r="M1557" s="55" t="s">
        <v>2391</v>
      </c>
      <c r="N1557" s="56" t="s">
        <v>2392</v>
      </c>
      <c r="O1557" s="53" t="s">
        <v>2055</v>
      </c>
      <c r="P1557" s="56" t="s">
        <v>2403</v>
      </c>
      <c r="Q1557" s="57">
        <v>19200</v>
      </c>
      <c r="R1557" s="58" t="s">
        <v>8</v>
      </c>
      <c r="S1557" s="57" t="s">
        <v>8</v>
      </c>
      <c r="T1557" s="56" t="s">
        <v>2394</v>
      </c>
    </row>
    <row r="1558" spans="1:20">
      <c r="A1558" s="55">
        <v>132181431006</v>
      </c>
      <c r="B1558" s="53" t="s">
        <v>2386</v>
      </c>
      <c r="C1558" s="54">
        <v>45963</v>
      </c>
      <c r="D1558" s="55">
        <v>52516629436</v>
      </c>
      <c r="E1558" s="55">
        <v>2110195211877</v>
      </c>
      <c r="F1558" s="56" t="s">
        <v>2387</v>
      </c>
      <c r="G1558" s="56" t="s">
        <v>2388</v>
      </c>
      <c r="H1558" s="56" t="s">
        <v>8</v>
      </c>
      <c r="I1558" s="55" t="s">
        <v>8</v>
      </c>
      <c r="J1558" s="57">
        <v>93.12</v>
      </c>
      <c r="K1558" s="56" t="s">
        <v>2389</v>
      </c>
      <c r="L1558" s="56" t="s">
        <v>2390</v>
      </c>
      <c r="M1558" s="55" t="s">
        <v>2391</v>
      </c>
      <c r="N1558" s="56" t="s">
        <v>2392</v>
      </c>
      <c r="O1558" s="53" t="s">
        <v>8</v>
      </c>
      <c r="P1558" s="56" t="s">
        <v>2755</v>
      </c>
      <c r="Q1558" s="57">
        <v>9600</v>
      </c>
      <c r="R1558" s="58" t="s">
        <v>8</v>
      </c>
      <c r="S1558" s="57" t="s">
        <v>8</v>
      </c>
      <c r="T1558" s="56" t="s">
        <v>2394</v>
      </c>
    </row>
    <row r="1559" spans="1:20">
      <c r="A1559" s="55">
        <v>131583691511</v>
      </c>
      <c r="B1559" s="53" t="s">
        <v>2386</v>
      </c>
      <c r="C1559" s="54">
        <v>45963</v>
      </c>
      <c r="D1559" s="55">
        <v>52516692121</v>
      </c>
      <c r="E1559" s="55">
        <v>2110196521155</v>
      </c>
      <c r="F1559" s="56" t="s">
        <v>2387</v>
      </c>
      <c r="G1559" s="56" t="s">
        <v>2388</v>
      </c>
      <c r="H1559" s="56" t="s">
        <v>8</v>
      </c>
      <c r="I1559" s="55" t="s">
        <v>8</v>
      </c>
      <c r="J1559" s="57">
        <v>418.55</v>
      </c>
      <c r="K1559" s="56" t="s">
        <v>2389</v>
      </c>
      <c r="L1559" s="56" t="s">
        <v>2390</v>
      </c>
      <c r="M1559" s="55" t="s">
        <v>2391</v>
      </c>
      <c r="N1559" s="56" t="s">
        <v>2392</v>
      </c>
      <c r="O1559" s="53" t="s">
        <v>8</v>
      </c>
      <c r="P1559" s="56" t="s">
        <v>3010</v>
      </c>
      <c r="Q1559" s="57">
        <v>5500</v>
      </c>
      <c r="R1559" s="58" t="s">
        <v>8</v>
      </c>
      <c r="S1559" s="57" t="s">
        <v>8</v>
      </c>
      <c r="T1559" s="56" t="s">
        <v>2394</v>
      </c>
    </row>
    <row r="1560" spans="1:20">
      <c r="A1560" s="55">
        <v>132181655292</v>
      </c>
      <c r="B1560" s="53" t="s">
        <v>2386</v>
      </c>
      <c r="C1560" s="54">
        <v>45963</v>
      </c>
      <c r="D1560" s="55">
        <v>52516737682</v>
      </c>
      <c r="E1560" s="55">
        <v>2110291173440</v>
      </c>
      <c r="F1560" s="56" t="s">
        <v>2387</v>
      </c>
      <c r="G1560" s="56" t="s">
        <v>2388</v>
      </c>
      <c r="H1560" s="56" t="s">
        <v>8</v>
      </c>
      <c r="I1560" s="55" t="s">
        <v>8</v>
      </c>
      <c r="J1560" s="57">
        <v>406.43</v>
      </c>
      <c r="K1560" s="56" t="s">
        <v>2389</v>
      </c>
      <c r="L1560" s="56" t="s">
        <v>2390</v>
      </c>
      <c r="M1560" s="55" t="s">
        <v>2391</v>
      </c>
      <c r="N1560" s="56" t="s">
        <v>2392</v>
      </c>
      <c r="O1560" s="53" t="s">
        <v>8</v>
      </c>
      <c r="P1560" s="56" t="s">
        <v>3020</v>
      </c>
      <c r="Q1560" s="57">
        <v>41900</v>
      </c>
      <c r="R1560" s="58" t="s">
        <v>8</v>
      </c>
      <c r="S1560" s="57" t="s">
        <v>8</v>
      </c>
      <c r="T1560" s="56" t="s">
        <v>2394</v>
      </c>
    </row>
    <row r="1561" spans="1:20">
      <c r="A1561" s="55">
        <v>131583831737</v>
      </c>
      <c r="B1561" s="53" t="s">
        <v>2386</v>
      </c>
      <c r="C1561" s="54">
        <v>45963</v>
      </c>
      <c r="D1561" s="55">
        <v>52516742765</v>
      </c>
      <c r="E1561" s="55">
        <v>2110197196485</v>
      </c>
      <c r="F1561" s="56" t="s">
        <v>2401</v>
      </c>
      <c r="G1561" s="56" t="s">
        <v>2388</v>
      </c>
      <c r="H1561" s="56" t="s">
        <v>8</v>
      </c>
      <c r="I1561" s="55" t="s">
        <v>8</v>
      </c>
      <c r="J1561" s="57">
        <v>1688.88</v>
      </c>
      <c r="K1561" s="56" t="s">
        <v>2389</v>
      </c>
      <c r="L1561" s="56" t="s">
        <v>2402</v>
      </c>
      <c r="M1561" s="55" t="s">
        <v>2391</v>
      </c>
      <c r="N1561" s="56" t="s">
        <v>2392</v>
      </c>
      <c r="O1561" s="53" t="s">
        <v>2055</v>
      </c>
      <c r="P1561" s="56" t="s">
        <v>2403</v>
      </c>
      <c r="Q1561" s="57">
        <v>37200</v>
      </c>
      <c r="R1561" s="58" t="s">
        <v>8</v>
      </c>
      <c r="S1561" s="57" t="s">
        <v>8</v>
      </c>
      <c r="T1561" s="56" t="s">
        <v>2394</v>
      </c>
    </row>
    <row r="1562" spans="1:20">
      <c r="A1562" s="55">
        <v>131583864971</v>
      </c>
      <c r="B1562" s="53" t="s">
        <v>2386</v>
      </c>
      <c r="C1562" s="54">
        <v>45963</v>
      </c>
      <c r="D1562" s="55">
        <v>52516748410</v>
      </c>
      <c r="E1562" s="55">
        <v>2110291279782</v>
      </c>
      <c r="F1562" s="56" t="s">
        <v>2387</v>
      </c>
      <c r="G1562" s="56" t="s">
        <v>2388</v>
      </c>
      <c r="H1562" s="56" t="s">
        <v>8</v>
      </c>
      <c r="I1562" s="55" t="s">
        <v>8</v>
      </c>
      <c r="J1562" s="57">
        <v>387.03</v>
      </c>
      <c r="K1562" s="56" t="s">
        <v>2389</v>
      </c>
      <c r="L1562" s="56" t="s">
        <v>2390</v>
      </c>
      <c r="M1562" s="55" t="s">
        <v>2391</v>
      </c>
      <c r="N1562" s="56" t="s">
        <v>2392</v>
      </c>
      <c r="O1562" s="53" t="s">
        <v>8</v>
      </c>
      <c r="P1562" s="56" t="s">
        <v>3021</v>
      </c>
      <c r="Q1562" s="57">
        <v>39900</v>
      </c>
      <c r="R1562" s="58" t="s">
        <v>8</v>
      </c>
      <c r="S1562" s="57" t="s">
        <v>8</v>
      </c>
      <c r="T1562" s="56" t="s">
        <v>2394</v>
      </c>
    </row>
    <row r="1563" spans="1:20">
      <c r="A1563" s="55">
        <v>131583950719</v>
      </c>
      <c r="B1563" s="53" t="s">
        <v>2386</v>
      </c>
      <c r="C1563" s="54">
        <v>45963</v>
      </c>
      <c r="D1563" s="55">
        <v>52516763657</v>
      </c>
      <c r="E1563" s="55">
        <v>2110291605582</v>
      </c>
      <c r="F1563" s="56" t="s">
        <v>2401</v>
      </c>
      <c r="G1563" s="56" t="s">
        <v>2388</v>
      </c>
      <c r="H1563" s="56" t="s">
        <v>8</v>
      </c>
      <c r="I1563" s="55" t="s">
        <v>8</v>
      </c>
      <c r="J1563" s="57">
        <v>1180.4000000000001</v>
      </c>
      <c r="K1563" s="56" t="s">
        <v>2389</v>
      </c>
      <c r="L1563" s="56" t="s">
        <v>2402</v>
      </c>
      <c r="M1563" s="55" t="s">
        <v>2391</v>
      </c>
      <c r="N1563" s="56" t="s">
        <v>2392</v>
      </c>
      <c r="O1563" s="53" t="s">
        <v>2055</v>
      </c>
      <c r="P1563" s="56" t="s">
        <v>2403</v>
      </c>
      <c r="Q1563" s="57">
        <v>26000</v>
      </c>
      <c r="R1563" s="58" t="s">
        <v>8</v>
      </c>
      <c r="S1563" s="57" t="s">
        <v>8</v>
      </c>
      <c r="T1563" s="56" t="s">
        <v>2394</v>
      </c>
    </row>
    <row r="1564" spans="1:20">
      <c r="A1564" s="55">
        <v>131583847959</v>
      </c>
      <c r="B1564" s="53" t="s">
        <v>2386</v>
      </c>
      <c r="C1564" s="54">
        <v>45963</v>
      </c>
      <c r="D1564" s="55">
        <v>52516776139</v>
      </c>
      <c r="E1564" s="55">
        <v>2110291827136</v>
      </c>
      <c r="F1564" s="56" t="s">
        <v>2387</v>
      </c>
      <c r="G1564" s="56" t="s">
        <v>2388</v>
      </c>
      <c r="H1564" s="56" t="s">
        <v>8</v>
      </c>
      <c r="I1564" s="55" t="s">
        <v>8</v>
      </c>
      <c r="J1564" s="57">
        <v>53.35</v>
      </c>
      <c r="K1564" s="56" t="s">
        <v>2389</v>
      </c>
      <c r="L1564" s="56" t="s">
        <v>2390</v>
      </c>
      <c r="M1564" s="55" t="s">
        <v>2391</v>
      </c>
      <c r="N1564" s="56" t="s">
        <v>2392</v>
      </c>
      <c r="O1564" s="53" t="s">
        <v>8</v>
      </c>
      <c r="P1564" s="56" t="s">
        <v>3022</v>
      </c>
      <c r="Q1564" s="57">
        <v>5500</v>
      </c>
      <c r="R1564" s="58" t="s">
        <v>8</v>
      </c>
      <c r="S1564" s="57" t="s">
        <v>8</v>
      </c>
      <c r="T1564" s="56" t="s">
        <v>2394</v>
      </c>
    </row>
    <row r="1565" spans="1:20">
      <c r="A1565" s="55">
        <v>132181912220</v>
      </c>
      <c r="B1565" s="53" t="s">
        <v>2386</v>
      </c>
      <c r="C1565" s="54">
        <v>45963</v>
      </c>
      <c r="D1565" s="55">
        <v>52516801913</v>
      </c>
      <c r="E1565" s="55">
        <v>2110198293829</v>
      </c>
      <c r="F1565" s="56" t="s">
        <v>2387</v>
      </c>
      <c r="G1565" s="56" t="s">
        <v>2388</v>
      </c>
      <c r="H1565" s="56" t="s">
        <v>8</v>
      </c>
      <c r="I1565" s="55" t="s">
        <v>8</v>
      </c>
      <c r="J1565" s="57">
        <v>89.65</v>
      </c>
      <c r="K1565" s="56" t="s">
        <v>2389</v>
      </c>
      <c r="L1565" s="56" t="s">
        <v>2390</v>
      </c>
      <c r="M1565" s="55" t="s">
        <v>2391</v>
      </c>
      <c r="N1565" s="56" t="s">
        <v>2392</v>
      </c>
      <c r="O1565" s="53" t="s">
        <v>8</v>
      </c>
      <c r="P1565" s="56" t="s">
        <v>2432</v>
      </c>
      <c r="Q1565" s="57">
        <v>5500</v>
      </c>
      <c r="R1565" s="58" t="s">
        <v>8</v>
      </c>
      <c r="S1565" s="57" t="s">
        <v>8</v>
      </c>
      <c r="T1565" s="56" t="s">
        <v>2394</v>
      </c>
    </row>
    <row r="1566" spans="1:20">
      <c r="A1566" s="55">
        <v>131584069489</v>
      </c>
      <c r="B1566" s="53" t="s">
        <v>2386</v>
      </c>
      <c r="C1566" s="54">
        <v>45963</v>
      </c>
      <c r="D1566" s="55">
        <v>52516857658</v>
      </c>
      <c r="E1566" s="55">
        <v>2110198956363</v>
      </c>
      <c r="F1566" s="56" t="s">
        <v>2411</v>
      </c>
      <c r="G1566" s="56" t="s">
        <v>2388</v>
      </c>
      <c r="H1566" s="56" t="s">
        <v>8</v>
      </c>
      <c r="I1566" s="55" t="s">
        <v>8</v>
      </c>
      <c r="J1566" s="57">
        <v>470.45</v>
      </c>
      <c r="K1566" s="56" t="s">
        <v>2389</v>
      </c>
      <c r="L1566" s="56" t="s">
        <v>2390</v>
      </c>
      <c r="M1566" s="55" t="s">
        <v>2391</v>
      </c>
      <c r="N1566" s="56" t="s">
        <v>2392</v>
      </c>
      <c r="O1566" s="53" t="s">
        <v>8</v>
      </c>
      <c r="P1566" s="56" t="s">
        <v>2412</v>
      </c>
      <c r="Q1566" s="57">
        <v>48500</v>
      </c>
      <c r="R1566" s="58" t="s">
        <v>8</v>
      </c>
      <c r="S1566" s="57" t="s">
        <v>8</v>
      </c>
      <c r="T1566" s="56" t="s">
        <v>8</v>
      </c>
    </row>
    <row r="1567" spans="1:20">
      <c r="A1567" s="55">
        <v>132182077312</v>
      </c>
      <c r="B1567" s="53" t="s">
        <v>2386</v>
      </c>
      <c r="C1567" s="54">
        <v>45963</v>
      </c>
      <c r="D1567" s="55">
        <v>52516891475</v>
      </c>
      <c r="E1567" s="55">
        <v>2110199759137</v>
      </c>
      <c r="F1567" s="56" t="s">
        <v>2387</v>
      </c>
      <c r="G1567" s="56" t="s">
        <v>2388</v>
      </c>
      <c r="H1567" s="56" t="s">
        <v>8</v>
      </c>
      <c r="I1567" s="55" t="s">
        <v>8</v>
      </c>
      <c r="J1567" s="57">
        <v>470.45</v>
      </c>
      <c r="K1567" s="56" t="s">
        <v>2389</v>
      </c>
      <c r="L1567" s="56" t="s">
        <v>2390</v>
      </c>
      <c r="M1567" s="55" t="s">
        <v>2391</v>
      </c>
      <c r="N1567" s="56" t="s">
        <v>2392</v>
      </c>
      <c r="O1567" s="53" t="s">
        <v>8</v>
      </c>
      <c r="P1567" s="56" t="s">
        <v>3023</v>
      </c>
      <c r="Q1567" s="57">
        <v>48500</v>
      </c>
      <c r="R1567" s="58" t="s">
        <v>8</v>
      </c>
      <c r="S1567" s="57" t="s">
        <v>8</v>
      </c>
      <c r="T1567" s="56" t="s">
        <v>2394</v>
      </c>
    </row>
    <row r="1568" spans="1:20">
      <c r="A1568" s="55">
        <v>131584332677</v>
      </c>
      <c r="B1568" s="53" t="s">
        <v>2386</v>
      </c>
      <c r="C1568" s="54">
        <v>45963</v>
      </c>
      <c r="D1568" s="55">
        <v>52516917404</v>
      </c>
      <c r="E1568" s="55">
        <v>2110199961279</v>
      </c>
      <c r="F1568" s="56" t="s">
        <v>2387</v>
      </c>
      <c r="G1568" s="56" t="s">
        <v>2388</v>
      </c>
      <c r="H1568" s="56" t="s">
        <v>8</v>
      </c>
      <c r="I1568" s="55" t="s">
        <v>8</v>
      </c>
      <c r="J1568" s="57">
        <v>183.33</v>
      </c>
      <c r="K1568" s="56" t="s">
        <v>2389</v>
      </c>
      <c r="L1568" s="56" t="s">
        <v>2390</v>
      </c>
      <c r="M1568" s="55" t="s">
        <v>2391</v>
      </c>
      <c r="N1568" s="56" t="s">
        <v>2392</v>
      </c>
      <c r="O1568" s="53" t="s">
        <v>8</v>
      </c>
      <c r="P1568" s="56" t="s">
        <v>3024</v>
      </c>
      <c r="Q1568" s="57">
        <v>18900</v>
      </c>
      <c r="R1568" s="58" t="s">
        <v>8</v>
      </c>
      <c r="S1568" s="57" t="s">
        <v>8</v>
      </c>
      <c r="T1568" s="56" t="s">
        <v>2394</v>
      </c>
    </row>
    <row r="1569" spans="1:20">
      <c r="A1569" s="55">
        <v>132182344384</v>
      </c>
      <c r="B1569" s="53" t="s">
        <v>2386</v>
      </c>
      <c r="C1569" s="54">
        <v>45963</v>
      </c>
      <c r="D1569" s="55">
        <v>52516970077</v>
      </c>
      <c r="E1569" s="55">
        <v>2110201044813</v>
      </c>
      <c r="F1569" s="56" t="s">
        <v>2387</v>
      </c>
      <c r="G1569" s="56" t="s">
        <v>2388</v>
      </c>
      <c r="H1569" s="56" t="s">
        <v>8</v>
      </c>
      <c r="I1569" s="55" t="s">
        <v>8</v>
      </c>
      <c r="J1569" s="57">
        <v>178.48</v>
      </c>
      <c r="K1569" s="56" t="s">
        <v>2389</v>
      </c>
      <c r="L1569" s="56" t="s">
        <v>2390</v>
      </c>
      <c r="M1569" s="55" t="s">
        <v>2391</v>
      </c>
      <c r="N1569" s="56" t="s">
        <v>2392</v>
      </c>
      <c r="O1569" s="53" t="s">
        <v>8</v>
      </c>
      <c r="P1569" s="56" t="s">
        <v>3025</v>
      </c>
      <c r="Q1569" s="57">
        <v>18400</v>
      </c>
      <c r="R1569" s="58" t="s">
        <v>8</v>
      </c>
      <c r="S1569" s="57" t="s">
        <v>8</v>
      </c>
      <c r="T1569" s="56" t="s">
        <v>2394</v>
      </c>
    </row>
    <row r="1570" spans="1:20">
      <c r="A1570" s="55">
        <v>131584416787</v>
      </c>
      <c r="B1570" s="53" t="s">
        <v>2386</v>
      </c>
      <c r="C1570" s="54">
        <v>45963</v>
      </c>
      <c r="D1570" s="55">
        <v>52516984736</v>
      </c>
      <c r="E1570" s="55">
        <v>2110200701983</v>
      </c>
      <c r="F1570" s="56" t="s">
        <v>2387</v>
      </c>
      <c r="G1570" s="56" t="s">
        <v>2388</v>
      </c>
      <c r="H1570" s="56" t="s">
        <v>8</v>
      </c>
      <c r="I1570" s="55" t="s">
        <v>8</v>
      </c>
      <c r="J1570" s="57">
        <v>261.89999999999998</v>
      </c>
      <c r="K1570" s="56" t="s">
        <v>2389</v>
      </c>
      <c r="L1570" s="56" t="s">
        <v>2390</v>
      </c>
      <c r="M1570" s="55" t="s">
        <v>2391</v>
      </c>
      <c r="N1570" s="56" t="s">
        <v>2392</v>
      </c>
      <c r="O1570" s="53" t="s">
        <v>8</v>
      </c>
      <c r="P1570" s="56" t="s">
        <v>3026</v>
      </c>
      <c r="Q1570" s="57">
        <v>27000</v>
      </c>
      <c r="R1570" s="58" t="s">
        <v>8</v>
      </c>
      <c r="S1570" s="57" t="s">
        <v>8</v>
      </c>
      <c r="T1570" s="56" t="s">
        <v>2394</v>
      </c>
    </row>
    <row r="1571" spans="1:20">
      <c r="A1571" s="55">
        <v>132182486426</v>
      </c>
      <c r="B1571" s="53" t="s">
        <v>2386</v>
      </c>
      <c r="C1571" s="54">
        <v>45963</v>
      </c>
      <c r="D1571" s="55">
        <v>52517048434</v>
      </c>
      <c r="E1571" s="55">
        <v>2110295879628</v>
      </c>
      <c r="F1571" s="56" t="s">
        <v>2475</v>
      </c>
      <c r="G1571" s="56" t="s">
        <v>2388</v>
      </c>
      <c r="H1571" s="56" t="s">
        <v>8</v>
      </c>
      <c r="I1571" s="55" t="s">
        <v>8</v>
      </c>
      <c r="J1571" s="57">
        <v>438.47</v>
      </c>
      <c r="K1571" s="56" t="s">
        <v>2389</v>
      </c>
      <c r="L1571" s="56" t="s">
        <v>2390</v>
      </c>
      <c r="M1571" s="55" t="s">
        <v>2391</v>
      </c>
      <c r="N1571" s="56" t="s">
        <v>2392</v>
      </c>
      <c r="O1571" s="53" t="s">
        <v>8</v>
      </c>
      <c r="P1571" s="56" t="s">
        <v>2536</v>
      </c>
      <c r="Q1571" s="57">
        <v>26900</v>
      </c>
      <c r="R1571" s="58" t="s">
        <v>8</v>
      </c>
      <c r="S1571" s="57" t="s">
        <v>8</v>
      </c>
      <c r="T1571" s="56" t="s">
        <v>2394</v>
      </c>
    </row>
    <row r="1572" spans="1:20">
      <c r="A1572" s="55">
        <v>132241970984</v>
      </c>
      <c r="B1572" s="53" t="s">
        <v>2386</v>
      </c>
      <c r="C1572" s="54">
        <v>45963</v>
      </c>
      <c r="D1572" s="55">
        <v>52544232722</v>
      </c>
      <c r="E1572" s="55">
        <v>2110567391017</v>
      </c>
      <c r="F1572" s="56" t="s">
        <v>2387</v>
      </c>
      <c r="G1572" s="56" t="s">
        <v>2388</v>
      </c>
      <c r="H1572" s="56" t="s">
        <v>8</v>
      </c>
      <c r="I1572" s="55" t="s">
        <v>8</v>
      </c>
      <c r="J1572" s="57">
        <v>56.26</v>
      </c>
      <c r="K1572" s="56" t="s">
        <v>2389</v>
      </c>
      <c r="L1572" s="56" t="s">
        <v>2390</v>
      </c>
      <c r="M1572" s="55" t="s">
        <v>2391</v>
      </c>
      <c r="N1572" s="56" t="s">
        <v>2392</v>
      </c>
      <c r="O1572" s="53" t="s">
        <v>8</v>
      </c>
      <c r="P1572" s="56" t="s">
        <v>2560</v>
      </c>
      <c r="Q1572" s="57">
        <v>5800</v>
      </c>
      <c r="R1572" s="58" t="s">
        <v>8</v>
      </c>
      <c r="S1572" s="57" t="s">
        <v>8</v>
      </c>
      <c r="T1572" s="56" t="s">
        <v>2394</v>
      </c>
    </row>
    <row r="1573" spans="1:20">
      <c r="A1573" s="55">
        <v>132246545410</v>
      </c>
      <c r="B1573" s="53" t="s">
        <v>2386</v>
      </c>
      <c r="C1573" s="54">
        <v>45963</v>
      </c>
      <c r="D1573" s="55">
        <v>52546163899</v>
      </c>
      <c r="E1573" s="55">
        <v>2110690483680</v>
      </c>
      <c r="F1573" s="56" t="s">
        <v>2411</v>
      </c>
      <c r="G1573" s="56" t="s">
        <v>2388</v>
      </c>
      <c r="H1573" s="56" t="s">
        <v>8</v>
      </c>
      <c r="I1573" s="55" t="s">
        <v>8</v>
      </c>
      <c r="J1573" s="57">
        <v>88.27</v>
      </c>
      <c r="K1573" s="56" t="s">
        <v>2389</v>
      </c>
      <c r="L1573" s="56" t="s">
        <v>2390</v>
      </c>
      <c r="M1573" s="55" t="s">
        <v>2391</v>
      </c>
      <c r="N1573" s="56" t="s">
        <v>2392</v>
      </c>
      <c r="O1573" s="53" t="s">
        <v>8</v>
      </c>
      <c r="P1573" s="56" t="s">
        <v>2412</v>
      </c>
      <c r="Q1573" s="57">
        <v>9100</v>
      </c>
      <c r="R1573" s="58" t="s">
        <v>8</v>
      </c>
      <c r="S1573" s="57" t="s">
        <v>8</v>
      </c>
      <c r="T1573" s="56" t="s">
        <v>8</v>
      </c>
    </row>
    <row r="1574" spans="1:20">
      <c r="A1574" s="55">
        <v>132248382236</v>
      </c>
      <c r="B1574" s="53" t="s">
        <v>2386</v>
      </c>
      <c r="C1574" s="54">
        <v>45963</v>
      </c>
      <c r="D1574" s="55">
        <v>52546984847</v>
      </c>
      <c r="E1574" s="55">
        <v>2110702053964</v>
      </c>
      <c r="F1574" s="56" t="s">
        <v>2387</v>
      </c>
      <c r="G1574" s="56" t="s">
        <v>2388</v>
      </c>
      <c r="H1574" s="56" t="s">
        <v>8</v>
      </c>
      <c r="I1574" s="55" t="s">
        <v>8</v>
      </c>
      <c r="J1574" s="57">
        <v>46.08</v>
      </c>
      <c r="K1574" s="56" t="s">
        <v>2389</v>
      </c>
      <c r="L1574" s="56" t="s">
        <v>2390</v>
      </c>
      <c r="M1574" s="55" t="s">
        <v>2391</v>
      </c>
      <c r="N1574" s="56" t="s">
        <v>2392</v>
      </c>
      <c r="O1574" s="53" t="s">
        <v>8</v>
      </c>
      <c r="P1574" s="56" t="s">
        <v>2638</v>
      </c>
      <c r="Q1574" s="57">
        <v>4750</v>
      </c>
      <c r="R1574" s="58" t="s">
        <v>8</v>
      </c>
      <c r="S1574" s="57" t="s">
        <v>8</v>
      </c>
      <c r="T1574" s="56" t="s">
        <v>2394</v>
      </c>
    </row>
    <row r="1575" spans="1:20">
      <c r="A1575" s="55">
        <v>132251159254</v>
      </c>
      <c r="B1575" s="53" t="s">
        <v>2386</v>
      </c>
      <c r="C1575" s="54">
        <v>45963</v>
      </c>
      <c r="D1575" s="55">
        <v>52548052592</v>
      </c>
      <c r="E1575" s="55">
        <v>2110719008558</v>
      </c>
      <c r="F1575" s="56" t="s">
        <v>2401</v>
      </c>
      <c r="G1575" s="56" t="s">
        <v>2388</v>
      </c>
      <c r="H1575" s="56" t="s">
        <v>8</v>
      </c>
      <c r="I1575" s="55" t="s">
        <v>8</v>
      </c>
      <c r="J1575" s="57">
        <v>330.12</v>
      </c>
      <c r="K1575" s="56" t="s">
        <v>2389</v>
      </c>
      <c r="L1575" s="56" t="s">
        <v>2402</v>
      </c>
      <c r="M1575" s="55" t="s">
        <v>2391</v>
      </c>
      <c r="N1575" s="56" t="s">
        <v>2392</v>
      </c>
      <c r="O1575" s="53" t="s">
        <v>2055</v>
      </c>
      <c r="P1575" s="56" t="s">
        <v>2403</v>
      </c>
      <c r="Q1575" s="57">
        <v>8400</v>
      </c>
      <c r="R1575" s="58" t="s">
        <v>8</v>
      </c>
      <c r="S1575" s="57" t="s">
        <v>8</v>
      </c>
      <c r="T1575" s="56" t="s">
        <v>2394</v>
      </c>
    </row>
    <row r="1576" spans="1:20">
      <c r="A1576" s="55">
        <v>132252626804</v>
      </c>
      <c r="B1576" s="53" t="s">
        <v>2386</v>
      </c>
      <c r="C1576" s="54">
        <v>45963</v>
      </c>
      <c r="D1576" s="55">
        <v>52548618189</v>
      </c>
      <c r="E1576" s="55">
        <v>2110632931779</v>
      </c>
      <c r="F1576" s="56" t="s">
        <v>2401</v>
      </c>
      <c r="G1576" s="56" t="s">
        <v>2388</v>
      </c>
      <c r="H1576" s="56" t="s">
        <v>8</v>
      </c>
      <c r="I1576" s="55" t="s">
        <v>8</v>
      </c>
      <c r="J1576" s="57">
        <v>345.84</v>
      </c>
      <c r="K1576" s="56" t="s">
        <v>2389</v>
      </c>
      <c r="L1576" s="56" t="s">
        <v>2402</v>
      </c>
      <c r="M1576" s="55" t="s">
        <v>2391</v>
      </c>
      <c r="N1576" s="56" t="s">
        <v>2392</v>
      </c>
      <c r="O1576" s="53" t="s">
        <v>2055</v>
      </c>
      <c r="P1576" s="56" t="s">
        <v>2403</v>
      </c>
      <c r="Q1576" s="57">
        <v>8800</v>
      </c>
      <c r="R1576" s="58" t="s">
        <v>8</v>
      </c>
      <c r="S1576" s="57" t="s">
        <v>8</v>
      </c>
      <c r="T1576" s="56" t="s">
        <v>2394</v>
      </c>
    </row>
    <row r="1577" spans="1:20">
      <c r="A1577" s="55">
        <v>132254584764</v>
      </c>
      <c r="B1577" s="53" t="s">
        <v>2386</v>
      </c>
      <c r="C1577" s="54">
        <v>45963</v>
      </c>
      <c r="D1577" s="55">
        <v>52549395663</v>
      </c>
      <c r="E1577" s="55">
        <v>2110739132220</v>
      </c>
      <c r="F1577" s="56" t="s">
        <v>2401</v>
      </c>
      <c r="G1577" s="56" t="s">
        <v>2388</v>
      </c>
      <c r="H1577" s="56" t="s">
        <v>8</v>
      </c>
      <c r="I1577" s="55" t="s">
        <v>8</v>
      </c>
      <c r="J1577" s="57">
        <v>204.3</v>
      </c>
      <c r="K1577" s="56" t="s">
        <v>2389</v>
      </c>
      <c r="L1577" s="56" t="s">
        <v>2402</v>
      </c>
      <c r="M1577" s="55" t="s">
        <v>2391</v>
      </c>
      <c r="N1577" s="56" t="s">
        <v>2392</v>
      </c>
      <c r="O1577" s="53" t="s">
        <v>2055</v>
      </c>
      <c r="P1577" s="56" t="s">
        <v>2403</v>
      </c>
      <c r="Q1577" s="57">
        <v>4500</v>
      </c>
      <c r="R1577" s="58" t="s">
        <v>8</v>
      </c>
      <c r="S1577" s="57" t="s">
        <v>8</v>
      </c>
      <c r="T1577" s="56" t="s">
        <v>2394</v>
      </c>
    </row>
    <row r="1578" spans="1:20">
      <c r="A1578" s="55">
        <v>132256079702</v>
      </c>
      <c r="B1578" s="53" t="s">
        <v>2386</v>
      </c>
      <c r="C1578" s="54">
        <v>45963</v>
      </c>
      <c r="D1578" s="55">
        <v>52550079629</v>
      </c>
      <c r="E1578" s="55">
        <v>2110749926222</v>
      </c>
      <c r="F1578" s="56" t="s">
        <v>2411</v>
      </c>
      <c r="G1578" s="56" t="s">
        <v>2388</v>
      </c>
      <c r="H1578" s="56" t="s">
        <v>8</v>
      </c>
      <c r="I1578" s="55" t="s">
        <v>8</v>
      </c>
      <c r="J1578" s="57">
        <v>95.06</v>
      </c>
      <c r="K1578" s="56" t="s">
        <v>2389</v>
      </c>
      <c r="L1578" s="56" t="s">
        <v>2390</v>
      </c>
      <c r="M1578" s="55" t="s">
        <v>2391</v>
      </c>
      <c r="N1578" s="56" t="s">
        <v>2392</v>
      </c>
      <c r="O1578" s="53" t="s">
        <v>8</v>
      </c>
      <c r="P1578" s="56" t="s">
        <v>2412</v>
      </c>
      <c r="Q1578" s="57">
        <v>9800</v>
      </c>
      <c r="R1578" s="58" t="s">
        <v>8</v>
      </c>
      <c r="S1578" s="57" t="s">
        <v>8</v>
      </c>
      <c r="T1578" s="56" t="s">
        <v>8</v>
      </c>
    </row>
    <row r="1579" spans="1:20">
      <c r="A1579" s="55">
        <v>131658079781</v>
      </c>
      <c r="B1579" s="53" t="s">
        <v>2386</v>
      </c>
      <c r="C1579" s="54">
        <v>45963</v>
      </c>
      <c r="D1579" s="55">
        <v>52550165630</v>
      </c>
      <c r="E1579" s="55">
        <v>2110656953561</v>
      </c>
      <c r="F1579" s="56" t="s">
        <v>2387</v>
      </c>
      <c r="G1579" s="56" t="s">
        <v>2388</v>
      </c>
      <c r="H1579" s="56" t="s">
        <v>8</v>
      </c>
      <c r="I1579" s="55" t="s">
        <v>8</v>
      </c>
      <c r="J1579" s="57">
        <v>286.14999999999998</v>
      </c>
      <c r="K1579" s="56" t="s">
        <v>2389</v>
      </c>
      <c r="L1579" s="56" t="s">
        <v>2390</v>
      </c>
      <c r="M1579" s="55" t="s">
        <v>2391</v>
      </c>
      <c r="N1579" s="56" t="s">
        <v>2392</v>
      </c>
      <c r="O1579" s="53" t="s">
        <v>8</v>
      </c>
      <c r="P1579" s="56" t="s">
        <v>3027</v>
      </c>
      <c r="Q1579" s="57">
        <v>29500</v>
      </c>
      <c r="R1579" s="58" t="s">
        <v>8</v>
      </c>
      <c r="S1579" s="57" t="s">
        <v>8</v>
      </c>
      <c r="T1579" s="56" t="s">
        <v>2394</v>
      </c>
    </row>
    <row r="1580" spans="1:20">
      <c r="A1580" s="55">
        <v>131658215481</v>
      </c>
      <c r="B1580" s="53" t="s">
        <v>2386</v>
      </c>
      <c r="C1580" s="54">
        <v>45963</v>
      </c>
      <c r="D1580" s="55">
        <v>52550236935</v>
      </c>
      <c r="E1580" s="55">
        <v>2110657897167</v>
      </c>
      <c r="F1580" s="56" t="s">
        <v>2387</v>
      </c>
      <c r="G1580" s="56" t="s">
        <v>2388</v>
      </c>
      <c r="H1580" s="56" t="s">
        <v>8</v>
      </c>
      <c r="I1580" s="55" t="s">
        <v>8</v>
      </c>
      <c r="J1580" s="57">
        <v>104.76</v>
      </c>
      <c r="K1580" s="56" t="s">
        <v>2389</v>
      </c>
      <c r="L1580" s="56" t="s">
        <v>2390</v>
      </c>
      <c r="M1580" s="55" t="s">
        <v>2391</v>
      </c>
      <c r="N1580" s="56" t="s">
        <v>2392</v>
      </c>
      <c r="O1580" s="53" t="s">
        <v>8</v>
      </c>
      <c r="P1580" s="56" t="s">
        <v>2464</v>
      </c>
      <c r="Q1580" s="57">
        <v>10800</v>
      </c>
      <c r="R1580" s="58" t="s">
        <v>8</v>
      </c>
      <c r="S1580" s="57" t="s">
        <v>8</v>
      </c>
      <c r="T1580" s="56" t="s">
        <v>2394</v>
      </c>
    </row>
    <row r="1581" spans="1:20">
      <c r="A1581" s="55">
        <v>132257055696</v>
      </c>
      <c r="B1581" s="53" t="s">
        <v>2386</v>
      </c>
      <c r="C1581" s="54">
        <v>45963</v>
      </c>
      <c r="D1581" s="55">
        <v>52550458702</v>
      </c>
      <c r="E1581" s="55">
        <v>2110756177454</v>
      </c>
      <c r="F1581" s="56" t="s">
        <v>2387</v>
      </c>
      <c r="G1581" s="56" t="s">
        <v>2388</v>
      </c>
      <c r="H1581" s="56" t="s">
        <v>8</v>
      </c>
      <c r="I1581" s="55" t="s">
        <v>8</v>
      </c>
      <c r="J1581" s="57">
        <v>175.57</v>
      </c>
      <c r="K1581" s="56" t="s">
        <v>2389</v>
      </c>
      <c r="L1581" s="56" t="s">
        <v>2390</v>
      </c>
      <c r="M1581" s="55" t="s">
        <v>2391</v>
      </c>
      <c r="N1581" s="56" t="s">
        <v>2392</v>
      </c>
      <c r="O1581" s="53" t="s">
        <v>8</v>
      </c>
      <c r="P1581" s="56" t="s">
        <v>3028</v>
      </c>
      <c r="Q1581" s="57">
        <v>18100</v>
      </c>
      <c r="R1581" s="58" t="s">
        <v>8</v>
      </c>
      <c r="S1581" s="57" t="s">
        <v>8</v>
      </c>
      <c r="T1581" s="56" t="s">
        <v>2394</v>
      </c>
    </row>
    <row r="1582" spans="1:20">
      <c r="A1582" s="55">
        <v>131659104285</v>
      </c>
      <c r="B1582" s="53" t="s">
        <v>2386</v>
      </c>
      <c r="C1582" s="54">
        <v>45963</v>
      </c>
      <c r="D1582" s="55">
        <v>52550532418</v>
      </c>
      <c r="E1582" s="55">
        <v>2110757620638</v>
      </c>
      <c r="F1582" s="56" t="s">
        <v>2411</v>
      </c>
      <c r="G1582" s="56" t="s">
        <v>2388</v>
      </c>
      <c r="H1582" s="56" t="s">
        <v>8</v>
      </c>
      <c r="I1582" s="55" t="s">
        <v>8</v>
      </c>
      <c r="J1582" s="57">
        <v>47.53</v>
      </c>
      <c r="K1582" s="56" t="s">
        <v>2389</v>
      </c>
      <c r="L1582" s="56" t="s">
        <v>2390</v>
      </c>
      <c r="M1582" s="55" t="s">
        <v>2391</v>
      </c>
      <c r="N1582" s="56" t="s">
        <v>2392</v>
      </c>
      <c r="O1582" s="53" t="s">
        <v>8</v>
      </c>
      <c r="P1582" s="56" t="s">
        <v>2412</v>
      </c>
      <c r="Q1582" s="57">
        <v>4900</v>
      </c>
      <c r="R1582" s="58" t="s">
        <v>8</v>
      </c>
      <c r="S1582" s="57" t="s">
        <v>8</v>
      </c>
      <c r="T1582" s="56" t="s">
        <v>8</v>
      </c>
    </row>
    <row r="1583" spans="1:20">
      <c r="A1583" s="55">
        <v>131658947565</v>
      </c>
      <c r="B1583" s="53" t="s">
        <v>2386</v>
      </c>
      <c r="C1583" s="54">
        <v>45963</v>
      </c>
      <c r="D1583" s="55">
        <v>52550565366</v>
      </c>
      <c r="E1583" s="55">
        <v>2110758148184</v>
      </c>
      <c r="F1583" s="56" t="s">
        <v>2411</v>
      </c>
      <c r="G1583" s="56" t="s">
        <v>2388</v>
      </c>
      <c r="H1583" s="56" t="s">
        <v>8</v>
      </c>
      <c r="I1583" s="55" t="s">
        <v>8</v>
      </c>
      <c r="J1583" s="57">
        <v>292.94</v>
      </c>
      <c r="K1583" s="56" t="s">
        <v>2389</v>
      </c>
      <c r="L1583" s="56" t="s">
        <v>2390</v>
      </c>
      <c r="M1583" s="55" t="s">
        <v>2391</v>
      </c>
      <c r="N1583" s="56" t="s">
        <v>2392</v>
      </c>
      <c r="O1583" s="53" t="s">
        <v>8</v>
      </c>
      <c r="P1583" s="56" t="s">
        <v>2412</v>
      </c>
      <c r="Q1583" s="57">
        <v>30200</v>
      </c>
      <c r="R1583" s="58" t="s">
        <v>8</v>
      </c>
      <c r="S1583" s="57" t="s">
        <v>8</v>
      </c>
      <c r="T1583" s="56" t="s">
        <v>8</v>
      </c>
    </row>
    <row r="1584" spans="1:20">
      <c r="A1584" s="55">
        <v>132259500258</v>
      </c>
      <c r="B1584" s="53" t="s">
        <v>2386</v>
      </c>
      <c r="C1584" s="54">
        <v>45963</v>
      </c>
      <c r="D1584" s="55">
        <v>52551420557</v>
      </c>
      <c r="E1584" s="55">
        <v>2110676254333</v>
      </c>
      <c r="F1584" s="56" t="s">
        <v>2401</v>
      </c>
      <c r="G1584" s="56" t="s">
        <v>2388</v>
      </c>
      <c r="H1584" s="56" t="s">
        <v>8</v>
      </c>
      <c r="I1584" s="55" t="s">
        <v>8</v>
      </c>
      <c r="J1584" s="57">
        <v>1540.56</v>
      </c>
      <c r="K1584" s="56" t="s">
        <v>2389</v>
      </c>
      <c r="L1584" s="56" t="s">
        <v>2402</v>
      </c>
      <c r="M1584" s="55" t="s">
        <v>2391</v>
      </c>
      <c r="N1584" s="56" t="s">
        <v>2392</v>
      </c>
      <c r="O1584" s="53" t="s">
        <v>2055</v>
      </c>
      <c r="P1584" s="56" t="s">
        <v>2403</v>
      </c>
      <c r="Q1584" s="57">
        <v>39200</v>
      </c>
      <c r="R1584" s="58" t="s">
        <v>8</v>
      </c>
      <c r="S1584" s="57" t="s">
        <v>8</v>
      </c>
      <c r="T1584" s="56" t="s">
        <v>2394</v>
      </c>
    </row>
    <row r="1585" spans="1:20">
      <c r="A1585" s="55">
        <v>132259780852</v>
      </c>
      <c r="B1585" s="53" t="s">
        <v>2386</v>
      </c>
      <c r="C1585" s="54">
        <v>45963</v>
      </c>
      <c r="D1585" s="55">
        <v>52551544527</v>
      </c>
      <c r="E1585" s="55">
        <v>2110677763321</v>
      </c>
      <c r="F1585" s="56" t="s">
        <v>2387</v>
      </c>
      <c r="G1585" s="56" t="s">
        <v>2388</v>
      </c>
      <c r="H1585" s="56" t="s">
        <v>8</v>
      </c>
      <c r="I1585" s="55" t="s">
        <v>8</v>
      </c>
      <c r="J1585" s="57">
        <v>304.58</v>
      </c>
      <c r="K1585" s="56" t="s">
        <v>2389</v>
      </c>
      <c r="L1585" s="56" t="s">
        <v>2390</v>
      </c>
      <c r="M1585" s="55" t="s">
        <v>2391</v>
      </c>
      <c r="N1585" s="56" t="s">
        <v>2392</v>
      </c>
      <c r="O1585" s="53" t="s">
        <v>8</v>
      </c>
      <c r="P1585" s="56" t="s">
        <v>2568</v>
      </c>
      <c r="Q1585" s="57">
        <v>31400</v>
      </c>
      <c r="R1585" s="58" t="s">
        <v>8</v>
      </c>
      <c r="S1585" s="57" t="s">
        <v>8</v>
      </c>
      <c r="T1585" s="56" t="s">
        <v>2394</v>
      </c>
    </row>
    <row r="1586" spans="1:20">
      <c r="A1586" s="55">
        <v>131661892121</v>
      </c>
      <c r="B1586" s="53" t="s">
        <v>2386</v>
      </c>
      <c r="C1586" s="54">
        <v>45963</v>
      </c>
      <c r="D1586" s="55">
        <v>52551653331</v>
      </c>
      <c r="E1586" s="55">
        <v>2110774392806</v>
      </c>
      <c r="F1586" s="56" t="s">
        <v>2411</v>
      </c>
      <c r="G1586" s="56" t="s">
        <v>2388</v>
      </c>
      <c r="H1586" s="56" t="s">
        <v>8</v>
      </c>
      <c r="I1586" s="55" t="s">
        <v>8</v>
      </c>
      <c r="J1586" s="57">
        <v>42.68</v>
      </c>
      <c r="K1586" s="56" t="s">
        <v>2389</v>
      </c>
      <c r="L1586" s="56" t="s">
        <v>2390</v>
      </c>
      <c r="M1586" s="55" t="s">
        <v>2391</v>
      </c>
      <c r="N1586" s="56" t="s">
        <v>2392</v>
      </c>
      <c r="O1586" s="53" t="s">
        <v>8</v>
      </c>
      <c r="P1586" s="56" t="s">
        <v>2412</v>
      </c>
      <c r="Q1586" s="57">
        <v>4400</v>
      </c>
      <c r="R1586" s="58" t="s">
        <v>8</v>
      </c>
      <c r="S1586" s="57" t="s">
        <v>8</v>
      </c>
      <c r="T1586" s="56" t="s">
        <v>8</v>
      </c>
    </row>
    <row r="1587" spans="1:20">
      <c r="A1587" s="55">
        <v>131662277269</v>
      </c>
      <c r="B1587" s="53" t="s">
        <v>2386</v>
      </c>
      <c r="C1587" s="54">
        <v>45963</v>
      </c>
      <c r="D1587" s="55">
        <v>52551881534</v>
      </c>
      <c r="E1587" s="55">
        <v>2110683112333</v>
      </c>
      <c r="F1587" s="56" t="s">
        <v>2387</v>
      </c>
      <c r="G1587" s="56" t="s">
        <v>2388</v>
      </c>
      <c r="H1587" s="56" t="s">
        <v>8</v>
      </c>
      <c r="I1587" s="55" t="s">
        <v>8</v>
      </c>
      <c r="J1587" s="57">
        <v>394.79</v>
      </c>
      <c r="K1587" s="56" t="s">
        <v>2389</v>
      </c>
      <c r="L1587" s="56" t="s">
        <v>2390</v>
      </c>
      <c r="M1587" s="55" t="s">
        <v>2391</v>
      </c>
      <c r="N1587" s="56" t="s">
        <v>2392</v>
      </c>
      <c r="O1587" s="53" t="s">
        <v>8</v>
      </c>
      <c r="P1587" s="56" t="s">
        <v>3029</v>
      </c>
      <c r="Q1587" s="57">
        <v>40700</v>
      </c>
      <c r="R1587" s="58" t="s">
        <v>8</v>
      </c>
      <c r="S1587" s="57" t="s">
        <v>8</v>
      </c>
      <c r="T1587" s="56" t="s">
        <v>2394</v>
      </c>
    </row>
    <row r="1588" spans="1:20">
      <c r="A1588" s="55">
        <v>132260745956</v>
      </c>
      <c r="B1588" s="53" t="s">
        <v>2386</v>
      </c>
      <c r="C1588" s="54">
        <v>45963</v>
      </c>
      <c r="D1588" s="55">
        <v>52551989016</v>
      </c>
      <c r="E1588" s="55">
        <v>2110684644615</v>
      </c>
      <c r="F1588" s="56" t="s">
        <v>2401</v>
      </c>
      <c r="G1588" s="56" t="s">
        <v>2388</v>
      </c>
      <c r="H1588" s="56" t="s">
        <v>8</v>
      </c>
      <c r="I1588" s="55" t="s">
        <v>8</v>
      </c>
      <c r="J1588" s="57">
        <v>3142.93</v>
      </c>
      <c r="K1588" s="56" t="s">
        <v>2389</v>
      </c>
      <c r="L1588" s="56" t="s">
        <v>2402</v>
      </c>
      <c r="M1588" s="55" t="s">
        <v>2391</v>
      </c>
      <c r="N1588" s="56" t="s">
        <v>2392</v>
      </c>
      <c r="O1588" s="53" t="s">
        <v>2055</v>
      </c>
      <c r="P1588" s="56" t="s">
        <v>2403</v>
      </c>
      <c r="Q1588" s="57">
        <v>41300</v>
      </c>
      <c r="R1588" s="58" t="s">
        <v>8</v>
      </c>
      <c r="S1588" s="57" t="s">
        <v>8</v>
      </c>
      <c r="T1588" s="56" t="s">
        <v>2394</v>
      </c>
    </row>
    <row r="1589" spans="1:20">
      <c r="A1589" s="55">
        <v>131662757637</v>
      </c>
      <c r="B1589" s="53" t="s">
        <v>2386</v>
      </c>
      <c r="C1589" s="54">
        <v>45963</v>
      </c>
      <c r="D1589" s="55">
        <v>52552100598</v>
      </c>
      <c r="E1589" s="55">
        <v>2110781338712</v>
      </c>
      <c r="F1589" s="56" t="s">
        <v>2387</v>
      </c>
      <c r="G1589" s="56" t="s">
        <v>2388</v>
      </c>
      <c r="H1589" s="56" t="s">
        <v>8</v>
      </c>
      <c r="I1589" s="55" t="s">
        <v>8</v>
      </c>
      <c r="J1589" s="57">
        <v>237.65</v>
      </c>
      <c r="K1589" s="56" t="s">
        <v>2389</v>
      </c>
      <c r="L1589" s="56" t="s">
        <v>2390</v>
      </c>
      <c r="M1589" s="55" t="s">
        <v>2391</v>
      </c>
      <c r="N1589" s="56" t="s">
        <v>2392</v>
      </c>
      <c r="O1589" s="53" t="s">
        <v>8</v>
      </c>
      <c r="P1589" s="56" t="s">
        <v>3030</v>
      </c>
      <c r="Q1589" s="57">
        <v>24500</v>
      </c>
      <c r="R1589" s="58" t="s">
        <v>8</v>
      </c>
      <c r="S1589" s="57" t="s">
        <v>8</v>
      </c>
      <c r="T1589" s="56" t="s">
        <v>2394</v>
      </c>
    </row>
    <row r="1590" spans="1:20">
      <c r="A1590" s="55">
        <v>132262120630</v>
      </c>
      <c r="B1590" s="53" t="s">
        <v>2386</v>
      </c>
      <c r="C1590" s="54">
        <v>45963</v>
      </c>
      <c r="D1590" s="55">
        <v>52552440705</v>
      </c>
      <c r="E1590" s="55">
        <v>2110691789131</v>
      </c>
      <c r="F1590" s="56" t="s">
        <v>2411</v>
      </c>
      <c r="G1590" s="56" t="s">
        <v>2388</v>
      </c>
      <c r="H1590" s="56" t="s">
        <v>8</v>
      </c>
      <c r="I1590" s="55" t="s">
        <v>8</v>
      </c>
      <c r="J1590" s="57">
        <v>47.53</v>
      </c>
      <c r="K1590" s="56" t="s">
        <v>2389</v>
      </c>
      <c r="L1590" s="56" t="s">
        <v>2390</v>
      </c>
      <c r="M1590" s="55" t="s">
        <v>2391</v>
      </c>
      <c r="N1590" s="56" t="s">
        <v>2392</v>
      </c>
      <c r="O1590" s="53" t="s">
        <v>8</v>
      </c>
      <c r="P1590" s="56" t="s">
        <v>2412</v>
      </c>
      <c r="Q1590" s="57">
        <v>4900</v>
      </c>
      <c r="R1590" s="58" t="s">
        <v>8</v>
      </c>
      <c r="S1590" s="57" t="s">
        <v>8</v>
      </c>
      <c r="T1590" s="56" t="s">
        <v>8</v>
      </c>
    </row>
    <row r="1591" spans="1:20">
      <c r="A1591" s="55">
        <v>132262760334</v>
      </c>
      <c r="B1591" s="53" t="s">
        <v>2386</v>
      </c>
      <c r="C1591" s="54">
        <v>45963</v>
      </c>
      <c r="D1591" s="55">
        <v>52552751608</v>
      </c>
      <c r="E1591" s="55">
        <v>2110696576679</v>
      </c>
      <c r="F1591" s="56" t="s">
        <v>2475</v>
      </c>
      <c r="G1591" s="56" t="s">
        <v>2388</v>
      </c>
      <c r="H1591" s="56" t="s">
        <v>8</v>
      </c>
      <c r="I1591" s="55" t="s">
        <v>8</v>
      </c>
      <c r="J1591" s="57">
        <v>865.53</v>
      </c>
      <c r="K1591" s="56" t="s">
        <v>2389</v>
      </c>
      <c r="L1591" s="56" t="s">
        <v>2390</v>
      </c>
      <c r="M1591" s="55" t="s">
        <v>2391</v>
      </c>
      <c r="N1591" s="56" t="s">
        <v>2392</v>
      </c>
      <c r="O1591" s="53" t="s">
        <v>8</v>
      </c>
      <c r="P1591" s="56" t="s">
        <v>2536</v>
      </c>
      <c r="Q1591" s="57">
        <v>53100</v>
      </c>
      <c r="R1591" s="58" t="s">
        <v>8</v>
      </c>
      <c r="S1591" s="57" t="s">
        <v>8</v>
      </c>
      <c r="T1591" s="56" t="s">
        <v>2394</v>
      </c>
    </row>
    <row r="1592" spans="1:20">
      <c r="A1592" s="55">
        <v>131664427965</v>
      </c>
      <c r="B1592" s="53" t="s">
        <v>2386</v>
      </c>
      <c r="C1592" s="54">
        <v>45963</v>
      </c>
      <c r="D1592" s="55">
        <v>52552827959</v>
      </c>
      <c r="E1592" s="55">
        <v>2110792054756</v>
      </c>
      <c r="F1592" s="56" t="s">
        <v>2475</v>
      </c>
      <c r="G1592" s="56" t="s">
        <v>2388</v>
      </c>
      <c r="H1592" s="56" t="s">
        <v>8</v>
      </c>
      <c r="I1592" s="55" t="s">
        <v>8</v>
      </c>
      <c r="J1592" s="57">
        <v>3203.81</v>
      </c>
      <c r="K1592" s="56" t="s">
        <v>2389</v>
      </c>
      <c r="L1592" s="56" t="s">
        <v>2390</v>
      </c>
      <c r="M1592" s="55" t="s">
        <v>2391</v>
      </c>
      <c r="N1592" s="56" t="s">
        <v>2392</v>
      </c>
      <c r="O1592" s="53" t="s">
        <v>8</v>
      </c>
      <c r="P1592" s="56" t="s">
        <v>2536</v>
      </c>
      <c r="Q1592" s="57">
        <v>42100</v>
      </c>
      <c r="R1592" s="58" t="s">
        <v>8</v>
      </c>
      <c r="S1592" s="57" t="s">
        <v>8</v>
      </c>
      <c r="T1592" s="56" t="s">
        <v>2394</v>
      </c>
    </row>
    <row r="1593" spans="1:20">
      <c r="A1593" s="55">
        <v>132263059166</v>
      </c>
      <c r="B1593" s="53" t="s">
        <v>2386</v>
      </c>
      <c r="C1593" s="54">
        <v>45963</v>
      </c>
      <c r="D1593" s="55">
        <v>52552873948</v>
      </c>
      <c r="E1593" s="55">
        <v>2110793296818</v>
      </c>
      <c r="F1593" s="56" t="s">
        <v>2401</v>
      </c>
      <c r="G1593" s="56" t="s">
        <v>2388</v>
      </c>
      <c r="H1593" s="56" t="s">
        <v>8</v>
      </c>
      <c r="I1593" s="55" t="s">
        <v>8</v>
      </c>
      <c r="J1593" s="57">
        <v>767.26</v>
      </c>
      <c r="K1593" s="56" t="s">
        <v>2389</v>
      </c>
      <c r="L1593" s="56" t="s">
        <v>2402</v>
      </c>
      <c r="M1593" s="55" t="s">
        <v>2391</v>
      </c>
      <c r="N1593" s="56" t="s">
        <v>2392</v>
      </c>
      <c r="O1593" s="53" t="s">
        <v>2055</v>
      </c>
      <c r="P1593" s="56" t="s">
        <v>2403</v>
      </c>
      <c r="Q1593" s="57">
        <v>16900</v>
      </c>
      <c r="R1593" s="58" t="s">
        <v>8</v>
      </c>
      <c r="S1593" s="57" t="s">
        <v>8</v>
      </c>
      <c r="T1593" s="56" t="s">
        <v>2394</v>
      </c>
    </row>
    <row r="1594" spans="1:20">
      <c r="A1594" s="55">
        <v>131665036133</v>
      </c>
      <c r="B1594" s="53" t="s">
        <v>2386</v>
      </c>
      <c r="C1594" s="54">
        <v>45963</v>
      </c>
      <c r="D1594" s="55">
        <v>52552910840</v>
      </c>
      <c r="E1594" s="55">
        <v>2110698814467</v>
      </c>
      <c r="F1594" s="56" t="s">
        <v>2387</v>
      </c>
      <c r="G1594" s="56" t="s">
        <v>2388</v>
      </c>
      <c r="H1594" s="56" t="s">
        <v>8</v>
      </c>
      <c r="I1594" s="55" t="s">
        <v>8</v>
      </c>
      <c r="J1594" s="57">
        <v>281.3</v>
      </c>
      <c r="K1594" s="56" t="s">
        <v>2389</v>
      </c>
      <c r="L1594" s="56" t="s">
        <v>2390</v>
      </c>
      <c r="M1594" s="55" t="s">
        <v>2391</v>
      </c>
      <c r="N1594" s="56" t="s">
        <v>2392</v>
      </c>
      <c r="O1594" s="53" t="s">
        <v>8</v>
      </c>
      <c r="P1594" s="56" t="s">
        <v>2644</v>
      </c>
      <c r="Q1594" s="57">
        <v>29000</v>
      </c>
      <c r="R1594" s="58" t="s">
        <v>8</v>
      </c>
      <c r="S1594" s="57" t="s">
        <v>8</v>
      </c>
      <c r="T1594" s="56" t="s">
        <v>2394</v>
      </c>
    </row>
    <row r="1595" spans="1:20">
      <c r="A1595" s="55">
        <v>131665420097</v>
      </c>
      <c r="B1595" s="53" t="s">
        <v>2386</v>
      </c>
      <c r="C1595" s="54">
        <v>45963</v>
      </c>
      <c r="D1595" s="55">
        <v>52553226616</v>
      </c>
      <c r="E1595" s="55">
        <v>2110798368952</v>
      </c>
      <c r="F1595" s="56" t="s">
        <v>2411</v>
      </c>
      <c r="G1595" s="56" t="s">
        <v>2388</v>
      </c>
      <c r="H1595" s="56" t="s">
        <v>8</v>
      </c>
      <c r="I1595" s="55" t="s">
        <v>8</v>
      </c>
      <c r="J1595" s="57">
        <v>315.25</v>
      </c>
      <c r="K1595" s="56" t="s">
        <v>2389</v>
      </c>
      <c r="L1595" s="56" t="s">
        <v>2390</v>
      </c>
      <c r="M1595" s="55" t="s">
        <v>2391</v>
      </c>
      <c r="N1595" s="56" t="s">
        <v>2392</v>
      </c>
      <c r="O1595" s="53" t="s">
        <v>8</v>
      </c>
      <c r="P1595" s="56" t="s">
        <v>2412</v>
      </c>
      <c r="Q1595" s="57">
        <v>32500</v>
      </c>
      <c r="R1595" s="58" t="s">
        <v>8</v>
      </c>
      <c r="S1595" s="57" t="s">
        <v>8</v>
      </c>
      <c r="T1595" s="56" t="s">
        <v>8</v>
      </c>
    </row>
    <row r="1596" spans="1:20">
      <c r="A1596" s="55">
        <v>131665531819</v>
      </c>
      <c r="B1596" s="53" t="s">
        <v>2386</v>
      </c>
      <c r="C1596" s="54">
        <v>45963</v>
      </c>
      <c r="D1596" s="55">
        <v>52553247605</v>
      </c>
      <c r="E1596" s="55">
        <v>2110703742783</v>
      </c>
      <c r="F1596" s="56" t="s">
        <v>2387</v>
      </c>
      <c r="G1596" s="56" t="s">
        <v>2388</v>
      </c>
      <c r="H1596" s="56" t="s">
        <v>8</v>
      </c>
      <c r="I1596" s="55" t="s">
        <v>8</v>
      </c>
      <c r="J1596" s="57">
        <v>448.14</v>
      </c>
      <c r="K1596" s="56" t="s">
        <v>2389</v>
      </c>
      <c r="L1596" s="56" t="s">
        <v>2390</v>
      </c>
      <c r="M1596" s="55" t="s">
        <v>2391</v>
      </c>
      <c r="N1596" s="56" t="s">
        <v>2392</v>
      </c>
      <c r="O1596" s="53" t="s">
        <v>8</v>
      </c>
      <c r="P1596" s="56" t="s">
        <v>2655</v>
      </c>
      <c r="Q1596" s="57">
        <v>46200</v>
      </c>
      <c r="R1596" s="58" t="s">
        <v>8</v>
      </c>
      <c r="S1596" s="57" t="s">
        <v>8</v>
      </c>
      <c r="T1596" s="56" t="s">
        <v>2394</v>
      </c>
    </row>
    <row r="1597" spans="1:20">
      <c r="A1597" s="55">
        <v>131667192349</v>
      </c>
      <c r="B1597" s="53" t="s">
        <v>2386</v>
      </c>
      <c r="C1597" s="54">
        <v>45963</v>
      </c>
      <c r="D1597" s="55">
        <v>52553833436</v>
      </c>
      <c r="E1597" s="55">
        <v>2110808260118</v>
      </c>
      <c r="F1597" s="56" t="s">
        <v>2401</v>
      </c>
      <c r="G1597" s="56" t="s">
        <v>2388</v>
      </c>
      <c r="H1597" s="56" t="s">
        <v>8</v>
      </c>
      <c r="I1597" s="55" t="s">
        <v>8</v>
      </c>
      <c r="J1597" s="57">
        <v>1143.6300000000001</v>
      </c>
      <c r="K1597" s="56" t="s">
        <v>2389</v>
      </c>
      <c r="L1597" s="56" t="s">
        <v>2402</v>
      </c>
      <c r="M1597" s="55" t="s">
        <v>2391</v>
      </c>
      <c r="N1597" s="56" t="s">
        <v>2392</v>
      </c>
      <c r="O1597" s="53" t="s">
        <v>2055</v>
      </c>
      <c r="P1597" s="56" t="s">
        <v>2403</v>
      </c>
      <c r="Q1597" s="57">
        <v>29100</v>
      </c>
      <c r="R1597" s="58" t="s">
        <v>8</v>
      </c>
      <c r="S1597" s="57" t="s">
        <v>8</v>
      </c>
      <c r="T1597" s="56" t="s">
        <v>2394</v>
      </c>
    </row>
    <row r="1598" spans="1:20">
      <c r="A1598" s="55">
        <v>131668017119</v>
      </c>
      <c r="B1598" s="53" t="s">
        <v>2386</v>
      </c>
      <c r="C1598" s="54">
        <v>45963</v>
      </c>
      <c r="D1598" s="55">
        <v>52554252887</v>
      </c>
      <c r="E1598" s="55">
        <v>2110719282805</v>
      </c>
      <c r="F1598" s="56" t="s">
        <v>2401</v>
      </c>
      <c r="G1598" s="56" t="s">
        <v>2388</v>
      </c>
      <c r="H1598" s="56" t="s">
        <v>8</v>
      </c>
      <c r="I1598" s="55" t="s">
        <v>8</v>
      </c>
      <c r="J1598" s="57">
        <v>2605.59</v>
      </c>
      <c r="K1598" s="56" t="s">
        <v>2389</v>
      </c>
      <c r="L1598" s="56" t="s">
        <v>2402</v>
      </c>
      <c r="M1598" s="55" t="s">
        <v>2391</v>
      </c>
      <c r="N1598" s="56" t="s">
        <v>2392</v>
      </c>
      <c r="O1598" s="53" t="s">
        <v>2055</v>
      </c>
      <c r="P1598" s="56" t="s">
        <v>2403</v>
      </c>
      <c r="Q1598" s="57">
        <v>66300</v>
      </c>
      <c r="R1598" s="58" t="s">
        <v>8</v>
      </c>
      <c r="S1598" s="57" t="s">
        <v>8</v>
      </c>
      <c r="T1598" s="56" t="s">
        <v>2394</v>
      </c>
    </row>
    <row r="1599" spans="1:20">
      <c r="A1599" s="55">
        <v>132266415460</v>
      </c>
      <c r="B1599" s="53" t="s">
        <v>2386</v>
      </c>
      <c r="C1599" s="54">
        <v>45963</v>
      </c>
      <c r="D1599" s="55">
        <v>52554337283</v>
      </c>
      <c r="E1599" s="55">
        <v>2110720430823</v>
      </c>
      <c r="F1599" s="56" t="s">
        <v>2401</v>
      </c>
      <c r="G1599" s="56" t="s">
        <v>2388</v>
      </c>
      <c r="H1599" s="56" t="s">
        <v>8</v>
      </c>
      <c r="I1599" s="55" t="s">
        <v>8</v>
      </c>
      <c r="J1599" s="57">
        <v>2244.9499999999998</v>
      </c>
      <c r="K1599" s="56" t="s">
        <v>2389</v>
      </c>
      <c r="L1599" s="56" t="s">
        <v>2402</v>
      </c>
      <c r="M1599" s="55" t="s">
        <v>2391</v>
      </c>
      <c r="N1599" s="56" t="s">
        <v>2392</v>
      </c>
      <c r="O1599" s="53" t="s">
        <v>2055</v>
      </c>
      <c r="P1599" s="56" t="s">
        <v>2403</v>
      </c>
      <c r="Q1599" s="57">
        <v>29500</v>
      </c>
      <c r="R1599" s="58" t="s">
        <v>8</v>
      </c>
      <c r="S1599" s="57" t="s">
        <v>8</v>
      </c>
      <c r="T1599" s="56" t="s">
        <v>2394</v>
      </c>
    </row>
    <row r="1600" spans="1:20">
      <c r="A1600" s="55">
        <v>132267056838</v>
      </c>
      <c r="B1600" s="53" t="s">
        <v>2386</v>
      </c>
      <c r="C1600" s="54">
        <v>45963</v>
      </c>
      <c r="D1600" s="55">
        <v>52554565050</v>
      </c>
      <c r="E1600" s="55">
        <v>2110723412767</v>
      </c>
      <c r="F1600" s="56" t="s">
        <v>2387</v>
      </c>
      <c r="G1600" s="56" t="s">
        <v>2388</v>
      </c>
      <c r="H1600" s="56" t="s">
        <v>8</v>
      </c>
      <c r="I1600" s="55" t="s">
        <v>8</v>
      </c>
      <c r="J1600" s="57">
        <v>442.32</v>
      </c>
      <c r="K1600" s="56" t="s">
        <v>2389</v>
      </c>
      <c r="L1600" s="56" t="s">
        <v>2390</v>
      </c>
      <c r="M1600" s="55" t="s">
        <v>2391</v>
      </c>
      <c r="N1600" s="56" t="s">
        <v>2392</v>
      </c>
      <c r="O1600" s="53" t="s">
        <v>8</v>
      </c>
      <c r="P1600" s="56" t="s">
        <v>2887</v>
      </c>
      <c r="Q1600" s="57">
        <v>45600</v>
      </c>
      <c r="R1600" s="58" t="s">
        <v>8</v>
      </c>
      <c r="S1600" s="57" t="s">
        <v>8</v>
      </c>
      <c r="T1600" s="56" t="s">
        <v>2394</v>
      </c>
    </row>
    <row r="1601" spans="1:20">
      <c r="A1601" s="55">
        <v>131668874411</v>
      </c>
      <c r="B1601" s="53" t="s">
        <v>2386</v>
      </c>
      <c r="C1601" s="54">
        <v>45964</v>
      </c>
      <c r="D1601" s="55">
        <v>52554617475</v>
      </c>
      <c r="E1601" s="55">
        <v>2110819087598</v>
      </c>
      <c r="F1601" s="56" t="s">
        <v>2401</v>
      </c>
      <c r="G1601" s="56" t="s">
        <v>2388</v>
      </c>
      <c r="H1601" s="56" t="s">
        <v>8</v>
      </c>
      <c r="I1601" s="55" t="s">
        <v>8</v>
      </c>
      <c r="J1601" s="57">
        <v>1498.2</v>
      </c>
      <c r="K1601" s="56" t="s">
        <v>2389</v>
      </c>
      <c r="L1601" s="56" t="s">
        <v>2402</v>
      </c>
      <c r="M1601" s="55" t="s">
        <v>2391</v>
      </c>
      <c r="N1601" s="56" t="s">
        <v>2392</v>
      </c>
      <c r="O1601" s="53" t="s">
        <v>2055</v>
      </c>
      <c r="P1601" s="56" t="s">
        <v>2403</v>
      </c>
      <c r="Q1601" s="57">
        <v>33000</v>
      </c>
      <c r="R1601" s="58" t="s">
        <v>8</v>
      </c>
      <c r="S1601" s="57" t="s">
        <v>8</v>
      </c>
      <c r="T1601" s="56" t="s">
        <v>2394</v>
      </c>
    </row>
    <row r="1602" spans="1:20">
      <c r="A1602" s="55">
        <v>131669102541</v>
      </c>
      <c r="B1602" s="53" t="s">
        <v>2386</v>
      </c>
      <c r="C1602" s="54">
        <v>45964</v>
      </c>
      <c r="D1602" s="55">
        <v>52554727155</v>
      </c>
      <c r="E1602" s="55">
        <v>2110820405164</v>
      </c>
      <c r="F1602" s="56" t="s">
        <v>2387</v>
      </c>
      <c r="G1602" s="56" t="s">
        <v>2388</v>
      </c>
      <c r="H1602" s="56" t="s">
        <v>8</v>
      </c>
      <c r="I1602" s="55" t="s">
        <v>8</v>
      </c>
      <c r="J1602" s="57">
        <v>282.27</v>
      </c>
      <c r="K1602" s="56" t="s">
        <v>2389</v>
      </c>
      <c r="L1602" s="56" t="s">
        <v>2390</v>
      </c>
      <c r="M1602" s="55" t="s">
        <v>2391</v>
      </c>
      <c r="N1602" s="56" t="s">
        <v>2392</v>
      </c>
      <c r="O1602" s="53" t="s">
        <v>8</v>
      </c>
      <c r="P1602" s="56" t="s">
        <v>2643</v>
      </c>
      <c r="Q1602" s="57">
        <v>29100</v>
      </c>
      <c r="R1602" s="58" t="s">
        <v>8</v>
      </c>
      <c r="S1602" s="57" t="s">
        <v>8</v>
      </c>
      <c r="T1602" s="56" t="s">
        <v>2394</v>
      </c>
    </row>
    <row r="1603" spans="1:20">
      <c r="A1603" s="55">
        <v>132267494712</v>
      </c>
      <c r="B1603" s="53" t="s">
        <v>2386</v>
      </c>
      <c r="C1603" s="54">
        <v>45964</v>
      </c>
      <c r="D1603" s="55">
        <v>52554748955</v>
      </c>
      <c r="E1603" s="55">
        <v>2110726175537</v>
      </c>
      <c r="F1603" s="56" t="s">
        <v>2401</v>
      </c>
      <c r="G1603" s="56" t="s">
        <v>2388</v>
      </c>
      <c r="H1603" s="56" t="s">
        <v>8</v>
      </c>
      <c r="I1603" s="55" t="s">
        <v>8</v>
      </c>
      <c r="J1603" s="57">
        <v>554.13</v>
      </c>
      <c r="K1603" s="56" t="s">
        <v>2389</v>
      </c>
      <c r="L1603" s="56" t="s">
        <v>2402</v>
      </c>
      <c r="M1603" s="55" t="s">
        <v>2391</v>
      </c>
      <c r="N1603" s="56" t="s">
        <v>2392</v>
      </c>
      <c r="O1603" s="53" t="s">
        <v>2055</v>
      </c>
      <c r="P1603" s="56" t="s">
        <v>2403</v>
      </c>
      <c r="Q1603" s="57">
        <v>14100</v>
      </c>
      <c r="R1603" s="58" t="s">
        <v>8</v>
      </c>
      <c r="S1603" s="57" t="s">
        <v>8</v>
      </c>
      <c r="T1603" s="56" t="s">
        <v>2394</v>
      </c>
    </row>
    <row r="1604" spans="1:20">
      <c r="A1604" s="55">
        <v>131669620427</v>
      </c>
      <c r="B1604" s="53" t="s">
        <v>2386</v>
      </c>
      <c r="C1604" s="54">
        <v>45964</v>
      </c>
      <c r="D1604" s="55">
        <v>52554960740</v>
      </c>
      <c r="E1604" s="55">
        <v>2110823822576</v>
      </c>
      <c r="F1604" s="56" t="s">
        <v>2387</v>
      </c>
      <c r="G1604" s="56" t="s">
        <v>2388</v>
      </c>
      <c r="H1604" s="56" t="s">
        <v>8</v>
      </c>
      <c r="I1604" s="55" t="s">
        <v>8</v>
      </c>
      <c r="J1604" s="57">
        <v>559.69000000000005</v>
      </c>
      <c r="K1604" s="56" t="s">
        <v>2389</v>
      </c>
      <c r="L1604" s="56" t="s">
        <v>2390</v>
      </c>
      <c r="M1604" s="55" t="s">
        <v>2391</v>
      </c>
      <c r="N1604" s="56" t="s">
        <v>2392</v>
      </c>
      <c r="O1604" s="53" t="s">
        <v>8</v>
      </c>
      <c r="P1604" s="56" t="s">
        <v>3031</v>
      </c>
      <c r="Q1604" s="57">
        <v>57700</v>
      </c>
      <c r="R1604" s="58" t="s">
        <v>8</v>
      </c>
      <c r="S1604" s="57" t="s">
        <v>8</v>
      </c>
      <c r="T1604" s="56" t="s">
        <v>2394</v>
      </c>
    </row>
    <row r="1605" spans="1:20">
      <c r="A1605" s="55">
        <v>131673072753</v>
      </c>
      <c r="B1605" s="53" t="s">
        <v>2386</v>
      </c>
      <c r="C1605" s="54">
        <v>45964</v>
      </c>
      <c r="D1605" s="55">
        <v>52558006535</v>
      </c>
      <c r="E1605" s="55">
        <v>2110850916838</v>
      </c>
      <c r="F1605" s="56" t="s">
        <v>2387</v>
      </c>
      <c r="G1605" s="56" t="s">
        <v>2388</v>
      </c>
      <c r="H1605" s="56" t="s">
        <v>8</v>
      </c>
      <c r="I1605" s="55" t="s">
        <v>8</v>
      </c>
      <c r="J1605" s="57">
        <v>265.77999999999997</v>
      </c>
      <c r="K1605" s="56" t="s">
        <v>2389</v>
      </c>
      <c r="L1605" s="56" t="s">
        <v>2390</v>
      </c>
      <c r="M1605" s="55" t="s">
        <v>2391</v>
      </c>
      <c r="N1605" s="56" t="s">
        <v>2392</v>
      </c>
      <c r="O1605" s="53" t="s">
        <v>8</v>
      </c>
      <c r="P1605" s="56" t="s">
        <v>3032</v>
      </c>
      <c r="Q1605" s="57">
        <v>27400</v>
      </c>
      <c r="R1605" s="58" t="s">
        <v>8</v>
      </c>
      <c r="S1605" s="57" t="s">
        <v>8</v>
      </c>
      <c r="T1605" s="56" t="s">
        <v>2394</v>
      </c>
    </row>
    <row r="1606" spans="1:20">
      <c r="A1606" s="55">
        <v>132752221551</v>
      </c>
      <c r="B1606" s="53" t="s">
        <v>2386</v>
      </c>
      <c r="C1606" s="54">
        <v>45966</v>
      </c>
      <c r="D1606" s="55">
        <v>52663823378</v>
      </c>
      <c r="E1606" s="55">
        <v>8951609176</v>
      </c>
      <c r="F1606" s="56" t="s">
        <v>3033</v>
      </c>
      <c r="G1606" s="56" t="s">
        <v>3034</v>
      </c>
      <c r="H1606" s="56" t="s">
        <v>8</v>
      </c>
      <c r="I1606" s="55" t="s">
        <v>8</v>
      </c>
      <c r="J1606" s="57">
        <v>21926.52</v>
      </c>
      <c r="K1606" s="56" t="s">
        <v>2046</v>
      </c>
      <c r="L1606" s="56" t="s">
        <v>3035</v>
      </c>
      <c r="M1606" s="55" t="s">
        <v>8</v>
      </c>
      <c r="N1606" s="56" t="s">
        <v>8</v>
      </c>
      <c r="O1606" s="53" t="s">
        <v>3036</v>
      </c>
      <c r="P1606" s="56" t="s">
        <v>2028</v>
      </c>
      <c r="Q1606" s="57">
        <v>29235.360000000001</v>
      </c>
      <c r="R1606" s="58">
        <v>0.03</v>
      </c>
      <c r="S1606" s="57">
        <v>730883.88</v>
      </c>
      <c r="T1606" s="56" t="s">
        <v>8</v>
      </c>
    </row>
    <row r="1607" spans="1:20">
      <c r="A1607" s="55">
        <v>132752221551</v>
      </c>
      <c r="B1607" s="53" t="s">
        <v>2386</v>
      </c>
      <c r="C1607" s="54">
        <v>45966</v>
      </c>
      <c r="D1607" s="55">
        <v>52663840628</v>
      </c>
      <c r="E1607" s="55">
        <v>8951609182</v>
      </c>
      <c r="F1607" s="56" t="s">
        <v>3037</v>
      </c>
      <c r="G1607" s="56" t="s">
        <v>3034</v>
      </c>
      <c r="H1607" s="56" t="s">
        <v>8</v>
      </c>
      <c r="I1607" s="55" t="s">
        <v>8</v>
      </c>
      <c r="J1607" s="57">
        <v>7308.84</v>
      </c>
      <c r="K1607" s="56" t="s">
        <v>2046</v>
      </c>
      <c r="L1607" s="56" t="s">
        <v>3035</v>
      </c>
      <c r="M1607" s="55" t="s">
        <v>8</v>
      </c>
      <c r="N1607" s="56" t="s">
        <v>8</v>
      </c>
      <c r="O1607" s="53" t="s">
        <v>3036</v>
      </c>
      <c r="P1607" s="56" t="s">
        <v>2028</v>
      </c>
      <c r="Q1607" s="57">
        <v>29235.360000000001</v>
      </c>
      <c r="R1607" s="58">
        <v>0.01</v>
      </c>
      <c r="S1607" s="57">
        <v>730883.88</v>
      </c>
      <c r="T1607" s="56" t="s">
        <v>8</v>
      </c>
    </row>
    <row r="1609" spans="1:20">
      <c r="J1609" s="3">
        <f>SUM(J1465:J1608)</f>
        <v>128038.73999999992</v>
      </c>
    </row>
    <row r="1610" spans="1:20">
      <c r="J1610" s="3">
        <f>+J1609-J1606-J1607</f>
        <v>98803.379999999917</v>
      </c>
    </row>
  </sheetData>
  <autoFilter ref="B8:U8"/>
  <mergeCells count="6">
    <mergeCell ref="R7:S7"/>
    <mergeCell ref="A1:B1"/>
    <mergeCell ref="C1:D1"/>
    <mergeCell ref="A3:E5"/>
    <mergeCell ref="A7:I7"/>
    <mergeCell ref="J7:Q7"/>
  </mergeCells>
  <hyperlinks>
    <hyperlink ref="T260" r:id="rId1"/>
    <hyperlink ref="T261" r:id="rId2"/>
    <hyperlink ref="T262" r:id="rId3"/>
    <hyperlink ref="T263" r:id="rId4"/>
    <hyperlink ref="T264" r:id="rId5"/>
    <hyperlink ref="T265" r:id="rId6"/>
    <hyperlink ref="T266" r:id="rId7"/>
    <hyperlink ref="T267" r:id="rId8"/>
    <hyperlink ref="T268" r:id="rId9"/>
    <hyperlink ref="T269" r:id="rId10"/>
    <hyperlink ref="T270" r:id="rId11"/>
    <hyperlink ref="T271" r:id="rId12"/>
    <hyperlink ref="T272" r:id="rId13"/>
    <hyperlink ref="T273" r:id="rId14"/>
    <hyperlink ref="T274" r:id="rId15"/>
    <hyperlink ref="T275" r:id="rId16"/>
    <hyperlink ref="T276" r:id="rId17"/>
    <hyperlink ref="T278" r:id="rId18"/>
    <hyperlink ref="T279" r:id="rId19"/>
    <hyperlink ref="T281" r:id="rId20"/>
    <hyperlink ref="T282" r:id="rId21"/>
    <hyperlink ref="T283" r:id="rId22"/>
    <hyperlink ref="T284" r:id="rId23"/>
    <hyperlink ref="T285" r:id="rId24"/>
    <hyperlink ref="T286" r:id="rId25"/>
    <hyperlink ref="T287" r:id="rId26"/>
    <hyperlink ref="T288" r:id="rId27"/>
    <hyperlink ref="T289" r:id="rId28"/>
    <hyperlink ref="T290" r:id="rId29"/>
    <hyperlink ref="T291" r:id="rId30"/>
    <hyperlink ref="T292" r:id="rId31"/>
    <hyperlink ref="T293" r:id="rId32"/>
    <hyperlink ref="T294" r:id="rId33"/>
    <hyperlink ref="T295" r:id="rId34"/>
    <hyperlink ref="T296" r:id="rId35"/>
    <hyperlink ref="T297" r:id="rId36"/>
    <hyperlink ref="T298" r:id="rId37"/>
    <hyperlink ref="T299" r:id="rId38"/>
    <hyperlink ref="T300" r:id="rId39"/>
    <hyperlink ref="T301" r:id="rId40"/>
    <hyperlink ref="T302" r:id="rId41"/>
    <hyperlink ref="T303" r:id="rId42"/>
    <hyperlink ref="T304" r:id="rId43"/>
    <hyperlink ref="T305" r:id="rId44"/>
    <hyperlink ref="T306" r:id="rId45"/>
    <hyperlink ref="T307" r:id="rId46"/>
    <hyperlink ref="T308" r:id="rId47"/>
    <hyperlink ref="T310" r:id="rId48"/>
    <hyperlink ref="T311" r:id="rId49"/>
    <hyperlink ref="T312" r:id="rId50"/>
    <hyperlink ref="T313" r:id="rId51"/>
    <hyperlink ref="T314" r:id="rId52"/>
    <hyperlink ref="T315" r:id="rId53"/>
    <hyperlink ref="T316" r:id="rId54"/>
    <hyperlink ref="T317" r:id="rId55"/>
    <hyperlink ref="T318" r:id="rId56"/>
    <hyperlink ref="T319" r:id="rId57"/>
    <hyperlink ref="T320" r:id="rId58"/>
    <hyperlink ref="T321" r:id="rId59"/>
    <hyperlink ref="T322" r:id="rId60"/>
    <hyperlink ref="T323" r:id="rId61"/>
    <hyperlink ref="T324" r:id="rId62"/>
    <hyperlink ref="T325" r:id="rId63"/>
    <hyperlink ref="T326" r:id="rId64"/>
    <hyperlink ref="T327" r:id="rId65"/>
    <hyperlink ref="T328" r:id="rId66"/>
    <hyperlink ref="T329" r:id="rId67"/>
    <hyperlink ref="T330" r:id="rId68"/>
    <hyperlink ref="T333" r:id="rId69"/>
    <hyperlink ref="T335" r:id="rId70"/>
    <hyperlink ref="T337" r:id="rId71"/>
    <hyperlink ref="T338" r:id="rId72"/>
    <hyperlink ref="T339" r:id="rId73"/>
    <hyperlink ref="T340" r:id="rId74"/>
    <hyperlink ref="T341" r:id="rId75"/>
    <hyperlink ref="T344" r:id="rId76"/>
    <hyperlink ref="T345" r:id="rId77"/>
    <hyperlink ref="T346" r:id="rId78"/>
    <hyperlink ref="T348" r:id="rId79"/>
    <hyperlink ref="T349" r:id="rId80"/>
    <hyperlink ref="T350" r:id="rId81"/>
    <hyperlink ref="T351" r:id="rId82"/>
    <hyperlink ref="T352" r:id="rId83"/>
    <hyperlink ref="T353" r:id="rId84"/>
    <hyperlink ref="T354" r:id="rId85"/>
    <hyperlink ref="T355" r:id="rId86"/>
    <hyperlink ref="T356" r:id="rId87"/>
    <hyperlink ref="T357" r:id="rId88"/>
    <hyperlink ref="T358" r:id="rId89"/>
    <hyperlink ref="T359" r:id="rId90"/>
    <hyperlink ref="T360" r:id="rId91"/>
    <hyperlink ref="T361" r:id="rId92"/>
    <hyperlink ref="T363" r:id="rId93"/>
    <hyperlink ref="T364" r:id="rId94"/>
    <hyperlink ref="T365" r:id="rId95"/>
    <hyperlink ref="T367" r:id="rId96"/>
    <hyperlink ref="T368" r:id="rId97"/>
    <hyperlink ref="T369" r:id="rId98"/>
    <hyperlink ref="T370" r:id="rId99"/>
    <hyperlink ref="T371" r:id="rId100"/>
    <hyperlink ref="T372" r:id="rId101"/>
    <hyperlink ref="T373" r:id="rId102"/>
    <hyperlink ref="T374" r:id="rId103"/>
    <hyperlink ref="T375" r:id="rId104"/>
    <hyperlink ref="T376" r:id="rId105"/>
    <hyperlink ref="T377" r:id="rId106"/>
    <hyperlink ref="T378" r:id="rId107"/>
    <hyperlink ref="T379" r:id="rId108"/>
    <hyperlink ref="T380" r:id="rId109"/>
    <hyperlink ref="T382" r:id="rId110"/>
    <hyperlink ref="T383" r:id="rId111"/>
    <hyperlink ref="T386" r:id="rId112"/>
    <hyperlink ref="T387" r:id="rId113"/>
    <hyperlink ref="T388" r:id="rId114"/>
    <hyperlink ref="T390" r:id="rId115"/>
    <hyperlink ref="T391" r:id="rId116"/>
    <hyperlink ref="T392" r:id="rId117"/>
    <hyperlink ref="T393" r:id="rId118"/>
    <hyperlink ref="T394" r:id="rId119"/>
    <hyperlink ref="T395" r:id="rId120"/>
    <hyperlink ref="T397" r:id="rId121"/>
    <hyperlink ref="T398" r:id="rId122"/>
    <hyperlink ref="T399" r:id="rId123"/>
    <hyperlink ref="T400" r:id="rId124"/>
    <hyperlink ref="T401" r:id="rId125"/>
    <hyperlink ref="T402" r:id="rId126"/>
    <hyperlink ref="T403" r:id="rId127"/>
    <hyperlink ref="T404" r:id="rId128"/>
    <hyperlink ref="T405" r:id="rId129"/>
    <hyperlink ref="T406" r:id="rId130"/>
    <hyperlink ref="T407" r:id="rId131"/>
    <hyperlink ref="T408" r:id="rId132"/>
    <hyperlink ref="T409" r:id="rId133"/>
    <hyperlink ref="T411" r:id="rId134"/>
    <hyperlink ref="T412" r:id="rId135"/>
    <hyperlink ref="T413" r:id="rId136"/>
    <hyperlink ref="T414" r:id="rId137"/>
    <hyperlink ref="T415" r:id="rId138"/>
    <hyperlink ref="T416" r:id="rId139"/>
    <hyperlink ref="T418" r:id="rId140"/>
    <hyperlink ref="T419" r:id="rId141"/>
    <hyperlink ref="T420" r:id="rId142"/>
    <hyperlink ref="T421" r:id="rId143"/>
    <hyperlink ref="T422" r:id="rId144"/>
    <hyperlink ref="T423" r:id="rId145"/>
    <hyperlink ref="T424" r:id="rId146"/>
    <hyperlink ref="T427" r:id="rId147"/>
    <hyperlink ref="T428" r:id="rId148"/>
    <hyperlink ref="T429" r:id="rId149"/>
    <hyperlink ref="T430" r:id="rId150"/>
    <hyperlink ref="T432" r:id="rId151"/>
    <hyperlink ref="T436" r:id="rId152"/>
    <hyperlink ref="T437" r:id="rId153"/>
    <hyperlink ref="T438" r:id="rId154"/>
    <hyperlink ref="T439" r:id="rId155"/>
    <hyperlink ref="T440" r:id="rId156"/>
    <hyperlink ref="T441" r:id="rId157"/>
    <hyperlink ref="T443" r:id="rId158"/>
    <hyperlink ref="T444" r:id="rId159"/>
    <hyperlink ref="T445" r:id="rId160"/>
    <hyperlink ref="T446" r:id="rId161"/>
    <hyperlink ref="T447" r:id="rId162"/>
    <hyperlink ref="T448" r:id="rId163"/>
    <hyperlink ref="T449" r:id="rId164"/>
    <hyperlink ref="T450" r:id="rId165"/>
    <hyperlink ref="T451" r:id="rId166"/>
    <hyperlink ref="T452" r:id="rId167"/>
    <hyperlink ref="T453" r:id="rId168"/>
    <hyperlink ref="T454" r:id="rId169"/>
    <hyperlink ref="T455" r:id="rId170"/>
    <hyperlink ref="T456" r:id="rId171"/>
    <hyperlink ref="T457" r:id="rId172"/>
    <hyperlink ref="T458" r:id="rId173"/>
    <hyperlink ref="T459" r:id="rId174"/>
    <hyperlink ref="T460" r:id="rId175"/>
    <hyperlink ref="T463" r:id="rId176"/>
    <hyperlink ref="T464" r:id="rId177"/>
    <hyperlink ref="T465" r:id="rId178"/>
    <hyperlink ref="T466" r:id="rId179"/>
    <hyperlink ref="T467" r:id="rId180"/>
    <hyperlink ref="T468" r:id="rId181"/>
    <hyperlink ref="T469" r:id="rId182"/>
    <hyperlink ref="T470" r:id="rId183"/>
    <hyperlink ref="T471" r:id="rId184"/>
    <hyperlink ref="T472" r:id="rId185"/>
    <hyperlink ref="T474" r:id="rId186"/>
    <hyperlink ref="T475" r:id="rId187"/>
    <hyperlink ref="T476" r:id="rId188"/>
    <hyperlink ref="T477" r:id="rId189"/>
    <hyperlink ref="T478" r:id="rId190"/>
    <hyperlink ref="T479" r:id="rId191"/>
    <hyperlink ref="T481" r:id="rId192"/>
    <hyperlink ref="T482" r:id="rId193"/>
    <hyperlink ref="T483" r:id="rId194"/>
    <hyperlink ref="T484" r:id="rId195"/>
    <hyperlink ref="T485" r:id="rId196"/>
    <hyperlink ref="T489" r:id="rId197"/>
    <hyperlink ref="T490" r:id="rId198"/>
    <hyperlink ref="T491" r:id="rId199"/>
    <hyperlink ref="T492" r:id="rId200"/>
    <hyperlink ref="T493" r:id="rId201"/>
    <hyperlink ref="T494" r:id="rId202"/>
    <hyperlink ref="T495" r:id="rId203"/>
    <hyperlink ref="T497" r:id="rId204"/>
    <hyperlink ref="T498" r:id="rId205"/>
    <hyperlink ref="T499" r:id="rId206"/>
    <hyperlink ref="T500" r:id="rId207"/>
    <hyperlink ref="T501" r:id="rId208"/>
    <hyperlink ref="T502" r:id="rId209"/>
    <hyperlink ref="T504" r:id="rId210"/>
    <hyperlink ref="T505" r:id="rId211"/>
    <hyperlink ref="T506" r:id="rId212"/>
    <hyperlink ref="T508" r:id="rId213"/>
    <hyperlink ref="T509" r:id="rId214"/>
    <hyperlink ref="T510" r:id="rId215"/>
    <hyperlink ref="T511" r:id="rId216"/>
    <hyperlink ref="T512" r:id="rId217"/>
    <hyperlink ref="T513" r:id="rId218"/>
    <hyperlink ref="T514" r:id="rId219"/>
    <hyperlink ref="T515" r:id="rId220"/>
    <hyperlink ref="T516" r:id="rId221"/>
    <hyperlink ref="T517" r:id="rId222"/>
    <hyperlink ref="T518" r:id="rId223"/>
    <hyperlink ref="T519" r:id="rId224"/>
    <hyperlink ref="T520" r:id="rId225"/>
    <hyperlink ref="T521" r:id="rId226"/>
    <hyperlink ref="T522" r:id="rId227"/>
    <hyperlink ref="T523" r:id="rId228"/>
    <hyperlink ref="T524" r:id="rId229"/>
    <hyperlink ref="T525" r:id="rId230"/>
    <hyperlink ref="T526" r:id="rId231"/>
    <hyperlink ref="T527" r:id="rId232"/>
    <hyperlink ref="T528" r:id="rId233"/>
    <hyperlink ref="T529" r:id="rId234"/>
    <hyperlink ref="T530" r:id="rId235"/>
    <hyperlink ref="T531" r:id="rId236"/>
    <hyperlink ref="T532" r:id="rId237"/>
    <hyperlink ref="T533" r:id="rId238"/>
    <hyperlink ref="T534" r:id="rId239"/>
    <hyperlink ref="T535" r:id="rId240"/>
    <hyperlink ref="T536" r:id="rId241"/>
    <hyperlink ref="T537" r:id="rId242"/>
    <hyperlink ref="T538" r:id="rId243"/>
    <hyperlink ref="T539" r:id="rId244"/>
    <hyperlink ref="T540" r:id="rId245"/>
    <hyperlink ref="T541" r:id="rId246"/>
    <hyperlink ref="T542" r:id="rId247"/>
    <hyperlink ref="T543" r:id="rId248"/>
    <hyperlink ref="T544" r:id="rId249"/>
    <hyperlink ref="T545" r:id="rId250"/>
    <hyperlink ref="T546" r:id="rId251"/>
    <hyperlink ref="T547" r:id="rId252"/>
    <hyperlink ref="T548" r:id="rId253"/>
    <hyperlink ref="T549" r:id="rId254"/>
    <hyperlink ref="T550" r:id="rId255"/>
    <hyperlink ref="T551" r:id="rId256"/>
    <hyperlink ref="T552" r:id="rId257"/>
    <hyperlink ref="T553" r:id="rId258"/>
    <hyperlink ref="T554" r:id="rId259"/>
    <hyperlink ref="T555" r:id="rId260"/>
    <hyperlink ref="T556" r:id="rId261"/>
    <hyperlink ref="T557" r:id="rId262"/>
    <hyperlink ref="T558" r:id="rId263"/>
    <hyperlink ref="T559" r:id="rId264"/>
    <hyperlink ref="T560" r:id="rId265"/>
    <hyperlink ref="T561" r:id="rId266"/>
    <hyperlink ref="T563" r:id="rId267"/>
    <hyperlink ref="T564" r:id="rId268"/>
    <hyperlink ref="T565" r:id="rId269"/>
    <hyperlink ref="T566" r:id="rId270"/>
    <hyperlink ref="T567" r:id="rId271"/>
    <hyperlink ref="T568" r:id="rId272"/>
    <hyperlink ref="T569" r:id="rId273"/>
    <hyperlink ref="T570" r:id="rId274"/>
    <hyperlink ref="T571" r:id="rId275"/>
    <hyperlink ref="T572" r:id="rId276"/>
    <hyperlink ref="T574" r:id="rId277"/>
    <hyperlink ref="T575" r:id="rId278"/>
    <hyperlink ref="T576" r:id="rId279"/>
    <hyperlink ref="T577" r:id="rId280"/>
    <hyperlink ref="T578" r:id="rId281"/>
    <hyperlink ref="T579" r:id="rId282"/>
    <hyperlink ref="T580" r:id="rId283"/>
    <hyperlink ref="T581" r:id="rId284"/>
    <hyperlink ref="T582" r:id="rId285"/>
    <hyperlink ref="T583" r:id="rId286"/>
    <hyperlink ref="T585" r:id="rId287"/>
    <hyperlink ref="T586" r:id="rId288"/>
    <hyperlink ref="T587" r:id="rId289"/>
    <hyperlink ref="T588" r:id="rId290"/>
    <hyperlink ref="T589" r:id="rId291"/>
    <hyperlink ref="T590" r:id="rId292"/>
    <hyperlink ref="T591" r:id="rId293"/>
    <hyperlink ref="T592" r:id="rId294"/>
    <hyperlink ref="T593" r:id="rId295"/>
    <hyperlink ref="T594" r:id="rId296"/>
    <hyperlink ref="T595" r:id="rId297"/>
    <hyperlink ref="T597" r:id="rId298"/>
    <hyperlink ref="T598" r:id="rId299"/>
    <hyperlink ref="T599" r:id="rId300"/>
    <hyperlink ref="T600" r:id="rId301"/>
    <hyperlink ref="T601" r:id="rId302"/>
    <hyperlink ref="T602" r:id="rId303"/>
    <hyperlink ref="T603" r:id="rId304"/>
    <hyperlink ref="T604" r:id="rId305"/>
    <hyperlink ref="T605" r:id="rId306"/>
    <hyperlink ref="T606" r:id="rId307"/>
    <hyperlink ref="T607" r:id="rId308"/>
    <hyperlink ref="T608" r:id="rId309"/>
    <hyperlink ref="T609" r:id="rId310"/>
    <hyperlink ref="T610" r:id="rId311"/>
    <hyperlink ref="T612" r:id="rId312"/>
    <hyperlink ref="T613" r:id="rId313"/>
    <hyperlink ref="T614" r:id="rId314"/>
    <hyperlink ref="T615" r:id="rId315"/>
    <hyperlink ref="T616" r:id="rId316"/>
    <hyperlink ref="T617" r:id="rId317"/>
    <hyperlink ref="T618" r:id="rId318"/>
    <hyperlink ref="T619" r:id="rId319"/>
    <hyperlink ref="T620" r:id="rId320"/>
    <hyperlink ref="T621" r:id="rId321"/>
    <hyperlink ref="T622" r:id="rId322"/>
    <hyperlink ref="T623" r:id="rId323"/>
    <hyperlink ref="T624" r:id="rId324"/>
    <hyperlink ref="T625" r:id="rId325"/>
    <hyperlink ref="T626" r:id="rId326"/>
    <hyperlink ref="T627" r:id="rId327"/>
    <hyperlink ref="T629" r:id="rId328"/>
    <hyperlink ref="T630" r:id="rId329"/>
    <hyperlink ref="T631" r:id="rId330"/>
    <hyperlink ref="T632" r:id="rId331"/>
    <hyperlink ref="T633" r:id="rId332"/>
    <hyperlink ref="T635" r:id="rId333"/>
    <hyperlink ref="T636" r:id="rId334"/>
    <hyperlink ref="T637" r:id="rId335"/>
    <hyperlink ref="T638" r:id="rId336"/>
    <hyperlink ref="T639" r:id="rId337"/>
    <hyperlink ref="T640" r:id="rId338"/>
    <hyperlink ref="T642" r:id="rId339"/>
    <hyperlink ref="T645" r:id="rId340"/>
    <hyperlink ref="T646" r:id="rId341"/>
    <hyperlink ref="T647" r:id="rId342"/>
    <hyperlink ref="T648" r:id="rId343"/>
    <hyperlink ref="T649" r:id="rId344"/>
    <hyperlink ref="T650" r:id="rId345"/>
    <hyperlink ref="T651" r:id="rId346"/>
    <hyperlink ref="T652" r:id="rId347"/>
    <hyperlink ref="T653" r:id="rId348"/>
    <hyperlink ref="T654" r:id="rId349"/>
    <hyperlink ref="T655" r:id="rId350"/>
    <hyperlink ref="T656" r:id="rId351"/>
    <hyperlink ref="T657" r:id="rId352"/>
    <hyperlink ref="T658" r:id="rId353"/>
    <hyperlink ref="T659" r:id="rId354"/>
    <hyperlink ref="T660" r:id="rId355"/>
    <hyperlink ref="T663" r:id="rId356"/>
    <hyperlink ref="T664" r:id="rId357"/>
    <hyperlink ref="T665" r:id="rId358"/>
    <hyperlink ref="T666" r:id="rId359"/>
    <hyperlink ref="T667" r:id="rId360"/>
    <hyperlink ref="T668" r:id="rId361"/>
    <hyperlink ref="T669" r:id="rId362"/>
    <hyperlink ref="T670" r:id="rId363"/>
    <hyperlink ref="T671" r:id="rId364"/>
    <hyperlink ref="T672" r:id="rId365"/>
    <hyperlink ref="T673" r:id="rId366"/>
    <hyperlink ref="T674" r:id="rId367"/>
    <hyperlink ref="T675" r:id="rId368"/>
    <hyperlink ref="T676" r:id="rId369"/>
    <hyperlink ref="T677" r:id="rId370"/>
    <hyperlink ref="T678" r:id="rId371"/>
    <hyperlink ref="T679" r:id="rId372"/>
    <hyperlink ref="T680" r:id="rId373"/>
    <hyperlink ref="T681" r:id="rId374"/>
    <hyperlink ref="T682" r:id="rId375"/>
    <hyperlink ref="T684" r:id="rId376"/>
    <hyperlink ref="T685" r:id="rId377"/>
    <hyperlink ref="T686" r:id="rId378"/>
    <hyperlink ref="T687" r:id="rId379"/>
    <hyperlink ref="T688" r:id="rId380"/>
    <hyperlink ref="T689" r:id="rId381"/>
    <hyperlink ref="T691" r:id="rId382"/>
    <hyperlink ref="T692" r:id="rId383"/>
    <hyperlink ref="T693" r:id="rId384"/>
    <hyperlink ref="T694" r:id="rId385"/>
    <hyperlink ref="T695" r:id="rId386"/>
    <hyperlink ref="T696" r:id="rId387"/>
    <hyperlink ref="T697" r:id="rId388"/>
    <hyperlink ref="T698" r:id="rId389"/>
    <hyperlink ref="T700" r:id="rId390"/>
    <hyperlink ref="T701" r:id="rId391"/>
    <hyperlink ref="T702" r:id="rId392"/>
    <hyperlink ref="T703" r:id="rId393"/>
    <hyperlink ref="T704" r:id="rId394"/>
    <hyperlink ref="T705" r:id="rId395"/>
    <hyperlink ref="T706" r:id="rId396"/>
    <hyperlink ref="T707" r:id="rId397"/>
    <hyperlink ref="T708" r:id="rId398"/>
    <hyperlink ref="T709" r:id="rId399"/>
    <hyperlink ref="T710" r:id="rId400"/>
    <hyperlink ref="T711" r:id="rId401"/>
    <hyperlink ref="T712" r:id="rId402"/>
    <hyperlink ref="T714" r:id="rId403"/>
    <hyperlink ref="T715" r:id="rId404"/>
    <hyperlink ref="T716" r:id="rId405"/>
    <hyperlink ref="T717" r:id="rId406"/>
    <hyperlink ref="T718" r:id="rId407"/>
    <hyperlink ref="T719" r:id="rId408"/>
    <hyperlink ref="T720" r:id="rId409"/>
    <hyperlink ref="T721" r:id="rId410"/>
    <hyperlink ref="T722" r:id="rId411"/>
    <hyperlink ref="T724" r:id="rId412"/>
    <hyperlink ref="T725" r:id="rId413"/>
    <hyperlink ref="T726" r:id="rId414"/>
    <hyperlink ref="T727" r:id="rId415"/>
    <hyperlink ref="T728" r:id="rId416"/>
    <hyperlink ref="T729" r:id="rId417"/>
    <hyperlink ref="T730" r:id="rId418"/>
    <hyperlink ref="T732" r:id="rId419"/>
    <hyperlink ref="T733" r:id="rId420"/>
    <hyperlink ref="T734" r:id="rId421"/>
    <hyperlink ref="T735" r:id="rId422"/>
    <hyperlink ref="T736" r:id="rId423"/>
    <hyperlink ref="T737" r:id="rId424"/>
    <hyperlink ref="T738" r:id="rId425"/>
    <hyperlink ref="T739" r:id="rId426"/>
    <hyperlink ref="T741" r:id="rId427"/>
    <hyperlink ref="T742" r:id="rId428"/>
    <hyperlink ref="T743" r:id="rId429"/>
    <hyperlink ref="T744" r:id="rId430"/>
    <hyperlink ref="T745" r:id="rId431"/>
    <hyperlink ref="T747" r:id="rId432"/>
    <hyperlink ref="T748" r:id="rId433"/>
    <hyperlink ref="T749" r:id="rId434"/>
    <hyperlink ref="T750" r:id="rId435"/>
    <hyperlink ref="T751" r:id="rId436"/>
    <hyperlink ref="T753" r:id="rId437"/>
    <hyperlink ref="T754" r:id="rId438"/>
    <hyperlink ref="T755" r:id="rId439"/>
    <hyperlink ref="T756" r:id="rId440"/>
    <hyperlink ref="T757" r:id="rId441"/>
    <hyperlink ref="T758" r:id="rId442"/>
    <hyperlink ref="T759" r:id="rId443"/>
    <hyperlink ref="T760" r:id="rId444"/>
    <hyperlink ref="T763" r:id="rId445"/>
    <hyperlink ref="T764" r:id="rId446"/>
    <hyperlink ref="T765" r:id="rId447"/>
    <hyperlink ref="T767" r:id="rId448"/>
    <hyperlink ref="T768" r:id="rId449"/>
    <hyperlink ref="T769" r:id="rId450"/>
    <hyperlink ref="T770" r:id="rId451"/>
    <hyperlink ref="T771" r:id="rId452"/>
    <hyperlink ref="T772" r:id="rId453"/>
    <hyperlink ref="T773" r:id="rId454"/>
    <hyperlink ref="T774" r:id="rId455"/>
    <hyperlink ref="T777" r:id="rId456"/>
    <hyperlink ref="T778" r:id="rId457"/>
    <hyperlink ref="T779" r:id="rId458"/>
    <hyperlink ref="T780" r:id="rId459"/>
    <hyperlink ref="T781" r:id="rId460"/>
    <hyperlink ref="T782" r:id="rId461"/>
    <hyperlink ref="T784" r:id="rId462"/>
    <hyperlink ref="T786" r:id="rId463"/>
    <hyperlink ref="T787" r:id="rId464"/>
    <hyperlink ref="T788" r:id="rId465"/>
    <hyperlink ref="T789" r:id="rId466"/>
    <hyperlink ref="T790" r:id="rId467"/>
    <hyperlink ref="T791" r:id="rId468"/>
    <hyperlink ref="T792" r:id="rId469"/>
    <hyperlink ref="T793" r:id="rId470"/>
    <hyperlink ref="T794" r:id="rId471"/>
    <hyperlink ref="T795" r:id="rId472"/>
    <hyperlink ref="T796" r:id="rId473"/>
    <hyperlink ref="T797" r:id="rId474"/>
    <hyperlink ref="T798" r:id="rId475"/>
    <hyperlink ref="T799" r:id="rId476"/>
    <hyperlink ref="T800" r:id="rId477"/>
    <hyperlink ref="T801" r:id="rId478"/>
    <hyperlink ref="T802" r:id="rId479"/>
    <hyperlink ref="T803" r:id="rId480"/>
    <hyperlink ref="T804" r:id="rId481"/>
    <hyperlink ref="T805" r:id="rId482"/>
    <hyperlink ref="T807" r:id="rId483"/>
    <hyperlink ref="T808" r:id="rId484"/>
    <hyperlink ref="T809" r:id="rId485"/>
    <hyperlink ref="T810" r:id="rId486"/>
    <hyperlink ref="T811" r:id="rId487"/>
    <hyperlink ref="T813" r:id="rId488"/>
    <hyperlink ref="T815" r:id="rId489"/>
    <hyperlink ref="T816" r:id="rId490"/>
    <hyperlink ref="T817" r:id="rId491"/>
    <hyperlink ref="T818" r:id="rId492"/>
    <hyperlink ref="T819" r:id="rId493"/>
    <hyperlink ref="T820" r:id="rId494"/>
    <hyperlink ref="T821" r:id="rId495"/>
    <hyperlink ref="T823" r:id="rId496"/>
    <hyperlink ref="T824" r:id="rId497"/>
    <hyperlink ref="T825" r:id="rId498"/>
    <hyperlink ref="T828" r:id="rId499"/>
    <hyperlink ref="T829" r:id="rId500"/>
    <hyperlink ref="T831" r:id="rId501"/>
    <hyperlink ref="T832" r:id="rId502"/>
    <hyperlink ref="T833" r:id="rId503"/>
    <hyperlink ref="T834" r:id="rId504"/>
    <hyperlink ref="T835" r:id="rId505"/>
    <hyperlink ref="T836" r:id="rId506"/>
    <hyperlink ref="T837" r:id="rId507"/>
    <hyperlink ref="T838" r:id="rId508"/>
    <hyperlink ref="T839" r:id="rId509"/>
    <hyperlink ref="T841" r:id="rId510"/>
    <hyperlink ref="T842" r:id="rId511"/>
    <hyperlink ref="T843" r:id="rId512"/>
    <hyperlink ref="T844" r:id="rId513"/>
    <hyperlink ref="T846" r:id="rId514"/>
    <hyperlink ref="T847" r:id="rId515"/>
    <hyperlink ref="T848" r:id="rId516"/>
    <hyperlink ref="T849" r:id="rId517"/>
    <hyperlink ref="T852" r:id="rId518"/>
    <hyperlink ref="T853" r:id="rId519"/>
    <hyperlink ref="T855" r:id="rId520"/>
    <hyperlink ref="T857" r:id="rId521"/>
    <hyperlink ref="T858" r:id="rId522"/>
    <hyperlink ref="T859" r:id="rId523"/>
    <hyperlink ref="T860" r:id="rId524"/>
    <hyperlink ref="T861" r:id="rId525"/>
    <hyperlink ref="T862" r:id="rId526"/>
    <hyperlink ref="T863" r:id="rId527"/>
    <hyperlink ref="T864" r:id="rId528"/>
    <hyperlink ref="T865" r:id="rId529"/>
    <hyperlink ref="T866" r:id="rId530"/>
    <hyperlink ref="T868" r:id="rId531"/>
    <hyperlink ref="T869" r:id="rId532"/>
    <hyperlink ref="T870" r:id="rId533"/>
    <hyperlink ref="T871" r:id="rId534"/>
    <hyperlink ref="T872" r:id="rId535"/>
    <hyperlink ref="T873" r:id="rId536"/>
    <hyperlink ref="T874" r:id="rId537"/>
    <hyperlink ref="T875" r:id="rId538"/>
    <hyperlink ref="T876" r:id="rId539"/>
    <hyperlink ref="T877" r:id="rId540"/>
    <hyperlink ref="T878" r:id="rId541"/>
    <hyperlink ref="T879" r:id="rId542"/>
    <hyperlink ref="T880" r:id="rId543"/>
    <hyperlink ref="T881" r:id="rId544"/>
    <hyperlink ref="T883" r:id="rId545"/>
    <hyperlink ref="T884" r:id="rId546"/>
    <hyperlink ref="T885" r:id="rId547"/>
    <hyperlink ref="T886" r:id="rId548"/>
    <hyperlink ref="T887" r:id="rId549"/>
    <hyperlink ref="T888" r:id="rId550"/>
    <hyperlink ref="T890" r:id="rId551"/>
    <hyperlink ref="T891" r:id="rId552"/>
    <hyperlink ref="T892" r:id="rId553"/>
    <hyperlink ref="T893" r:id="rId554"/>
    <hyperlink ref="T894" r:id="rId555"/>
    <hyperlink ref="T895" r:id="rId556"/>
    <hyperlink ref="T896" r:id="rId557"/>
    <hyperlink ref="T897" r:id="rId558"/>
    <hyperlink ref="T898" r:id="rId559"/>
    <hyperlink ref="T899" r:id="rId560"/>
    <hyperlink ref="T900" r:id="rId561"/>
    <hyperlink ref="T901" r:id="rId562"/>
    <hyperlink ref="T902" r:id="rId563"/>
    <hyperlink ref="T903" r:id="rId564"/>
    <hyperlink ref="T904" r:id="rId565"/>
    <hyperlink ref="T905" r:id="rId566"/>
    <hyperlink ref="T906" r:id="rId567"/>
    <hyperlink ref="T907" r:id="rId568"/>
    <hyperlink ref="T908" r:id="rId569"/>
    <hyperlink ref="T909" r:id="rId570"/>
    <hyperlink ref="T910" r:id="rId571"/>
    <hyperlink ref="T911" r:id="rId572"/>
    <hyperlink ref="T912" r:id="rId573"/>
    <hyperlink ref="T913" r:id="rId574"/>
    <hyperlink ref="T914" r:id="rId575"/>
    <hyperlink ref="T915" r:id="rId576"/>
    <hyperlink ref="T916" r:id="rId577"/>
    <hyperlink ref="T917" r:id="rId578"/>
    <hyperlink ref="T918" r:id="rId579"/>
    <hyperlink ref="T919" r:id="rId580"/>
    <hyperlink ref="T920" r:id="rId581"/>
    <hyperlink ref="T921" r:id="rId582"/>
    <hyperlink ref="T922" r:id="rId583"/>
    <hyperlink ref="T923" r:id="rId584"/>
    <hyperlink ref="T924" r:id="rId585"/>
    <hyperlink ref="T927" r:id="rId586"/>
    <hyperlink ref="T928" r:id="rId587"/>
    <hyperlink ref="T929" r:id="rId588"/>
    <hyperlink ref="T930" r:id="rId589"/>
    <hyperlink ref="T931" r:id="rId590"/>
    <hyperlink ref="T932" r:id="rId591"/>
    <hyperlink ref="T933" r:id="rId592"/>
    <hyperlink ref="T934" r:id="rId593"/>
    <hyperlink ref="T935" r:id="rId594"/>
    <hyperlink ref="T936" r:id="rId595"/>
    <hyperlink ref="T937" r:id="rId596"/>
    <hyperlink ref="T938" r:id="rId597"/>
    <hyperlink ref="T939" r:id="rId598"/>
    <hyperlink ref="T941" r:id="rId599"/>
    <hyperlink ref="T942" r:id="rId600"/>
    <hyperlink ref="T943" r:id="rId601"/>
    <hyperlink ref="T945" r:id="rId602"/>
    <hyperlink ref="T948" r:id="rId603"/>
    <hyperlink ref="T949" r:id="rId604"/>
    <hyperlink ref="T950" r:id="rId605"/>
    <hyperlink ref="T951" r:id="rId606"/>
    <hyperlink ref="T952" r:id="rId607"/>
    <hyperlink ref="T953" r:id="rId608"/>
    <hyperlink ref="T955" r:id="rId609"/>
    <hyperlink ref="T956" r:id="rId610"/>
    <hyperlink ref="T957" r:id="rId611"/>
    <hyperlink ref="T958" r:id="rId612"/>
    <hyperlink ref="T959" r:id="rId613"/>
    <hyperlink ref="T961" r:id="rId614"/>
    <hyperlink ref="T962" r:id="rId615"/>
    <hyperlink ref="T964" r:id="rId616"/>
    <hyperlink ref="T965" r:id="rId617"/>
    <hyperlink ref="T966" r:id="rId618"/>
    <hyperlink ref="T967" r:id="rId619"/>
    <hyperlink ref="T968" r:id="rId620"/>
    <hyperlink ref="T969" r:id="rId621"/>
    <hyperlink ref="T970" r:id="rId622"/>
    <hyperlink ref="T971" r:id="rId623"/>
    <hyperlink ref="T972" r:id="rId624"/>
    <hyperlink ref="T973" r:id="rId625"/>
    <hyperlink ref="T974" r:id="rId626"/>
    <hyperlink ref="T975" r:id="rId627"/>
    <hyperlink ref="T976" r:id="rId628"/>
    <hyperlink ref="T977" r:id="rId629"/>
    <hyperlink ref="T978" r:id="rId630"/>
    <hyperlink ref="T979" r:id="rId631"/>
    <hyperlink ref="T980" r:id="rId632"/>
    <hyperlink ref="T982" r:id="rId633"/>
    <hyperlink ref="T983" r:id="rId634"/>
    <hyperlink ref="T984" r:id="rId635"/>
    <hyperlink ref="T985" r:id="rId636"/>
    <hyperlink ref="T986" r:id="rId637"/>
    <hyperlink ref="T987" r:id="rId638"/>
    <hyperlink ref="T988" r:id="rId639"/>
    <hyperlink ref="T989" r:id="rId640"/>
    <hyperlink ref="T990" r:id="rId641"/>
    <hyperlink ref="T991" r:id="rId642"/>
    <hyperlink ref="T992" r:id="rId643"/>
    <hyperlink ref="T993" r:id="rId644"/>
    <hyperlink ref="T994" r:id="rId645"/>
    <hyperlink ref="T995" r:id="rId646"/>
    <hyperlink ref="T996" r:id="rId647"/>
    <hyperlink ref="T997" r:id="rId648"/>
    <hyperlink ref="T998" r:id="rId649"/>
    <hyperlink ref="T999" r:id="rId650"/>
    <hyperlink ref="T1000" r:id="rId651"/>
    <hyperlink ref="T1001" r:id="rId652"/>
    <hyperlink ref="T1002" r:id="rId653"/>
    <hyperlink ref="T1004" r:id="rId654"/>
    <hyperlink ref="T1005" r:id="rId655"/>
    <hyperlink ref="T1006" r:id="rId656"/>
    <hyperlink ref="T1007" r:id="rId657"/>
    <hyperlink ref="T1008" r:id="rId658"/>
    <hyperlink ref="T1009" r:id="rId659"/>
    <hyperlink ref="T1010" r:id="rId660"/>
    <hyperlink ref="T1011" r:id="rId661"/>
    <hyperlink ref="T1012" r:id="rId662"/>
    <hyperlink ref="T1013" r:id="rId663"/>
    <hyperlink ref="T1014" r:id="rId664"/>
    <hyperlink ref="T1015" r:id="rId665"/>
    <hyperlink ref="T1016" r:id="rId666"/>
    <hyperlink ref="T1017" r:id="rId667"/>
    <hyperlink ref="T1018" r:id="rId668"/>
    <hyperlink ref="T1019" r:id="rId669"/>
    <hyperlink ref="T1020" r:id="rId670"/>
    <hyperlink ref="T1021" r:id="rId671"/>
    <hyperlink ref="T1022" r:id="rId672"/>
    <hyperlink ref="T1023" r:id="rId673"/>
    <hyperlink ref="T1024" r:id="rId674"/>
    <hyperlink ref="T1025" r:id="rId675"/>
    <hyperlink ref="T1026" r:id="rId676"/>
    <hyperlink ref="T1027" r:id="rId677"/>
    <hyperlink ref="T1028" r:id="rId678"/>
    <hyperlink ref="T1029" r:id="rId679"/>
    <hyperlink ref="T1030" r:id="rId680"/>
    <hyperlink ref="T1031" r:id="rId681"/>
    <hyperlink ref="T1032" r:id="rId682"/>
    <hyperlink ref="T1033" r:id="rId683"/>
    <hyperlink ref="T1034" r:id="rId684"/>
    <hyperlink ref="T1035" r:id="rId685"/>
    <hyperlink ref="T1036" r:id="rId686"/>
    <hyperlink ref="T1037" r:id="rId687"/>
    <hyperlink ref="T1038" r:id="rId688"/>
    <hyperlink ref="T1040" r:id="rId689"/>
    <hyperlink ref="T1041" r:id="rId690"/>
    <hyperlink ref="T1042" r:id="rId691"/>
    <hyperlink ref="T1043" r:id="rId692"/>
    <hyperlink ref="T1045" r:id="rId693"/>
    <hyperlink ref="T1046" r:id="rId694"/>
    <hyperlink ref="T1047" r:id="rId695"/>
    <hyperlink ref="T1048" r:id="rId696"/>
    <hyperlink ref="T1050" r:id="rId697"/>
    <hyperlink ref="T1051" r:id="rId698"/>
    <hyperlink ref="T1052" r:id="rId699"/>
    <hyperlink ref="T1053" r:id="rId700"/>
    <hyperlink ref="T1054" r:id="rId701"/>
    <hyperlink ref="T1055" r:id="rId702"/>
    <hyperlink ref="T1056" r:id="rId703"/>
    <hyperlink ref="T1057" r:id="rId704"/>
    <hyperlink ref="T1058" r:id="rId705"/>
    <hyperlink ref="T1059" r:id="rId706"/>
    <hyperlink ref="T1060" r:id="rId707"/>
    <hyperlink ref="T1061" r:id="rId708"/>
    <hyperlink ref="T1062" r:id="rId709"/>
    <hyperlink ref="T1063" r:id="rId710"/>
    <hyperlink ref="T1064" r:id="rId711"/>
    <hyperlink ref="T1065" r:id="rId712"/>
    <hyperlink ref="T1066" r:id="rId713"/>
    <hyperlink ref="T1067" r:id="rId714"/>
    <hyperlink ref="T1068" r:id="rId715"/>
    <hyperlink ref="T1069" r:id="rId716"/>
    <hyperlink ref="T1070" r:id="rId717"/>
    <hyperlink ref="T1071" r:id="rId718"/>
    <hyperlink ref="T1072" r:id="rId719"/>
    <hyperlink ref="T1073" r:id="rId720"/>
    <hyperlink ref="T1074" r:id="rId721"/>
    <hyperlink ref="T1075" r:id="rId722"/>
    <hyperlink ref="T1076" r:id="rId723"/>
    <hyperlink ref="T1077" r:id="rId724"/>
    <hyperlink ref="T1078" r:id="rId725"/>
    <hyperlink ref="T1079" r:id="rId726"/>
    <hyperlink ref="T1080" r:id="rId727"/>
    <hyperlink ref="T1081" r:id="rId728"/>
    <hyperlink ref="T1082" r:id="rId729"/>
    <hyperlink ref="T1083" r:id="rId730"/>
    <hyperlink ref="T1084" r:id="rId731"/>
    <hyperlink ref="T1085" r:id="rId732"/>
    <hyperlink ref="T1086" r:id="rId733"/>
    <hyperlink ref="T1087" r:id="rId734"/>
    <hyperlink ref="T1088" r:id="rId735"/>
    <hyperlink ref="T1089" r:id="rId736"/>
    <hyperlink ref="T1090" r:id="rId737"/>
    <hyperlink ref="T1092" r:id="rId738"/>
    <hyperlink ref="T1094" r:id="rId739"/>
    <hyperlink ref="T1095" r:id="rId740"/>
    <hyperlink ref="T1096" r:id="rId741"/>
    <hyperlink ref="T1097" r:id="rId742"/>
    <hyperlink ref="T1098" r:id="rId743"/>
    <hyperlink ref="T1100" r:id="rId744"/>
    <hyperlink ref="T1102" r:id="rId745"/>
    <hyperlink ref="T1103" r:id="rId746"/>
    <hyperlink ref="T1104" r:id="rId747"/>
    <hyperlink ref="T1105" r:id="rId748"/>
    <hyperlink ref="T1108" r:id="rId749"/>
    <hyperlink ref="T1109" r:id="rId750"/>
    <hyperlink ref="T1110" r:id="rId751"/>
    <hyperlink ref="T1111" r:id="rId752"/>
    <hyperlink ref="T1112" r:id="rId753"/>
    <hyperlink ref="T1113" r:id="rId754"/>
    <hyperlink ref="T1114" r:id="rId755"/>
    <hyperlink ref="T1116" r:id="rId756"/>
    <hyperlink ref="T1117" r:id="rId757"/>
    <hyperlink ref="T1118" r:id="rId758"/>
    <hyperlink ref="T1119" r:id="rId759"/>
    <hyperlink ref="T1120" r:id="rId760"/>
    <hyperlink ref="T1121" r:id="rId761"/>
    <hyperlink ref="T1122" r:id="rId762"/>
    <hyperlink ref="T1123" r:id="rId763"/>
    <hyperlink ref="T1124" r:id="rId764"/>
    <hyperlink ref="T1125" r:id="rId765"/>
    <hyperlink ref="T1126" r:id="rId766"/>
    <hyperlink ref="T1127" r:id="rId767"/>
    <hyperlink ref="T1128" r:id="rId768"/>
    <hyperlink ref="T1129" r:id="rId769"/>
    <hyperlink ref="T1130" r:id="rId770"/>
    <hyperlink ref="T1131" r:id="rId771"/>
    <hyperlink ref="T1132" r:id="rId772"/>
    <hyperlink ref="T1133" r:id="rId773"/>
    <hyperlink ref="T1134" r:id="rId774"/>
    <hyperlink ref="T1135" r:id="rId775"/>
    <hyperlink ref="T1136" r:id="rId776"/>
    <hyperlink ref="T1138" r:id="rId777"/>
    <hyperlink ref="T1139" r:id="rId778"/>
    <hyperlink ref="T1140" r:id="rId779"/>
    <hyperlink ref="T1142" r:id="rId780"/>
    <hyperlink ref="T1144" r:id="rId781"/>
    <hyperlink ref="T1145" r:id="rId782"/>
    <hyperlink ref="T1146" r:id="rId783"/>
    <hyperlink ref="T1147" r:id="rId784"/>
    <hyperlink ref="T1148" r:id="rId785"/>
    <hyperlink ref="T1149" r:id="rId786"/>
    <hyperlink ref="T1150" r:id="rId787"/>
    <hyperlink ref="T1151" r:id="rId788"/>
    <hyperlink ref="T1152" r:id="rId789"/>
    <hyperlink ref="T1153" r:id="rId790"/>
    <hyperlink ref="T1154" r:id="rId791"/>
    <hyperlink ref="T1155" r:id="rId792"/>
    <hyperlink ref="T1156" r:id="rId793"/>
    <hyperlink ref="T1158" r:id="rId794"/>
    <hyperlink ref="T1160" r:id="rId795"/>
    <hyperlink ref="T1161" r:id="rId796"/>
    <hyperlink ref="T1162" r:id="rId797"/>
    <hyperlink ref="T1163" r:id="rId798"/>
    <hyperlink ref="T1164" r:id="rId799"/>
    <hyperlink ref="T1165" r:id="rId800"/>
    <hyperlink ref="T1166" r:id="rId801"/>
    <hyperlink ref="T1167" r:id="rId802"/>
    <hyperlink ref="T1169" r:id="rId803"/>
    <hyperlink ref="T1170" r:id="rId804"/>
    <hyperlink ref="T1171" r:id="rId805"/>
    <hyperlink ref="T1173" r:id="rId806"/>
    <hyperlink ref="T1174" r:id="rId807"/>
    <hyperlink ref="T1175" r:id="rId808"/>
    <hyperlink ref="T1176" r:id="rId809"/>
    <hyperlink ref="T1178" r:id="rId810"/>
    <hyperlink ref="T1181" r:id="rId811"/>
    <hyperlink ref="T1182" r:id="rId812"/>
    <hyperlink ref="T1183" r:id="rId813"/>
    <hyperlink ref="T1184" r:id="rId814"/>
    <hyperlink ref="T1185" r:id="rId815"/>
    <hyperlink ref="T1186" r:id="rId816"/>
    <hyperlink ref="T1187" r:id="rId817"/>
    <hyperlink ref="T1188" r:id="rId818"/>
    <hyperlink ref="T1189" r:id="rId819"/>
    <hyperlink ref="T1190" r:id="rId820"/>
    <hyperlink ref="T1191" r:id="rId821"/>
    <hyperlink ref="T1192" r:id="rId822"/>
    <hyperlink ref="T1193" r:id="rId823"/>
    <hyperlink ref="T1194" r:id="rId824"/>
    <hyperlink ref="T1195" r:id="rId825"/>
    <hyperlink ref="T1196" r:id="rId826"/>
    <hyperlink ref="T1197" r:id="rId827"/>
    <hyperlink ref="T1199" r:id="rId828"/>
    <hyperlink ref="T1200" r:id="rId829"/>
    <hyperlink ref="T1201" r:id="rId830"/>
    <hyperlink ref="T1202" r:id="rId831"/>
    <hyperlink ref="T1203" r:id="rId832"/>
    <hyperlink ref="T1204" r:id="rId833"/>
    <hyperlink ref="T1205" r:id="rId834"/>
    <hyperlink ref="T1206" r:id="rId835"/>
    <hyperlink ref="T1208" r:id="rId836"/>
    <hyperlink ref="T1209" r:id="rId837"/>
    <hyperlink ref="T1210" r:id="rId838"/>
    <hyperlink ref="T1211" r:id="rId839"/>
    <hyperlink ref="T1212" r:id="rId840"/>
    <hyperlink ref="T1213" r:id="rId841"/>
    <hyperlink ref="T1214" r:id="rId842"/>
    <hyperlink ref="T1216" r:id="rId843"/>
    <hyperlink ref="T1217" r:id="rId844"/>
    <hyperlink ref="T1218" r:id="rId845"/>
    <hyperlink ref="T1219" r:id="rId846"/>
    <hyperlink ref="T1220" r:id="rId847"/>
    <hyperlink ref="T1221" r:id="rId848"/>
    <hyperlink ref="T1222" r:id="rId849"/>
    <hyperlink ref="T1223" r:id="rId850"/>
    <hyperlink ref="T1224" r:id="rId851"/>
    <hyperlink ref="T1225" r:id="rId852"/>
    <hyperlink ref="T1226" r:id="rId853"/>
    <hyperlink ref="T1227" r:id="rId854"/>
    <hyperlink ref="T1228" r:id="rId855"/>
    <hyperlink ref="T1229" r:id="rId856"/>
    <hyperlink ref="T1230" r:id="rId857"/>
    <hyperlink ref="T1231" r:id="rId858"/>
    <hyperlink ref="T1232" r:id="rId859"/>
    <hyperlink ref="T1233" r:id="rId860"/>
    <hyperlink ref="T1234" r:id="rId861"/>
    <hyperlink ref="T1235" r:id="rId862"/>
    <hyperlink ref="T1236" r:id="rId863"/>
    <hyperlink ref="T1237" r:id="rId864"/>
    <hyperlink ref="T1238" r:id="rId865"/>
    <hyperlink ref="T1239" r:id="rId866"/>
    <hyperlink ref="T1240" r:id="rId867"/>
    <hyperlink ref="T1241" r:id="rId868"/>
    <hyperlink ref="T1244" r:id="rId869"/>
    <hyperlink ref="T1245" r:id="rId870"/>
    <hyperlink ref="T1246" r:id="rId871"/>
    <hyperlink ref="T1247" r:id="rId872"/>
    <hyperlink ref="T1248" r:id="rId873"/>
    <hyperlink ref="T1249" r:id="rId874"/>
    <hyperlink ref="T1250" r:id="rId875"/>
    <hyperlink ref="T1252" r:id="rId876"/>
    <hyperlink ref="T1253" r:id="rId877"/>
    <hyperlink ref="T1254" r:id="rId878"/>
    <hyperlink ref="T1255" r:id="rId879"/>
    <hyperlink ref="T1256" r:id="rId880"/>
    <hyperlink ref="T1257" r:id="rId881"/>
    <hyperlink ref="T1258" r:id="rId882"/>
    <hyperlink ref="T1259" r:id="rId883"/>
    <hyperlink ref="T1261" r:id="rId884"/>
    <hyperlink ref="T1262" r:id="rId885"/>
    <hyperlink ref="T1263" r:id="rId886"/>
    <hyperlink ref="T1264" r:id="rId887"/>
    <hyperlink ref="T1265" r:id="rId888"/>
    <hyperlink ref="T1266" r:id="rId889"/>
    <hyperlink ref="T1267" r:id="rId890"/>
    <hyperlink ref="T1268" r:id="rId891"/>
    <hyperlink ref="T1269" r:id="rId892"/>
    <hyperlink ref="T1270" r:id="rId893"/>
    <hyperlink ref="T1271" r:id="rId894"/>
    <hyperlink ref="T1272" r:id="rId895"/>
    <hyperlink ref="T1273" r:id="rId896"/>
    <hyperlink ref="T1274" r:id="rId897"/>
    <hyperlink ref="T1275" r:id="rId898"/>
    <hyperlink ref="T1276" r:id="rId899"/>
    <hyperlink ref="T1277" r:id="rId900"/>
    <hyperlink ref="T1278" r:id="rId901"/>
    <hyperlink ref="T1279" r:id="rId902"/>
    <hyperlink ref="T1280" r:id="rId903"/>
    <hyperlink ref="T1281" r:id="rId904"/>
    <hyperlink ref="T1282" r:id="rId905"/>
    <hyperlink ref="T1283" r:id="rId906"/>
    <hyperlink ref="T1284" r:id="rId907"/>
    <hyperlink ref="T1285" r:id="rId908"/>
    <hyperlink ref="T1286" r:id="rId909"/>
    <hyperlink ref="T1287" r:id="rId910"/>
    <hyperlink ref="T1290" r:id="rId911"/>
    <hyperlink ref="T1291" r:id="rId912"/>
    <hyperlink ref="T1292" r:id="rId913"/>
    <hyperlink ref="T1293" r:id="rId914"/>
    <hyperlink ref="T1294" r:id="rId915"/>
    <hyperlink ref="T1295" r:id="rId916"/>
    <hyperlink ref="T1296" r:id="rId917"/>
    <hyperlink ref="T1297" r:id="rId918"/>
    <hyperlink ref="T1298" r:id="rId919"/>
    <hyperlink ref="T1299" r:id="rId920"/>
    <hyperlink ref="T1301" r:id="rId921"/>
    <hyperlink ref="T1304" r:id="rId922"/>
    <hyperlink ref="T1305" r:id="rId923"/>
    <hyperlink ref="T1306" r:id="rId924"/>
    <hyperlink ref="T1307" r:id="rId925"/>
    <hyperlink ref="T1308" r:id="rId926"/>
    <hyperlink ref="T1309" r:id="rId927"/>
    <hyperlink ref="T1310" r:id="rId928"/>
    <hyperlink ref="T1311" r:id="rId929"/>
    <hyperlink ref="T1313" r:id="rId930"/>
    <hyperlink ref="T1315" r:id="rId931"/>
    <hyperlink ref="T1316" r:id="rId932"/>
    <hyperlink ref="T1319" r:id="rId933"/>
    <hyperlink ref="T1320" r:id="rId934"/>
    <hyperlink ref="T1321" r:id="rId935"/>
    <hyperlink ref="T1322" r:id="rId936"/>
    <hyperlink ref="T1323" r:id="rId937"/>
    <hyperlink ref="T1324" r:id="rId938"/>
    <hyperlink ref="T1325" r:id="rId939"/>
    <hyperlink ref="T1326" r:id="rId940"/>
    <hyperlink ref="T1327" r:id="rId941"/>
    <hyperlink ref="T1328" r:id="rId942"/>
    <hyperlink ref="T1330" r:id="rId943"/>
    <hyperlink ref="T1332" r:id="rId944"/>
    <hyperlink ref="T1333" r:id="rId945"/>
    <hyperlink ref="T1334" r:id="rId946"/>
    <hyperlink ref="T1335" r:id="rId947"/>
    <hyperlink ref="T1336" r:id="rId948"/>
    <hyperlink ref="T1337" r:id="rId949"/>
    <hyperlink ref="T1338" r:id="rId950"/>
    <hyperlink ref="T1339" r:id="rId951"/>
    <hyperlink ref="T1340" r:id="rId952"/>
    <hyperlink ref="T1341" r:id="rId953"/>
    <hyperlink ref="T1342" r:id="rId954"/>
    <hyperlink ref="T1343" r:id="rId955"/>
    <hyperlink ref="T1344" r:id="rId956"/>
    <hyperlink ref="T1345" r:id="rId957"/>
    <hyperlink ref="T1346" r:id="rId958"/>
    <hyperlink ref="T1347" r:id="rId959"/>
    <hyperlink ref="T1348" r:id="rId960"/>
    <hyperlink ref="T1349" r:id="rId961"/>
    <hyperlink ref="T1350" r:id="rId962"/>
    <hyperlink ref="T1351" r:id="rId963"/>
    <hyperlink ref="T1352" r:id="rId964"/>
    <hyperlink ref="T1353" r:id="rId965"/>
    <hyperlink ref="T1354" r:id="rId966"/>
    <hyperlink ref="T1355" r:id="rId967"/>
    <hyperlink ref="T1356" r:id="rId968"/>
    <hyperlink ref="T1357" r:id="rId969"/>
    <hyperlink ref="T1358" r:id="rId970"/>
    <hyperlink ref="T1359" r:id="rId971"/>
    <hyperlink ref="T1360" r:id="rId972"/>
    <hyperlink ref="T1361" r:id="rId973"/>
    <hyperlink ref="T1362" r:id="rId974"/>
    <hyperlink ref="T1363" r:id="rId975"/>
    <hyperlink ref="T1365" r:id="rId976"/>
    <hyperlink ref="T1366" r:id="rId977"/>
    <hyperlink ref="T1367" r:id="rId978"/>
    <hyperlink ref="T1368" r:id="rId979"/>
    <hyperlink ref="T1369" r:id="rId980"/>
    <hyperlink ref="T1370" r:id="rId981"/>
    <hyperlink ref="T1371" r:id="rId982"/>
    <hyperlink ref="T1372" r:id="rId983"/>
    <hyperlink ref="T1373" r:id="rId984"/>
    <hyperlink ref="T1374" r:id="rId985"/>
    <hyperlink ref="T1375" r:id="rId986"/>
    <hyperlink ref="T1376" r:id="rId987"/>
    <hyperlink ref="T1377" r:id="rId988"/>
    <hyperlink ref="T1378" r:id="rId989"/>
    <hyperlink ref="T1379" r:id="rId990"/>
    <hyperlink ref="T1380" r:id="rId991"/>
    <hyperlink ref="T1381" r:id="rId992"/>
    <hyperlink ref="T1382" r:id="rId993"/>
    <hyperlink ref="T1383" r:id="rId994"/>
    <hyperlink ref="T1384" r:id="rId995"/>
    <hyperlink ref="T1386" r:id="rId996"/>
    <hyperlink ref="T1387" r:id="rId997"/>
    <hyperlink ref="T1388" r:id="rId998"/>
    <hyperlink ref="T1389" r:id="rId999"/>
    <hyperlink ref="T1390" r:id="rId1000"/>
    <hyperlink ref="T1391" r:id="rId1001"/>
    <hyperlink ref="T1392" r:id="rId1002"/>
    <hyperlink ref="T1393" r:id="rId1003"/>
    <hyperlink ref="T1394" r:id="rId1004"/>
    <hyperlink ref="T1396" r:id="rId1005"/>
    <hyperlink ref="T1397" r:id="rId1006"/>
    <hyperlink ref="T1398" r:id="rId1007"/>
    <hyperlink ref="T1399" r:id="rId1008"/>
    <hyperlink ref="T1400" r:id="rId1009"/>
    <hyperlink ref="T1401" r:id="rId1010"/>
    <hyperlink ref="T1402" r:id="rId1011"/>
    <hyperlink ref="T1403" r:id="rId1012"/>
    <hyperlink ref="T1404" r:id="rId1013"/>
    <hyperlink ref="T1405" r:id="rId1014"/>
    <hyperlink ref="T1406" r:id="rId1015"/>
    <hyperlink ref="T1407" r:id="rId1016"/>
    <hyperlink ref="T1408" r:id="rId1017"/>
    <hyperlink ref="T1409" r:id="rId1018"/>
    <hyperlink ref="T1410" r:id="rId1019"/>
    <hyperlink ref="T1411" r:id="rId1020"/>
    <hyperlink ref="T1412" r:id="rId1021"/>
    <hyperlink ref="T1413" r:id="rId1022"/>
    <hyperlink ref="T1414" r:id="rId1023"/>
    <hyperlink ref="T1415" r:id="rId1024"/>
    <hyperlink ref="T1416" r:id="rId1025"/>
    <hyperlink ref="T1417" r:id="rId1026"/>
    <hyperlink ref="T1418" r:id="rId1027"/>
    <hyperlink ref="T1419" r:id="rId1028"/>
    <hyperlink ref="T1420" r:id="rId1029"/>
    <hyperlink ref="T1421" r:id="rId1030"/>
    <hyperlink ref="T1422" r:id="rId1031"/>
    <hyperlink ref="T1423" r:id="rId1032"/>
    <hyperlink ref="T1424" r:id="rId1033"/>
    <hyperlink ref="T1425" r:id="rId1034"/>
    <hyperlink ref="T1426" r:id="rId1035"/>
    <hyperlink ref="T1428" r:id="rId1036"/>
    <hyperlink ref="T1429" r:id="rId1037"/>
    <hyperlink ref="T1430" r:id="rId1038"/>
    <hyperlink ref="T1431" r:id="rId1039"/>
    <hyperlink ref="T1433" r:id="rId1040"/>
    <hyperlink ref="T1434" r:id="rId1041"/>
    <hyperlink ref="T1435" r:id="rId1042"/>
    <hyperlink ref="T1436" r:id="rId1043"/>
    <hyperlink ref="T1437" r:id="rId1044"/>
    <hyperlink ref="T1438" r:id="rId1045"/>
    <hyperlink ref="T1439" r:id="rId1046"/>
    <hyperlink ref="T1440" r:id="rId1047"/>
    <hyperlink ref="T1442" r:id="rId1048"/>
    <hyperlink ref="T1443" r:id="rId1049"/>
    <hyperlink ref="T1444" r:id="rId1050"/>
    <hyperlink ref="T1445" r:id="rId1051"/>
    <hyperlink ref="T1447" r:id="rId1052"/>
    <hyperlink ref="T1448" r:id="rId1053"/>
    <hyperlink ref="T1450" r:id="rId1054"/>
    <hyperlink ref="T1451" r:id="rId1055"/>
    <hyperlink ref="T1465" r:id="rId1056"/>
    <hyperlink ref="T1467" r:id="rId1057"/>
    <hyperlink ref="T1468" r:id="rId1058"/>
    <hyperlink ref="T1469" r:id="rId1059"/>
    <hyperlink ref="T1471" r:id="rId1060"/>
    <hyperlink ref="T1472" r:id="rId1061"/>
    <hyperlink ref="T1473" r:id="rId1062"/>
    <hyperlink ref="T1474" r:id="rId1063"/>
    <hyperlink ref="T1475" r:id="rId1064"/>
    <hyperlink ref="T1476" r:id="rId1065"/>
    <hyperlink ref="T1478" r:id="rId1066"/>
    <hyperlink ref="T1480" r:id="rId1067"/>
    <hyperlink ref="T1481" r:id="rId1068"/>
    <hyperlink ref="T1482" r:id="rId1069"/>
    <hyperlink ref="T1483" r:id="rId1070"/>
    <hyperlink ref="T1484" r:id="rId1071"/>
    <hyperlink ref="T1485" r:id="rId1072"/>
    <hyperlink ref="T1486" r:id="rId1073"/>
    <hyperlink ref="T1487" r:id="rId1074"/>
    <hyperlink ref="T1488" r:id="rId1075"/>
    <hyperlink ref="T1489" r:id="rId1076"/>
    <hyperlink ref="T1490" r:id="rId1077"/>
    <hyperlink ref="T1491" r:id="rId1078"/>
    <hyperlink ref="T1492" r:id="rId1079"/>
    <hyperlink ref="T1493" r:id="rId1080"/>
    <hyperlink ref="T1494" r:id="rId1081"/>
    <hyperlink ref="T1495" r:id="rId1082"/>
    <hyperlink ref="T1496" r:id="rId1083"/>
    <hyperlink ref="T1497" r:id="rId1084"/>
    <hyperlink ref="T1498" r:id="rId1085"/>
    <hyperlink ref="T1499" r:id="rId1086"/>
    <hyperlink ref="T1500" r:id="rId1087"/>
    <hyperlink ref="T1501" r:id="rId1088"/>
    <hyperlink ref="T1502" r:id="rId1089"/>
    <hyperlink ref="T1503" r:id="rId1090"/>
    <hyperlink ref="T1504" r:id="rId1091"/>
    <hyperlink ref="T1505" r:id="rId1092"/>
    <hyperlink ref="T1506" r:id="rId1093"/>
    <hyperlink ref="T1507" r:id="rId1094"/>
    <hyperlink ref="T1508" r:id="rId1095"/>
    <hyperlink ref="T1509" r:id="rId1096"/>
    <hyperlink ref="T1510" r:id="rId1097"/>
    <hyperlink ref="T1511" r:id="rId1098"/>
    <hyperlink ref="T1512" r:id="rId1099"/>
    <hyperlink ref="T1514" r:id="rId1100"/>
    <hyperlink ref="T1515" r:id="rId1101"/>
    <hyperlink ref="T1516" r:id="rId1102"/>
    <hyperlink ref="T1517" r:id="rId1103"/>
    <hyperlink ref="T1518" r:id="rId1104"/>
    <hyperlink ref="T1519" r:id="rId1105"/>
    <hyperlink ref="T1520" r:id="rId1106"/>
    <hyperlink ref="T1521" r:id="rId1107"/>
    <hyperlink ref="T1522" r:id="rId1108"/>
    <hyperlink ref="T1523" r:id="rId1109"/>
    <hyperlink ref="T1524" r:id="rId1110"/>
    <hyperlink ref="T1525" r:id="rId1111"/>
    <hyperlink ref="T1526" r:id="rId1112"/>
    <hyperlink ref="T1527" r:id="rId1113"/>
    <hyperlink ref="T1528" r:id="rId1114"/>
    <hyperlink ref="T1530" r:id="rId1115"/>
    <hyperlink ref="T1531" r:id="rId1116"/>
    <hyperlink ref="T1533" r:id="rId1117"/>
    <hyperlink ref="T1534" r:id="rId1118"/>
    <hyperlink ref="T1535" r:id="rId1119"/>
    <hyperlink ref="T1536" r:id="rId1120"/>
    <hyperlink ref="T1537" r:id="rId1121"/>
    <hyperlink ref="T1538" r:id="rId1122"/>
    <hyperlink ref="T1539" r:id="rId1123"/>
    <hyperlink ref="T1540" r:id="rId1124"/>
    <hyperlink ref="T1541" r:id="rId1125"/>
    <hyperlink ref="T1542" r:id="rId1126"/>
    <hyperlink ref="T1544" r:id="rId1127"/>
    <hyperlink ref="T1545" r:id="rId1128"/>
    <hyperlink ref="T1546" r:id="rId1129"/>
    <hyperlink ref="T1547" r:id="rId1130"/>
    <hyperlink ref="T1548" r:id="rId1131"/>
    <hyperlink ref="T1550" r:id="rId1132"/>
    <hyperlink ref="T1551" r:id="rId1133"/>
    <hyperlink ref="T1552" r:id="rId1134"/>
    <hyperlink ref="T1553" r:id="rId1135"/>
    <hyperlink ref="T1554" r:id="rId1136"/>
    <hyperlink ref="T1555" r:id="rId1137"/>
    <hyperlink ref="T1556" r:id="rId1138"/>
    <hyperlink ref="T1557" r:id="rId1139"/>
    <hyperlink ref="T1558" r:id="rId1140"/>
    <hyperlink ref="T1559" r:id="rId1141"/>
    <hyperlink ref="T1560" r:id="rId1142"/>
    <hyperlink ref="T1561" r:id="rId1143"/>
    <hyperlink ref="T1562" r:id="rId1144"/>
    <hyperlink ref="T1563" r:id="rId1145"/>
    <hyperlink ref="T1564" r:id="rId1146"/>
    <hyperlink ref="T1565" r:id="rId1147"/>
    <hyperlink ref="T1567" r:id="rId1148"/>
    <hyperlink ref="T1568" r:id="rId1149"/>
    <hyperlink ref="T1569" r:id="rId1150"/>
    <hyperlink ref="T1570" r:id="rId1151"/>
    <hyperlink ref="T1571" r:id="rId1152"/>
    <hyperlink ref="T1572" r:id="rId1153"/>
    <hyperlink ref="T1574" r:id="rId1154"/>
    <hyperlink ref="T1575" r:id="rId1155"/>
    <hyperlink ref="T1576" r:id="rId1156"/>
    <hyperlink ref="T1577" r:id="rId1157"/>
    <hyperlink ref="T1579" r:id="rId1158"/>
    <hyperlink ref="T1580" r:id="rId1159"/>
    <hyperlink ref="T1581" r:id="rId1160"/>
    <hyperlink ref="T1584" r:id="rId1161"/>
    <hyperlink ref="T1585" r:id="rId1162"/>
    <hyperlink ref="T1587" r:id="rId1163"/>
    <hyperlink ref="T1588" r:id="rId1164"/>
    <hyperlink ref="T1589" r:id="rId1165"/>
    <hyperlink ref="T1591" r:id="rId1166"/>
    <hyperlink ref="T1592" r:id="rId1167"/>
    <hyperlink ref="T1593" r:id="rId1168"/>
    <hyperlink ref="T1594" r:id="rId1169"/>
    <hyperlink ref="T1596" r:id="rId1170"/>
    <hyperlink ref="T1597" r:id="rId1171"/>
    <hyperlink ref="T1598" r:id="rId1172"/>
    <hyperlink ref="T1599" r:id="rId1173"/>
    <hyperlink ref="T1600" r:id="rId1174"/>
    <hyperlink ref="T1601" r:id="rId1175"/>
    <hyperlink ref="T1602" r:id="rId1176"/>
    <hyperlink ref="T1603" r:id="rId1177"/>
    <hyperlink ref="T1604" r:id="rId1178"/>
    <hyperlink ref="T1605" r:id="rId1179"/>
    <hyperlink ref="T9" r:id="rId1180"/>
    <hyperlink ref="T10" r:id="rId1181"/>
    <hyperlink ref="T11" r:id="rId1182"/>
    <hyperlink ref="T12" r:id="rId1183"/>
    <hyperlink ref="T13" r:id="rId1184"/>
    <hyperlink ref="T14" r:id="rId1185"/>
    <hyperlink ref="T15" r:id="rId1186"/>
    <hyperlink ref="T16" r:id="rId1187"/>
    <hyperlink ref="T17" r:id="rId1188"/>
    <hyperlink ref="T18" r:id="rId1189"/>
    <hyperlink ref="T19" r:id="rId1190"/>
    <hyperlink ref="T20" r:id="rId1191"/>
    <hyperlink ref="T21" r:id="rId1192"/>
    <hyperlink ref="T22" r:id="rId1193"/>
    <hyperlink ref="T24" r:id="rId1194"/>
    <hyperlink ref="T25" r:id="rId1195"/>
    <hyperlink ref="T28" r:id="rId1196"/>
    <hyperlink ref="T29" r:id="rId1197"/>
    <hyperlink ref="T30" r:id="rId1198"/>
    <hyperlink ref="T31" r:id="rId1199"/>
    <hyperlink ref="T32" r:id="rId1200"/>
    <hyperlink ref="T33" r:id="rId1201"/>
    <hyperlink ref="T34" r:id="rId1202"/>
    <hyperlink ref="T35" r:id="rId1203"/>
    <hyperlink ref="T36" r:id="rId1204"/>
    <hyperlink ref="T37" r:id="rId1205"/>
    <hyperlink ref="T38" r:id="rId1206"/>
    <hyperlink ref="T39" r:id="rId1207"/>
    <hyperlink ref="T40" r:id="rId1208"/>
    <hyperlink ref="T41" r:id="rId1209"/>
    <hyperlink ref="T42" r:id="rId1210"/>
    <hyperlink ref="T43" r:id="rId1211"/>
    <hyperlink ref="T44" r:id="rId1212"/>
    <hyperlink ref="T45" r:id="rId1213"/>
    <hyperlink ref="T46" r:id="rId1214"/>
    <hyperlink ref="T47" r:id="rId1215"/>
    <hyperlink ref="T48" r:id="rId1216"/>
    <hyperlink ref="T49" r:id="rId1217"/>
    <hyperlink ref="T50" r:id="rId1218"/>
    <hyperlink ref="T51" r:id="rId1219"/>
    <hyperlink ref="T52" r:id="rId1220"/>
    <hyperlink ref="T53" r:id="rId1221"/>
    <hyperlink ref="T54" r:id="rId1222"/>
    <hyperlink ref="T55" r:id="rId1223"/>
    <hyperlink ref="T56" r:id="rId1224"/>
    <hyperlink ref="T58" r:id="rId1225"/>
    <hyperlink ref="T59" r:id="rId1226"/>
    <hyperlink ref="T60" r:id="rId1227"/>
    <hyperlink ref="T61" r:id="rId1228"/>
    <hyperlink ref="T62" r:id="rId1229"/>
    <hyperlink ref="T63" r:id="rId1230"/>
    <hyperlink ref="T64" r:id="rId1231"/>
    <hyperlink ref="T65" r:id="rId1232"/>
    <hyperlink ref="T66" r:id="rId1233"/>
    <hyperlink ref="T67" r:id="rId1234"/>
    <hyperlink ref="T69" r:id="rId1235"/>
    <hyperlink ref="T70" r:id="rId1236"/>
    <hyperlink ref="T71" r:id="rId1237"/>
    <hyperlink ref="T72" r:id="rId1238"/>
    <hyperlink ref="T73" r:id="rId1239"/>
    <hyperlink ref="T74" r:id="rId1240"/>
    <hyperlink ref="T75" r:id="rId1241"/>
    <hyperlink ref="T76" r:id="rId1242"/>
    <hyperlink ref="T77" r:id="rId1243"/>
    <hyperlink ref="T78" r:id="rId1244"/>
    <hyperlink ref="T81" r:id="rId1245"/>
    <hyperlink ref="T82" r:id="rId1246"/>
    <hyperlink ref="T83" r:id="rId1247"/>
    <hyperlink ref="T85" r:id="rId1248"/>
    <hyperlink ref="T87" r:id="rId1249"/>
    <hyperlink ref="T88" r:id="rId1250"/>
    <hyperlink ref="T89" r:id="rId1251"/>
    <hyperlink ref="T90" r:id="rId1252"/>
    <hyperlink ref="T91" r:id="rId1253"/>
    <hyperlink ref="T92" r:id="rId1254"/>
    <hyperlink ref="T93" r:id="rId1255"/>
    <hyperlink ref="T96" r:id="rId1256"/>
    <hyperlink ref="T97" r:id="rId1257"/>
    <hyperlink ref="T98" r:id="rId1258"/>
    <hyperlink ref="T99" r:id="rId1259"/>
    <hyperlink ref="T100" r:id="rId1260"/>
    <hyperlink ref="T101" r:id="rId1261"/>
    <hyperlink ref="T102" r:id="rId1262"/>
    <hyperlink ref="T105" r:id="rId1263"/>
    <hyperlink ref="T106" r:id="rId1264"/>
    <hyperlink ref="T107" r:id="rId1265"/>
    <hyperlink ref="T108" r:id="rId1266"/>
    <hyperlink ref="T109" r:id="rId1267"/>
    <hyperlink ref="T110" r:id="rId1268"/>
    <hyperlink ref="T111" r:id="rId1269"/>
    <hyperlink ref="T112" r:id="rId1270"/>
    <hyperlink ref="T113" r:id="rId1271"/>
    <hyperlink ref="T114" r:id="rId1272"/>
    <hyperlink ref="T115" r:id="rId1273"/>
    <hyperlink ref="T117" r:id="rId1274"/>
    <hyperlink ref="T118" r:id="rId1275"/>
    <hyperlink ref="T120" r:id="rId1276"/>
    <hyperlink ref="T121" r:id="rId1277"/>
    <hyperlink ref="T122" r:id="rId1278"/>
    <hyperlink ref="T123" r:id="rId1279"/>
    <hyperlink ref="T124" r:id="rId1280"/>
    <hyperlink ref="T125" r:id="rId1281"/>
    <hyperlink ref="T126" r:id="rId1282"/>
    <hyperlink ref="T127" r:id="rId1283"/>
    <hyperlink ref="T128" r:id="rId1284"/>
    <hyperlink ref="T129" r:id="rId1285"/>
    <hyperlink ref="T130" r:id="rId1286"/>
    <hyperlink ref="T131" r:id="rId1287"/>
    <hyperlink ref="T132" r:id="rId1288"/>
    <hyperlink ref="T133" r:id="rId1289"/>
    <hyperlink ref="T134" r:id="rId1290"/>
    <hyperlink ref="T135" r:id="rId1291"/>
    <hyperlink ref="T136" r:id="rId1292"/>
    <hyperlink ref="T137" r:id="rId1293"/>
    <hyperlink ref="T138" r:id="rId1294"/>
    <hyperlink ref="T139" r:id="rId1295"/>
    <hyperlink ref="T140" r:id="rId1296"/>
    <hyperlink ref="T141" r:id="rId1297"/>
    <hyperlink ref="T142" r:id="rId1298"/>
    <hyperlink ref="T143" r:id="rId1299"/>
    <hyperlink ref="T144" r:id="rId1300"/>
    <hyperlink ref="T145" r:id="rId1301"/>
    <hyperlink ref="T146" r:id="rId1302"/>
    <hyperlink ref="T147" r:id="rId1303"/>
    <hyperlink ref="T148" r:id="rId1304"/>
    <hyperlink ref="T149" r:id="rId1305"/>
    <hyperlink ref="T150" r:id="rId1306"/>
    <hyperlink ref="T151" r:id="rId1307"/>
    <hyperlink ref="T152" r:id="rId1308"/>
    <hyperlink ref="T153" r:id="rId1309"/>
    <hyperlink ref="T155" r:id="rId1310"/>
    <hyperlink ref="T156" r:id="rId1311"/>
    <hyperlink ref="T157" r:id="rId1312"/>
    <hyperlink ref="T158" r:id="rId1313"/>
    <hyperlink ref="T159" r:id="rId1314"/>
    <hyperlink ref="T160" r:id="rId1315"/>
    <hyperlink ref="T161" r:id="rId1316"/>
    <hyperlink ref="T163" r:id="rId1317"/>
    <hyperlink ref="T164" r:id="rId1318"/>
    <hyperlink ref="T165" r:id="rId1319"/>
    <hyperlink ref="T166" r:id="rId1320"/>
    <hyperlink ref="T167" r:id="rId1321"/>
    <hyperlink ref="T170" r:id="rId1322"/>
    <hyperlink ref="T171" r:id="rId1323"/>
    <hyperlink ref="T172" r:id="rId1324"/>
    <hyperlink ref="T173" r:id="rId1325"/>
    <hyperlink ref="T174" r:id="rId1326"/>
    <hyperlink ref="T175" r:id="rId1327"/>
    <hyperlink ref="T176" r:id="rId1328"/>
    <hyperlink ref="T177" r:id="rId1329"/>
    <hyperlink ref="T178" r:id="rId1330"/>
    <hyperlink ref="T179" r:id="rId1331"/>
    <hyperlink ref="T182" r:id="rId1332"/>
    <hyperlink ref="T183" r:id="rId1333"/>
    <hyperlink ref="T184" r:id="rId1334"/>
    <hyperlink ref="T185" r:id="rId1335"/>
    <hyperlink ref="T186" r:id="rId1336"/>
    <hyperlink ref="T187" r:id="rId1337"/>
    <hyperlink ref="T188" r:id="rId1338"/>
    <hyperlink ref="T190" r:id="rId1339"/>
    <hyperlink ref="T191" r:id="rId1340"/>
    <hyperlink ref="T192" r:id="rId1341"/>
    <hyperlink ref="T193" r:id="rId1342"/>
    <hyperlink ref="T194" r:id="rId1343"/>
    <hyperlink ref="T196" r:id="rId1344"/>
    <hyperlink ref="T197" r:id="rId1345"/>
    <hyperlink ref="T198" r:id="rId1346"/>
    <hyperlink ref="T199" r:id="rId1347"/>
    <hyperlink ref="T200" r:id="rId1348"/>
    <hyperlink ref="T201" r:id="rId1349"/>
    <hyperlink ref="T202" r:id="rId1350"/>
    <hyperlink ref="T203" r:id="rId1351"/>
    <hyperlink ref="T205" r:id="rId1352"/>
    <hyperlink ref="T206" r:id="rId1353"/>
    <hyperlink ref="T207" r:id="rId1354"/>
    <hyperlink ref="T208" r:id="rId1355"/>
    <hyperlink ref="T209" r:id="rId1356"/>
    <hyperlink ref="T210" r:id="rId1357"/>
    <hyperlink ref="T211" r:id="rId1358"/>
    <hyperlink ref="T212" r:id="rId1359"/>
    <hyperlink ref="T214" r:id="rId1360"/>
    <hyperlink ref="T215" r:id="rId1361"/>
    <hyperlink ref="T217" r:id="rId1362"/>
    <hyperlink ref="T218" r:id="rId1363"/>
    <hyperlink ref="T219" r:id="rId1364"/>
    <hyperlink ref="T221" r:id="rId1365"/>
    <hyperlink ref="T223" r:id="rId1366"/>
    <hyperlink ref="T224" r:id="rId1367"/>
    <hyperlink ref="T225" r:id="rId1368"/>
    <hyperlink ref="T226" r:id="rId1369"/>
    <hyperlink ref="T227" r:id="rId1370"/>
    <hyperlink ref="T228" r:id="rId1371"/>
    <hyperlink ref="T229" r:id="rId1372"/>
    <hyperlink ref="T230" r:id="rId1373"/>
    <hyperlink ref="T231" r:id="rId1374"/>
    <hyperlink ref="T232" r:id="rId1375"/>
    <hyperlink ref="T233" r:id="rId1376"/>
    <hyperlink ref="T234" r:id="rId1377"/>
    <hyperlink ref="T235" r:id="rId1378"/>
    <hyperlink ref="T236" r:id="rId1379"/>
    <hyperlink ref="T238" r:id="rId1380"/>
    <hyperlink ref="T239" r:id="rId1381"/>
    <hyperlink ref="T240" r:id="rId1382"/>
    <hyperlink ref="T241" r:id="rId1383"/>
    <hyperlink ref="T243" r:id="rId1384"/>
    <hyperlink ref="T244" r:id="rId1385"/>
    <hyperlink ref="T245" r:id="rId1386"/>
    <hyperlink ref="T246" r:id="rId1387"/>
    <hyperlink ref="T247" r:id="rId1388"/>
    <hyperlink ref="T248" r:id="rId1389"/>
    <hyperlink ref="T250" r:id="rId1390"/>
    <hyperlink ref="T251" r:id="rId1391"/>
    <hyperlink ref="T252" r:id="rId1392"/>
    <hyperlink ref="T253" r:id="rId1393"/>
    <hyperlink ref="T254" r:id="rId1394"/>
    <hyperlink ref="T255" r:id="rId1395"/>
    <hyperlink ref="T256" r:id="rId1396"/>
    <hyperlink ref="T257" r:id="rId1397"/>
    <hyperlink ref="T258" r:id="rId1398"/>
    <hyperlink ref="T259" r:id="rId139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771"/>
  <sheetViews>
    <sheetView zoomScale="85" zoomScaleNormal="85" workbookViewId="0">
      <pane xSplit="4" ySplit="19" topLeftCell="E1480" activePane="bottomRight" state="frozen"/>
      <selection activeCell="F1813" sqref="F1813"/>
      <selection pane="topRight" activeCell="F1813" sqref="F1813"/>
      <selection pane="bottomLeft" activeCell="F1813" sqref="F1813"/>
      <selection pane="bottomRight" activeCell="B1496" sqref="B1496"/>
    </sheetView>
  </sheetViews>
  <sheetFormatPr baseColWidth="10" defaultColWidth="9.140625" defaultRowHeight="15"/>
  <cols>
    <col min="1" max="1" width="45" style="1" customWidth="1"/>
    <col min="2" max="2" width="23" style="1" customWidth="1"/>
    <col min="3" max="3" width="12.425781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9" t="s">
        <v>2026</v>
      </c>
      <c r="B1" s="100"/>
      <c r="C1" s="100"/>
      <c r="D1" s="100"/>
      <c r="E1" s="100"/>
      <c r="F1" s="100"/>
      <c r="G1" s="100"/>
      <c r="H1" s="100"/>
    </row>
    <row r="2" spans="1:8">
      <c r="A2" s="37"/>
      <c r="B2" s="38"/>
    </row>
    <row r="3" spans="1:8">
      <c r="A3" s="37" t="s">
        <v>2027</v>
      </c>
      <c r="B3" s="38" t="s">
        <v>2028</v>
      </c>
    </row>
    <row r="4" spans="1:8">
      <c r="A4" s="37" t="s">
        <v>2029</v>
      </c>
      <c r="B4" s="38" t="s">
        <v>2030</v>
      </c>
    </row>
    <row r="5" spans="1:8">
      <c r="A5" s="37" t="s">
        <v>2031</v>
      </c>
      <c r="B5" s="38" t="s">
        <v>2032</v>
      </c>
    </row>
    <row r="6" spans="1:8">
      <c r="A6" s="37" t="s">
        <v>2033</v>
      </c>
      <c r="B6" s="38" t="s">
        <v>2034</v>
      </c>
    </row>
    <row r="8" spans="1:8">
      <c r="A8" s="39" t="s">
        <v>2035</v>
      </c>
      <c r="B8" s="40" t="s">
        <v>2036</v>
      </c>
    </row>
    <row r="9" spans="1:8">
      <c r="A9" s="1" t="s">
        <v>2037</v>
      </c>
      <c r="B9" s="38" t="s">
        <v>2038</v>
      </c>
    </row>
    <row r="10" spans="1:8">
      <c r="A10" s="1" t="s">
        <v>2039</v>
      </c>
      <c r="B10" s="38" t="s">
        <v>2040</v>
      </c>
    </row>
    <row r="11" spans="1:8">
      <c r="A11" s="1" t="s">
        <v>2041</v>
      </c>
      <c r="B11" s="38" t="s">
        <v>2042</v>
      </c>
    </row>
    <row r="13" spans="1:8">
      <c r="A13" s="109" t="s">
        <v>2043</v>
      </c>
      <c r="B13" s="109"/>
      <c r="C13" s="109"/>
      <c r="D13" s="109"/>
    </row>
    <row r="15" spans="1:8">
      <c r="A15" s="101" t="s">
        <v>2044</v>
      </c>
      <c r="B15" s="101"/>
      <c r="C15" s="101"/>
      <c r="D15" s="101"/>
    </row>
    <row r="16" spans="1:8">
      <c r="A16" s="42" t="s">
        <v>2053</v>
      </c>
      <c r="B16" s="42"/>
      <c r="C16" s="42"/>
      <c r="D16" s="42" t="s">
        <v>2054</v>
      </c>
      <c r="E16" s="43"/>
      <c r="F16" s="43"/>
      <c r="G16" s="43"/>
      <c r="H16" s="43"/>
    </row>
    <row r="18" spans="1:11">
      <c r="A18" s="102" t="s">
        <v>2045</v>
      </c>
      <c r="B18" s="102"/>
      <c r="C18" s="102"/>
      <c r="D18" s="102"/>
      <c r="E18" s="103" t="s">
        <v>2046</v>
      </c>
      <c r="F18" s="103"/>
      <c r="G18" s="103"/>
      <c r="H18" s="103"/>
    </row>
    <row r="19" spans="1:11">
      <c r="A19" s="77" t="s">
        <v>2050</v>
      </c>
      <c r="B19" s="41" t="s">
        <v>2047</v>
      </c>
      <c r="C19" s="41" t="s">
        <v>2048</v>
      </c>
      <c r="D19" s="41" t="s">
        <v>2049</v>
      </c>
      <c r="E19" s="41" t="s">
        <v>2051</v>
      </c>
      <c r="F19" s="41" t="s">
        <v>2052</v>
      </c>
      <c r="G19" s="41" t="s">
        <v>2037</v>
      </c>
      <c r="H19" s="41" t="s">
        <v>2039</v>
      </c>
    </row>
    <row r="20" spans="1:11">
      <c r="A20" s="78">
        <v>127694553001</v>
      </c>
      <c r="B20" s="1" t="s">
        <v>2055</v>
      </c>
      <c r="C20" s="44" t="s">
        <v>2056</v>
      </c>
      <c r="D20" s="1" t="s">
        <v>2057</v>
      </c>
      <c r="E20" s="44" t="s">
        <v>2056</v>
      </c>
      <c r="F20" s="38" t="s">
        <v>2058</v>
      </c>
      <c r="G20" s="45">
        <v>9000</v>
      </c>
      <c r="H20" s="45">
        <v>54</v>
      </c>
      <c r="K20" s="22" t="e">
        <f>VLOOKUP(B20,Detallado!$C$5:$H$1570,6,FALSE)</f>
        <v>#N/A</v>
      </c>
    </row>
    <row r="21" spans="1:11">
      <c r="A21" s="78">
        <v>127706300651</v>
      </c>
      <c r="B21" s="1" t="s">
        <v>8</v>
      </c>
      <c r="C21" s="44" t="s">
        <v>2056</v>
      </c>
      <c r="D21" s="1" t="s">
        <v>2057</v>
      </c>
      <c r="E21" s="44" t="s">
        <v>2056</v>
      </c>
      <c r="F21" s="38" t="s">
        <v>2058</v>
      </c>
      <c r="G21" s="45">
        <v>8000</v>
      </c>
      <c r="H21" s="45">
        <v>48</v>
      </c>
    </row>
    <row r="22" spans="1:11">
      <c r="A22" s="78">
        <v>127707346037</v>
      </c>
      <c r="B22" s="1" t="s">
        <v>8</v>
      </c>
      <c r="C22" s="44" t="s">
        <v>2056</v>
      </c>
      <c r="D22" s="1" t="s">
        <v>2057</v>
      </c>
      <c r="E22" s="44" t="s">
        <v>2056</v>
      </c>
      <c r="F22" s="38" t="s">
        <v>2058</v>
      </c>
      <c r="G22" s="45">
        <v>9000</v>
      </c>
      <c r="H22" s="45">
        <v>54</v>
      </c>
    </row>
    <row r="23" spans="1:11">
      <c r="A23" s="78">
        <v>128274716662</v>
      </c>
      <c r="B23" s="1" t="s">
        <v>8</v>
      </c>
      <c r="C23" s="44" t="s">
        <v>2056</v>
      </c>
      <c r="D23" s="1" t="s">
        <v>2057</v>
      </c>
      <c r="E23" s="44" t="s">
        <v>2056</v>
      </c>
      <c r="F23" s="38" t="s">
        <v>2058</v>
      </c>
      <c r="G23" s="45">
        <v>11200</v>
      </c>
      <c r="H23" s="45">
        <v>67.2</v>
      </c>
    </row>
    <row r="24" spans="1:11">
      <c r="A24" s="78">
        <v>128275855374</v>
      </c>
      <c r="B24" s="1" t="s">
        <v>8</v>
      </c>
      <c r="C24" s="44" t="s">
        <v>2056</v>
      </c>
      <c r="D24" s="1" t="s">
        <v>2057</v>
      </c>
      <c r="E24" s="44" t="s">
        <v>2056</v>
      </c>
      <c r="F24" s="38" t="s">
        <v>2058</v>
      </c>
      <c r="G24" s="45">
        <v>45296</v>
      </c>
      <c r="H24" s="45">
        <v>271.77999999999997</v>
      </c>
    </row>
    <row r="25" spans="1:11">
      <c r="A25" s="78">
        <v>127715107443</v>
      </c>
      <c r="B25" s="1" t="s">
        <v>8</v>
      </c>
      <c r="C25" s="44" t="s">
        <v>2056</v>
      </c>
      <c r="D25" s="1" t="s">
        <v>2057</v>
      </c>
      <c r="E25" s="44" t="s">
        <v>2056</v>
      </c>
      <c r="F25" s="38" t="s">
        <v>2058</v>
      </c>
      <c r="G25" s="45">
        <v>30898</v>
      </c>
      <c r="H25" s="45">
        <v>185.39</v>
      </c>
    </row>
    <row r="26" spans="1:11">
      <c r="A26" s="78">
        <v>128281806306</v>
      </c>
      <c r="B26" s="1" t="s">
        <v>8</v>
      </c>
      <c r="C26" s="44" t="s">
        <v>2056</v>
      </c>
      <c r="D26" s="1" t="s">
        <v>2057</v>
      </c>
      <c r="E26" s="44" t="s">
        <v>2056</v>
      </c>
      <c r="F26" s="38" t="s">
        <v>2058</v>
      </c>
      <c r="G26" s="45">
        <v>13000</v>
      </c>
      <c r="H26" s="45">
        <v>78</v>
      </c>
    </row>
    <row r="27" spans="1:11">
      <c r="A27" s="78">
        <v>128275829832</v>
      </c>
      <c r="B27" s="1" t="s">
        <v>2059</v>
      </c>
      <c r="C27" s="44" t="s">
        <v>2056</v>
      </c>
      <c r="D27" s="1" t="s">
        <v>2057</v>
      </c>
      <c r="E27" s="44" t="s">
        <v>2056</v>
      </c>
      <c r="F27" s="38" t="s">
        <v>2058</v>
      </c>
      <c r="G27" s="45">
        <v>2264</v>
      </c>
      <c r="H27" s="45">
        <v>13.58</v>
      </c>
    </row>
    <row r="28" spans="1:11">
      <c r="A28" s="78">
        <v>127719431701</v>
      </c>
      <c r="B28" s="1" t="s">
        <v>8</v>
      </c>
      <c r="C28" s="44" t="s">
        <v>2056</v>
      </c>
      <c r="D28" s="1" t="s">
        <v>2057</v>
      </c>
      <c r="E28" s="44" t="s">
        <v>2056</v>
      </c>
      <c r="F28" s="38" t="s">
        <v>2058</v>
      </c>
      <c r="G28" s="45">
        <v>19998</v>
      </c>
      <c r="H28" s="45">
        <v>119.99</v>
      </c>
    </row>
    <row r="29" spans="1:11">
      <c r="A29" s="78">
        <v>127719758089</v>
      </c>
      <c r="B29" s="1" t="s">
        <v>8</v>
      </c>
      <c r="C29" s="44" t="s">
        <v>2056</v>
      </c>
      <c r="D29" s="1" t="s">
        <v>2057</v>
      </c>
      <c r="E29" s="44" t="s">
        <v>2056</v>
      </c>
      <c r="F29" s="38" t="s">
        <v>2058</v>
      </c>
      <c r="G29" s="45">
        <v>75397</v>
      </c>
      <c r="H29" s="45">
        <v>452.38</v>
      </c>
    </row>
    <row r="30" spans="1:11">
      <c r="A30" s="78">
        <v>128285683510</v>
      </c>
      <c r="B30" s="1" t="s">
        <v>8</v>
      </c>
      <c r="C30" s="44" t="s">
        <v>2056</v>
      </c>
      <c r="D30" s="1" t="s">
        <v>2057</v>
      </c>
      <c r="E30" s="44" t="s">
        <v>2056</v>
      </c>
      <c r="F30" s="38" t="s">
        <v>2058</v>
      </c>
      <c r="G30" s="45">
        <v>40000</v>
      </c>
      <c r="H30" s="45">
        <v>240</v>
      </c>
    </row>
    <row r="31" spans="1:11">
      <c r="A31" s="78">
        <v>128286715036</v>
      </c>
      <c r="B31" s="1" t="s">
        <v>8</v>
      </c>
      <c r="C31" s="44" t="s">
        <v>2056</v>
      </c>
      <c r="D31" s="1" t="s">
        <v>2057</v>
      </c>
      <c r="E31" s="44" t="s">
        <v>2056</v>
      </c>
      <c r="F31" s="38" t="s">
        <v>2058</v>
      </c>
      <c r="G31" s="45">
        <v>17500</v>
      </c>
      <c r="H31" s="45">
        <v>105</v>
      </c>
    </row>
    <row r="32" spans="1:11">
      <c r="A32" s="78">
        <v>127713602167</v>
      </c>
      <c r="B32" s="1" t="s">
        <v>8</v>
      </c>
      <c r="C32" s="44" t="s">
        <v>2056</v>
      </c>
      <c r="D32" s="1" t="s">
        <v>2057</v>
      </c>
      <c r="E32" s="44" t="s">
        <v>2056</v>
      </c>
      <c r="F32" s="38" t="s">
        <v>2058</v>
      </c>
      <c r="G32" s="45">
        <v>500</v>
      </c>
      <c r="H32" s="45">
        <v>3</v>
      </c>
    </row>
    <row r="33" spans="1:8">
      <c r="A33" s="78">
        <v>128287489024</v>
      </c>
      <c r="B33" s="1" t="s">
        <v>8</v>
      </c>
      <c r="C33" s="44" t="s">
        <v>2056</v>
      </c>
      <c r="D33" s="1" t="s">
        <v>2057</v>
      </c>
      <c r="E33" s="44" t="s">
        <v>2060</v>
      </c>
      <c r="F33" s="38" t="s">
        <v>2058</v>
      </c>
      <c r="G33" s="45">
        <v>9900</v>
      </c>
      <c r="H33" s="45">
        <v>59.4</v>
      </c>
    </row>
    <row r="34" spans="1:8">
      <c r="A34" s="78">
        <v>128287834208</v>
      </c>
      <c r="B34" s="1" t="s">
        <v>2061</v>
      </c>
      <c r="C34" s="44" t="s">
        <v>2056</v>
      </c>
      <c r="D34" s="1" t="s">
        <v>2057</v>
      </c>
      <c r="E34" s="44" t="s">
        <v>2060</v>
      </c>
      <c r="F34" s="38" t="s">
        <v>2058</v>
      </c>
      <c r="G34" s="45">
        <v>2204</v>
      </c>
      <c r="H34" s="45">
        <v>13.22</v>
      </c>
    </row>
    <row r="35" spans="1:8">
      <c r="A35" s="78">
        <v>127722493817</v>
      </c>
      <c r="B35" s="1" t="s">
        <v>2055</v>
      </c>
      <c r="C35" s="44" t="s">
        <v>2056</v>
      </c>
      <c r="D35" s="1" t="s">
        <v>2057</v>
      </c>
      <c r="E35" s="44" t="s">
        <v>2060</v>
      </c>
      <c r="F35" s="38" t="s">
        <v>2058</v>
      </c>
      <c r="G35" s="45">
        <v>34900</v>
      </c>
      <c r="H35" s="45">
        <v>209.4</v>
      </c>
    </row>
    <row r="36" spans="1:8">
      <c r="A36" s="78">
        <v>128288249068</v>
      </c>
      <c r="B36" s="1" t="s">
        <v>8</v>
      </c>
      <c r="C36" s="44" t="s">
        <v>2056</v>
      </c>
      <c r="D36" s="1" t="s">
        <v>2057</v>
      </c>
      <c r="E36" s="44" t="s">
        <v>2060</v>
      </c>
      <c r="F36" s="38" t="s">
        <v>2058</v>
      </c>
      <c r="G36" s="45">
        <v>34300</v>
      </c>
      <c r="H36" s="45">
        <v>205.8</v>
      </c>
    </row>
    <row r="37" spans="1:8">
      <c r="A37" s="78">
        <v>127715769581</v>
      </c>
      <c r="B37" s="1" t="s">
        <v>8</v>
      </c>
      <c r="C37" s="44" t="s">
        <v>2056</v>
      </c>
      <c r="D37" s="1" t="s">
        <v>2057</v>
      </c>
      <c r="E37" s="44" t="s">
        <v>2056</v>
      </c>
      <c r="F37" s="38" t="s">
        <v>2058</v>
      </c>
      <c r="G37" s="45">
        <v>39996</v>
      </c>
      <c r="H37" s="45">
        <v>239.98</v>
      </c>
    </row>
    <row r="38" spans="1:8">
      <c r="A38" s="78">
        <v>128281546618</v>
      </c>
      <c r="B38" s="1" t="s">
        <v>8</v>
      </c>
      <c r="C38" s="44" t="s">
        <v>2056</v>
      </c>
      <c r="D38" s="1" t="s">
        <v>2057</v>
      </c>
      <c r="E38" s="44" t="s">
        <v>2056</v>
      </c>
      <c r="F38" s="38" t="s">
        <v>2058</v>
      </c>
      <c r="G38" s="45">
        <v>26400</v>
      </c>
      <c r="H38" s="45">
        <v>158.4</v>
      </c>
    </row>
    <row r="39" spans="1:8">
      <c r="A39" s="78">
        <v>128281517156</v>
      </c>
      <c r="B39" s="1" t="s">
        <v>2062</v>
      </c>
      <c r="C39" s="44" t="s">
        <v>2056</v>
      </c>
      <c r="D39" s="1" t="s">
        <v>2057</v>
      </c>
      <c r="E39" s="44" t="s">
        <v>2056</v>
      </c>
      <c r="F39" s="38" t="s">
        <v>2058</v>
      </c>
      <c r="G39" s="45">
        <v>2640</v>
      </c>
      <c r="H39" s="45">
        <v>15.84</v>
      </c>
    </row>
    <row r="40" spans="1:8">
      <c r="A40" s="78">
        <v>128281760842</v>
      </c>
      <c r="B40" s="1" t="s">
        <v>2063</v>
      </c>
      <c r="C40" s="44" t="s">
        <v>2056</v>
      </c>
      <c r="D40" s="1" t="s">
        <v>2057</v>
      </c>
      <c r="E40" s="44" t="s">
        <v>2056</v>
      </c>
      <c r="F40" s="38" t="s">
        <v>2058</v>
      </c>
      <c r="G40" s="45">
        <v>650</v>
      </c>
      <c r="H40" s="45">
        <v>3.9</v>
      </c>
    </row>
    <row r="41" spans="1:8">
      <c r="A41" s="78">
        <v>127724766231</v>
      </c>
      <c r="B41" s="1" t="s">
        <v>8</v>
      </c>
      <c r="C41" s="44" t="s">
        <v>2060</v>
      </c>
      <c r="D41" s="1" t="s">
        <v>2057</v>
      </c>
      <c r="E41" s="44" t="s">
        <v>2060</v>
      </c>
      <c r="F41" s="38" t="s">
        <v>2058</v>
      </c>
      <c r="G41" s="45">
        <v>4500</v>
      </c>
      <c r="H41" s="45">
        <v>27</v>
      </c>
    </row>
    <row r="42" spans="1:8">
      <c r="A42" s="78">
        <v>128282615258</v>
      </c>
      <c r="B42" s="1" t="s">
        <v>2055</v>
      </c>
      <c r="C42" s="44" t="s">
        <v>2056</v>
      </c>
      <c r="D42" s="1" t="s">
        <v>2057</v>
      </c>
      <c r="E42" s="44" t="s">
        <v>2056</v>
      </c>
      <c r="F42" s="38" t="s">
        <v>2058</v>
      </c>
      <c r="G42" s="45">
        <v>21399</v>
      </c>
      <c r="H42" s="45">
        <v>128.38999999999999</v>
      </c>
    </row>
    <row r="43" spans="1:8">
      <c r="A43" s="78">
        <v>127717828761</v>
      </c>
      <c r="B43" s="1" t="s">
        <v>2055</v>
      </c>
      <c r="C43" s="44" t="s">
        <v>2056</v>
      </c>
      <c r="D43" s="1" t="s">
        <v>2057</v>
      </c>
      <c r="E43" s="44" t="s">
        <v>2056</v>
      </c>
      <c r="F43" s="38" t="s">
        <v>2058</v>
      </c>
      <c r="G43" s="45">
        <v>32998</v>
      </c>
      <c r="H43" s="45">
        <v>197.99</v>
      </c>
    </row>
    <row r="44" spans="1:8">
      <c r="A44" s="78">
        <v>127719464653</v>
      </c>
      <c r="B44" s="1" t="s">
        <v>8</v>
      </c>
      <c r="C44" s="44" t="s">
        <v>2056</v>
      </c>
      <c r="D44" s="1" t="s">
        <v>2057</v>
      </c>
      <c r="E44" s="44" t="s">
        <v>2056</v>
      </c>
      <c r="F44" s="38" t="s">
        <v>2058</v>
      </c>
      <c r="G44" s="45">
        <v>13600</v>
      </c>
      <c r="H44" s="45">
        <v>81.599999999999994</v>
      </c>
    </row>
    <row r="45" spans="1:8">
      <c r="A45" s="78">
        <v>128285003346</v>
      </c>
      <c r="B45" s="1" t="s">
        <v>8</v>
      </c>
      <c r="C45" s="44" t="s">
        <v>2056</v>
      </c>
      <c r="D45" s="1" t="s">
        <v>2057</v>
      </c>
      <c r="E45" s="44" t="s">
        <v>2056</v>
      </c>
      <c r="F45" s="38" t="s">
        <v>2058</v>
      </c>
      <c r="G45" s="45">
        <v>25400</v>
      </c>
      <c r="H45" s="45">
        <v>152.4</v>
      </c>
    </row>
    <row r="46" spans="1:8">
      <c r="A46" s="78">
        <v>127720557799</v>
      </c>
      <c r="B46" s="1" t="s">
        <v>8</v>
      </c>
      <c r="C46" s="44" t="s">
        <v>2056</v>
      </c>
      <c r="D46" s="1" t="s">
        <v>2057</v>
      </c>
      <c r="E46" s="44" t="s">
        <v>2056</v>
      </c>
      <c r="F46" s="38" t="s">
        <v>2058</v>
      </c>
      <c r="G46" s="45">
        <v>29997</v>
      </c>
      <c r="H46" s="45">
        <v>179.98</v>
      </c>
    </row>
    <row r="47" spans="1:8">
      <c r="A47" s="78">
        <v>128287673862</v>
      </c>
      <c r="B47" s="1" t="s">
        <v>8</v>
      </c>
      <c r="C47" s="44" t="s">
        <v>2056</v>
      </c>
      <c r="D47" s="1" t="s">
        <v>2057</v>
      </c>
      <c r="E47" s="44" t="s">
        <v>2060</v>
      </c>
      <c r="F47" s="38" t="s">
        <v>2058</v>
      </c>
      <c r="G47" s="45">
        <v>14699</v>
      </c>
      <c r="H47" s="45">
        <v>88.19</v>
      </c>
    </row>
    <row r="48" spans="1:8">
      <c r="A48" s="78">
        <v>127751261829</v>
      </c>
      <c r="B48" s="1" t="s">
        <v>8</v>
      </c>
      <c r="C48" s="44" t="s">
        <v>2060</v>
      </c>
      <c r="D48" s="1" t="s">
        <v>2057</v>
      </c>
      <c r="E48" s="44" t="s">
        <v>2060</v>
      </c>
      <c r="F48" s="38" t="s">
        <v>2058</v>
      </c>
      <c r="G48" s="45">
        <v>293293.89</v>
      </c>
      <c r="H48" s="45">
        <v>1759.76</v>
      </c>
    </row>
    <row r="49" spans="1:8">
      <c r="A49" s="78">
        <v>128313425810</v>
      </c>
      <c r="B49" s="1" t="s">
        <v>8</v>
      </c>
      <c r="C49" s="44" t="s">
        <v>2060</v>
      </c>
      <c r="D49" s="1" t="s">
        <v>2057</v>
      </c>
      <c r="E49" s="44" t="s">
        <v>2060</v>
      </c>
      <c r="F49" s="38" t="s">
        <v>2058</v>
      </c>
      <c r="G49" s="45">
        <v>193742.33</v>
      </c>
      <c r="H49" s="45">
        <v>1162.45</v>
      </c>
    </row>
    <row r="50" spans="1:8">
      <c r="A50" s="78">
        <v>127758769693</v>
      </c>
      <c r="B50" s="1" t="s">
        <v>2064</v>
      </c>
      <c r="C50" s="44" t="s">
        <v>2060</v>
      </c>
      <c r="D50" s="1" t="s">
        <v>2057</v>
      </c>
      <c r="E50" s="44" t="s">
        <v>2060</v>
      </c>
      <c r="F50" s="38" t="s">
        <v>2058</v>
      </c>
      <c r="G50" s="45">
        <v>83790</v>
      </c>
      <c r="H50" s="45">
        <v>502.74</v>
      </c>
    </row>
    <row r="51" spans="1:8">
      <c r="A51" s="78">
        <v>128340094018</v>
      </c>
      <c r="B51" s="1" t="s">
        <v>8</v>
      </c>
      <c r="C51" s="44" t="s">
        <v>2060</v>
      </c>
      <c r="D51" s="1" t="s">
        <v>2057</v>
      </c>
      <c r="E51" s="44" t="s">
        <v>2060</v>
      </c>
      <c r="F51" s="38" t="s">
        <v>2058</v>
      </c>
      <c r="G51" s="45">
        <v>54034.239999999998</v>
      </c>
      <c r="H51" s="45">
        <v>324.20999999999998</v>
      </c>
    </row>
    <row r="52" spans="1:8">
      <c r="A52" s="78">
        <v>127775080827</v>
      </c>
      <c r="B52" s="1" t="s">
        <v>8</v>
      </c>
      <c r="C52" s="44" t="s">
        <v>2060</v>
      </c>
      <c r="D52" s="1" t="s">
        <v>2057</v>
      </c>
      <c r="E52" s="44" t="s">
        <v>2060</v>
      </c>
      <c r="F52" s="38" t="s">
        <v>2058</v>
      </c>
      <c r="G52" s="45">
        <v>217667.97</v>
      </c>
      <c r="H52" s="45">
        <v>1306.01</v>
      </c>
    </row>
    <row r="53" spans="1:8">
      <c r="A53" s="78">
        <v>127775364243</v>
      </c>
      <c r="B53" s="1" t="s">
        <v>8</v>
      </c>
      <c r="C53" s="44" t="s">
        <v>2060</v>
      </c>
      <c r="D53" s="1" t="s">
        <v>2057</v>
      </c>
      <c r="E53" s="44" t="s">
        <v>2060</v>
      </c>
      <c r="F53" s="38" t="s">
        <v>2058</v>
      </c>
      <c r="G53" s="45">
        <v>203693.9</v>
      </c>
      <c r="H53" s="45">
        <v>1222.1600000000001</v>
      </c>
    </row>
    <row r="54" spans="1:8">
      <c r="A54" s="78">
        <v>128398739964</v>
      </c>
      <c r="B54" s="1" t="s">
        <v>8</v>
      </c>
      <c r="C54" s="44" t="s">
        <v>2060</v>
      </c>
      <c r="D54" s="1" t="s">
        <v>2057</v>
      </c>
      <c r="E54" s="44" t="s">
        <v>2060</v>
      </c>
      <c r="F54" s="38" t="s">
        <v>2058</v>
      </c>
      <c r="G54" s="45">
        <v>9600</v>
      </c>
      <c r="H54" s="45">
        <v>57.6</v>
      </c>
    </row>
    <row r="55" spans="1:8">
      <c r="A55" s="78">
        <v>127834303877</v>
      </c>
      <c r="B55" s="1" t="s">
        <v>2065</v>
      </c>
      <c r="C55" s="44" t="s">
        <v>2060</v>
      </c>
      <c r="D55" s="1" t="s">
        <v>2057</v>
      </c>
      <c r="E55" s="44" t="s">
        <v>2060</v>
      </c>
      <c r="F55" s="38" t="s">
        <v>2058</v>
      </c>
      <c r="G55" s="45">
        <v>2145</v>
      </c>
      <c r="H55" s="45">
        <v>12.87</v>
      </c>
    </row>
    <row r="56" spans="1:8">
      <c r="A56" s="78">
        <v>128402388274</v>
      </c>
      <c r="B56" s="1" t="s">
        <v>8</v>
      </c>
      <c r="C56" s="44" t="s">
        <v>2060</v>
      </c>
      <c r="D56" s="1" t="s">
        <v>2057</v>
      </c>
      <c r="E56" s="44" t="s">
        <v>2060</v>
      </c>
      <c r="F56" s="38" t="s">
        <v>2058</v>
      </c>
      <c r="G56" s="45">
        <v>13300</v>
      </c>
      <c r="H56" s="45">
        <v>79.8</v>
      </c>
    </row>
    <row r="57" spans="1:8">
      <c r="A57" s="78">
        <v>127836305261</v>
      </c>
      <c r="B57" s="1" t="s">
        <v>2055</v>
      </c>
      <c r="C57" s="44" t="s">
        <v>2060</v>
      </c>
      <c r="D57" s="1" t="s">
        <v>2057</v>
      </c>
      <c r="E57" s="44" t="s">
        <v>2060</v>
      </c>
      <c r="F57" s="38" t="s">
        <v>2058</v>
      </c>
      <c r="G57" s="45">
        <v>32600</v>
      </c>
      <c r="H57" s="45">
        <v>195.6</v>
      </c>
    </row>
    <row r="58" spans="1:8">
      <c r="A58" s="78">
        <v>127826757701</v>
      </c>
      <c r="B58" s="1" t="s">
        <v>8</v>
      </c>
      <c r="C58" s="44" t="s">
        <v>2060</v>
      </c>
      <c r="D58" s="1" t="s">
        <v>2057</v>
      </c>
      <c r="E58" s="44" t="s">
        <v>2060</v>
      </c>
      <c r="F58" s="38" t="s">
        <v>2058</v>
      </c>
      <c r="G58" s="45">
        <v>9800</v>
      </c>
      <c r="H58" s="45">
        <v>58.8</v>
      </c>
    </row>
    <row r="59" spans="1:8">
      <c r="A59" s="78">
        <v>128408853332</v>
      </c>
      <c r="B59" s="1" t="s">
        <v>2055</v>
      </c>
      <c r="C59" s="44" t="s">
        <v>2060</v>
      </c>
      <c r="D59" s="1" t="s">
        <v>2057</v>
      </c>
      <c r="E59" s="44" t="s">
        <v>2060</v>
      </c>
      <c r="F59" s="38" t="s">
        <v>2058</v>
      </c>
      <c r="G59" s="45">
        <v>4800</v>
      </c>
      <c r="H59" s="45">
        <v>28.8</v>
      </c>
    </row>
    <row r="60" spans="1:8">
      <c r="A60" s="78">
        <v>127834309851</v>
      </c>
      <c r="B60" s="1" t="s">
        <v>8</v>
      </c>
      <c r="C60" s="44" t="s">
        <v>2060</v>
      </c>
      <c r="D60" s="1" t="s">
        <v>2057</v>
      </c>
      <c r="E60" s="44" t="s">
        <v>2060</v>
      </c>
      <c r="F60" s="38" t="s">
        <v>2058</v>
      </c>
      <c r="G60" s="45">
        <v>14300</v>
      </c>
      <c r="H60" s="45">
        <v>85.8</v>
      </c>
    </row>
    <row r="61" spans="1:8">
      <c r="A61" s="78">
        <v>128402325040</v>
      </c>
      <c r="B61" s="1" t="s">
        <v>2066</v>
      </c>
      <c r="C61" s="44" t="s">
        <v>2060</v>
      </c>
      <c r="D61" s="1" t="s">
        <v>2057</v>
      </c>
      <c r="E61" s="44" t="s">
        <v>2060</v>
      </c>
      <c r="F61" s="38" t="s">
        <v>2058</v>
      </c>
      <c r="G61" s="45">
        <v>1330</v>
      </c>
      <c r="H61" s="45">
        <v>7.98</v>
      </c>
    </row>
    <row r="62" spans="1:8">
      <c r="A62" s="78">
        <v>127845412065</v>
      </c>
      <c r="B62" s="1" t="s">
        <v>8</v>
      </c>
      <c r="C62" s="44" t="s">
        <v>2060</v>
      </c>
      <c r="D62" s="1" t="s">
        <v>2057</v>
      </c>
      <c r="E62" s="44" t="s">
        <v>2060</v>
      </c>
      <c r="F62" s="38" t="s">
        <v>2058</v>
      </c>
      <c r="G62" s="45">
        <v>4800</v>
      </c>
      <c r="H62" s="45">
        <v>28.8</v>
      </c>
    </row>
    <row r="63" spans="1:8">
      <c r="A63" s="78">
        <v>127846108405</v>
      </c>
      <c r="B63" s="1" t="s">
        <v>2055</v>
      </c>
      <c r="C63" s="44" t="s">
        <v>2060</v>
      </c>
      <c r="D63" s="1" t="s">
        <v>2057</v>
      </c>
      <c r="E63" s="44" t="s">
        <v>2060</v>
      </c>
      <c r="F63" s="38" t="s">
        <v>2058</v>
      </c>
      <c r="G63" s="45">
        <v>4200</v>
      </c>
      <c r="H63" s="45">
        <v>25.2</v>
      </c>
    </row>
    <row r="64" spans="1:8">
      <c r="A64" s="78">
        <v>127846250789</v>
      </c>
      <c r="B64" s="1" t="s">
        <v>2055</v>
      </c>
      <c r="C64" s="44" t="s">
        <v>2060</v>
      </c>
      <c r="D64" s="1" t="s">
        <v>2057</v>
      </c>
      <c r="E64" s="44" t="s">
        <v>2060</v>
      </c>
      <c r="F64" s="38" t="s">
        <v>2058</v>
      </c>
      <c r="G64" s="45">
        <v>4200</v>
      </c>
      <c r="H64" s="45">
        <v>25.2</v>
      </c>
    </row>
    <row r="65" spans="1:8">
      <c r="A65" s="78">
        <v>128412427806</v>
      </c>
      <c r="B65" s="1" t="s">
        <v>2055</v>
      </c>
      <c r="C65" s="44" t="s">
        <v>2060</v>
      </c>
      <c r="D65" s="1" t="s">
        <v>2057</v>
      </c>
      <c r="E65" s="44" t="s">
        <v>2060</v>
      </c>
      <c r="F65" s="38" t="s">
        <v>2058</v>
      </c>
      <c r="G65" s="45">
        <v>27000</v>
      </c>
      <c r="H65" s="45">
        <v>162</v>
      </c>
    </row>
    <row r="66" spans="1:8">
      <c r="A66" s="78">
        <v>128413285526</v>
      </c>
      <c r="B66" s="1" t="s">
        <v>2055</v>
      </c>
      <c r="C66" s="44" t="s">
        <v>2060</v>
      </c>
      <c r="D66" s="1" t="s">
        <v>2057</v>
      </c>
      <c r="E66" s="44" t="s">
        <v>2060</v>
      </c>
      <c r="F66" s="38" t="s">
        <v>2058</v>
      </c>
      <c r="G66" s="45">
        <v>4800</v>
      </c>
      <c r="H66" s="45">
        <v>28.8</v>
      </c>
    </row>
    <row r="67" spans="1:8">
      <c r="A67" s="78">
        <v>127847143045</v>
      </c>
      <c r="B67" s="1" t="s">
        <v>8</v>
      </c>
      <c r="C67" s="44" t="s">
        <v>2060</v>
      </c>
      <c r="D67" s="1" t="s">
        <v>2057</v>
      </c>
      <c r="E67" s="44" t="s">
        <v>2060</v>
      </c>
      <c r="F67" s="38" t="s">
        <v>2058</v>
      </c>
      <c r="G67" s="45">
        <v>4800</v>
      </c>
      <c r="H67" s="45">
        <v>28.8</v>
      </c>
    </row>
    <row r="68" spans="1:8">
      <c r="A68" s="78">
        <v>127848195943</v>
      </c>
      <c r="B68" s="1" t="s">
        <v>8</v>
      </c>
      <c r="C68" s="44" t="s">
        <v>2060</v>
      </c>
      <c r="D68" s="1" t="s">
        <v>2057</v>
      </c>
      <c r="E68" s="44" t="s">
        <v>2060</v>
      </c>
      <c r="F68" s="38" t="s">
        <v>2058</v>
      </c>
      <c r="G68" s="45">
        <v>34800</v>
      </c>
      <c r="H68" s="45">
        <v>208.8</v>
      </c>
    </row>
    <row r="69" spans="1:8">
      <c r="A69" s="78">
        <v>128414396282</v>
      </c>
      <c r="B69" s="1" t="s">
        <v>2067</v>
      </c>
      <c r="C69" s="44" t="s">
        <v>2060</v>
      </c>
      <c r="D69" s="1" t="s">
        <v>2057</v>
      </c>
      <c r="E69" s="44" t="s">
        <v>2060</v>
      </c>
      <c r="F69" s="38" t="s">
        <v>2058</v>
      </c>
      <c r="G69" s="45">
        <v>5220</v>
      </c>
      <c r="H69" s="45">
        <v>31.32</v>
      </c>
    </row>
    <row r="70" spans="1:8">
      <c r="A70" s="78">
        <v>127848730441</v>
      </c>
      <c r="B70" s="1" t="s">
        <v>8</v>
      </c>
      <c r="C70" s="44" t="s">
        <v>2060</v>
      </c>
      <c r="D70" s="1" t="s">
        <v>2057</v>
      </c>
      <c r="E70" s="44" t="s">
        <v>2060</v>
      </c>
      <c r="F70" s="38" t="s">
        <v>2058</v>
      </c>
      <c r="G70" s="45">
        <v>9000</v>
      </c>
      <c r="H70" s="45">
        <v>54</v>
      </c>
    </row>
    <row r="71" spans="1:8">
      <c r="A71" s="78">
        <v>127850602909</v>
      </c>
      <c r="B71" s="1" t="s">
        <v>8</v>
      </c>
      <c r="C71" s="44" t="s">
        <v>2060</v>
      </c>
      <c r="D71" s="1" t="s">
        <v>2057</v>
      </c>
      <c r="E71" s="44" t="s">
        <v>2060</v>
      </c>
      <c r="F71" s="38" t="s">
        <v>2058</v>
      </c>
      <c r="G71" s="45">
        <v>4000</v>
      </c>
      <c r="H71" s="45">
        <v>24</v>
      </c>
    </row>
    <row r="72" spans="1:8">
      <c r="A72" s="78">
        <v>128408491342</v>
      </c>
      <c r="B72" s="1" t="s">
        <v>8</v>
      </c>
      <c r="C72" s="44" t="s">
        <v>2060</v>
      </c>
      <c r="D72" s="1" t="s">
        <v>2057</v>
      </c>
      <c r="E72" s="44" t="s">
        <v>2060</v>
      </c>
      <c r="F72" s="38" t="s">
        <v>2058</v>
      </c>
      <c r="G72" s="45">
        <v>4800</v>
      </c>
      <c r="H72" s="45">
        <v>28.8</v>
      </c>
    </row>
    <row r="73" spans="1:8">
      <c r="A73" s="78">
        <v>128417090472</v>
      </c>
      <c r="B73" s="1" t="s">
        <v>8</v>
      </c>
      <c r="C73" s="44" t="s">
        <v>2060</v>
      </c>
      <c r="D73" s="1" t="s">
        <v>2057</v>
      </c>
      <c r="E73" s="44" t="s">
        <v>2060</v>
      </c>
      <c r="F73" s="38" t="s">
        <v>2058</v>
      </c>
      <c r="G73" s="45">
        <v>37400</v>
      </c>
      <c r="H73" s="45">
        <v>224.4</v>
      </c>
    </row>
    <row r="74" spans="1:8">
      <c r="A74" s="78">
        <v>127851297553</v>
      </c>
      <c r="B74" s="1" t="s">
        <v>2055</v>
      </c>
      <c r="C74" s="44" t="s">
        <v>2060</v>
      </c>
      <c r="D74" s="1" t="s">
        <v>2057</v>
      </c>
      <c r="E74" s="44" t="s">
        <v>2060</v>
      </c>
      <c r="F74" s="38" t="s">
        <v>2058</v>
      </c>
      <c r="G74" s="45">
        <v>4200</v>
      </c>
      <c r="H74" s="45">
        <v>25.2</v>
      </c>
    </row>
    <row r="75" spans="1:8">
      <c r="A75" s="78">
        <v>127851529137</v>
      </c>
      <c r="B75" s="1" t="s">
        <v>8</v>
      </c>
      <c r="C75" s="44" t="s">
        <v>2060</v>
      </c>
      <c r="D75" s="1" t="s">
        <v>2057</v>
      </c>
      <c r="E75" s="44" t="s">
        <v>2060</v>
      </c>
      <c r="F75" s="38" t="s">
        <v>2058</v>
      </c>
      <c r="G75" s="45">
        <v>10000</v>
      </c>
      <c r="H75" s="45">
        <v>60</v>
      </c>
    </row>
    <row r="76" spans="1:8">
      <c r="A76" s="78">
        <v>127843829541</v>
      </c>
      <c r="B76" s="1" t="s">
        <v>8</v>
      </c>
      <c r="C76" s="44" t="s">
        <v>2060</v>
      </c>
      <c r="D76" s="1" t="s">
        <v>2057</v>
      </c>
      <c r="E76" s="44" t="s">
        <v>2060</v>
      </c>
      <c r="F76" s="38" t="s">
        <v>2058</v>
      </c>
      <c r="G76" s="45">
        <v>38700</v>
      </c>
      <c r="H76" s="45">
        <v>232.2</v>
      </c>
    </row>
    <row r="77" spans="1:8">
      <c r="A77" s="78">
        <v>128410134666</v>
      </c>
      <c r="B77" s="1" t="s">
        <v>2068</v>
      </c>
      <c r="C77" s="44" t="s">
        <v>2060</v>
      </c>
      <c r="D77" s="1" t="s">
        <v>2057</v>
      </c>
      <c r="E77" s="44" t="s">
        <v>2060</v>
      </c>
      <c r="F77" s="38" t="s">
        <v>2058</v>
      </c>
      <c r="G77" s="45">
        <v>1935</v>
      </c>
      <c r="H77" s="45">
        <v>11.61</v>
      </c>
    </row>
    <row r="78" spans="1:8">
      <c r="A78" s="78">
        <v>127852662327</v>
      </c>
      <c r="B78" s="1" t="s">
        <v>8</v>
      </c>
      <c r="C78" s="44" t="s">
        <v>2060</v>
      </c>
      <c r="D78" s="1" t="s">
        <v>2057</v>
      </c>
      <c r="E78" s="44" t="s">
        <v>2060</v>
      </c>
      <c r="F78" s="38" t="s">
        <v>2058</v>
      </c>
      <c r="G78" s="45">
        <v>30700</v>
      </c>
      <c r="H78" s="45">
        <v>184.2</v>
      </c>
    </row>
    <row r="79" spans="1:8">
      <c r="A79" s="78">
        <v>128418794938</v>
      </c>
      <c r="B79" s="1" t="s">
        <v>8</v>
      </c>
      <c r="C79" s="44" t="s">
        <v>2060</v>
      </c>
      <c r="D79" s="1" t="s">
        <v>2057</v>
      </c>
      <c r="E79" s="44" t="s">
        <v>2060</v>
      </c>
      <c r="F79" s="38" t="s">
        <v>2058</v>
      </c>
      <c r="G79" s="45">
        <v>4000</v>
      </c>
      <c r="H79" s="45">
        <v>24</v>
      </c>
    </row>
    <row r="80" spans="1:8">
      <c r="A80" s="78">
        <v>128419350310</v>
      </c>
      <c r="B80" s="1" t="s">
        <v>8</v>
      </c>
      <c r="C80" s="44" t="s">
        <v>2060</v>
      </c>
      <c r="D80" s="1" t="s">
        <v>2057</v>
      </c>
      <c r="E80" s="44" t="s">
        <v>2060</v>
      </c>
      <c r="F80" s="38" t="s">
        <v>2058</v>
      </c>
      <c r="G80" s="45">
        <v>96300</v>
      </c>
      <c r="H80" s="45">
        <v>577.79999999999995</v>
      </c>
    </row>
    <row r="81" spans="1:8">
      <c r="A81" s="78">
        <v>127845010923</v>
      </c>
      <c r="B81" s="1" t="s">
        <v>8</v>
      </c>
      <c r="C81" s="44" t="s">
        <v>2060</v>
      </c>
      <c r="D81" s="1" t="s">
        <v>2057</v>
      </c>
      <c r="E81" s="44" t="s">
        <v>2060</v>
      </c>
      <c r="F81" s="38" t="s">
        <v>2058</v>
      </c>
      <c r="G81" s="45">
        <v>9000</v>
      </c>
      <c r="H81" s="45">
        <v>54</v>
      </c>
    </row>
    <row r="82" spans="1:8">
      <c r="A82" s="78">
        <v>128419431770</v>
      </c>
      <c r="B82" s="1" t="s">
        <v>8</v>
      </c>
      <c r="C82" s="44" t="s">
        <v>2060</v>
      </c>
      <c r="D82" s="1" t="s">
        <v>2057</v>
      </c>
      <c r="E82" s="44" t="s">
        <v>2060</v>
      </c>
      <c r="F82" s="38" t="s">
        <v>2058</v>
      </c>
      <c r="G82" s="45">
        <v>24400</v>
      </c>
      <c r="H82" s="45">
        <v>146.4</v>
      </c>
    </row>
    <row r="83" spans="1:8">
      <c r="A83" s="78">
        <v>127853669293</v>
      </c>
      <c r="B83" s="1" t="s">
        <v>2069</v>
      </c>
      <c r="C83" s="44" t="s">
        <v>2060</v>
      </c>
      <c r="D83" s="1" t="s">
        <v>2057</v>
      </c>
      <c r="E83" s="44" t="s">
        <v>2060</v>
      </c>
      <c r="F83" s="38" t="s">
        <v>2058</v>
      </c>
      <c r="G83" s="45">
        <v>500</v>
      </c>
      <c r="H83" s="45">
        <v>3</v>
      </c>
    </row>
    <row r="84" spans="1:8">
      <c r="A84" s="78">
        <v>127853704713</v>
      </c>
      <c r="B84" s="1" t="s">
        <v>8</v>
      </c>
      <c r="C84" s="44" t="s">
        <v>2060</v>
      </c>
      <c r="D84" s="1" t="s">
        <v>2057</v>
      </c>
      <c r="E84" s="44" t="s">
        <v>2060</v>
      </c>
      <c r="F84" s="38" t="s">
        <v>2058</v>
      </c>
      <c r="G84" s="45">
        <v>10000</v>
      </c>
      <c r="H84" s="45">
        <v>60</v>
      </c>
    </row>
    <row r="85" spans="1:8">
      <c r="A85" s="78">
        <v>128411521730</v>
      </c>
      <c r="B85" s="1" t="s">
        <v>2070</v>
      </c>
      <c r="C85" s="44" t="s">
        <v>2060</v>
      </c>
      <c r="D85" s="1" t="s">
        <v>2057</v>
      </c>
      <c r="E85" s="44" t="s">
        <v>2060</v>
      </c>
      <c r="F85" s="38" t="s">
        <v>2058</v>
      </c>
      <c r="G85" s="45">
        <v>480</v>
      </c>
      <c r="H85" s="45">
        <v>2.88</v>
      </c>
    </row>
    <row r="86" spans="1:8">
      <c r="A86" s="78">
        <v>127845621093</v>
      </c>
      <c r="B86" s="1" t="s">
        <v>8</v>
      </c>
      <c r="C86" s="44" t="s">
        <v>2060</v>
      </c>
      <c r="D86" s="1" t="s">
        <v>2057</v>
      </c>
      <c r="E86" s="44" t="s">
        <v>2060</v>
      </c>
      <c r="F86" s="38" t="s">
        <v>2058</v>
      </c>
      <c r="G86" s="45">
        <v>4400</v>
      </c>
      <c r="H86" s="45">
        <v>26.4</v>
      </c>
    </row>
    <row r="87" spans="1:8">
      <c r="A87" s="78">
        <v>127853815447</v>
      </c>
      <c r="B87" s="1" t="s">
        <v>8</v>
      </c>
      <c r="C87" s="44" t="s">
        <v>2060</v>
      </c>
      <c r="D87" s="1" t="s">
        <v>2057</v>
      </c>
      <c r="E87" s="44" t="s">
        <v>2060</v>
      </c>
      <c r="F87" s="38" t="s">
        <v>2058</v>
      </c>
      <c r="G87" s="45">
        <v>18600</v>
      </c>
      <c r="H87" s="45">
        <v>111.6</v>
      </c>
    </row>
    <row r="88" spans="1:8">
      <c r="A88" s="78">
        <v>128420232980</v>
      </c>
      <c r="B88" s="1" t="s">
        <v>2055</v>
      </c>
      <c r="C88" s="44" t="s">
        <v>2060</v>
      </c>
      <c r="D88" s="1" t="s">
        <v>2057</v>
      </c>
      <c r="E88" s="44" t="s">
        <v>2060</v>
      </c>
      <c r="F88" s="38" t="s">
        <v>2058</v>
      </c>
      <c r="G88" s="45">
        <v>44100</v>
      </c>
      <c r="H88" s="45">
        <v>264.60000000000002</v>
      </c>
    </row>
    <row r="89" spans="1:8">
      <c r="A89" s="78">
        <v>127854278121</v>
      </c>
      <c r="B89" s="1" t="s">
        <v>8</v>
      </c>
      <c r="C89" s="44" t="s">
        <v>2060</v>
      </c>
      <c r="D89" s="1" t="s">
        <v>2057</v>
      </c>
      <c r="E89" s="44" t="s">
        <v>2060</v>
      </c>
      <c r="F89" s="38" t="s">
        <v>2058</v>
      </c>
      <c r="G89" s="45">
        <v>6300</v>
      </c>
      <c r="H89" s="45">
        <v>37.799999999999997</v>
      </c>
    </row>
    <row r="90" spans="1:8">
      <c r="A90" s="78">
        <v>128420454022</v>
      </c>
      <c r="B90" s="1" t="s">
        <v>8</v>
      </c>
      <c r="C90" s="44" t="s">
        <v>2060</v>
      </c>
      <c r="D90" s="1" t="s">
        <v>2057</v>
      </c>
      <c r="E90" s="44" t="s">
        <v>2060</v>
      </c>
      <c r="F90" s="38" t="s">
        <v>2058</v>
      </c>
      <c r="G90" s="45">
        <v>10000</v>
      </c>
      <c r="H90" s="45">
        <v>60</v>
      </c>
    </row>
    <row r="91" spans="1:8">
      <c r="A91" s="78">
        <v>128420793726</v>
      </c>
      <c r="B91" s="1" t="s">
        <v>8</v>
      </c>
      <c r="C91" s="44" t="s">
        <v>2060</v>
      </c>
      <c r="D91" s="1" t="s">
        <v>2057</v>
      </c>
      <c r="E91" s="44" t="s">
        <v>2060</v>
      </c>
      <c r="F91" s="38" t="s">
        <v>2058</v>
      </c>
      <c r="G91" s="45">
        <v>7300</v>
      </c>
      <c r="H91" s="45">
        <v>43.8</v>
      </c>
    </row>
    <row r="92" spans="1:8">
      <c r="A92" s="78">
        <v>127854922579</v>
      </c>
      <c r="B92" s="1" t="s">
        <v>8</v>
      </c>
      <c r="C92" s="44" t="s">
        <v>2060</v>
      </c>
      <c r="D92" s="1" t="s">
        <v>2057</v>
      </c>
      <c r="E92" s="44" t="s">
        <v>2071</v>
      </c>
      <c r="F92" s="38" t="s">
        <v>2058</v>
      </c>
      <c r="G92" s="45">
        <v>32600</v>
      </c>
      <c r="H92" s="45">
        <v>195.6</v>
      </c>
    </row>
    <row r="93" spans="1:8">
      <c r="A93" s="78">
        <v>128421266626</v>
      </c>
      <c r="B93" s="1" t="s">
        <v>8</v>
      </c>
      <c r="C93" s="44" t="s">
        <v>2060</v>
      </c>
      <c r="D93" s="1" t="s">
        <v>2057</v>
      </c>
      <c r="E93" s="44" t="s">
        <v>2071</v>
      </c>
      <c r="F93" s="38" t="s">
        <v>2058</v>
      </c>
      <c r="G93" s="45">
        <v>4300</v>
      </c>
      <c r="H93" s="45">
        <v>25.8</v>
      </c>
    </row>
    <row r="94" spans="1:8">
      <c r="A94" s="78">
        <v>128421434434</v>
      </c>
      <c r="B94" s="1" t="s">
        <v>8</v>
      </c>
      <c r="C94" s="44" t="s">
        <v>2060</v>
      </c>
      <c r="D94" s="1" t="s">
        <v>2057</v>
      </c>
      <c r="E94" s="44" t="s">
        <v>2071</v>
      </c>
      <c r="F94" s="38" t="s">
        <v>2058</v>
      </c>
      <c r="G94" s="45">
        <v>9600</v>
      </c>
      <c r="H94" s="45">
        <v>57.6</v>
      </c>
    </row>
    <row r="95" spans="1:8">
      <c r="A95" s="78">
        <v>128421490336</v>
      </c>
      <c r="B95" s="1" t="s">
        <v>8</v>
      </c>
      <c r="C95" s="44" t="s">
        <v>2060</v>
      </c>
      <c r="D95" s="1" t="s">
        <v>2057</v>
      </c>
      <c r="E95" s="44" t="s">
        <v>2071</v>
      </c>
      <c r="F95" s="38" t="s">
        <v>2058</v>
      </c>
      <c r="G95" s="45">
        <v>13600</v>
      </c>
      <c r="H95" s="45">
        <v>81.599999999999994</v>
      </c>
    </row>
    <row r="96" spans="1:8">
      <c r="A96" s="78">
        <v>127847014705</v>
      </c>
      <c r="B96" s="1" t="s">
        <v>8</v>
      </c>
      <c r="C96" s="44" t="s">
        <v>2060</v>
      </c>
      <c r="D96" s="1" t="s">
        <v>2057</v>
      </c>
      <c r="E96" s="44" t="s">
        <v>2060</v>
      </c>
      <c r="F96" s="38" t="s">
        <v>2058</v>
      </c>
      <c r="G96" s="45">
        <v>14700</v>
      </c>
      <c r="H96" s="45">
        <v>88.2</v>
      </c>
    </row>
    <row r="97" spans="1:8">
      <c r="A97" s="78">
        <v>127855461023</v>
      </c>
      <c r="B97" s="1" t="s">
        <v>2055</v>
      </c>
      <c r="C97" s="44" t="s">
        <v>2060</v>
      </c>
      <c r="D97" s="1" t="s">
        <v>2057</v>
      </c>
      <c r="E97" s="44" t="s">
        <v>2071</v>
      </c>
      <c r="F97" s="38" t="s">
        <v>2058</v>
      </c>
      <c r="G97" s="45">
        <v>16100</v>
      </c>
      <c r="H97" s="45">
        <v>96.6</v>
      </c>
    </row>
    <row r="98" spans="1:8">
      <c r="A98" s="78">
        <v>128413748622</v>
      </c>
      <c r="B98" s="1" t="s">
        <v>8</v>
      </c>
      <c r="C98" s="44" t="s">
        <v>2060</v>
      </c>
      <c r="D98" s="1" t="s">
        <v>2057</v>
      </c>
      <c r="E98" s="44" t="s">
        <v>2060</v>
      </c>
      <c r="F98" s="38" t="s">
        <v>2058</v>
      </c>
      <c r="G98" s="45">
        <v>10000</v>
      </c>
      <c r="H98" s="45">
        <v>60</v>
      </c>
    </row>
    <row r="99" spans="1:8">
      <c r="A99" s="78">
        <v>128422276166</v>
      </c>
      <c r="B99" s="1" t="s">
        <v>2072</v>
      </c>
      <c r="C99" s="44" t="s">
        <v>2060</v>
      </c>
      <c r="D99" s="1" t="s">
        <v>2057</v>
      </c>
      <c r="E99" s="44" t="s">
        <v>2071</v>
      </c>
      <c r="F99" s="38" t="s">
        <v>2058</v>
      </c>
      <c r="G99" s="45">
        <v>600</v>
      </c>
      <c r="H99" s="45">
        <v>3.6</v>
      </c>
    </row>
    <row r="100" spans="1:8">
      <c r="A100" s="78">
        <v>128422197004</v>
      </c>
      <c r="B100" s="1" t="s">
        <v>8</v>
      </c>
      <c r="C100" s="44" t="s">
        <v>2060</v>
      </c>
      <c r="D100" s="1" t="s">
        <v>2057</v>
      </c>
      <c r="E100" s="44" t="s">
        <v>2071</v>
      </c>
      <c r="F100" s="38" t="s">
        <v>2058</v>
      </c>
      <c r="G100" s="45">
        <v>4000</v>
      </c>
      <c r="H100" s="45">
        <v>24</v>
      </c>
    </row>
    <row r="101" spans="1:8">
      <c r="A101" s="78">
        <v>128421075828</v>
      </c>
      <c r="B101" s="1" t="s">
        <v>2055</v>
      </c>
      <c r="C101" s="44" t="s">
        <v>2060</v>
      </c>
      <c r="D101" s="1" t="s">
        <v>2073</v>
      </c>
      <c r="E101" s="44" t="s">
        <v>2071</v>
      </c>
      <c r="F101" s="38" t="s">
        <v>2058</v>
      </c>
      <c r="G101" s="45">
        <v>-113700</v>
      </c>
      <c r="H101" s="45">
        <v>-682.2</v>
      </c>
    </row>
    <row r="102" spans="1:8">
      <c r="A102" s="78">
        <v>127856064757</v>
      </c>
      <c r="B102" s="1" t="s">
        <v>2055</v>
      </c>
      <c r="C102" s="44" t="s">
        <v>2060</v>
      </c>
      <c r="D102" s="1" t="s">
        <v>2057</v>
      </c>
      <c r="E102" s="44" t="s">
        <v>2071</v>
      </c>
      <c r="F102" s="38" t="s">
        <v>2058</v>
      </c>
      <c r="G102" s="45">
        <v>36600</v>
      </c>
      <c r="H102" s="45">
        <v>219.6</v>
      </c>
    </row>
    <row r="103" spans="1:8">
      <c r="A103" s="78">
        <v>127856418189</v>
      </c>
      <c r="B103" s="1" t="s">
        <v>8</v>
      </c>
      <c r="C103" s="44" t="s">
        <v>2060</v>
      </c>
      <c r="D103" s="1" t="s">
        <v>2057</v>
      </c>
      <c r="E103" s="44" t="s">
        <v>2071</v>
      </c>
      <c r="F103" s="38" t="s">
        <v>2058</v>
      </c>
      <c r="G103" s="45">
        <v>7000</v>
      </c>
      <c r="H103" s="45">
        <v>42</v>
      </c>
    </row>
    <row r="104" spans="1:8">
      <c r="A104" s="78">
        <v>127847979869</v>
      </c>
      <c r="B104" s="1" t="s">
        <v>8</v>
      </c>
      <c r="C104" s="44" t="s">
        <v>2060</v>
      </c>
      <c r="D104" s="1" t="s">
        <v>2057</v>
      </c>
      <c r="E104" s="44" t="s">
        <v>2060</v>
      </c>
      <c r="F104" s="38" t="s">
        <v>2058</v>
      </c>
      <c r="G104" s="45">
        <v>32200</v>
      </c>
      <c r="H104" s="45">
        <v>193.2</v>
      </c>
    </row>
    <row r="105" spans="1:8">
      <c r="A105" s="78">
        <v>128414602122</v>
      </c>
      <c r="B105" s="1" t="s">
        <v>2055</v>
      </c>
      <c r="C105" s="44" t="s">
        <v>2060</v>
      </c>
      <c r="D105" s="1" t="s">
        <v>2057</v>
      </c>
      <c r="E105" s="44" t="s">
        <v>2060</v>
      </c>
      <c r="F105" s="38" t="s">
        <v>2058</v>
      </c>
      <c r="G105" s="45">
        <v>6200</v>
      </c>
      <c r="H105" s="45">
        <v>37.200000000000003</v>
      </c>
    </row>
    <row r="106" spans="1:8">
      <c r="A106" s="78">
        <v>128423104492</v>
      </c>
      <c r="B106" s="1" t="s">
        <v>2074</v>
      </c>
      <c r="C106" s="44" t="s">
        <v>2060</v>
      </c>
      <c r="D106" s="1" t="s">
        <v>2057</v>
      </c>
      <c r="E106" s="44" t="s">
        <v>2071</v>
      </c>
      <c r="F106" s="38" t="s">
        <v>2058</v>
      </c>
      <c r="G106" s="45">
        <v>2990</v>
      </c>
      <c r="H106" s="45">
        <v>17.940000000000001</v>
      </c>
    </row>
    <row r="107" spans="1:8">
      <c r="A107" s="78">
        <v>128423208738</v>
      </c>
      <c r="B107" s="1" t="s">
        <v>2055</v>
      </c>
      <c r="C107" s="44" t="s">
        <v>2060</v>
      </c>
      <c r="D107" s="1" t="s">
        <v>2057</v>
      </c>
      <c r="E107" s="44" t="s">
        <v>2071</v>
      </c>
      <c r="F107" s="38" t="s">
        <v>2058</v>
      </c>
      <c r="G107" s="45">
        <v>4800</v>
      </c>
      <c r="H107" s="45">
        <v>28.8</v>
      </c>
    </row>
    <row r="108" spans="1:8">
      <c r="A108" s="78">
        <v>128423356546</v>
      </c>
      <c r="B108" s="1" t="s">
        <v>8</v>
      </c>
      <c r="C108" s="44" t="s">
        <v>2060</v>
      </c>
      <c r="D108" s="1" t="s">
        <v>2057</v>
      </c>
      <c r="E108" s="44" t="s">
        <v>2071</v>
      </c>
      <c r="F108" s="38" t="s">
        <v>2058</v>
      </c>
      <c r="G108" s="45">
        <v>13000</v>
      </c>
      <c r="H108" s="45">
        <v>78</v>
      </c>
    </row>
    <row r="109" spans="1:8">
      <c r="A109" s="78">
        <v>127857063969</v>
      </c>
      <c r="B109" s="1" t="s">
        <v>8</v>
      </c>
      <c r="C109" s="44" t="s">
        <v>2060</v>
      </c>
      <c r="D109" s="1" t="s">
        <v>2057</v>
      </c>
      <c r="E109" s="44" t="s">
        <v>2071</v>
      </c>
      <c r="F109" s="38" t="s">
        <v>2058</v>
      </c>
      <c r="G109" s="45">
        <v>10300</v>
      </c>
      <c r="H109" s="45">
        <v>61.8</v>
      </c>
    </row>
    <row r="110" spans="1:8">
      <c r="A110" s="78">
        <v>128423642872</v>
      </c>
      <c r="B110" s="1" t="s">
        <v>8</v>
      </c>
      <c r="C110" s="44" t="s">
        <v>2060</v>
      </c>
      <c r="D110" s="1" t="s">
        <v>2057</v>
      </c>
      <c r="E110" s="44" t="s">
        <v>2071</v>
      </c>
      <c r="F110" s="38" t="s">
        <v>2058</v>
      </c>
      <c r="G110" s="45">
        <v>52600</v>
      </c>
      <c r="H110" s="45">
        <v>315.60000000000002</v>
      </c>
    </row>
    <row r="111" spans="1:8">
      <c r="A111" s="78">
        <v>127849129705</v>
      </c>
      <c r="B111" s="1" t="s">
        <v>8</v>
      </c>
      <c r="C111" s="44" t="s">
        <v>2060</v>
      </c>
      <c r="D111" s="1" t="s">
        <v>2057</v>
      </c>
      <c r="E111" s="44" t="s">
        <v>2060</v>
      </c>
      <c r="F111" s="38" t="s">
        <v>2058</v>
      </c>
      <c r="G111" s="45">
        <v>4800</v>
      </c>
      <c r="H111" s="45">
        <v>28.8</v>
      </c>
    </row>
    <row r="112" spans="1:8">
      <c r="A112" s="78">
        <v>127857712847</v>
      </c>
      <c r="B112" s="1" t="s">
        <v>8</v>
      </c>
      <c r="C112" s="44" t="s">
        <v>2060</v>
      </c>
      <c r="D112" s="1" t="s">
        <v>2057</v>
      </c>
      <c r="E112" s="44" t="s">
        <v>2071</v>
      </c>
      <c r="F112" s="38" t="s">
        <v>2058</v>
      </c>
      <c r="G112" s="45">
        <v>4800</v>
      </c>
      <c r="H112" s="45">
        <v>28.8</v>
      </c>
    </row>
    <row r="113" spans="1:8">
      <c r="A113" s="78">
        <v>128415782272</v>
      </c>
      <c r="B113" s="1" t="s">
        <v>8</v>
      </c>
      <c r="C113" s="44" t="s">
        <v>2060</v>
      </c>
      <c r="D113" s="1" t="s">
        <v>2057</v>
      </c>
      <c r="E113" s="44" t="s">
        <v>2060</v>
      </c>
      <c r="F113" s="38" t="s">
        <v>2058</v>
      </c>
      <c r="G113" s="45">
        <v>4000</v>
      </c>
      <c r="H113" s="45">
        <v>24</v>
      </c>
    </row>
    <row r="114" spans="1:8">
      <c r="A114" s="78">
        <v>127857973671</v>
      </c>
      <c r="B114" s="1" t="s">
        <v>8</v>
      </c>
      <c r="C114" s="44" t="s">
        <v>2071</v>
      </c>
      <c r="D114" s="1" t="s">
        <v>2057</v>
      </c>
      <c r="E114" s="44" t="s">
        <v>2071</v>
      </c>
      <c r="F114" s="38" t="s">
        <v>2058</v>
      </c>
      <c r="G114" s="45">
        <v>10000</v>
      </c>
      <c r="H114" s="45">
        <v>60</v>
      </c>
    </row>
    <row r="115" spans="1:8">
      <c r="A115" s="78">
        <v>127858454489</v>
      </c>
      <c r="B115" s="1" t="s">
        <v>8</v>
      </c>
      <c r="C115" s="44" t="s">
        <v>2071</v>
      </c>
      <c r="D115" s="1" t="s">
        <v>2057</v>
      </c>
      <c r="E115" s="44" t="s">
        <v>2071</v>
      </c>
      <c r="F115" s="38" t="s">
        <v>2058</v>
      </c>
      <c r="G115" s="45">
        <v>4800</v>
      </c>
      <c r="H115" s="45">
        <v>28.8</v>
      </c>
    </row>
    <row r="116" spans="1:8">
      <c r="A116" s="78">
        <v>127850379377</v>
      </c>
      <c r="B116" s="1" t="s">
        <v>8</v>
      </c>
      <c r="C116" s="44" t="s">
        <v>2060</v>
      </c>
      <c r="D116" s="1" t="s">
        <v>2057</v>
      </c>
      <c r="E116" s="44" t="s">
        <v>2060</v>
      </c>
      <c r="F116" s="38" t="s">
        <v>2058</v>
      </c>
      <c r="G116" s="45">
        <v>11600</v>
      </c>
      <c r="H116" s="45">
        <v>69.599999999999994</v>
      </c>
    </row>
    <row r="117" spans="1:8">
      <c r="A117" s="78">
        <v>127858708227</v>
      </c>
      <c r="B117" s="1" t="s">
        <v>2075</v>
      </c>
      <c r="C117" s="44" t="s">
        <v>2071</v>
      </c>
      <c r="D117" s="1" t="s">
        <v>2057</v>
      </c>
      <c r="E117" s="44" t="s">
        <v>2071</v>
      </c>
      <c r="F117" s="38" t="s">
        <v>2058</v>
      </c>
      <c r="G117" s="45">
        <v>1035</v>
      </c>
      <c r="H117" s="45">
        <v>6.21</v>
      </c>
    </row>
    <row r="118" spans="1:8">
      <c r="A118" s="78">
        <v>128424874738</v>
      </c>
      <c r="B118" s="1" t="s">
        <v>8</v>
      </c>
      <c r="C118" s="44" t="s">
        <v>2071</v>
      </c>
      <c r="D118" s="1" t="s">
        <v>2057</v>
      </c>
      <c r="E118" s="44" t="s">
        <v>2071</v>
      </c>
      <c r="F118" s="38" t="s">
        <v>2058</v>
      </c>
      <c r="G118" s="45">
        <v>20700</v>
      </c>
      <c r="H118" s="45">
        <v>124.2</v>
      </c>
    </row>
    <row r="119" spans="1:8">
      <c r="A119" s="78">
        <v>127850717607</v>
      </c>
      <c r="B119" s="1" t="s">
        <v>2055</v>
      </c>
      <c r="C119" s="44" t="s">
        <v>2060</v>
      </c>
      <c r="D119" s="1" t="s">
        <v>2057</v>
      </c>
      <c r="E119" s="44" t="s">
        <v>2060</v>
      </c>
      <c r="F119" s="38" t="s">
        <v>2058</v>
      </c>
      <c r="G119" s="45">
        <v>11900</v>
      </c>
      <c r="H119" s="45">
        <v>71.400000000000006</v>
      </c>
    </row>
    <row r="120" spans="1:8">
      <c r="A120" s="78">
        <v>128416983560</v>
      </c>
      <c r="B120" s="1" t="s">
        <v>8</v>
      </c>
      <c r="C120" s="44" t="s">
        <v>2060</v>
      </c>
      <c r="D120" s="1" t="s">
        <v>2057</v>
      </c>
      <c r="E120" s="44" t="s">
        <v>2060</v>
      </c>
      <c r="F120" s="38" t="s">
        <v>2058</v>
      </c>
      <c r="G120" s="45">
        <v>7600</v>
      </c>
      <c r="H120" s="45">
        <v>45.6</v>
      </c>
    </row>
    <row r="121" spans="1:8">
      <c r="A121" s="78">
        <v>128417023642</v>
      </c>
      <c r="B121" s="1" t="s">
        <v>2076</v>
      </c>
      <c r="C121" s="44" t="s">
        <v>2060</v>
      </c>
      <c r="D121" s="1" t="s">
        <v>2057</v>
      </c>
      <c r="E121" s="44" t="s">
        <v>2060</v>
      </c>
      <c r="F121" s="38" t="s">
        <v>2058</v>
      </c>
      <c r="G121" s="45">
        <v>3740</v>
      </c>
      <c r="H121" s="45">
        <v>22.44</v>
      </c>
    </row>
    <row r="122" spans="1:8">
      <c r="A122" s="78">
        <v>128417478168</v>
      </c>
      <c r="B122" s="1" t="s">
        <v>8</v>
      </c>
      <c r="C122" s="44" t="s">
        <v>2060</v>
      </c>
      <c r="D122" s="1" t="s">
        <v>2057</v>
      </c>
      <c r="E122" s="44" t="s">
        <v>2060</v>
      </c>
      <c r="F122" s="38" t="s">
        <v>2058</v>
      </c>
      <c r="G122" s="45">
        <v>4500</v>
      </c>
      <c r="H122" s="45">
        <v>27</v>
      </c>
    </row>
    <row r="123" spans="1:8">
      <c r="A123" s="78">
        <v>128425421186</v>
      </c>
      <c r="B123" s="1" t="s">
        <v>8</v>
      </c>
      <c r="C123" s="44" t="s">
        <v>2071</v>
      </c>
      <c r="D123" s="1" t="s">
        <v>2057</v>
      </c>
      <c r="E123" s="44" t="s">
        <v>2071</v>
      </c>
      <c r="F123" s="38" t="s">
        <v>2058</v>
      </c>
      <c r="G123" s="45">
        <v>2400</v>
      </c>
      <c r="H123" s="45">
        <v>14.4</v>
      </c>
    </row>
    <row r="124" spans="1:8">
      <c r="A124" s="78">
        <v>128425586550</v>
      </c>
      <c r="B124" s="1" t="s">
        <v>2055</v>
      </c>
      <c r="C124" s="44" t="s">
        <v>2071</v>
      </c>
      <c r="D124" s="1" t="s">
        <v>2057</v>
      </c>
      <c r="E124" s="44" t="s">
        <v>2071</v>
      </c>
      <c r="F124" s="38" t="s">
        <v>2058</v>
      </c>
      <c r="G124" s="45">
        <v>34700</v>
      </c>
      <c r="H124" s="45">
        <v>208.2</v>
      </c>
    </row>
    <row r="125" spans="1:8">
      <c r="A125" s="78">
        <v>127859588493</v>
      </c>
      <c r="B125" s="1" t="s">
        <v>8</v>
      </c>
      <c r="C125" s="44" t="s">
        <v>2071</v>
      </c>
      <c r="D125" s="1" t="s">
        <v>2057</v>
      </c>
      <c r="E125" s="44" t="s">
        <v>2071</v>
      </c>
      <c r="F125" s="38" t="s">
        <v>2058</v>
      </c>
      <c r="G125" s="45">
        <v>160500</v>
      </c>
      <c r="H125" s="45">
        <v>963</v>
      </c>
    </row>
    <row r="126" spans="1:8">
      <c r="A126" s="78">
        <v>127852042311</v>
      </c>
      <c r="B126" s="1" t="s">
        <v>8</v>
      </c>
      <c r="C126" s="44" t="s">
        <v>2060</v>
      </c>
      <c r="D126" s="1" t="s">
        <v>2057</v>
      </c>
      <c r="E126" s="44" t="s">
        <v>2060</v>
      </c>
      <c r="F126" s="38" t="s">
        <v>2058</v>
      </c>
      <c r="G126" s="45">
        <v>2400</v>
      </c>
      <c r="H126" s="45">
        <v>14.4</v>
      </c>
    </row>
    <row r="127" spans="1:8">
      <c r="A127" s="78">
        <v>128425855926</v>
      </c>
      <c r="B127" s="1" t="s">
        <v>2055</v>
      </c>
      <c r="C127" s="44" t="s">
        <v>2071</v>
      </c>
      <c r="D127" s="1" t="s">
        <v>2057</v>
      </c>
      <c r="E127" s="44" t="s">
        <v>2071</v>
      </c>
      <c r="F127" s="38" t="s">
        <v>2058</v>
      </c>
      <c r="G127" s="45">
        <v>4500</v>
      </c>
      <c r="H127" s="45">
        <v>27</v>
      </c>
    </row>
    <row r="128" spans="1:8">
      <c r="A128" s="78">
        <v>127859910765</v>
      </c>
      <c r="B128" s="1" t="s">
        <v>8</v>
      </c>
      <c r="C128" s="44" t="s">
        <v>2071</v>
      </c>
      <c r="D128" s="1" t="s">
        <v>2057</v>
      </c>
      <c r="E128" s="44" t="s">
        <v>2071</v>
      </c>
      <c r="F128" s="38" t="s">
        <v>2058</v>
      </c>
      <c r="G128" s="45">
        <v>4500</v>
      </c>
      <c r="H128" s="45">
        <v>27</v>
      </c>
    </row>
    <row r="129" spans="1:8">
      <c r="A129" s="78">
        <v>128426232602</v>
      </c>
      <c r="B129" s="1" t="s">
        <v>2077</v>
      </c>
      <c r="C129" s="44" t="s">
        <v>2071</v>
      </c>
      <c r="D129" s="1" t="s">
        <v>2057</v>
      </c>
      <c r="E129" s="44" t="s">
        <v>2071</v>
      </c>
      <c r="F129" s="38" t="s">
        <v>2058</v>
      </c>
      <c r="G129" s="45">
        <v>480</v>
      </c>
      <c r="H129" s="45">
        <v>2.88</v>
      </c>
    </row>
    <row r="130" spans="1:8">
      <c r="A130" s="78">
        <v>127852972373</v>
      </c>
      <c r="B130" s="1" t="s">
        <v>8</v>
      </c>
      <c r="C130" s="44" t="s">
        <v>2060</v>
      </c>
      <c r="D130" s="1" t="s">
        <v>2057</v>
      </c>
      <c r="E130" s="44" t="s">
        <v>2060</v>
      </c>
      <c r="F130" s="38" t="s">
        <v>2058</v>
      </c>
      <c r="G130" s="45">
        <v>4800</v>
      </c>
      <c r="H130" s="45">
        <v>28.8</v>
      </c>
    </row>
    <row r="131" spans="1:8">
      <c r="A131" s="78">
        <v>128419226662</v>
      </c>
      <c r="B131" s="1" t="s">
        <v>2055</v>
      </c>
      <c r="C131" s="44" t="s">
        <v>2060</v>
      </c>
      <c r="D131" s="1" t="s">
        <v>2057</v>
      </c>
      <c r="E131" s="44" t="s">
        <v>2060</v>
      </c>
      <c r="F131" s="38" t="s">
        <v>2058</v>
      </c>
      <c r="G131" s="45">
        <v>4200</v>
      </c>
      <c r="H131" s="45">
        <v>25.2</v>
      </c>
    </row>
    <row r="132" spans="1:8">
      <c r="A132" s="78">
        <v>127860445179</v>
      </c>
      <c r="B132" s="1" t="s">
        <v>8</v>
      </c>
      <c r="C132" s="44" t="s">
        <v>2071</v>
      </c>
      <c r="D132" s="1" t="s">
        <v>2057</v>
      </c>
      <c r="E132" s="44" t="s">
        <v>2071</v>
      </c>
      <c r="F132" s="38" t="s">
        <v>2058</v>
      </c>
      <c r="G132" s="45">
        <v>23400</v>
      </c>
      <c r="H132" s="45">
        <v>140.4</v>
      </c>
    </row>
    <row r="133" spans="1:8">
      <c r="A133" s="78">
        <v>128419732970</v>
      </c>
      <c r="B133" s="1" t="s">
        <v>8</v>
      </c>
      <c r="C133" s="44" t="s">
        <v>2060</v>
      </c>
      <c r="D133" s="1" t="s">
        <v>2057</v>
      </c>
      <c r="E133" s="44" t="s">
        <v>2060</v>
      </c>
      <c r="F133" s="38" t="s">
        <v>2058</v>
      </c>
      <c r="G133" s="45">
        <v>4800</v>
      </c>
      <c r="H133" s="45">
        <v>28.8</v>
      </c>
    </row>
    <row r="134" spans="1:8">
      <c r="A134" s="78">
        <v>128426737424</v>
      </c>
      <c r="B134" s="1" t="s">
        <v>8</v>
      </c>
      <c r="C134" s="44" t="s">
        <v>2071</v>
      </c>
      <c r="D134" s="1" t="s">
        <v>2057</v>
      </c>
      <c r="E134" s="44" t="s">
        <v>2071</v>
      </c>
      <c r="F134" s="38" t="s">
        <v>2058</v>
      </c>
      <c r="G134" s="45">
        <v>10000</v>
      </c>
      <c r="H134" s="45">
        <v>60</v>
      </c>
    </row>
    <row r="135" spans="1:8">
      <c r="A135" s="78">
        <v>127854076319</v>
      </c>
      <c r="B135" s="1" t="s">
        <v>8</v>
      </c>
      <c r="C135" s="44" t="s">
        <v>2060</v>
      </c>
      <c r="D135" s="1" t="s">
        <v>2057</v>
      </c>
      <c r="E135" s="44" t="s">
        <v>2060</v>
      </c>
      <c r="F135" s="38" t="s">
        <v>2058</v>
      </c>
      <c r="G135" s="45">
        <v>6300</v>
      </c>
      <c r="H135" s="45">
        <v>37.799999999999997</v>
      </c>
    </row>
    <row r="136" spans="1:8">
      <c r="A136" s="78">
        <v>127860773495</v>
      </c>
      <c r="B136" s="1" t="s">
        <v>8</v>
      </c>
      <c r="C136" s="44" t="s">
        <v>2071</v>
      </c>
      <c r="D136" s="1" t="s">
        <v>2057</v>
      </c>
      <c r="E136" s="44" t="s">
        <v>2071</v>
      </c>
      <c r="F136" s="38" t="s">
        <v>2058</v>
      </c>
      <c r="G136" s="45">
        <v>4200</v>
      </c>
      <c r="H136" s="45">
        <v>25.2</v>
      </c>
    </row>
    <row r="137" spans="1:8">
      <c r="A137" s="78">
        <v>128420407042</v>
      </c>
      <c r="B137" s="1" t="s">
        <v>2055</v>
      </c>
      <c r="C137" s="44" t="s">
        <v>2060</v>
      </c>
      <c r="D137" s="1" t="s">
        <v>2057</v>
      </c>
      <c r="E137" s="44" t="s">
        <v>2060</v>
      </c>
      <c r="F137" s="38" t="s">
        <v>2058</v>
      </c>
      <c r="G137" s="45">
        <v>224100</v>
      </c>
      <c r="H137" s="45">
        <v>1344.6</v>
      </c>
    </row>
    <row r="138" spans="1:8">
      <c r="A138" s="78">
        <v>127854437157</v>
      </c>
      <c r="B138" s="1" t="s">
        <v>8</v>
      </c>
      <c r="C138" s="44" t="s">
        <v>2060</v>
      </c>
      <c r="D138" s="1" t="s">
        <v>2057</v>
      </c>
      <c r="E138" s="44" t="s">
        <v>2060</v>
      </c>
      <c r="F138" s="38" t="s">
        <v>2058</v>
      </c>
      <c r="G138" s="45">
        <v>47600</v>
      </c>
      <c r="H138" s="45">
        <v>285.60000000000002</v>
      </c>
    </row>
    <row r="139" spans="1:8">
      <c r="A139" s="78">
        <v>128427183126</v>
      </c>
      <c r="B139" s="1" t="s">
        <v>8</v>
      </c>
      <c r="C139" s="44" t="s">
        <v>2071</v>
      </c>
      <c r="D139" s="1" t="s">
        <v>2057</v>
      </c>
      <c r="E139" s="44" t="s">
        <v>2071</v>
      </c>
      <c r="F139" s="38" t="s">
        <v>2058</v>
      </c>
      <c r="G139" s="45">
        <v>39000</v>
      </c>
      <c r="H139" s="45">
        <v>234</v>
      </c>
    </row>
    <row r="140" spans="1:8">
      <c r="A140" s="78">
        <v>128427296372</v>
      </c>
      <c r="B140" s="1" t="s">
        <v>8</v>
      </c>
      <c r="C140" s="44" t="s">
        <v>2071</v>
      </c>
      <c r="D140" s="1" t="s">
        <v>2057</v>
      </c>
      <c r="E140" s="44" t="s">
        <v>2071</v>
      </c>
      <c r="F140" s="38" t="s">
        <v>2058</v>
      </c>
      <c r="G140" s="45">
        <v>28000</v>
      </c>
      <c r="H140" s="45">
        <v>168</v>
      </c>
    </row>
    <row r="141" spans="1:8">
      <c r="A141" s="78">
        <v>127854884711</v>
      </c>
      <c r="B141" s="1" t="s">
        <v>8</v>
      </c>
      <c r="C141" s="44" t="s">
        <v>2060</v>
      </c>
      <c r="D141" s="1" t="s">
        <v>2057</v>
      </c>
      <c r="E141" s="44" t="s">
        <v>2071</v>
      </c>
      <c r="F141" s="38" t="s">
        <v>2058</v>
      </c>
      <c r="G141" s="45">
        <v>5000</v>
      </c>
      <c r="H141" s="45">
        <v>30</v>
      </c>
    </row>
    <row r="142" spans="1:8">
      <c r="A142" s="78">
        <v>127854974679</v>
      </c>
      <c r="B142" s="1" t="s">
        <v>8</v>
      </c>
      <c r="C142" s="44" t="s">
        <v>2060</v>
      </c>
      <c r="D142" s="1" t="s">
        <v>2057</v>
      </c>
      <c r="E142" s="44" t="s">
        <v>2071</v>
      </c>
      <c r="F142" s="38" t="s">
        <v>2058</v>
      </c>
      <c r="G142" s="45">
        <v>18800</v>
      </c>
      <c r="H142" s="45">
        <v>112.8</v>
      </c>
    </row>
    <row r="143" spans="1:8">
      <c r="A143" s="78">
        <v>128421075828</v>
      </c>
      <c r="B143" s="1" t="s">
        <v>2055</v>
      </c>
      <c r="C143" s="44" t="s">
        <v>2060</v>
      </c>
      <c r="D143" s="1" t="s">
        <v>2057</v>
      </c>
      <c r="E143" s="44" t="s">
        <v>2071</v>
      </c>
      <c r="F143" s="38" t="s">
        <v>2058</v>
      </c>
      <c r="G143" s="45">
        <v>113700</v>
      </c>
      <c r="H143" s="45">
        <v>682.2</v>
      </c>
    </row>
    <row r="144" spans="1:8">
      <c r="A144" s="78">
        <v>128421501412</v>
      </c>
      <c r="B144" s="1" t="s">
        <v>2055</v>
      </c>
      <c r="C144" s="44" t="s">
        <v>2060</v>
      </c>
      <c r="D144" s="1" t="s">
        <v>2057</v>
      </c>
      <c r="E144" s="44" t="s">
        <v>2071</v>
      </c>
      <c r="F144" s="38" t="s">
        <v>2058</v>
      </c>
      <c r="G144" s="45">
        <v>169900</v>
      </c>
      <c r="H144" s="45">
        <v>1019.4</v>
      </c>
    </row>
    <row r="145" spans="1:8">
      <c r="A145" s="78">
        <v>127855560075</v>
      </c>
      <c r="B145" s="1" t="s">
        <v>2055</v>
      </c>
      <c r="C145" s="44" t="s">
        <v>2060</v>
      </c>
      <c r="D145" s="1" t="s">
        <v>2057</v>
      </c>
      <c r="E145" s="44" t="s">
        <v>2071</v>
      </c>
      <c r="F145" s="38" t="s">
        <v>2058</v>
      </c>
      <c r="G145" s="45">
        <v>26800</v>
      </c>
      <c r="H145" s="45">
        <v>160.80000000000001</v>
      </c>
    </row>
    <row r="146" spans="1:8">
      <c r="A146" s="78">
        <v>127855916129</v>
      </c>
      <c r="B146" s="1" t="s">
        <v>8</v>
      </c>
      <c r="C146" s="44" t="s">
        <v>2060</v>
      </c>
      <c r="D146" s="1" t="s">
        <v>2057</v>
      </c>
      <c r="E146" s="44" t="s">
        <v>2071</v>
      </c>
      <c r="F146" s="38" t="s">
        <v>2058</v>
      </c>
      <c r="G146" s="45">
        <v>7700</v>
      </c>
      <c r="H146" s="45">
        <v>46.2</v>
      </c>
    </row>
    <row r="147" spans="1:8">
      <c r="A147" s="78">
        <v>127856005159</v>
      </c>
      <c r="B147" s="1" t="s">
        <v>8</v>
      </c>
      <c r="C147" s="44" t="s">
        <v>2060</v>
      </c>
      <c r="D147" s="1" t="s">
        <v>2057</v>
      </c>
      <c r="E147" s="44" t="s">
        <v>2071</v>
      </c>
      <c r="F147" s="38" t="s">
        <v>2058</v>
      </c>
      <c r="G147" s="45">
        <v>9600</v>
      </c>
      <c r="H147" s="45">
        <v>57.6</v>
      </c>
    </row>
    <row r="148" spans="1:8">
      <c r="A148" s="78">
        <v>127856497497</v>
      </c>
      <c r="B148" s="1" t="s">
        <v>8</v>
      </c>
      <c r="C148" s="44" t="s">
        <v>2060</v>
      </c>
      <c r="D148" s="1" t="s">
        <v>2057</v>
      </c>
      <c r="E148" s="44" t="s">
        <v>2071</v>
      </c>
      <c r="F148" s="38" t="s">
        <v>2058</v>
      </c>
      <c r="G148" s="45">
        <v>4200</v>
      </c>
      <c r="H148" s="45">
        <v>25.2</v>
      </c>
    </row>
    <row r="149" spans="1:8">
      <c r="A149" s="78">
        <v>128422949584</v>
      </c>
      <c r="B149" s="1" t="s">
        <v>8</v>
      </c>
      <c r="C149" s="44" t="s">
        <v>2060</v>
      </c>
      <c r="D149" s="1" t="s">
        <v>2057</v>
      </c>
      <c r="E149" s="44" t="s">
        <v>2071</v>
      </c>
      <c r="F149" s="38" t="s">
        <v>2058</v>
      </c>
      <c r="G149" s="45">
        <v>59800</v>
      </c>
      <c r="H149" s="45">
        <v>358.8</v>
      </c>
    </row>
    <row r="150" spans="1:8">
      <c r="A150" s="78">
        <v>127856899443</v>
      </c>
      <c r="B150" s="1" t="s">
        <v>2055</v>
      </c>
      <c r="C150" s="44" t="s">
        <v>2060</v>
      </c>
      <c r="D150" s="1" t="s">
        <v>2057</v>
      </c>
      <c r="E150" s="44" t="s">
        <v>2071</v>
      </c>
      <c r="F150" s="38" t="s">
        <v>2058</v>
      </c>
      <c r="G150" s="45">
        <v>8800</v>
      </c>
      <c r="H150" s="45">
        <v>52.8</v>
      </c>
    </row>
    <row r="151" spans="1:8">
      <c r="A151" s="78">
        <v>127857363213</v>
      </c>
      <c r="B151" s="1" t="s">
        <v>8</v>
      </c>
      <c r="C151" s="44" t="s">
        <v>2060</v>
      </c>
      <c r="D151" s="1" t="s">
        <v>2057</v>
      </c>
      <c r="E151" s="44" t="s">
        <v>2071</v>
      </c>
      <c r="F151" s="38" t="s">
        <v>2058</v>
      </c>
      <c r="G151" s="45">
        <v>5300</v>
      </c>
      <c r="H151" s="45">
        <v>31.8</v>
      </c>
    </row>
    <row r="152" spans="1:8">
      <c r="A152" s="78">
        <v>128423577732</v>
      </c>
      <c r="B152" s="1" t="s">
        <v>8</v>
      </c>
      <c r="C152" s="44" t="s">
        <v>2060</v>
      </c>
      <c r="D152" s="1" t="s">
        <v>2057</v>
      </c>
      <c r="E152" s="44" t="s">
        <v>2071</v>
      </c>
      <c r="F152" s="38" t="s">
        <v>2058</v>
      </c>
      <c r="G152" s="45">
        <v>70700</v>
      </c>
      <c r="H152" s="45">
        <v>424.2</v>
      </c>
    </row>
    <row r="153" spans="1:8">
      <c r="A153" s="78">
        <v>127857497901</v>
      </c>
      <c r="B153" s="1" t="s">
        <v>2078</v>
      </c>
      <c r="C153" s="44" t="s">
        <v>2060</v>
      </c>
      <c r="D153" s="1" t="s">
        <v>2057</v>
      </c>
      <c r="E153" s="44" t="s">
        <v>2071</v>
      </c>
      <c r="F153" s="38" t="s">
        <v>2058</v>
      </c>
      <c r="G153" s="45">
        <v>3535</v>
      </c>
      <c r="H153" s="45">
        <v>21.21</v>
      </c>
    </row>
    <row r="154" spans="1:8">
      <c r="A154" s="78">
        <v>127857862671</v>
      </c>
      <c r="B154" s="1" t="s">
        <v>8</v>
      </c>
      <c r="C154" s="44" t="s">
        <v>2071</v>
      </c>
      <c r="D154" s="1" t="s">
        <v>2057</v>
      </c>
      <c r="E154" s="44" t="s">
        <v>2071</v>
      </c>
      <c r="F154" s="38" t="s">
        <v>2058</v>
      </c>
      <c r="G154" s="45">
        <v>16700</v>
      </c>
      <c r="H154" s="45">
        <v>100.2</v>
      </c>
    </row>
    <row r="155" spans="1:8">
      <c r="A155" s="78">
        <v>128424504454</v>
      </c>
      <c r="B155" s="1" t="s">
        <v>8</v>
      </c>
      <c r="C155" s="44" t="s">
        <v>2071</v>
      </c>
      <c r="D155" s="1" t="s">
        <v>2057</v>
      </c>
      <c r="E155" s="44" t="s">
        <v>2071</v>
      </c>
      <c r="F155" s="38" t="s">
        <v>2058</v>
      </c>
      <c r="G155" s="45">
        <v>12800</v>
      </c>
      <c r="H155" s="45">
        <v>76.8</v>
      </c>
    </row>
    <row r="156" spans="1:8">
      <c r="A156" s="78">
        <v>127858371983</v>
      </c>
      <c r="B156" s="1" t="s">
        <v>2079</v>
      </c>
      <c r="C156" s="44" t="s">
        <v>2071</v>
      </c>
      <c r="D156" s="1" t="s">
        <v>2057</v>
      </c>
      <c r="E156" s="44" t="s">
        <v>2071</v>
      </c>
      <c r="F156" s="38" t="s">
        <v>2058</v>
      </c>
      <c r="G156" s="45">
        <v>480</v>
      </c>
      <c r="H156" s="45">
        <v>2.88</v>
      </c>
    </row>
    <row r="157" spans="1:8">
      <c r="A157" s="78">
        <v>127858844639</v>
      </c>
      <c r="B157" s="1" t="s">
        <v>8</v>
      </c>
      <c r="C157" s="44" t="s">
        <v>2071</v>
      </c>
      <c r="D157" s="1" t="s">
        <v>2057</v>
      </c>
      <c r="E157" s="44" t="s">
        <v>2071</v>
      </c>
      <c r="F157" s="38" t="s">
        <v>2058</v>
      </c>
      <c r="G157" s="45">
        <v>44500</v>
      </c>
      <c r="H157" s="45">
        <v>267</v>
      </c>
    </row>
    <row r="158" spans="1:8">
      <c r="A158" s="78">
        <v>127859163129</v>
      </c>
      <c r="B158" s="1" t="s">
        <v>8</v>
      </c>
      <c r="C158" s="44" t="s">
        <v>2071</v>
      </c>
      <c r="D158" s="1" t="s">
        <v>2057</v>
      </c>
      <c r="E158" s="44" t="s">
        <v>2071</v>
      </c>
      <c r="F158" s="38" t="s">
        <v>2058</v>
      </c>
      <c r="G158" s="45">
        <v>4200</v>
      </c>
      <c r="H158" s="45">
        <v>25.2</v>
      </c>
    </row>
    <row r="159" spans="1:8">
      <c r="A159" s="78">
        <v>127859153755</v>
      </c>
      <c r="B159" s="1" t="s">
        <v>2080</v>
      </c>
      <c r="C159" s="44" t="s">
        <v>2071</v>
      </c>
      <c r="D159" s="1" t="s">
        <v>2057</v>
      </c>
      <c r="E159" s="44" t="s">
        <v>2071</v>
      </c>
      <c r="F159" s="38" t="s">
        <v>2058</v>
      </c>
      <c r="G159" s="45">
        <v>360</v>
      </c>
      <c r="H159" s="45">
        <v>2.16</v>
      </c>
    </row>
    <row r="160" spans="1:8">
      <c r="A160" s="78">
        <v>127859446439</v>
      </c>
      <c r="B160" s="1" t="s">
        <v>8</v>
      </c>
      <c r="C160" s="44" t="s">
        <v>2071</v>
      </c>
      <c r="D160" s="1" t="s">
        <v>2057</v>
      </c>
      <c r="E160" s="44" t="s">
        <v>2071</v>
      </c>
      <c r="F160" s="38" t="s">
        <v>2058</v>
      </c>
      <c r="G160" s="45">
        <v>12900</v>
      </c>
      <c r="H160" s="45">
        <v>77.400000000000006</v>
      </c>
    </row>
    <row r="161" spans="1:8">
      <c r="A161" s="78">
        <v>128425881632</v>
      </c>
      <c r="B161" s="1" t="s">
        <v>8</v>
      </c>
      <c r="C161" s="44" t="s">
        <v>2071</v>
      </c>
      <c r="D161" s="1" t="s">
        <v>2057</v>
      </c>
      <c r="E161" s="44" t="s">
        <v>2071</v>
      </c>
      <c r="F161" s="38" t="s">
        <v>2058</v>
      </c>
      <c r="G161" s="45">
        <v>15000</v>
      </c>
      <c r="H161" s="45">
        <v>90</v>
      </c>
    </row>
    <row r="162" spans="1:8">
      <c r="A162" s="78">
        <v>128426216768</v>
      </c>
      <c r="B162" s="1" t="s">
        <v>8</v>
      </c>
      <c r="C162" s="44" t="s">
        <v>2071</v>
      </c>
      <c r="D162" s="1" t="s">
        <v>2057</v>
      </c>
      <c r="E162" s="44" t="s">
        <v>2071</v>
      </c>
      <c r="F162" s="38" t="s">
        <v>2058</v>
      </c>
      <c r="G162" s="45">
        <v>4800</v>
      </c>
      <c r="H162" s="45">
        <v>28.8</v>
      </c>
    </row>
    <row r="163" spans="1:8">
      <c r="A163" s="78">
        <v>128426358946</v>
      </c>
      <c r="B163" s="1" t="s">
        <v>2055</v>
      </c>
      <c r="C163" s="44" t="s">
        <v>2071</v>
      </c>
      <c r="D163" s="1" t="s">
        <v>2057</v>
      </c>
      <c r="E163" s="44" t="s">
        <v>2071</v>
      </c>
      <c r="F163" s="38" t="s">
        <v>2058</v>
      </c>
      <c r="G163" s="45">
        <v>21800</v>
      </c>
      <c r="H163" s="45">
        <v>130.80000000000001</v>
      </c>
    </row>
    <row r="164" spans="1:8">
      <c r="A164" s="78">
        <v>128426740974</v>
      </c>
      <c r="B164" s="1" t="s">
        <v>8</v>
      </c>
      <c r="C164" s="44" t="s">
        <v>2071</v>
      </c>
      <c r="D164" s="1" t="s">
        <v>2057</v>
      </c>
      <c r="E164" s="44" t="s">
        <v>2071</v>
      </c>
      <c r="F164" s="38" t="s">
        <v>2058</v>
      </c>
      <c r="G164" s="45">
        <v>14000</v>
      </c>
      <c r="H164" s="45">
        <v>84</v>
      </c>
    </row>
    <row r="165" spans="1:8">
      <c r="A165" s="78">
        <v>128426752832</v>
      </c>
      <c r="B165" s="1" t="s">
        <v>2081</v>
      </c>
      <c r="C165" s="44" t="s">
        <v>2071</v>
      </c>
      <c r="D165" s="1" t="s">
        <v>2057</v>
      </c>
      <c r="E165" s="44" t="s">
        <v>2071</v>
      </c>
      <c r="F165" s="38" t="s">
        <v>2058</v>
      </c>
      <c r="G165" s="45">
        <v>700</v>
      </c>
      <c r="H165" s="45">
        <v>4.2</v>
      </c>
    </row>
    <row r="166" spans="1:8">
      <c r="A166" s="78">
        <v>128426964542</v>
      </c>
      <c r="B166" s="1" t="s">
        <v>8</v>
      </c>
      <c r="C166" s="44" t="s">
        <v>2071</v>
      </c>
      <c r="D166" s="1" t="s">
        <v>2057</v>
      </c>
      <c r="E166" s="44" t="s">
        <v>2071</v>
      </c>
      <c r="F166" s="38" t="s">
        <v>2058</v>
      </c>
      <c r="G166" s="45">
        <v>19400</v>
      </c>
      <c r="H166" s="45">
        <v>116.4</v>
      </c>
    </row>
    <row r="167" spans="1:8">
      <c r="A167" s="78">
        <v>128426857870</v>
      </c>
      <c r="B167" s="1" t="s">
        <v>8</v>
      </c>
      <c r="C167" s="44" t="s">
        <v>2071</v>
      </c>
      <c r="D167" s="1" t="s">
        <v>2057</v>
      </c>
      <c r="E167" s="44" t="s">
        <v>2071</v>
      </c>
      <c r="F167" s="38" t="s">
        <v>2058</v>
      </c>
      <c r="G167" s="45">
        <v>14500</v>
      </c>
      <c r="H167" s="45">
        <v>87</v>
      </c>
    </row>
    <row r="168" spans="1:8">
      <c r="A168" s="78">
        <v>128497382094</v>
      </c>
      <c r="B168" s="1" t="s">
        <v>8</v>
      </c>
      <c r="C168" s="44" t="s">
        <v>2071</v>
      </c>
      <c r="D168" s="1" t="s">
        <v>2057</v>
      </c>
      <c r="E168" s="44" t="s">
        <v>2071</v>
      </c>
      <c r="F168" s="38" t="s">
        <v>2058</v>
      </c>
      <c r="G168" s="45">
        <v>752944</v>
      </c>
      <c r="H168" s="45">
        <v>4517.66</v>
      </c>
    </row>
    <row r="169" spans="1:8">
      <c r="A169" s="78">
        <v>128538963780</v>
      </c>
      <c r="B169" s="1" t="s">
        <v>8</v>
      </c>
      <c r="C169" s="44" t="s">
        <v>2071</v>
      </c>
      <c r="D169" s="1" t="s">
        <v>2057</v>
      </c>
      <c r="E169" s="44" t="s">
        <v>2071</v>
      </c>
      <c r="F169" s="38" t="s">
        <v>2058</v>
      </c>
      <c r="G169" s="45">
        <v>9600</v>
      </c>
      <c r="H169" s="45">
        <v>57.6</v>
      </c>
    </row>
    <row r="170" spans="1:8">
      <c r="A170" s="78">
        <v>128541606502</v>
      </c>
      <c r="B170" s="1" t="s">
        <v>8</v>
      </c>
      <c r="C170" s="44" t="s">
        <v>2071</v>
      </c>
      <c r="D170" s="1" t="s">
        <v>2057</v>
      </c>
      <c r="E170" s="44" t="s">
        <v>2071</v>
      </c>
      <c r="F170" s="38" t="s">
        <v>2058</v>
      </c>
      <c r="G170" s="45">
        <v>42500</v>
      </c>
      <c r="H170" s="45">
        <v>255</v>
      </c>
    </row>
    <row r="171" spans="1:8">
      <c r="A171" s="78">
        <v>127975227343</v>
      </c>
      <c r="B171" s="1" t="s">
        <v>8</v>
      </c>
      <c r="C171" s="44" t="s">
        <v>2071</v>
      </c>
      <c r="D171" s="1" t="s">
        <v>2057</v>
      </c>
      <c r="E171" s="44" t="s">
        <v>2071</v>
      </c>
      <c r="F171" s="38" t="s">
        <v>2058</v>
      </c>
      <c r="G171" s="45">
        <v>9800</v>
      </c>
      <c r="H171" s="45">
        <v>58.8</v>
      </c>
    </row>
    <row r="172" spans="1:8">
      <c r="A172" s="78">
        <v>128532328060</v>
      </c>
      <c r="B172" s="1" t="s">
        <v>2055</v>
      </c>
      <c r="C172" s="44" t="s">
        <v>2071</v>
      </c>
      <c r="D172" s="1" t="s">
        <v>2057</v>
      </c>
      <c r="E172" s="44" t="s">
        <v>2071</v>
      </c>
      <c r="F172" s="38" t="s">
        <v>2058</v>
      </c>
      <c r="G172" s="45">
        <v>37000</v>
      </c>
      <c r="H172" s="45">
        <v>222</v>
      </c>
    </row>
    <row r="173" spans="1:8">
      <c r="A173" s="78">
        <v>128544354086</v>
      </c>
      <c r="B173" s="1" t="s">
        <v>2055</v>
      </c>
      <c r="C173" s="44" t="s">
        <v>2071</v>
      </c>
      <c r="D173" s="1" t="s">
        <v>2057</v>
      </c>
      <c r="E173" s="44" t="s">
        <v>2071</v>
      </c>
      <c r="F173" s="38" t="s">
        <v>2058</v>
      </c>
      <c r="G173" s="45">
        <v>28700</v>
      </c>
      <c r="H173" s="45">
        <v>172.2</v>
      </c>
    </row>
    <row r="174" spans="1:8">
      <c r="A174" s="78">
        <v>128546191150</v>
      </c>
      <c r="B174" s="1" t="s">
        <v>8</v>
      </c>
      <c r="C174" s="44" t="s">
        <v>2071</v>
      </c>
      <c r="D174" s="1" t="s">
        <v>2057</v>
      </c>
      <c r="E174" s="44" t="s">
        <v>2071</v>
      </c>
      <c r="F174" s="38" t="s">
        <v>2058</v>
      </c>
      <c r="G174" s="45">
        <v>9600</v>
      </c>
      <c r="H174" s="45">
        <v>57.6</v>
      </c>
    </row>
    <row r="175" spans="1:8">
      <c r="A175" s="78">
        <v>128546254534</v>
      </c>
      <c r="B175" s="1" t="s">
        <v>2082</v>
      </c>
      <c r="C175" s="44" t="s">
        <v>2071</v>
      </c>
      <c r="D175" s="1" t="s">
        <v>2057</v>
      </c>
      <c r="E175" s="44" t="s">
        <v>2071</v>
      </c>
      <c r="F175" s="38" t="s">
        <v>2058</v>
      </c>
      <c r="G175" s="45">
        <v>480</v>
      </c>
      <c r="H175" s="45">
        <v>2.88</v>
      </c>
    </row>
    <row r="176" spans="1:8">
      <c r="A176" s="78">
        <v>127979226453</v>
      </c>
      <c r="B176" s="1" t="s">
        <v>2055</v>
      </c>
      <c r="C176" s="44" t="s">
        <v>2071</v>
      </c>
      <c r="D176" s="1" t="s">
        <v>2057</v>
      </c>
      <c r="E176" s="44" t="s">
        <v>2071</v>
      </c>
      <c r="F176" s="38" t="s">
        <v>2058</v>
      </c>
      <c r="G176" s="45">
        <v>8400</v>
      </c>
      <c r="H176" s="45">
        <v>50.4</v>
      </c>
    </row>
    <row r="177" spans="1:8">
      <c r="A177" s="78">
        <v>127974511167</v>
      </c>
      <c r="B177" s="1" t="s">
        <v>2083</v>
      </c>
      <c r="C177" s="44" t="s">
        <v>2071</v>
      </c>
      <c r="D177" s="1" t="s">
        <v>2057</v>
      </c>
      <c r="E177" s="44" t="s">
        <v>2071</v>
      </c>
      <c r="F177" s="38" t="s">
        <v>2058</v>
      </c>
      <c r="G177" s="45">
        <v>2125</v>
      </c>
      <c r="H177" s="45">
        <v>12.75</v>
      </c>
    </row>
    <row r="178" spans="1:8">
      <c r="A178" s="78">
        <v>128552186160</v>
      </c>
      <c r="B178" s="1" t="s">
        <v>8</v>
      </c>
      <c r="C178" s="44" t="s">
        <v>2071</v>
      </c>
      <c r="D178" s="1" t="s">
        <v>2057</v>
      </c>
      <c r="E178" s="44" t="s">
        <v>2071</v>
      </c>
      <c r="F178" s="38" t="s">
        <v>2058</v>
      </c>
      <c r="G178" s="45">
        <v>2300</v>
      </c>
      <c r="H178" s="45">
        <v>13.8</v>
      </c>
    </row>
    <row r="179" spans="1:8">
      <c r="A179" s="78">
        <v>128542794370</v>
      </c>
      <c r="B179" s="1" t="s">
        <v>2084</v>
      </c>
      <c r="C179" s="44" t="s">
        <v>2071</v>
      </c>
      <c r="D179" s="1" t="s">
        <v>2057</v>
      </c>
      <c r="E179" s="44" t="s">
        <v>2071</v>
      </c>
      <c r="F179" s="38" t="s">
        <v>2058</v>
      </c>
      <c r="G179" s="45">
        <v>1995</v>
      </c>
      <c r="H179" s="45">
        <v>11.97</v>
      </c>
    </row>
    <row r="180" spans="1:8">
      <c r="A180" s="78">
        <v>127975543977</v>
      </c>
      <c r="B180" s="1" t="s">
        <v>8</v>
      </c>
      <c r="C180" s="44" t="s">
        <v>2071</v>
      </c>
      <c r="D180" s="1" t="s">
        <v>2057</v>
      </c>
      <c r="E180" s="44" t="s">
        <v>2071</v>
      </c>
      <c r="F180" s="38" t="s">
        <v>2058</v>
      </c>
      <c r="G180" s="45">
        <v>13300</v>
      </c>
      <c r="H180" s="45">
        <v>79.8</v>
      </c>
    </row>
    <row r="181" spans="1:8">
      <c r="A181" s="78">
        <v>128554292288</v>
      </c>
      <c r="B181" s="1" t="s">
        <v>8</v>
      </c>
      <c r="C181" s="44" t="s">
        <v>2071</v>
      </c>
      <c r="D181" s="1" t="s">
        <v>2057</v>
      </c>
      <c r="E181" s="44" t="s">
        <v>2071</v>
      </c>
      <c r="F181" s="38" t="s">
        <v>2058</v>
      </c>
      <c r="G181" s="45">
        <v>4900</v>
      </c>
      <c r="H181" s="45">
        <v>29.4</v>
      </c>
    </row>
    <row r="182" spans="1:8">
      <c r="A182" s="78">
        <v>127978785635</v>
      </c>
      <c r="B182" s="1" t="s">
        <v>8</v>
      </c>
      <c r="C182" s="44" t="s">
        <v>2071</v>
      </c>
      <c r="D182" s="1" t="s">
        <v>2057</v>
      </c>
      <c r="E182" s="44" t="s">
        <v>2071</v>
      </c>
      <c r="F182" s="38" t="s">
        <v>2058</v>
      </c>
      <c r="G182" s="45">
        <v>8000</v>
      </c>
      <c r="H182" s="45">
        <v>48</v>
      </c>
    </row>
    <row r="183" spans="1:8">
      <c r="A183" s="78">
        <v>127978952503</v>
      </c>
      <c r="B183" s="1" t="s">
        <v>8</v>
      </c>
      <c r="C183" s="44" t="s">
        <v>2071</v>
      </c>
      <c r="D183" s="1" t="s">
        <v>2057</v>
      </c>
      <c r="E183" s="44" t="s">
        <v>2071</v>
      </c>
      <c r="F183" s="38" t="s">
        <v>2058</v>
      </c>
      <c r="G183" s="45">
        <v>15400</v>
      </c>
      <c r="H183" s="45">
        <v>92.4</v>
      </c>
    </row>
    <row r="184" spans="1:8">
      <c r="A184" s="78">
        <v>128557855134</v>
      </c>
      <c r="B184" s="1" t="s">
        <v>8</v>
      </c>
      <c r="C184" s="44" t="s">
        <v>2071</v>
      </c>
      <c r="D184" s="1" t="s">
        <v>2057</v>
      </c>
      <c r="E184" s="44" t="s">
        <v>2071</v>
      </c>
      <c r="F184" s="38" t="s">
        <v>2058</v>
      </c>
      <c r="G184" s="45">
        <v>34500</v>
      </c>
      <c r="H184" s="45">
        <v>207</v>
      </c>
    </row>
    <row r="185" spans="1:8">
      <c r="A185" s="78">
        <v>128557987022</v>
      </c>
      <c r="B185" s="1" t="s">
        <v>8</v>
      </c>
      <c r="C185" s="44" t="s">
        <v>2071</v>
      </c>
      <c r="D185" s="1" t="s">
        <v>2057</v>
      </c>
      <c r="E185" s="44" t="s">
        <v>2071</v>
      </c>
      <c r="F185" s="38" t="s">
        <v>2058</v>
      </c>
      <c r="G185" s="45">
        <v>4800</v>
      </c>
      <c r="H185" s="45">
        <v>28.8</v>
      </c>
    </row>
    <row r="186" spans="1:8">
      <c r="A186" s="78">
        <v>128558731210</v>
      </c>
      <c r="B186" s="1" t="s">
        <v>8</v>
      </c>
      <c r="C186" s="44" t="s">
        <v>2071</v>
      </c>
      <c r="D186" s="1" t="s">
        <v>2057</v>
      </c>
      <c r="E186" s="44" t="s">
        <v>2071</v>
      </c>
      <c r="F186" s="38" t="s">
        <v>2058</v>
      </c>
      <c r="G186" s="45">
        <v>44200</v>
      </c>
      <c r="H186" s="45">
        <v>265.2</v>
      </c>
    </row>
    <row r="187" spans="1:8">
      <c r="A187" s="78">
        <v>127994543007</v>
      </c>
      <c r="B187" s="1" t="s">
        <v>8</v>
      </c>
      <c r="C187" s="44" t="s">
        <v>2071</v>
      </c>
      <c r="D187" s="1" t="s">
        <v>2057</v>
      </c>
      <c r="E187" s="44" t="s">
        <v>2071</v>
      </c>
      <c r="F187" s="38" t="s">
        <v>2058</v>
      </c>
      <c r="G187" s="45">
        <v>64400</v>
      </c>
      <c r="H187" s="45">
        <v>386.4</v>
      </c>
    </row>
    <row r="188" spans="1:8">
      <c r="A188" s="78">
        <v>128553170088</v>
      </c>
      <c r="B188" s="1" t="s">
        <v>8</v>
      </c>
      <c r="C188" s="44" t="s">
        <v>2071</v>
      </c>
      <c r="D188" s="1" t="s">
        <v>2057</v>
      </c>
      <c r="E188" s="44" t="s">
        <v>2071</v>
      </c>
      <c r="F188" s="38" t="s">
        <v>2058</v>
      </c>
      <c r="G188" s="45">
        <v>10000</v>
      </c>
      <c r="H188" s="45">
        <v>60</v>
      </c>
    </row>
    <row r="189" spans="1:8">
      <c r="A189" s="78">
        <v>127995227521</v>
      </c>
      <c r="B189" s="1" t="s">
        <v>2055</v>
      </c>
      <c r="C189" s="44" t="s">
        <v>2071</v>
      </c>
      <c r="D189" s="1" t="s">
        <v>2057</v>
      </c>
      <c r="E189" s="44" t="s">
        <v>2071</v>
      </c>
      <c r="F189" s="38" t="s">
        <v>2058</v>
      </c>
      <c r="G189" s="45">
        <v>53900</v>
      </c>
      <c r="H189" s="45">
        <v>323.39999999999998</v>
      </c>
    </row>
    <row r="190" spans="1:8">
      <c r="A190" s="78">
        <v>127987036961</v>
      </c>
      <c r="B190" s="1" t="s">
        <v>2055</v>
      </c>
      <c r="C190" s="44" t="s">
        <v>2071</v>
      </c>
      <c r="D190" s="1" t="s">
        <v>2057</v>
      </c>
      <c r="E190" s="44" t="s">
        <v>2071</v>
      </c>
      <c r="F190" s="38" t="s">
        <v>2058</v>
      </c>
      <c r="G190" s="45">
        <v>8400</v>
      </c>
      <c r="H190" s="45">
        <v>50.4</v>
      </c>
    </row>
    <row r="191" spans="1:8">
      <c r="A191" s="78">
        <v>127996301839</v>
      </c>
      <c r="B191" s="1" t="s">
        <v>2085</v>
      </c>
      <c r="C191" s="44" t="s">
        <v>2071</v>
      </c>
      <c r="D191" s="1" t="s">
        <v>2057</v>
      </c>
      <c r="E191" s="44" t="s">
        <v>2071</v>
      </c>
      <c r="F191" s="38" t="s">
        <v>2058</v>
      </c>
      <c r="G191" s="45">
        <v>3405</v>
      </c>
      <c r="H191" s="45">
        <v>20.43</v>
      </c>
    </row>
    <row r="192" spans="1:8">
      <c r="A192" s="78">
        <v>127988026707</v>
      </c>
      <c r="B192" s="1" t="s">
        <v>8</v>
      </c>
      <c r="C192" s="44" t="s">
        <v>2071</v>
      </c>
      <c r="D192" s="1" t="s">
        <v>2057</v>
      </c>
      <c r="E192" s="44" t="s">
        <v>2071</v>
      </c>
      <c r="F192" s="38" t="s">
        <v>2058</v>
      </c>
      <c r="G192" s="45">
        <v>42800</v>
      </c>
      <c r="H192" s="45">
        <v>256.8</v>
      </c>
    </row>
    <row r="193" spans="1:8">
      <c r="A193" s="78">
        <v>128564070590</v>
      </c>
      <c r="B193" s="1" t="s">
        <v>8</v>
      </c>
      <c r="C193" s="44" t="s">
        <v>2071</v>
      </c>
      <c r="D193" s="1" t="s">
        <v>2057</v>
      </c>
      <c r="E193" s="44" t="s">
        <v>2071</v>
      </c>
      <c r="F193" s="38" t="s">
        <v>2058</v>
      </c>
      <c r="G193" s="45">
        <v>43900</v>
      </c>
      <c r="H193" s="45">
        <v>263.39999999999998</v>
      </c>
    </row>
    <row r="194" spans="1:8">
      <c r="A194" s="78">
        <v>127997252239</v>
      </c>
      <c r="B194" s="1" t="s">
        <v>2055</v>
      </c>
      <c r="C194" s="44" t="s">
        <v>2071</v>
      </c>
      <c r="D194" s="1" t="s">
        <v>2057</v>
      </c>
      <c r="E194" s="44" t="s">
        <v>2071</v>
      </c>
      <c r="F194" s="38" t="s">
        <v>2058</v>
      </c>
      <c r="G194" s="45">
        <v>9700</v>
      </c>
      <c r="H194" s="45">
        <v>58.2</v>
      </c>
    </row>
    <row r="195" spans="1:8">
      <c r="A195" s="78">
        <v>128564070590</v>
      </c>
      <c r="B195" s="1" t="s">
        <v>8</v>
      </c>
      <c r="C195" s="44" t="s">
        <v>2071</v>
      </c>
      <c r="D195" s="1" t="s">
        <v>2073</v>
      </c>
      <c r="E195" s="44" t="s">
        <v>2071</v>
      </c>
      <c r="F195" s="38" t="s">
        <v>2058</v>
      </c>
      <c r="G195" s="45">
        <v>-43900</v>
      </c>
      <c r="H195" s="45">
        <v>-263.39999999999998</v>
      </c>
    </row>
    <row r="196" spans="1:8">
      <c r="A196" s="78">
        <v>128564579028</v>
      </c>
      <c r="B196" s="1" t="s">
        <v>8</v>
      </c>
      <c r="C196" s="44" t="s">
        <v>2071</v>
      </c>
      <c r="D196" s="1" t="s">
        <v>2057</v>
      </c>
      <c r="E196" s="44" t="s">
        <v>2071</v>
      </c>
      <c r="F196" s="38" t="s">
        <v>2058</v>
      </c>
      <c r="G196" s="45">
        <v>30400</v>
      </c>
      <c r="H196" s="45">
        <v>182.4</v>
      </c>
    </row>
    <row r="197" spans="1:8">
      <c r="A197" s="78">
        <v>128564877302</v>
      </c>
      <c r="B197" s="1" t="s">
        <v>8</v>
      </c>
      <c r="C197" s="44" t="s">
        <v>2071</v>
      </c>
      <c r="D197" s="1" t="s">
        <v>2057</v>
      </c>
      <c r="E197" s="44" t="s">
        <v>2071</v>
      </c>
      <c r="F197" s="38" t="s">
        <v>2058</v>
      </c>
      <c r="G197" s="45">
        <v>29600</v>
      </c>
      <c r="H197" s="45">
        <v>177.6</v>
      </c>
    </row>
    <row r="198" spans="1:8">
      <c r="A198" s="78">
        <v>127998034681</v>
      </c>
      <c r="B198" s="1" t="s">
        <v>8</v>
      </c>
      <c r="C198" s="44" t="s">
        <v>2071</v>
      </c>
      <c r="D198" s="1" t="s">
        <v>2057</v>
      </c>
      <c r="E198" s="44" t="s">
        <v>2071</v>
      </c>
      <c r="F198" s="38" t="s">
        <v>2058</v>
      </c>
      <c r="G198" s="45">
        <v>32400</v>
      </c>
      <c r="H198" s="45">
        <v>194.4</v>
      </c>
    </row>
    <row r="199" spans="1:8">
      <c r="A199" s="78">
        <v>127998422719</v>
      </c>
      <c r="B199" s="1" t="s">
        <v>8</v>
      </c>
      <c r="C199" s="44" t="s">
        <v>2071</v>
      </c>
      <c r="D199" s="1" t="s">
        <v>2057</v>
      </c>
      <c r="E199" s="44" t="s">
        <v>2071</v>
      </c>
      <c r="F199" s="38" t="s">
        <v>2058</v>
      </c>
      <c r="G199" s="45">
        <v>40900</v>
      </c>
      <c r="H199" s="45">
        <v>245.4</v>
      </c>
    </row>
    <row r="200" spans="1:8">
      <c r="A200" s="78">
        <v>128565546884</v>
      </c>
      <c r="B200" s="1" t="s">
        <v>2086</v>
      </c>
      <c r="C200" s="44" t="s">
        <v>2071</v>
      </c>
      <c r="D200" s="1" t="s">
        <v>2057</v>
      </c>
      <c r="E200" s="44" t="s">
        <v>2071</v>
      </c>
      <c r="F200" s="38" t="s">
        <v>2058</v>
      </c>
      <c r="G200" s="45">
        <v>2045</v>
      </c>
      <c r="H200" s="45">
        <v>12.27</v>
      </c>
    </row>
    <row r="201" spans="1:8">
      <c r="A201" s="78">
        <v>127998530233</v>
      </c>
      <c r="B201" s="1" t="s">
        <v>8</v>
      </c>
      <c r="C201" s="44" t="s">
        <v>2071</v>
      </c>
      <c r="D201" s="1" t="s">
        <v>2057</v>
      </c>
      <c r="E201" s="44" t="s">
        <v>2071</v>
      </c>
      <c r="F201" s="38" t="s">
        <v>2058</v>
      </c>
      <c r="G201" s="45">
        <v>23900</v>
      </c>
      <c r="H201" s="45">
        <v>143.4</v>
      </c>
    </row>
    <row r="202" spans="1:8">
      <c r="A202" s="78">
        <v>127998715475</v>
      </c>
      <c r="B202" s="1" t="s">
        <v>8</v>
      </c>
      <c r="C202" s="44" t="s">
        <v>2071</v>
      </c>
      <c r="D202" s="1" t="s">
        <v>2057</v>
      </c>
      <c r="E202" s="44" t="s">
        <v>2071</v>
      </c>
      <c r="F202" s="38" t="s">
        <v>2058</v>
      </c>
      <c r="G202" s="45">
        <v>88300</v>
      </c>
      <c r="H202" s="45">
        <v>529.79999999999995</v>
      </c>
    </row>
    <row r="203" spans="1:8">
      <c r="A203" s="78">
        <v>127998958295</v>
      </c>
      <c r="B203" s="1" t="s">
        <v>8</v>
      </c>
      <c r="C203" s="44" t="s">
        <v>2071</v>
      </c>
      <c r="D203" s="1" t="s">
        <v>2057</v>
      </c>
      <c r="E203" s="44" t="s">
        <v>2071</v>
      </c>
      <c r="F203" s="38" t="s">
        <v>2058</v>
      </c>
      <c r="G203" s="45">
        <v>75200</v>
      </c>
      <c r="H203" s="45">
        <v>451.2</v>
      </c>
    </row>
    <row r="204" spans="1:8">
      <c r="A204" s="78">
        <v>128557902440</v>
      </c>
      <c r="B204" s="1" t="s">
        <v>2087</v>
      </c>
      <c r="C204" s="44" t="s">
        <v>2071</v>
      </c>
      <c r="D204" s="1" t="s">
        <v>2057</v>
      </c>
      <c r="E204" s="44" t="s">
        <v>2071</v>
      </c>
      <c r="F204" s="38" t="s">
        <v>2058</v>
      </c>
      <c r="G204" s="45">
        <v>3450</v>
      </c>
      <c r="H204" s="45">
        <v>20.7</v>
      </c>
    </row>
    <row r="205" spans="1:8">
      <c r="A205" s="78">
        <v>128566674792</v>
      </c>
      <c r="B205" s="1" t="s">
        <v>8</v>
      </c>
      <c r="C205" s="44" t="s">
        <v>2071</v>
      </c>
      <c r="D205" s="1" t="s">
        <v>2057</v>
      </c>
      <c r="E205" s="44" t="s">
        <v>2071</v>
      </c>
      <c r="F205" s="38" t="s">
        <v>2058</v>
      </c>
      <c r="G205" s="45">
        <v>4900</v>
      </c>
      <c r="H205" s="45">
        <v>29.4</v>
      </c>
    </row>
    <row r="206" spans="1:8">
      <c r="A206" s="78">
        <v>128566760368</v>
      </c>
      <c r="B206" s="1" t="s">
        <v>8</v>
      </c>
      <c r="C206" s="44" t="s">
        <v>2071</v>
      </c>
      <c r="D206" s="1" t="s">
        <v>2057</v>
      </c>
      <c r="E206" s="44" t="s">
        <v>2071</v>
      </c>
      <c r="F206" s="38" t="s">
        <v>2058</v>
      </c>
      <c r="G206" s="45">
        <v>104300</v>
      </c>
      <c r="H206" s="45">
        <v>625.79999999999995</v>
      </c>
    </row>
    <row r="207" spans="1:8">
      <c r="A207" s="78">
        <v>128558595664</v>
      </c>
      <c r="B207" s="1" t="s">
        <v>8</v>
      </c>
      <c r="C207" s="44" t="s">
        <v>2071</v>
      </c>
      <c r="D207" s="1" t="s">
        <v>2057</v>
      </c>
      <c r="E207" s="44" t="s">
        <v>2071</v>
      </c>
      <c r="F207" s="38" t="s">
        <v>2058</v>
      </c>
      <c r="G207" s="45">
        <v>19600</v>
      </c>
      <c r="H207" s="45">
        <v>117.6</v>
      </c>
    </row>
    <row r="208" spans="1:8">
      <c r="A208" s="78">
        <v>127991620827</v>
      </c>
      <c r="B208" s="1" t="s">
        <v>2088</v>
      </c>
      <c r="C208" s="44" t="s">
        <v>2071</v>
      </c>
      <c r="D208" s="1" t="s">
        <v>2057</v>
      </c>
      <c r="E208" s="44" t="s">
        <v>2071</v>
      </c>
      <c r="F208" s="38" t="s">
        <v>2058</v>
      </c>
      <c r="G208" s="45">
        <v>2210</v>
      </c>
      <c r="H208" s="45">
        <v>13.26</v>
      </c>
    </row>
    <row r="209" spans="1:8">
      <c r="A209" s="78">
        <v>128000465631</v>
      </c>
      <c r="B209" s="1" t="s">
        <v>2055</v>
      </c>
      <c r="C209" s="44" t="s">
        <v>2071</v>
      </c>
      <c r="D209" s="1" t="s">
        <v>2057</v>
      </c>
      <c r="E209" s="44" t="s">
        <v>2089</v>
      </c>
      <c r="F209" s="38" t="s">
        <v>2058</v>
      </c>
      <c r="G209" s="45">
        <v>60600</v>
      </c>
      <c r="H209" s="45">
        <v>363.6</v>
      </c>
    </row>
    <row r="210" spans="1:8">
      <c r="A210" s="78">
        <v>128001058955</v>
      </c>
      <c r="B210" s="1" t="s">
        <v>8</v>
      </c>
      <c r="C210" s="44" t="s">
        <v>2071</v>
      </c>
      <c r="D210" s="1" t="s">
        <v>2057</v>
      </c>
      <c r="E210" s="44" t="s">
        <v>2089</v>
      </c>
      <c r="F210" s="38" t="s">
        <v>2058</v>
      </c>
      <c r="G210" s="45">
        <v>38900</v>
      </c>
      <c r="H210" s="45">
        <v>233.4</v>
      </c>
    </row>
    <row r="211" spans="1:8">
      <c r="A211" s="78">
        <v>128001109327</v>
      </c>
      <c r="B211" s="1" t="s">
        <v>8</v>
      </c>
      <c r="C211" s="44" t="s">
        <v>2071</v>
      </c>
      <c r="D211" s="1" t="s">
        <v>2057</v>
      </c>
      <c r="E211" s="44" t="s">
        <v>2089</v>
      </c>
      <c r="F211" s="38" t="s">
        <v>2058</v>
      </c>
      <c r="G211" s="45">
        <v>39400</v>
      </c>
      <c r="H211" s="45">
        <v>236.4</v>
      </c>
    </row>
    <row r="212" spans="1:8">
      <c r="A212" s="78">
        <v>128001440707</v>
      </c>
      <c r="B212" s="1" t="s">
        <v>2055</v>
      </c>
      <c r="C212" s="44" t="s">
        <v>2071</v>
      </c>
      <c r="D212" s="1" t="s">
        <v>2057</v>
      </c>
      <c r="E212" s="44" t="s">
        <v>2089</v>
      </c>
      <c r="F212" s="38" t="s">
        <v>2058</v>
      </c>
      <c r="G212" s="45">
        <v>39900</v>
      </c>
      <c r="H212" s="45">
        <v>239.4</v>
      </c>
    </row>
    <row r="213" spans="1:8">
      <c r="A213" s="78">
        <v>128569194344</v>
      </c>
      <c r="B213" s="1" t="s">
        <v>8</v>
      </c>
      <c r="C213" s="44" t="s">
        <v>2071</v>
      </c>
      <c r="D213" s="1" t="s">
        <v>2057</v>
      </c>
      <c r="E213" s="44" t="s">
        <v>2089</v>
      </c>
      <c r="F213" s="38" t="s">
        <v>2058</v>
      </c>
      <c r="G213" s="45">
        <v>32300</v>
      </c>
      <c r="H213" s="45">
        <v>193.8</v>
      </c>
    </row>
    <row r="214" spans="1:8">
      <c r="A214" s="78">
        <v>127996004657</v>
      </c>
      <c r="B214" s="1" t="s">
        <v>2055</v>
      </c>
      <c r="C214" s="44" t="s">
        <v>2071</v>
      </c>
      <c r="D214" s="1" t="s">
        <v>2057</v>
      </c>
      <c r="E214" s="44" t="s">
        <v>2071</v>
      </c>
      <c r="F214" s="38" t="s">
        <v>2058</v>
      </c>
      <c r="G214" s="45">
        <v>43200</v>
      </c>
      <c r="H214" s="45">
        <v>259.2</v>
      </c>
    </row>
    <row r="215" spans="1:8">
      <c r="A215" s="78">
        <v>128572165456</v>
      </c>
      <c r="B215" s="1" t="s">
        <v>2055</v>
      </c>
      <c r="C215" s="44" t="s">
        <v>2089</v>
      </c>
      <c r="D215" s="1" t="s">
        <v>2057</v>
      </c>
      <c r="E215" s="44" t="s">
        <v>2089</v>
      </c>
      <c r="F215" s="38" t="s">
        <v>2058</v>
      </c>
      <c r="G215" s="45">
        <v>8200</v>
      </c>
      <c r="H215" s="45">
        <v>49.2</v>
      </c>
    </row>
    <row r="216" spans="1:8">
      <c r="A216" s="78">
        <v>127996122285</v>
      </c>
      <c r="B216" s="1" t="s">
        <v>8</v>
      </c>
      <c r="C216" s="44" t="s">
        <v>2071</v>
      </c>
      <c r="D216" s="1" t="s">
        <v>2057</v>
      </c>
      <c r="E216" s="44" t="s">
        <v>2071</v>
      </c>
      <c r="F216" s="38" t="s">
        <v>2058</v>
      </c>
      <c r="G216" s="45">
        <v>9000</v>
      </c>
      <c r="H216" s="45">
        <v>54</v>
      </c>
    </row>
    <row r="217" spans="1:8">
      <c r="A217" s="78">
        <v>128563250040</v>
      </c>
      <c r="B217" s="1" t="s">
        <v>8</v>
      </c>
      <c r="C217" s="44" t="s">
        <v>2071</v>
      </c>
      <c r="D217" s="1" t="s">
        <v>2057</v>
      </c>
      <c r="E217" s="44" t="s">
        <v>2071</v>
      </c>
      <c r="F217" s="38" t="s">
        <v>2058</v>
      </c>
      <c r="G217" s="45">
        <v>5000</v>
      </c>
      <c r="H217" s="45">
        <v>30</v>
      </c>
    </row>
    <row r="218" spans="1:8">
      <c r="A218" s="78">
        <v>127996361007</v>
      </c>
      <c r="B218" s="1" t="s">
        <v>8</v>
      </c>
      <c r="C218" s="44" t="s">
        <v>2071</v>
      </c>
      <c r="D218" s="1" t="s">
        <v>2057</v>
      </c>
      <c r="E218" s="44" t="s">
        <v>2071</v>
      </c>
      <c r="F218" s="38" t="s">
        <v>2058</v>
      </c>
      <c r="G218" s="45">
        <v>68100</v>
      </c>
      <c r="H218" s="45">
        <v>408.6</v>
      </c>
    </row>
    <row r="219" spans="1:8">
      <c r="A219" s="78">
        <v>127996450215</v>
      </c>
      <c r="B219" s="1" t="s">
        <v>8</v>
      </c>
      <c r="C219" s="44" t="s">
        <v>2071</v>
      </c>
      <c r="D219" s="1" t="s">
        <v>2057</v>
      </c>
      <c r="E219" s="44" t="s">
        <v>2071</v>
      </c>
      <c r="F219" s="38" t="s">
        <v>2058</v>
      </c>
      <c r="G219" s="45">
        <v>5300</v>
      </c>
      <c r="H219" s="45">
        <v>31.8</v>
      </c>
    </row>
    <row r="220" spans="1:8">
      <c r="A220" s="78">
        <v>128563797988</v>
      </c>
      <c r="B220" s="1" t="s">
        <v>8</v>
      </c>
      <c r="C220" s="44" t="s">
        <v>2071</v>
      </c>
      <c r="D220" s="1" t="s">
        <v>2057</v>
      </c>
      <c r="E220" s="44" t="s">
        <v>2071</v>
      </c>
      <c r="F220" s="38" t="s">
        <v>2058</v>
      </c>
      <c r="G220" s="45">
        <v>16700</v>
      </c>
      <c r="H220" s="45">
        <v>100.2</v>
      </c>
    </row>
    <row r="221" spans="1:8">
      <c r="A221" s="78">
        <v>128005948841</v>
      </c>
      <c r="B221" s="1" t="s">
        <v>8</v>
      </c>
      <c r="C221" s="44" t="s">
        <v>2089</v>
      </c>
      <c r="D221" s="1" t="s">
        <v>2057</v>
      </c>
      <c r="E221" s="44" t="s">
        <v>2089</v>
      </c>
      <c r="F221" s="38" t="s">
        <v>2058</v>
      </c>
      <c r="G221" s="45">
        <v>36600</v>
      </c>
      <c r="H221" s="45">
        <v>219.6</v>
      </c>
    </row>
    <row r="222" spans="1:8">
      <c r="A222" s="78">
        <v>128005944893</v>
      </c>
      <c r="B222" s="1" t="s">
        <v>2055</v>
      </c>
      <c r="C222" s="44" t="s">
        <v>2089</v>
      </c>
      <c r="D222" s="1" t="s">
        <v>2057</v>
      </c>
      <c r="E222" s="44" t="s">
        <v>2089</v>
      </c>
      <c r="F222" s="38" t="s">
        <v>2058</v>
      </c>
      <c r="G222" s="45">
        <v>4800</v>
      </c>
      <c r="H222" s="45">
        <v>28.8</v>
      </c>
    </row>
    <row r="223" spans="1:8">
      <c r="A223" s="78">
        <v>128564105462</v>
      </c>
      <c r="B223" s="1" t="s">
        <v>8</v>
      </c>
      <c r="C223" s="44" t="s">
        <v>2071</v>
      </c>
      <c r="D223" s="1" t="s">
        <v>2057</v>
      </c>
      <c r="E223" s="44" t="s">
        <v>2071</v>
      </c>
      <c r="F223" s="38" t="s">
        <v>2058</v>
      </c>
      <c r="G223" s="45">
        <v>9000</v>
      </c>
      <c r="H223" s="45">
        <v>54</v>
      </c>
    </row>
    <row r="224" spans="1:8">
      <c r="A224" s="78">
        <v>128573422760</v>
      </c>
      <c r="B224" s="1" t="s">
        <v>2090</v>
      </c>
      <c r="C224" s="44" t="s">
        <v>2089</v>
      </c>
      <c r="D224" s="1" t="s">
        <v>2057</v>
      </c>
      <c r="E224" s="44" t="s">
        <v>2089</v>
      </c>
      <c r="F224" s="38" t="s">
        <v>2058</v>
      </c>
      <c r="G224" s="45">
        <v>960</v>
      </c>
      <c r="H224" s="45">
        <v>5.76</v>
      </c>
    </row>
    <row r="225" spans="1:8">
      <c r="A225" s="78">
        <v>127997540269</v>
      </c>
      <c r="B225" s="1" t="s">
        <v>8</v>
      </c>
      <c r="C225" s="44" t="s">
        <v>2071</v>
      </c>
      <c r="D225" s="1" t="s">
        <v>2057</v>
      </c>
      <c r="E225" s="44" t="s">
        <v>2071</v>
      </c>
      <c r="F225" s="38" t="s">
        <v>2058</v>
      </c>
      <c r="G225" s="45">
        <v>34700</v>
      </c>
      <c r="H225" s="45">
        <v>208.2</v>
      </c>
    </row>
    <row r="226" spans="1:8">
      <c r="A226" s="78">
        <v>127997962901</v>
      </c>
      <c r="B226" s="1" t="s">
        <v>2091</v>
      </c>
      <c r="C226" s="44" t="s">
        <v>2071</v>
      </c>
      <c r="D226" s="1" t="s">
        <v>2057</v>
      </c>
      <c r="E226" s="44" t="s">
        <v>2071</v>
      </c>
      <c r="F226" s="38" t="s">
        <v>2058</v>
      </c>
      <c r="G226" s="45">
        <v>1480</v>
      </c>
      <c r="H226" s="45">
        <v>8.8800000000000008</v>
      </c>
    </row>
    <row r="227" spans="1:8">
      <c r="A227" s="78">
        <v>128007519843</v>
      </c>
      <c r="B227" s="1" t="s">
        <v>2092</v>
      </c>
      <c r="C227" s="44" t="s">
        <v>2089</v>
      </c>
      <c r="D227" s="1" t="s">
        <v>2057</v>
      </c>
      <c r="E227" s="44" t="s">
        <v>2089</v>
      </c>
      <c r="F227" s="38" t="s">
        <v>2058</v>
      </c>
      <c r="G227" s="45">
        <v>1295</v>
      </c>
      <c r="H227" s="45">
        <v>7.77</v>
      </c>
    </row>
    <row r="228" spans="1:8">
      <c r="A228" s="78">
        <v>128007866123</v>
      </c>
      <c r="B228" s="1" t="s">
        <v>8</v>
      </c>
      <c r="C228" s="44" t="s">
        <v>2089</v>
      </c>
      <c r="D228" s="1" t="s">
        <v>2057</v>
      </c>
      <c r="E228" s="44" t="s">
        <v>2089</v>
      </c>
      <c r="F228" s="38" t="s">
        <v>2058</v>
      </c>
      <c r="G228" s="45">
        <v>9600</v>
      </c>
      <c r="H228" s="45">
        <v>57.6</v>
      </c>
    </row>
    <row r="229" spans="1:8">
      <c r="A229" s="78">
        <v>128574803388</v>
      </c>
      <c r="B229" s="1" t="s">
        <v>2093</v>
      </c>
      <c r="C229" s="44" t="s">
        <v>2089</v>
      </c>
      <c r="D229" s="1" t="s">
        <v>2057</v>
      </c>
      <c r="E229" s="44" t="s">
        <v>2089</v>
      </c>
      <c r="F229" s="38" t="s">
        <v>2058</v>
      </c>
      <c r="G229" s="45">
        <v>960</v>
      </c>
      <c r="H229" s="45">
        <v>5.76</v>
      </c>
    </row>
    <row r="230" spans="1:8">
      <c r="A230" s="78">
        <v>127998690249</v>
      </c>
      <c r="B230" s="1" t="s">
        <v>8</v>
      </c>
      <c r="C230" s="44" t="s">
        <v>2071</v>
      </c>
      <c r="D230" s="1" t="s">
        <v>2057</v>
      </c>
      <c r="E230" s="44" t="s">
        <v>2071</v>
      </c>
      <c r="F230" s="38" t="s">
        <v>2058</v>
      </c>
      <c r="G230" s="45">
        <v>8800</v>
      </c>
      <c r="H230" s="45">
        <v>52.8</v>
      </c>
    </row>
    <row r="231" spans="1:8">
      <c r="A231" s="78">
        <v>127998789467</v>
      </c>
      <c r="B231" s="1" t="s">
        <v>2055</v>
      </c>
      <c r="C231" s="44" t="s">
        <v>2071</v>
      </c>
      <c r="D231" s="1" t="s">
        <v>2057</v>
      </c>
      <c r="E231" s="44" t="s">
        <v>2071</v>
      </c>
      <c r="F231" s="38" t="s">
        <v>2058</v>
      </c>
      <c r="G231" s="45">
        <v>82100</v>
      </c>
      <c r="H231" s="45">
        <v>492.6</v>
      </c>
    </row>
    <row r="232" spans="1:8">
      <c r="A232" s="78">
        <v>127998900895</v>
      </c>
      <c r="B232" s="1" t="s">
        <v>2094</v>
      </c>
      <c r="C232" s="44" t="s">
        <v>2071</v>
      </c>
      <c r="D232" s="1" t="s">
        <v>2057</v>
      </c>
      <c r="E232" s="44" t="s">
        <v>2071</v>
      </c>
      <c r="F232" s="38" t="s">
        <v>2058</v>
      </c>
      <c r="G232" s="45">
        <v>3760</v>
      </c>
      <c r="H232" s="45">
        <v>22.56</v>
      </c>
    </row>
    <row r="233" spans="1:8">
      <c r="A233" s="78">
        <v>128008101027</v>
      </c>
      <c r="B233" s="1" t="s">
        <v>2095</v>
      </c>
      <c r="C233" s="44" t="s">
        <v>2089</v>
      </c>
      <c r="D233" s="1" t="s">
        <v>2057</v>
      </c>
      <c r="E233" s="44" t="s">
        <v>2089</v>
      </c>
      <c r="F233" s="38" t="s">
        <v>2058</v>
      </c>
      <c r="G233" s="45">
        <v>2905</v>
      </c>
      <c r="H233" s="45">
        <v>17.43</v>
      </c>
    </row>
    <row r="234" spans="1:8">
      <c r="A234" s="78">
        <v>128008194223</v>
      </c>
      <c r="B234" s="1" t="s">
        <v>8</v>
      </c>
      <c r="C234" s="44" t="s">
        <v>2089</v>
      </c>
      <c r="D234" s="1" t="s">
        <v>2057</v>
      </c>
      <c r="E234" s="44" t="s">
        <v>2089</v>
      </c>
      <c r="F234" s="38" t="s">
        <v>2058</v>
      </c>
      <c r="G234" s="45">
        <v>8600</v>
      </c>
      <c r="H234" s="45">
        <v>51.6</v>
      </c>
    </row>
    <row r="235" spans="1:8">
      <c r="A235" s="78">
        <v>127999228319</v>
      </c>
      <c r="B235" s="1" t="s">
        <v>8</v>
      </c>
      <c r="C235" s="44" t="s">
        <v>2071</v>
      </c>
      <c r="D235" s="1" t="s">
        <v>2057</v>
      </c>
      <c r="E235" s="44" t="s">
        <v>2071</v>
      </c>
      <c r="F235" s="38" t="s">
        <v>2058</v>
      </c>
      <c r="G235" s="45">
        <v>63500</v>
      </c>
      <c r="H235" s="45">
        <v>381</v>
      </c>
    </row>
    <row r="236" spans="1:8">
      <c r="A236" s="78">
        <v>128567047402</v>
      </c>
      <c r="B236" s="1" t="s">
        <v>8</v>
      </c>
      <c r="C236" s="44" t="s">
        <v>2071</v>
      </c>
      <c r="D236" s="1" t="s">
        <v>2057</v>
      </c>
      <c r="E236" s="44" t="s">
        <v>2071</v>
      </c>
      <c r="F236" s="38" t="s">
        <v>2058</v>
      </c>
      <c r="G236" s="45">
        <v>13200</v>
      </c>
      <c r="H236" s="45">
        <v>79.2</v>
      </c>
    </row>
    <row r="237" spans="1:8">
      <c r="A237" s="78">
        <v>128000200419</v>
      </c>
      <c r="B237" s="1" t="s">
        <v>8</v>
      </c>
      <c r="C237" s="44" t="s">
        <v>2071</v>
      </c>
      <c r="D237" s="1" t="s">
        <v>2057</v>
      </c>
      <c r="E237" s="44" t="s">
        <v>2071</v>
      </c>
      <c r="F237" s="38" t="s">
        <v>2058</v>
      </c>
      <c r="G237" s="45">
        <v>40600</v>
      </c>
      <c r="H237" s="45">
        <v>243.6</v>
      </c>
    </row>
    <row r="238" spans="1:8">
      <c r="A238" s="78">
        <v>128000430537</v>
      </c>
      <c r="B238" s="1" t="s">
        <v>2055</v>
      </c>
      <c r="C238" s="44" t="s">
        <v>2071</v>
      </c>
      <c r="D238" s="1" t="s">
        <v>2057</v>
      </c>
      <c r="E238" s="44" t="s">
        <v>2071</v>
      </c>
      <c r="F238" s="38" t="s">
        <v>2058</v>
      </c>
      <c r="G238" s="45">
        <v>19700</v>
      </c>
      <c r="H238" s="45">
        <v>118.2</v>
      </c>
    </row>
    <row r="239" spans="1:8">
      <c r="A239" s="78">
        <v>128568081896</v>
      </c>
      <c r="B239" s="1" t="s">
        <v>8</v>
      </c>
      <c r="C239" s="44" t="s">
        <v>2071</v>
      </c>
      <c r="D239" s="1" t="s">
        <v>2057</v>
      </c>
      <c r="E239" s="44" t="s">
        <v>2089</v>
      </c>
      <c r="F239" s="38" t="s">
        <v>2058</v>
      </c>
      <c r="G239" s="45">
        <v>8800</v>
      </c>
      <c r="H239" s="45">
        <v>52.8</v>
      </c>
    </row>
    <row r="240" spans="1:8">
      <c r="A240" s="78">
        <v>128001644287</v>
      </c>
      <c r="B240" s="1" t="s">
        <v>8</v>
      </c>
      <c r="C240" s="44" t="s">
        <v>2071</v>
      </c>
      <c r="D240" s="1" t="s">
        <v>2057</v>
      </c>
      <c r="E240" s="44" t="s">
        <v>2089</v>
      </c>
      <c r="F240" s="38" t="s">
        <v>2058</v>
      </c>
      <c r="G240" s="45">
        <v>34500</v>
      </c>
      <c r="H240" s="45">
        <v>207</v>
      </c>
    </row>
    <row r="241" spans="1:8">
      <c r="A241" s="78">
        <v>128568561564</v>
      </c>
      <c r="B241" s="1" t="s">
        <v>2096</v>
      </c>
      <c r="C241" s="44" t="s">
        <v>2071</v>
      </c>
      <c r="D241" s="1" t="s">
        <v>2057</v>
      </c>
      <c r="E241" s="44" t="s">
        <v>2089</v>
      </c>
      <c r="F241" s="38" t="s">
        <v>2058</v>
      </c>
      <c r="G241" s="45">
        <v>2000</v>
      </c>
      <c r="H241" s="45">
        <v>12</v>
      </c>
    </row>
    <row r="242" spans="1:8">
      <c r="A242" s="78">
        <v>128569096724</v>
      </c>
      <c r="B242" s="1" t="s">
        <v>8</v>
      </c>
      <c r="C242" s="44" t="s">
        <v>2071</v>
      </c>
      <c r="D242" s="1" t="s">
        <v>2057</v>
      </c>
      <c r="E242" s="44" t="s">
        <v>2089</v>
      </c>
      <c r="F242" s="38" t="s">
        <v>2058</v>
      </c>
      <c r="G242" s="45">
        <v>17600</v>
      </c>
      <c r="H242" s="45">
        <v>105.6</v>
      </c>
    </row>
    <row r="243" spans="1:8">
      <c r="A243" s="78">
        <v>128569976332</v>
      </c>
      <c r="B243" s="1" t="s">
        <v>2055</v>
      </c>
      <c r="C243" s="44" t="s">
        <v>2071</v>
      </c>
      <c r="D243" s="1" t="s">
        <v>2057</v>
      </c>
      <c r="E243" s="44" t="s">
        <v>2089</v>
      </c>
      <c r="F243" s="38" t="s">
        <v>2058</v>
      </c>
      <c r="G243" s="45">
        <v>25900</v>
      </c>
      <c r="H243" s="45">
        <v>155.4</v>
      </c>
    </row>
    <row r="244" spans="1:8">
      <c r="A244" s="78">
        <v>128570461436</v>
      </c>
      <c r="B244" s="1" t="s">
        <v>8</v>
      </c>
      <c r="C244" s="44" t="s">
        <v>2071</v>
      </c>
      <c r="D244" s="1" t="s">
        <v>2057</v>
      </c>
      <c r="E244" s="44" t="s">
        <v>2089</v>
      </c>
      <c r="F244" s="38" t="s">
        <v>2058</v>
      </c>
      <c r="G244" s="45">
        <v>10600</v>
      </c>
      <c r="H244" s="45">
        <v>63.6</v>
      </c>
    </row>
    <row r="245" spans="1:8">
      <c r="A245" s="78">
        <v>128571344170</v>
      </c>
      <c r="B245" s="1" t="s">
        <v>8</v>
      </c>
      <c r="C245" s="44" t="s">
        <v>2089</v>
      </c>
      <c r="D245" s="1" t="s">
        <v>2057</v>
      </c>
      <c r="E245" s="44" t="s">
        <v>2089</v>
      </c>
      <c r="F245" s="38" t="s">
        <v>2058</v>
      </c>
      <c r="G245" s="45">
        <v>23200</v>
      </c>
      <c r="H245" s="45">
        <v>139.19999999999999</v>
      </c>
    </row>
    <row r="246" spans="1:8">
      <c r="A246" s="78">
        <v>128571825428</v>
      </c>
      <c r="B246" s="1" t="s">
        <v>8</v>
      </c>
      <c r="C246" s="44" t="s">
        <v>2089</v>
      </c>
      <c r="D246" s="1" t="s">
        <v>2057</v>
      </c>
      <c r="E246" s="44" t="s">
        <v>2089</v>
      </c>
      <c r="F246" s="38" t="s">
        <v>2058</v>
      </c>
      <c r="G246" s="45">
        <v>38500</v>
      </c>
      <c r="H246" s="45">
        <v>231</v>
      </c>
    </row>
    <row r="247" spans="1:8">
      <c r="A247" s="78">
        <v>128005151107</v>
      </c>
      <c r="B247" s="1" t="s">
        <v>8</v>
      </c>
      <c r="C247" s="44" t="s">
        <v>2089</v>
      </c>
      <c r="D247" s="1" t="s">
        <v>2057</v>
      </c>
      <c r="E247" s="44" t="s">
        <v>2089</v>
      </c>
      <c r="F247" s="38" t="s">
        <v>2058</v>
      </c>
      <c r="G247" s="45">
        <v>77500</v>
      </c>
      <c r="H247" s="45">
        <v>465</v>
      </c>
    </row>
    <row r="248" spans="1:8">
      <c r="A248" s="78">
        <v>128005159549</v>
      </c>
      <c r="B248" s="1" t="s">
        <v>8</v>
      </c>
      <c r="C248" s="44" t="s">
        <v>2089</v>
      </c>
      <c r="D248" s="1" t="s">
        <v>2057</v>
      </c>
      <c r="E248" s="44" t="s">
        <v>2089</v>
      </c>
      <c r="F248" s="38" t="s">
        <v>2058</v>
      </c>
      <c r="G248" s="45">
        <v>99300</v>
      </c>
      <c r="H248" s="45">
        <v>595.79999999999995</v>
      </c>
    </row>
    <row r="249" spans="1:8">
      <c r="A249" s="78">
        <v>128572181400</v>
      </c>
      <c r="B249" s="1" t="s">
        <v>2055</v>
      </c>
      <c r="C249" s="44" t="s">
        <v>2089</v>
      </c>
      <c r="D249" s="1" t="s">
        <v>2057</v>
      </c>
      <c r="E249" s="44" t="s">
        <v>2089</v>
      </c>
      <c r="F249" s="38" t="s">
        <v>2058</v>
      </c>
      <c r="G249" s="45">
        <v>23500</v>
      </c>
      <c r="H249" s="45">
        <v>141</v>
      </c>
    </row>
    <row r="250" spans="1:8">
      <c r="A250" s="78">
        <v>128005247119</v>
      </c>
      <c r="B250" s="1" t="s">
        <v>2055</v>
      </c>
      <c r="C250" s="44" t="s">
        <v>2089</v>
      </c>
      <c r="D250" s="1" t="s">
        <v>2057</v>
      </c>
      <c r="E250" s="44" t="s">
        <v>2089</v>
      </c>
      <c r="F250" s="38" t="s">
        <v>2058</v>
      </c>
      <c r="G250" s="45">
        <v>42300</v>
      </c>
      <c r="H250" s="45">
        <v>253.8</v>
      </c>
    </row>
    <row r="251" spans="1:8">
      <c r="A251" s="78">
        <v>128005725859</v>
      </c>
      <c r="B251" s="1" t="s">
        <v>8</v>
      </c>
      <c r="C251" s="44" t="s">
        <v>2089</v>
      </c>
      <c r="D251" s="1" t="s">
        <v>2057</v>
      </c>
      <c r="E251" s="44" t="s">
        <v>2089</v>
      </c>
      <c r="F251" s="38" t="s">
        <v>2058</v>
      </c>
      <c r="G251" s="45">
        <v>39100</v>
      </c>
      <c r="H251" s="45">
        <v>234.6</v>
      </c>
    </row>
    <row r="252" spans="1:8">
      <c r="A252" s="78">
        <v>128006056141</v>
      </c>
      <c r="B252" s="1" t="s">
        <v>8</v>
      </c>
      <c r="C252" s="44" t="s">
        <v>2089</v>
      </c>
      <c r="D252" s="1" t="s">
        <v>2057</v>
      </c>
      <c r="E252" s="44" t="s">
        <v>2089</v>
      </c>
      <c r="F252" s="38" t="s">
        <v>2058</v>
      </c>
      <c r="G252" s="45">
        <v>15300</v>
      </c>
      <c r="H252" s="45">
        <v>91.8</v>
      </c>
    </row>
    <row r="253" spans="1:8">
      <c r="A253" s="78">
        <v>128006270955</v>
      </c>
      <c r="B253" s="1" t="s">
        <v>8</v>
      </c>
      <c r="C253" s="44" t="s">
        <v>2089</v>
      </c>
      <c r="D253" s="1" t="s">
        <v>2057</v>
      </c>
      <c r="E253" s="44" t="s">
        <v>2089</v>
      </c>
      <c r="F253" s="38" t="s">
        <v>2058</v>
      </c>
      <c r="G253" s="45">
        <v>26400</v>
      </c>
      <c r="H253" s="45">
        <v>158.4</v>
      </c>
    </row>
    <row r="254" spans="1:8">
      <c r="A254" s="78">
        <v>128573428634</v>
      </c>
      <c r="B254" s="1" t="s">
        <v>8</v>
      </c>
      <c r="C254" s="44" t="s">
        <v>2089</v>
      </c>
      <c r="D254" s="1" t="s">
        <v>2057</v>
      </c>
      <c r="E254" s="44" t="s">
        <v>2089</v>
      </c>
      <c r="F254" s="38" t="s">
        <v>2058</v>
      </c>
      <c r="G254" s="45">
        <v>9600</v>
      </c>
      <c r="H254" s="45">
        <v>57.6</v>
      </c>
    </row>
    <row r="255" spans="1:8">
      <c r="A255" s="78">
        <v>128006450347</v>
      </c>
      <c r="B255" s="1" t="s">
        <v>8</v>
      </c>
      <c r="C255" s="44" t="s">
        <v>2089</v>
      </c>
      <c r="D255" s="1" t="s">
        <v>2057</v>
      </c>
      <c r="E255" s="44" t="s">
        <v>2089</v>
      </c>
      <c r="F255" s="38" t="s">
        <v>2058</v>
      </c>
      <c r="G255" s="45">
        <v>37600</v>
      </c>
      <c r="H255" s="45">
        <v>225.6</v>
      </c>
    </row>
    <row r="256" spans="1:8">
      <c r="A256" s="78">
        <v>128006450901</v>
      </c>
      <c r="B256" s="1" t="s">
        <v>8</v>
      </c>
      <c r="C256" s="44" t="s">
        <v>2089</v>
      </c>
      <c r="D256" s="1" t="s">
        <v>2057</v>
      </c>
      <c r="E256" s="44" t="s">
        <v>2089</v>
      </c>
      <c r="F256" s="38" t="s">
        <v>2058</v>
      </c>
      <c r="G256" s="45">
        <v>12400</v>
      </c>
      <c r="H256" s="45">
        <v>74.400000000000006</v>
      </c>
    </row>
    <row r="257" spans="1:8">
      <c r="A257" s="78">
        <v>128006790639</v>
      </c>
      <c r="B257" s="1" t="s">
        <v>8</v>
      </c>
      <c r="C257" s="44" t="s">
        <v>2089</v>
      </c>
      <c r="D257" s="1" t="s">
        <v>2057</v>
      </c>
      <c r="E257" s="44" t="s">
        <v>2089</v>
      </c>
      <c r="F257" s="38" t="s">
        <v>2058</v>
      </c>
      <c r="G257" s="45">
        <v>8800</v>
      </c>
      <c r="H257" s="45">
        <v>52.8</v>
      </c>
    </row>
    <row r="258" spans="1:8">
      <c r="A258" s="78">
        <v>128574660704</v>
      </c>
      <c r="B258" s="1" t="s">
        <v>8</v>
      </c>
      <c r="C258" s="44" t="s">
        <v>2089</v>
      </c>
      <c r="D258" s="1" t="s">
        <v>2057</v>
      </c>
      <c r="E258" s="44" t="s">
        <v>2089</v>
      </c>
      <c r="F258" s="38" t="s">
        <v>2058</v>
      </c>
      <c r="G258" s="45">
        <v>25900</v>
      </c>
      <c r="H258" s="45">
        <v>155.4</v>
      </c>
    </row>
    <row r="259" spans="1:8">
      <c r="A259" s="78">
        <v>128008144261</v>
      </c>
      <c r="B259" s="1" t="s">
        <v>8</v>
      </c>
      <c r="C259" s="44" t="s">
        <v>2089</v>
      </c>
      <c r="D259" s="1" t="s">
        <v>2057</v>
      </c>
      <c r="E259" s="44" t="s">
        <v>2089</v>
      </c>
      <c r="F259" s="38" t="s">
        <v>2058</v>
      </c>
      <c r="G259" s="45">
        <v>58100</v>
      </c>
      <c r="H259" s="45">
        <v>348.6</v>
      </c>
    </row>
    <row r="260" spans="1:8">
      <c r="A260" s="78">
        <v>128099061791</v>
      </c>
      <c r="B260" s="1" t="s">
        <v>8</v>
      </c>
      <c r="C260" s="44" t="s">
        <v>2089</v>
      </c>
      <c r="D260" s="1" t="s">
        <v>2057</v>
      </c>
      <c r="E260" s="44" t="s">
        <v>2089</v>
      </c>
      <c r="F260" s="38" t="s">
        <v>2058</v>
      </c>
      <c r="G260" s="45">
        <v>9600</v>
      </c>
      <c r="H260" s="45">
        <v>57.6</v>
      </c>
    </row>
    <row r="261" spans="1:8">
      <c r="A261" s="78">
        <v>128667988688</v>
      </c>
      <c r="B261" s="1" t="s">
        <v>2097</v>
      </c>
      <c r="C261" s="44" t="s">
        <v>2089</v>
      </c>
      <c r="D261" s="1" t="s">
        <v>2057</v>
      </c>
      <c r="E261" s="44" t="s">
        <v>2089</v>
      </c>
      <c r="F261" s="38" t="s">
        <v>2058</v>
      </c>
      <c r="G261" s="45">
        <v>245</v>
      </c>
      <c r="H261" s="45">
        <v>1.47</v>
      </c>
    </row>
    <row r="262" spans="1:8">
      <c r="A262" s="78">
        <v>128668834886</v>
      </c>
      <c r="B262" s="1" t="s">
        <v>8</v>
      </c>
      <c r="C262" s="44" t="s">
        <v>2089</v>
      </c>
      <c r="D262" s="1" t="s">
        <v>2057</v>
      </c>
      <c r="E262" s="44" t="s">
        <v>2089</v>
      </c>
      <c r="F262" s="38" t="s">
        <v>2058</v>
      </c>
      <c r="G262" s="45">
        <v>9800</v>
      </c>
      <c r="H262" s="45">
        <v>58.8</v>
      </c>
    </row>
    <row r="263" spans="1:8">
      <c r="A263" s="78">
        <v>128102652299</v>
      </c>
      <c r="B263" s="1" t="s">
        <v>8</v>
      </c>
      <c r="C263" s="44" t="s">
        <v>2089</v>
      </c>
      <c r="D263" s="1" t="s">
        <v>2057</v>
      </c>
      <c r="E263" s="44" t="s">
        <v>2089</v>
      </c>
      <c r="F263" s="38" t="s">
        <v>2058</v>
      </c>
      <c r="G263" s="45">
        <v>17400</v>
      </c>
      <c r="H263" s="45">
        <v>104.4</v>
      </c>
    </row>
    <row r="264" spans="1:8">
      <c r="A264" s="78">
        <v>128094716841</v>
      </c>
      <c r="B264" s="1" t="s">
        <v>8</v>
      </c>
      <c r="C264" s="44" t="s">
        <v>2089</v>
      </c>
      <c r="D264" s="1" t="s">
        <v>2057</v>
      </c>
      <c r="E264" s="44" t="s">
        <v>2089</v>
      </c>
      <c r="F264" s="38" t="s">
        <v>2058</v>
      </c>
      <c r="G264" s="45">
        <v>4300</v>
      </c>
      <c r="H264" s="45">
        <v>25.8</v>
      </c>
    </row>
    <row r="265" spans="1:8">
      <c r="A265" s="78">
        <v>128662203164</v>
      </c>
      <c r="B265" s="1" t="s">
        <v>2098</v>
      </c>
      <c r="C265" s="44" t="s">
        <v>2089</v>
      </c>
      <c r="D265" s="1" t="s">
        <v>2057</v>
      </c>
      <c r="E265" s="44" t="s">
        <v>2089</v>
      </c>
      <c r="F265" s="38" t="s">
        <v>2058</v>
      </c>
      <c r="G265" s="45">
        <v>430</v>
      </c>
      <c r="H265" s="45">
        <v>2.58</v>
      </c>
    </row>
    <row r="266" spans="1:8">
      <c r="A266" s="78">
        <v>128106052243</v>
      </c>
      <c r="B266" s="1" t="s">
        <v>8</v>
      </c>
      <c r="C266" s="44" t="s">
        <v>2089</v>
      </c>
      <c r="D266" s="1" t="s">
        <v>2057</v>
      </c>
      <c r="E266" s="44" t="s">
        <v>2089</v>
      </c>
      <c r="F266" s="38" t="s">
        <v>2058</v>
      </c>
      <c r="G266" s="45">
        <v>31700</v>
      </c>
      <c r="H266" s="45">
        <v>190.2</v>
      </c>
    </row>
    <row r="267" spans="1:8">
      <c r="A267" s="78">
        <v>128106623785</v>
      </c>
      <c r="B267" s="1" t="s">
        <v>2055</v>
      </c>
      <c r="C267" s="44" t="s">
        <v>2089</v>
      </c>
      <c r="D267" s="1" t="s">
        <v>2057</v>
      </c>
      <c r="E267" s="44" t="s">
        <v>2089</v>
      </c>
      <c r="F267" s="38" t="s">
        <v>2058</v>
      </c>
      <c r="G267" s="45">
        <v>4900</v>
      </c>
      <c r="H267" s="45">
        <v>29.4</v>
      </c>
    </row>
    <row r="268" spans="1:8">
      <c r="A268" s="78">
        <v>128674686368</v>
      </c>
      <c r="B268" s="1" t="s">
        <v>2099</v>
      </c>
      <c r="C268" s="44" t="s">
        <v>2089</v>
      </c>
      <c r="D268" s="1" t="s">
        <v>2057</v>
      </c>
      <c r="E268" s="44" t="s">
        <v>2089</v>
      </c>
      <c r="F268" s="38" t="s">
        <v>2058</v>
      </c>
      <c r="G268" s="45">
        <v>1470</v>
      </c>
      <c r="H268" s="45">
        <v>8.82</v>
      </c>
    </row>
    <row r="269" spans="1:8">
      <c r="A269" s="78">
        <v>128106812525</v>
      </c>
      <c r="B269" s="1" t="s">
        <v>8</v>
      </c>
      <c r="C269" s="44" t="s">
        <v>2089</v>
      </c>
      <c r="D269" s="1" t="s">
        <v>2057</v>
      </c>
      <c r="E269" s="44" t="s">
        <v>2089</v>
      </c>
      <c r="F269" s="38" t="s">
        <v>2058</v>
      </c>
      <c r="G269" s="45">
        <v>9800</v>
      </c>
      <c r="H269" s="45">
        <v>58.8</v>
      </c>
    </row>
    <row r="270" spans="1:8">
      <c r="A270" s="78">
        <v>128100123265</v>
      </c>
      <c r="B270" s="1" t="s">
        <v>8</v>
      </c>
      <c r="C270" s="44" t="s">
        <v>2089</v>
      </c>
      <c r="D270" s="1" t="s">
        <v>2057</v>
      </c>
      <c r="E270" s="44" t="s">
        <v>2089</v>
      </c>
      <c r="F270" s="38" t="s">
        <v>2058</v>
      </c>
      <c r="G270" s="45">
        <v>4900</v>
      </c>
      <c r="H270" s="45">
        <v>29.4</v>
      </c>
    </row>
    <row r="271" spans="1:8">
      <c r="A271" s="78">
        <v>128668277384</v>
      </c>
      <c r="B271" s="1" t="s">
        <v>8</v>
      </c>
      <c r="C271" s="44" t="s">
        <v>2089</v>
      </c>
      <c r="D271" s="1" t="s">
        <v>2057</v>
      </c>
      <c r="E271" s="44" t="s">
        <v>2089</v>
      </c>
      <c r="F271" s="38" t="s">
        <v>2058</v>
      </c>
      <c r="G271" s="45">
        <v>5800</v>
      </c>
      <c r="H271" s="45">
        <v>34.799999999999997</v>
      </c>
    </row>
    <row r="272" spans="1:8">
      <c r="A272" s="78">
        <v>128113046995</v>
      </c>
      <c r="B272" s="1" t="s">
        <v>2055</v>
      </c>
      <c r="C272" s="44" t="s">
        <v>2089</v>
      </c>
      <c r="D272" s="1" t="s">
        <v>2057</v>
      </c>
      <c r="E272" s="44" t="s">
        <v>2089</v>
      </c>
      <c r="F272" s="38" t="s">
        <v>2058</v>
      </c>
      <c r="G272" s="45">
        <v>13300</v>
      </c>
      <c r="H272" s="45">
        <v>79.8</v>
      </c>
    </row>
    <row r="273" spans="1:8">
      <c r="A273" s="78">
        <v>128104746523</v>
      </c>
      <c r="B273" s="1" t="s">
        <v>2055</v>
      </c>
      <c r="C273" s="44" t="s">
        <v>2089</v>
      </c>
      <c r="D273" s="1" t="s">
        <v>2057</v>
      </c>
      <c r="E273" s="44" t="s">
        <v>2089</v>
      </c>
      <c r="F273" s="38" t="s">
        <v>2058</v>
      </c>
      <c r="G273" s="45">
        <v>47400</v>
      </c>
      <c r="H273" s="45">
        <v>284.39999999999998</v>
      </c>
    </row>
    <row r="274" spans="1:8">
      <c r="A274" s="78">
        <v>128683315144</v>
      </c>
      <c r="B274" s="1" t="s">
        <v>8</v>
      </c>
      <c r="C274" s="44" t="s">
        <v>2089</v>
      </c>
      <c r="D274" s="1" t="s">
        <v>2057</v>
      </c>
      <c r="E274" s="44" t="s">
        <v>2089</v>
      </c>
      <c r="F274" s="38" t="s">
        <v>2058</v>
      </c>
      <c r="G274" s="45">
        <v>33400</v>
      </c>
      <c r="H274" s="45">
        <v>200.4</v>
      </c>
    </row>
    <row r="275" spans="1:8">
      <c r="A275" s="78">
        <v>128115571549</v>
      </c>
      <c r="B275" s="1" t="s">
        <v>8</v>
      </c>
      <c r="C275" s="44" t="s">
        <v>2089</v>
      </c>
      <c r="D275" s="1" t="s">
        <v>2057</v>
      </c>
      <c r="E275" s="44" t="s">
        <v>2089</v>
      </c>
      <c r="F275" s="38" t="s">
        <v>2058</v>
      </c>
      <c r="G275" s="45">
        <v>28300</v>
      </c>
      <c r="H275" s="45">
        <v>169.8</v>
      </c>
    </row>
    <row r="276" spans="1:8">
      <c r="A276" s="78">
        <v>128683578206</v>
      </c>
      <c r="B276" s="1" t="s">
        <v>8</v>
      </c>
      <c r="C276" s="44" t="s">
        <v>2089</v>
      </c>
      <c r="D276" s="1" t="s">
        <v>2057</v>
      </c>
      <c r="E276" s="44" t="s">
        <v>2089</v>
      </c>
      <c r="F276" s="38" t="s">
        <v>2058</v>
      </c>
      <c r="G276" s="45">
        <v>9800</v>
      </c>
      <c r="H276" s="45">
        <v>58.8</v>
      </c>
    </row>
    <row r="277" spans="1:8">
      <c r="A277" s="78">
        <v>128115776901</v>
      </c>
      <c r="B277" s="1" t="s">
        <v>2055</v>
      </c>
      <c r="C277" s="44" t="s">
        <v>2089</v>
      </c>
      <c r="D277" s="1" t="s">
        <v>2057</v>
      </c>
      <c r="E277" s="44" t="s">
        <v>2089</v>
      </c>
      <c r="F277" s="38" t="s">
        <v>2058</v>
      </c>
      <c r="G277" s="45">
        <v>34500</v>
      </c>
      <c r="H277" s="45">
        <v>207</v>
      </c>
    </row>
    <row r="278" spans="1:8">
      <c r="A278" s="78">
        <v>128116626371</v>
      </c>
      <c r="B278" s="1" t="s">
        <v>8</v>
      </c>
      <c r="C278" s="44" t="s">
        <v>2089</v>
      </c>
      <c r="D278" s="1" t="s">
        <v>2057</v>
      </c>
      <c r="E278" s="44" t="s">
        <v>2089</v>
      </c>
      <c r="F278" s="38" t="s">
        <v>2058</v>
      </c>
      <c r="G278" s="45">
        <v>34400</v>
      </c>
      <c r="H278" s="45">
        <v>206.4</v>
      </c>
    </row>
    <row r="279" spans="1:8">
      <c r="A279" s="78">
        <v>128118062595</v>
      </c>
      <c r="B279" s="1" t="s">
        <v>8</v>
      </c>
      <c r="C279" s="44" t="s">
        <v>2089</v>
      </c>
      <c r="D279" s="1" t="s">
        <v>2057</v>
      </c>
      <c r="E279" s="44" t="s">
        <v>2089</v>
      </c>
      <c r="F279" s="38" t="s">
        <v>2058</v>
      </c>
      <c r="G279" s="45">
        <v>22400</v>
      </c>
      <c r="H279" s="45">
        <v>134.4</v>
      </c>
    </row>
    <row r="280" spans="1:8">
      <c r="A280" s="78">
        <v>128676006318</v>
      </c>
      <c r="B280" s="1" t="s">
        <v>2055</v>
      </c>
      <c r="C280" s="44" t="s">
        <v>2089</v>
      </c>
      <c r="D280" s="1" t="s">
        <v>2057</v>
      </c>
      <c r="E280" s="44" t="s">
        <v>2089</v>
      </c>
      <c r="F280" s="38" t="s">
        <v>2058</v>
      </c>
      <c r="G280" s="45">
        <v>65650</v>
      </c>
      <c r="H280" s="45">
        <v>393.9</v>
      </c>
    </row>
    <row r="281" spans="1:8">
      <c r="A281" s="78">
        <v>128676549330</v>
      </c>
      <c r="B281" s="1" t="s">
        <v>8</v>
      </c>
      <c r="C281" s="44" t="s">
        <v>2089</v>
      </c>
      <c r="D281" s="1" t="s">
        <v>2057</v>
      </c>
      <c r="E281" s="44" t="s">
        <v>2089</v>
      </c>
      <c r="F281" s="38" t="s">
        <v>2058</v>
      </c>
      <c r="G281" s="45">
        <v>15800</v>
      </c>
      <c r="H281" s="45">
        <v>94.8</v>
      </c>
    </row>
    <row r="282" spans="1:8">
      <c r="A282" s="78">
        <v>128687148252</v>
      </c>
      <c r="B282" s="1" t="s">
        <v>2100</v>
      </c>
      <c r="C282" s="44" t="s">
        <v>2089</v>
      </c>
      <c r="D282" s="1" t="s">
        <v>2057</v>
      </c>
      <c r="E282" s="44" t="s">
        <v>2089</v>
      </c>
      <c r="F282" s="38" t="s">
        <v>2058</v>
      </c>
      <c r="G282" s="45">
        <v>1900</v>
      </c>
      <c r="H282" s="45">
        <v>11.4</v>
      </c>
    </row>
    <row r="283" spans="1:8">
      <c r="A283" s="78">
        <v>128687029470</v>
      </c>
      <c r="B283" s="1" t="s">
        <v>8</v>
      </c>
      <c r="C283" s="44" t="s">
        <v>2089</v>
      </c>
      <c r="D283" s="1" t="s">
        <v>2057</v>
      </c>
      <c r="E283" s="44" t="s">
        <v>2089</v>
      </c>
      <c r="F283" s="38" t="s">
        <v>2058</v>
      </c>
      <c r="G283" s="45">
        <v>38000</v>
      </c>
      <c r="H283" s="45">
        <v>228</v>
      </c>
    </row>
    <row r="284" spans="1:8">
      <c r="A284" s="78">
        <v>128120103931</v>
      </c>
      <c r="B284" s="1" t="s">
        <v>8</v>
      </c>
      <c r="C284" s="44" t="s">
        <v>2089</v>
      </c>
      <c r="D284" s="1" t="s">
        <v>2057</v>
      </c>
      <c r="E284" s="44" t="s">
        <v>2089</v>
      </c>
      <c r="F284" s="38" t="s">
        <v>2058</v>
      </c>
      <c r="G284" s="45">
        <v>9600</v>
      </c>
      <c r="H284" s="45">
        <v>57.6</v>
      </c>
    </row>
    <row r="285" spans="1:8">
      <c r="A285" s="78">
        <v>128120410601</v>
      </c>
      <c r="B285" s="1" t="s">
        <v>2055</v>
      </c>
      <c r="C285" s="44" t="s">
        <v>2089</v>
      </c>
      <c r="D285" s="1" t="s">
        <v>2057</v>
      </c>
      <c r="E285" s="44" t="s">
        <v>2089</v>
      </c>
      <c r="F285" s="38" t="s">
        <v>2058</v>
      </c>
      <c r="G285" s="45">
        <v>53000</v>
      </c>
      <c r="H285" s="45">
        <v>318</v>
      </c>
    </row>
    <row r="286" spans="1:8">
      <c r="A286" s="78">
        <v>128678113052</v>
      </c>
      <c r="B286" s="1" t="s">
        <v>8</v>
      </c>
      <c r="C286" s="44" t="s">
        <v>2089</v>
      </c>
      <c r="D286" s="1" t="s">
        <v>2057</v>
      </c>
      <c r="E286" s="44" t="s">
        <v>2089</v>
      </c>
      <c r="F286" s="38" t="s">
        <v>2058</v>
      </c>
      <c r="G286" s="45">
        <v>25900</v>
      </c>
      <c r="H286" s="45">
        <v>155.4</v>
      </c>
    </row>
    <row r="287" spans="1:8">
      <c r="A287" s="78">
        <v>128689516614</v>
      </c>
      <c r="B287" s="1" t="s">
        <v>2055</v>
      </c>
      <c r="C287" s="44" t="s">
        <v>2089</v>
      </c>
      <c r="D287" s="1" t="s">
        <v>2057</v>
      </c>
      <c r="E287" s="44" t="s">
        <v>2089</v>
      </c>
      <c r="F287" s="38" t="s">
        <v>2058</v>
      </c>
      <c r="G287" s="45">
        <v>55900</v>
      </c>
      <c r="H287" s="45">
        <v>335.4</v>
      </c>
    </row>
    <row r="288" spans="1:8">
      <c r="A288" s="78">
        <v>128111836609</v>
      </c>
      <c r="B288" s="1" t="s">
        <v>8</v>
      </c>
      <c r="C288" s="44" t="s">
        <v>2089</v>
      </c>
      <c r="D288" s="1" t="s">
        <v>2057</v>
      </c>
      <c r="E288" s="44" t="s">
        <v>2089</v>
      </c>
      <c r="F288" s="38" t="s">
        <v>2058</v>
      </c>
      <c r="G288" s="45">
        <v>10800</v>
      </c>
      <c r="H288" s="45">
        <v>64.8</v>
      </c>
    </row>
    <row r="289" spans="1:8">
      <c r="A289" s="78">
        <v>128122283721</v>
      </c>
      <c r="B289" s="1" t="s">
        <v>8</v>
      </c>
      <c r="C289" s="44" t="s">
        <v>2089</v>
      </c>
      <c r="D289" s="1" t="s">
        <v>2057</v>
      </c>
      <c r="E289" s="44" t="s">
        <v>2089</v>
      </c>
      <c r="F289" s="38" t="s">
        <v>2058</v>
      </c>
      <c r="G289" s="45">
        <v>5000</v>
      </c>
      <c r="H289" s="45">
        <v>30</v>
      </c>
    </row>
    <row r="290" spans="1:8">
      <c r="A290" s="78">
        <v>128690199068</v>
      </c>
      <c r="B290" s="1" t="s">
        <v>8</v>
      </c>
      <c r="C290" s="44" t="s">
        <v>2089</v>
      </c>
      <c r="D290" s="1" t="s">
        <v>2057</v>
      </c>
      <c r="E290" s="44" t="s">
        <v>2089</v>
      </c>
      <c r="F290" s="38" t="s">
        <v>2058</v>
      </c>
      <c r="G290" s="45">
        <v>9600</v>
      </c>
      <c r="H290" s="45">
        <v>57.6</v>
      </c>
    </row>
    <row r="291" spans="1:8">
      <c r="A291" s="78">
        <v>128123405379</v>
      </c>
      <c r="B291" s="1" t="s">
        <v>8</v>
      </c>
      <c r="C291" s="44" t="s">
        <v>2089</v>
      </c>
      <c r="D291" s="1" t="s">
        <v>2057</v>
      </c>
      <c r="E291" s="44" t="s">
        <v>2089</v>
      </c>
      <c r="F291" s="38" t="s">
        <v>2058</v>
      </c>
      <c r="G291" s="45">
        <v>9600</v>
      </c>
      <c r="H291" s="45">
        <v>57.6</v>
      </c>
    </row>
    <row r="292" spans="1:8">
      <c r="A292" s="78">
        <v>128680689872</v>
      </c>
      <c r="B292" s="1" t="s">
        <v>8</v>
      </c>
      <c r="C292" s="44" t="s">
        <v>2089</v>
      </c>
      <c r="D292" s="1" t="s">
        <v>2057</v>
      </c>
      <c r="E292" s="44" t="s">
        <v>2089</v>
      </c>
      <c r="F292" s="38" t="s">
        <v>2058</v>
      </c>
      <c r="G292" s="45">
        <v>13900</v>
      </c>
      <c r="H292" s="45">
        <v>83.4</v>
      </c>
    </row>
    <row r="293" spans="1:8">
      <c r="A293" s="78">
        <v>128113199157</v>
      </c>
      <c r="B293" s="1" t="s">
        <v>2055</v>
      </c>
      <c r="C293" s="44" t="s">
        <v>2089</v>
      </c>
      <c r="D293" s="1" t="s">
        <v>2057</v>
      </c>
      <c r="E293" s="44" t="s">
        <v>2089</v>
      </c>
      <c r="F293" s="38" t="s">
        <v>2058</v>
      </c>
      <c r="G293" s="45">
        <v>37400</v>
      </c>
      <c r="H293" s="45">
        <v>224.4</v>
      </c>
    </row>
    <row r="294" spans="1:8">
      <c r="A294" s="78">
        <v>128691751928</v>
      </c>
      <c r="B294" s="1" t="s">
        <v>8</v>
      </c>
      <c r="C294" s="44" t="s">
        <v>2089</v>
      </c>
      <c r="D294" s="1" t="s">
        <v>2057</v>
      </c>
      <c r="E294" s="44" t="s">
        <v>2089</v>
      </c>
      <c r="F294" s="38" t="s">
        <v>2058</v>
      </c>
      <c r="G294" s="45">
        <v>8000</v>
      </c>
      <c r="H294" s="45">
        <v>48</v>
      </c>
    </row>
    <row r="295" spans="1:8">
      <c r="A295" s="78">
        <v>128114015675</v>
      </c>
      <c r="B295" s="1" t="s">
        <v>2055</v>
      </c>
      <c r="C295" s="44" t="s">
        <v>2089</v>
      </c>
      <c r="D295" s="1" t="s">
        <v>2057</v>
      </c>
      <c r="E295" s="44" t="s">
        <v>2089</v>
      </c>
      <c r="F295" s="38" t="s">
        <v>2058</v>
      </c>
      <c r="G295" s="45">
        <v>55100</v>
      </c>
      <c r="H295" s="45">
        <v>330.6</v>
      </c>
    </row>
    <row r="296" spans="1:8">
      <c r="A296" s="78">
        <v>128692773100</v>
      </c>
      <c r="B296" s="1" t="s">
        <v>8</v>
      </c>
      <c r="C296" s="44" t="s">
        <v>2089</v>
      </c>
      <c r="D296" s="1" t="s">
        <v>2057</v>
      </c>
      <c r="E296" s="44" t="s">
        <v>2101</v>
      </c>
      <c r="F296" s="38" t="s">
        <v>2058</v>
      </c>
      <c r="G296" s="45">
        <v>5000</v>
      </c>
      <c r="H296" s="45">
        <v>30</v>
      </c>
    </row>
    <row r="297" spans="1:8">
      <c r="A297" s="78">
        <v>128682354308</v>
      </c>
      <c r="B297" s="1" t="s">
        <v>8</v>
      </c>
      <c r="C297" s="44" t="s">
        <v>2089</v>
      </c>
      <c r="D297" s="1" t="s">
        <v>2057</v>
      </c>
      <c r="E297" s="44" t="s">
        <v>2089</v>
      </c>
      <c r="F297" s="38" t="s">
        <v>2058</v>
      </c>
      <c r="G297" s="45">
        <v>35000</v>
      </c>
      <c r="H297" s="45">
        <v>210</v>
      </c>
    </row>
    <row r="298" spans="1:8">
      <c r="A298" s="78">
        <v>128682536902</v>
      </c>
      <c r="B298" s="1" t="s">
        <v>8</v>
      </c>
      <c r="C298" s="44" t="s">
        <v>2089</v>
      </c>
      <c r="D298" s="1" t="s">
        <v>2057</v>
      </c>
      <c r="E298" s="44" t="s">
        <v>2089</v>
      </c>
      <c r="F298" s="38" t="s">
        <v>2058</v>
      </c>
      <c r="G298" s="45">
        <v>14700</v>
      </c>
      <c r="H298" s="45">
        <v>88.2</v>
      </c>
    </row>
    <row r="299" spans="1:8">
      <c r="A299" s="78">
        <v>128682595192</v>
      </c>
      <c r="B299" s="1" t="s">
        <v>8</v>
      </c>
      <c r="C299" s="44" t="s">
        <v>2089</v>
      </c>
      <c r="D299" s="1" t="s">
        <v>2057</v>
      </c>
      <c r="E299" s="44" t="s">
        <v>2089</v>
      </c>
      <c r="F299" s="38" t="s">
        <v>2058</v>
      </c>
      <c r="G299" s="45">
        <v>101800</v>
      </c>
      <c r="H299" s="45">
        <v>610.79999999999995</v>
      </c>
    </row>
    <row r="300" spans="1:8">
      <c r="A300" s="78">
        <v>128682541576</v>
      </c>
      <c r="B300" s="1" t="s">
        <v>2102</v>
      </c>
      <c r="C300" s="44" t="s">
        <v>2089</v>
      </c>
      <c r="D300" s="1" t="s">
        <v>2057</v>
      </c>
      <c r="E300" s="44" t="s">
        <v>2089</v>
      </c>
      <c r="F300" s="38" t="s">
        <v>2058</v>
      </c>
      <c r="G300" s="45">
        <v>10180</v>
      </c>
      <c r="H300" s="45">
        <v>61.08</v>
      </c>
    </row>
    <row r="301" spans="1:8">
      <c r="A301" s="78">
        <v>128125660361</v>
      </c>
      <c r="B301" s="1" t="s">
        <v>8</v>
      </c>
      <c r="C301" s="44" t="s">
        <v>2089</v>
      </c>
      <c r="D301" s="1" t="s">
        <v>2057</v>
      </c>
      <c r="E301" s="44" t="s">
        <v>2101</v>
      </c>
      <c r="F301" s="38" t="s">
        <v>2058</v>
      </c>
      <c r="G301" s="45">
        <v>5000</v>
      </c>
      <c r="H301" s="45">
        <v>30</v>
      </c>
    </row>
    <row r="302" spans="1:8">
      <c r="A302" s="78">
        <v>128125627213</v>
      </c>
      <c r="B302" s="1" t="s">
        <v>2103</v>
      </c>
      <c r="C302" s="44" t="s">
        <v>2089</v>
      </c>
      <c r="D302" s="1" t="s">
        <v>2057</v>
      </c>
      <c r="E302" s="44" t="s">
        <v>2101</v>
      </c>
      <c r="F302" s="38" t="s">
        <v>2058</v>
      </c>
      <c r="G302" s="45">
        <v>250</v>
      </c>
      <c r="H302" s="45">
        <v>1.5</v>
      </c>
    </row>
    <row r="303" spans="1:8">
      <c r="A303" s="78">
        <v>128683261902</v>
      </c>
      <c r="B303" s="1" t="s">
        <v>2104</v>
      </c>
      <c r="C303" s="44" t="s">
        <v>2089</v>
      </c>
      <c r="D303" s="1" t="s">
        <v>2057</v>
      </c>
      <c r="E303" s="44" t="s">
        <v>2089</v>
      </c>
      <c r="F303" s="38" t="s">
        <v>2058</v>
      </c>
      <c r="G303" s="45">
        <v>1670</v>
      </c>
      <c r="H303" s="45">
        <v>10.02</v>
      </c>
    </row>
    <row r="304" spans="1:8">
      <c r="A304" s="78">
        <v>128115764455</v>
      </c>
      <c r="B304" s="1" t="s">
        <v>2105</v>
      </c>
      <c r="C304" s="44" t="s">
        <v>2089</v>
      </c>
      <c r="D304" s="1" t="s">
        <v>2057</v>
      </c>
      <c r="E304" s="44" t="s">
        <v>2089</v>
      </c>
      <c r="F304" s="38" t="s">
        <v>2058</v>
      </c>
      <c r="G304" s="45">
        <v>1470</v>
      </c>
      <c r="H304" s="45">
        <v>8.82</v>
      </c>
    </row>
    <row r="305" spans="1:8">
      <c r="A305" s="78">
        <v>128694203212</v>
      </c>
      <c r="B305" s="1" t="s">
        <v>2106</v>
      </c>
      <c r="C305" s="44" t="s">
        <v>2089</v>
      </c>
      <c r="D305" s="1" t="s">
        <v>2057</v>
      </c>
      <c r="E305" s="44" t="s">
        <v>2101</v>
      </c>
      <c r="F305" s="38" t="s">
        <v>2058</v>
      </c>
      <c r="G305" s="45">
        <v>2175</v>
      </c>
      <c r="H305" s="45">
        <v>13.05</v>
      </c>
    </row>
    <row r="306" spans="1:8">
      <c r="A306" s="78">
        <v>128694438198</v>
      </c>
      <c r="B306" s="1" t="s">
        <v>2055</v>
      </c>
      <c r="C306" s="44" t="s">
        <v>2089</v>
      </c>
      <c r="D306" s="1" t="s">
        <v>2057</v>
      </c>
      <c r="E306" s="44" t="s">
        <v>2101</v>
      </c>
      <c r="F306" s="38" t="s">
        <v>2058</v>
      </c>
      <c r="G306" s="45">
        <v>38800</v>
      </c>
      <c r="H306" s="45">
        <v>232.8</v>
      </c>
    </row>
    <row r="307" spans="1:8">
      <c r="A307" s="78">
        <v>128683947738</v>
      </c>
      <c r="B307" s="1" t="s">
        <v>8</v>
      </c>
      <c r="C307" s="44" t="s">
        <v>2089</v>
      </c>
      <c r="D307" s="1" t="s">
        <v>2057</v>
      </c>
      <c r="E307" s="44" t="s">
        <v>2089</v>
      </c>
      <c r="F307" s="38" t="s">
        <v>2058</v>
      </c>
      <c r="G307" s="45">
        <v>18300</v>
      </c>
      <c r="H307" s="45">
        <v>109.8</v>
      </c>
    </row>
    <row r="308" spans="1:8">
      <c r="A308" s="78">
        <v>128683933752</v>
      </c>
      <c r="B308" s="1" t="s">
        <v>2107</v>
      </c>
      <c r="C308" s="44" t="s">
        <v>2089</v>
      </c>
      <c r="D308" s="1" t="s">
        <v>2057</v>
      </c>
      <c r="E308" s="44" t="s">
        <v>2089</v>
      </c>
      <c r="F308" s="38" t="s">
        <v>2058</v>
      </c>
      <c r="G308" s="45">
        <v>915</v>
      </c>
      <c r="H308" s="45">
        <v>5.49</v>
      </c>
    </row>
    <row r="309" spans="1:8">
      <c r="A309" s="78">
        <v>128694674936</v>
      </c>
      <c r="B309" s="1" t="s">
        <v>8</v>
      </c>
      <c r="C309" s="44" t="s">
        <v>2089</v>
      </c>
      <c r="D309" s="1" t="s">
        <v>2057</v>
      </c>
      <c r="E309" s="44" t="s">
        <v>2101</v>
      </c>
      <c r="F309" s="38" t="s">
        <v>2058</v>
      </c>
      <c r="G309" s="45">
        <v>15400</v>
      </c>
      <c r="H309" s="45">
        <v>92.4</v>
      </c>
    </row>
    <row r="310" spans="1:8">
      <c r="A310" s="78">
        <v>128127278911</v>
      </c>
      <c r="B310" s="1" t="s">
        <v>2108</v>
      </c>
      <c r="C310" s="44" t="s">
        <v>2089</v>
      </c>
      <c r="D310" s="1" t="s">
        <v>2057</v>
      </c>
      <c r="E310" s="44" t="s">
        <v>2101</v>
      </c>
      <c r="F310" s="38" t="s">
        <v>2058</v>
      </c>
      <c r="G310" s="45">
        <v>4280</v>
      </c>
      <c r="H310" s="45">
        <v>25.68</v>
      </c>
    </row>
    <row r="311" spans="1:8">
      <c r="A311" s="78">
        <v>128127401801</v>
      </c>
      <c r="B311" s="1" t="s">
        <v>2055</v>
      </c>
      <c r="C311" s="44" t="s">
        <v>2089</v>
      </c>
      <c r="D311" s="1" t="s">
        <v>2057</v>
      </c>
      <c r="E311" s="44" t="s">
        <v>2101</v>
      </c>
      <c r="F311" s="38" t="s">
        <v>2058</v>
      </c>
      <c r="G311" s="45">
        <v>8400</v>
      </c>
      <c r="H311" s="45">
        <v>50.4</v>
      </c>
    </row>
    <row r="312" spans="1:8">
      <c r="A312" s="78">
        <v>128684580182</v>
      </c>
      <c r="B312" s="1" t="s">
        <v>2109</v>
      </c>
      <c r="C312" s="44" t="s">
        <v>2089</v>
      </c>
      <c r="D312" s="1" t="s">
        <v>2057</v>
      </c>
      <c r="E312" s="44" t="s">
        <v>2089</v>
      </c>
      <c r="F312" s="38" t="s">
        <v>2058</v>
      </c>
      <c r="G312" s="45">
        <v>1715</v>
      </c>
      <c r="H312" s="45">
        <v>10.29</v>
      </c>
    </row>
    <row r="313" spans="1:8">
      <c r="A313" s="78">
        <v>128117082133</v>
      </c>
      <c r="B313" s="1" t="s">
        <v>8</v>
      </c>
      <c r="C313" s="44" t="s">
        <v>2089</v>
      </c>
      <c r="D313" s="1" t="s">
        <v>2057</v>
      </c>
      <c r="E313" s="44" t="s">
        <v>2089</v>
      </c>
      <c r="F313" s="38" t="s">
        <v>2058</v>
      </c>
      <c r="G313" s="45">
        <v>34300</v>
      </c>
      <c r="H313" s="45">
        <v>205.8</v>
      </c>
    </row>
    <row r="314" spans="1:8">
      <c r="A314" s="78">
        <v>128695784506</v>
      </c>
      <c r="B314" s="1" t="s">
        <v>2055</v>
      </c>
      <c r="C314" s="44" t="s">
        <v>2101</v>
      </c>
      <c r="D314" s="1" t="s">
        <v>2057</v>
      </c>
      <c r="E314" s="44" t="s">
        <v>2101</v>
      </c>
      <c r="F314" s="38" t="s">
        <v>2058</v>
      </c>
      <c r="G314" s="45">
        <v>10000</v>
      </c>
      <c r="H314" s="45">
        <v>60</v>
      </c>
    </row>
    <row r="315" spans="1:8">
      <c r="A315" s="78">
        <v>128695856532</v>
      </c>
      <c r="B315" s="1" t="s">
        <v>8</v>
      </c>
      <c r="C315" s="44" t="s">
        <v>2101</v>
      </c>
      <c r="D315" s="1" t="s">
        <v>2057</v>
      </c>
      <c r="E315" s="44" t="s">
        <v>2101</v>
      </c>
      <c r="F315" s="38" t="s">
        <v>2058</v>
      </c>
      <c r="G315" s="45">
        <v>63400</v>
      </c>
      <c r="H315" s="45">
        <v>380.4</v>
      </c>
    </row>
    <row r="316" spans="1:8">
      <c r="A316" s="78">
        <v>128128083733</v>
      </c>
      <c r="B316" s="1" t="s">
        <v>8</v>
      </c>
      <c r="C316" s="44" t="s">
        <v>2101</v>
      </c>
      <c r="D316" s="1" t="s">
        <v>2057</v>
      </c>
      <c r="E316" s="44" t="s">
        <v>2101</v>
      </c>
      <c r="F316" s="38" t="s">
        <v>2058</v>
      </c>
      <c r="G316" s="45">
        <v>8800</v>
      </c>
      <c r="H316" s="45">
        <v>52.8</v>
      </c>
    </row>
    <row r="317" spans="1:8">
      <c r="A317" s="78">
        <v>128695902536</v>
      </c>
      <c r="B317" s="1" t="s">
        <v>2110</v>
      </c>
      <c r="C317" s="44" t="s">
        <v>2101</v>
      </c>
      <c r="D317" s="1" t="s">
        <v>2057</v>
      </c>
      <c r="E317" s="44" t="s">
        <v>2101</v>
      </c>
      <c r="F317" s="38" t="s">
        <v>2058</v>
      </c>
      <c r="G317" s="45">
        <v>880</v>
      </c>
      <c r="H317" s="45">
        <v>5.28</v>
      </c>
    </row>
    <row r="318" spans="1:8">
      <c r="A318" s="78">
        <v>128696182418</v>
      </c>
      <c r="B318" s="1" t="s">
        <v>8</v>
      </c>
      <c r="C318" s="44" t="s">
        <v>2101</v>
      </c>
      <c r="D318" s="1" t="s">
        <v>2057</v>
      </c>
      <c r="E318" s="44" t="s">
        <v>2101</v>
      </c>
      <c r="F318" s="38" t="s">
        <v>2058</v>
      </c>
      <c r="G318" s="45">
        <v>40000</v>
      </c>
      <c r="H318" s="45">
        <v>240</v>
      </c>
    </row>
    <row r="319" spans="1:8">
      <c r="A319" s="78">
        <v>128118169295</v>
      </c>
      <c r="B319" s="1" t="s">
        <v>8</v>
      </c>
      <c r="C319" s="44" t="s">
        <v>2089</v>
      </c>
      <c r="D319" s="1" t="s">
        <v>2057</v>
      </c>
      <c r="E319" s="44" t="s">
        <v>2089</v>
      </c>
      <c r="F319" s="38" t="s">
        <v>2058</v>
      </c>
      <c r="G319" s="45">
        <v>5900</v>
      </c>
      <c r="H319" s="45">
        <v>35.4</v>
      </c>
    </row>
    <row r="320" spans="1:8">
      <c r="A320" s="78">
        <v>128696457632</v>
      </c>
      <c r="B320" s="1" t="s">
        <v>2111</v>
      </c>
      <c r="C320" s="44" t="s">
        <v>2101</v>
      </c>
      <c r="D320" s="1" t="s">
        <v>2057</v>
      </c>
      <c r="E320" s="44" t="s">
        <v>2101</v>
      </c>
      <c r="F320" s="38" t="s">
        <v>2058</v>
      </c>
      <c r="G320" s="45">
        <v>4925</v>
      </c>
      <c r="H320" s="45">
        <v>29.55</v>
      </c>
    </row>
    <row r="321" spans="1:8">
      <c r="A321" s="78">
        <v>128118353155</v>
      </c>
      <c r="B321" s="1" t="s">
        <v>2055</v>
      </c>
      <c r="C321" s="44" t="s">
        <v>2089</v>
      </c>
      <c r="D321" s="1" t="s">
        <v>2057</v>
      </c>
      <c r="E321" s="44" t="s">
        <v>2089</v>
      </c>
      <c r="F321" s="38" t="s">
        <v>2058</v>
      </c>
      <c r="G321" s="45">
        <v>16200</v>
      </c>
      <c r="H321" s="45">
        <v>97.2</v>
      </c>
    </row>
    <row r="322" spans="1:8">
      <c r="A322" s="78">
        <v>128696800288</v>
      </c>
      <c r="B322" s="1" t="s">
        <v>8</v>
      </c>
      <c r="C322" s="44" t="s">
        <v>2101</v>
      </c>
      <c r="D322" s="1" t="s">
        <v>2057</v>
      </c>
      <c r="E322" s="44" t="s">
        <v>2101</v>
      </c>
      <c r="F322" s="38" t="s">
        <v>2058</v>
      </c>
      <c r="G322" s="45">
        <v>39100</v>
      </c>
      <c r="H322" s="45">
        <v>234.6</v>
      </c>
    </row>
    <row r="323" spans="1:8">
      <c r="A323" s="78">
        <v>128697427892</v>
      </c>
      <c r="B323" s="1" t="s">
        <v>8</v>
      </c>
      <c r="C323" s="44" t="s">
        <v>2101</v>
      </c>
      <c r="D323" s="1" t="s">
        <v>2057</v>
      </c>
      <c r="E323" s="44" t="s">
        <v>2101</v>
      </c>
      <c r="F323" s="38" t="s">
        <v>2058</v>
      </c>
      <c r="G323" s="45">
        <v>15900</v>
      </c>
      <c r="H323" s="45">
        <v>95.4</v>
      </c>
    </row>
    <row r="324" spans="1:8">
      <c r="A324" s="78">
        <v>128129968953</v>
      </c>
      <c r="B324" s="1" t="s">
        <v>8</v>
      </c>
      <c r="C324" s="44" t="s">
        <v>2101</v>
      </c>
      <c r="D324" s="1" t="s">
        <v>2057</v>
      </c>
      <c r="E324" s="44" t="s">
        <v>2101</v>
      </c>
      <c r="F324" s="38" t="s">
        <v>2058</v>
      </c>
      <c r="G324" s="45">
        <v>22500</v>
      </c>
      <c r="H324" s="45">
        <v>135</v>
      </c>
    </row>
    <row r="325" spans="1:8">
      <c r="A325" s="78">
        <v>128697662950</v>
      </c>
      <c r="B325" s="1" t="s">
        <v>2112</v>
      </c>
      <c r="C325" s="44" t="s">
        <v>2101</v>
      </c>
      <c r="D325" s="1" t="s">
        <v>2057</v>
      </c>
      <c r="E325" s="44" t="s">
        <v>2101</v>
      </c>
      <c r="F325" s="38" t="s">
        <v>2058</v>
      </c>
      <c r="G325" s="45">
        <v>1445</v>
      </c>
      <c r="H325" s="45">
        <v>8.67</v>
      </c>
    </row>
    <row r="326" spans="1:8">
      <c r="A326" s="78">
        <v>128119642609</v>
      </c>
      <c r="B326" s="1" t="s">
        <v>2055</v>
      </c>
      <c r="C326" s="44" t="s">
        <v>2089</v>
      </c>
      <c r="D326" s="1" t="s">
        <v>2057</v>
      </c>
      <c r="E326" s="44" t="s">
        <v>2089</v>
      </c>
      <c r="F326" s="38" t="s">
        <v>2058</v>
      </c>
      <c r="G326" s="45">
        <v>13700</v>
      </c>
      <c r="H326" s="45">
        <v>82.2</v>
      </c>
    </row>
    <row r="327" spans="1:8">
      <c r="A327" s="78">
        <v>128697707428</v>
      </c>
      <c r="B327" s="1" t="s">
        <v>8</v>
      </c>
      <c r="C327" s="44" t="s">
        <v>2101</v>
      </c>
      <c r="D327" s="1" t="s">
        <v>2057</v>
      </c>
      <c r="E327" s="44" t="s">
        <v>2101</v>
      </c>
      <c r="F327" s="38" t="s">
        <v>2058</v>
      </c>
      <c r="G327" s="45">
        <v>16800</v>
      </c>
      <c r="H327" s="45">
        <v>100.8</v>
      </c>
    </row>
    <row r="328" spans="1:8">
      <c r="A328" s="78">
        <v>128698205804</v>
      </c>
      <c r="B328" s="1" t="s">
        <v>8</v>
      </c>
      <c r="C328" s="44" t="s">
        <v>2101</v>
      </c>
      <c r="D328" s="1" t="s">
        <v>2057</v>
      </c>
      <c r="E328" s="44" t="s">
        <v>2101</v>
      </c>
      <c r="F328" s="38" t="s">
        <v>2058</v>
      </c>
      <c r="G328" s="45">
        <v>12400</v>
      </c>
      <c r="H328" s="45">
        <v>74.400000000000006</v>
      </c>
    </row>
    <row r="329" spans="1:8">
      <c r="A329" s="78">
        <v>128130535797</v>
      </c>
      <c r="B329" s="1" t="s">
        <v>2055</v>
      </c>
      <c r="C329" s="44" t="s">
        <v>2101</v>
      </c>
      <c r="D329" s="1" t="s">
        <v>2057</v>
      </c>
      <c r="E329" s="44" t="s">
        <v>2101</v>
      </c>
      <c r="F329" s="38" t="s">
        <v>2058</v>
      </c>
      <c r="G329" s="45">
        <v>8800</v>
      </c>
      <c r="H329" s="45">
        <v>52.8</v>
      </c>
    </row>
    <row r="330" spans="1:8">
      <c r="A330" s="78">
        <v>128130627097</v>
      </c>
      <c r="B330" s="1" t="s">
        <v>2055</v>
      </c>
      <c r="C330" s="44" t="s">
        <v>2101</v>
      </c>
      <c r="D330" s="1" t="s">
        <v>2057</v>
      </c>
      <c r="E330" s="44" t="s">
        <v>2101</v>
      </c>
      <c r="F330" s="38" t="s">
        <v>2058</v>
      </c>
      <c r="G330" s="45">
        <v>8000</v>
      </c>
      <c r="H330" s="45">
        <v>48</v>
      </c>
    </row>
    <row r="331" spans="1:8">
      <c r="A331" s="78">
        <v>128698509452</v>
      </c>
      <c r="B331" s="1" t="s">
        <v>2055</v>
      </c>
      <c r="C331" s="44" t="s">
        <v>2101</v>
      </c>
      <c r="D331" s="1" t="s">
        <v>2057</v>
      </c>
      <c r="E331" s="44" t="s">
        <v>2101</v>
      </c>
      <c r="F331" s="38" t="s">
        <v>2058</v>
      </c>
      <c r="G331" s="45">
        <v>22800</v>
      </c>
      <c r="H331" s="45">
        <v>136.80000000000001</v>
      </c>
    </row>
    <row r="332" spans="1:8">
      <c r="A332" s="78">
        <v>128698656838</v>
      </c>
      <c r="B332" s="1" t="s">
        <v>2055</v>
      </c>
      <c r="C332" s="44" t="s">
        <v>2101</v>
      </c>
      <c r="D332" s="1" t="s">
        <v>2057</v>
      </c>
      <c r="E332" s="44" t="s">
        <v>2101</v>
      </c>
      <c r="F332" s="38" t="s">
        <v>2058</v>
      </c>
      <c r="G332" s="45">
        <v>20800</v>
      </c>
      <c r="H332" s="45">
        <v>124.8</v>
      </c>
    </row>
    <row r="333" spans="1:8">
      <c r="A333" s="78">
        <v>128131119009</v>
      </c>
      <c r="B333" s="1" t="s">
        <v>2055</v>
      </c>
      <c r="C333" s="44" t="s">
        <v>2101</v>
      </c>
      <c r="D333" s="1" t="s">
        <v>2057</v>
      </c>
      <c r="E333" s="44" t="s">
        <v>2101</v>
      </c>
      <c r="F333" s="38" t="s">
        <v>2058</v>
      </c>
      <c r="G333" s="45">
        <v>18900</v>
      </c>
      <c r="H333" s="45">
        <v>113.4</v>
      </c>
    </row>
    <row r="334" spans="1:8">
      <c r="A334" s="78">
        <v>128698830486</v>
      </c>
      <c r="B334" s="1" t="s">
        <v>8</v>
      </c>
      <c r="C334" s="44" t="s">
        <v>2101</v>
      </c>
      <c r="D334" s="1" t="s">
        <v>2057</v>
      </c>
      <c r="E334" s="44" t="s">
        <v>2101</v>
      </c>
      <c r="F334" s="38" t="s">
        <v>2058</v>
      </c>
      <c r="G334" s="45">
        <v>21600</v>
      </c>
      <c r="H334" s="45">
        <v>129.6</v>
      </c>
    </row>
    <row r="335" spans="1:8">
      <c r="A335" s="78">
        <v>128699142146</v>
      </c>
      <c r="B335" s="1" t="s">
        <v>2055</v>
      </c>
      <c r="C335" s="44" t="s">
        <v>2101</v>
      </c>
      <c r="D335" s="1" t="s">
        <v>2057</v>
      </c>
      <c r="E335" s="44" t="s">
        <v>2101</v>
      </c>
      <c r="F335" s="38" t="s">
        <v>2058</v>
      </c>
      <c r="G335" s="45">
        <v>4200</v>
      </c>
      <c r="H335" s="45">
        <v>25.2</v>
      </c>
    </row>
    <row r="336" spans="1:8">
      <c r="A336" s="78">
        <v>128131671691</v>
      </c>
      <c r="B336" s="1" t="s">
        <v>8</v>
      </c>
      <c r="C336" s="44" t="s">
        <v>2101</v>
      </c>
      <c r="D336" s="1" t="s">
        <v>2057</v>
      </c>
      <c r="E336" s="44" t="s">
        <v>2101</v>
      </c>
      <c r="F336" s="38" t="s">
        <v>2058</v>
      </c>
      <c r="G336" s="45">
        <v>17900</v>
      </c>
      <c r="H336" s="45">
        <v>107.4</v>
      </c>
    </row>
    <row r="337" spans="1:8">
      <c r="A337" s="78">
        <v>128131837387</v>
      </c>
      <c r="B337" s="1" t="s">
        <v>8</v>
      </c>
      <c r="C337" s="44" t="s">
        <v>2101</v>
      </c>
      <c r="D337" s="1" t="s">
        <v>2057</v>
      </c>
      <c r="E337" s="44" t="s">
        <v>2101</v>
      </c>
      <c r="F337" s="38" t="s">
        <v>2058</v>
      </c>
      <c r="G337" s="45">
        <v>15900</v>
      </c>
      <c r="H337" s="45">
        <v>95.4</v>
      </c>
    </row>
    <row r="338" spans="1:8">
      <c r="A338" s="78">
        <v>128689106092</v>
      </c>
      <c r="B338" s="1" t="s">
        <v>2055</v>
      </c>
      <c r="C338" s="44" t="s">
        <v>2089</v>
      </c>
      <c r="D338" s="1" t="s">
        <v>2057</v>
      </c>
      <c r="E338" s="44" t="s">
        <v>2089</v>
      </c>
      <c r="F338" s="38" t="s">
        <v>2058</v>
      </c>
      <c r="G338" s="45">
        <v>5000</v>
      </c>
      <c r="H338" s="45">
        <v>30</v>
      </c>
    </row>
    <row r="339" spans="1:8">
      <c r="A339" s="78">
        <v>128699839998</v>
      </c>
      <c r="B339" s="1" t="s">
        <v>8</v>
      </c>
      <c r="C339" s="44" t="s">
        <v>2101</v>
      </c>
      <c r="D339" s="1" t="s">
        <v>2057</v>
      </c>
      <c r="E339" s="44" t="s">
        <v>2101</v>
      </c>
      <c r="F339" s="38" t="s">
        <v>2058</v>
      </c>
      <c r="G339" s="45">
        <v>17700</v>
      </c>
      <c r="H339" s="45">
        <v>106.2</v>
      </c>
    </row>
    <row r="340" spans="1:8">
      <c r="A340" s="78">
        <v>128122214151</v>
      </c>
      <c r="B340" s="1" t="s">
        <v>8</v>
      </c>
      <c r="C340" s="44" t="s">
        <v>2089</v>
      </c>
      <c r="D340" s="1" t="s">
        <v>2057</v>
      </c>
      <c r="E340" s="44" t="s">
        <v>2089</v>
      </c>
      <c r="F340" s="38" t="s">
        <v>2058</v>
      </c>
      <c r="G340" s="45">
        <v>3800</v>
      </c>
      <c r="H340" s="45">
        <v>22.8</v>
      </c>
    </row>
    <row r="341" spans="1:8">
      <c r="A341" s="78">
        <v>128690050246</v>
      </c>
      <c r="B341" s="1" t="s">
        <v>8</v>
      </c>
      <c r="C341" s="44" t="s">
        <v>2089</v>
      </c>
      <c r="D341" s="1" t="s">
        <v>2057</v>
      </c>
      <c r="E341" s="44" t="s">
        <v>2089</v>
      </c>
      <c r="F341" s="38" t="s">
        <v>2058</v>
      </c>
      <c r="G341" s="45">
        <v>4200</v>
      </c>
      <c r="H341" s="45">
        <v>25.2</v>
      </c>
    </row>
    <row r="342" spans="1:8">
      <c r="A342" s="78">
        <v>128690444386</v>
      </c>
      <c r="B342" s="1" t="s">
        <v>8</v>
      </c>
      <c r="C342" s="44" t="s">
        <v>2089</v>
      </c>
      <c r="D342" s="1" t="s">
        <v>2057</v>
      </c>
      <c r="E342" s="44" t="s">
        <v>2089</v>
      </c>
      <c r="F342" s="38" t="s">
        <v>2058</v>
      </c>
      <c r="G342" s="45">
        <v>37400</v>
      </c>
      <c r="H342" s="45">
        <v>224.4</v>
      </c>
    </row>
    <row r="343" spans="1:8">
      <c r="A343" s="78">
        <v>128691126746</v>
      </c>
      <c r="B343" s="1" t="s">
        <v>8</v>
      </c>
      <c r="C343" s="44" t="s">
        <v>2089</v>
      </c>
      <c r="D343" s="1" t="s">
        <v>2057</v>
      </c>
      <c r="E343" s="44" t="s">
        <v>2089</v>
      </c>
      <c r="F343" s="38" t="s">
        <v>2058</v>
      </c>
      <c r="G343" s="45">
        <v>9200</v>
      </c>
      <c r="H343" s="45">
        <v>55.2</v>
      </c>
    </row>
    <row r="344" spans="1:8">
      <c r="A344" s="78">
        <v>128123744661</v>
      </c>
      <c r="B344" s="1" t="s">
        <v>2055</v>
      </c>
      <c r="C344" s="44" t="s">
        <v>2089</v>
      </c>
      <c r="D344" s="1" t="s">
        <v>2057</v>
      </c>
      <c r="E344" s="44" t="s">
        <v>2089</v>
      </c>
      <c r="F344" s="38" t="s">
        <v>2058</v>
      </c>
      <c r="G344" s="45">
        <v>36000</v>
      </c>
      <c r="H344" s="45">
        <v>216</v>
      </c>
    </row>
    <row r="345" spans="1:8">
      <c r="A345" s="78">
        <v>128691506480</v>
      </c>
      <c r="B345" s="1" t="s">
        <v>8</v>
      </c>
      <c r="C345" s="44" t="s">
        <v>2089</v>
      </c>
      <c r="D345" s="1" t="s">
        <v>2057</v>
      </c>
      <c r="E345" s="44" t="s">
        <v>2089</v>
      </c>
      <c r="F345" s="38" t="s">
        <v>2058</v>
      </c>
      <c r="G345" s="45">
        <v>52400</v>
      </c>
      <c r="H345" s="45">
        <v>314.39999999999998</v>
      </c>
    </row>
    <row r="346" spans="1:8">
      <c r="A346" s="78">
        <v>128691509296</v>
      </c>
      <c r="B346" s="1" t="s">
        <v>8</v>
      </c>
      <c r="C346" s="44" t="s">
        <v>2089</v>
      </c>
      <c r="D346" s="1" t="s">
        <v>2057</v>
      </c>
      <c r="E346" s="44" t="s">
        <v>2089</v>
      </c>
      <c r="F346" s="38" t="s">
        <v>2058</v>
      </c>
      <c r="G346" s="45">
        <v>52200</v>
      </c>
      <c r="H346" s="45">
        <v>313.2</v>
      </c>
    </row>
    <row r="347" spans="1:8">
      <c r="A347" s="78">
        <v>128124030985</v>
      </c>
      <c r="B347" s="1" t="s">
        <v>8</v>
      </c>
      <c r="C347" s="44" t="s">
        <v>2089</v>
      </c>
      <c r="D347" s="1" t="s">
        <v>2057</v>
      </c>
      <c r="E347" s="44" t="s">
        <v>2089</v>
      </c>
      <c r="F347" s="38" t="s">
        <v>2058</v>
      </c>
      <c r="G347" s="45">
        <v>97900</v>
      </c>
      <c r="H347" s="45">
        <v>587.4</v>
      </c>
    </row>
    <row r="348" spans="1:8">
      <c r="A348" s="78">
        <v>128692018414</v>
      </c>
      <c r="B348" s="1" t="s">
        <v>2055</v>
      </c>
      <c r="C348" s="44" t="s">
        <v>2089</v>
      </c>
      <c r="D348" s="1" t="s">
        <v>2057</v>
      </c>
      <c r="E348" s="44" t="s">
        <v>2089</v>
      </c>
      <c r="F348" s="38" t="s">
        <v>2058</v>
      </c>
      <c r="G348" s="45">
        <v>20900</v>
      </c>
      <c r="H348" s="45">
        <v>125.4</v>
      </c>
    </row>
    <row r="349" spans="1:8">
      <c r="A349" s="78">
        <v>128692041006</v>
      </c>
      <c r="B349" s="1" t="s">
        <v>8</v>
      </c>
      <c r="C349" s="44" t="s">
        <v>2089</v>
      </c>
      <c r="D349" s="1" t="s">
        <v>2057</v>
      </c>
      <c r="E349" s="44" t="s">
        <v>2089</v>
      </c>
      <c r="F349" s="38" t="s">
        <v>2058</v>
      </c>
      <c r="G349" s="45">
        <v>5000</v>
      </c>
      <c r="H349" s="45">
        <v>30</v>
      </c>
    </row>
    <row r="350" spans="1:8">
      <c r="A350" s="78">
        <v>128124351663</v>
      </c>
      <c r="B350" s="1" t="s">
        <v>8</v>
      </c>
      <c r="C350" s="44" t="s">
        <v>2089</v>
      </c>
      <c r="D350" s="1" t="s">
        <v>2057</v>
      </c>
      <c r="E350" s="44" t="s">
        <v>2101</v>
      </c>
      <c r="F350" s="38" t="s">
        <v>2058</v>
      </c>
      <c r="G350" s="45">
        <v>15000</v>
      </c>
      <c r="H350" s="45">
        <v>90</v>
      </c>
    </row>
    <row r="351" spans="1:8">
      <c r="A351" s="78">
        <v>128692668536</v>
      </c>
      <c r="B351" s="1" t="s">
        <v>8</v>
      </c>
      <c r="C351" s="44" t="s">
        <v>2089</v>
      </c>
      <c r="D351" s="1" t="s">
        <v>2057</v>
      </c>
      <c r="E351" s="44" t="s">
        <v>2101</v>
      </c>
      <c r="F351" s="38" t="s">
        <v>2058</v>
      </c>
      <c r="G351" s="45">
        <v>74100</v>
      </c>
      <c r="H351" s="45">
        <v>444.6</v>
      </c>
    </row>
    <row r="352" spans="1:8">
      <c r="A352" s="78">
        <v>128125043391</v>
      </c>
      <c r="B352" s="1" t="s">
        <v>8</v>
      </c>
      <c r="C352" s="44" t="s">
        <v>2089</v>
      </c>
      <c r="D352" s="1" t="s">
        <v>2057</v>
      </c>
      <c r="E352" s="44" t="s">
        <v>2101</v>
      </c>
      <c r="F352" s="38" t="s">
        <v>2058</v>
      </c>
      <c r="G352" s="45">
        <v>5000</v>
      </c>
      <c r="H352" s="45">
        <v>30</v>
      </c>
    </row>
    <row r="353" spans="1:8">
      <c r="A353" s="78">
        <v>128125341977</v>
      </c>
      <c r="B353" s="1" t="s">
        <v>8</v>
      </c>
      <c r="C353" s="44" t="s">
        <v>2089</v>
      </c>
      <c r="D353" s="1" t="s">
        <v>2057</v>
      </c>
      <c r="E353" s="44" t="s">
        <v>2101</v>
      </c>
      <c r="F353" s="38" t="s">
        <v>2058</v>
      </c>
      <c r="G353" s="45">
        <v>4000</v>
      </c>
      <c r="H353" s="45">
        <v>24</v>
      </c>
    </row>
    <row r="354" spans="1:8">
      <c r="A354" s="78">
        <v>128693181950</v>
      </c>
      <c r="B354" s="1" t="s">
        <v>8</v>
      </c>
      <c r="C354" s="44" t="s">
        <v>2089</v>
      </c>
      <c r="D354" s="1" t="s">
        <v>2057</v>
      </c>
      <c r="E354" s="44" t="s">
        <v>2101</v>
      </c>
      <c r="F354" s="38" t="s">
        <v>2058</v>
      </c>
      <c r="G354" s="45">
        <v>8000</v>
      </c>
      <c r="H354" s="45">
        <v>48</v>
      </c>
    </row>
    <row r="355" spans="1:8">
      <c r="A355" s="78">
        <v>128694134194</v>
      </c>
      <c r="B355" s="1" t="s">
        <v>8</v>
      </c>
      <c r="C355" s="44" t="s">
        <v>2089</v>
      </c>
      <c r="D355" s="1" t="s">
        <v>2057</v>
      </c>
      <c r="E355" s="44" t="s">
        <v>2101</v>
      </c>
      <c r="F355" s="38" t="s">
        <v>2058</v>
      </c>
      <c r="G355" s="45">
        <v>15400</v>
      </c>
      <c r="H355" s="45">
        <v>92.4</v>
      </c>
    </row>
    <row r="356" spans="1:8">
      <c r="A356" s="78">
        <v>128694166558</v>
      </c>
      <c r="B356" s="1" t="s">
        <v>2055</v>
      </c>
      <c r="C356" s="44" t="s">
        <v>2089</v>
      </c>
      <c r="D356" s="1" t="s">
        <v>2057</v>
      </c>
      <c r="E356" s="44" t="s">
        <v>2101</v>
      </c>
      <c r="F356" s="38" t="s">
        <v>2058</v>
      </c>
      <c r="G356" s="45">
        <v>60400</v>
      </c>
      <c r="H356" s="45">
        <v>362.4</v>
      </c>
    </row>
    <row r="357" spans="1:8">
      <c r="A357" s="78">
        <v>128126371521</v>
      </c>
      <c r="B357" s="1" t="s">
        <v>8</v>
      </c>
      <c r="C357" s="44" t="s">
        <v>2089</v>
      </c>
      <c r="D357" s="1" t="s">
        <v>2057</v>
      </c>
      <c r="E357" s="44" t="s">
        <v>2101</v>
      </c>
      <c r="F357" s="38" t="s">
        <v>2058</v>
      </c>
      <c r="G357" s="45">
        <v>43500</v>
      </c>
      <c r="H357" s="45">
        <v>261</v>
      </c>
    </row>
    <row r="358" spans="1:8">
      <c r="A358" s="78">
        <v>128126531575</v>
      </c>
      <c r="B358" s="1" t="s">
        <v>8</v>
      </c>
      <c r="C358" s="44" t="s">
        <v>2089</v>
      </c>
      <c r="D358" s="1" t="s">
        <v>2057</v>
      </c>
      <c r="E358" s="44" t="s">
        <v>2101</v>
      </c>
      <c r="F358" s="38" t="s">
        <v>2058</v>
      </c>
      <c r="G358" s="45">
        <v>38500</v>
      </c>
      <c r="H358" s="45">
        <v>231</v>
      </c>
    </row>
    <row r="359" spans="1:8">
      <c r="A359" s="78">
        <v>128126798957</v>
      </c>
      <c r="B359" s="1" t="s">
        <v>8</v>
      </c>
      <c r="C359" s="44" t="s">
        <v>2089</v>
      </c>
      <c r="D359" s="1" t="s">
        <v>2057</v>
      </c>
      <c r="E359" s="44" t="s">
        <v>2101</v>
      </c>
      <c r="F359" s="38" t="s">
        <v>2058</v>
      </c>
      <c r="G359" s="45">
        <v>58100</v>
      </c>
      <c r="H359" s="45">
        <v>348.6</v>
      </c>
    </row>
    <row r="360" spans="1:8">
      <c r="A360" s="78">
        <v>128694389708</v>
      </c>
      <c r="B360" s="1" t="s">
        <v>2113</v>
      </c>
      <c r="C360" s="44" t="s">
        <v>2089</v>
      </c>
      <c r="D360" s="1" t="s">
        <v>2057</v>
      </c>
      <c r="E360" s="44" t="s">
        <v>2101</v>
      </c>
      <c r="F360" s="38" t="s">
        <v>2058</v>
      </c>
      <c r="G360" s="45">
        <v>5810</v>
      </c>
      <c r="H360" s="45">
        <v>34.86</v>
      </c>
    </row>
    <row r="361" spans="1:8">
      <c r="A361" s="78">
        <v>128694718052</v>
      </c>
      <c r="B361" s="1" t="s">
        <v>8</v>
      </c>
      <c r="C361" s="44" t="s">
        <v>2089</v>
      </c>
      <c r="D361" s="1" t="s">
        <v>2057</v>
      </c>
      <c r="E361" s="44" t="s">
        <v>2101</v>
      </c>
      <c r="F361" s="38" t="s">
        <v>2058</v>
      </c>
      <c r="G361" s="45">
        <v>42800</v>
      </c>
      <c r="H361" s="45">
        <v>256.8</v>
      </c>
    </row>
    <row r="362" spans="1:8">
      <c r="A362" s="78">
        <v>128127545875</v>
      </c>
      <c r="B362" s="1" t="s">
        <v>8</v>
      </c>
      <c r="C362" s="44" t="s">
        <v>2089</v>
      </c>
      <c r="D362" s="1" t="s">
        <v>2057</v>
      </c>
      <c r="E362" s="44" t="s">
        <v>2101</v>
      </c>
      <c r="F362" s="38" t="s">
        <v>2058</v>
      </c>
      <c r="G362" s="45">
        <v>9600</v>
      </c>
      <c r="H362" s="45">
        <v>57.6</v>
      </c>
    </row>
    <row r="363" spans="1:8">
      <c r="A363" s="78">
        <v>128695678908</v>
      </c>
      <c r="B363" s="1" t="s">
        <v>8</v>
      </c>
      <c r="C363" s="44" t="s">
        <v>2101</v>
      </c>
      <c r="D363" s="1" t="s">
        <v>2057</v>
      </c>
      <c r="E363" s="44" t="s">
        <v>2101</v>
      </c>
      <c r="F363" s="38" t="s">
        <v>2058</v>
      </c>
      <c r="G363" s="45">
        <v>5300</v>
      </c>
      <c r="H363" s="45">
        <v>31.8</v>
      </c>
    </row>
    <row r="364" spans="1:8">
      <c r="A364" s="78">
        <v>128696084622</v>
      </c>
      <c r="B364" s="1" t="s">
        <v>8</v>
      </c>
      <c r="C364" s="44" t="s">
        <v>2101</v>
      </c>
      <c r="D364" s="1" t="s">
        <v>2057</v>
      </c>
      <c r="E364" s="44" t="s">
        <v>2101</v>
      </c>
      <c r="F364" s="38" t="s">
        <v>2058</v>
      </c>
      <c r="G364" s="45">
        <v>25600</v>
      </c>
      <c r="H364" s="45">
        <v>153.6</v>
      </c>
    </row>
    <row r="365" spans="1:8">
      <c r="A365" s="78">
        <v>128128469831</v>
      </c>
      <c r="B365" s="1" t="s">
        <v>2114</v>
      </c>
      <c r="C365" s="44" t="s">
        <v>2101</v>
      </c>
      <c r="D365" s="1" t="s">
        <v>2057</v>
      </c>
      <c r="E365" s="44" t="s">
        <v>2101</v>
      </c>
      <c r="F365" s="38" t="s">
        <v>2058</v>
      </c>
      <c r="G365" s="45">
        <v>1280</v>
      </c>
      <c r="H365" s="45">
        <v>7.68</v>
      </c>
    </row>
    <row r="366" spans="1:8">
      <c r="A366" s="78">
        <v>128128642373</v>
      </c>
      <c r="B366" s="1" t="s">
        <v>8</v>
      </c>
      <c r="C366" s="44" t="s">
        <v>2101</v>
      </c>
      <c r="D366" s="1" t="s">
        <v>2057</v>
      </c>
      <c r="E366" s="44" t="s">
        <v>2101</v>
      </c>
      <c r="F366" s="38" t="s">
        <v>2058</v>
      </c>
      <c r="G366" s="45">
        <v>22000</v>
      </c>
      <c r="H366" s="45">
        <v>132</v>
      </c>
    </row>
    <row r="367" spans="1:8">
      <c r="A367" s="78">
        <v>128696455684</v>
      </c>
      <c r="B367" s="1" t="s">
        <v>8</v>
      </c>
      <c r="C367" s="44" t="s">
        <v>2101</v>
      </c>
      <c r="D367" s="1" t="s">
        <v>2057</v>
      </c>
      <c r="E367" s="44" t="s">
        <v>2101</v>
      </c>
      <c r="F367" s="38" t="s">
        <v>2058</v>
      </c>
      <c r="G367" s="45">
        <v>98500</v>
      </c>
      <c r="H367" s="45">
        <v>591</v>
      </c>
    </row>
    <row r="368" spans="1:8">
      <c r="A368" s="78">
        <v>128128996829</v>
      </c>
      <c r="B368" s="1" t="s">
        <v>8</v>
      </c>
      <c r="C368" s="44" t="s">
        <v>2101</v>
      </c>
      <c r="D368" s="1" t="s">
        <v>2057</v>
      </c>
      <c r="E368" s="44" t="s">
        <v>2101</v>
      </c>
      <c r="F368" s="38" t="s">
        <v>2058</v>
      </c>
      <c r="G368" s="45">
        <v>12300</v>
      </c>
      <c r="H368" s="45">
        <v>73.8</v>
      </c>
    </row>
    <row r="369" spans="1:8">
      <c r="A369" s="78">
        <v>128128980033</v>
      </c>
      <c r="B369" s="1" t="s">
        <v>2055</v>
      </c>
      <c r="C369" s="44" t="s">
        <v>2101</v>
      </c>
      <c r="D369" s="1" t="s">
        <v>2057</v>
      </c>
      <c r="E369" s="44" t="s">
        <v>2101</v>
      </c>
      <c r="F369" s="38" t="s">
        <v>2058</v>
      </c>
      <c r="G369" s="45">
        <v>55200</v>
      </c>
      <c r="H369" s="45">
        <v>331.2</v>
      </c>
    </row>
    <row r="370" spans="1:8">
      <c r="A370" s="78">
        <v>128129163917</v>
      </c>
      <c r="B370" s="1" t="s">
        <v>8</v>
      </c>
      <c r="C370" s="44" t="s">
        <v>2101</v>
      </c>
      <c r="D370" s="1" t="s">
        <v>2057</v>
      </c>
      <c r="E370" s="44" t="s">
        <v>2101</v>
      </c>
      <c r="F370" s="38" t="s">
        <v>2058</v>
      </c>
      <c r="G370" s="45">
        <v>3800</v>
      </c>
      <c r="H370" s="45">
        <v>22.8</v>
      </c>
    </row>
    <row r="371" spans="1:8">
      <c r="A371" s="78">
        <v>128129860457</v>
      </c>
      <c r="B371" s="1" t="s">
        <v>2055</v>
      </c>
      <c r="C371" s="44" t="s">
        <v>2101</v>
      </c>
      <c r="D371" s="1" t="s">
        <v>2057</v>
      </c>
      <c r="E371" s="44" t="s">
        <v>2101</v>
      </c>
      <c r="F371" s="38" t="s">
        <v>2058</v>
      </c>
      <c r="G371" s="45">
        <v>50500</v>
      </c>
      <c r="H371" s="45">
        <v>303</v>
      </c>
    </row>
    <row r="372" spans="1:8">
      <c r="A372" s="78">
        <v>128129982957</v>
      </c>
      <c r="B372" s="1" t="s">
        <v>2055</v>
      </c>
      <c r="C372" s="44" t="s">
        <v>2101</v>
      </c>
      <c r="D372" s="1" t="s">
        <v>2057</v>
      </c>
      <c r="E372" s="44" t="s">
        <v>2101</v>
      </c>
      <c r="F372" s="38" t="s">
        <v>2058</v>
      </c>
      <c r="G372" s="45">
        <v>31900</v>
      </c>
      <c r="H372" s="45">
        <v>191.4</v>
      </c>
    </row>
    <row r="373" spans="1:8">
      <c r="A373" s="78">
        <v>128697505462</v>
      </c>
      <c r="B373" s="1" t="s">
        <v>8</v>
      </c>
      <c r="C373" s="44" t="s">
        <v>2101</v>
      </c>
      <c r="D373" s="1" t="s">
        <v>2057</v>
      </c>
      <c r="E373" s="44" t="s">
        <v>2101</v>
      </c>
      <c r="F373" s="38" t="s">
        <v>2058</v>
      </c>
      <c r="G373" s="45">
        <v>14600</v>
      </c>
      <c r="H373" s="45">
        <v>87.6</v>
      </c>
    </row>
    <row r="374" spans="1:8">
      <c r="A374" s="78">
        <v>128129983705</v>
      </c>
      <c r="B374" s="1" t="s">
        <v>8</v>
      </c>
      <c r="C374" s="44" t="s">
        <v>2101</v>
      </c>
      <c r="D374" s="1" t="s">
        <v>2057</v>
      </c>
      <c r="E374" s="44" t="s">
        <v>2101</v>
      </c>
      <c r="F374" s="38" t="s">
        <v>2058</v>
      </c>
      <c r="G374" s="45">
        <v>27600</v>
      </c>
      <c r="H374" s="45">
        <v>165.6</v>
      </c>
    </row>
    <row r="375" spans="1:8">
      <c r="A375" s="78">
        <v>128130086803</v>
      </c>
      <c r="B375" s="1" t="s">
        <v>8</v>
      </c>
      <c r="C375" s="44" t="s">
        <v>2101</v>
      </c>
      <c r="D375" s="1" t="s">
        <v>2057</v>
      </c>
      <c r="E375" s="44" t="s">
        <v>2101</v>
      </c>
      <c r="F375" s="38" t="s">
        <v>2058</v>
      </c>
      <c r="G375" s="45">
        <v>28900</v>
      </c>
      <c r="H375" s="45">
        <v>173.4</v>
      </c>
    </row>
    <row r="376" spans="1:8">
      <c r="A376" s="78">
        <v>128698164204</v>
      </c>
      <c r="B376" s="1" t="s">
        <v>8</v>
      </c>
      <c r="C376" s="44" t="s">
        <v>2101</v>
      </c>
      <c r="D376" s="1" t="s">
        <v>2057</v>
      </c>
      <c r="E376" s="44" t="s">
        <v>2101</v>
      </c>
      <c r="F376" s="38" t="s">
        <v>2058</v>
      </c>
      <c r="G376" s="45">
        <v>28000</v>
      </c>
      <c r="H376" s="45">
        <v>168</v>
      </c>
    </row>
    <row r="377" spans="1:8">
      <c r="A377" s="78">
        <v>128698035700</v>
      </c>
      <c r="B377" s="1" t="s">
        <v>2115</v>
      </c>
      <c r="C377" s="44" t="s">
        <v>2101</v>
      </c>
      <c r="D377" s="1" t="s">
        <v>2057</v>
      </c>
      <c r="E377" s="44" t="s">
        <v>2101</v>
      </c>
      <c r="F377" s="38" t="s">
        <v>2058</v>
      </c>
      <c r="G377" s="45">
        <v>1400</v>
      </c>
      <c r="H377" s="45">
        <v>8.4</v>
      </c>
    </row>
    <row r="378" spans="1:8">
      <c r="A378" s="78">
        <v>128130687417</v>
      </c>
      <c r="B378" s="1" t="s">
        <v>2055</v>
      </c>
      <c r="C378" s="44" t="s">
        <v>2101</v>
      </c>
      <c r="D378" s="1" t="s">
        <v>2057</v>
      </c>
      <c r="E378" s="44" t="s">
        <v>2101</v>
      </c>
      <c r="F378" s="38" t="s">
        <v>2058</v>
      </c>
      <c r="G378" s="45">
        <v>18400</v>
      </c>
      <c r="H378" s="45">
        <v>110.4</v>
      </c>
    </row>
    <row r="379" spans="1:8">
      <c r="A379" s="78">
        <v>128131338741</v>
      </c>
      <c r="B379" s="1" t="s">
        <v>2055</v>
      </c>
      <c r="C379" s="44" t="s">
        <v>2101</v>
      </c>
      <c r="D379" s="1" t="s">
        <v>2057</v>
      </c>
      <c r="E379" s="44" t="s">
        <v>2101</v>
      </c>
      <c r="F379" s="38" t="s">
        <v>2058</v>
      </c>
      <c r="G379" s="45">
        <v>17600</v>
      </c>
      <c r="H379" s="45">
        <v>105.6</v>
      </c>
    </row>
    <row r="380" spans="1:8">
      <c r="A380" s="78">
        <v>128132363197</v>
      </c>
      <c r="B380" s="1" t="s">
        <v>8</v>
      </c>
      <c r="C380" s="44" t="s">
        <v>2101</v>
      </c>
      <c r="D380" s="1" t="s">
        <v>2057</v>
      </c>
      <c r="E380" s="44" t="s">
        <v>2101</v>
      </c>
      <c r="F380" s="38" t="s">
        <v>2058</v>
      </c>
      <c r="G380" s="45">
        <v>10000</v>
      </c>
      <c r="H380" s="45">
        <v>60</v>
      </c>
    </row>
    <row r="381" spans="1:8">
      <c r="A381" s="78">
        <v>128201339295</v>
      </c>
      <c r="B381" s="1" t="s">
        <v>2055</v>
      </c>
      <c r="C381" s="44" t="s">
        <v>2101</v>
      </c>
      <c r="D381" s="1" t="s">
        <v>2057</v>
      </c>
      <c r="E381" s="44" t="s">
        <v>2101</v>
      </c>
      <c r="F381" s="38" t="s">
        <v>2058</v>
      </c>
      <c r="G381" s="45">
        <v>14300</v>
      </c>
      <c r="H381" s="45">
        <v>85.8</v>
      </c>
    </row>
    <row r="382" spans="1:8">
      <c r="A382" s="78">
        <v>128205853491</v>
      </c>
      <c r="B382" s="1" t="s">
        <v>8</v>
      </c>
      <c r="C382" s="44" t="s">
        <v>2101</v>
      </c>
      <c r="D382" s="1" t="s">
        <v>2057</v>
      </c>
      <c r="E382" s="44" t="s">
        <v>2101</v>
      </c>
      <c r="F382" s="38" t="s">
        <v>2058</v>
      </c>
      <c r="G382" s="45">
        <v>4400</v>
      </c>
      <c r="H382" s="45">
        <v>26.4</v>
      </c>
    </row>
    <row r="383" spans="1:8">
      <c r="A383" s="78">
        <v>128206530723</v>
      </c>
      <c r="B383" s="1" t="s">
        <v>8</v>
      </c>
      <c r="C383" s="44" t="s">
        <v>2101</v>
      </c>
      <c r="D383" s="1" t="s">
        <v>2057</v>
      </c>
      <c r="E383" s="44" t="s">
        <v>2101</v>
      </c>
      <c r="F383" s="38" t="s">
        <v>2058</v>
      </c>
      <c r="G383" s="45">
        <v>4900</v>
      </c>
      <c r="H383" s="45">
        <v>29.4</v>
      </c>
    </row>
    <row r="384" spans="1:8">
      <c r="A384" s="78">
        <v>128775011128</v>
      </c>
      <c r="B384" s="1" t="s">
        <v>2055</v>
      </c>
      <c r="C384" s="44" t="s">
        <v>2101</v>
      </c>
      <c r="D384" s="1" t="s">
        <v>2057</v>
      </c>
      <c r="E384" s="44" t="s">
        <v>2101</v>
      </c>
      <c r="F384" s="38" t="s">
        <v>2058</v>
      </c>
      <c r="G384" s="45">
        <v>18000</v>
      </c>
      <c r="H384" s="45">
        <v>108</v>
      </c>
    </row>
    <row r="385" spans="1:8">
      <c r="A385" s="78">
        <v>128775661428</v>
      </c>
      <c r="B385" s="1" t="s">
        <v>8</v>
      </c>
      <c r="C385" s="44" t="s">
        <v>2101</v>
      </c>
      <c r="D385" s="1" t="s">
        <v>2057</v>
      </c>
      <c r="E385" s="44" t="s">
        <v>2101</v>
      </c>
      <c r="F385" s="38" t="s">
        <v>2058</v>
      </c>
      <c r="G385" s="45">
        <v>14100</v>
      </c>
      <c r="H385" s="45">
        <v>84.6</v>
      </c>
    </row>
    <row r="386" spans="1:8">
      <c r="A386" s="78">
        <v>128777177860</v>
      </c>
      <c r="B386" s="1" t="s">
        <v>2116</v>
      </c>
      <c r="C386" s="44" t="s">
        <v>2101</v>
      </c>
      <c r="D386" s="1" t="s">
        <v>2057</v>
      </c>
      <c r="E386" s="44" t="s">
        <v>2101</v>
      </c>
      <c r="F386" s="38" t="s">
        <v>2058</v>
      </c>
      <c r="G386" s="45">
        <v>2580</v>
      </c>
      <c r="H386" s="45">
        <v>15.48</v>
      </c>
    </row>
    <row r="387" spans="1:8">
      <c r="A387" s="78">
        <v>128208989895</v>
      </c>
      <c r="B387" s="1" t="s">
        <v>8</v>
      </c>
      <c r="C387" s="44" t="s">
        <v>2101</v>
      </c>
      <c r="D387" s="1" t="s">
        <v>2057</v>
      </c>
      <c r="E387" s="44" t="s">
        <v>2101</v>
      </c>
      <c r="F387" s="38" t="s">
        <v>2058</v>
      </c>
      <c r="G387" s="45">
        <v>25800</v>
      </c>
      <c r="H387" s="45">
        <v>154.80000000000001</v>
      </c>
    </row>
    <row r="388" spans="1:8">
      <c r="A388" s="78">
        <v>128210325155</v>
      </c>
      <c r="B388" s="1" t="s">
        <v>8</v>
      </c>
      <c r="C388" s="44" t="s">
        <v>2101</v>
      </c>
      <c r="D388" s="1" t="s">
        <v>2057</v>
      </c>
      <c r="E388" s="44" t="s">
        <v>2101</v>
      </c>
      <c r="F388" s="38" t="s">
        <v>2058</v>
      </c>
      <c r="G388" s="45">
        <v>17900</v>
      </c>
      <c r="H388" s="45">
        <v>107.4</v>
      </c>
    </row>
    <row r="389" spans="1:8">
      <c r="A389" s="78">
        <v>128210631029</v>
      </c>
      <c r="B389" s="1" t="s">
        <v>2055</v>
      </c>
      <c r="C389" s="44" t="s">
        <v>2101</v>
      </c>
      <c r="D389" s="1" t="s">
        <v>2057</v>
      </c>
      <c r="E389" s="44" t="s">
        <v>2101</v>
      </c>
      <c r="F389" s="38" t="s">
        <v>2058</v>
      </c>
      <c r="G389" s="45">
        <v>16400</v>
      </c>
      <c r="H389" s="45">
        <v>98.4</v>
      </c>
    </row>
    <row r="390" spans="1:8">
      <c r="A390" s="78">
        <v>128779285828</v>
      </c>
      <c r="B390" s="1" t="s">
        <v>8</v>
      </c>
      <c r="C390" s="44" t="s">
        <v>2101</v>
      </c>
      <c r="D390" s="1" t="s">
        <v>2057</v>
      </c>
      <c r="E390" s="44" t="s">
        <v>2101</v>
      </c>
      <c r="F390" s="38" t="s">
        <v>2058</v>
      </c>
      <c r="G390" s="45">
        <v>32600</v>
      </c>
      <c r="H390" s="45">
        <v>195.6</v>
      </c>
    </row>
    <row r="391" spans="1:8">
      <c r="A391" s="78">
        <v>128211723845</v>
      </c>
      <c r="B391" s="1" t="s">
        <v>8</v>
      </c>
      <c r="C391" s="44" t="s">
        <v>2101</v>
      </c>
      <c r="D391" s="1" t="s">
        <v>2057</v>
      </c>
      <c r="E391" s="44" t="s">
        <v>2101</v>
      </c>
      <c r="F391" s="38" t="s">
        <v>2058</v>
      </c>
      <c r="G391" s="45">
        <v>26600</v>
      </c>
      <c r="H391" s="45">
        <v>159.6</v>
      </c>
    </row>
    <row r="392" spans="1:8">
      <c r="A392" s="78">
        <v>128780279488</v>
      </c>
      <c r="B392" s="1" t="s">
        <v>8</v>
      </c>
      <c r="C392" s="44" t="s">
        <v>2101</v>
      </c>
      <c r="D392" s="1" t="s">
        <v>2057</v>
      </c>
      <c r="E392" s="44" t="s">
        <v>2101</v>
      </c>
      <c r="F392" s="38" t="s">
        <v>2058</v>
      </c>
      <c r="G392" s="45">
        <v>39900</v>
      </c>
      <c r="H392" s="45">
        <v>239.4</v>
      </c>
    </row>
    <row r="393" spans="1:8">
      <c r="A393" s="78">
        <v>128212590833</v>
      </c>
      <c r="B393" s="1" t="s">
        <v>8</v>
      </c>
      <c r="C393" s="44" t="s">
        <v>2101</v>
      </c>
      <c r="D393" s="1" t="s">
        <v>2057</v>
      </c>
      <c r="E393" s="44" t="s">
        <v>2101</v>
      </c>
      <c r="F393" s="38" t="s">
        <v>2058</v>
      </c>
      <c r="G393" s="45">
        <v>35200</v>
      </c>
      <c r="H393" s="45">
        <v>211.2</v>
      </c>
    </row>
    <row r="394" spans="1:8">
      <c r="A394" s="78">
        <v>128213127005</v>
      </c>
      <c r="B394" s="1" t="s">
        <v>8</v>
      </c>
      <c r="C394" s="44" t="s">
        <v>2101</v>
      </c>
      <c r="D394" s="1" t="s">
        <v>2057</v>
      </c>
      <c r="E394" s="44" t="s">
        <v>2101</v>
      </c>
      <c r="F394" s="38" t="s">
        <v>2058</v>
      </c>
      <c r="G394" s="45">
        <v>4800</v>
      </c>
      <c r="H394" s="45">
        <v>28.8</v>
      </c>
    </row>
    <row r="395" spans="1:8">
      <c r="A395" s="78">
        <v>128213125083</v>
      </c>
      <c r="B395" s="1" t="s">
        <v>2117</v>
      </c>
      <c r="C395" s="44" t="s">
        <v>2101</v>
      </c>
      <c r="D395" s="1" t="s">
        <v>2057</v>
      </c>
      <c r="E395" s="44" t="s">
        <v>2101</v>
      </c>
      <c r="F395" s="38" t="s">
        <v>2058</v>
      </c>
      <c r="G395" s="45">
        <v>480</v>
      </c>
      <c r="H395" s="45">
        <v>2.88</v>
      </c>
    </row>
    <row r="396" spans="1:8">
      <c r="A396" s="78">
        <v>128771504152</v>
      </c>
      <c r="B396" s="1" t="s">
        <v>8</v>
      </c>
      <c r="C396" s="44" t="s">
        <v>2101</v>
      </c>
      <c r="D396" s="1" t="s">
        <v>2057</v>
      </c>
      <c r="E396" s="44" t="s">
        <v>2101</v>
      </c>
      <c r="F396" s="38" t="s">
        <v>2058</v>
      </c>
      <c r="G396" s="45">
        <v>4900</v>
      </c>
      <c r="H396" s="45">
        <v>29.4</v>
      </c>
    </row>
    <row r="397" spans="1:8">
      <c r="A397" s="78">
        <v>128217976781</v>
      </c>
      <c r="B397" s="1" t="s">
        <v>2055</v>
      </c>
      <c r="C397" s="44" t="s">
        <v>2101</v>
      </c>
      <c r="D397" s="1" t="s">
        <v>2057</v>
      </c>
      <c r="E397" s="44" t="s">
        <v>2101</v>
      </c>
      <c r="F397" s="38" t="s">
        <v>2058</v>
      </c>
      <c r="G397" s="45">
        <v>16000</v>
      </c>
      <c r="H397" s="45">
        <v>96</v>
      </c>
    </row>
    <row r="398" spans="1:8">
      <c r="A398" s="78">
        <v>128218880657</v>
      </c>
      <c r="B398" s="1" t="s">
        <v>8</v>
      </c>
      <c r="C398" s="44" t="s">
        <v>2101</v>
      </c>
      <c r="D398" s="1" t="s">
        <v>2057</v>
      </c>
      <c r="E398" s="44" t="s">
        <v>2101</v>
      </c>
      <c r="F398" s="38" t="s">
        <v>2058</v>
      </c>
      <c r="G398" s="45">
        <v>30200</v>
      </c>
      <c r="H398" s="45">
        <v>181.2</v>
      </c>
    </row>
    <row r="399" spans="1:8">
      <c r="A399" s="78">
        <v>128220831145</v>
      </c>
      <c r="B399" s="1" t="s">
        <v>8</v>
      </c>
      <c r="C399" s="44" t="s">
        <v>2101</v>
      </c>
      <c r="D399" s="1" t="s">
        <v>2057</v>
      </c>
      <c r="E399" s="44" t="s">
        <v>2118</v>
      </c>
      <c r="F399" s="38" t="s">
        <v>2058</v>
      </c>
      <c r="G399" s="45">
        <v>8000</v>
      </c>
      <c r="H399" s="45">
        <v>48</v>
      </c>
    </row>
    <row r="400" spans="1:8">
      <c r="A400" s="78">
        <v>128212250343</v>
      </c>
      <c r="B400" s="1" t="s">
        <v>8</v>
      </c>
      <c r="C400" s="44" t="s">
        <v>2101</v>
      </c>
      <c r="D400" s="1" t="s">
        <v>2057</v>
      </c>
      <c r="E400" s="44" t="s">
        <v>2101</v>
      </c>
      <c r="F400" s="38" t="s">
        <v>2058</v>
      </c>
      <c r="G400" s="45">
        <v>9600</v>
      </c>
      <c r="H400" s="45">
        <v>57.6</v>
      </c>
    </row>
    <row r="401" spans="1:8">
      <c r="A401" s="78">
        <v>128222367735</v>
      </c>
      <c r="B401" s="1" t="s">
        <v>2055</v>
      </c>
      <c r="C401" s="44" t="s">
        <v>2118</v>
      </c>
      <c r="D401" s="1" t="s">
        <v>2057</v>
      </c>
      <c r="E401" s="44" t="s">
        <v>2118</v>
      </c>
      <c r="F401" s="38" t="s">
        <v>2058</v>
      </c>
      <c r="G401" s="45">
        <v>8800</v>
      </c>
      <c r="H401" s="45">
        <v>52.8</v>
      </c>
    </row>
    <row r="402" spans="1:8">
      <c r="A402" s="78">
        <v>128213740763</v>
      </c>
      <c r="B402" s="1" t="s">
        <v>2119</v>
      </c>
      <c r="C402" s="44" t="s">
        <v>2101</v>
      </c>
      <c r="D402" s="1" t="s">
        <v>2057</v>
      </c>
      <c r="E402" s="44" t="s">
        <v>2101</v>
      </c>
      <c r="F402" s="38" t="s">
        <v>2058</v>
      </c>
      <c r="G402" s="45">
        <v>2970</v>
      </c>
      <c r="H402" s="45">
        <v>17.82</v>
      </c>
    </row>
    <row r="403" spans="1:8">
      <c r="A403" s="78">
        <v>128213687353</v>
      </c>
      <c r="B403" s="1" t="s">
        <v>8</v>
      </c>
      <c r="C403" s="44" t="s">
        <v>2101</v>
      </c>
      <c r="D403" s="1" t="s">
        <v>2057</v>
      </c>
      <c r="E403" s="44" t="s">
        <v>2101</v>
      </c>
      <c r="F403" s="38" t="s">
        <v>2058</v>
      </c>
      <c r="G403" s="45">
        <v>29700</v>
      </c>
      <c r="H403" s="45">
        <v>178.2</v>
      </c>
    </row>
    <row r="404" spans="1:8">
      <c r="A404" s="78">
        <v>128782344294</v>
      </c>
      <c r="B404" s="1" t="s">
        <v>2055</v>
      </c>
      <c r="C404" s="44" t="s">
        <v>2101</v>
      </c>
      <c r="D404" s="1" t="s">
        <v>2057</v>
      </c>
      <c r="E404" s="44" t="s">
        <v>2101</v>
      </c>
      <c r="F404" s="38" t="s">
        <v>2058</v>
      </c>
      <c r="G404" s="45">
        <v>25300</v>
      </c>
      <c r="H404" s="45">
        <v>151.80000000000001</v>
      </c>
    </row>
    <row r="405" spans="1:8">
      <c r="A405" s="78">
        <v>128215264657</v>
      </c>
      <c r="B405" s="1" t="s">
        <v>2055</v>
      </c>
      <c r="C405" s="44" t="s">
        <v>2101</v>
      </c>
      <c r="D405" s="1" t="s">
        <v>2057</v>
      </c>
      <c r="E405" s="44" t="s">
        <v>2101</v>
      </c>
      <c r="F405" s="38" t="s">
        <v>2058</v>
      </c>
      <c r="G405" s="45">
        <v>14400</v>
      </c>
      <c r="H405" s="45">
        <v>86.4</v>
      </c>
    </row>
    <row r="406" spans="1:8">
      <c r="A406" s="78">
        <v>128783583224</v>
      </c>
      <c r="B406" s="1" t="s">
        <v>8</v>
      </c>
      <c r="C406" s="44" t="s">
        <v>2101</v>
      </c>
      <c r="D406" s="1" t="s">
        <v>2057</v>
      </c>
      <c r="E406" s="44" t="s">
        <v>2101</v>
      </c>
      <c r="F406" s="38" t="s">
        <v>2058</v>
      </c>
      <c r="G406" s="45">
        <v>17500</v>
      </c>
      <c r="H406" s="45">
        <v>105</v>
      </c>
    </row>
    <row r="407" spans="1:8">
      <c r="A407" s="78">
        <v>128783575336</v>
      </c>
      <c r="B407" s="1" t="s">
        <v>2120</v>
      </c>
      <c r="C407" s="44" t="s">
        <v>2101</v>
      </c>
      <c r="D407" s="1" t="s">
        <v>2057</v>
      </c>
      <c r="E407" s="44" t="s">
        <v>2101</v>
      </c>
      <c r="F407" s="38" t="s">
        <v>2058</v>
      </c>
      <c r="G407" s="45">
        <v>1750</v>
      </c>
      <c r="H407" s="45">
        <v>10.5</v>
      </c>
    </row>
    <row r="408" spans="1:8">
      <c r="A408" s="78">
        <v>128216639471</v>
      </c>
      <c r="B408" s="1" t="s">
        <v>8</v>
      </c>
      <c r="C408" s="44" t="s">
        <v>2101</v>
      </c>
      <c r="D408" s="1" t="s">
        <v>2057</v>
      </c>
      <c r="E408" s="44" t="s">
        <v>2101</v>
      </c>
      <c r="F408" s="38" t="s">
        <v>2058</v>
      </c>
      <c r="G408" s="45">
        <v>31000</v>
      </c>
      <c r="H408" s="45">
        <v>186</v>
      </c>
    </row>
    <row r="409" spans="1:8">
      <c r="A409" s="78">
        <v>128785272946</v>
      </c>
      <c r="B409" s="1" t="s">
        <v>8</v>
      </c>
      <c r="C409" s="44" t="s">
        <v>2101</v>
      </c>
      <c r="D409" s="1" t="s">
        <v>2057</v>
      </c>
      <c r="E409" s="44" t="s">
        <v>2101</v>
      </c>
      <c r="F409" s="38" t="s">
        <v>2058</v>
      </c>
      <c r="G409" s="45">
        <v>43400</v>
      </c>
      <c r="H409" s="45">
        <v>260.39999999999998</v>
      </c>
    </row>
    <row r="410" spans="1:8">
      <c r="A410" s="78">
        <v>128221923389</v>
      </c>
      <c r="B410" s="1" t="s">
        <v>8</v>
      </c>
      <c r="C410" s="44" t="s">
        <v>2101</v>
      </c>
      <c r="D410" s="1" t="s">
        <v>2057</v>
      </c>
      <c r="E410" s="44" t="s">
        <v>2118</v>
      </c>
      <c r="F410" s="38" t="s">
        <v>2058</v>
      </c>
      <c r="G410" s="45">
        <v>50500</v>
      </c>
      <c r="H410" s="45">
        <v>303</v>
      </c>
    </row>
    <row r="411" spans="1:8">
      <c r="A411" s="78" t="s">
        <v>2121</v>
      </c>
      <c r="B411" s="1" t="s">
        <v>8</v>
      </c>
      <c r="C411" s="44" t="s">
        <v>2118</v>
      </c>
      <c r="D411" s="1" t="s">
        <v>2057</v>
      </c>
      <c r="E411" s="44" t="s">
        <v>2118</v>
      </c>
      <c r="F411" s="38" t="s">
        <v>2058</v>
      </c>
      <c r="G411" s="45">
        <v>954385</v>
      </c>
      <c r="H411" s="45">
        <v>5726.31</v>
      </c>
    </row>
    <row r="412" spans="1:8">
      <c r="A412" s="78">
        <v>128840577700</v>
      </c>
      <c r="B412" s="1" t="s">
        <v>8</v>
      </c>
      <c r="C412" s="44" t="s">
        <v>2118</v>
      </c>
      <c r="D412" s="1" t="s">
        <v>2057</v>
      </c>
      <c r="E412" s="44" t="s">
        <v>2118</v>
      </c>
      <c r="F412" s="38" t="s">
        <v>2058</v>
      </c>
      <c r="G412" s="45">
        <v>1049664</v>
      </c>
      <c r="H412" s="45">
        <v>6297.98</v>
      </c>
    </row>
    <row r="413" spans="1:8">
      <c r="A413" s="78">
        <v>128841429022</v>
      </c>
      <c r="B413" s="1" t="s">
        <v>8</v>
      </c>
      <c r="C413" s="44" t="s">
        <v>2118</v>
      </c>
      <c r="D413" s="1" t="s">
        <v>2057</v>
      </c>
      <c r="E413" s="44" t="s">
        <v>2118</v>
      </c>
      <c r="F413" s="38" t="s">
        <v>2058</v>
      </c>
      <c r="G413" s="45">
        <v>253900.45</v>
      </c>
      <c r="H413" s="45">
        <v>1523.4</v>
      </c>
    </row>
    <row r="414" spans="1:8">
      <c r="A414" s="78">
        <v>128290347795</v>
      </c>
      <c r="B414" s="1" t="s">
        <v>8</v>
      </c>
      <c r="C414" s="44" t="s">
        <v>2118</v>
      </c>
      <c r="D414" s="1" t="s">
        <v>2057</v>
      </c>
      <c r="E414" s="44" t="s">
        <v>2118</v>
      </c>
      <c r="F414" s="38" t="s">
        <v>2058</v>
      </c>
      <c r="G414" s="45">
        <v>1538720.7</v>
      </c>
      <c r="H414" s="45">
        <v>9232.32</v>
      </c>
    </row>
    <row r="415" spans="1:8">
      <c r="A415" s="78" t="s">
        <v>2122</v>
      </c>
      <c r="B415" s="1" t="s">
        <v>8</v>
      </c>
      <c r="C415" s="44" t="s">
        <v>2118</v>
      </c>
      <c r="D415" s="1" t="s">
        <v>2057</v>
      </c>
      <c r="E415" s="44" t="s">
        <v>2118</v>
      </c>
      <c r="F415" s="38" t="s">
        <v>2058</v>
      </c>
      <c r="G415" s="45">
        <v>21599.99</v>
      </c>
      <c r="H415" s="45">
        <v>129.6</v>
      </c>
    </row>
    <row r="416" spans="1:8">
      <c r="A416" s="78">
        <v>128302630577</v>
      </c>
      <c r="B416" s="1" t="s">
        <v>8</v>
      </c>
      <c r="C416" s="44" t="s">
        <v>2118</v>
      </c>
      <c r="D416" s="1" t="s">
        <v>2057</v>
      </c>
      <c r="E416" s="44" t="s">
        <v>2118</v>
      </c>
      <c r="F416" s="38" t="s">
        <v>2058</v>
      </c>
      <c r="G416" s="45">
        <v>1281400.02</v>
      </c>
      <c r="H416" s="45">
        <v>7688.4</v>
      </c>
    </row>
    <row r="417" spans="1:8">
      <c r="A417" s="78" t="s">
        <v>2124</v>
      </c>
      <c r="B417" s="1" t="s">
        <v>8</v>
      </c>
      <c r="C417" s="44" t="s">
        <v>2123</v>
      </c>
      <c r="D417" s="1" t="s">
        <v>2057</v>
      </c>
      <c r="E417" s="44" t="s">
        <v>2123</v>
      </c>
      <c r="F417" s="38" t="s">
        <v>2058</v>
      </c>
      <c r="G417" s="45">
        <v>2167462.94</v>
      </c>
      <c r="H417" s="45">
        <v>13004.78</v>
      </c>
    </row>
    <row r="418" spans="1:8">
      <c r="A418" s="78">
        <v>129122901498</v>
      </c>
      <c r="B418" s="1" t="s">
        <v>8</v>
      </c>
      <c r="C418" s="44" t="s">
        <v>2123</v>
      </c>
      <c r="D418" s="1" t="s">
        <v>2057</v>
      </c>
      <c r="E418" s="44" t="s">
        <v>2123</v>
      </c>
      <c r="F418" s="38" t="s">
        <v>2058</v>
      </c>
      <c r="G418" s="45">
        <v>98444.31</v>
      </c>
      <c r="H418" s="45">
        <v>590.66999999999996</v>
      </c>
    </row>
    <row r="419" spans="1:8">
      <c r="A419" s="78">
        <v>128552409491</v>
      </c>
      <c r="B419" s="1" t="s">
        <v>8</v>
      </c>
      <c r="C419" s="44" t="s">
        <v>2123</v>
      </c>
      <c r="D419" s="1" t="s">
        <v>2057</v>
      </c>
      <c r="E419" s="44" t="s">
        <v>2123</v>
      </c>
      <c r="F419" s="38" t="s">
        <v>2058</v>
      </c>
      <c r="G419" s="45">
        <v>69800.13</v>
      </c>
      <c r="H419" s="45">
        <v>418.8</v>
      </c>
    </row>
    <row r="420" spans="1:8">
      <c r="A420" s="78">
        <v>128574320803</v>
      </c>
      <c r="B420" s="1" t="s">
        <v>8</v>
      </c>
      <c r="C420" s="44" t="s">
        <v>2123</v>
      </c>
      <c r="D420" s="1" t="s">
        <v>2057</v>
      </c>
      <c r="E420" s="44" t="s">
        <v>2123</v>
      </c>
      <c r="F420" s="38" t="s">
        <v>2058</v>
      </c>
      <c r="G420" s="45">
        <v>264533.21999999997</v>
      </c>
      <c r="H420" s="45">
        <v>1587.2</v>
      </c>
    </row>
    <row r="421" spans="1:8">
      <c r="A421" s="78">
        <v>128573746367</v>
      </c>
      <c r="B421" s="1" t="s">
        <v>8</v>
      </c>
      <c r="C421" s="44" t="s">
        <v>2123</v>
      </c>
      <c r="D421" s="1" t="s">
        <v>2057</v>
      </c>
      <c r="E421" s="44" t="s">
        <v>2123</v>
      </c>
      <c r="F421" s="38" t="s">
        <v>2058</v>
      </c>
      <c r="G421" s="45">
        <v>360356.33</v>
      </c>
      <c r="H421" s="45">
        <v>2162.14</v>
      </c>
    </row>
    <row r="422" spans="1:8">
      <c r="A422" s="78">
        <v>129164900834</v>
      </c>
      <c r="B422" s="1" t="s">
        <v>8</v>
      </c>
      <c r="C422" s="44" t="s">
        <v>2123</v>
      </c>
      <c r="D422" s="1" t="s">
        <v>2057</v>
      </c>
      <c r="E422" s="44" t="s">
        <v>2123</v>
      </c>
      <c r="F422" s="38" t="s">
        <v>2058</v>
      </c>
      <c r="G422" s="45">
        <v>59340</v>
      </c>
      <c r="H422" s="45">
        <v>356.04</v>
      </c>
    </row>
    <row r="423" spans="1:8">
      <c r="A423" s="78">
        <v>129185058794</v>
      </c>
      <c r="B423" s="1" t="s">
        <v>8</v>
      </c>
      <c r="C423" s="44" t="s">
        <v>2123</v>
      </c>
      <c r="D423" s="1" t="s">
        <v>2057</v>
      </c>
      <c r="E423" s="44" t="s">
        <v>2123</v>
      </c>
      <c r="F423" s="38" t="s">
        <v>2058</v>
      </c>
      <c r="G423" s="45">
        <v>13800</v>
      </c>
      <c r="H423" s="45">
        <v>82.8</v>
      </c>
    </row>
    <row r="424" spans="1:8">
      <c r="A424" s="78">
        <v>129187574742</v>
      </c>
      <c r="B424" s="1" t="s">
        <v>2055</v>
      </c>
      <c r="C424" s="44" t="s">
        <v>2123</v>
      </c>
      <c r="D424" s="1" t="s">
        <v>2057</v>
      </c>
      <c r="E424" s="44" t="s">
        <v>2123</v>
      </c>
      <c r="F424" s="38" t="s">
        <v>2058</v>
      </c>
      <c r="G424" s="45">
        <v>16800</v>
      </c>
      <c r="H424" s="45">
        <v>100.8</v>
      </c>
    </row>
    <row r="425" spans="1:8">
      <c r="A425" s="78">
        <v>129181979010</v>
      </c>
      <c r="B425" s="1" t="s">
        <v>2055</v>
      </c>
      <c r="C425" s="44" t="s">
        <v>2123</v>
      </c>
      <c r="D425" s="1" t="s">
        <v>2057</v>
      </c>
      <c r="E425" s="44" t="s">
        <v>2123</v>
      </c>
      <c r="F425" s="38" t="s">
        <v>2058</v>
      </c>
      <c r="G425" s="45">
        <v>4800</v>
      </c>
      <c r="H425" s="45">
        <v>28.8</v>
      </c>
    </row>
    <row r="426" spans="1:8">
      <c r="A426" s="78">
        <v>129195133392</v>
      </c>
      <c r="B426" s="1" t="s">
        <v>8</v>
      </c>
      <c r="C426" s="44" t="s">
        <v>2123</v>
      </c>
      <c r="D426" s="1" t="s">
        <v>2057</v>
      </c>
      <c r="E426" s="44" t="s">
        <v>2123</v>
      </c>
      <c r="F426" s="38" t="s">
        <v>2058</v>
      </c>
      <c r="G426" s="45">
        <v>6000</v>
      </c>
      <c r="H426" s="45">
        <v>36</v>
      </c>
    </row>
    <row r="427" spans="1:8">
      <c r="A427" s="78">
        <v>128624814139</v>
      </c>
      <c r="B427" s="1" t="s">
        <v>8</v>
      </c>
      <c r="C427" s="44" t="s">
        <v>2123</v>
      </c>
      <c r="D427" s="1" t="s">
        <v>2057</v>
      </c>
      <c r="E427" s="44" t="s">
        <v>2123</v>
      </c>
      <c r="F427" s="38" t="s">
        <v>2058</v>
      </c>
      <c r="G427" s="45">
        <v>3000</v>
      </c>
      <c r="H427" s="45">
        <v>18</v>
      </c>
    </row>
    <row r="428" spans="1:8">
      <c r="A428" s="78">
        <v>128628824137</v>
      </c>
      <c r="B428" s="1" t="s">
        <v>8</v>
      </c>
      <c r="C428" s="44" t="s">
        <v>2123</v>
      </c>
      <c r="D428" s="1" t="s">
        <v>2057</v>
      </c>
      <c r="E428" s="44" t="s">
        <v>2123</v>
      </c>
      <c r="F428" s="38" t="s">
        <v>2058</v>
      </c>
      <c r="G428" s="45">
        <v>4800</v>
      </c>
      <c r="H428" s="45">
        <v>28.8</v>
      </c>
    </row>
    <row r="429" spans="1:8">
      <c r="A429" s="78">
        <v>128630547191</v>
      </c>
      <c r="B429" s="1" t="s">
        <v>2125</v>
      </c>
      <c r="C429" s="44" t="s">
        <v>2123</v>
      </c>
      <c r="D429" s="1" t="s">
        <v>2057</v>
      </c>
      <c r="E429" s="44" t="s">
        <v>2123</v>
      </c>
      <c r="F429" s="38" t="s">
        <v>2058</v>
      </c>
      <c r="G429" s="45">
        <v>500</v>
      </c>
      <c r="H429" s="45">
        <v>3</v>
      </c>
    </row>
    <row r="430" spans="1:8">
      <c r="A430" s="78">
        <v>129201225626</v>
      </c>
      <c r="B430" s="1" t="s">
        <v>8</v>
      </c>
      <c r="C430" s="44" t="s">
        <v>2123</v>
      </c>
      <c r="D430" s="1" t="s">
        <v>2057</v>
      </c>
      <c r="E430" s="44" t="s">
        <v>2123</v>
      </c>
      <c r="F430" s="38" t="s">
        <v>2058</v>
      </c>
      <c r="G430" s="45">
        <v>10000</v>
      </c>
      <c r="H430" s="45">
        <v>60</v>
      </c>
    </row>
    <row r="431" spans="1:8">
      <c r="A431" s="78">
        <v>129203149610</v>
      </c>
      <c r="B431" s="1" t="s">
        <v>2055</v>
      </c>
      <c r="C431" s="44" t="s">
        <v>2123</v>
      </c>
      <c r="D431" s="1" t="s">
        <v>2057</v>
      </c>
      <c r="E431" s="44" t="s">
        <v>2123</v>
      </c>
      <c r="F431" s="38" t="s">
        <v>2058</v>
      </c>
      <c r="G431" s="45">
        <v>9600</v>
      </c>
      <c r="H431" s="45">
        <v>57.6</v>
      </c>
    </row>
    <row r="432" spans="1:8">
      <c r="A432" s="78">
        <v>128623220757</v>
      </c>
      <c r="B432" s="1" t="s">
        <v>2055</v>
      </c>
      <c r="C432" s="44" t="s">
        <v>2123</v>
      </c>
      <c r="D432" s="1" t="s">
        <v>2057</v>
      </c>
      <c r="E432" s="44" t="s">
        <v>2123</v>
      </c>
      <c r="F432" s="38" t="s">
        <v>2058</v>
      </c>
      <c r="G432" s="45">
        <v>6000</v>
      </c>
      <c r="H432" s="45">
        <v>36</v>
      </c>
    </row>
    <row r="433" spans="1:8">
      <c r="A433" s="78">
        <v>129194128550</v>
      </c>
      <c r="B433" s="1" t="s">
        <v>8</v>
      </c>
      <c r="C433" s="44" t="s">
        <v>2123</v>
      </c>
      <c r="D433" s="1" t="s">
        <v>2057</v>
      </c>
      <c r="E433" s="44" t="s">
        <v>2123</v>
      </c>
      <c r="F433" s="38" t="s">
        <v>2058</v>
      </c>
      <c r="G433" s="45">
        <v>3000</v>
      </c>
      <c r="H433" s="45">
        <v>18</v>
      </c>
    </row>
    <row r="434" spans="1:8">
      <c r="A434" s="78">
        <v>128624750885</v>
      </c>
      <c r="B434" s="1" t="s">
        <v>2126</v>
      </c>
      <c r="C434" s="44" t="s">
        <v>2123</v>
      </c>
      <c r="D434" s="1" t="s">
        <v>2057</v>
      </c>
      <c r="E434" s="44" t="s">
        <v>2123</v>
      </c>
      <c r="F434" s="38" t="s">
        <v>2058</v>
      </c>
      <c r="G434" s="45">
        <v>150</v>
      </c>
      <c r="H434" s="45">
        <v>0.9</v>
      </c>
    </row>
    <row r="435" spans="1:8">
      <c r="A435" s="78">
        <v>129204840076</v>
      </c>
      <c r="B435" s="1" t="s">
        <v>2055</v>
      </c>
      <c r="C435" s="44" t="s">
        <v>2123</v>
      </c>
      <c r="D435" s="1" t="s">
        <v>2057</v>
      </c>
      <c r="E435" s="44" t="s">
        <v>2123</v>
      </c>
      <c r="F435" s="38" t="s">
        <v>2058</v>
      </c>
      <c r="G435" s="45">
        <v>4800</v>
      </c>
      <c r="H435" s="45">
        <v>28.8</v>
      </c>
    </row>
    <row r="436" spans="1:8">
      <c r="A436" s="78">
        <v>129205482260</v>
      </c>
      <c r="B436" s="1" t="s">
        <v>2055</v>
      </c>
      <c r="C436" s="44" t="s">
        <v>2123</v>
      </c>
      <c r="D436" s="1" t="s">
        <v>2057</v>
      </c>
      <c r="E436" s="44" t="s">
        <v>2123</v>
      </c>
      <c r="F436" s="38" t="s">
        <v>2058</v>
      </c>
      <c r="G436" s="45">
        <v>28300</v>
      </c>
      <c r="H436" s="45">
        <v>169.8</v>
      </c>
    </row>
    <row r="437" spans="1:8">
      <c r="A437" s="78">
        <v>129197916964</v>
      </c>
      <c r="B437" s="1" t="s">
        <v>2055</v>
      </c>
      <c r="C437" s="44" t="s">
        <v>2123</v>
      </c>
      <c r="D437" s="1" t="s">
        <v>2057</v>
      </c>
      <c r="E437" s="44" t="s">
        <v>2123</v>
      </c>
      <c r="F437" s="38" t="s">
        <v>2058</v>
      </c>
      <c r="G437" s="45">
        <v>6000</v>
      </c>
      <c r="H437" s="45">
        <v>36</v>
      </c>
    </row>
    <row r="438" spans="1:8">
      <c r="A438" s="78">
        <v>128636419289</v>
      </c>
      <c r="B438" s="1" t="s">
        <v>8</v>
      </c>
      <c r="C438" s="44" t="s">
        <v>2123</v>
      </c>
      <c r="D438" s="1" t="s">
        <v>2057</v>
      </c>
      <c r="E438" s="44" t="s">
        <v>2123</v>
      </c>
      <c r="F438" s="38" t="s">
        <v>2058</v>
      </c>
      <c r="G438" s="45">
        <v>3800</v>
      </c>
      <c r="H438" s="45">
        <v>22.8</v>
      </c>
    </row>
    <row r="439" spans="1:8">
      <c r="A439" s="78">
        <v>128636662801</v>
      </c>
      <c r="B439" s="1" t="s">
        <v>2055</v>
      </c>
      <c r="C439" s="44" t="s">
        <v>2123</v>
      </c>
      <c r="D439" s="1" t="s">
        <v>2057</v>
      </c>
      <c r="E439" s="44" t="s">
        <v>2123</v>
      </c>
      <c r="F439" s="38" t="s">
        <v>2058</v>
      </c>
      <c r="G439" s="45">
        <v>32098</v>
      </c>
      <c r="H439" s="45">
        <v>192.59</v>
      </c>
    </row>
    <row r="440" spans="1:8">
      <c r="A440" s="78">
        <v>129199375094</v>
      </c>
      <c r="B440" s="1" t="s">
        <v>2127</v>
      </c>
      <c r="C440" s="44" t="s">
        <v>2123</v>
      </c>
      <c r="D440" s="1" t="s">
        <v>2057</v>
      </c>
      <c r="E440" s="44" t="s">
        <v>2123</v>
      </c>
      <c r="F440" s="38" t="s">
        <v>2058</v>
      </c>
      <c r="G440" s="45">
        <v>240</v>
      </c>
      <c r="H440" s="45">
        <v>1.44</v>
      </c>
    </row>
    <row r="441" spans="1:8">
      <c r="A441" s="78">
        <v>128637622361</v>
      </c>
      <c r="B441" s="1" t="s">
        <v>8</v>
      </c>
      <c r="C441" s="44" t="s">
        <v>2123</v>
      </c>
      <c r="D441" s="1" t="s">
        <v>2057</v>
      </c>
      <c r="E441" s="44" t="s">
        <v>2123</v>
      </c>
      <c r="F441" s="38" t="s">
        <v>2058</v>
      </c>
      <c r="G441" s="45">
        <v>35699</v>
      </c>
      <c r="H441" s="45">
        <v>214.19</v>
      </c>
    </row>
    <row r="442" spans="1:8">
      <c r="A442" s="78">
        <v>128628953665</v>
      </c>
      <c r="B442" s="1" t="s">
        <v>8</v>
      </c>
      <c r="C442" s="44" t="s">
        <v>2123</v>
      </c>
      <c r="D442" s="1" t="s">
        <v>2057</v>
      </c>
      <c r="E442" s="44" t="s">
        <v>2123</v>
      </c>
      <c r="F442" s="38" t="s">
        <v>2058</v>
      </c>
      <c r="G442" s="45">
        <v>3000</v>
      </c>
      <c r="H442" s="45">
        <v>18</v>
      </c>
    </row>
    <row r="443" spans="1:8">
      <c r="A443" s="78">
        <v>129201065142</v>
      </c>
      <c r="B443" s="1" t="s">
        <v>2055</v>
      </c>
      <c r="C443" s="44" t="s">
        <v>2123</v>
      </c>
      <c r="D443" s="1" t="s">
        <v>2057</v>
      </c>
      <c r="E443" s="44" t="s">
        <v>2123</v>
      </c>
      <c r="F443" s="38" t="s">
        <v>2058</v>
      </c>
      <c r="G443" s="45">
        <v>29500</v>
      </c>
      <c r="H443" s="45">
        <v>177</v>
      </c>
    </row>
    <row r="444" spans="1:8">
      <c r="A444" s="78">
        <v>128639452327</v>
      </c>
      <c r="B444" s="1" t="s">
        <v>8</v>
      </c>
      <c r="C444" s="44" t="s">
        <v>2123</v>
      </c>
      <c r="D444" s="1" t="s">
        <v>2057</v>
      </c>
      <c r="E444" s="44" t="s">
        <v>2123</v>
      </c>
      <c r="F444" s="38" t="s">
        <v>2058</v>
      </c>
      <c r="G444" s="45">
        <v>112395</v>
      </c>
      <c r="H444" s="45">
        <v>674.37</v>
      </c>
    </row>
    <row r="445" spans="1:8">
      <c r="A445" s="78">
        <v>128630753069</v>
      </c>
      <c r="B445" s="1" t="s">
        <v>8</v>
      </c>
      <c r="C445" s="44" t="s">
        <v>2123</v>
      </c>
      <c r="D445" s="1" t="s">
        <v>2057</v>
      </c>
      <c r="E445" s="44" t="s">
        <v>2123</v>
      </c>
      <c r="F445" s="38" t="s">
        <v>2058</v>
      </c>
      <c r="G445" s="45">
        <v>39400</v>
      </c>
      <c r="H445" s="45">
        <v>236.4</v>
      </c>
    </row>
    <row r="446" spans="1:8">
      <c r="A446" s="78">
        <v>128631028957</v>
      </c>
      <c r="B446" s="1" t="s">
        <v>2055</v>
      </c>
      <c r="C446" s="44" t="s">
        <v>2123</v>
      </c>
      <c r="D446" s="1" t="s">
        <v>2057</v>
      </c>
      <c r="E446" s="44" t="s">
        <v>2123</v>
      </c>
      <c r="F446" s="38" t="s">
        <v>2058</v>
      </c>
      <c r="G446" s="45">
        <v>25900</v>
      </c>
      <c r="H446" s="45">
        <v>155.4</v>
      </c>
    </row>
    <row r="447" spans="1:8">
      <c r="A447" s="78">
        <v>128639945425</v>
      </c>
      <c r="B447" s="1" t="s">
        <v>8</v>
      </c>
      <c r="C447" s="44" t="s">
        <v>2123</v>
      </c>
      <c r="D447" s="1" t="s">
        <v>2057</v>
      </c>
      <c r="E447" s="44" t="s">
        <v>2123</v>
      </c>
      <c r="F447" s="38" t="s">
        <v>2058</v>
      </c>
      <c r="G447" s="45">
        <v>31998</v>
      </c>
      <c r="H447" s="45">
        <v>191.99</v>
      </c>
    </row>
    <row r="448" spans="1:8">
      <c r="A448" s="78">
        <v>129201952360</v>
      </c>
      <c r="B448" s="1" t="s">
        <v>8</v>
      </c>
      <c r="C448" s="44" t="s">
        <v>2123</v>
      </c>
      <c r="D448" s="1" t="s">
        <v>2057</v>
      </c>
      <c r="E448" s="44" t="s">
        <v>2123</v>
      </c>
      <c r="F448" s="38" t="s">
        <v>2058</v>
      </c>
      <c r="G448" s="45">
        <v>3800</v>
      </c>
      <c r="H448" s="45">
        <v>22.8</v>
      </c>
    </row>
    <row r="449" spans="1:8">
      <c r="A449" s="78">
        <v>128631129561</v>
      </c>
      <c r="B449" s="1" t="s">
        <v>2128</v>
      </c>
      <c r="C449" s="44" t="s">
        <v>2123</v>
      </c>
      <c r="D449" s="1" t="s">
        <v>2057</v>
      </c>
      <c r="E449" s="44" t="s">
        <v>2123</v>
      </c>
      <c r="F449" s="38" t="s">
        <v>2058</v>
      </c>
      <c r="G449" s="45">
        <v>190</v>
      </c>
      <c r="H449" s="45">
        <v>1.1399999999999999</v>
      </c>
    </row>
    <row r="450" spans="1:8">
      <c r="A450" s="78">
        <v>128631398585</v>
      </c>
      <c r="B450" s="1" t="s">
        <v>8</v>
      </c>
      <c r="C450" s="44" t="s">
        <v>2123</v>
      </c>
      <c r="D450" s="1" t="s">
        <v>2057</v>
      </c>
      <c r="E450" s="44" t="s">
        <v>2123</v>
      </c>
      <c r="F450" s="38" t="s">
        <v>2058</v>
      </c>
      <c r="G450" s="45">
        <v>9600</v>
      </c>
      <c r="H450" s="45">
        <v>57.6</v>
      </c>
    </row>
    <row r="451" spans="1:8">
      <c r="A451" s="78">
        <v>128640132077</v>
      </c>
      <c r="B451" s="1" t="s">
        <v>8</v>
      </c>
      <c r="C451" s="44" t="s">
        <v>2123</v>
      </c>
      <c r="D451" s="1" t="s">
        <v>2057</v>
      </c>
      <c r="E451" s="44" t="s">
        <v>2123</v>
      </c>
      <c r="F451" s="38" t="s">
        <v>2058</v>
      </c>
      <c r="G451" s="45">
        <v>24800</v>
      </c>
      <c r="H451" s="45">
        <v>148.80000000000001</v>
      </c>
    </row>
    <row r="452" spans="1:8">
      <c r="A452" s="78">
        <v>128640479035</v>
      </c>
      <c r="B452" s="1" t="s">
        <v>8</v>
      </c>
      <c r="C452" s="44" t="s">
        <v>2123</v>
      </c>
      <c r="D452" s="1" t="s">
        <v>2057</v>
      </c>
      <c r="E452" s="44" t="s">
        <v>2123</v>
      </c>
      <c r="F452" s="38" t="s">
        <v>2058</v>
      </c>
      <c r="G452" s="45">
        <v>37199</v>
      </c>
      <c r="H452" s="45">
        <v>223.19</v>
      </c>
    </row>
    <row r="453" spans="1:8">
      <c r="A453" s="78">
        <v>128632421311</v>
      </c>
      <c r="B453" s="1" t="s">
        <v>2055</v>
      </c>
      <c r="C453" s="44" t="s">
        <v>2123</v>
      </c>
      <c r="D453" s="1" t="s">
        <v>2057</v>
      </c>
      <c r="E453" s="44" t="s">
        <v>2123</v>
      </c>
      <c r="F453" s="38" t="s">
        <v>2058</v>
      </c>
      <c r="G453" s="45">
        <v>3800</v>
      </c>
      <c r="H453" s="45">
        <v>22.8</v>
      </c>
    </row>
    <row r="454" spans="1:8">
      <c r="A454" s="78">
        <v>128641318431</v>
      </c>
      <c r="B454" s="1" t="s">
        <v>8</v>
      </c>
      <c r="C454" s="44" t="s">
        <v>2123</v>
      </c>
      <c r="D454" s="1" t="s">
        <v>2057</v>
      </c>
      <c r="E454" s="44" t="s">
        <v>2123</v>
      </c>
      <c r="F454" s="38" t="s">
        <v>2058</v>
      </c>
      <c r="G454" s="45">
        <v>25900</v>
      </c>
      <c r="H454" s="45">
        <v>155.4</v>
      </c>
    </row>
    <row r="455" spans="1:8">
      <c r="A455" s="78">
        <v>128634472533</v>
      </c>
      <c r="B455" s="1" t="s">
        <v>2129</v>
      </c>
      <c r="C455" s="44" t="s">
        <v>2123</v>
      </c>
      <c r="D455" s="1" t="s">
        <v>2057</v>
      </c>
      <c r="E455" s="44" t="s">
        <v>2123</v>
      </c>
      <c r="F455" s="38" t="s">
        <v>2058</v>
      </c>
      <c r="G455" s="45">
        <v>1400</v>
      </c>
      <c r="H455" s="45">
        <v>8.4</v>
      </c>
    </row>
    <row r="456" spans="1:8">
      <c r="A456" s="78">
        <v>129205192540</v>
      </c>
      <c r="B456" s="1" t="s">
        <v>8</v>
      </c>
      <c r="C456" s="44" t="s">
        <v>2123</v>
      </c>
      <c r="D456" s="1" t="s">
        <v>2057</v>
      </c>
      <c r="E456" s="44" t="s">
        <v>2123</v>
      </c>
      <c r="F456" s="38" t="s">
        <v>2058</v>
      </c>
      <c r="G456" s="45">
        <v>28000</v>
      </c>
      <c r="H456" s="45">
        <v>168</v>
      </c>
    </row>
    <row r="457" spans="1:8">
      <c r="A457" s="78">
        <v>129205653322</v>
      </c>
      <c r="B457" s="1" t="s">
        <v>8</v>
      </c>
      <c r="C457" s="44" t="s">
        <v>2123</v>
      </c>
      <c r="D457" s="1" t="s">
        <v>2057</v>
      </c>
      <c r="E457" s="44" t="s">
        <v>2123</v>
      </c>
      <c r="F457" s="38" t="s">
        <v>2058</v>
      </c>
      <c r="G457" s="45">
        <v>5800</v>
      </c>
      <c r="H457" s="45">
        <v>34.799999999999997</v>
      </c>
    </row>
    <row r="458" spans="1:8">
      <c r="A458" s="78">
        <v>128643965667</v>
      </c>
      <c r="B458" s="1" t="s">
        <v>8</v>
      </c>
      <c r="C458" s="44" t="s">
        <v>2123</v>
      </c>
      <c r="D458" s="1" t="s">
        <v>2057</v>
      </c>
      <c r="E458" s="44" t="s">
        <v>2123</v>
      </c>
      <c r="F458" s="38" t="s">
        <v>2058</v>
      </c>
      <c r="G458" s="45">
        <v>57100</v>
      </c>
      <c r="H458" s="45">
        <v>342.6</v>
      </c>
    </row>
    <row r="459" spans="1:8">
      <c r="A459" s="78">
        <v>129214866634</v>
      </c>
      <c r="B459" s="1" t="s">
        <v>8</v>
      </c>
      <c r="C459" s="44" t="s">
        <v>2123</v>
      </c>
      <c r="D459" s="1" t="s">
        <v>2057</v>
      </c>
      <c r="E459" s="44" t="s">
        <v>2123</v>
      </c>
      <c r="F459" s="38" t="s">
        <v>2058</v>
      </c>
      <c r="G459" s="45">
        <v>64894</v>
      </c>
      <c r="H459" s="45">
        <v>389.36</v>
      </c>
    </row>
    <row r="460" spans="1:8">
      <c r="A460" s="78">
        <v>128644890325</v>
      </c>
      <c r="B460" s="1" t="s">
        <v>8</v>
      </c>
      <c r="C460" s="44" t="s">
        <v>2123</v>
      </c>
      <c r="D460" s="1" t="s">
        <v>2057</v>
      </c>
      <c r="E460" s="44" t="s">
        <v>2123</v>
      </c>
      <c r="F460" s="38" t="s">
        <v>2058</v>
      </c>
      <c r="G460" s="45">
        <v>48900</v>
      </c>
      <c r="H460" s="45">
        <v>293.39999999999998</v>
      </c>
    </row>
    <row r="461" spans="1:8">
      <c r="A461" s="78">
        <v>129215473972</v>
      </c>
      <c r="B461" s="1" t="s">
        <v>2130</v>
      </c>
      <c r="C461" s="44" t="s">
        <v>2123</v>
      </c>
      <c r="D461" s="1" t="s">
        <v>2057</v>
      </c>
      <c r="E461" s="44" t="s">
        <v>2123</v>
      </c>
      <c r="F461" s="38" t="s">
        <v>2058</v>
      </c>
      <c r="G461" s="45">
        <v>4890</v>
      </c>
      <c r="H461" s="45">
        <v>29.34</v>
      </c>
    </row>
    <row r="462" spans="1:8">
      <c r="A462" s="78">
        <v>129215579718</v>
      </c>
      <c r="B462" s="1" t="s">
        <v>8</v>
      </c>
      <c r="C462" s="44" t="s">
        <v>2123</v>
      </c>
      <c r="D462" s="1" t="s">
        <v>2057</v>
      </c>
      <c r="E462" s="44" t="s">
        <v>2123</v>
      </c>
      <c r="F462" s="38" t="s">
        <v>2058</v>
      </c>
      <c r="G462" s="45">
        <v>39996</v>
      </c>
      <c r="H462" s="45">
        <v>239.98</v>
      </c>
    </row>
    <row r="463" spans="1:8">
      <c r="A463" s="78">
        <v>129208894410</v>
      </c>
      <c r="B463" s="1" t="s">
        <v>2055</v>
      </c>
      <c r="C463" s="44" t="s">
        <v>2123</v>
      </c>
      <c r="D463" s="1" t="s">
        <v>2057</v>
      </c>
      <c r="E463" s="44" t="s">
        <v>2123</v>
      </c>
      <c r="F463" s="38" t="s">
        <v>2058</v>
      </c>
      <c r="G463" s="45">
        <v>37100</v>
      </c>
      <c r="H463" s="45">
        <v>222.6</v>
      </c>
    </row>
    <row r="464" spans="1:8">
      <c r="A464" s="78">
        <v>129217652034</v>
      </c>
      <c r="B464" s="1" t="s">
        <v>8</v>
      </c>
      <c r="C464" s="44" t="s">
        <v>2123</v>
      </c>
      <c r="D464" s="1" t="s">
        <v>2057</v>
      </c>
      <c r="E464" s="44" t="s">
        <v>2131</v>
      </c>
      <c r="F464" s="38" t="s">
        <v>2058</v>
      </c>
      <c r="G464" s="45">
        <v>41600</v>
      </c>
      <c r="H464" s="45">
        <v>249.6</v>
      </c>
    </row>
    <row r="465" spans="1:8">
      <c r="A465" s="78">
        <v>129217833188</v>
      </c>
      <c r="B465" s="1" t="s">
        <v>8</v>
      </c>
      <c r="C465" s="44" t="s">
        <v>2123</v>
      </c>
      <c r="D465" s="1" t="s">
        <v>2057</v>
      </c>
      <c r="E465" s="44" t="s">
        <v>2131</v>
      </c>
      <c r="F465" s="38" t="s">
        <v>2058</v>
      </c>
      <c r="G465" s="45">
        <v>63198</v>
      </c>
      <c r="H465" s="45">
        <v>379.19</v>
      </c>
    </row>
    <row r="466" spans="1:8">
      <c r="A466" s="78">
        <v>128647665951</v>
      </c>
      <c r="B466" s="1" t="s">
        <v>2055</v>
      </c>
      <c r="C466" s="44" t="s">
        <v>2123</v>
      </c>
      <c r="D466" s="1" t="s">
        <v>2057</v>
      </c>
      <c r="E466" s="44" t="s">
        <v>2131</v>
      </c>
      <c r="F466" s="38" t="s">
        <v>2058</v>
      </c>
      <c r="G466" s="45">
        <v>19999</v>
      </c>
      <c r="H466" s="45">
        <v>119.99</v>
      </c>
    </row>
    <row r="467" spans="1:8">
      <c r="A467" s="78">
        <v>129211094160</v>
      </c>
      <c r="B467" s="1" t="s">
        <v>8</v>
      </c>
      <c r="C467" s="44" t="s">
        <v>2123</v>
      </c>
      <c r="D467" s="1" t="s">
        <v>2057</v>
      </c>
      <c r="E467" s="44" t="s">
        <v>2123</v>
      </c>
      <c r="F467" s="38" t="s">
        <v>2058</v>
      </c>
      <c r="G467" s="45">
        <v>42100</v>
      </c>
      <c r="H467" s="45">
        <v>252.6</v>
      </c>
    </row>
    <row r="468" spans="1:8">
      <c r="A468" s="78">
        <v>129211186642</v>
      </c>
      <c r="B468" s="1" t="s">
        <v>2132</v>
      </c>
      <c r="C468" s="44" t="s">
        <v>2123</v>
      </c>
      <c r="D468" s="1" t="s">
        <v>2057</v>
      </c>
      <c r="E468" s="44" t="s">
        <v>2123</v>
      </c>
      <c r="F468" s="38" t="s">
        <v>2058</v>
      </c>
      <c r="G468" s="45">
        <v>3719</v>
      </c>
      <c r="H468" s="45">
        <v>22.31</v>
      </c>
    </row>
    <row r="469" spans="1:8">
      <c r="A469" s="78">
        <v>129211364496</v>
      </c>
      <c r="B469" s="1" t="s">
        <v>2133</v>
      </c>
      <c r="C469" s="44" t="s">
        <v>2123</v>
      </c>
      <c r="D469" s="1" t="s">
        <v>2057</v>
      </c>
      <c r="E469" s="44" t="s">
        <v>2123</v>
      </c>
      <c r="F469" s="38" t="s">
        <v>2058</v>
      </c>
      <c r="G469" s="45">
        <v>1839</v>
      </c>
      <c r="H469" s="45">
        <v>11.03</v>
      </c>
    </row>
    <row r="470" spans="1:8">
      <c r="A470" s="78">
        <v>129211293332</v>
      </c>
      <c r="B470" s="1" t="s">
        <v>8</v>
      </c>
      <c r="C470" s="44" t="s">
        <v>2123</v>
      </c>
      <c r="D470" s="1" t="s">
        <v>2057</v>
      </c>
      <c r="E470" s="44" t="s">
        <v>2123</v>
      </c>
      <c r="F470" s="38" t="s">
        <v>2058</v>
      </c>
      <c r="G470" s="45">
        <v>18399</v>
      </c>
      <c r="H470" s="45">
        <v>110.39</v>
      </c>
    </row>
    <row r="471" spans="1:8">
      <c r="A471" s="78">
        <v>129211696806</v>
      </c>
      <c r="B471" s="1" t="s">
        <v>2055</v>
      </c>
      <c r="C471" s="44" t="s">
        <v>2123</v>
      </c>
      <c r="D471" s="1" t="s">
        <v>2057</v>
      </c>
      <c r="E471" s="44" t="s">
        <v>2123</v>
      </c>
      <c r="F471" s="38" t="s">
        <v>2058</v>
      </c>
      <c r="G471" s="45">
        <v>57200</v>
      </c>
      <c r="H471" s="45">
        <v>343.2</v>
      </c>
    </row>
    <row r="472" spans="1:8">
      <c r="A472" s="78">
        <v>128649386055</v>
      </c>
      <c r="B472" s="1" t="s">
        <v>8</v>
      </c>
      <c r="C472" s="44" t="s">
        <v>2131</v>
      </c>
      <c r="D472" s="1" t="s">
        <v>2057</v>
      </c>
      <c r="E472" s="44" t="s">
        <v>2131</v>
      </c>
      <c r="F472" s="38" t="s">
        <v>2058</v>
      </c>
      <c r="G472" s="45">
        <v>31100</v>
      </c>
      <c r="H472" s="45">
        <v>186.6</v>
      </c>
    </row>
    <row r="473" spans="1:8">
      <c r="A473" s="78">
        <v>129214442224</v>
      </c>
      <c r="B473" s="1" t="s">
        <v>2055</v>
      </c>
      <c r="C473" s="44" t="s">
        <v>2123</v>
      </c>
      <c r="D473" s="1" t="s">
        <v>2057</v>
      </c>
      <c r="E473" s="44" t="s">
        <v>2123</v>
      </c>
      <c r="F473" s="38" t="s">
        <v>2058</v>
      </c>
      <c r="G473" s="45">
        <v>79300</v>
      </c>
      <c r="H473" s="45">
        <v>475.8</v>
      </c>
    </row>
    <row r="474" spans="1:8">
      <c r="A474" s="78">
        <v>129214683158</v>
      </c>
      <c r="B474" s="1" t="s">
        <v>2134</v>
      </c>
      <c r="C474" s="44" t="s">
        <v>2123</v>
      </c>
      <c r="D474" s="1" t="s">
        <v>2057</v>
      </c>
      <c r="E474" s="44" t="s">
        <v>2123</v>
      </c>
      <c r="F474" s="38" t="s">
        <v>2058</v>
      </c>
      <c r="G474" s="45">
        <v>2855</v>
      </c>
      <c r="H474" s="45">
        <v>17.13</v>
      </c>
    </row>
    <row r="475" spans="1:8">
      <c r="A475" s="78">
        <v>128644211883</v>
      </c>
      <c r="B475" s="1" t="s">
        <v>2055</v>
      </c>
      <c r="C475" s="44" t="s">
        <v>2123</v>
      </c>
      <c r="D475" s="1" t="s">
        <v>2057</v>
      </c>
      <c r="E475" s="44" t="s">
        <v>2123</v>
      </c>
      <c r="F475" s="38" t="s">
        <v>2058</v>
      </c>
      <c r="G475" s="45">
        <v>9600</v>
      </c>
      <c r="H475" s="45">
        <v>57.6</v>
      </c>
    </row>
    <row r="476" spans="1:8">
      <c r="A476" s="78">
        <v>128644903387</v>
      </c>
      <c r="B476" s="1" t="s">
        <v>2135</v>
      </c>
      <c r="C476" s="44" t="s">
        <v>2123</v>
      </c>
      <c r="D476" s="1" t="s">
        <v>2057</v>
      </c>
      <c r="E476" s="44" t="s">
        <v>2123</v>
      </c>
      <c r="F476" s="38" t="s">
        <v>2058</v>
      </c>
      <c r="G476" s="45">
        <v>3999</v>
      </c>
      <c r="H476" s="45">
        <v>23.99</v>
      </c>
    </row>
    <row r="477" spans="1:8">
      <c r="A477" s="78">
        <v>128645459167</v>
      </c>
      <c r="B477" s="1" t="s">
        <v>8</v>
      </c>
      <c r="C477" s="44" t="s">
        <v>2123</v>
      </c>
      <c r="D477" s="1" t="s">
        <v>2057</v>
      </c>
      <c r="E477" s="44" t="s">
        <v>2131</v>
      </c>
      <c r="F477" s="38" t="s">
        <v>2058</v>
      </c>
      <c r="G477" s="45">
        <v>37797</v>
      </c>
      <c r="H477" s="45">
        <v>226.78</v>
      </c>
    </row>
    <row r="478" spans="1:8">
      <c r="A478" s="78">
        <v>129217039132</v>
      </c>
      <c r="B478" s="1" t="s">
        <v>8</v>
      </c>
      <c r="C478" s="44" t="s">
        <v>2123</v>
      </c>
      <c r="D478" s="1" t="s">
        <v>2057</v>
      </c>
      <c r="E478" s="44" t="s">
        <v>2131</v>
      </c>
      <c r="F478" s="38" t="s">
        <v>2058</v>
      </c>
      <c r="G478" s="45">
        <v>8200</v>
      </c>
      <c r="H478" s="45">
        <v>49.2</v>
      </c>
    </row>
    <row r="479" spans="1:8">
      <c r="A479" s="78">
        <v>129217612156</v>
      </c>
      <c r="B479" s="1" t="s">
        <v>8</v>
      </c>
      <c r="C479" s="44" t="s">
        <v>2123</v>
      </c>
      <c r="D479" s="1" t="s">
        <v>2057</v>
      </c>
      <c r="E479" s="44" t="s">
        <v>2131</v>
      </c>
      <c r="F479" s="38" t="s">
        <v>2058</v>
      </c>
      <c r="G479" s="45">
        <v>9600</v>
      </c>
      <c r="H479" s="45">
        <v>57.6</v>
      </c>
    </row>
    <row r="480" spans="1:8">
      <c r="A480" s="78">
        <v>128648656617</v>
      </c>
      <c r="B480" s="1" t="s">
        <v>8</v>
      </c>
      <c r="C480" s="44" t="s">
        <v>2131</v>
      </c>
      <c r="D480" s="1" t="s">
        <v>2057</v>
      </c>
      <c r="E480" s="44" t="s">
        <v>2131</v>
      </c>
      <c r="F480" s="38" t="s">
        <v>2058</v>
      </c>
      <c r="G480" s="45">
        <v>8600</v>
      </c>
      <c r="H480" s="45">
        <v>51.6</v>
      </c>
    </row>
    <row r="481" spans="1:8">
      <c r="A481" s="78" t="s">
        <v>2136</v>
      </c>
      <c r="B481" s="1" t="s">
        <v>8</v>
      </c>
      <c r="C481" s="44" t="s">
        <v>2131</v>
      </c>
      <c r="D481" s="1" t="s">
        <v>2057</v>
      </c>
      <c r="E481" s="44" t="s">
        <v>2131</v>
      </c>
      <c r="F481" s="38" t="s">
        <v>2058</v>
      </c>
      <c r="G481" s="45">
        <v>11487.6</v>
      </c>
      <c r="H481" s="45">
        <v>68.930000000000007</v>
      </c>
    </row>
    <row r="482" spans="1:8">
      <c r="A482" s="78" t="s">
        <v>2137</v>
      </c>
      <c r="B482" s="1" t="s">
        <v>8</v>
      </c>
      <c r="C482" s="44" t="s">
        <v>2131</v>
      </c>
      <c r="D482" s="1" t="s">
        <v>2057</v>
      </c>
      <c r="E482" s="44" t="s">
        <v>2131</v>
      </c>
      <c r="F482" s="38" t="s">
        <v>2058</v>
      </c>
      <c r="G482" s="45">
        <v>95400</v>
      </c>
      <c r="H482" s="45">
        <v>572.4</v>
      </c>
    </row>
    <row r="483" spans="1:8">
      <c r="A483" s="78">
        <v>128685805823</v>
      </c>
      <c r="B483" s="1" t="s">
        <v>8</v>
      </c>
      <c r="C483" s="44" t="s">
        <v>2131</v>
      </c>
      <c r="D483" s="1" t="s">
        <v>2057</v>
      </c>
      <c r="E483" s="44" t="s">
        <v>2131</v>
      </c>
      <c r="F483" s="38" t="s">
        <v>2058</v>
      </c>
      <c r="G483" s="45">
        <v>110392.11</v>
      </c>
      <c r="H483" s="45">
        <v>662.35</v>
      </c>
    </row>
    <row r="484" spans="1:8">
      <c r="A484" s="78">
        <v>129257679194</v>
      </c>
      <c r="B484" s="1" t="s">
        <v>8</v>
      </c>
      <c r="C484" s="44" t="s">
        <v>2131</v>
      </c>
      <c r="D484" s="1" t="s">
        <v>2057</v>
      </c>
      <c r="E484" s="44" t="s">
        <v>2131</v>
      </c>
      <c r="F484" s="38" t="s">
        <v>2058</v>
      </c>
      <c r="G484" s="45">
        <v>106901.1</v>
      </c>
      <c r="H484" s="45">
        <v>641.41</v>
      </c>
    </row>
    <row r="485" spans="1:8">
      <c r="A485" s="78">
        <v>129258131166</v>
      </c>
      <c r="B485" s="1" t="s">
        <v>8</v>
      </c>
      <c r="C485" s="44" t="s">
        <v>2131</v>
      </c>
      <c r="D485" s="1" t="s">
        <v>2057</v>
      </c>
      <c r="E485" s="44" t="s">
        <v>2131</v>
      </c>
      <c r="F485" s="38" t="s">
        <v>2058</v>
      </c>
      <c r="G485" s="45">
        <v>197879.97</v>
      </c>
      <c r="H485" s="45">
        <v>1187.28</v>
      </c>
    </row>
    <row r="486" spans="1:8">
      <c r="A486" s="78" t="s">
        <v>2138</v>
      </c>
      <c r="B486" s="1" t="s">
        <v>8</v>
      </c>
      <c r="C486" s="44" t="s">
        <v>2131</v>
      </c>
      <c r="D486" s="1" t="s">
        <v>2057</v>
      </c>
      <c r="E486" s="44" t="s">
        <v>2131</v>
      </c>
      <c r="F486" s="38" t="s">
        <v>2058</v>
      </c>
      <c r="G486" s="45">
        <v>184930</v>
      </c>
      <c r="H486" s="45">
        <v>1109.58</v>
      </c>
    </row>
    <row r="487" spans="1:8">
      <c r="A487" s="78" t="s">
        <v>2139</v>
      </c>
      <c r="B487" s="1" t="s">
        <v>8</v>
      </c>
      <c r="C487" s="44" t="s">
        <v>2131</v>
      </c>
      <c r="D487" s="1" t="s">
        <v>2057</v>
      </c>
      <c r="E487" s="44" t="s">
        <v>2131</v>
      </c>
      <c r="F487" s="38" t="s">
        <v>2058</v>
      </c>
      <c r="G487" s="45">
        <v>65790</v>
      </c>
      <c r="H487" s="45">
        <v>394.74</v>
      </c>
    </row>
    <row r="488" spans="1:8">
      <c r="A488" s="78" t="s">
        <v>2140</v>
      </c>
      <c r="B488" s="1" t="s">
        <v>8</v>
      </c>
      <c r="C488" s="44" t="s">
        <v>2131</v>
      </c>
      <c r="D488" s="1" t="s">
        <v>2057</v>
      </c>
      <c r="E488" s="44" t="s">
        <v>2131</v>
      </c>
      <c r="F488" s="38" t="s">
        <v>2058</v>
      </c>
      <c r="G488" s="45">
        <v>852000</v>
      </c>
      <c r="H488" s="45">
        <v>5112</v>
      </c>
    </row>
    <row r="489" spans="1:8">
      <c r="A489" s="78" t="s">
        <v>2141</v>
      </c>
      <c r="B489" s="1" t="s">
        <v>8</v>
      </c>
      <c r="C489" s="44" t="s">
        <v>2131</v>
      </c>
      <c r="D489" s="1" t="s">
        <v>2057</v>
      </c>
      <c r="E489" s="44" t="s">
        <v>2131</v>
      </c>
      <c r="F489" s="38" t="s">
        <v>2058</v>
      </c>
      <c r="G489" s="45">
        <v>331807.31</v>
      </c>
      <c r="H489" s="45">
        <v>1990.84</v>
      </c>
    </row>
    <row r="490" spans="1:8">
      <c r="A490" s="78" t="s">
        <v>2142</v>
      </c>
      <c r="B490" s="1" t="s">
        <v>8</v>
      </c>
      <c r="C490" s="44" t="s">
        <v>2131</v>
      </c>
      <c r="D490" s="1" t="s">
        <v>2057</v>
      </c>
      <c r="E490" s="44" t="s">
        <v>2131</v>
      </c>
      <c r="F490" s="38" t="s">
        <v>2058</v>
      </c>
      <c r="G490" s="45">
        <v>375842.94</v>
      </c>
      <c r="H490" s="45">
        <v>2255.06</v>
      </c>
    </row>
    <row r="491" spans="1:8">
      <c r="A491" s="78">
        <v>128752625367</v>
      </c>
      <c r="B491" s="1" t="s">
        <v>8</v>
      </c>
      <c r="C491" s="44" t="s">
        <v>2131</v>
      </c>
      <c r="D491" s="1" t="s">
        <v>2057</v>
      </c>
      <c r="E491" s="44" t="s">
        <v>2131</v>
      </c>
      <c r="F491" s="38" t="s">
        <v>2058</v>
      </c>
      <c r="G491" s="45">
        <v>9800</v>
      </c>
      <c r="H491" s="45">
        <v>58.8</v>
      </c>
    </row>
    <row r="492" spans="1:8">
      <c r="A492" s="78">
        <v>129331802456</v>
      </c>
      <c r="B492" s="1" t="s">
        <v>2143</v>
      </c>
      <c r="C492" s="44" t="s">
        <v>2131</v>
      </c>
      <c r="D492" s="1" t="s">
        <v>2057</v>
      </c>
      <c r="E492" s="44" t="s">
        <v>2131</v>
      </c>
      <c r="F492" s="38" t="s">
        <v>2058</v>
      </c>
      <c r="G492" s="45">
        <v>1640</v>
      </c>
      <c r="H492" s="45">
        <v>9.84</v>
      </c>
    </row>
    <row r="493" spans="1:8">
      <c r="A493" s="78">
        <v>129331762974</v>
      </c>
      <c r="B493" s="1" t="s">
        <v>8</v>
      </c>
      <c r="C493" s="44" t="s">
        <v>2131</v>
      </c>
      <c r="D493" s="1" t="s">
        <v>2057</v>
      </c>
      <c r="E493" s="44" t="s">
        <v>2131</v>
      </c>
      <c r="F493" s="38" t="s">
        <v>2058</v>
      </c>
      <c r="G493" s="45">
        <v>16400</v>
      </c>
      <c r="H493" s="45">
        <v>98.4</v>
      </c>
    </row>
    <row r="494" spans="1:8">
      <c r="A494" s="78">
        <v>129337187158</v>
      </c>
      <c r="B494" s="1" t="s">
        <v>8</v>
      </c>
      <c r="C494" s="44" t="s">
        <v>2131</v>
      </c>
      <c r="D494" s="1" t="s">
        <v>2057</v>
      </c>
      <c r="E494" s="44" t="s">
        <v>2131</v>
      </c>
      <c r="F494" s="38" t="s">
        <v>2058</v>
      </c>
      <c r="G494" s="45">
        <v>4800</v>
      </c>
      <c r="H494" s="45">
        <v>28.8</v>
      </c>
    </row>
    <row r="495" spans="1:8">
      <c r="A495" s="78">
        <v>128765691223</v>
      </c>
      <c r="B495" s="1" t="s">
        <v>8</v>
      </c>
      <c r="C495" s="44" t="s">
        <v>2131</v>
      </c>
      <c r="D495" s="1" t="s">
        <v>2057</v>
      </c>
      <c r="E495" s="44" t="s">
        <v>2131</v>
      </c>
      <c r="F495" s="38" t="s">
        <v>2058</v>
      </c>
      <c r="G495" s="45">
        <v>4500</v>
      </c>
      <c r="H495" s="45">
        <v>27</v>
      </c>
    </row>
    <row r="496" spans="1:8">
      <c r="A496" s="78">
        <v>129342704022</v>
      </c>
      <c r="B496" s="1" t="s">
        <v>2055</v>
      </c>
      <c r="C496" s="44" t="s">
        <v>2131</v>
      </c>
      <c r="D496" s="1" t="s">
        <v>2057</v>
      </c>
      <c r="E496" s="44" t="s">
        <v>2131</v>
      </c>
      <c r="F496" s="38" t="s">
        <v>2058</v>
      </c>
      <c r="G496" s="45">
        <v>11700</v>
      </c>
      <c r="H496" s="45">
        <v>70.2</v>
      </c>
    </row>
    <row r="497" spans="1:8">
      <c r="A497" s="78">
        <v>129342935088</v>
      </c>
      <c r="B497" s="1" t="s">
        <v>2055</v>
      </c>
      <c r="C497" s="44" t="s">
        <v>2131</v>
      </c>
      <c r="D497" s="1" t="s">
        <v>2057</v>
      </c>
      <c r="E497" s="44" t="s">
        <v>2131</v>
      </c>
      <c r="F497" s="38" t="s">
        <v>2058</v>
      </c>
      <c r="G497" s="45">
        <v>4800</v>
      </c>
      <c r="H497" s="45">
        <v>28.8</v>
      </c>
    </row>
    <row r="498" spans="1:8">
      <c r="A498" s="78">
        <v>128772013963</v>
      </c>
      <c r="B498" s="1" t="s">
        <v>8</v>
      </c>
      <c r="C498" s="44" t="s">
        <v>2131</v>
      </c>
      <c r="D498" s="1" t="s">
        <v>2057</v>
      </c>
      <c r="E498" s="44" t="s">
        <v>2131</v>
      </c>
      <c r="F498" s="38" t="s">
        <v>2058</v>
      </c>
      <c r="G498" s="45">
        <v>4800</v>
      </c>
      <c r="H498" s="45">
        <v>28.8</v>
      </c>
    </row>
    <row r="499" spans="1:8">
      <c r="A499" s="78">
        <v>128774751883</v>
      </c>
      <c r="B499" s="1" t="s">
        <v>8</v>
      </c>
      <c r="C499" s="44" t="s">
        <v>2131</v>
      </c>
      <c r="D499" s="1" t="s">
        <v>2057</v>
      </c>
      <c r="E499" s="44" t="s">
        <v>2131</v>
      </c>
      <c r="F499" s="38" t="s">
        <v>2058</v>
      </c>
      <c r="G499" s="45">
        <v>4800</v>
      </c>
      <c r="H499" s="45">
        <v>28.8</v>
      </c>
    </row>
    <row r="500" spans="1:8">
      <c r="A500" s="78">
        <v>128775151897</v>
      </c>
      <c r="B500" s="1" t="s">
        <v>8</v>
      </c>
      <c r="C500" s="44" t="s">
        <v>2131</v>
      </c>
      <c r="D500" s="1" t="s">
        <v>2057</v>
      </c>
      <c r="E500" s="44" t="s">
        <v>2131</v>
      </c>
      <c r="F500" s="38" t="s">
        <v>2058</v>
      </c>
      <c r="G500" s="45">
        <v>4800</v>
      </c>
      <c r="H500" s="45">
        <v>28.8</v>
      </c>
    </row>
    <row r="501" spans="1:8">
      <c r="A501" s="78">
        <v>128775620005</v>
      </c>
      <c r="B501" s="1" t="s">
        <v>2144</v>
      </c>
      <c r="C501" s="44" t="s">
        <v>2131</v>
      </c>
      <c r="D501" s="1" t="s">
        <v>2057</v>
      </c>
      <c r="E501" s="44" t="s">
        <v>2131</v>
      </c>
      <c r="F501" s="38" t="s">
        <v>2058</v>
      </c>
      <c r="G501" s="45">
        <v>2770</v>
      </c>
      <c r="H501" s="45">
        <v>16.62</v>
      </c>
    </row>
    <row r="502" spans="1:8">
      <c r="A502" s="78">
        <v>128775704947</v>
      </c>
      <c r="B502" s="1" t="s">
        <v>8</v>
      </c>
      <c r="C502" s="44" t="s">
        <v>2131</v>
      </c>
      <c r="D502" s="1" t="s">
        <v>2057</v>
      </c>
      <c r="E502" s="44" t="s">
        <v>2131</v>
      </c>
      <c r="F502" s="38" t="s">
        <v>2058</v>
      </c>
      <c r="G502" s="45">
        <v>55400</v>
      </c>
      <c r="H502" s="45">
        <v>332.4</v>
      </c>
    </row>
    <row r="503" spans="1:8">
      <c r="A503" s="78">
        <v>129348090922</v>
      </c>
      <c r="B503" s="1" t="s">
        <v>8</v>
      </c>
      <c r="C503" s="44" t="s">
        <v>2131</v>
      </c>
      <c r="D503" s="1" t="s">
        <v>2057</v>
      </c>
      <c r="E503" s="44" t="s">
        <v>2131</v>
      </c>
      <c r="F503" s="38" t="s">
        <v>2058</v>
      </c>
      <c r="G503" s="45">
        <v>4200</v>
      </c>
      <c r="H503" s="45">
        <v>25.2</v>
      </c>
    </row>
    <row r="504" spans="1:8">
      <c r="A504" s="78">
        <v>128776800907</v>
      </c>
      <c r="B504" s="1" t="s">
        <v>2145</v>
      </c>
      <c r="C504" s="44" t="s">
        <v>2131</v>
      </c>
      <c r="D504" s="1" t="s">
        <v>2057</v>
      </c>
      <c r="E504" s="44" t="s">
        <v>2131</v>
      </c>
      <c r="F504" s="38" t="s">
        <v>2058</v>
      </c>
      <c r="G504" s="45">
        <v>450</v>
      </c>
      <c r="H504" s="45">
        <v>2.7</v>
      </c>
    </row>
    <row r="505" spans="1:8">
      <c r="A505" s="78">
        <v>128776692003</v>
      </c>
      <c r="B505" s="1" t="s">
        <v>8</v>
      </c>
      <c r="C505" s="44" t="s">
        <v>2131</v>
      </c>
      <c r="D505" s="1" t="s">
        <v>2057</v>
      </c>
      <c r="E505" s="44" t="s">
        <v>2131</v>
      </c>
      <c r="F505" s="38" t="s">
        <v>2058</v>
      </c>
      <c r="G505" s="45">
        <v>4500</v>
      </c>
      <c r="H505" s="45">
        <v>27</v>
      </c>
    </row>
    <row r="506" spans="1:8">
      <c r="A506" s="78">
        <v>128778387735</v>
      </c>
      <c r="B506" s="1" t="s">
        <v>8</v>
      </c>
      <c r="C506" s="44" t="s">
        <v>2131</v>
      </c>
      <c r="D506" s="1" t="s">
        <v>2057</v>
      </c>
      <c r="E506" s="44" t="s">
        <v>2131</v>
      </c>
      <c r="F506" s="38" t="s">
        <v>2058</v>
      </c>
      <c r="G506" s="45">
        <v>5300</v>
      </c>
      <c r="H506" s="45">
        <v>31.8</v>
      </c>
    </row>
    <row r="507" spans="1:8">
      <c r="A507" s="78">
        <v>128769499515</v>
      </c>
      <c r="B507" s="1" t="s">
        <v>8</v>
      </c>
      <c r="C507" s="44" t="s">
        <v>2131</v>
      </c>
      <c r="D507" s="1" t="s">
        <v>2057</v>
      </c>
      <c r="E507" s="44" t="s">
        <v>2131</v>
      </c>
      <c r="F507" s="38" t="s">
        <v>2058</v>
      </c>
      <c r="G507" s="45">
        <v>10800</v>
      </c>
      <c r="H507" s="45">
        <v>64.8</v>
      </c>
    </row>
    <row r="508" spans="1:8">
      <c r="A508" s="78">
        <v>129351342590</v>
      </c>
      <c r="B508" s="1" t="s">
        <v>8</v>
      </c>
      <c r="C508" s="44" t="s">
        <v>2131</v>
      </c>
      <c r="D508" s="1" t="s">
        <v>2057</v>
      </c>
      <c r="E508" s="44" t="s">
        <v>2131</v>
      </c>
      <c r="F508" s="38" t="s">
        <v>2058</v>
      </c>
      <c r="G508" s="45">
        <v>4800</v>
      </c>
      <c r="H508" s="45">
        <v>28.8</v>
      </c>
    </row>
    <row r="509" spans="1:8">
      <c r="A509" s="78">
        <v>129351319166</v>
      </c>
      <c r="B509" s="1" t="s">
        <v>8</v>
      </c>
      <c r="C509" s="44" t="s">
        <v>2131</v>
      </c>
      <c r="D509" s="1" t="s">
        <v>2057</v>
      </c>
      <c r="E509" s="44" t="s">
        <v>2131</v>
      </c>
      <c r="F509" s="38" t="s">
        <v>2058</v>
      </c>
      <c r="G509" s="45">
        <v>2000</v>
      </c>
      <c r="H509" s="45">
        <v>12</v>
      </c>
    </row>
    <row r="510" spans="1:8">
      <c r="A510" s="78">
        <v>129351544106</v>
      </c>
      <c r="B510" s="1" t="s">
        <v>8</v>
      </c>
      <c r="C510" s="44" t="s">
        <v>2131</v>
      </c>
      <c r="D510" s="1" t="s">
        <v>2057</v>
      </c>
      <c r="E510" s="44" t="s">
        <v>2131</v>
      </c>
      <c r="F510" s="38" t="s">
        <v>2058</v>
      </c>
      <c r="G510" s="45">
        <v>7900</v>
      </c>
      <c r="H510" s="45">
        <v>47.4</v>
      </c>
    </row>
    <row r="511" spans="1:8">
      <c r="A511" s="78">
        <v>128779755299</v>
      </c>
      <c r="B511" s="1" t="s">
        <v>2055</v>
      </c>
      <c r="C511" s="44" t="s">
        <v>2131</v>
      </c>
      <c r="D511" s="1" t="s">
        <v>2057</v>
      </c>
      <c r="E511" s="44" t="s">
        <v>2131</v>
      </c>
      <c r="F511" s="38" t="s">
        <v>2058</v>
      </c>
      <c r="G511" s="45">
        <v>32000</v>
      </c>
      <c r="H511" s="45">
        <v>192</v>
      </c>
    </row>
    <row r="512" spans="1:8">
      <c r="A512" s="78">
        <v>129342703028</v>
      </c>
      <c r="B512" s="1" t="s">
        <v>2055</v>
      </c>
      <c r="C512" s="44" t="s">
        <v>2131</v>
      </c>
      <c r="D512" s="1" t="s">
        <v>2057</v>
      </c>
      <c r="E512" s="44" t="s">
        <v>2131</v>
      </c>
      <c r="F512" s="38" t="s">
        <v>2058</v>
      </c>
      <c r="G512" s="45">
        <v>38000</v>
      </c>
      <c r="H512" s="45">
        <v>228</v>
      </c>
    </row>
    <row r="513" spans="1:8">
      <c r="A513" s="78">
        <v>128771413605</v>
      </c>
      <c r="B513" s="1" t="s">
        <v>8</v>
      </c>
      <c r="C513" s="44" t="s">
        <v>2131</v>
      </c>
      <c r="D513" s="1" t="s">
        <v>2057</v>
      </c>
      <c r="E513" s="44" t="s">
        <v>2131</v>
      </c>
      <c r="F513" s="38" t="s">
        <v>2058</v>
      </c>
      <c r="G513" s="45">
        <v>28800</v>
      </c>
      <c r="H513" s="45">
        <v>172.8</v>
      </c>
    </row>
    <row r="514" spans="1:8">
      <c r="A514" s="78">
        <v>129352179438</v>
      </c>
      <c r="B514" s="1" t="s">
        <v>2055</v>
      </c>
      <c r="C514" s="44" t="s">
        <v>2131</v>
      </c>
      <c r="D514" s="1" t="s">
        <v>2057</v>
      </c>
      <c r="E514" s="44" t="s">
        <v>2131</v>
      </c>
      <c r="F514" s="38" t="s">
        <v>2058</v>
      </c>
      <c r="G514" s="45">
        <v>14400</v>
      </c>
      <c r="H514" s="45">
        <v>86.4</v>
      </c>
    </row>
    <row r="515" spans="1:8">
      <c r="A515" s="78">
        <v>128771982633</v>
      </c>
      <c r="B515" s="1" t="s">
        <v>2055</v>
      </c>
      <c r="C515" s="44" t="s">
        <v>2131</v>
      </c>
      <c r="D515" s="1" t="s">
        <v>2057</v>
      </c>
      <c r="E515" s="44" t="s">
        <v>2131</v>
      </c>
      <c r="F515" s="38" t="s">
        <v>2058</v>
      </c>
      <c r="G515" s="45">
        <v>4800</v>
      </c>
      <c r="H515" s="45">
        <v>28.8</v>
      </c>
    </row>
    <row r="516" spans="1:8">
      <c r="A516" s="78">
        <v>128780927843</v>
      </c>
      <c r="B516" s="1" t="s">
        <v>8</v>
      </c>
      <c r="C516" s="44" t="s">
        <v>2131</v>
      </c>
      <c r="D516" s="1" t="s">
        <v>2057</v>
      </c>
      <c r="E516" s="44" t="s">
        <v>2131</v>
      </c>
      <c r="F516" s="38" t="s">
        <v>2058</v>
      </c>
      <c r="G516" s="45">
        <v>4800</v>
      </c>
      <c r="H516" s="45">
        <v>28.8</v>
      </c>
    </row>
    <row r="517" spans="1:8">
      <c r="A517" s="78">
        <v>129343775616</v>
      </c>
      <c r="B517" s="1" t="s">
        <v>8</v>
      </c>
      <c r="C517" s="44" t="s">
        <v>2131</v>
      </c>
      <c r="D517" s="1" t="s">
        <v>2057</v>
      </c>
      <c r="E517" s="44" t="s">
        <v>2131</v>
      </c>
      <c r="F517" s="38" t="s">
        <v>2058</v>
      </c>
      <c r="G517" s="45">
        <v>4200</v>
      </c>
      <c r="H517" s="45">
        <v>25.2</v>
      </c>
    </row>
    <row r="518" spans="1:8">
      <c r="A518" s="78">
        <v>128781810467</v>
      </c>
      <c r="B518" s="1" t="s">
        <v>8</v>
      </c>
      <c r="C518" s="44" t="s">
        <v>2131</v>
      </c>
      <c r="D518" s="1" t="s">
        <v>2057</v>
      </c>
      <c r="E518" s="44" t="s">
        <v>2131</v>
      </c>
      <c r="F518" s="38" t="s">
        <v>2058</v>
      </c>
      <c r="G518" s="45">
        <v>7200</v>
      </c>
      <c r="H518" s="45">
        <v>43.2</v>
      </c>
    </row>
    <row r="519" spans="1:8">
      <c r="A519" s="78">
        <v>128782418285</v>
      </c>
      <c r="B519" s="1" t="s">
        <v>8</v>
      </c>
      <c r="C519" s="44" t="s">
        <v>2131</v>
      </c>
      <c r="D519" s="1" t="s">
        <v>2057</v>
      </c>
      <c r="E519" s="44" t="s">
        <v>2131</v>
      </c>
      <c r="F519" s="38" t="s">
        <v>2058</v>
      </c>
      <c r="G519" s="45">
        <v>44600</v>
      </c>
      <c r="H519" s="45">
        <v>267.60000000000002</v>
      </c>
    </row>
    <row r="520" spans="1:8">
      <c r="A520" s="78">
        <v>128782524989</v>
      </c>
      <c r="B520" s="1" t="s">
        <v>8</v>
      </c>
      <c r="C520" s="44" t="s">
        <v>2131</v>
      </c>
      <c r="D520" s="1" t="s">
        <v>2057</v>
      </c>
      <c r="E520" s="44" t="s">
        <v>2131</v>
      </c>
      <c r="F520" s="38" t="s">
        <v>2058</v>
      </c>
      <c r="G520" s="45">
        <v>15900</v>
      </c>
      <c r="H520" s="45">
        <v>95.4</v>
      </c>
    </row>
    <row r="521" spans="1:8">
      <c r="A521" s="78">
        <v>128782949597</v>
      </c>
      <c r="B521" s="1" t="s">
        <v>2055</v>
      </c>
      <c r="C521" s="44" t="s">
        <v>2131</v>
      </c>
      <c r="D521" s="1" t="s">
        <v>2057</v>
      </c>
      <c r="E521" s="44" t="s">
        <v>2131</v>
      </c>
      <c r="F521" s="38" t="s">
        <v>2058</v>
      </c>
      <c r="G521" s="45">
        <v>43700</v>
      </c>
      <c r="H521" s="45">
        <v>262.2</v>
      </c>
    </row>
    <row r="522" spans="1:8">
      <c r="A522" s="78">
        <v>129354954934</v>
      </c>
      <c r="B522" s="1" t="s">
        <v>8</v>
      </c>
      <c r="C522" s="44" t="s">
        <v>2131</v>
      </c>
      <c r="D522" s="1" t="s">
        <v>2057</v>
      </c>
      <c r="E522" s="44" t="s">
        <v>2131</v>
      </c>
      <c r="F522" s="38" t="s">
        <v>2058</v>
      </c>
      <c r="G522" s="45">
        <v>9300</v>
      </c>
      <c r="H522" s="45">
        <v>55.8</v>
      </c>
    </row>
    <row r="523" spans="1:8">
      <c r="A523" s="78">
        <v>129355026808</v>
      </c>
      <c r="B523" s="1" t="s">
        <v>2146</v>
      </c>
      <c r="C523" s="44" t="s">
        <v>2131</v>
      </c>
      <c r="D523" s="1" t="s">
        <v>2057</v>
      </c>
      <c r="E523" s="44" t="s">
        <v>2131</v>
      </c>
      <c r="F523" s="38" t="s">
        <v>2058</v>
      </c>
      <c r="G523" s="45">
        <v>930</v>
      </c>
      <c r="H523" s="45">
        <v>5.58</v>
      </c>
    </row>
    <row r="524" spans="1:8">
      <c r="A524" s="78">
        <v>128774456603</v>
      </c>
      <c r="B524" s="1" t="s">
        <v>2055</v>
      </c>
      <c r="C524" s="44" t="s">
        <v>2131</v>
      </c>
      <c r="D524" s="1" t="s">
        <v>2057</v>
      </c>
      <c r="E524" s="44" t="s">
        <v>2131</v>
      </c>
      <c r="F524" s="38" t="s">
        <v>2058</v>
      </c>
      <c r="G524" s="45">
        <v>4800</v>
      </c>
      <c r="H524" s="45">
        <v>28.8</v>
      </c>
    </row>
    <row r="525" spans="1:8">
      <c r="A525" s="78">
        <v>129354903714</v>
      </c>
      <c r="B525" s="1" t="s">
        <v>8</v>
      </c>
      <c r="C525" s="44" t="s">
        <v>2131</v>
      </c>
      <c r="D525" s="1" t="s">
        <v>2057</v>
      </c>
      <c r="E525" s="44" t="s">
        <v>2131</v>
      </c>
      <c r="F525" s="38" t="s">
        <v>2058</v>
      </c>
      <c r="G525" s="45">
        <v>32400</v>
      </c>
      <c r="H525" s="45">
        <v>194.4</v>
      </c>
    </row>
    <row r="526" spans="1:8">
      <c r="A526" s="78">
        <v>128774562893</v>
      </c>
      <c r="B526" s="1" t="s">
        <v>2055</v>
      </c>
      <c r="C526" s="44" t="s">
        <v>2131</v>
      </c>
      <c r="D526" s="1" t="s">
        <v>2057</v>
      </c>
      <c r="E526" s="44" t="s">
        <v>2131</v>
      </c>
      <c r="F526" s="38" t="s">
        <v>2058</v>
      </c>
      <c r="G526" s="45">
        <v>4800</v>
      </c>
      <c r="H526" s="45">
        <v>28.8</v>
      </c>
    </row>
    <row r="527" spans="1:8">
      <c r="A527" s="78">
        <v>128784178315</v>
      </c>
      <c r="B527" s="1" t="s">
        <v>8</v>
      </c>
      <c r="C527" s="44" t="s">
        <v>2131</v>
      </c>
      <c r="D527" s="1" t="s">
        <v>2057</v>
      </c>
      <c r="E527" s="44" t="s">
        <v>2131</v>
      </c>
      <c r="F527" s="38" t="s">
        <v>2058</v>
      </c>
      <c r="G527" s="45">
        <v>33600</v>
      </c>
      <c r="H527" s="45">
        <v>201.6</v>
      </c>
    </row>
    <row r="528" spans="1:8">
      <c r="A528" s="78">
        <v>128775176401</v>
      </c>
      <c r="B528" s="1" t="s">
        <v>8</v>
      </c>
      <c r="C528" s="44" t="s">
        <v>2131</v>
      </c>
      <c r="D528" s="1" t="s">
        <v>2057</v>
      </c>
      <c r="E528" s="44" t="s">
        <v>2131</v>
      </c>
      <c r="F528" s="38" t="s">
        <v>2058</v>
      </c>
      <c r="G528" s="45">
        <v>4800</v>
      </c>
      <c r="H528" s="45">
        <v>28.8</v>
      </c>
    </row>
    <row r="529" spans="1:8">
      <c r="A529" s="78">
        <v>129347015590</v>
      </c>
      <c r="B529" s="1" t="s">
        <v>2055</v>
      </c>
      <c r="C529" s="44" t="s">
        <v>2131</v>
      </c>
      <c r="D529" s="1" t="s">
        <v>2057</v>
      </c>
      <c r="E529" s="44" t="s">
        <v>2131</v>
      </c>
      <c r="F529" s="38" t="s">
        <v>2058</v>
      </c>
      <c r="G529" s="45">
        <v>28900</v>
      </c>
      <c r="H529" s="45">
        <v>173.4</v>
      </c>
    </row>
    <row r="530" spans="1:8">
      <c r="A530" s="78">
        <v>128784830517</v>
      </c>
      <c r="B530" s="1" t="s">
        <v>8</v>
      </c>
      <c r="C530" s="44" t="s">
        <v>2131</v>
      </c>
      <c r="D530" s="1" t="s">
        <v>2057</v>
      </c>
      <c r="E530" s="44" t="s">
        <v>2131</v>
      </c>
      <c r="F530" s="38" t="s">
        <v>2058</v>
      </c>
      <c r="G530" s="45">
        <v>4800</v>
      </c>
      <c r="H530" s="45">
        <v>28.8</v>
      </c>
    </row>
    <row r="531" spans="1:8">
      <c r="A531" s="78">
        <v>129347413210</v>
      </c>
      <c r="B531" s="1" t="s">
        <v>8</v>
      </c>
      <c r="C531" s="44" t="s">
        <v>2131</v>
      </c>
      <c r="D531" s="1" t="s">
        <v>2057</v>
      </c>
      <c r="E531" s="44" t="s">
        <v>2131</v>
      </c>
      <c r="F531" s="38" t="s">
        <v>2058</v>
      </c>
      <c r="G531" s="45">
        <v>4000</v>
      </c>
      <c r="H531" s="45">
        <v>24</v>
      </c>
    </row>
    <row r="532" spans="1:8">
      <c r="A532" s="78">
        <v>128786337459</v>
      </c>
      <c r="B532" s="1" t="s">
        <v>2055</v>
      </c>
      <c r="C532" s="44" t="s">
        <v>2131</v>
      </c>
      <c r="D532" s="1" t="s">
        <v>2057</v>
      </c>
      <c r="E532" s="44" t="s">
        <v>2147</v>
      </c>
      <c r="F532" s="38" t="s">
        <v>2058</v>
      </c>
      <c r="G532" s="45">
        <v>76000</v>
      </c>
      <c r="H532" s="45">
        <v>456</v>
      </c>
    </row>
    <row r="533" spans="1:8">
      <c r="A533" s="78">
        <v>128786717157</v>
      </c>
      <c r="B533" s="1" t="s">
        <v>2055</v>
      </c>
      <c r="C533" s="44" t="s">
        <v>2131</v>
      </c>
      <c r="D533" s="1" t="s">
        <v>2057</v>
      </c>
      <c r="E533" s="44" t="s">
        <v>2147</v>
      </c>
      <c r="F533" s="38" t="s">
        <v>2058</v>
      </c>
      <c r="G533" s="45">
        <v>66200</v>
      </c>
      <c r="H533" s="45">
        <v>397.2</v>
      </c>
    </row>
    <row r="534" spans="1:8">
      <c r="A534" s="78">
        <v>128777868789</v>
      </c>
      <c r="B534" s="1" t="s">
        <v>8</v>
      </c>
      <c r="C534" s="44" t="s">
        <v>2131</v>
      </c>
      <c r="D534" s="1" t="s">
        <v>2057</v>
      </c>
      <c r="E534" s="44" t="s">
        <v>2131</v>
      </c>
      <c r="F534" s="38" t="s">
        <v>2058</v>
      </c>
      <c r="G534" s="45">
        <v>2400</v>
      </c>
      <c r="H534" s="45">
        <v>14.4</v>
      </c>
    </row>
    <row r="535" spans="1:8">
      <c r="A535" s="78">
        <v>129358822738</v>
      </c>
      <c r="B535" s="1" t="s">
        <v>2055</v>
      </c>
      <c r="C535" s="44" t="s">
        <v>2131</v>
      </c>
      <c r="D535" s="1" t="s">
        <v>2057</v>
      </c>
      <c r="E535" s="44" t="s">
        <v>2147</v>
      </c>
      <c r="F535" s="38" t="s">
        <v>2058</v>
      </c>
      <c r="G535" s="45">
        <v>131300</v>
      </c>
      <c r="H535" s="45">
        <v>787.8</v>
      </c>
    </row>
    <row r="536" spans="1:8">
      <c r="A536" s="78">
        <v>129349865056</v>
      </c>
      <c r="B536" s="1" t="s">
        <v>8</v>
      </c>
      <c r="C536" s="44" t="s">
        <v>2131</v>
      </c>
      <c r="D536" s="1" t="s">
        <v>2057</v>
      </c>
      <c r="E536" s="44" t="s">
        <v>2131</v>
      </c>
      <c r="F536" s="38" t="s">
        <v>2058</v>
      </c>
      <c r="G536" s="45">
        <v>6000</v>
      </c>
      <c r="H536" s="45">
        <v>36</v>
      </c>
    </row>
    <row r="537" spans="1:8">
      <c r="A537" s="78">
        <v>129359324040</v>
      </c>
      <c r="B537" s="1" t="s">
        <v>8</v>
      </c>
      <c r="C537" s="44" t="s">
        <v>2131</v>
      </c>
      <c r="D537" s="1" t="s">
        <v>2057</v>
      </c>
      <c r="E537" s="44" t="s">
        <v>2147</v>
      </c>
      <c r="F537" s="38" t="s">
        <v>2058</v>
      </c>
      <c r="G537" s="45">
        <v>8000</v>
      </c>
      <c r="H537" s="45">
        <v>48</v>
      </c>
    </row>
    <row r="538" spans="1:8">
      <c r="A538" s="78">
        <v>128788061399</v>
      </c>
      <c r="B538" s="1" t="s">
        <v>2055</v>
      </c>
      <c r="C538" s="44" t="s">
        <v>2131</v>
      </c>
      <c r="D538" s="1" t="s">
        <v>2057</v>
      </c>
      <c r="E538" s="44" t="s">
        <v>2147</v>
      </c>
      <c r="F538" s="38" t="s">
        <v>2058</v>
      </c>
      <c r="G538" s="45">
        <v>14400</v>
      </c>
      <c r="H538" s="45">
        <v>86.4</v>
      </c>
    </row>
    <row r="539" spans="1:8">
      <c r="A539" s="78">
        <v>129360081230</v>
      </c>
      <c r="B539" s="1" t="s">
        <v>8</v>
      </c>
      <c r="C539" s="44" t="s">
        <v>2131</v>
      </c>
      <c r="D539" s="1" t="s">
        <v>2057</v>
      </c>
      <c r="E539" s="44" t="s">
        <v>2147</v>
      </c>
      <c r="F539" s="38" t="s">
        <v>2058</v>
      </c>
      <c r="G539" s="45">
        <v>13600</v>
      </c>
      <c r="H539" s="45">
        <v>81.599999999999994</v>
      </c>
    </row>
    <row r="540" spans="1:8">
      <c r="A540" s="78">
        <v>129360246626</v>
      </c>
      <c r="B540" s="1" t="s">
        <v>2055</v>
      </c>
      <c r="C540" s="44" t="s">
        <v>2131</v>
      </c>
      <c r="D540" s="1" t="s">
        <v>2057</v>
      </c>
      <c r="E540" s="44" t="s">
        <v>2147</v>
      </c>
      <c r="F540" s="38" t="s">
        <v>2058</v>
      </c>
      <c r="G540" s="45">
        <v>28000</v>
      </c>
      <c r="H540" s="45">
        <v>168</v>
      </c>
    </row>
    <row r="541" spans="1:8">
      <c r="A541" s="78">
        <v>128788563757</v>
      </c>
      <c r="B541" s="1" t="s">
        <v>2055</v>
      </c>
      <c r="C541" s="44" t="s">
        <v>2131</v>
      </c>
      <c r="D541" s="1" t="s">
        <v>2057</v>
      </c>
      <c r="E541" s="44" t="s">
        <v>2147</v>
      </c>
      <c r="F541" s="38" t="s">
        <v>2058</v>
      </c>
      <c r="G541" s="45">
        <v>4800</v>
      </c>
      <c r="H541" s="45">
        <v>28.8</v>
      </c>
    </row>
    <row r="542" spans="1:8">
      <c r="A542" s="78">
        <v>129351184458</v>
      </c>
      <c r="B542" s="1" t="s">
        <v>2055</v>
      </c>
      <c r="C542" s="44" t="s">
        <v>2131</v>
      </c>
      <c r="D542" s="1" t="s">
        <v>2057</v>
      </c>
      <c r="E542" s="44" t="s">
        <v>2131</v>
      </c>
      <c r="F542" s="38" t="s">
        <v>2058</v>
      </c>
      <c r="G542" s="45">
        <v>17900</v>
      </c>
      <c r="H542" s="45">
        <v>107.4</v>
      </c>
    </row>
    <row r="543" spans="1:8">
      <c r="A543" s="78">
        <v>128788905379</v>
      </c>
      <c r="B543" s="1" t="s">
        <v>8</v>
      </c>
      <c r="C543" s="44" t="s">
        <v>2131</v>
      </c>
      <c r="D543" s="1" t="s">
        <v>2057</v>
      </c>
      <c r="E543" s="44" t="s">
        <v>2147</v>
      </c>
      <c r="F543" s="38" t="s">
        <v>2058</v>
      </c>
      <c r="G543" s="45">
        <v>9600</v>
      </c>
      <c r="H543" s="45">
        <v>57.6</v>
      </c>
    </row>
    <row r="544" spans="1:8">
      <c r="A544" s="78">
        <v>128788985481</v>
      </c>
      <c r="B544" s="1" t="s">
        <v>8</v>
      </c>
      <c r="C544" s="44" t="s">
        <v>2131</v>
      </c>
      <c r="D544" s="1" t="s">
        <v>2057</v>
      </c>
      <c r="E544" s="44" t="s">
        <v>2147</v>
      </c>
      <c r="F544" s="38" t="s">
        <v>2058</v>
      </c>
      <c r="G544" s="45">
        <v>152200</v>
      </c>
      <c r="H544" s="45">
        <v>913.2</v>
      </c>
    </row>
    <row r="545" spans="1:8">
      <c r="A545" s="78">
        <v>129360677968</v>
      </c>
      <c r="B545" s="1" t="s">
        <v>2148</v>
      </c>
      <c r="C545" s="44" t="s">
        <v>2147</v>
      </c>
      <c r="D545" s="1" t="s">
        <v>2057</v>
      </c>
      <c r="E545" s="44" t="s">
        <v>2147</v>
      </c>
      <c r="F545" s="38" t="s">
        <v>2058</v>
      </c>
      <c r="G545" s="45">
        <v>2160</v>
      </c>
      <c r="H545" s="45">
        <v>12.96</v>
      </c>
    </row>
    <row r="546" spans="1:8">
      <c r="A546" s="78">
        <v>128779823515</v>
      </c>
      <c r="B546" s="1" t="s">
        <v>8</v>
      </c>
      <c r="C546" s="44" t="s">
        <v>2131</v>
      </c>
      <c r="D546" s="1" t="s">
        <v>2057</v>
      </c>
      <c r="E546" s="44" t="s">
        <v>2131</v>
      </c>
      <c r="F546" s="38" t="s">
        <v>2058</v>
      </c>
      <c r="G546" s="45">
        <v>4800</v>
      </c>
      <c r="H546" s="45">
        <v>28.8</v>
      </c>
    </row>
    <row r="547" spans="1:8">
      <c r="A547" s="78">
        <v>128789297363</v>
      </c>
      <c r="B547" s="1" t="s">
        <v>2149</v>
      </c>
      <c r="C547" s="44" t="s">
        <v>2147</v>
      </c>
      <c r="D547" s="1" t="s">
        <v>2057</v>
      </c>
      <c r="E547" s="44" t="s">
        <v>2147</v>
      </c>
      <c r="F547" s="38" t="s">
        <v>2058</v>
      </c>
      <c r="G547" s="45">
        <v>240</v>
      </c>
      <c r="H547" s="45">
        <v>1.44</v>
      </c>
    </row>
    <row r="548" spans="1:8">
      <c r="A548" s="78">
        <v>129351615426</v>
      </c>
      <c r="B548" s="1" t="s">
        <v>8</v>
      </c>
      <c r="C548" s="44" t="s">
        <v>2131</v>
      </c>
      <c r="D548" s="1" t="s">
        <v>2057</v>
      </c>
      <c r="E548" s="44" t="s">
        <v>2131</v>
      </c>
      <c r="F548" s="38" t="s">
        <v>2058</v>
      </c>
      <c r="G548" s="45">
        <v>4800</v>
      </c>
      <c r="H548" s="45">
        <v>28.8</v>
      </c>
    </row>
    <row r="549" spans="1:8">
      <c r="A549" s="78">
        <v>128789469169</v>
      </c>
      <c r="B549" s="1" t="s">
        <v>8</v>
      </c>
      <c r="C549" s="44" t="s">
        <v>2147</v>
      </c>
      <c r="D549" s="1" t="s">
        <v>2057</v>
      </c>
      <c r="E549" s="44" t="s">
        <v>2147</v>
      </c>
      <c r="F549" s="38" t="s">
        <v>2058</v>
      </c>
      <c r="G549" s="45">
        <v>15000</v>
      </c>
      <c r="H549" s="45">
        <v>90</v>
      </c>
    </row>
    <row r="550" spans="1:8">
      <c r="A550" s="78">
        <v>128789583003</v>
      </c>
      <c r="B550" s="1" t="s">
        <v>8</v>
      </c>
      <c r="C550" s="44" t="s">
        <v>2147</v>
      </c>
      <c r="D550" s="1" t="s">
        <v>2057</v>
      </c>
      <c r="E550" s="44" t="s">
        <v>2147</v>
      </c>
      <c r="F550" s="38" t="s">
        <v>2058</v>
      </c>
      <c r="G550" s="45">
        <v>9600</v>
      </c>
      <c r="H550" s="45">
        <v>57.6</v>
      </c>
    </row>
    <row r="551" spans="1:8">
      <c r="A551" s="78">
        <v>128780337091</v>
      </c>
      <c r="B551" s="1" t="s">
        <v>8</v>
      </c>
      <c r="C551" s="44" t="s">
        <v>2131</v>
      </c>
      <c r="D551" s="1" t="s">
        <v>2057</v>
      </c>
      <c r="E551" s="44" t="s">
        <v>2131</v>
      </c>
      <c r="F551" s="38" t="s">
        <v>2058</v>
      </c>
      <c r="G551" s="45">
        <v>4400</v>
      </c>
      <c r="H551" s="45">
        <v>26.4</v>
      </c>
    </row>
    <row r="552" spans="1:8">
      <c r="A552" s="78">
        <v>129352021290</v>
      </c>
      <c r="B552" s="1" t="s">
        <v>8</v>
      </c>
      <c r="C552" s="44" t="s">
        <v>2131</v>
      </c>
      <c r="D552" s="1" t="s">
        <v>2057</v>
      </c>
      <c r="E552" s="44" t="s">
        <v>2131</v>
      </c>
      <c r="F552" s="38" t="s">
        <v>2058</v>
      </c>
      <c r="G552" s="45">
        <v>4800</v>
      </c>
      <c r="H552" s="45">
        <v>28.8</v>
      </c>
    </row>
    <row r="553" spans="1:8">
      <c r="A553" s="78">
        <v>129361803564</v>
      </c>
      <c r="B553" s="1" t="s">
        <v>8</v>
      </c>
      <c r="C553" s="44" t="s">
        <v>2147</v>
      </c>
      <c r="D553" s="1" t="s">
        <v>2057</v>
      </c>
      <c r="E553" s="44" t="s">
        <v>2147</v>
      </c>
      <c r="F553" s="38" t="s">
        <v>2058</v>
      </c>
      <c r="G553" s="45">
        <v>5300</v>
      </c>
      <c r="H553" s="45">
        <v>31.8</v>
      </c>
    </row>
    <row r="554" spans="1:8">
      <c r="A554" s="78">
        <v>128780754643</v>
      </c>
      <c r="B554" s="1" t="s">
        <v>2055</v>
      </c>
      <c r="C554" s="44" t="s">
        <v>2131</v>
      </c>
      <c r="D554" s="1" t="s">
        <v>2057</v>
      </c>
      <c r="E554" s="44" t="s">
        <v>2131</v>
      </c>
      <c r="F554" s="38" t="s">
        <v>2058</v>
      </c>
      <c r="G554" s="45">
        <v>8000</v>
      </c>
      <c r="H554" s="45">
        <v>48</v>
      </c>
    </row>
    <row r="555" spans="1:8">
      <c r="A555" s="78">
        <v>129362203494</v>
      </c>
      <c r="B555" s="1" t="s">
        <v>2055</v>
      </c>
      <c r="C555" s="44" t="s">
        <v>2147</v>
      </c>
      <c r="D555" s="1" t="s">
        <v>2057</v>
      </c>
      <c r="E555" s="44" t="s">
        <v>2147</v>
      </c>
      <c r="F555" s="38" t="s">
        <v>2058</v>
      </c>
      <c r="G555" s="45">
        <v>94100</v>
      </c>
      <c r="H555" s="45">
        <v>564.6</v>
      </c>
    </row>
    <row r="556" spans="1:8">
      <c r="A556" s="78">
        <v>128790376827</v>
      </c>
      <c r="B556" s="1" t="s">
        <v>8</v>
      </c>
      <c r="C556" s="44" t="s">
        <v>2147</v>
      </c>
      <c r="D556" s="1" t="s">
        <v>2057</v>
      </c>
      <c r="E556" s="44" t="s">
        <v>2147</v>
      </c>
      <c r="F556" s="38" t="s">
        <v>2058</v>
      </c>
      <c r="G556" s="45">
        <v>7900</v>
      </c>
      <c r="H556" s="45">
        <v>47.4</v>
      </c>
    </row>
    <row r="557" spans="1:8">
      <c r="A557" s="78">
        <v>128790311633</v>
      </c>
      <c r="B557" s="1" t="s">
        <v>8</v>
      </c>
      <c r="C557" s="44" t="s">
        <v>2147</v>
      </c>
      <c r="D557" s="1" t="s">
        <v>2057</v>
      </c>
      <c r="E557" s="44" t="s">
        <v>2147</v>
      </c>
      <c r="F557" s="38" t="s">
        <v>2058</v>
      </c>
      <c r="G557" s="45">
        <v>15500</v>
      </c>
      <c r="H557" s="45">
        <v>93</v>
      </c>
    </row>
    <row r="558" spans="1:8">
      <c r="A558" s="78">
        <v>128781427399</v>
      </c>
      <c r="B558" s="1" t="s">
        <v>8</v>
      </c>
      <c r="C558" s="44" t="s">
        <v>2131</v>
      </c>
      <c r="D558" s="1" t="s">
        <v>2057</v>
      </c>
      <c r="E558" s="44" t="s">
        <v>2131</v>
      </c>
      <c r="F558" s="38" t="s">
        <v>2058</v>
      </c>
      <c r="G558" s="45">
        <v>11100</v>
      </c>
      <c r="H558" s="45">
        <v>66.599999999999994</v>
      </c>
    </row>
    <row r="559" spans="1:8">
      <c r="A559" s="78">
        <v>129362542858</v>
      </c>
      <c r="B559" s="1" t="s">
        <v>8</v>
      </c>
      <c r="C559" s="44" t="s">
        <v>2147</v>
      </c>
      <c r="D559" s="1" t="s">
        <v>2057</v>
      </c>
      <c r="E559" s="44" t="s">
        <v>2147</v>
      </c>
      <c r="F559" s="38" t="s">
        <v>2058</v>
      </c>
      <c r="G559" s="45">
        <v>4500</v>
      </c>
      <c r="H559" s="45">
        <v>27</v>
      </c>
    </row>
    <row r="560" spans="1:8">
      <c r="A560" s="78">
        <v>128790671665</v>
      </c>
      <c r="B560" s="1" t="s">
        <v>8</v>
      </c>
      <c r="C560" s="44" t="s">
        <v>2147</v>
      </c>
      <c r="D560" s="1" t="s">
        <v>2057</v>
      </c>
      <c r="E560" s="44" t="s">
        <v>2147</v>
      </c>
      <c r="F560" s="38" t="s">
        <v>2058</v>
      </c>
      <c r="G560" s="45">
        <v>4000</v>
      </c>
      <c r="H560" s="45">
        <v>24</v>
      </c>
    </row>
    <row r="561" spans="1:8">
      <c r="A561" s="78">
        <v>128790802443</v>
      </c>
      <c r="B561" s="1" t="s">
        <v>8</v>
      </c>
      <c r="C561" s="44" t="s">
        <v>2147</v>
      </c>
      <c r="D561" s="1" t="s">
        <v>2057</v>
      </c>
      <c r="E561" s="44" t="s">
        <v>2147</v>
      </c>
      <c r="F561" s="38" t="s">
        <v>2058</v>
      </c>
      <c r="G561" s="45">
        <v>12000</v>
      </c>
      <c r="H561" s="45">
        <v>72</v>
      </c>
    </row>
    <row r="562" spans="1:8">
      <c r="A562" s="78">
        <v>129362629610</v>
      </c>
      <c r="B562" s="1" t="s">
        <v>8</v>
      </c>
      <c r="C562" s="44" t="s">
        <v>2147</v>
      </c>
      <c r="D562" s="1" t="s">
        <v>2057</v>
      </c>
      <c r="E562" s="44" t="s">
        <v>2147</v>
      </c>
      <c r="F562" s="38" t="s">
        <v>2058</v>
      </c>
      <c r="G562" s="45">
        <v>54000</v>
      </c>
      <c r="H562" s="45">
        <v>324</v>
      </c>
    </row>
    <row r="563" spans="1:8">
      <c r="A563" s="78">
        <v>128791038125</v>
      </c>
      <c r="B563" s="1" t="s">
        <v>8</v>
      </c>
      <c r="C563" s="44" t="s">
        <v>2147</v>
      </c>
      <c r="D563" s="1" t="s">
        <v>2057</v>
      </c>
      <c r="E563" s="44" t="s">
        <v>2147</v>
      </c>
      <c r="F563" s="38" t="s">
        <v>2058</v>
      </c>
      <c r="G563" s="45">
        <v>4300</v>
      </c>
      <c r="H563" s="45">
        <v>25.8</v>
      </c>
    </row>
    <row r="564" spans="1:8">
      <c r="A564" s="78">
        <v>128790975673</v>
      </c>
      <c r="B564" s="1" t="s">
        <v>8</v>
      </c>
      <c r="C564" s="44" t="s">
        <v>2147</v>
      </c>
      <c r="D564" s="1" t="s">
        <v>2057</v>
      </c>
      <c r="E564" s="44" t="s">
        <v>2147</v>
      </c>
      <c r="F564" s="38" t="s">
        <v>2058</v>
      </c>
      <c r="G564" s="45">
        <v>60000</v>
      </c>
      <c r="H564" s="45">
        <v>360</v>
      </c>
    </row>
    <row r="565" spans="1:8">
      <c r="A565" s="78">
        <v>129362926804</v>
      </c>
      <c r="B565" s="1" t="s">
        <v>8</v>
      </c>
      <c r="C565" s="44" t="s">
        <v>2147</v>
      </c>
      <c r="D565" s="1" t="s">
        <v>2057</v>
      </c>
      <c r="E565" s="44" t="s">
        <v>2147</v>
      </c>
      <c r="F565" s="38" t="s">
        <v>2058</v>
      </c>
      <c r="G565" s="45">
        <v>50400</v>
      </c>
      <c r="H565" s="45">
        <v>302.39999999999998</v>
      </c>
    </row>
    <row r="566" spans="1:8">
      <c r="A566" s="78">
        <v>129363235724</v>
      </c>
      <c r="B566" s="1" t="s">
        <v>8</v>
      </c>
      <c r="C566" s="44" t="s">
        <v>2147</v>
      </c>
      <c r="D566" s="1" t="s">
        <v>2057</v>
      </c>
      <c r="E566" s="44" t="s">
        <v>2147</v>
      </c>
      <c r="F566" s="38" t="s">
        <v>2058</v>
      </c>
      <c r="G566" s="45">
        <v>13000</v>
      </c>
      <c r="H566" s="45">
        <v>78</v>
      </c>
    </row>
    <row r="567" spans="1:8">
      <c r="A567" s="78">
        <v>129354374886</v>
      </c>
      <c r="B567" s="1" t="s">
        <v>8</v>
      </c>
      <c r="C567" s="44" t="s">
        <v>2131</v>
      </c>
      <c r="D567" s="1" t="s">
        <v>2057</v>
      </c>
      <c r="E567" s="44" t="s">
        <v>2131</v>
      </c>
      <c r="F567" s="38" t="s">
        <v>2058</v>
      </c>
      <c r="G567" s="45">
        <v>14400</v>
      </c>
      <c r="H567" s="45">
        <v>86.4</v>
      </c>
    </row>
    <row r="568" spans="1:8">
      <c r="A568" s="78">
        <v>129354544482</v>
      </c>
      <c r="B568" s="1" t="s">
        <v>2150</v>
      </c>
      <c r="C568" s="44" t="s">
        <v>2131</v>
      </c>
      <c r="D568" s="1" t="s">
        <v>2057</v>
      </c>
      <c r="E568" s="44" t="s">
        <v>2131</v>
      </c>
      <c r="F568" s="38" t="s">
        <v>2058</v>
      </c>
      <c r="G568" s="45">
        <v>720</v>
      </c>
      <c r="H568" s="45">
        <v>4.32</v>
      </c>
    </row>
    <row r="569" spans="1:8">
      <c r="A569" s="78">
        <v>129363361660</v>
      </c>
      <c r="B569" s="1" t="s">
        <v>2055</v>
      </c>
      <c r="C569" s="44" t="s">
        <v>2147</v>
      </c>
      <c r="D569" s="1" t="s">
        <v>2057</v>
      </c>
      <c r="E569" s="44" t="s">
        <v>2147</v>
      </c>
      <c r="F569" s="38" t="s">
        <v>2058</v>
      </c>
      <c r="G569" s="45">
        <v>7200</v>
      </c>
      <c r="H569" s="45">
        <v>43.2</v>
      </c>
    </row>
    <row r="570" spans="1:8">
      <c r="A570" s="78">
        <v>128791965351</v>
      </c>
      <c r="B570" s="1" t="s">
        <v>8</v>
      </c>
      <c r="C570" s="44" t="s">
        <v>2147</v>
      </c>
      <c r="D570" s="1" t="s">
        <v>2057</v>
      </c>
      <c r="E570" s="44" t="s">
        <v>2147</v>
      </c>
      <c r="F570" s="38" t="s">
        <v>2058</v>
      </c>
      <c r="G570" s="45">
        <v>4800</v>
      </c>
      <c r="H570" s="45">
        <v>28.8</v>
      </c>
    </row>
    <row r="571" spans="1:8">
      <c r="A571" s="78">
        <v>128782887399</v>
      </c>
      <c r="B571" s="1" t="s">
        <v>8</v>
      </c>
      <c r="C571" s="44" t="s">
        <v>2131</v>
      </c>
      <c r="D571" s="1" t="s">
        <v>2057</v>
      </c>
      <c r="E571" s="44" t="s">
        <v>2131</v>
      </c>
      <c r="F571" s="38" t="s">
        <v>2058</v>
      </c>
      <c r="G571" s="45">
        <v>10200</v>
      </c>
      <c r="H571" s="45">
        <v>61.2</v>
      </c>
    </row>
    <row r="572" spans="1:8">
      <c r="A572" s="78">
        <v>128792088431</v>
      </c>
      <c r="B572" s="1" t="s">
        <v>8</v>
      </c>
      <c r="C572" s="44" t="s">
        <v>2147</v>
      </c>
      <c r="D572" s="1" t="s">
        <v>2057</v>
      </c>
      <c r="E572" s="44" t="s">
        <v>2147</v>
      </c>
      <c r="F572" s="38" t="s">
        <v>2058</v>
      </c>
      <c r="G572" s="45">
        <v>4800</v>
      </c>
      <c r="H572" s="45">
        <v>28.8</v>
      </c>
    </row>
    <row r="573" spans="1:8">
      <c r="A573" s="78">
        <v>128792091581</v>
      </c>
      <c r="B573" s="1" t="s">
        <v>8</v>
      </c>
      <c r="C573" s="44" t="s">
        <v>2147</v>
      </c>
      <c r="D573" s="1" t="s">
        <v>2057</v>
      </c>
      <c r="E573" s="44" t="s">
        <v>2147</v>
      </c>
      <c r="F573" s="38" t="s">
        <v>2058</v>
      </c>
      <c r="G573" s="45">
        <v>9200</v>
      </c>
      <c r="H573" s="45">
        <v>55.2</v>
      </c>
    </row>
    <row r="574" spans="1:8">
      <c r="A574" s="78">
        <v>128792036011</v>
      </c>
      <c r="B574" s="1" t="s">
        <v>2151</v>
      </c>
      <c r="C574" s="44" t="s">
        <v>2147</v>
      </c>
      <c r="D574" s="1" t="s">
        <v>2057</v>
      </c>
      <c r="E574" s="44" t="s">
        <v>2147</v>
      </c>
      <c r="F574" s="38" t="s">
        <v>2058</v>
      </c>
      <c r="G574" s="45">
        <v>460</v>
      </c>
      <c r="H574" s="45">
        <v>2.76</v>
      </c>
    </row>
    <row r="575" spans="1:8">
      <c r="A575" s="78">
        <v>128792133789</v>
      </c>
      <c r="B575" s="1" t="s">
        <v>2055</v>
      </c>
      <c r="C575" s="44" t="s">
        <v>2147</v>
      </c>
      <c r="D575" s="1" t="s">
        <v>2057</v>
      </c>
      <c r="E575" s="44" t="s">
        <v>2147</v>
      </c>
      <c r="F575" s="38" t="s">
        <v>2058</v>
      </c>
      <c r="G575" s="45">
        <v>28400</v>
      </c>
      <c r="H575" s="45">
        <v>170.4</v>
      </c>
    </row>
    <row r="576" spans="1:8">
      <c r="A576" s="78">
        <v>129364048342</v>
      </c>
      <c r="B576" s="1" t="s">
        <v>8</v>
      </c>
      <c r="C576" s="44" t="s">
        <v>2147</v>
      </c>
      <c r="D576" s="1" t="s">
        <v>2057</v>
      </c>
      <c r="E576" s="44" t="s">
        <v>2147</v>
      </c>
      <c r="F576" s="38" t="s">
        <v>2058</v>
      </c>
      <c r="G576" s="45">
        <v>7200</v>
      </c>
      <c r="H576" s="45">
        <v>43.2</v>
      </c>
    </row>
    <row r="577" spans="1:8">
      <c r="A577" s="78">
        <v>129355508304</v>
      </c>
      <c r="B577" s="1" t="s">
        <v>8</v>
      </c>
      <c r="C577" s="44" t="s">
        <v>2131</v>
      </c>
      <c r="D577" s="1" t="s">
        <v>2057</v>
      </c>
      <c r="E577" s="44" t="s">
        <v>2131</v>
      </c>
      <c r="F577" s="38" t="s">
        <v>2058</v>
      </c>
      <c r="G577" s="45">
        <v>14400</v>
      </c>
      <c r="H577" s="45">
        <v>86.4</v>
      </c>
    </row>
    <row r="578" spans="1:8">
      <c r="A578" s="78">
        <v>128783650099</v>
      </c>
      <c r="B578" s="1" t="s">
        <v>2152</v>
      </c>
      <c r="C578" s="44" t="s">
        <v>2131</v>
      </c>
      <c r="D578" s="1" t="s">
        <v>2057</v>
      </c>
      <c r="E578" s="44" t="s">
        <v>2131</v>
      </c>
      <c r="F578" s="38" t="s">
        <v>2058</v>
      </c>
      <c r="G578" s="45">
        <v>1440</v>
      </c>
      <c r="H578" s="45">
        <v>8.64</v>
      </c>
    </row>
    <row r="579" spans="1:8">
      <c r="A579" s="78">
        <v>128792450817</v>
      </c>
      <c r="B579" s="1" t="s">
        <v>2055</v>
      </c>
      <c r="C579" s="44" t="s">
        <v>2147</v>
      </c>
      <c r="D579" s="1" t="s">
        <v>2057</v>
      </c>
      <c r="E579" s="44" t="s">
        <v>2147</v>
      </c>
      <c r="F579" s="38" t="s">
        <v>2058</v>
      </c>
      <c r="G579" s="45">
        <v>2000</v>
      </c>
      <c r="H579" s="45">
        <v>12</v>
      </c>
    </row>
    <row r="580" spans="1:8">
      <c r="A580" s="78">
        <v>128792386801</v>
      </c>
      <c r="B580" s="1" t="s">
        <v>2153</v>
      </c>
      <c r="C580" s="44" t="s">
        <v>2147</v>
      </c>
      <c r="D580" s="1" t="s">
        <v>2057</v>
      </c>
      <c r="E580" s="44" t="s">
        <v>2147</v>
      </c>
      <c r="F580" s="38" t="s">
        <v>2058</v>
      </c>
      <c r="G580" s="45">
        <v>4560</v>
      </c>
      <c r="H580" s="45">
        <v>27.36</v>
      </c>
    </row>
    <row r="581" spans="1:8">
      <c r="A581" s="78">
        <v>128792488121</v>
      </c>
      <c r="B581" s="1" t="s">
        <v>8</v>
      </c>
      <c r="C581" s="44" t="s">
        <v>2147</v>
      </c>
      <c r="D581" s="1" t="s">
        <v>2057</v>
      </c>
      <c r="E581" s="44" t="s">
        <v>2147</v>
      </c>
      <c r="F581" s="38" t="s">
        <v>2058</v>
      </c>
      <c r="G581" s="45">
        <v>45600</v>
      </c>
      <c r="H581" s="45">
        <v>273.60000000000002</v>
      </c>
    </row>
    <row r="582" spans="1:8">
      <c r="A582" s="78">
        <v>129355425330</v>
      </c>
      <c r="B582" s="1" t="s">
        <v>8</v>
      </c>
      <c r="C582" s="44" t="s">
        <v>2131</v>
      </c>
      <c r="D582" s="1" t="s">
        <v>2057</v>
      </c>
      <c r="E582" s="44" t="s">
        <v>2131</v>
      </c>
      <c r="F582" s="38" t="s">
        <v>2058</v>
      </c>
      <c r="G582" s="45">
        <v>9600</v>
      </c>
      <c r="H582" s="45">
        <v>57.6</v>
      </c>
    </row>
    <row r="583" spans="1:8">
      <c r="A583" s="78">
        <v>128785545873</v>
      </c>
      <c r="B583" s="1" t="s">
        <v>8</v>
      </c>
      <c r="C583" s="44" t="s">
        <v>2131</v>
      </c>
      <c r="D583" s="1" t="s">
        <v>2057</v>
      </c>
      <c r="E583" s="44" t="s">
        <v>2131</v>
      </c>
      <c r="F583" s="38" t="s">
        <v>2058</v>
      </c>
      <c r="G583" s="45">
        <v>28500</v>
      </c>
      <c r="H583" s="45">
        <v>171</v>
      </c>
    </row>
    <row r="584" spans="1:8">
      <c r="A584" s="78">
        <v>129357668936</v>
      </c>
      <c r="B584" s="1" t="s">
        <v>8</v>
      </c>
      <c r="C584" s="44" t="s">
        <v>2131</v>
      </c>
      <c r="D584" s="1" t="s">
        <v>2057</v>
      </c>
      <c r="E584" s="44" t="s">
        <v>2131</v>
      </c>
      <c r="F584" s="38" t="s">
        <v>2058</v>
      </c>
      <c r="G584" s="45">
        <v>14800</v>
      </c>
      <c r="H584" s="45">
        <v>88.8</v>
      </c>
    </row>
    <row r="585" spans="1:8">
      <c r="A585" s="78">
        <v>129358276472</v>
      </c>
      <c r="B585" s="1" t="s">
        <v>8</v>
      </c>
      <c r="C585" s="44" t="s">
        <v>2131</v>
      </c>
      <c r="D585" s="1" t="s">
        <v>2057</v>
      </c>
      <c r="E585" s="44" t="s">
        <v>2147</v>
      </c>
      <c r="F585" s="38" t="s">
        <v>2058</v>
      </c>
      <c r="G585" s="45">
        <v>9600</v>
      </c>
      <c r="H585" s="45">
        <v>57.6</v>
      </c>
    </row>
    <row r="586" spans="1:8">
      <c r="A586" s="78">
        <v>128786584557</v>
      </c>
      <c r="B586" s="1" t="s">
        <v>2055</v>
      </c>
      <c r="C586" s="44" t="s">
        <v>2131</v>
      </c>
      <c r="D586" s="1" t="s">
        <v>2057</v>
      </c>
      <c r="E586" s="44" t="s">
        <v>2147</v>
      </c>
      <c r="F586" s="38" t="s">
        <v>2058</v>
      </c>
      <c r="G586" s="45">
        <v>4800</v>
      </c>
      <c r="H586" s="45">
        <v>28.8</v>
      </c>
    </row>
    <row r="587" spans="1:8">
      <c r="A587" s="78">
        <v>129358860160</v>
      </c>
      <c r="B587" s="1" t="s">
        <v>8</v>
      </c>
      <c r="C587" s="44" t="s">
        <v>2131</v>
      </c>
      <c r="D587" s="1" t="s">
        <v>2057</v>
      </c>
      <c r="E587" s="44" t="s">
        <v>2147</v>
      </c>
      <c r="F587" s="38" t="s">
        <v>2058</v>
      </c>
      <c r="G587" s="45">
        <v>27200</v>
      </c>
      <c r="H587" s="45">
        <v>163.19999999999999</v>
      </c>
    </row>
    <row r="588" spans="1:8">
      <c r="A588" s="78">
        <v>128787883001</v>
      </c>
      <c r="B588" s="1" t="s">
        <v>8</v>
      </c>
      <c r="C588" s="44" t="s">
        <v>2131</v>
      </c>
      <c r="D588" s="1" t="s">
        <v>2057</v>
      </c>
      <c r="E588" s="44" t="s">
        <v>2147</v>
      </c>
      <c r="F588" s="38" t="s">
        <v>2058</v>
      </c>
      <c r="G588" s="45">
        <v>7200</v>
      </c>
      <c r="H588" s="45">
        <v>43.2</v>
      </c>
    </row>
    <row r="589" spans="1:8">
      <c r="A589" s="78">
        <v>129359661112</v>
      </c>
      <c r="B589" s="1" t="s">
        <v>8</v>
      </c>
      <c r="C589" s="44" t="s">
        <v>2131</v>
      </c>
      <c r="D589" s="1" t="s">
        <v>2057</v>
      </c>
      <c r="E589" s="44" t="s">
        <v>2147</v>
      </c>
      <c r="F589" s="38" t="s">
        <v>2058</v>
      </c>
      <c r="G589" s="45">
        <v>95000</v>
      </c>
      <c r="H589" s="45">
        <v>570</v>
      </c>
    </row>
    <row r="590" spans="1:8">
      <c r="A590" s="78">
        <v>129359893986</v>
      </c>
      <c r="B590" s="1" t="s">
        <v>8</v>
      </c>
      <c r="C590" s="44" t="s">
        <v>2131</v>
      </c>
      <c r="D590" s="1" t="s">
        <v>2057</v>
      </c>
      <c r="E590" s="44" t="s">
        <v>2147</v>
      </c>
      <c r="F590" s="38" t="s">
        <v>2058</v>
      </c>
      <c r="G590" s="45">
        <v>109200</v>
      </c>
      <c r="H590" s="45">
        <v>655.20000000000005</v>
      </c>
    </row>
    <row r="591" spans="1:8">
      <c r="A591" s="78">
        <v>129360210616</v>
      </c>
      <c r="B591" s="1" t="s">
        <v>8</v>
      </c>
      <c r="C591" s="44" t="s">
        <v>2131</v>
      </c>
      <c r="D591" s="1" t="s">
        <v>2057</v>
      </c>
      <c r="E591" s="44" t="s">
        <v>2147</v>
      </c>
      <c r="F591" s="38" t="s">
        <v>2058</v>
      </c>
      <c r="G591" s="45">
        <v>28300</v>
      </c>
      <c r="H591" s="45">
        <v>169.8</v>
      </c>
    </row>
    <row r="592" spans="1:8">
      <c r="A592" s="78">
        <v>129360446764</v>
      </c>
      <c r="B592" s="1" t="s">
        <v>8</v>
      </c>
      <c r="C592" s="44" t="s">
        <v>2131</v>
      </c>
      <c r="D592" s="1" t="s">
        <v>2057</v>
      </c>
      <c r="E592" s="44" t="s">
        <v>2147</v>
      </c>
      <c r="F592" s="38" t="s">
        <v>2058</v>
      </c>
      <c r="G592" s="45">
        <v>10000</v>
      </c>
      <c r="H592" s="45">
        <v>60</v>
      </c>
    </row>
    <row r="593" spans="1:8">
      <c r="A593" s="78">
        <v>128789062463</v>
      </c>
      <c r="B593" s="1" t="s">
        <v>2154</v>
      </c>
      <c r="C593" s="44" t="s">
        <v>2131</v>
      </c>
      <c r="D593" s="1" t="s">
        <v>2057</v>
      </c>
      <c r="E593" s="44" t="s">
        <v>2147</v>
      </c>
      <c r="F593" s="38" t="s">
        <v>2058</v>
      </c>
      <c r="G593" s="45">
        <v>480</v>
      </c>
      <c r="H593" s="45">
        <v>2.88</v>
      </c>
    </row>
    <row r="594" spans="1:8">
      <c r="A594" s="78">
        <v>129360713754</v>
      </c>
      <c r="B594" s="1" t="s">
        <v>8</v>
      </c>
      <c r="C594" s="44" t="s">
        <v>2147</v>
      </c>
      <c r="D594" s="1" t="s">
        <v>2057</v>
      </c>
      <c r="E594" s="44" t="s">
        <v>2147</v>
      </c>
      <c r="F594" s="38" t="s">
        <v>2058</v>
      </c>
      <c r="G594" s="45">
        <v>43200</v>
      </c>
      <c r="H594" s="45">
        <v>259.2</v>
      </c>
    </row>
    <row r="595" spans="1:8">
      <c r="A595" s="78">
        <v>128789258661</v>
      </c>
      <c r="B595" s="1" t="s">
        <v>8</v>
      </c>
      <c r="C595" s="44" t="s">
        <v>2147</v>
      </c>
      <c r="D595" s="1" t="s">
        <v>2057</v>
      </c>
      <c r="E595" s="44" t="s">
        <v>2147</v>
      </c>
      <c r="F595" s="38" t="s">
        <v>2058</v>
      </c>
      <c r="G595" s="45">
        <v>59500</v>
      </c>
      <c r="H595" s="45">
        <v>357</v>
      </c>
    </row>
    <row r="596" spans="1:8">
      <c r="A596" s="78">
        <v>128789235121</v>
      </c>
      <c r="B596" s="1" t="s">
        <v>8</v>
      </c>
      <c r="C596" s="44" t="s">
        <v>2147</v>
      </c>
      <c r="D596" s="1" t="s">
        <v>2057</v>
      </c>
      <c r="E596" s="44" t="s">
        <v>2147</v>
      </c>
      <c r="F596" s="38" t="s">
        <v>2058</v>
      </c>
      <c r="G596" s="45">
        <v>15000</v>
      </c>
      <c r="H596" s="45">
        <v>90</v>
      </c>
    </row>
    <row r="597" spans="1:8">
      <c r="A597" s="78">
        <v>128789281509</v>
      </c>
      <c r="B597" s="1" t="s">
        <v>8</v>
      </c>
      <c r="C597" s="44" t="s">
        <v>2147</v>
      </c>
      <c r="D597" s="1" t="s">
        <v>2057</v>
      </c>
      <c r="E597" s="44" t="s">
        <v>2147</v>
      </c>
      <c r="F597" s="38" t="s">
        <v>2058</v>
      </c>
      <c r="G597" s="45">
        <v>4800</v>
      </c>
      <c r="H597" s="45">
        <v>28.8</v>
      </c>
    </row>
    <row r="598" spans="1:8">
      <c r="A598" s="78">
        <v>129361253914</v>
      </c>
      <c r="B598" s="1" t="s">
        <v>8</v>
      </c>
      <c r="C598" s="44" t="s">
        <v>2147</v>
      </c>
      <c r="D598" s="1" t="s">
        <v>2057</v>
      </c>
      <c r="E598" s="44" t="s">
        <v>2147</v>
      </c>
      <c r="F598" s="38" t="s">
        <v>2058</v>
      </c>
      <c r="G598" s="45">
        <v>4800</v>
      </c>
      <c r="H598" s="45">
        <v>28.8</v>
      </c>
    </row>
    <row r="599" spans="1:8">
      <c r="A599" s="78">
        <v>129361895776</v>
      </c>
      <c r="B599" s="1" t="s">
        <v>8</v>
      </c>
      <c r="C599" s="44" t="s">
        <v>2147</v>
      </c>
      <c r="D599" s="1" t="s">
        <v>2057</v>
      </c>
      <c r="E599" s="44" t="s">
        <v>2147</v>
      </c>
      <c r="F599" s="38" t="s">
        <v>2058</v>
      </c>
      <c r="G599" s="45">
        <v>12000</v>
      </c>
      <c r="H599" s="45">
        <v>72</v>
      </c>
    </row>
    <row r="600" spans="1:8">
      <c r="A600" s="78">
        <v>128790136019</v>
      </c>
      <c r="B600" s="1" t="s">
        <v>8</v>
      </c>
      <c r="C600" s="44" t="s">
        <v>2147</v>
      </c>
      <c r="D600" s="1" t="s">
        <v>2057</v>
      </c>
      <c r="E600" s="44" t="s">
        <v>2147</v>
      </c>
      <c r="F600" s="38" t="s">
        <v>2058</v>
      </c>
      <c r="G600" s="45">
        <v>38600</v>
      </c>
      <c r="H600" s="45">
        <v>231.6</v>
      </c>
    </row>
    <row r="601" spans="1:8">
      <c r="A601" s="78">
        <v>129362011648</v>
      </c>
      <c r="B601" s="1" t="s">
        <v>8</v>
      </c>
      <c r="C601" s="44" t="s">
        <v>2147</v>
      </c>
      <c r="D601" s="1" t="s">
        <v>2057</v>
      </c>
      <c r="E601" s="44" t="s">
        <v>2147</v>
      </c>
      <c r="F601" s="38" t="s">
        <v>2058</v>
      </c>
      <c r="G601" s="45">
        <v>15000</v>
      </c>
      <c r="H601" s="45">
        <v>90</v>
      </c>
    </row>
    <row r="602" spans="1:8">
      <c r="A602" s="78">
        <v>129362129768</v>
      </c>
      <c r="B602" s="1" t="s">
        <v>2055</v>
      </c>
      <c r="C602" s="44" t="s">
        <v>2147</v>
      </c>
      <c r="D602" s="1" t="s">
        <v>2057</v>
      </c>
      <c r="E602" s="44" t="s">
        <v>2147</v>
      </c>
      <c r="F602" s="38" t="s">
        <v>2058</v>
      </c>
      <c r="G602" s="45">
        <v>88300</v>
      </c>
      <c r="H602" s="45">
        <v>529.79999999999995</v>
      </c>
    </row>
    <row r="603" spans="1:8">
      <c r="A603" s="78">
        <v>128790427367</v>
      </c>
      <c r="B603" s="1" t="s">
        <v>8</v>
      </c>
      <c r="C603" s="44" t="s">
        <v>2147</v>
      </c>
      <c r="D603" s="1" t="s">
        <v>2057</v>
      </c>
      <c r="E603" s="44" t="s">
        <v>2147</v>
      </c>
      <c r="F603" s="38" t="s">
        <v>2058</v>
      </c>
      <c r="G603" s="45">
        <v>4100</v>
      </c>
      <c r="H603" s="45">
        <v>24.6</v>
      </c>
    </row>
    <row r="604" spans="1:8">
      <c r="A604" s="78">
        <v>128790713267</v>
      </c>
      <c r="B604" s="1" t="s">
        <v>2155</v>
      </c>
      <c r="C604" s="44" t="s">
        <v>2147</v>
      </c>
      <c r="D604" s="1" t="s">
        <v>2057</v>
      </c>
      <c r="E604" s="44" t="s">
        <v>2147</v>
      </c>
      <c r="F604" s="38" t="s">
        <v>2058</v>
      </c>
      <c r="G604" s="45">
        <v>1200</v>
      </c>
      <c r="H604" s="45">
        <v>7.2</v>
      </c>
    </row>
    <row r="605" spans="1:8">
      <c r="A605" s="78">
        <v>128790813097</v>
      </c>
      <c r="B605" s="1" t="s">
        <v>8</v>
      </c>
      <c r="C605" s="44" t="s">
        <v>2147</v>
      </c>
      <c r="D605" s="1" t="s">
        <v>2057</v>
      </c>
      <c r="E605" s="44" t="s">
        <v>2147</v>
      </c>
      <c r="F605" s="38" t="s">
        <v>2058</v>
      </c>
      <c r="G605" s="45">
        <v>4800</v>
      </c>
      <c r="H605" s="45">
        <v>28.8</v>
      </c>
    </row>
    <row r="606" spans="1:8">
      <c r="A606" s="78">
        <v>129362779056</v>
      </c>
      <c r="B606" s="1" t="s">
        <v>8</v>
      </c>
      <c r="C606" s="44" t="s">
        <v>2147</v>
      </c>
      <c r="D606" s="1" t="s">
        <v>2057</v>
      </c>
      <c r="E606" s="44" t="s">
        <v>2147</v>
      </c>
      <c r="F606" s="38" t="s">
        <v>2058</v>
      </c>
      <c r="G606" s="45">
        <v>9600</v>
      </c>
      <c r="H606" s="45">
        <v>57.6</v>
      </c>
    </row>
    <row r="607" spans="1:8">
      <c r="A607" s="78">
        <v>128791039201</v>
      </c>
      <c r="B607" s="1" t="s">
        <v>2055</v>
      </c>
      <c r="C607" s="44" t="s">
        <v>2147</v>
      </c>
      <c r="D607" s="1" t="s">
        <v>2057</v>
      </c>
      <c r="E607" s="44" t="s">
        <v>2147</v>
      </c>
      <c r="F607" s="38" t="s">
        <v>2058</v>
      </c>
      <c r="G607" s="45">
        <v>5000</v>
      </c>
      <c r="H607" s="45">
        <v>30</v>
      </c>
    </row>
    <row r="608" spans="1:8">
      <c r="A608" s="78">
        <v>129363038238</v>
      </c>
      <c r="B608" s="1" t="s">
        <v>2156</v>
      </c>
      <c r="C608" s="44" t="s">
        <v>2147</v>
      </c>
      <c r="D608" s="1" t="s">
        <v>2057</v>
      </c>
      <c r="E608" s="44" t="s">
        <v>2147</v>
      </c>
      <c r="F608" s="38" t="s">
        <v>2058</v>
      </c>
      <c r="G608" s="45">
        <v>2520</v>
      </c>
      <c r="H608" s="45">
        <v>15.12</v>
      </c>
    </row>
    <row r="609" spans="1:8">
      <c r="A609" s="78">
        <v>129363422332</v>
      </c>
      <c r="B609" s="1" t="s">
        <v>2055</v>
      </c>
      <c r="C609" s="44" t="s">
        <v>2147</v>
      </c>
      <c r="D609" s="1" t="s">
        <v>2057</v>
      </c>
      <c r="E609" s="44" t="s">
        <v>2147</v>
      </c>
      <c r="F609" s="38" t="s">
        <v>2058</v>
      </c>
      <c r="G609" s="45">
        <v>9300</v>
      </c>
      <c r="H609" s="45">
        <v>55.8</v>
      </c>
    </row>
    <row r="610" spans="1:8">
      <c r="A610" s="78">
        <v>128791843481</v>
      </c>
      <c r="B610" s="1" t="s">
        <v>2055</v>
      </c>
      <c r="C610" s="44" t="s">
        <v>2147</v>
      </c>
      <c r="D610" s="1" t="s">
        <v>2057</v>
      </c>
      <c r="E610" s="44" t="s">
        <v>2147</v>
      </c>
      <c r="F610" s="38" t="s">
        <v>2058</v>
      </c>
      <c r="G610" s="45">
        <v>8400</v>
      </c>
      <c r="H610" s="45">
        <v>50.4</v>
      </c>
    </row>
    <row r="611" spans="1:8">
      <c r="A611" s="78">
        <v>129363795578</v>
      </c>
      <c r="B611" s="1" t="s">
        <v>8</v>
      </c>
      <c r="C611" s="44" t="s">
        <v>2147</v>
      </c>
      <c r="D611" s="1" t="s">
        <v>2057</v>
      </c>
      <c r="E611" s="44" t="s">
        <v>2147</v>
      </c>
      <c r="F611" s="38" t="s">
        <v>2058</v>
      </c>
      <c r="G611" s="45">
        <v>20500</v>
      </c>
      <c r="H611" s="45">
        <v>123</v>
      </c>
    </row>
    <row r="612" spans="1:8">
      <c r="A612" s="78">
        <v>129364171508</v>
      </c>
      <c r="B612" s="1" t="s">
        <v>2055</v>
      </c>
      <c r="C612" s="44" t="s">
        <v>2147</v>
      </c>
      <c r="D612" s="1" t="s">
        <v>2057</v>
      </c>
      <c r="E612" s="44" t="s">
        <v>2147</v>
      </c>
      <c r="F612" s="38" t="s">
        <v>2058</v>
      </c>
      <c r="G612" s="45">
        <v>9600</v>
      </c>
      <c r="H612" s="45">
        <v>57.6</v>
      </c>
    </row>
    <row r="613" spans="1:8">
      <c r="A613" s="78">
        <v>129364305216</v>
      </c>
      <c r="B613" s="1" t="s">
        <v>8</v>
      </c>
      <c r="C613" s="44" t="s">
        <v>2147</v>
      </c>
      <c r="D613" s="1" t="s">
        <v>2057</v>
      </c>
      <c r="E613" s="44" t="s">
        <v>2147</v>
      </c>
      <c r="F613" s="38" t="s">
        <v>2058</v>
      </c>
      <c r="G613" s="45">
        <v>1200</v>
      </c>
      <c r="H613" s="45">
        <v>7.2</v>
      </c>
    </row>
    <row r="614" spans="1:8">
      <c r="A614" s="78">
        <v>128792696797</v>
      </c>
      <c r="B614" s="1" t="s">
        <v>8</v>
      </c>
      <c r="C614" s="44" t="s">
        <v>2147</v>
      </c>
      <c r="D614" s="1" t="s">
        <v>2057</v>
      </c>
      <c r="E614" s="44" t="s">
        <v>2147</v>
      </c>
      <c r="F614" s="38" t="s">
        <v>2058</v>
      </c>
      <c r="G614" s="45">
        <v>34200</v>
      </c>
      <c r="H614" s="45">
        <v>205.2</v>
      </c>
    </row>
    <row r="615" spans="1:8">
      <c r="A615" s="78">
        <v>129457594142</v>
      </c>
      <c r="B615" s="1" t="s">
        <v>8</v>
      </c>
      <c r="C615" s="44" t="s">
        <v>2147</v>
      </c>
      <c r="D615" s="1" t="s">
        <v>2057</v>
      </c>
      <c r="E615" s="44" t="s">
        <v>2147</v>
      </c>
      <c r="F615" s="38" t="s">
        <v>2058</v>
      </c>
      <c r="G615" s="45">
        <v>4800</v>
      </c>
      <c r="H615" s="45">
        <v>28.8</v>
      </c>
    </row>
    <row r="616" spans="1:8">
      <c r="A616" s="78">
        <v>129462582556</v>
      </c>
      <c r="B616" s="1" t="s">
        <v>8</v>
      </c>
      <c r="C616" s="44" t="s">
        <v>2147</v>
      </c>
      <c r="D616" s="1" t="s">
        <v>2057</v>
      </c>
      <c r="E616" s="44" t="s">
        <v>2147</v>
      </c>
      <c r="F616" s="38" t="s">
        <v>2058</v>
      </c>
      <c r="G616" s="45">
        <v>8400</v>
      </c>
      <c r="H616" s="45">
        <v>50.4</v>
      </c>
    </row>
    <row r="617" spans="1:8">
      <c r="A617" s="78">
        <v>129466450092</v>
      </c>
      <c r="B617" s="1" t="s">
        <v>8</v>
      </c>
      <c r="C617" s="44" t="s">
        <v>2147</v>
      </c>
      <c r="D617" s="1" t="s">
        <v>2057</v>
      </c>
      <c r="E617" s="44" t="s">
        <v>2147</v>
      </c>
      <c r="F617" s="38" t="s">
        <v>2058</v>
      </c>
      <c r="G617" s="45">
        <v>25800</v>
      </c>
      <c r="H617" s="45">
        <v>154.80000000000001</v>
      </c>
    </row>
    <row r="618" spans="1:8">
      <c r="A618" s="78">
        <v>128893710093</v>
      </c>
      <c r="B618" s="1" t="s">
        <v>2157</v>
      </c>
      <c r="C618" s="44" t="s">
        <v>2147</v>
      </c>
      <c r="D618" s="1" t="s">
        <v>2057</v>
      </c>
      <c r="E618" s="44" t="s">
        <v>2147</v>
      </c>
      <c r="F618" s="38" t="s">
        <v>2058</v>
      </c>
      <c r="G618" s="45">
        <v>1290</v>
      </c>
      <c r="H618" s="45">
        <v>7.74</v>
      </c>
    </row>
    <row r="619" spans="1:8">
      <c r="A619" s="78">
        <v>129470560460</v>
      </c>
      <c r="B619" s="1" t="s">
        <v>2055</v>
      </c>
      <c r="C619" s="44" t="s">
        <v>2147</v>
      </c>
      <c r="D619" s="1" t="s">
        <v>2057</v>
      </c>
      <c r="E619" s="44" t="s">
        <v>2147</v>
      </c>
      <c r="F619" s="38" t="s">
        <v>2058</v>
      </c>
      <c r="G619" s="45">
        <v>80400</v>
      </c>
      <c r="H619" s="45">
        <v>482.4</v>
      </c>
    </row>
    <row r="620" spans="1:8">
      <c r="A620" s="78">
        <v>128887204983</v>
      </c>
      <c r="B620" s="1" t="s">
        <v>8</v>
      </c>
      <c r="C620" s="44" t="s">
        <v>2147</v>
      </c>
      <c r="D620" s="1" t="s">
        <v>2057</v>
      </c>
      <c r="E620" s="44" t="s">
        <v>2147</v>
      </c>
      <c r="F620" s="38" t="s">
        <v>2058</v>
      </c>
      <c r="G620" s="45">
        <v>9400</v>
      </c>
      <c r="H620" s="45">
        <v>56.4</v>
      </c>
    </row>
    <row r="621" spans="1:8">
      <c r="A621" s="78">
        <v>128897966025</v>
      </c>
      <c r="B621" s="1" t="s">
        <v>8</v>
      </c>
      <c r="C621" s="44" t="s">
        <v>2147</v>
      </c>
      <c r="D621" s="1" t="s">
        <v>2057</v>
      </c>
      <c r="E621" s="44" t="s">
        <v>2147</v>
      </c>
      <c r="F621" s="38" t="s">
        <v>2058</v>
      </c>
      <c r="G621" s="45">
        <v>9700</v>
      </c>
      <c r="H621" s="45">
        <v>58.2</v>
      </c>
    </row>
    <row r="622" spans="1:8">
      <c r="A622" s="78">
        <v>129461153768</v>
      </c>
      <c r="B622" s="1" t="s">
        <v>8</v>
      </c>
      <c r="C622" s="44" t="s">
        <v>2147</v>
      </c>
      <c r="D622" s="1" t="s">
        <v>2057</v>
      </c>
      <c r="E622" s="44" t="s">
        <v>2147</v>
      </c>
      <c r="F622" s="38" t="s">
        <v>2058</v>
      </c>
      <c r="G622" s="45">
        <v>4800</v>
      </c>
      <c r="H622" s="45">
        <v>28.8</v>
      </c>
    </row>
    <row r="623" spans="1:8">
      <c r="A623" s="78">
        <v>129462536948</v>
      </c>
      <c r="B623" s="1" t="s">
        <v>2158</v>
      </c>
      <c r="C623" s="44" t="s">
        <v>2147</v>
      </c>
      <c r="D623" s="1" t="s">
        <v>2057</v>
      </c>
      <c r="E623" s="44" t="s">
        <v>2147</v>
      </c>
      <c r="F623" s="38" t="s">
        <v>2058</v>
      </c>
      <c r="G623" s="45">
        <v>420</v>
      </c>
      <c r="H623" s="45">
        <v>2.52</v>
      </c>
    </row>
    <row r="624" spans="1:8">
      <c r="A624" s="78">
        <v>128892698657</v>
      </c>
      <c r="B624" s="1" t="s">
        <v>8</v>
      </c>
      <c r="C624" s="44" t="s">
        <v>2147</v>
      </c>
      <c r="D624" s="1" t="s">
        <v>2057</v>
      </c>
      <c r="E624" s="44" t="s">
        <v>2147</v>
      </c>
      <c r="F624" s="38" t="s">
        <v>2058</v>
      </c>
      <c r="G624" s="45">
        <v>21600</v>
      </c>
      <c r="H624" s="45">
        <v>129.6</v>
      </c>
    </row>
    <row r="625" spans="1:8">
      <c r="A625" s="78">
        <v>129475831332</v>
      </c>
      <c r="B625" s="1" t="s">
        <v>8</v>
      </c>
      <c r="C625" s="44" t="s">
        <v>2147</v>
      </c>
      <c r="D625" s="1" t="s">
        <v>2057</v>
      </c>
      <c r="E625" s="44" t="s">
        <v>2147</v>
      </c>
      <c r="F625" s="38" t="s">
        <v>2058</v>
      </c>
      <c r="G625" s="45">
        <v>4300</v>
      </c>
      <c r="H625" s="45">
        <v>25.8</v>
      </c>
    </row>
    <row r="626" spans="1:8">
      <c r="A626" s="78">
        <v>128906379869</v>
      </c>
      <c r="B626" s="1" t="s">
        <v>2055</v>
      </c>
      <c r="C626" s="44" t="s">
        <v>2147</v>
      </c>
      <c r="D626" s="1" t="s">
        <v>2057</v>
      </c>
      <c r="E626" s="44" t="s">
        <v>2147</v>
      </c>
      <c r="F626" s="38" t="s">
        <v>2058</v>
      </c>
      <c r="G626" s="45">
        <v>23800</v>
      </c>
      <c r="H626" s="45">
        <v>142.80000000000001</v>
      </c>
    </row>
    <row r="627" spans="1:8">
      <c r="A627" s="78">
        <v>128896844399</v>
      </c>
      <c r="B627" s="1" t="s">
        <v>8</v>
      </c>
      <c r="C627" s="44" t="s">
        <v>2147</v>
      </c>
      <c r="D627" s="1" t="s">
        <v>2057</v>
      </c>
      <c r="E627" s="44" t="s">
        <v>2147</v>
      </c>
      <c r="F627" s="38" t="s">
        <v>2058</v>
      </c>
      <c r="G627" s="45">
        <v>11600</v>
      </c>
      <c r="H627" s="45">
        <v>69.599999999999994</v>
      </c>
    </row>
    <row r="628" spans="1:8">
      <c r="A628" s="78">
        <v>129483019148</v>
      </c>
      <c r="B628" s="1" t="s">
        <v>2055</v>
      </c>
      <c r="C628" s="44" t="s">
        <v>2147</v>
      </c>
      <c r="D628" s="1" t="s">
        <v>2057</v>
      </c>
      <c r="E628" s="44" t="s">
        <v>2147</v>
      </c>
      <c r="F628" s="38" t="s">
        <v>2058</v>
      </c>
      <c r="G628" s="45">
        <v>66600</v>
      </c>
      <c r="H628" s="45">
        <v>399.6</v>
      </c>
    </row>
    <row r="629" spans="1:8">
      <c r="A629" s="78">
        <v>128910094011</v>
      </c>
      <c r="B629" s="1" t="s">
        <v>2055</v>
      </c>
      <c r="C629" s="44" t="s">
        <v>2147</v>
      </c>
      <c r="D629" s="1" t="s">
        <v>2057</v>
      </c>
      <c r="E629" s="44" t="s">
        <v>2147</v>
      </c>
      <c r="F629" s="38" t="s">
        <v>2058</v>
      </c>
      <c r="G629" s="45">
        <v>116500</v>
      </c>
      <c r="H629" s="45">
        <v>699</v>
      </c>
    </row>
    <row r="630" spans="1:8">
      <c r="A630" s="78">
        <v>129475789772</v>
      </c>
      <c r="B630" s="1" t="s">
        <v>2159</v>
      </c>
      <c r="C630" s="44" t="s">
        <v>2147</v>
      </c>
      <c r="D630" s="1" t="s">
        <v>2057</v>
      </c>
      <c r="E630" s="44" t="s">
        <v>2147</v>
      </c>
      <c r="F630" s="38" t="s">
        <v>2058</v>
      </c>
      <c r="G630" s="45">
        <v>215</v>
      </c>
      <c r="H630" s="45">
        <v>1.29</v>
      </c>
    </row>
    <row r="631" spans="1:8">
      <c r="A631" s="78">
        <v>128913553137</v>
      </c>
      <c r="B631" s="1" t="s">
        <v>2055</v>
      </c>
      <c r="C631" s="44" t="s">
        <v>2147</v>
      </c>
      <c r="D631" s="1" t="s">
        <v>2057</v>
      </c>
      <c r="E631" s="44" t="s">
        <v>2147</v>
      </c>
      <c r="F631" s="38" t="s">
        <v>2058</v>
      </c>
      <c r="G631" s="45">
        <v>54700</v>
      </c>
      <c r="H631" s="45">
        <v>328.2</v>
      </c>
    </row>
    <row r="632" spans="1:8">
      <c r="A632" s="78">
        <v>128913776569</v>
      </c>
      <c r="B632" s="1" t="s">
        <v>2055</v>
      </c>
      <c r="C632" s="44" t="s">
        <v>2147</v>
      </c>
      <c r="D632" s="1" t="s">
        <v>2057</v>
      </c>
      <c r="E632" s="44" t="s">
        <v>2147</v>
      </c>
      <c r="F632" s="38" t="s">
        <v>2058</v>
      </c>
      <c r="G632" s="45">
        <v>33400</v>
      </c>
      <c r="H632" s="45">
        <v>200.4</v>
      </c>
    </row>
    <row r="633" spans="1:8">
      <c r="A633" s="78">
        <v>129476370902</v>
      </c>
      <c r="B633" s="1" t="s">
        <v>8</v>
      </c>
      <c r="C633" s="44" t="s">
        <v>2147</v>
      </c>
      <c r="D633" s="1" t="s">
        <v>2057</v>
      </c>
      <c r="E633" s="44" t="s">
        <v>2147</v>
      </c>
      <c r="F633" s="38" t="s">
        <v>2058</v>
      </c>
      <c r="G633" s="45">
        <v>19200</v>
      </c>
      <c r="H633" s="45">
        <v>115.2</v>
      </c>
    </row>
    <row r="634" spans="1:8">
      <c r="A634" s="78">
        <v>129486752692</v>
      </c>
      <c r="B634" s="1" t="s">
        <v>2055</v>
      </c>
      <c r="C634" s="44" t="s">
        <v>2147</v>
      </c>
      <c r="D634" s="1" t="s">
        <v>2057</v>
      </c>
      <c r="E634" s="44" t="s">
        <v>2147</v>
      </c>
      <c r="F634" s="38" t="s">
        <v>2058</v>
      </c>
      <c r="G634" s="45">
        <v>21100</v>
      </c>
      <c r="H634" s="45">
        <v>126.6</v>
      </c>
    </row>
    <row r="635" spans="1:8">
      <c r="A635" s="78">
        <v>128915102153</v>
      </c>
      <c r="B635" s="1" t="s">
        <v>8</v>
      </c>
      <c r="C635" s="44" t="s">
        <v>2147</v>
      </c>
      <c r="D635" s="1" t="s">
        <v>2057</v>
      </c>
      <c r="E635" s="44" t="s">
        <v>2147</v>
      </c>
      <c r="F635" s="38" t="s">
        <v>2058</v>
      </c>
      <c r="G635" s="45">
        <v>24800</v>
      </c>
      <c r="H635" s="45">
        <v>148.80000000000001</v>
      </c>
    </row>
    <row r="636" spans="1:8">
      <c r="A636" s="78">
        <v>129488848480</v>
      </c>
      <c r="B636" s="1" t="s">
        <v>8</v>
      </c>
      <c r="C636" s="44" t="s">
        <v>2147</v>
      </c>
      <c r="D636" s="1" t="s">
        <v>2057</v>
      </c>
      <c r="E636" s="44" t="s">
        <v>2147</v>
      </c>
      <c r="F636" s="38" t="s">
        <v>2058</v>
      </c>
      <c r="G636" s="45">
        <v>14700</v>
      </c>
      <c r="H636" s="45">
        <v>88.2</v>
      </c>
    </row>
    <row r="637" spans="1:8">
      <c r="A637" s="78">
        <v>128907134521</v>
      </c>
      <c r="B637" s="1" t="s">
        <v>8</v>
      </c>
      <c r="C637" s="44" t="s">
        <v>2147</v>
      </c>
      <c r="D637" s="1" t="s">
        <v>2057</v>
      </c>
      <c r="E637" s="44" t="s">
        <v>2147</v>
      </c>
      <c r="F637" s="38" t="s">
        <v>2058</v>
      </c>
      <c r="G637" s="45">
        <v>9800</v>
      </c>
      <c r="H637" s="45">
        <v>58.8</v>
      </c>
    </row>
    <row r="638" spans="1:8">
      <c r="A638" s="78">
        <v>128907143061</v>
      </c>
      <c r="B638" s="1" t="s">
        <v>2055</v>
      </c>
      <c r="C638" s="44" t="s">
        <v>2147</v>
      </c>
      <c r="D638" s="1" t="s">
        <v>2057</v>
      </c>
      <c r="E638" s="44" t="s">
        <v>2147</v>
      </c>
      <c r="F638" s="38" t="s">
        <v>2058</v>
      </c>
      <c r="G638" s="45">
        <v>52700</v>
      </c>
      <c r="H638" s="45">
        <v>316.2</v>
      </c>
    </row>
    <row r="639" spans="1:8">
      <c r="A639" s="78">
        <v>128917530747</v>
      </c>
      <c r="B639" s="1" t="s">
        <v>8</v>
      </c>
      <c r="C639" s="44" t="s">
        <v>2147</v>
      </c>
      <c r="D639" s="1" t="s">
        <v>2057</v>
      </c>
      <c r="E639" s="44" t="s">
        <v>2147</v>
      </c>
      <c r="F639" s="38" t="s">
        <v>2058</v>
      </c>
      <c r="G639" s="45">
        <v>50100</v>
      </c>
      <c r="H639" s="45">
        <v>300.60000000000002</v>
      </c>
    </row>
    <row r="640" spans="1:8">
      <c r="A640" s="78">
        <v>129490400868</v>
      </c>
      <c r="B640" s="1" t="s">
        <v>8</v>
      </c>
      <c r="C640" s="44" t="s">
        <v>2147</v>
      </c>
      <c r="D640" s="1" t="s">
        <v>2057</v>
      </c>
      <c r="E640" s="44" t="s">
        <v>2147</v>
      </c>
      <c r="F640" s="38" t="s">
        <v>2058</v>
      </c>
      <c r="G640" s="45">
        <v>21200</v>
      </c>
      <c r="H640" s="45">
        <v>127.2</v>
      </c>
    </row>
    <row r="641" spans="1:8">
      <c r="A641" s="78">
        <v>129481762152</v>
      </c>
      <c r="B641" s="1" t="s">
        <v>2055</v>
      </c>
      <c r="C641" s="44" t="s">
        <v>2147</v>
      </c>
      <c r="D641" s="1" t="s">
        <v>2057</v>
      </c>
      <c r="E641" s="44" t="s">
        <v>2147</v>
      </c>
      <c r="F641" s="38" t="s">
        <v>2058</v>
      </c>
      <c r="G641" s="45">
        <v>14400</v>
      </c>
      <c r="H641" s="45">
        <v>86.4</v>
      </c>
    </row>
    <row r="642" spans="1:8">
      <c r="A642" s="78">
        <v>128919083425</v>
      </c>
      <c r="B642" s="1" t="s">
        <v>8</v>
      </c>
      <c r="C642" s="44" t="s">
        <v>2147</v>
      </c>
      <c r="D642" s="1" t="s">
        <v>2057</v>
      </c>
      <c r="E642" s="44" t="s">
        <v>2147</v>
      </c>
      <c r="F642" s="38" t="s">
        <v>2058</v>
      </c>
      <c r="G642" s="45">
        <v>31500</v>
      </c>
      <c r="H642" s="45">
        <v>189</v>
      </c>
    </row>
    <row r="643" spans="1:8">
      <c r="A643" s="78">
        <v>128919574591</v>
      </c>
      <c r="B643" s="1" t="s">
        <v>8</v>
      </c>
      <c r="C643" s="44" t="s">
        <v>2147</v>
      </c>
      <c r="D643" s="1" t="s">
        <v>2057</v>
      </c>
      <c r="E643" s="44" t="s">
        <v>2147</v>
      </c>
      <c r="F643" s="38" t="s">
        <v>2058</v>
      </c>
      <c r="G643" s="45">
        <v>44500</v>
      </c>
      <c r="H643" s="45">
        <v>267</v>
      </c>
    </row>
    <row r="644" spans="1:8">
      <c r="A644" s="78">
        <v>129492338552</v>
      </c>
      <c r="B644" s="1" t="s">
        <v>2055</v>
      </c>
      <c r="C644" s="44" t="s">
        <v>2147</v>
      </c>
      <c r="D644" s="1" t="s">
        <v>2057</v>
      </c>
      <c r="E644" s="44" t="s">
        <v>2147</v>
      </c>
      <c r="F644" s="38" t="s">
        <v>2058</v>
      </c>
      <c r="G644" s="45">
        <v>94500</v>
      </c>
      <c r="H644" s="45">
        <v>567</v>
      </c>
    </row>
    <row r="645" spans="1:8">
      <c r="A645" s="78">
        <v>129492654176</v>
      </c>
      <c r="B645" s="1" t="s">
        <v>8</v>
      </c>
      <c r="C645" s="44" t="s">
        <v>2147</v>
      </c>
      <c r="D645" s="1" t="s">
        <v>2057</v>
      </c>
      <c r="E645" s="44" t="s">
        <v>2147</v>
      </c>
      <c r="F645" s="38" t="s">
        <v>2058</v>
      </c>
      <c r="G645" s="45">
        <v>84700</v>
      </c>
      <c r="H645" s="45">
        <v>508.2</v>
      </c>
    </row>
    <row r="646" spans="1:8">
      <c r="A646" s="78">
        <v>128920403673</v>
      </c>
      <c r="B646" s="1" t="s">
        <v>2160</v>
      </c>
      <c r="C646" s="44" t="s">
        <v>2147</v>
      </c>
      <c r="D646" s="1" t="s">
        <v>2057</v>
      </c>
      <c r="E646" s="44" t="s">
        <v>2147</v>
      </c>
      <c r="F646" s="38" t="s">
        <v>2058</v>
      </c>
      <c r="G646" s="45">
        <v>860</v>
      </c>
      <c r="H646" s="45">
        <v>5.16</v>
      </c>
    </row>
    <row r="647" spans="1:8">
      <c r="A647" s="78">
        <v>128920484187</v>
      </c>
      <c r="B647" s="1" t="s">
        <v>8</v>
      </c>
      <c r="C647" s="44" t="s">
        <v>2147</v>
      </c>
      <c r="D647" s="1" t="s">
        <v>2057</v>
      </c>
      <c r="E647" s="44" t="s">
        <v>2147</v>
      </c>
      <c r="F647" s="38" t="s">
        <v>2058</v>
      </c>
      <c r="G647" s="45">
        <v>17200</v>
      </c>
      <c r="H647" s="45">
        <v>103.2</v>
      </c>
    </row>
    <row r="648" spans="1:8">
      <c r="A648" s="78">
        <v>129493359646</v>
      </c>
      <c r="B648" s="1" t="s">
        <v>8</v>
      </c>
      <c r="C648" s="44" t="s">
        <v>2147</v>
      </c>
      <c r="D648" s="1" t="s">
        <v>2057</v>
      </c>
      <c r="E648" s="44" t="s">
        <v>2147</v>
      </c>
      <c r="F648" s="38" t="s">
        <v>2058</v>
      </c>
      <c r="G648" s="45">
        <v>19300</v>
      </c>
      <c r="H648" s="45">
        <v>115.8</v>
      </c>
    </row>
    <row r="649" spans="1:8">
      <c r="A649" s="78">
        <v>128922302919</v>
      </c>
      <c r="B649" s="1" t="s">
        <v>8</v>
      </c>
      <c r="C649" s="44" t="s">
        <v>2147</v>
      </c>
      <c r="D649" s="1" t="s">
        <v>2057</v>
      </c>
      <c r="E649" s="44" t="s">
        <v>2161</v>
      </c>
      <c r="F649" s="38" t="s">
        <v>2058</v>
      </c>
      <c r="G649" s="45">
        <v>51400</v>
      </c>
      <c r="H649" s="45">
        <v>308.39999999999998</v>
      </c>
    </row>
    <row r="650" spans="1:8">
      <c r="A650" s="78">
        <v>129495145126</v>
      </c>
      <c r="B650" s="1" t="s">
        <v>2055</v>
      </c>
      <c r="C650" s="44" t="s">
        <v>2147</v>
      </c>
      <c r="D650" s="1" t="s">
        <v>2057</v>
      </c>
      <c r="E650" s="44" t="s">
        <v>2161</v>
      </c>
      <c r="F650" s="38" t="s">
        <v>2058</v>
      </c>
      <c r="G650" s="45">
        <v>39500</v>
      </c>
      <c r="H650" s="45">
        <v>237</v>
      </c>
    </row>
    <row r="651" spans="1:8">
      <c r="A651" s="78">
        <v>129495185528</v>
      </c>
      <c r="B651" s="1" t="s">
        <v>8</v>
      </c>
      <c r="C651" s="44" t="s">
        <v>2147</v>
      </c>
      <c r="D651" s="1" t="s">
        <v>2057</v>
      </c>
      <c r="E651" s="44" t="s">
        <v>2161</v>
      </c>
      <c r="F651" s="38" t="s">
        <v>2058</v>
      </c>
      <c r="G651" s="45">
        <v>8600</v>
      </c>
      <c r="H651" s="45">
        <v>51.6</v>
      </c>
    </row>
    <row r="652" spans="1:8">
      <c r="A652" s="78">
        <v>129495728004</v>
      </c>
      <c r="B652" s="1" t="s">
        <v>2055</v>
      </c>
      <c r="C652" s="44" t="s">
        <v>2147</v>
      </c>
      <c r="D652" s="1" t="s">
        <v>2057</v>
      </c>
      <c r="E652" s="44" t="s">
        <v>2161</v>
      </c>
      <c r="F652" s="38" t="s">
        <v>2058</v>
      </c>
      <c r="G652" s="45">
        <v>32100</v>
      </c>
      <c r="H652" s="45">
        <v>192.6</v>
      </c>
    </row>
    <row r="653" spans="1:8">
      <c r="A653" s="78">
        <v>129495961410</v>
      </c>
      <c r="B653" s="1" t="s">
        <v>2055</v>
      </c>
      <c r="C653" s="44" t="s">
        <v>2147</v>
      </c>
      <c r="D653" s="1" t="s">
        <v>2057</v>
      </c>
      <c r="E653" s="44" t="s">
        <v>2161</v>
      </c>
      <c r="F653" s="38" t="s">
        <v>2058</v>
      </c>
      <c r="G653" s="45">
        <v>4800</v>
      </c>
      <c r="H653" s="45">
        <v>28.8</v>
      </c>
    </row>
    <row r="654" spans="1:8">
      <c r="A654" s="78">
        <v>128923606311</v>
      </c>
      <c r="B654" s="1" t="s">
        <v>8</v>
      </c>
      <c r="C654" s="44" t="s">
        <v>2147</v>
      </c>
      <c r="D654" s="1" t="s">
        <v>2057</v>
      </c>
      <c r="E654" s="44" t="s">
        <v>2161</v>
      </c>
      <c r="F654" s="38" t="s">
        <v>2058</v>
      </c>
      <c r="G654" s="45">
        <v>67000</v>
      </c>
      <c r="H654" s="45">
        <v>402</v>
      </c>
    </row>
    <row r="655" spans="1:8">
      <c r="A655" s="78">
        <v>128923725051</v>
      </c>
      <c r="B655" s="1" t="s">
        <v>8</v>
      </c>
      <c r="C655" s="44" t="s">
        <v>2147</v>
      </c>
      <c r="D655" s="1" t="s">
        <v>2057</v>
      </c>
      <c r="E655" s="44" t="s">
        <v>2161</v>
      </c>
      <c r="F655" s="38" t="s">
        <v>2058</v>
      </c>
      <c r="G655" s="45">
        <v>53300</v>
      </c>
      <c r="H655" s="45">
        <v>319.8</v>
      </c>
    </row>
    <row r="656" spans="1:8">
      <c r="A656" s="78">
        <v>129496220702</v>
      </c>
      <c r="B656" s="1" t="s">
        <v>2162</v>
      </c>
      <c r="C656" s="44" t="s">
        <v>2147</v>
      </c>
      <c r="D656" s="1" t="s">
        <v>2057</v>
      </c>
      <c r="E656" s="44" t="s">
        <v>2161</v>
      </c>
      <c r="F656" s="38" t="s">
        <v>2058</v>
      </c>
      <c r="G656" s="45">
        <v>2040</v>
      </c>
      <c r="H656" s="45">
        <v>12.24</v>
      </c>
    </row>
    <row r="657" spans="1:8">
      <c r="A657" s="78">
        <v>128924146425</v>
      </c>
      <c r="B657" s="1" t="s">
        <v>8</v>
      </c>
      <c r="C657" s="44" t="s">
        <v>2147</v>
      </c>
      <c r="D657" s="1" t="s">
        <v>2057</v>
      </c>
      <c r="E657" s="44" t="s">
        <v>2161</v>
      </c>
      <c r="F657" s="38" t="s">
        <v>2058</v>
      </c>
      <c r="G657" s="45">
        <v>10600</v>
      </c>
      <c r="H657" s="45">
        <v>63.6</v>
      </c>
    </row>
    <row r="658" spans="1:8">
      <c r="A658" s="78">
        <v>128924489675</v>
      </c>
      <c r="B658" s="1" t="s">
        <v>2055</v>
      </c>
      <c r="C658" s="44" t="s">
        <v>2161</v>
      </c>
      <c r="D658" s="1" t="s">
        <v>2057</v>
      </c>
      <c r="E658" s="44" t="s">
        <v>2161</v>
      </c>
      <c r="F658" s="38" t="s">
        <v>2058</v>
      </c>
      <c r="G658" s="45">
        <v>9200</v>
      </c>
      <c r="H658" s="45">
        <v>55.2</v>
      </c>
    </row>
    <row r="659" spans="1:8">
      <c r="A659" s="78">
        <v>129486918346</v>
      </c>
      <c r="B659" s="1" t="s">
        <v>2055</v>
      </c>
      <c r="C659" s="44" t="s">
        <v>2147</v>
      </c>
      <c r="D659" s="1" t="s">
        <v>2057</v>
      </c>
      <c r="E659" s="44" t="s">
        <v>2147</v>
      </c>
      <c r="F659" s="38" t="s">
        <v>2058</v>
      </c>
      <c r="G659" s="45">
        <v>4900</v>
      </c>
      <c r="H659" s="45">
        <v>29.4</v>
      </c>
    </row>
    <row r="660" spans="1:8">
      <c r="A660" s="78">
        <v>128924615147</v>
      </c>
      <c r="B660" s="1" t="s">
        <v>8</v>
      </c>
      <c r="C660" s="44" t="s">
        <v>2161</v>
      </c>
      <c r="D660" s="1" t="s">
        <v>2057</v>
      </c>
      <c r="E660" s="44" t="s">
        <v>2161</v>
      </c>
      <c r="F660" s="38" t="s">
        <v>2058</v>
      </c>
      <c r="G660" s="45">
        <v>10100</v>
      </c>
      <c r="H660" s="45">
        <v>60.6</v>
      </c>
    </row>
    <row r="661" spans="1:8">
      <c r="A661" s="78">
        <v>128925028115</v>
      </c>
      <c r="B661" s="1" t="s">
        <v>8</v>
      </c>
      <c r="C661" s="44" t="s">
        <v>2161</v>
      </c>
      <c r="D661" s="1" t="s">
        <v>2057</v>
      </c>
      <c r="E661" s="44" t="s">
        <v>2161</v>
      </c>
      <c r="F661" s="38" t="s">
        <v>2058</v>
      </c>
      <c r="G661" s="45">
        <v>10600</v>
      </c>
      <c r="H661" s="45">
        <v>63.6</v>
      </c>
    </row>
    <row r="662" spans="1:8">
      <c r="A662" s="78">
        <v>128925124795</v>
      </c>
      <c r="B662" s="1" t="s">
        <v>8</v>
      </c>
      <c r="C662" s="44" t="s">
        <v>2161</v>
      </c>
      <c r="D662" s="1" t="s">
        <v>2057</v>
      </c>
      <c r="E662" s="44" t="s">
        <v>2161</v>
      </c>
      <c r="F662" s="38" t="s">
        <v>2058</v>
      </c>
      <c r="G662" s="45">
        <v>4800</v>
      </c>
      <c r="H662" s="45">
        <v>28.8</v>
      </c>
    </row>
    <row r="663" spans="1:8">
      <c r="A663" s="78">
        <v>129497757396</v>
      </c>
      <c r="B663" s="1" t="s">
        <v>8</v>
      </c>
      <c r="C663" s="44" t="s">
        <v>2161</v>
      </c>
      <c r="D663" s="1" t="s">
        <v>2057</v>
      </c>
      <c r="E663" s="44" t="s">
        <v>2161</v>
      </c>
      <c r="F663" s="38" t="s">
        <v>2058</v>
      </c>
      <c r="G663" s="45">
        <v>42700</v>
      </c>
      <c r="H663" s="45">
        <v>256.2</v>
      </c>
    </row>
    <row r="664" spans="1:8">
      <c r="A664" s="78">
        <v>128925323397</v>
      </c>
      <c r="B664" s="1" t="s">
        <v>8</v>
      </c>
      <c r="C664" s="44" t="s">
        <v>2161</v>
      </c>
      <c r="D664" s="1" t="s">
        <v>2057</v>
      </c>
      <c r="E664" s="44" t="s">
        <v>2161</v>
      </c>
      <c r="F664" s="38" t="s">
        <v>2058</v>
      </c>
      <c r="G664" s="45">
        <v>84100</v>
      </c>
      <c r="H664" s="45">
        <v>504.6</v>
      </c>
    </row>
    <row r="665" spans="1:8">
      <c r="A665" s="78">
        <v>129487356030</v>
      </c>
      <c r="B665" s="1" t="s">
        <v>8</v>
      </c>
      <c r="C665" s="44" t="s">
        <v>2147</v>
      </c>
      <c r="D665" s="1" t="s">
        <v>2057</v>
      </c>
      <c r="E665" s="44" t="s">
        <v>2147</v>
      </c>
      <c r="F665" s="38" t="s">
        <v>2058</v>
      </c>
      <c r="G665" s="45">
        <v>51900</v>
      </c>
      <c r="H665" s="45">
        <v>311.39999999999998</v>
      </c>
    </row>
    <row r="666" spans="1:8">
      <c r="A666" s="78">
        <v>129487550932</v>
      </c>
      <c r="B666" s="1" t="s">
        <v>2055</v>
      </c>
      <c r="C666" s="44" t="s">
        <v>2147</v>
      </c>
      <c r="D666" s="1" t="s">
        <v>2057</v>
      </c>
      <c r="E666" s="44" t="s">
        <v>2147</v>
      </c>
      <c r="F666" s="38" t="s">
        <v>2058</v>
      </c>
      <c r="G666" s="45">
        <v>9600</v>
      </c>
      <c r="H666" s="45">
        <v>57.6</v>
      </c>
    </row>
    <row r="667" spans="1:8">
      <c r="A667" s="78">
        <v>128926011103</v>
      </c>
      <c r="B667" s="1" t="s">
        <v>8</v>
      </c>
      <c r="C667" s="44" t="s">
        <v>2161</v>
      </c>
      <c r="D667" s="1" t="s">
        <v>2057</v>
      </c>
      <c r="E667" s="44" t="s">
        <v>2161</v>
      </c>
      <c r="F667" s="38" t="s">
        <v>2058</v>
      </c>
      <c r="G667" s="45">
        <v>4800</v>
      </c>
      <c r="H667" s="45">
        <v>28.8</v>
      </c>
    </row>
    <row r="668" spans="1:8">
      <c r="A668" s="78">
        <v>129498617424</v>
      </c>
      <c r="B668" s="1" t="s">
        <v>8</v>
      </c>
      <c r="C668" s="44" t="s">
        <v>2161</v>
      </c>
      <c r="D668" s="1" t="s">
        <v>2057</v>
      </c>
      <c r="E668" s="44" t="s">
        <v>2161</v>
      </c>
      <c r="F668" s="38" t="s">
        <v>2058</v>
      </c>
      <c r="G668" s="45">
        <v>38800</v>
      </c>
      <c r="H668" s="45">
        <v>232.8</v>
      </c>
    </row>
    <row r="669" spans="1:8">
      <c r="A669" s="78">
        <v>129498761266</v>
      </c>
      <c r="B669" s="1" t="s">
        <v>8</v>
      </c>
      <c r="C669" s="44" t="s">
        <v>2161</v>
      </c>
      <c r="D669" s="1" t="s">
        <v>2057</v>
      </c>
      <c r="E669" s="44" t="s">
        <v>2161</v>
      </c>
      <c r="F669" s="38" t="s">
        <v>2058</v>
      </c>
      <c r="G669" s="45">
        <v>18400</v>
      </c>
      <c r="H669" s="45">
        <v>110.4</v>
      </c>
    </row>
    <row r="670" spans="1:8">
      <c r="A670" s="78">
        <v>129499208348</v>
      </c>
      <c r="B670" s="1" t="s">
        <v>2055</v>
      </c>
      <c r="C670" s="44" t="s">
        <v>2161</v>
      </c>
      <c r="D670" s="1" t="s">
        <v>2057</v>
      </c>
      <c r="E670" s="44" t="s">
        <v>2161</v>
      </c>
      <c r="F670" s="38" t="s">
        <v>2058</v>
      </c>
      <c r="G670" s="45">
        <v>9400</v>
      </c>
      <c r="H670" s="45">
        <v>56.4</v>
      </c>
    </row>
    <row r="671" spans="1:8">
      <c r="A671" s="78">
        <v>128926832933</v>
      </c>
      <c r="B671" s="1" t="s">
        <v>2163</v>
      </c>
      <c r="C671" s="44" t="s">
        <v>2161</v>
      </c>
      <c r="D671" s="1" t="s">
        <v>2057</v>
      </c>
      <c r="E671" s="44" t="s">
        <v>2161</v>
      </c>
      <c r="F671" s="38" t="s">
        <v>2058</v>
      </c>
      <c r="G671" s="45">
        <v>1000</v>
      </c>
      <c r="H671" s="45">
        <v>6</v>
      </c>
    </row>
    <row r="672" spans="1:8">
      <c r="A672" s="78">
        <v>129499309216</v>
      </c>
      <c r="B672" s="1" t="s">
        <v>8</v>
      </c>
      <c r="C672" s="44" t="s">
        <v>2161</v>
      </c>
      <c r="D672" s="1" t="s">
        <v>2057</v>
      </c>
      <c r="E672" s="44" t="s">
        <v>2161</v>
      </c>
      <c r="F672" s="38" t="s">
        <v>2058</v>
      </c>
      <c r="G672" s="45">
        <v>9000</v>
      </c>
      <c r="H672" s="45">
        <v>54</v>
      </c>
    </row>
    <row r="673" spans="1:8">
      <c r="A673" s="78">
        <v>129489074570</v>
      </c>
      <c r="B673" s="1" t="s">
        <v>2055</v>
      </c>
      <c r="C673" s="44" t="s">
        <v>2147</v>
      </c>
      <c r="D673" s="1" t="s">
        <v>2057</v>
      </c>
      <c r="E673" s="44" t="s">
        <v>2147</v>
      </c>
      <c r="F673" s="38" t="s">
        <v>2058</v>
      </c>
      <c r="G673" s="45">
        <v>30700</v>
      </c>
      <c r="H673" s="45">
        <v>184.2</v>
      </c>
    </row>
    <row r="674" spans="1:8">
      <c r="A674" s="78">
        <v>128927187489</v>
      </c>
      <c r="B674" s="1" t="s">
        <v>8</v>
      </c>
      <c r="C674" s="44" t="s">
        <v>2161</v>
      </c>
      <c r="D674" s="1" t="s">
        <v>2057</v>
      </c>
      <c r="E674" s="44" t="s">
        <v>2161</v>
      </c>
      <c r="F674" s="38" t="s">
        <v>2058</v>
      </c>
      <c r="G674" s="45">
        <v>167700</v>
      </c>
      <c r="H674" s="45">
        <v>1006.2</v>
      </c>
    </row>
    <row r="675" spans="1:8">
      <c r="A675" s="78">
        <v>129489255208</v>
      </c>
      <c r="B675" s="1" t="s">
        <v>2055</v>
      </c>
      <c r="C675" s="44" t="s">
        <v>2147</v>
      </c>
      <c r="D675" s="1" t="s">
        <v>2057</v>
      </c>
      <c r="E675" s="44" t="s">
        <v>2147</v>
      </c>
      <c r="F675" s="38" t="s">
        <v>2058</v>
      </c>
      <c r="G675" s="45">
        <v>36400</v>
      </c>
      <c r="H675" s="45">
        <v>218.4</v>
      </c>
    </row>
    <row r="676" spans="1:8">
      <c r="A676" s="78">
        <v>128916581093</v>
      </c>
      <c r="B676" s="1" t="s">
        <v>8</v>
      </c>
      <c r="C676" s="44" t="s">
        <v>2147</v>
      </c>
      <c r="D676" s="1" t="s">
        <v>2057</v>
      </c>
      <c r="E676" s="44" t="s">
        <v>2147</v>
      </c>
      <c r="F676" s="38" t="s">
        <v>2058</v>
      </c>
      <c r="G676" s="45">
        <v>37100</v>
      </c>
      <c r="H676" s="45">
        <v>222.6</v>
      </c>
    </row>
    <row r="677" spans="1:8">
      <c r="A677" s="78">
        <v>128916762757</v>
      </c>
      <c r="B677" s="1" t="s">
        <v>8</v>
      </c>
      <c r="C677" s="44" t="s">
        <v>2147</v>
      </c>
      <c r="D677" s="1" t="s">
        <v>2057</v>
      </c>
      <c r="E677" s="44" t="s">
        <v>2147</v>
      </c>
      <c r="F677" s="38" t="s">
        <v>2058</v>
      </c>
      <c r="G677" s="45">
        <v>5800</v>
      </c>
      <c r="H677" s="45">
        <v>34.799999999999997</v>
      </c>
    </row>
    <row r="678" spans="1:8">
      <c r="A678" s="78">
        <v>128927347565</v>
      </c>
      <c r="B678" s="1" t="s">
        <v>8</v>
      </c>
      <c r="C678" s="44" t="s">
        <v>2161</v>
      </c>
      <c r="D678" s="1" t="s">
        <v>2057</v>
      </c>
      <c r="E678" s="44" t="s">
        <v>2161</v>
      </c>
      <c r="F678" s="38" t="s">
        <v>2058</v>
      </c>
      <c r="G678" s="45">
        <v>15000</v>
      </c>
      <c r="H678" s="45">
        <v>90</v>
      </c>
    </row>
    <row r="679" spans="1:8">
      <c r="A679" s="78">
        <v>129500372322</v>
      </c>
      <c r="B679" s="1" t="s">
        <v>8</v>
      </c>
      <c r="C679" s="44" t="s">
        <v>2161</v>
      </c>
      <c r="D679" s="1" t="s">
        <v>2057</v>
      </c>
      <c r="E679" s="44" t="s">
        <v>2161</v>
      </c>
      <c r="F679" s="38" t="s">
        <v>2058</v>
      </c>
      <c r="G679" s="45">
        <v>28000</v>
      </c>
      <c r="H679" s="45">
        <v>168</v>
      </c>
    </row>
    <row r="680" spans="1:8">
      <c r="A680" s="78">
        <v>128928139243</v>
      </c>
      <c r="B680" s="1" t="s">
        <v>8</v>
      </c>
      <c r="C680" s="44" t="s">
        <v>2161</v>
      </c>
      <c r="D680" s="1" t="s">
        <v>2057</v>
      </c>
      <c r="E680" s="44" t="s">
        <v>2161</v>
      </c>
      <c r="F680" s="38" t="s">
        <v>2058</v>
      </c>
      <c r="G680" s="45">
        <v>66700</v>
      </c>
      <c r="H680" s="45">
        <v>400.2</v>
      </c>
    </row>
    <row r="681" spans="1:8">
      <c r="A681" s="78">
        <v>128917593137</v>
      </c>
      <c r="B681" s="1" t="s">
        <v>8</v>
      </c>
      <c r="C681" s="44" t="s">
        <v>2147</v>
      </c>
      <c r="D681" s="1" t="s">
        <v>2057</v>
      </c>
      <c r="E681" s="44" t="s">
        <v>2147</v>
      </c>
      <c r="F681" s="38" t="s">
        <v>2058</v>
      </c>
      <c r="G681" s="45">
        <v>95600</v>
      </c>
      <c r="H681" s="45">
        <v>573.6</v>
      </c>
    </row>
    <row r="682" spans="1:8">
      <c r="A682" s="78">
        <v>128928251957</v>
      </c>
      <c r="B682" s="1" t="s">
        <v>8</v>
      </c>
      <c r="C682" s="44" t="s">
        <v>2161</v>
      </c>
      <c r="D682" s="1" t="s">
        <v>2057</v>
      </c>
      <c r="E682" s="44" t="s">
        <v>2161</v>
      </c>
      <c r="F682" s="38" t="s">
        <v>2058</v>
      </c>
      <c r="G682" s="45">
        <v>31000</v>
      </c>
      <c r="H682" s="45">
        <v>186</v>
      </c>
    </row>
    <row r="683" spans="1:8">
      <c r="A683" s="78">
        <v>128917687725</v>
      </c>
      <c r="B683" s="1" t="s">
        <v>8</v>
      </c>
      <c r="C683" s="44" t="s">
        <v>2147</v>
      </c>
      <c r="D683" s="1" t="s">
        <v>2057</v>
      </c>
      <c r="E683" s="44" t="s">
        <v>2147</v>
      </c>
      <c r="F683" s="38" t="s">
        <v>2058</v>
      </c>
      <c r="G683" s="45">
        <v>40400</v>
      </c>
      <c r="H683" s="45">
        <v>242.4</v>
      </c>
    </row>
    <row r="684" spans="1:8">
      <c r="A684" s="78">
        <v>129500767252</v>
      </c>
      <c r="B684" s="1" t="s">
        <v>2055</v>
      </c>
      <c r="C684" s="44" t="s">
        <v>2161</v>
      </c>
      <c r="D684" s="1" t="s">
        <v>2057</v>
      </c>
      <c r="E684" s="44" t="s">
        <v>2161</v>
      </c>
      <c r="F684" s="38" t="s">
        <v>2058</v>
      </c>
      <c r="G684" s="45">
        <v>24600</v>
      </c>
      <c r="H684" s="45">
        <v>147.6</v>
      </c>
    </row>
    <row r="685" spans="1:8">
      <c r="A685" s="78">
        <v>128928488341</v>
      </c>
      <c r="B685" s="1" t="s">
        <v>8</v>
      </c>
      <c r="C685" s="44" t="s">
        <v>2161</v>
      </c>
      <c r="D685" s="1" t="s">
        <v>2057</v>
      </c>
      <c r="E685" s="44" t="s">
        <v>2161</v>
      </c>
      <c r="F685" s="38" t="s">
        <v>2058</v>
      </c>
      <c r="G685" s="45">
        <v>15000</v>
      </c>
      <c r="H685" s="45">
        <v>90</v>
      </c>
    </row>
    <row r="686" spans="1:8">
      <c r="A686" s="78">
        <v>129501096404</v>
      </c>
      <c r="B686" s="1" t="s">
        <v>8</v>
      </c>
      <c r="C686" s="44" t="s">
        <v>2161</v>
      </c>
      <c r="D686" s="1" t="s">
        <v>2057</v>
      </c>
      <c r="E686" s="44" t="s">
        <v>2161</v>
      </c>
      <c r="F686" s="38" t="s">
        <v>2058</v>
      </c>
      <c r="G686" s="45">
        <v>22600</v>
      </c>
      <c r="H686" s="45">
        <v>135.6</v>
      </c>
    </row>
    <row r="687" spans="1:8">
      <c r="A687" s="78">
        <v>128928561231</v>
      </c>
      <c r="B687" s="1" t="s">
        <v>8</v>
      </c>
      <c r="C687" s="44" t="s">
        <v>2161</v>
      </c>
      <c r="D687" s="1" t="s">
        <v>2057</v>
      </c>
      <c r="E687" s="44" t="s">
        <v>2161</v>
      </c>
      <c r="F687" s="38" t="s">
        <v>2058</v>
      </c>
      <c r="G687" s="45">
        <v>53800</v>
      </c>
      <c r="H687" s="45">
        <v>322.8</v>
      </c>
    </row>
    <row r="688" spans="1:8">
      <c r="A688" s="78">
        <v>129492088316</v>
      </c>
      <c r="B688" s="1" t="s">
        <v>8</v>
      </c>
      <c r="C688" s="44" t="s">
        <v>2147</v>
      </c>
      <c r="D688" s="1" t="s">
        <v>2057</v>
      </c>
      <c r="E688" s="44" t="s">
        <v>2147</v>
      </c>
      <c r="F688" s="38" t="s">
        <v>2058</v>
      </c>
      <c r="G688" s="45">
        <v>4800</v>
      </c>
      <c r="H688" s="45">
        <v>28.8</v>
      </c>
    </row>
    <row r="689" spans="1:8">
      <c r="A689" s="78">
        <v>129492181546</v>
      </c>
      <c r="B689" s="1" t="s">
        <v>8</v>
      </c>
      <c r="C689" s="44" t="s">
        <v>2147</v>
      </c>
      <c r="D689" s="1" t="s">
        <v>2057</v>
      </c>
      <c r="E689" s="44" t="s">
        <v>2147</v>
      </c>
      <c r="F689" s="38" t="s">
        <v>2058</v>
      </c>
      <c r="G689" s="45">
        <v>8000</v>
      </c>
      <c r="H689" s="45">
        <v>48</v>
      </c>
    </row>
    <row r="690" spans="1:8">
      <c r="A690" s="78">
        <v>129492203894</v>
      </c>
      <c r="B690" s="1" t="s">
        <v>8</v>
      </c>
      <c r="C690" s="44" t="s">
        <v>2147</v>
      </c>
      <c r="D690" s="1" t="s">
        <v>2057</v>
      </c>
      <c r="E690" s="44" t="s">
        <v>2147</v>
      </c>
      <c r="F690" s="38" t="s">
        <v>2058</v>
      </c>
      <c r="G690" s="45">
        <v>4000</v>
      </c>
      <c r="H690" s="45">
        <v>24</v>
      </c>
    </row>
    <row r="691" spans="1:8">
      <c r="A691" s="78">
        <v>129492476708</v>
      </c>
      <c r="B691" s="1" t="s">
        <v>8</v>
      </c>
      <c r="C691" s="44" t="s">
        <v>2147</v>
      </c>
      <c r="D691" s="1" t="s">
        <v>2057</v>
      </c>
      <c r="E691" s="44" t="s">
        <v>2147</v>
      </c>
      <c r="F691" s="38" t="s">
        <v>2058</v>
      </c>
      <c r="G691" s="45">
        <v>4600</v>
      </c>
      <c r="H691" s="45">
        <v>27.6</v>
      </c>
    </row>
    <row r="692" spans="1:8">
      <c r="A692" s="78">
        <v>129492602114</v>
      </c>
      <c r="B692" s="1" t="s">
        <v>2055</v>
      </c>
      <c r="C692" s="44" t="s">
        <v>2147</v>
      </c>
      <c r="D692" s="1" t="s">
        <v>2057</v>
      </c>
      <c r="E692" s="44" t="s">
        <v>2147</v>
      </c>
      <c r="F692" s="38" t="s">
        <v>2058</v>
      </c>
      <c r="G692" s="45">
        <v>14700</v>
      </c>
      <c r="H692" s="45">
        <v>88.2</v>
      </c>
    </row>
    <row r="693" spans="1:8">
      <c r="A693" s="78">
        <v>129493185740</v>
      </c>
      <c r="B693" s="1" t="s">
        <v>8</v>
      </c>
      <c r="C693" s="44" t="s">
        <v>2147</v>
      </c>
      <c r="D693" s="1" t="s">
        <v>2057</v>
      </c>
      <c r="E693" s="44" t="s">
        <v>2147</v>
      </c>
      <c r="F693" s="38" t="s">
        <v>2058</v>
      </c>
      <c r="G693" s="45">
        <v>12800</v>
      </c>
      <c r="H693" s="45">
        <v>76.8</v>
      </c>
    </row>
    <row r="694" spans="1:8">
      <c r="A694" s="78">
        <v>128921310181</v>
      </c>
      <c r="B694" s="1" t="s">
        <v>2055</v>
      </c>
      <c r="C694" s="44" t="s">
        <v>2147</v>
      </c>
      <c r="D694" s="1" t="s">
        <v>2057</v>
      </c>
      <c r="E694" s="44" t="s">
        <v>2161</v>
      </c>
      <c r="F694" s="38" t="s">
        <v>2058</v>
      </c>
      <c r="G694" s="45">
        <v>4900</v>
      </c>
      <c r="H694" s="45">
        <v>29.4</v>
      </c>
    </row>
    <row r="695" spans="1:8">
      <c r="A695" s="78">
        <v>128922474729</v>
      </c>
      <c r="B695" s="1" t="s">
        <v>2055</v>
      </c>
      <c r="C695" s="44" t="s">
        <v>2147</v>
      </c>
      <c r="D695" s="1" t="s">
        <v>2057</v>
      </c>
      <c r="E695" s="44" t="s">
        <v>2161</v>
      </c>
      <c r="F695" s="38" t="s">
        <v>2058</v>
      </c>
      <c r="G695" s="45">
        <v>69800</v>
      </c>
      <c r="H695" s="45">
        <v>418.8</v>
      </c>
    </row>
    <row r="696" spans="1:8">
      <c r="A696" s="78">
        <v>129495024752</v>
      </c>
      <c r="B696" s="1" t="s">
        <v>8</v>
      </c>
      <c r="C696" s="44" t="s">
        <v>2147</v>
      </c>
      <c r="D696" s="1" t="s">
        <v>2057</v>
      </c>
      <c r="E696" s="44" t="s">
        <v>2161</v>
      </c>
      <c r="F696" s="38" t="s">
        <v>2058</v>
      </c>
      <c r="G696" s="45">
        <v>94000</v>
      </c>
      <c r="H696" s="45">
        <v>564</v>
      </c>
    </row>
    <row r="697" spans="1:8">
      <c r="A697" s="78">
        <v>128922682971</v>
      </c>
      <c r="B697" s="1" t="s">
        <v>2055</v>
      </c>
      <c r="C697" s="44" t="s">
        <v>2147</v>
      </c>
      <c r="D697" s="1" t="s">
        <v>2057</v>
      </c>
      <c r="E697" s="44" t="s">
        <v>2161</v>
      </c>
      <c r="F697" s="38" t="s">
        <v>2058</v>
      </c>
      <c r="G697" s="45">
        <v>34700</v>
      </c>
      <c r="H697" s="45">
        <v>208.2</v>
      </c>
    </row>
    <row r="698" spans="1:8">
      <c r="A698" s="78">
        <v>129495380726</v>
      </c>
      <c r="B698" s="1" t="s">
        <v>8</v>
      </c>
      <c r="C698" s="44" t="s">
        <v>2147</v>
      </c>
      <c r="D698" s="1" t="s">
        <v>2057</v>
      </c>
      <c r="E698" s="44" t="s">
        <v>2161</v>
      </c>
      <c r="F698" s="38" t="s">
        <v>2058</v>
      </c>
      <c r="G698" s="45">
        <v>4200</v>
      </c>
      <c r="H698" s="45">
        <v>25.2</v>
      </c>
    </row>
    <row r="699" spans="1:8">
      <c r="A699" s="78">
        <v>129495617158</v>
      </c>
      <c r="B699" s="1" t="s">
        <v>8</v>
      </c>
      <c r="C699" s="44" t="s">
        <v>2147</v>
      </c>
      <c r="D699" s="1" t="s">
        <v>2057</v>
      </c>
      <c r="E699" s="44" t="s">
        <v>2161</v>
      </c>
      <c r="F699" s="38" t="s">
        <v>2058</v>
      </c>
      <c r="G699" s="45">
        <v>73000</v>
      </c>
      <c r="H699" s="45">
        <v>438</v>
      </c>
    </row>
    <row r="700" spans="1:8">
      <c r="A700" s="78">
        <v>129495780212</v>
      </c>
      <c r="B700" s="1" t="s">
        <v>8</v>
      </c>
      <c r="C700" s="44" t="s">
        <v>2147</v>
      </c>
      <c r="D700" s="1" t="s">
        <v>2057</v>
      </c>
      <c r="E700" s="44" t="s">
        <v>2161</v>
      </c>
      <c r="F700" s="38" t="s">
        <v>2058</v>
      </c>
      <c r="G700" s="45">
        <v>10000</v>
      </c>
      <c r="H700" s="45">
        <v>60</v>
      </c>
    </row>
    <row r="701" spans="1:8">
      <c r="A701" s="78" t="s">
        <v>2165</v>
      </c>
      <c r="B701" s="1" t="s">
        <v>2164</v>
      </c>
      <c r="C701" s="44" t="s">
        <v>2147</v>
      </c>
      <c r="D701" s="1" t="s">
        <v>2057</v>
      </c>
      <c r="E701" s="44" t="s">
        <v>2161</v>
      </c>
      <c r="F701" s="38" t="s">
        <v>2058</v>
      </c>
      <c r="G701" s="45">
        <v>29870.47</v>
      </c>
      <c r="H701" s="45">
        <v>179.22</v>
      </c>
    </row>
    <row r="702" spans="1:8">
      <c r="A702" s="78">
        <v>129496190454</v>
      </c>
      <c r="B702" s="1" t="s">
        <v>8</v>
      </c>
      <c r="C702" s="44" t="s">
        <v>2147</v>
      </c>
      <c r="D702" s="1" t="s">
        <v>2057</v>
      </c>
      <c r="E702" s="44" t="s">
        <v>2161</v>
      </c>
      <c r="F702" s="38" t="s">
        <v>2058</v>
      </c>
      <c r="G702" s="45">
        <v>18500</v>
      </c>
      <c r="H702" s="45">
        <v>111</v>
      </c>
    </row>
    <row r="703" spans="1:8">
      <c r="A703" s="78">
        <v>129496252230</v>
      </c>
      <c r="B703" s="1" t="s">
        <v>8</v>
      </c>
      <c r="C703" s="44" t="s">
        <v>2147</v>
      </c>
      <c r="D703" s="1" t="s">
        <v>2057</v>
      </c>
      <c r="E703" s="44" t="s">
        <v>2161</v>
      </c>
      <c r="F703" s="38" t="s">
        <v>2058</v>
      </c>
      <c r="G703" s="45">
        <v>13600</v>
      </c>
      <c r="H703" s="45">
        <v>81.599999999999994</v>
      </c>
    </row>
    <row r="704" spans="1:8">
      <c r="A704" s="78">
        <v>128923886243</v>
      </c>
      <c r="B704" s="1" t="s">
        <v>8</v>
      </c>
      <c r="C704" s="44" t="s">
        <v>2147</v>
      </c>
      <c r="D704" s="1" t="s">
        <v>2057</v>
      </c>
      <c r="E704" s="44" t="s">
        <v>2161</v>
      </c>
      <c r="F704" s="38" t="s">
        <v>2058</v>
      </c>
      <c r="G704" s="45">
        <v>42200</v>
      </c>
      <c r="H704" s="45">
        <v>253.2</v>
      </c>
    </row>
    <row r="705" spans="1:8">
      <c r="A705" s="78">
        <v>128923983439</v>
      </c>
      <c r="B705" s="1" t="s">
        <v>2055</v>
      </c>
      <c r="C705" s="44" t="s">
        <v>2147</v>
      </c>
      <c r="D705" s="1" t="s">
        <v>2057</v>
      </c>
      <c r="E705" s="44" t="s">
        <v>2161</v>
      </c>
      <c r="F705" s="38" t="s">
        <v>2058</v>
      </c>
      <c r="G705" s="45">
        <v>51900</v>
      </c>
      <c r="H705" s="45">
        <v>311.39999999999998</v>
      </c>
    </row>
    <row r="706" spans="1:8">
      <c r="A706" s="78">
        <v>128924745117</v>
      </c>
      <c r="B706" s="1" t="s">
        <v>8</v>
      </c>
      <c r="C706" s="44" t="s">
        <v>2161</v>
      </c>
      <c r="D706" s="1" t="s">
        <v>2057</v>
      </c>
      <c r="E706" s="44" t="s">
        <v>2161</v>
      </c>
      <c r="F706" s="38" t="s">
        <v>2058</v>
      </c>
      <c r="G706" s="45">
        <v>13000</v>
      </c>
      <c r="H706" s="45">
        <v>78</v>
      </c>
    </row>
    <row r="707" spans="1:8">
      <c r="A707" s="78">
        <v>129497682076</v>
      </c>
      <c r="B707" s="1" t="s">
        <v>8</v>
      </c>
      <c r="C707" s="44" t="s">
        <v>2161</v>
      </c>
      <c r="D707" s="1" t="s">
        <v>2057</v>
      </c>
      <c r="E707" s="44" t="s">
        <v>2161</v>
      </c>
      <c r="F707" s="38" t="s">
        <v>2058</v>
      </c>
      <c r="G707" s="45">
        <v>18600</v>
      </c>
      <c r="H707" s="45">
        <v>111.6</v>
      </c>
    </row>
    <row r="708" spans="1:8">
      <c r="A708" s="78">
        <v>128925850887</v>
      </c>
      <c r="B708" s="1" t="s">
        <v>8</v>
      </c>
      <c r="C708" s="44" t="s">
        <v>2161</v>
      </c>
      <c r="D708" s="1" t="s">
        <v>2057</v>
      </c>
      <c r="E708" s="44" t="s">
        <v>2161</v>
      </c>
      <c r="F708" s="38" t="s">
        <v>2058</v>
      </c>
      <c r="G708" s="45">
        <v>66200</v>
      </c>
      <c r="H708" s="45">
        <v>397.2</v>
      </c>
    </row>
    <row r="709" spans="1:8">
      <c r="A709" s="78">
        <v>129498298984</v>
      </c>
      <c r="B709" s="1" t="s">
        <v>2166</v>
      </c>
      <c r="C709" s="44" t="s">
        <v>2161</v>
      </c>
      <c r="D709" s="1" t="s">
        <v>2057</v>
      </c>
      <c r="E709" s="44" t="s">
        <v>2161</v>
      </c>
      <c r="F709" s="38" t="s">
        <v>2058</v>
      </c>
      <c r="G709" s="45">
        <v>6620</v>
      </c>
      <c r="H709" s="45">
        <v>39.72</v>
      </c>
    </row>
    <row r="710" spans="1:8">
      <c r="A710" s="78">
        <v>129498257936</v>
      </c>
      <c r="B710" s="1" t="s">
        <v>8</v>
      </c>
      <c r="C710" s="44" t="s">
        <v>2161</v>
      </c>
      <c r="D710" s="1" t="s">
        <v>2057</v>
      </c>
      <c r="E710" s="44" t="s">
        <v>2161</v>
      </c>
      <c r="F710" s="38" t="s">
        <v>2058</v>
      </c>
      <c r="G710" s="45">
        <v>9400</v>
      </c>
      <c r="H710" s="45">
        <v>56.4</v>
      </c>
    </row>
    <row r="711" spans="1:8">
      <c r="A711" s="78">
        <v>129499008366</v>
      </c>
      <c r="B711" s="1" t="s">
        <v>8</v>
      </c>
      <c r="C711" s="44" t="s">
        <v>2161</v>
      </c>
      <c r="D711" s="1" t="s">
        <v>2057</v>
      </c>
      <c r="E711" s="44" t="s">
        <v>2161</v>
      </c>
      <c r="F711" s="38" t="s">
        <v>2058</v>
      </c>
      <c r="G711" s="45">
        <v>4200</v>
      </c>
      <c r="H711" s="45">
        <v>25.2</v>
      </c>
    </row>
    <row r="712" spans="1:8">
      <c r="A712" s="78">
        <v>129498994698</v>
      </c>
      <c r="B712" s="1" t="s">
        <v>2055</v>
      </c>
      <c r="C712" s="44" t="s">
        <v>2161</v>
      </c>
      <c r="D712" s="1" t="s">
        <v>2057</v>
      </c>
      <c r="E712" s="44" t="s">
        <v>2161</v>
      </c>
      <c r="F712" s="38" t="s">
        <v>2058</v>
      </c>
      <c r="G712" s="45">
        <v>85700</v>
      </c>
      <c r="H712" s="45">
        <v>514.20000000000005</v>
      </c>
    </row>
    <row r="713" spans="1:8">
      <c r="A713" s="78">
        <v>128926303123</v>
      </c>
      <c r="B713" s="1" t="s">
        <v>2167</v>
      </c>
      <c r="C713" s="44" t="s">
        <v>2161</v>
      </c>
      <c r="D713" s="1" t="s">
        <v>2057</v>
      </c>
      <c r="E713" s="44" t="s">
        <v>2161</v>
      </c>
      <c r="F713" s="38" t="s">
        <v>2058</v>
      </c>
      <c r="G713" s="45">
        <v>210</v>
      </c>
      <c r="H713" s="45">
        <v>1.26</v>
      </c>
    </row>
    <row r="714" spans="1:8">
      <c r="A714" s="78">
        <v>129499227386</v>
      </c>
      <c r="B714" s="1" t="s">
        <v>8</v>
      </c>
      <c r="C714" s="44" t="s">
        <v>2161</v>
      </c>
      <c r="D714" s="1" t="s">
        <v>2057</v>
      </c>
      <c r="E714" s="44" t="s">
        <v>2161</v>
      </c>
      <c r="F714" s="38" t="s">
        <v>2058</v>
      </c>
      <c r="G714" s="45">
        <v>43500</v>
      </c>
      <c r="H714" s="45">
        <v>261</v>
      </c>
    </row>
    <row r="715" spans="1:8">
      <c r="A715" s="78">
        <v>129499287010</v>
      </c>
      <c r="B715" s="1" t="s">
        <v>8</v>
      </c>
      <c r="C715" s="44" t="s">
        <v>2161</v>
      </c>
      <c r="D715" s="1" t="s">
        <v>2057</v>
      </c>
      <c r="E715" s="44" t="s">
        <v>2161</v>
      </c>
      <c r="F715" s="38" t="s">
        <v>2058</v>
      </c>
      <c r="G715" s="45">
        <v>10000</v>
      </c>
      <c r="H715" s="45">
        <v>60</v>
      </c>
    </row>
    <row r="716" spans="1:8">
      <c r="A716" s="78">
        <v>128927240081</v>
      </c>
      <c r="B716" s="1" t="s">
        <v>8</v>
      </c>
      <c r="C716" s="44" t="s">
        <v>2161</v>
      </c>
      <c r="D716" s="1" t="s">
        <v>2057</v>
      </c>
      <c r="E716" s="44" t="s">
        <v>2161</v>
      </c>
      <c r="F716" s="38" t="s">
        <v>2058</v>
      </c>
      <c r="G716" s="45">
        <v>7800</v>
      </c>
      <c r="H716" s="45">
        <v>46.8</v>
      </c>
    </row>
    <row r="717" spans="1:8">
      <c r="A717" s="78">
        <v>129500491858</v>
      </c>
      <c r="B717" s="1" t="s">
        <v>8</v>
      </c>
      <c r="C717" s="44" t="s">
        <v>2161</v>
      </c>
      <c r="D717" s="1" t="s">
        <v>2057</v>
      </c>
      <c r="E717" s="44" t="s">
        <v>2161</v>
      </c>
      <c r="F717" s="38" t="s">
        <v>2058</v>
      </c>
      <c r="G717" s="45">
        <v>75600</v>
      </c>
      <c r="H717" s="45">
        <v>453.6</v>
      </c>
    </row>
    <row r="718" spans="1:8">
      <c r="A718" s="78">
        <v>129500992922</v>
      </c>
      <c r="B718" s="1" t="s">
        <v>8</v>
      </c>
      <c r="C718" s="44" t="s">
        <v>2161</v>
      </c>
      <c r="D718" s="1" t="s">
        <v>2057</v>
      </c>
      <c r="E718" s="44" t="s">
        <v>2161</v>
      </c>
      <c r="F718" s="38" t="s">
        <v>2058</v>
      </c>
      <c r="G718" s="45">
        <v>14400</v>
      </c>
      <c r="H718" s="45">
        <v>86.4</v>
      </c>
    </row>
    <row r="719" spans="1:8">
      <c r="A719" s="78">
        <v>129500923562</v>
      </c>
      <c r="B719" s="1" t="s">
        <v>8</v>
      </c>
      <c r="C719" s="44" t="s">
        <v>2161</v>
      </c>
      <c r="D719" s="1" t="s">
        <v>2057</v>
      </c>
      <c r="E719" s="44" t="s">
        <v>2161</v>
      </c>
      <c r="F719" s="38" t="s">
        <v>2058</v>
      </c>
      <c r="G719" s="45">
        <v>10600</v>
      </c>
      <c r="H719" s="45">
        <v>63.6</v>
      </c>
    </row>
    <row r="720" spans="1:8">
      <c r="A720" s="78">
        <v>129586128048</v>
      </c>
      <c r="B720" s="1" t="s">
        <v>8</v>
      </c>
      <c r="C720" s="44" t="s">
        <v>2161</v>
      </c>
      <c r="D720" s="1" t="s">
        <v>2057</v>
      </c>
      <c r="E720" s="44" t="s">
        <v>2161</v>
      </c>
      <c r="F720" s="38" t="s">
        <v>2058</v>
      </c>
      <c r="G720" s="45">
        <v>11600</v>
      </c>
      <c r="H720" s="45">
        <v>69.599999999999994</v>
      </c>
    </row>
    <row r="721" spans="1:8">
      <c r="A721" s="78">
        <v>129017128399</v>
      </c>
      <c r="B721" s="1" t="s">
        <v>8</v>
      </c>
      <c r="C721" s="44" t="s">
        <v>2161</v>
      </c>
      <c r="D721" s="1" t="s">
        <v>2057</v>
      </c>
      <c r="E721" s="44" t="s">
        <v>2161</v>
      </c>
      <c r="F721" s="38" t="s">
        <v>2058</v>
      </c>
      <c r="G721" s="45">
        <v>9600</v>
      </c>
      <c r="H721" s="45">
        <v>57.6</v>
      </c>
    </row>
    <row r="722" spans="1:8">
      <c r="A722" s="78">
        <v>129018427613</v>
      </c>
      <c r="B722" s="1" t="s">
        <v>2055</v>
      </c>
      <c r="C722" s="44" t="s">
        <v>2161</v>
      </c>
      <c r="D722" s="1" t="s">
        <v>2057</v>
      </c>
      <c r="E722" s="44" t="s">
        <v>2161</v>
      </c>
      <c r="F722" s="38" t="s">
        <v>2058</v>
      </c>
      <c r="G722" s="45">
        <v>9700</v>
      </c>
      <c r="H722" s="45">
        <v>58.2</v>
      </c>
    </row>
    <row r="723" spans="1:8">
      <c r="A723" s="78">
        <v>129593690834</v>
      </c>
      <c r="B723" s="1" t="s">
        <v>2055</v>
      </c>
      <c r="C723" s="44" t="s">
        <v>2161</v>
      </c>
      <c r="D723" s="1" t="s">
        <v>2057</v>
      </c>
      <c r="E723" s="44" t="s">
        <v>2161</v>
      </c>
      <c r="F723" s="38" t="s">
        <v>2058</v>
      </c>
      <c r="G723" s="45">
        <v>9700</v>
      </c>
      <c r="H723" s="45">
        <v>58.2</v>
      </c>
    </row>
    <row r="724" spans="1:8">
      <c r="A724" s="78">
        <v>129594827970</v>
      </c>
      <c r="B724" s="1" t="s">
        <v>8</v>
      </c>
      <c r="C724" s="44" t="s">
        <v>2161</v>
      </c>
      <c r="D724" s="1" t="s">
        <v>2057</v>
      </c>
      <c r="E724" s="44" t="s">
        <v>2161</v>
      </c>
      <c r="F724" s="38" t="s">
        <v>2058</v>
      </c>
      <c r="G724" s="45">
        <v>21700</v>
      </c>
      <c r="H724" s="45">
        <v>130.19999999999999</v>
      </c>
    </row>
    <row r="725" spans="1:8">
      <c r="A725" s="78">
        <v>129023931579</v>
      </c>
      <c r="B725" s="1" t="s">
        <v>2055</v>
      </c>
      <c r="C725" s="44" t="s">
        <v>2161</v>
      </c>
      <c r="D725" s="1" t="s">
        <v>2057</v>
      </c>
      <c r="E725" s="44" t="s">
        <v>2161</v>
      </c>
      <c r="F725" s="38" t="s">
        <v>2058</v>
      </c>
      <c r="G725" s="45">
        <v>9800</v>
      </c>
      <c r="H725" s="45">
        <v>58.8</v>
      </c>
    </row>
    <row r="726" spans="1:8">
      <c r="A726" s="78">
        <v>129025880623</v>
      </c>
      <c r="B726" s="1" t="s">
        <v>2055</v>
      </c>
      <c r="C726" s="44" t="s">
        <v>2161</v>
      </c>
      <c r="D726" s="1" t="s">
        <v>2057</v>
      </c>
      <c r="E726" s="44" t="s">
        <v>2161</v>
      </c>
      <c r="F726" s="38" t="s">
        <v>2058</v>
      </c>
      <c r="G726" s="45">
        <v>8000</v>
      </c>
      <c r="H726" s="45">
        <v>48</v>
      </c>
    </row>
    <row r="727" spans="1:8">
      <c r="A727" s="78">
        <v>129599239718</v>
      </c>
      <c r="B727" s="1" t="s">
        <v>2168</v>
      </c>
      <c r="C727" s="44" t="s">
        <v>2161</v>
      </c>
      <c r="D727" s="1" t="s">
        <v>2057</v>
      </c>
      <c r="E727" s="44" t="s">
        <v>2161</v>
      </c>
      <c r="F727" s="38" t="s">
        <v>2058</v>
      </c>
      <c r="G727" s="45">
        <v>12150</v>
      </c>
      <c r="H727" s="45">
        <v>72.900000000000006</v>
      </c>
    </row>
    <row r="728" spans="1:8">
      <c r="A728" s="78">
        <v>129599378422</v>
      </c>
      <c r="B728" s="1" t="s">
        <v>8</v>
      </c>
      <c r="C728" s="44" t="s">
        <v>2161</v>
      </c>
      <c r="D728" s="1" t="s">
        <v>2057</v>
      </c>
      <c r="E728" s="44" t="s">
        <v>2161</v>
      </c>
      <c r="F728" s="38" t="s">
        <v>2058</v>
      </c>
      <c r="G728" s="45">
        <v>81000</v>
      </c>
      <c r="H728" s="45">
        <v>486</v>
      </c>
    </row>
    <row r="729" spans="1:8">
      <c r="A729" s="78">
        <v>129026510653</v>
      </c>
      <c r="B729" s="1" t="s">
        <v>2169</v>
      </c>
      <c r="C729" s="44" t="s">
        <v>2161</v>
      </c>
      <c r="D729" s="1" t="s">
        <v>2057</v>
      </c>
      <c r="E729" s="44" t="s">
        <v>2161</v>
      </c>
      <c r="F729" s="38" t="s">
        <v>2058</v>
      </c>
      <c r="G729" s="45">
        <v>1710</v>
      </c>
      <c r="H729" s="45">
        <v>10.26</v>
      </c>
    </row>
    <row r="730" spans="1:8">
      <c r="A730" s="78">
        <v>129026897081</v>
      </c>
      <c r="B730" s="1" t="s">
        <v>8</v>
      </c>
      <c r="C730" s="44" t="s">
        <v>2161</v>
      </c>
      <c r="D730" s="1" t="s">
        <v>2057</v>
      </c>
      <c r="E730" s="44" t="s">
        <v>2161</v>
      </c>
      <c r="F730" s="38" t="s">
        <v>2058</v>
      </c>
      <c r="G730" s="45">
        <v>21800</v>
      </c>
      <c r="H730" s="45">
        <v>130.80000000000001</v>
      </c>
    </row>
    <row r="731" spans="1:8">
      <c r="A731" s="78">
        <v>129027124435</v>
      </c>
      <c r="B731" s="1" t="s">
        <v>2055</v>
      </c>
      <c r="C731" s="44" t="s">
        <v>2161</v>
      </c>
      <c r="D731" s="1" t="s">
        <v>2057</v>
      </c>
      <c r="E731" s="44" t="s">
        <v>2161</v>
      </c>
      <c r="F731" s="38" t="s">
        <v>2058</v>
      </c>
      <c r="G731" s="45">
        <v>14600</v>
      </c>
      <c r="H731" s="45">
        <v>87.6</v>
      </c>
    </row>
    <row r="732" spans="1:8">
      <c r="A732" s="78">
        <v>129028884505</v>
      </c>
      <c r="B732" s="1" t="s">
        <v>2055</v>
      </c>
      <c r="C732" s="44" t="s">
        <v>2161</v>
      </c>
      <c r="D732" s="1" t="s">
        <v>2057</v>
      </c>
      <c r="E732" s="44" t="s">
        <v>2161</v>
      </c>
      <c r="F732" s="38" t="s">
        <v>2058</v>
      </c>
      <c r="G732" s="45">
        <v>9600</v>
      </c>
      <c r="H732" s="45">
        <v>57.6</v>
      </c>
    </row>
    <row r="733" spans="1:8">
      <c r="A733" s="78">
        <v>129029037517</v>
      </c>
      <c r="B733" s="1" t="s">
        <v>8</v>
      </c>
      <c r="C733" s="44" t="s">
        <v>2161</v>
      </c>
      <c r="D733" s="1" t="s">
        <v>2057</v>
      </c>
      <c r="E733" s="44" t="s">
        <v>2161</v>
      </c>
      <c r="F733" s="38" t="s">
        <v>2058</v>
      </c>
      <c r="G733" s="45">
        <v>20700</v>
      </c>
      <c r="H733" s="45">
        <v>124.2</v>
      </c>
    </row>
    <row r="734" spans="1:8">
      <c r="A734" s="78">
        <v>129602058662</v>
      </c>
      <c r="B734" s="1" t="s">
        <v>8</v>
      </c>
      <c r="C734" s="44" t="s">
        <v>2161</v>
      </c>
      <c r="D734" s="1" t="s">
        <v>2057</v>
      </c>
      <c r="E734" s="44" t="s">
        <v>2161</v>
      </c>
      <c r="F734" s="38" t="s">
        <v>2058</v>
      </c>
      <c r="G734" s="45">
        <v>12400</v>
      </c>
      <c r="H734" s="45">
        <v>74.400000000000006</v>
      </c>
    </row>
    <row r="735" spans="1:8">
      <c r="A735" s="78">
        <v>129029166013</v>
      </c>
      <c r="B735" s="1" t="s">
        <v>8</v>
      </c>
      <c r="C735" s="44" t="s">
        <v>2161</v>
      </c>
      <c r="D735" s="1" t="s">
        <v>2057</v>
      </c>
      <c r="E735" s="44" t="s">
        <v>2161</v>
      </c>
      <c r="F735" s="38" t="s">
        <v>2058</v>
      </c>
      <c r="G735" s="45">
        <v>9600</v>
      </c>
      <c r="H735" s="45">
        <v>57.6</v>
      </c>
    </row>
    <row r="736" spans="1:8">
      <c r="A736" s="78">
        <v>129030713857</v>
      </c>
      <c r="B736" s="1" t="s">
        <v>8</v>
      </c>
      <c r="C736" s="44" t="s">
        <v>2161</v>
      </c>
      <c r="D736" s="1" t="s">
        <v>2057</v>
      </c>
      <c r="E736" s="44" t="s">
        <v>2161</v>
      </c>
      <c r="F736" s="38" t="s">
        <v>2058</v>
      </c>
      <c r="G736" s="45">
        <v>24700</v>
      </c>
      <c r="H736" s="45">
        <v>148.19999999999999</v>
      </c>
    </row>
    <row r="737" spans="1:8">
      <c r="A737" s="78">
        <v>129592679060</v>
      </c>
      <c r="B737" s="1" t="s">
        <v>8</v>
      </c>
      <c r="C737" s="44" t="s">
        <v>2161</v>
      </c>
      <c r="D737" s="1" t="s">
        <v>2057</v>
      </c>
      <c r="E737" s="44" t="s">
        <v>2161</v>
      </c>
      <c r="F737" s="38" t="s">
        <v>2058</v>
      </c>
      <c r="G737" s="45">
        <v>4800</v>
      </c>
      <c r="H737" s="45">
        <v>28.8</v>
      </c>
    </row>
    <row r="738" spans="1:8">
      <c r="A738" s="78">
        <v>129031118031</v>
      </c>
      <c r="B738" s="1" t="s">
        <v>8</v>
      </c>
      <c r="C738" s="44" t="s">
        <v>2161</v>
      </c>
      <c r="D738" s="1" t="s">
        <v>2057</v>
      </c>
      <c r="E738" s="44" t="s">
        <v>2161</v>
      </c>
      <c r="F738" s="38" t="s">
        <v>2058</v>
      </c>
      <c r="G738" s="45">
        <v>19400</v>
      </c>
      <c r="H738" s="45">
        <v>116.4</v>
      </c>
    </row>
    <row r="739" spans="1:8">
      <c r="A739" s="78">
        <v>129031186867</v>
      </c>
      <c r="B739" s="1" t="s">
        <v>2055</v>
      </c>
      <c r="C739" s="44" t="s">
        <v>2161</v>
      </c>
      <c r="D739" s="1" t="s">
        <v>2057</v>
      </c>
      <c r="E739" s="44" t="s">
        <v>2161</v>
      </c>
      <c r="F739" s="38" t="s">
        <v>2058</v>
      </c>
      <c r="G739" s="45">
        <v>58800</v>
      </c>
      <c r="H739" s="45">
        <v>352.8</v>
      </c>
    </row>
    <row r="740" spans="1:8">
      <c r="A740" s="78">
        <v>129606428966</v>
      </c>
      <c r="B740" s="1" t="s">
        <v>8</v>
      </c>
      <c r="C740" s="44" t="s">
        <v>2161</v>
      </c>
      <c r="D740" s="1" t="s">
        <v>2057</v>
      </c>
      <c r="E740" s="44" t="s">
        <v>2161</v>
      </c>
      <c r="F740" s="38" t="s">
        <v>2058</v>
      </c>
      <c r="G740" s="45">
        <v>105000</v>
      </c>
      <c r="H740" s="45">
        <v>630</v>
      </c>
    </row>
    <row r="741" spans="1:8">
      <c r="A741" s="78">
        <v>129022677169</v>
      </c>
      <c r="B741" s="1" t="s">
        <v>8</v>
      </c>
      <c r="C741" s="44" t="s">
        <v>2161</v>
      </c>
      <c r="D741" s="1" t="s">
        <v>2057</v>
      </c>
      <c r="E741" s="44" t="s">
        <v>2161</v>
      </c>
      <c r="F741" s="38" t="s">
        <v>2058</v>
      </c>
      <c r="G741" s="45">
        <v>19200</v>
      </c>
      <c r="H741" s="45">
        <v>115.2</v>
      </c>
    </row>
    <row r="742" spans="1:8">
      <c r="A742" s="78">
        <v>129034274459</v>
      </c>
      <c r="B742" s="1" t="s">
        <v>8</v>
      </c>
      <c r="C742" s="44" t="s">
        <v>2161</v>
      </c>
      <c r="D742" s="1" t="s">
        <v>2057</v>
      </c>
      <c r="E742" s="44" t="s">
        <v>2161</v>
      </c>
      <c r="F742" s="38" t="s">
        <v>2058</v>
      </c>
      <c r="G742" s="45">
        <v>61400</v>
      </c>
      <c r="H742" s="45">
        <v>368.4</v>
      </c>
    </row>
    <row r="743" spans="1:8">
      <c r="A743" s="78">
        <v>129607232380</v>
      </c>
      <c r="B743" s="1" t="s">
        <v>8</v>
      </c>
      <c r="C743" s="44" t="s">
        <v>2161</v>
      </c>
      <c r="D743" s="1" t="s">
        <v>2057</v>
      </c>
      <c r="E743" s="44" t="s">
        <v>2161</v>
      </c>
      <c r="F743" s="38" t="s">
        <v>2058</v>
      </c>
      <c r="G743" s="45">
        <v>8200</v>
      </c>
      <c r="H743" s="45">
        <v>49.2</v>
      </c>
    </row>
    <row r="744" spans="1:8">
      <c r="A744" s="78">
        <v>129596975966</v>
      </c>
      <c r="B744" s="1" t="s">
        <v>2055</v>
      </c>
      <c r="C744" s="44" t="s">
        <v>2161</v>
      </c>
      <c r="D744" s="1" t="s">
        <v>2057</v>
      </c>
      <c r="E744" s="44" t="s">
        <v>2161</v>
      </c>
      <c r="F744" s="38" t="s">
        <v>2058</v>
      </c>
      <c r="G744" s="45">
        <v>38300</v>
      </c>
      <c r="H744" s="45">
        <v>229.8</v>
      </c>
    </row>
    <row r="745" spans="1:8">
      <c r="A745" s="78">
        <v>129608485214</v>
      </c>
      <c r="B745" s="1" t="s">
        <v>2055</v>
      </c>
      <c r="C745" s="44" t="s">
        <v>2161</v>
      </c>
      <c r="D745" s="1" t="s">
        <v>2057</v>
      </c>
      <c r="E745" s="44" t="s">
        <v>2161</v>
      </c>
      <c r="F745" s="38" t="s">
        <v>2058</v>
      </c>
      <c r="G745" s="45">
        <v>74400</v>
      </c>
      <c r="H745" s="45">
        <v>446.4</v>
      </c>
    </row>
    <row r="746" spans="1:8">
      <c r="A746" s="78">
        <v>129024231633</v>
      </c>
      <c r="B746" s="1" t="s">
        <v>2055</v>
      </c>
      <c r="C746" s="44" t="s">
        <v>2161</v>
      </c>
      <c r="D746" s="1" t="s">
        <v>2057</v>
      </c>
      <c r="E746" s="44" t="s">
        <v>2161</v>
      </c>
      <c r="F746" s="38" t="s">
        <v>2058</v>
      </c>
      <c r="G746" s="45">
        <v>5900</v>
      </c>
      <c r="H746" s="45">
        <v>35.4</v>
      </c>
    </row>
    <row r="747" spans="1:8">
      <c r="A747" s="78">
        <v>129035729183</v>
      </c>
      <c r="B747" s="1" t="s">
        <v>8</v>
      </c>
      <c r="C747" s="44" t="s">
        <v>2161</v>
      </c>
      <c r="D747" s="1" t="s">
        <v>2057</v>
      </c>
      <c r="E747" s="44" t="s">
        <v>2161</v>
      </c>
      <c r="F747" s="38" t="s">
        <v>2058</v>
      </c>
      <c r="G747" s="45">
        <v>9800</v>
      </c>
      <c r="H747" s="45">
        <v>58.8</v>
      </c>
    </row>
    <row r="748" spans="1:8">
      <c r="A748" s="78">
        <v>129036090355</v>
      </c>
      <c r="B748" s="1" t="s">
        <v>8</v>
      </c>
      <c r="C748" s="44" t="s">
        <v>2161</v>
      </c>
      <c r="D748" s="1" t="s">
        <v>2057</v>
      </c>
      <c r="E748" s="44" t="s">
        <v>2161</v>
      </c>
      <c r="F748" s="38" t="s">
        <v>2058</v>
      </c>
      <c r="G748" s="45">
        <v>5000</v>
      </c>
      <c r="H748" s="45">
        <v>30</v>
      </c>
    </row>
    <row r="749" spans="1:8">
      <c r="A749" s="78">
        <v>129608793634</v>
      </c>
      <c r="B749" s="1" t="s">
        <v>2170</v>
      </c>
      <c r="C749" s="44" t="s">
        <v>2161</v>
      </c>
      <c r="D749" s="1" t="s">
        <v>2057</v>
      </c>
      <c r="E749" s="44" t="s">
        <v>2161</v>
      </c>
      <c r="F749" s="38" t="s">
        <v>2058</v>
      </c>
      <c r="G749" s="45">
        <v>250</v>
      </c>
      <c r="H749" s="45">
        <v>1.5</v>
      </c>
    </row>
    <row r="750" spans="1:8">
      <c r="A750" s="78">
        <v>129609138584</v>
      </c>
      <c r="B750" s="1" t="s">
        <v>8</v>
      </c>
      <c r="C750" s="44" t="s">
        <v>2161</v>
      </c>
      <c r="D750" s="1" t="s">
        <v>2057</v>
      </c>
      <c r="E750" s="44" t="s">
        <v>2161</v>
      </c>
      <c r="F750" s="38" t="s">
        <v>2058</v>
      </c>
      <c r="G750" s="45">
        <v>34800</v>
      </c>
      <c r="H750" s="45">
        <v>208.8</v>
      </c>
    </row>
    <row r="751" spans="1:8">
      <c r="A751" s="78">
        <v>129024994181</v>
      </c>
      <c r="B751" s="1" t="s">
        <v>2055</v>
      </c>
      <c r="C751" s="44" t="s">
        <v>2161</v>
      </c>
      <c r="D751" s="1" t="s">
        <v>2057</v>
      </c>
      <c r="E751" s="44" t="s">
        <v>2161</v>
      </c>
      <c r="F751" s="38" t="s">
        <v>2058</v>
      </c>
      <c r="G751" s="45">
        <v>31800</v>
      </c>
      <c r="H751" s="45">
        <v>190.8</v>
      </c>
    </row>
    <row r="752" spans="1:8">
      <c r="A752" s="78">
        <v>129609093236</v>
      </c>
      <c r="B752" s="1" t="s">
        <v>2171</v>
      </c>
      <c r="C752" s="44" t="s">
        <v>2161</v>
      </c>
      <c r="D752" s="1" t="s">
        <v>2057</v>
      </c>
      <c r="E752" s="44" t="s">
        <v>2161</v>
      </c>
      <c r="F752" s="38" t="s">
        <v>2058</v>
      </c>
      <c r="G752" s="45">
        <v>3480</v>
      </c>
      <c r="H752" s="45">
        <v>20.88</v>
      </c>
    </row>
    <row r="753" spans="1:8">
      <c r="A753" s="78">
        <v>129598052900</v>
      </c>
      <c r="B753" s="1" t="s">
        <v>8</v>
      </c>
      <c r="C753" s="44" t="s">
        <v>2161</v>
      </c>
      <c r="D753" s="1" t="s">
        <v>2057</v>
      </c>
      <c r="E753" s="44" t="s">
        <v>2161</v>
      </c>
      <c r="F753" s="38" t="s">
        <v>2058</v>
      </c>
      <c r="G753" s="45">
        <v>29900</v>
      </c>
      <c r="H753" s="45">
        <v>179.4</v>
      </c>
    </row>
    <row r="754" spans="1:8">
      <c r="A754" s="78">
        <v>129025992691</v>
      </c>
      <c r="B754" s="1" t="s">
        <v>8</v>
      </c>
      <c r="C754" s="44" t="s">
        <v>2161</v>
      </c>
      <c r="D754" s="1" t="s">
        <v>2057</v>
      </c>
      <c r="E754" s="44" t="s">
        <v>2161</v>
      </c>
      <c r="F754" s="38" t="s">
        <v>2058</v>
      </c>
      <c r="G754" s="45">
        <v>75900</v>
      </c>
      <c r="H754" s="45">
        <v>455.4</v>
      </c>
    </row>
    <row r="755" spans="1:8">
      <c r="A755" s="78">
        <v>129610390102</v>
      </c>
      <c r="B755" s="1" t="s">
        <v>8</v>
      </c>
      <c r="C755" s="44" t="s">
        <v>2161</v>
      </c>
      <c r="D755" s="1" t="s">
        <v>2057</v>
      </c>
      <c r="E755" s="44" t="s">
        <v>2161</v>
      </c>
      <c r="F755" s="38" t="s">
        <v>2058</v>
      </c>
      <c r="G755" s="45">
        <v>40000</v>
      </c>
      <c r="H755" s="45">
        <v>240</v>
      </c>
    </row>
    <row r="756" spans="1:8">
      <c r="A756" s="78">
        <v>129599307758</v>
      </c>
      <c r="B756" s="1" t="s">
        <v>8</v>
      </c>
      <c r="C756" s="44" t="s">
        <v>2161</v>
      </c>
      <c r="D756" s="1" t="s">
        <v>2057</v>
      </c>
      <c r="E756" s="44" t="s">
        <v>2161</v>
      </c>
      <c r="F756" s="38" t="s">
        <v>2058</v>
      </c>
      <c r="G756" s="45">
        <v>34200</v>
      </c>
      <c r="H756" s="45">
        <v>205.2</v>
      </c>
    </row>
    <row r="757" spans="1:8">
      <c r="A757" s="78">
        <v>129038067875</v>
      </c>
      <c r="B757" s="1" t="s">
        <v>2055</v>
      </c>
      <c r="C757" s="44" t="s">
        <v>2161</v>
      </c>
      <c r="D757" s="1" t="s">
        <v>2057</v>
      </c>
      <c r="E757" s="44" t="s">
        <v>2161</v>
      </c>
      <c r="F757" s="38" t="s">
        <v>2058</v>
      </c>
      <c r="G757" s="45">
        <v>9000</v>
      </c>
      <c r="H757" s="45">
        <v>54</v>
      </c>
    </row>
    <row r="758" spans="1:8">
      <c r="A758" s="78">
        <v>129038255279</v>
      </c>
      <c r="B758" s="1" t="s">
        <v>8</v>
      </c>
      <c r="C758" s="44" t="s">
        <v>2161</v>
      </c>
      <c r="D758" s="1" t="s">
        <v>2057</v>
      </c>
      <c r="E758" s="44" t="s">
        <v>2161</v>
      </c>
      <c r="F758" s="38" t="s">
        <v>2058</v>
      </c>
      <c r="G758" s="45">
        <v>13400</v>
      </c>
      <c r="H758" s="45">
        <v>80.400000000000006</v>
      </c>
    </row>
    <row r="759" spans="1:8">
      <c r="A759" s="78">
        <v>129611198742</v>
      </c>
      <c r="B759" s="1" t="s">
        <v>8</v>
      </c>
      <c r="C759" s="44" t="s">
        <v>2161</v>
      </c>
      <c r="D759" s="1" t="s">
        <v>2057</v>
      </c>
      <c r="E759" s="44" t="s">
        <v>2161</v>
      </c>
      <c r="F759" s="38" t="s">
        <v>2058</v>
      </c>
      <c r="G759" s="45">
        <v>21400</v>
      </c>
      <c r="H759" s="45">
        <v>128.4</v>
      </c>
    </row>
    <row r="760" spans="1:8">
      <c r="A760" s="78">
        <v>129611119996</v>
      </c>
      <c r="B760" s="1" t="s">
        <v>2172</v>
      </c>
      <c r="C760" s="44" t="s">
        <v>2161</v>
      </c>
      <c r="D760" s="1" t="s">
        <v>2057</v>
      </c>
      <c r="E760" s="44" t="s">
        <v>2161</v>
      </c>
      <c r="F760" s="38" t="s">
        <v>2058</v>
      </c>
      <c r="G760" s="45">
        <v>2140</v>
      </c>
      <c r="H760" s="45">
        <v>12.84</v>
      </c>
    </row>
    <row r="761" spans="1:8">
      <c r="A761" s="78">
        <v>129611514822</v>
      </c>
      <c r="B761" s="1" t="s">
        <v>8</v>
      </c>
      <c r="C761" s="44" t="s">
        <v>2161</v>
      </c>
      <c r="D761" s="1" t="s">
        <v>2057</v>
      </c>
      <c r="E761" s="44" t="s">
        <v>2161</v>
      </c>
      <c r="F761" s="38" t="s">
        <v>2058</v>
      </c>
      <c r="G761" s="45">
        <v>35500</v>
      </c>
      <c r="H761" s="45">
        <v>213</v>
      </c>
    </row>
    <row r="762" spans="1:8">
      <c r="A762" s="78">
        <v>129611760024</v>
      </c>
      <c r="B762" s="1" t="s">
        <v>8</v>
      </c>
      <c r="C762" s="44" t="s">
        <v>2161</v>
      </c>
      <c r="D762" s="1" t="s">
        <v>2057</v>
      </c>
      <c r="E762" s="44" t="s">
        <v>2161</v>
      </c>
      <c r="F762" s="38" t="s">
        <v>2058</v>
      </c>
      <c r="G762" s="45">
        <v>4800</v>
      </c>
      <c r="H762" s="45">
        <v>28.8</v>
      </c>
    </row>
    <row r="763" spans="1:8">
      <c r="A763" s="78">
        <v>129039009389</v>
      </c>
      <c r="B763" s="1" t="s">
        <v>8</v>
      </c>
      <c r="C763" s="44" t="s">
        <v>2161</v>
      </c>
      <c r="D763" s="1" t="s">
        <v>2057</v>
      </c>
      <c r="E763" s="44" t="s">
        <v>2161</v>
      </c>
      <c r="F763" s="38" t="s">
        <v>2058</v>
      </c>
      <c r="G763" s="45">
        <v>4200</v>
      </c>
      <c r="H763" s="45">
        <v>25.2</v>
      </c>
    </row>
    <row r="764" spans="1:8">
      <c r="A764" s="78">
        <v>129612039128</v>
      </c>
      <c r="B764" s="1" t="s">
        <v>8</v>
      </c>
      <c r="C764" s="44" t="s">
        <v>2161</v>
      </c>
      <c r="D764" s="1" t="s">
        <v>2057</v>
      </c>
      <c r="E764" s="44" t="s">
        <v>2161</v>
      </c>
      <c r="F764" s="38" t="s">
        <v>2058</v>
      </c>
      <c r="G764" s="45">
        <v>4800</v>
      </c>
      <c r="H764" s="45">
        <v>28.8</v>
      </c>
    </row>
    <row r="765" spans="1:8">
      <c r="A765" s="78">
        <v>129039190217</v>
      </c>
      <c r="B765" s="1" t="s">
        <v>8</v>
      </c>
      <c r="C765" s="44" t="s">
        <v>2161</v>
      </c>
      <c r="D765" s="1" t="s">
        <v>2057</v>
      </c>
      <c r="E765" s="44" t="s">
        <v>2161</v>
      </c>
      <c r="F765" s="38" t="s">
        <v>2058</v>
      </c>
      <c r="G765" s="45">
        <v>4600</v>
      </c>
      <c r="H765" s="45">
        <v>27.6</v>
      </c>
    </row>
    <row r="766" spans="1:8">
      <c r="A766" s="78">
        <v>129039242257</v>
      </c>
      <c r="B766" s="1" t="s">
        <v>8</v>
      </c>
      <c r="C766" s="44" t="s">
        <v>2161</v>
      </c>
      <c r="D766" s="1" t="s">
        <v>2057</v>
      </c>
      <c r="E766" s="44" t="s">
        <v>2161</v>
      </c>
      <c r="F766" s="38" t="s">
        <v>2058</v>
      </c>
      <c r="G766" s="45">
        <v>65700</v>
      </c>
      <c r="H766" s="45">
        <v>394.2</v>
      </c>
    </row>
    <row r="767" spans="1:8">
      <c r="A767" s="78">
        <v>129612215634</v>
      </c>
      <c r="B767" s="1" t="s">
        <v>8</v>
      </c>
      <c r="C767" s="44" t="s">
        <v>2161</v>
      </c>
      <c r="D767" s="1" t="s">
        <v>2057</v>
      </c>
      <c r="E767" s="44" t="s">
        <v>2161</v>
      </c>
      <c r="F767" s="38" t="s">
        <v>2058</v>
      </c>
      <c r="G767" s="45">
        <v>9600</v>
      </c>
      <c r="H767" s="45">
        <v>57.6</v>
      </c>
    </row>
    <row r="768" spans="1:8">
      <c r="A768" s="78">
        <v>129601578702</v>
      </c>
      <c r="B768" s="1" t="s">
        <v>8</v>
      </c>
      <c r="C768" s="44" t="s">
        <v>2161</v>
      </c>
      <c r="D768" s="1" t="s">
        <v>2057</v>
      </c>
      <c r="E768" s="44" t="s">
        <v>2161</v>
      </c>
      <c r="F768" s="38" t="s">
        <v>2058</v>
      </c>
      <c r="G768" s="45">
        <v>9600</v>
      </c>
      <c r="H768" s="45">
        <v>57.6</v>
      </c>
    </row>
    <row r="769" spans="1:8">
      <c r="A769" s="78">
        <v>129613344728</v>
      </c>
      <c r="B769" s="1" t="s">
        <v>2055</v>
      </c>
      <c r="C769" s="44" t="s">
        <v>2161</v>
      </c>
      <c r="D769" s="1" t="s">
        <v>2057</v>
      </c>
      <c r="E769" s="44" t="s">
        <v>2161</v>
      </c>
      <c r="F769" s="38" t="s">
        <v>2058</v>
      </c>
      <c r="G769" s="45">
        <v>13200</v>
      </c>
      <c r="H769" s="45">
        <v>79.2</v>
      </c>
    </row>
    <row r="770" spans="1:8">
      <c r="A770" s="78">
        <v>129602059464</v>
      </c>
      <c r="B770" s="1" t="s">
        <v>2173</v>
      </c>
      <c r="C770" s="44" t="s">
        <v>2161</v>
      </c>
      <c r="D770" s="1" t="s">
        <v>2057</v>
      </c>
      <c r="E770" s="44" t="s">
        <v>2161</v>
      </c>
      <c r="F770" s="38" t="s">
        <v>2058</v>
      </c>
      <c r="G770" s="45">
        <v>480</v>
      </c>
      <c r="H770" s="45">
        <v>2.88</v>
      </c>
    </row>
    <row r="771" spans="1:8">
      <c r="A771" s="78">
        <v>129040565267</v>
      </c>
      <c r="B771" s="1" t="s">
        <v>8</v>
      </c>
      <c r="C771" s="44" t="s">
        <v>2161</v>
      </c>
      <c r="D771" s="1" t="s">
        <v>2057</v>
      </c>
      <c r="E771" s="44" t="s">
        <v>2161</v>
      </c>
      <c r="F771" s="38" t="s">
        <v>2058</v>
      </c>
      <c r="G771" s="45">
        <v>70100</v>
      </c>
      <c r="H771" s="45">
        <v>420.6</v>
      </c>
    </row>
    <row r="772" spans="1:8">
      <c r="A772" s="78">
        <v>129040694001</v>
      </c>
      <c r="B772" s="1" t="s">
        <v>2055</v>
      </c>
      <c r="C772" s="44" t="s">
        <v>2161</v>
      </c>
      <c r="D772" s="1" t="s">
        <v>2057</v>
      </c>
      <c r="E772" s="44" t="s">
        <v>2161</v>
      </c>
      <c r="F772" s="38" t="s">
        <v>2058</v>
      </c>
      <c r="G772" s="45">
        <v>9000</v>
      </c>
      <c r="H772" s="45">
        <v>54</v>
      </c>
    </row>
    <row r="773" spans="1:8">
      <c r="A773" s="78">
        <v>129040868883</v>
      </c>
      <c r="B773" s="1" t="s">
        <v>2055</v>
      </c>
      <c r="C773" s="44" t="s">
        <v>2161</v>
      </c>
      <c r="D773" s="1" t="s">
        <v>2057</v>
      </c>
      <c r="E773" s="44" t="s">
        <v>2161</v>
      </c>
      <c r="F773" s="38" t="s">
        <v>2058</v>
      </c>
      <c r="G773" s="45">
        <v>39500</v>
      </c>
      <c r="H773" s="45">
        <v>237</v>
      </c>
    </row>
    <row r="774" spans="1:8">
      <c r="A774" s="78">
        <v>129613900400</v>
      </c>
      <c r="B774" s="1" t="s">
        <v>2055</v>
      </c>
      <c r="C774" s="44" t="s">
        <v>2161</v>
      </c>
      <c r="D774" s="1" t="s">
        <v>2057</v>
      </c>
      <c r="E774" s="44" t="s">
        <v>2161</v>
      </c>
      <c r="F774" s="38" t="s">
        <v>2058</v>
      </c>
      <c r="G774" s="45">
        <v>10300</v>
      </c>
      <c r="H774" s="45">
        <v>61.8</v>
      </c>
    </row>
    <row r="775" spans="1:8">
      <c r="A775" s="78">
        <v>129041177509</v>
      </c>
      <c r="B775" s="1" t="s">
        <v>2055</v>
      </c>
      <c r="C775" s="44" t="s">
        <v>2161</v>
      </c>
      <c r="D775" s="1" t="s">
        <v>2057</v>
      </c>
      <c r="E775" s="44" t="s">
        <v>2174</v>
      </c>
      <c r="F775" s="38" t="s">
        <v>2058</v>
      </c>
      <c r="G775" s="45">
        <v>37800</v>
      </c>
      <c r="H775" s="45">
        <v>226.8</v>
      </c>
    </row>
    <row r="776" spans="1:8">
      <c r="A776" s="78">
        <v>129041378905</v>
      </c>
      <c r="B776" s="1" t="s">
        <v>2055</v>
      </c>
      <c r="C776" s="44" t="s">
        <v>2161</v>
      </c>
      <c r="D776" s="1" t="s">
        <v>2057</v>
      </c>
      <c r="E776" s="44" t="s">
        <v>2174</v>
      </c>
      <c r="F776" s="38" t="s">
        <v>2058</v>
      </c>
      <c r="G776" s="45">
        <v>36300</v>
      </c>
      <c r="H776" s="45">
        <v>217.8</v>
      </c>
    </row>
    <row r="777" spans="1:8">
      <c r="A777" s="78">
        <v>129614386934</v>
      </c>
      <c r="B777" s="1" t="s">
        <v>2055</v>
      </c>
      <c r="C777" s="44" t="s">
        <v>2161</v>
      </c>
      <c r="D777" s="1" t="s">
        <v>2057</v>
      </c>
      <c r="E777" s="44" t="s">
        <v>2174</v>
      </c>
      <c r="F777" s="38" t="s">
        <v>2058</v>
      </c>
      <c r="G777" s="45">
        <v>47600</v>
      </c>
      <c r="H777" s="45">
        <v>285.60000000000002</v>
      </c>
    </row>
    <row r="778" spans="1:8">
      <c r="A778" s="78">
        <v>129614525496</v>
      </c>
      <c r="B778" s="1" t="s">
        <v>8</v>
      </c>
      <c r="C778" s="44" t="s">
        <v>2161</v>
      </c>
      <c r="D778" s="1" t="s">
        <v>2057</v>
      </c>
      <c r="E778" s="44" t="s">
        <v>2174</v>
      </c>
      <c r="F778" s="38" t="s">
        <v>2058</v>
      </c>
      <c r="G778" s="45">
        <v>47000</v>
      </c>
      <c r="H778" s="45">
        <v>282</v>
      </c>
    </row>
    <row r="779" spans="1:8">
      <c r="A779" s="78">
        <v>129042140311</v>
      </c>
      <c r="B779" s="1" t="s">
        <v>8</v>
      </c>
      <c r="C779" s="44" t="s">
        <v>2161</v>
      </c>
      <c r="D779" s="1" t="s">
        <v>2057</v>
      </c>
      <c r="E779" s="44" t="s">
        <v>2174</v>
      </c>
      <c r="F779" s="38" t="s">
        <v>2058</v>
      </c>
      <c r="G779" s="45">
        <v>30100</v>
      </c>
      <c r="H779" s="45">
        <v>180.6</v>
      </c>
    </row>
    <row r="780" spans="1:8">
      <c r="A780" s="78">
        <v>129603670366</v>
      </c>
      <c r="B780" s="1" t="s">
        <v>2175</v>
      </c>
      <c r="C780" s="44" t="s">
        <v>2161</v>
      </c>
      <c r="D780" s="1" t="s">
        <v>2057</v>
      </c>
      <c r="E780" s="44" t="s">
        <v>2161</v>
      </c>
      <c r="F780" s="38" t="s">
        <v>2058</v>
      </c>
      <c r="G780" s="45">
        <v>1327</v>
      </c>
      <c r="H780" s="45">
        <v>7.96</v>
      </c>
    </row>
    <row r="781" spans="1:8">
      <c r="A781" s="78">
        <v>129603583714</v>
      </c>
      <c r="B781" s="1" t="s">
        <v>8</v>
      </c>
      <c r="C781" s="44" t="s">
        <v>2161</v>
      </c>
      <c r="D781" s="1" t="s">
        <v>2057</v>
      </c>
      <c r="E781" s="44" t="s">
        <v>2161</v>
      </c>
      <c r="F781" s="38" t="s">
        <v>2058</v>
      </c>
      <c r="G781" s="45">
        <v>26550</v>
      </c>
      <c r="H781" s="45">
        <v>159.30000000000001</v>
      </c>
    </row>
    <row r="782" spans="1:8">
      <c r="A782" s="78">
        <v>129030721859</v>
      </c>
      <c r="B782" s="1" t="s">
        <v>2176</v>
      </c>
      <c r="C782" s="44" t="s">
        <v>2161</v>
      </c>
      <c r="D782" s="1" t="s">
        <v>2057</v>
      </c>
      <c r="E782" s="44" t="s">
        <v>2161</v>
      </c>
      <c r="F782" s="38" t="s">
        <v>2058</v>
      </c>
      <c r="G782" s="45">
        <v>1235</v>
      </c>
      <c r="H782" s="45">
        <v>7.41</v>
      </c>
    </row>
    <row r="783" spans="1:8">
      <c r="A783" s="78">
        <v>129614959172</v>
      </c>
      <c r="B783" s="1" t="s">
        <v>8</v>
      </c>
      <c r="C783" s="44" t="s">
        <v>2161</v>
      </c>
      <c r="D783" s="1" t="s">
        <v>2057</v>
      </c>
      <c r="E783" s="44" t="s">
        <v>2174</v>
      </c>
      <c r="F783" s="38" t="s">
        <v>2058</v>
      </c>
      <c r="G783" s="45">
        <v>12700</v>
      </c>
      <c r="H783" s="45">
        <v>76.2</v>
      </c>
    </row>
    <row r="784" spans="1:8">
      <c r="A784" s="78">
        <v>129615274552</v>
      </c>
      <c r="B784" s="1" t="s">
        <v>8</v>
      </c>
      <c r="C784" s="44" t="s">
        <v>2161</v>
      </c>
      <c r="D784" s="1" t="s">
        <v>2057</v>
      </c>
      <c r="E784" s="44" t="s">
        <v>2174</v>
      </c>
      <c r="F784" s="38" t="s">
        <v>2058</v>
      </c>
      <c r="G784" s="45">
        <v>10300</v>
      </c>
      <c r="H784" s="45">
        <v>61.8</v>
      </c>
    </row>
    <row r="785" spans="1:8">
      <c r="A785" s="78">
        <v>129042467745</v>
      </c>
      <c r="B785" s="1" t="s">
        <v>8</v>
      </c>
      <c r="C785" s="44" t="s">
        <v>2161</v>
      </c>
      <c r="D785" s="1" t="s">
        <v>2057</v>
      </c>
      <c r="E785" s="44" t="s">
        <v>2174</v>
      </c>
      <c r="F785" s="38" t="s">
        <v>2058</v>
      </c>
      <c r="G785" s="45">
        <v>24600</v>
      </c>
      <c r="H785" s="45">
        <v>147.6</v>
      </c>
    </row>
    <row r="786" spans="1:8">
      <c r="A786" s="78">
        <v>129031727651</v>
      </c>
      <c r="B786" s="1" t="s">
        <v>2055</v>
      </c>
      <c r="C786" s="44" t="s">
        <v>2161</v>
      </c>
      <c r="D786" s="1" t="s">
        <v>2057</v>
      </c>
      <c r="E786" s="44" t="s">
        <v>2161</v>
      </c>
      <c r="F786" s="38" t="s">
        <v>2058</v>
      </c>
      <c r="G786" s="45">
        <v>13800</v>
      </c>
      <c r="H786" s="45">
        <v>82.8</v>
      </c>
    </row>
    <row r="787" spans="1:8">
      <c r="A787" s="78">
        <v>129043313181</v>
      </c>
      <c r="B787" s="1" t="s">
        <v>8</v>
      </c>
      <c r="C787" s="44" t="s">
        <v>2161</v>
      </c>
      <c r="D787" s="1" t="s">
        <v>2057</v>
      </c>
      <c r="E787" s="44" t="s">
        <v>2174</v>
      </c>
      <c r="F787" s="38" t="s">
        <v>2058</v>
      </c>
      <c r="G787" s="45">
        <v>50600</v>
      </c>
      <c r="H787" s="45">
        <v>303.60000000000002</v>
      </c>
    </row>
    <row r="788" spans="1:8">
      <c r="A788" s="78">
        <v>129043708273</v>
      </c>
      <c r="B788" s="1" t="s">
        <v>2055</v>
      </c>
      <c r="C788" s="44" t="s">
        <v>2161</v>
      </c>
      <c r="D788" s="1" t="s">
        <v>2057</v>
      </c>
      <c r="E788" s="44" t="s">
        <v>2174</v>
      </c>
      <c r="F788" s="38" t="s">
        <v>2058</v>
      </c>
      <c r="G788" s="45">
        <v>91900</v>
      </c>
      <c r="H788" s="45">
        <v>551.4</v>
      </c>
    </row>
    <row r="789" spans="1:8">
      <c r="A789" s="78">
        <v>129044011245</v>
      </c>
      <c r="B789" s="1" t="s">
        <v>2177</v>
      </c>
      <c r="C789" s="44" t="s">
        <v>2161</v>
      </c>
      <c r="D789" s="1" t="s">
        <v>2057</v>
      </c>
      <c r="E789" s="44" t="s">
        <v>2174</v>
      </c>
      <c r="F789" s="38" t="s">
        <v>2058</v>
      </c>
      <c r="G789" s="45">
        <v>1290</v>
      </c>
      <c r="H789" s="45">
        <v>7.74</v>
      </c>
    </row>
    <row r="790" spans="1:8">
      <c r="A790" s="78">
        <v>129617259534</v>
      </c>
      <c r="B790" s="1" t="s">
        <v>8</v>
      </c>
      <c r="C790" s="44" t="s">
        <v>2161</v>
      </c>
      <c r="D790" s="1" t="s">
        <v>2057</v>
      </c>
      <c r="E790" s="44" t="s">
        <v>2174</v>
      </c>
      <c r="F790" s="38" t="s">
        <v>2058</v>
      </c>
      <c r="G790" s="45">
        <v>10600</v>
      </c>
      <c r="H790" s="45">
        <v>63.6</v>
      </c>
    </row>
    <row r="791" spans="1:8">
      <c r="A791" s="78">
        <v>129044322707</v>
      </c>
      <c r="B791" s="1" t="s">
        <v>2055</v>
      </c>
      <c r="C791" s="44" t="s">
        <v>2174</v>
      </c>
      <c r="D791" s="1" t="s">
        <v>2057</v>
      </c>
      <c r="E791" s="44" t="s">
        <v>2174</v>
      </c>
      <c r="F791" s="38" t="s">
        <v>2058</v>
      </c>
      <c r="G791" s="45">
        <v>79700</v>
      </c>
      <c r="H791" s="45">
        <v>478.2</v>
      </c>
    </row>
    <row r="792" spans="1:8">
      <c r="A792" s="78">
        <v>129044360883</v>
      </c>
      <c r="B792" s="1" t="s">
        <v>8</v>
      </c>
      <c r="C792" s="44" t="s">
        <v>2174</v>
      </c>
      <c r="D792" s="1" t="s">
        <v>2057</v>
      </c>
      <c r="E792" s="44" t="s">
        <v>2174</v>
      </c>
      <c r="F792" s="38" t="s">
        <v>2058</v>
      </c>
      <c r="G792" s="45">
        <v>37800</v>
      </c>
      <c r="H792" s="45">
        <v>226.8</v>
      </c>
    </row>
    <row r="793" spans="1:8">
      <c r="A793" s="78">
        <v>129033517789</v>
      </c>
      <c r="B793" s="1" t="s">
        <v>2178</v>
      </c>
      <c r="C793" s="44" t="s">
        <v>2161</v>
      </c>
      <c r="D793" s="1" t="s">
        <v>2057</v>
      </c>
      <c r="E793" s="44" t="s">
        <v>2161</v>
      </c>
      <c r="F793" s="38" t="s">
        <v>2058</v>
      </c>
      <c r="G793" s="45">
        <v>5250</v>
      </c>
      <c r="H793" s="45">
        <v>31.5</v>
      </c>
    </row>
    <row r="794" spans="1:8">
      <c r="A794" s="78">
        <v>129045120785</v>
      </c>
      <c r="B794" s="1" t="s">
        <v>2055</v>
      </c>
      <c r="C794" s="44" t="s">
        <v>2174</v>
      </c>
      <c r="D794" s="1" t="s">
        <v>2057</v>
      </c>
      <c r="E794" s="44" t="s">
        <v>2174</v>
      </c>
      <c r="F794" s="38" t="s">
        <v>2058</v>
      </c>
      <c r="G794" s="45">
        <v>139100</v>
      </c>
      <c r="H794" s="45">
        <v>834.6</v>
      </c>
    </row>
    <row r="795" spans="1:8">
      <c r="A795" s="78">
        <v>129045122761</v>
      </c>
      <c r="B795" s="1" t="s">
        <v>8</v>
      </c>
      <c r="C795" s="44" t="s">
        <v>2174</v>
      </c>
      <c r="D795" s="1" t="s">
        <v>2057</v>
      </c>
      <c r="E795" s="44" t="s">
        <v>2174</v>
      </c>
      <c r="F795" s="38" t="s">
        <v>2058</v>
      </c>
      <c r="G795" s="45">
        <v>14200</v>
      </c>
      <c r="H795" s="45">
        <v>85.2</v>
      </c>
    </row>
    <row r="796" spans="1:8">
      <c r="A796" s="78">
        <v>129617996694</v>
      </c>
      <c r="B796" s="1" t="s">
        <v>2055</v>
      </c>
      <c r="C796" s="44" t="s">
        <v>2174</v>
      </c>
      <c r="D796" s="1" t="s">
        <v>2057</v>
      </c>
      <c r="E796" s="44" t="s">
        <v>2174</v>
      </c>
      <c r="F796" s="38" t="s">
        <v>2058</v>
      </c>
      <c r="G796" s="45">
        <v>8000</v>
      </c>
      <c r="H796" s="45">
        <v>48</v>
      </c>
    </row>
    <row r="797" spans="1:8">
      <c r="A797" s="78">
        <v>129045288133</v>
      </c>
      <c r="B797" s="1" t="s">
        <v>8</v>
      </c>
      <c r="C797" s="44" t="s">
        <v>2174</v>
      </c>
      <c r="D797" s="1" t="s">
        <v>2057</v>
      </c>
      <c r="E797" s="44" t="s">
        <v>2174</v>
      </c>
      <c r="F797" s="38" t="s">
        <v>2058</v>
      </c>
      <c r="G797" s="45">
        <v>9600</v>
      </c>
      <c r="H797" s="45">
        <v>57.6</v>
      </c>
    </row>
    <row r="798" spans="1:8">
      <c r="A798" s="78">
        <v>129034163043</v>
      </c>
      <c r="B798" s="1" t="s">
        <v>2055</v>
      </c>
      <c r="C798" s="44" t="s">
        <v>2161</v>
      </c>
      <c r="D798" s="1" t="s">
        <v>2057</v>
      </c>
      <c r="E798" s="44" t="s">
        <v>2161</v>
      </c>
      <c r="F798" s="38" t="s">
        <v>2058</v>
      </c>
      <c r="G798" s="45">
        <v>34000</v>
      </c>
      <c r="H798" s="45">
        <v>204</v>
      </c>
    </row>
    <row r="799" spans="1:8">
      <c r="A799" s="78">
        <v>129607130142</v>
      </c>
      <c r="B799" s="1" t="s">
        <v>2179</v>
      </c>
      <c r="C799" s="44" t="s">
        <v>2161</v>
      </c>
      <c r="D799" s="1" t="s">
        <v>2057</v>
      </c>
      <c r="E799" s="44" t="s">
        <v>2161</v>
      </c>
      <c r="F799" s="38" t="s">
        <v>2058</v>
      </c>
      <c r="G799" s="45">
        <v>9210</v>
      </c>
      <c r="H799" s="45">
        <v>55.26</v>
      </c>
    </row>
    <row r="800" spans="1:8">
      <c r="A800" s="78">
        <v>129618551002</v>
      </c>
      <c r="B800" s="1" t="s">
        <v>8</v>
      </c>
      <c r="C800" s="44" t="s">
        <v>2174</v>
      </c>
      <c r="D800" s="1" t="s">
        <v>2057</v>
      </c>
      <c r="E800" s="44" t="s">
        <v>2174</v>
      </c>
      <c r="F800" s="38" t="s">
        <v>2058</v>
      </c>
      <c r="G800" s="45">
        <v>112200</v>
      </c>
      <c r="H800" s="45">
        <v>673.2</v>
      </c>
    </row>
    <row r="801" spans="1:8">
      <c r="A801" s="78">
        <v>129045547407</v>
      </c>
      <c r="B801" s="1" t="s">
        <v>2180</v>
      </c>
      <c r="C801" s="44" t="s">
        <v>2174</v>
      </c>
      <c r="D801" s="1" t="s">
        <v>2057</v>
      </c>
      <c r="E801" s="44" t="s">
        <v>2174</v>
      </c>
      <c r="F801" s="38" t="s">
        <v>2058</v>
      </c>
      <c r="G801" s="45">
        <v>5610</v>
      </c>
      <c r="H801" s="45">
        <v>33.659999999999997</v>
      </c>
    </row>
    <row r="802" spans="1:8">
      <c r="A802" s="78">
        <v>129607601758</v>
      </c>
      <c r="B802" s="1" t="s">
        <v>8</v>
      </c>
      <c r="C802" s="44" t="s">
        <v>2161</v>
      </c>
      <c r="D802" s="1" t="s">
        <v>2057</v>
      </c>
      <c r="E802" s="44" t="s">
        <v>2161</v>
      </c>
      <c r="F802" s="38" t="s">
        <v>2058</v>
      </c>
      <c r="G802" s="45">
        <v>12400</v>
      </c>
      <c r="H802" s="45">
        <v>74.400000000000006</v>
      </c>
    </row>
    <row r="803" spans="1:8">
      <c r="A803" s="78">
        <v>129046696415</v>
      </c>
      <c r="B803" s="1" t="s">
        <v>8</v>
      </c>
      <c r="C803" s="44" t="s">
        <v>2174</v>
      </c>
      <c r="D803" s="1" t="s">
        <v>2057</v>
      </c>
      <c r="E803" s="44" t="s">
        <v>2174</v>
      </c>
      <c r="F803" s="38" t="s">
        <v>2058</v>
      </c>
      <c r="G803" s="45">
        <v>9600</v>
      </c>
      <c r="H803" s="45">
        <v>57.6</v>
      </c>
    </row>
    <row r="804" spans="1:8">
      <c r="A804" s="78">
        <v>129046863069</v>
      </c>
      <c r="B804" s="1" t="s">
        <v>8</v>
      </c>
      <c r="C804" s="44" t="s">
        <v>2174</v>
      </c>
      <c r="D804" s="1" t="s">
        <v>2057</v>
      </c>
      <c r="E804" s="44" t="s">
        <v>2174</v>
      </c>
      <c r="F804" s="38" t="s">
        <v>2058</v>
      </c>
      <c r="G804" s="45">
        <v>9800</v>
      </c>
      <c r="H804" s="45">
        <v>58.8</v>
      </c>
    </row>
    <row r="805" spans="1:8">
      <c r="A805" s="78">
        <v>129608565554</v>
      </c>
      <c r="B805" s="1" t="s">
        <v>8</v>
      </c>
      <c r="C805" s="44" t="s">
        <v>2161</v>
      </c>
      <c r="D805" s="1" t="s">
        <v>2057</v>
      </c>
      <c r="E805" s="44" t="s">
        <v>2161</v>
      </c>
      <c r="F805" s="38" t="s">
        <v>2058</v>
      </c>
      <c r="G805" s="45">
        <v>4900</v>
      </c>
      <c r="H805" s="45">
        <v>29.4</v>
      </c>
    </row>
    <row r="806" spans="1:8">
      <c r="A806" s="78">
        <v>129046984055</v>
      </c>
      <c r="B806" s="1" t="s">
        <v>2055</v>
      </c>
      <c r="C806" s="44" t="s">
        <v>2174</v>
      </c>
      <c r="D806" s="1" t="s">
        <v>2057</v>
      </c>
      <c r="E806" s="44" t="s">
        <v>2174</v>
      </c>
      <c r="F806" s="38" t="s">
        <v>2058</v>
      </c>
      <c r="G806" s="45">
        <v>4000</v>
      </c>
      <c r="H806" s="45">
        <v>24</v>
      </c>
    </row>
    <row r="807" spans="1:8">
      <c r="A807" s="78">
        <v>129047936471</v>
      </c>
      <c r="B807" s="1" t="s">
        <v>8</v>
      </c>
      <c r="C807" s="44" t="s">
        <v>2174</v>
      </c>
      <c r="D807" s="1" t="s">
        <v>2057</v>
      </c>
      <c r="E807" s="44" t="s">
        <v>2174</v>
      </c>
      <c r="F807" s="38" t="s">
        <v>2058</v>
      </c>
      <c r="G807" s="45">
        <v>10000</v>
      </c>
      <c r="H807" s="45">
        <v>60</v>
      </c>
    </row>
    <row r="808" spans="1:8">
      <c r="A808" s="78">
        <v>129620916788</v>
      </c>
      <c r="B808" s="1" t="s">
        <v>8</v>
      </c>
      <c r="C808" s="44" t="s">
        <v>2174</v>
      </c>
      <c r="D808" s="1" t="s">
        <v>2057</v>
      </c>
      <c r="E808" s="44" t="s">
        <v>2174</v>
      </c>
      <c r="F808" s="38" t="s">
        <v>2058</v>
      </c>
      <c r="G808" s="45">
        <v>9500</v>
      </c>
      <c r="H808" s="45">
        <v>57</v>
      </c>
    </row>
    <row r="809" spans="1:8">
      <c r="A809" s="78">
        <v>129036637851</v>
      </c>
      <c r="B809" s="1" t="s">
        <v>8</v>
      </c>
      <c r="C809" s="44" t="s">
        <v>2161</v>
      </c>
      <c r="D809" s="1" t="s">
        <v>2057</v>
      </c>
      <c r="E809" s="44" t="s">
        <v>2161</v>
      </c>
      <c r="F809" s="38" t="s">
        <v>2058</v>
      </c>
      <c r="G809" s="45">
        <v>10000</v>
      </c>
      <c r="H809" s="45">
        <v>60</v>
      </c>
    </row>
    <row r="810" spans="1:8">
      <c r="A810" s="78">
        <v>129609804684</v>
      </c>
      <c r="B810" s="1" t="s">
        <v>2055</v>
      </c>
      <c r="C810" s="44" t="s">
        <v>2161</v>
      </c>
      <c r="D810" s="1" t="s">
        <v>2057</v>
      </c>
      <c r="E810" s="44" t="s">
        <v>2161</v>
      </c>
      <c r="F810" s="38" t="s">
        <v>2058</v>
      </c>
      <c r="G810" s="45">
        <v>9600</v>
      </c>
      <c r="H810" s="45">
        <v>57.6</v>
      </c>
    </row>
    <row r="811" spans="1:8">
      <c r="A811" s="78">
        <v>129621179894</v>
      </c>
      <c r="B811" s="1" t="s">
        <v>8</v>
      </c>
      <c r="C811" s="44" t="s">
        <v>2174</v>
      </c>
      <c r="D811" s="1" t="s">
        <v>2057</v>
      </c>
      <c r="E811" s="44" t="s">
        <v>2174</v>
      </c>
      <c r="F811" s="38" t="s">
        <v>2058</v>
      </c>
      <c r="G811" s="45">
        <v>13200</v>
      </c>
      <c r="H811" s="45">
        <v>79.2</v>
      </c>
    </row>
    <row r="812" spans="1:8">
      <c r="A812" s="78">
        <v>129610020300</v>
      </c>
      <c r="B812" s="1" t="s">
        <v>8</v>
      </c>
      <c r="C812" s="44" t="s">
        <v>2161</v>
      </c>
      <c r="D812" s="1" t="s">
        <v>2057</v>
      </c>
      <c r="E812" s="44" t="s">
        <v>2161</v>
      </c>
      <c r="F812" s="38" t="s">
        <v>2058</v>
      </c>
      <c r="G812" s="45">
        <v>59900</v>
      </c>
      <c r="H812" s="45">
        <v>359.4</v>
      </c>
    </row>
    <row r="813" spans="1:8">
      <c r="A813" s="78">
        <v>129048368871</v>
      </c>
      <c r="B813" s="1" t="s">
        <v>8</v>
      </c>
      <c r="C813" s="44" t="s">
        <v>2174</v>
      </c>
      <c r="D813" s="1" t="s">
        <v>2057</v>
      </c>
      <c r="E813" s="44" t="s">
        <v>2174</v>
      </c>
      <c r="F813" s="38" t="s">
        <v>2058</v>
      </c>
      <c r="G813" s="45">
        <v>15600</v>
      </c>
      <c r="H813" s="45">
        <v>93.6</v>
      </c>
    </row>
    <row r="814" spans="1:8">
      <c r="A814" s="78">
        <v>129048444225</v>
      </c>
      <c r="B814" s="1" t="s">
        <v>8</v>
      </c>
      <c r="C814" s="44" t="s">
        <v>2174</v>
      </c>
      <c r="D814" s="1" t="s">
        <v>2057</v>
      </c>
      <c r="E814" s="44" t="s">
        <v>2174</v>
      </c>
      <c r="F814" s="38" t="s">
        <v>2058</v>
      </c>
      <c r="G814" s="45">
        <v>10600</v>
      </c>
      <c r="H814" s="45">
        <v>63.6</v>
      </c>
    </row>
    <row r="815" spans="1:8">
      <c r="A815" s="78">
        <v>129621259702</v>
      </c>
      <c r="B815" s="1" t="s">
        <v>8</v>
      </c>
      <c r="C815" s="44" t="s">
        <v>2174</v>
      </c>
      <c r="D815" s="1" t="s">
        <v>2057</v>
      </c>
      <c r="E815" s="44" t="s">
        <v>2174</v>
      </c>
      <c r="F815" s="38" t="s">
        <v>2058</v>
      </c>
      <c r="G815" s="45">
        <v>9400</v>
      </c>
      <c r="H815" s="45">
        <v>56.4</v>
      </c>
    </row>
    <row r="816" spans="1:8">
      <c r="A816" s="78">
        <v>129621414226</v>
      </c>
      <c r="B816" s="1" t="s">
        <v>8</v>
      </c>
      <c r="C816" s="44" t="s">
        <v>2174</v>
      </c>
      <c r="D816" s="1" t="s">
        <v>2057</v>
      </c>
      <c r="E816" s="44" t="s">
        <v>2174</v>
      </c>
      <c r="F816" s="38" t="s">
        <v>2058</v>
      </c>
      <c r="G816" s="45">
        <v>28600</v>
      </c>
      <c r="H816" s="45">
        <v>171.6</v>
      </c>
    </row>
    <row r="817" spans="1:8">
      <c r="A817" s="78">
        <v>129621426704</v>
      </c>
      <c r="B817" s="1" t="s">
        <v>8</v>
      </c>
      <c r="C817" s="44" t="s">
        <v>2174</v>
      </c>
      <c r="D817" s="1" t="s">
        <v>2057</v>
      </c>
      <c r="E817" s="44" t="s">
        <v>2174</v>
      </c>
      <c r="F817" s="38" t="s">
        <v>2058</v>
      </c>
      <c r="G817" s="45">
        <v>56300</v>
      </c>
      <c r="H817" s="45">
        <v>337.8</v>
      </c>
    </row>
    <row r="818" spans="1:8">
      <c r="A818" s="78">
        <v>129610361428</v>
      </c>
      <c r="B818" s="1" t="s">
        <v>2055</v>
      </c>
      <c r="C818" s="44" t="s">
        <v>2161</v>
      </c>
      <c r="D818" s="1" t="s">
        <v>2057</v>
      </c>
      <c r="E818" s="44" t="s">
        <v>2161</v>
      </c>
      <c r="F818" s="38" t="s">
        <v>2058</v>
      </c>
      <c r="G818" s="45">
        <v>74100</v>
      </c>
      <c r="H818" s="45">
        <v>444.6</v>
      </c>
    </row>
    <row r="819" spans="1:8">
      <c r="A819" s="78">
        <v>129611461620</v>
      </c>
      <c r="B819" s="1" t="s">
        <v>8</v>
      </c>
      <c r="C819" s="44" t="s">
        <v>2161</v>
      </c>
      <c r="D819" s="1" t="s">
        <v>2057</v>
      </c>
      <c r="E819" s="44" t="s">
        <v>2161</v>
      </c>
      <c r="F819" s="38" t="s">
        <v>2058</v>
      </c>
      <c r="G819" s="45">
        <v>14600</v>
      </c>
      <c r="H819" s="45">
        <v>87.6</v>
      </c>
    </row>
    <row r="820" spans="1:8">
      <c r="A820" s="78">
        <v>129613766564</v>
      </c>
      <c r="B820" s="1" t="s">
        <v>2055</v>
      </c>
      <c r="C820" s="44" t="s">
        <v>2161</v>
      </c>
      <c r="D820" s="1" t="s">
        <v>2057</v>
      </c>
      <c r="E820" s="44" t="s">
        <v>2161</v>
      </c>
      <c r="F820" s="38" t="s">
        <v>2058</v>
      </c>
      <c r="G820" s="45">
        <v>4800</v>
      </c>
      <c r="H820" s="45">
        <v>28.8</v>
      </c>
    </row>
    <row r="821" spans="1:8">
      <c r="A821" s="78">
        <v>129613950886</v>
      </c>
      <c r="B821" s="1" t="s">
        <v>2055</v>
      </c>
      <c r="C821" s="44" t="s">
        <v>2161</v>
      </c>
      <c r="D821" s="1" t="s">
        <v>2057</v>
      </c>
      <c r="E821" s="44" t="s">
        <v>2161</v>
      </c>
      <c r="F821" s="38" t="s">
        <v>2058</v>
      </c>
      <c r="G821" s="45">
        <v>17800</v>
      </c>
      <c r="H821" s="45">
        <v>106.8</v>
      </c>
    </row>
    <row r="822" spans="1:8">
      <c r="A822" s="78">
        <v>129041040795</v>
      </c>
      <c r="B822" s="1" t="s">
        <v>8</v>
      </c>
      <c r="C822" s="44" t="s">
        <v>2161</v>
      </c>
      <c r="D822" s="1" t="s">
        <v>2057</v>
      </c>
      <c r="E822" s="44" t="s">
        <v>2174</v>
      </c>
      <c r="F822" s="38" t="s">
        <v>2058</v>
      </c>
      <c r="G822" s="45">
        <v>103300</v>
      </c>
      <c r="H822" s="45">
        <v>619.79999999999995</v>
      </c>
    </row>
    <row r="823" spans="1:8">
      <c r="A823" s="78">
        <v>129041338131</v>
      </c>
      <c r="B823" s="1" t="s">
        <v>8</v>
      </c>
      <c r="C823" s="44" t="s">
        <v>2161</v>
      </c>
      <c r="D823" s="1" t="s">
        <v>2057</v>
      </c>
      <c r="E823" s="44" t="s">
        <v>2174</v>
      </c>
      <c r="F823" s="38" t="s">
        <v>2058</v>
      </c>
      <c r="G823" s="45">
        <v>48000</v>
      </c>
      <c r="H823" s="45">
        <v>288</v>
      </c>
    </row>
    <row r="824" spans="1:8">
      <c r="A824" s="78">
        <v>129041249333</v>
      </c>
      <c r="B824" s="1" t="s">
        <v>2181</v>
      </c>
      <c r="C824" s="44" t="s">
        <v>2161</v>
      </c>
      <c r="D824" s="1" t="s">
        <v>2057</v>
      </c>
      <c r="E824" s="44" t="s">
        <v>2174</v>
      </c>
      <c r="F824" s="38" t="s">
        <v>2058</v>
      </c>
      <c r="G824" s="45">
        <v>4800</v>
      </c>
      <c r="H824" s="45">
        <v>28.8</v>
      </c>
    </row>
    <row r="825" spans="1:8">
      <c r="A825" s="78">
        <v>129041401037</v>
      </c>
      <c r="B825" s="1" t="s">
        <v>8</v>
      </c>
      <c r="C825" s="44" t="s">
        <v>2161</v>
      </c>
      <c r="D825" s="1" t="s">
        <v>2057</v>
      </c>
      <c r="E825" s="44" t="s">
        <v>2174</v>
      </c>
      <c r="F825" s="38" t="s">
        <v>2058</v>
      </c>
      <c r="G825" s="45">
        <v>8900</v>
      </c>
      <c r="H825" s="45">
        <v>53.4</v>
      </c>
    </row>
    <row r="826" spans="1:8">
      <c r="A826" s="78">
        <v>129041627863</v>
      </c>
      <c r="B826" s="1" t="s">
        <v>2182</v>
      </c>
      <c r="C826" s="44" t="s">
        <v>2161</v>
      </c>
      <c r="D826" s="1" t="s">
        <v>2057</v>
      </c>
      <c r="E826" s="44" t="s">
        <v>2174</v>
      </c>
      <c r="F826" s="38" t="s">
        <v>2058</v>
      </c>
      <c r="G826" s="45">
        <v>4700</v>
      </c>
      <c r="H826" s="45">
        <v>28.2</v>
      </c>
    </row>
    <row r="827" spans="1:8">
      <c r="A827" s="78">
        <v>129614515948</v>
      </c>
      <c r="B827" s="1" t="s">
        <v>8</v>
      </c>
      <c r="C827" s="44" t="s">
        <v>2161</v>
      </c>
      <c r="D827" s="1" t="s">
        <v>2057</v>
      </c>
      <c r="E827" s="44" t="s">
        <v>2174</v>
      </c>
      <c r="F827" s="38" t="s">
        <v>2058</v>
      </c>
      <c r="G827" s="45">
        <v>9600</v>
      </c>
      <c r="H827" s="45">
        <v>57.6</v>
      </c>
    </row>
    <row r="828" spans="1:8">
      <c r="A828" s="78">
        <v>129041884973</v>
      </c>
      <c r="B828" s="1" t="s">
        <v>8</v>
      </c>
      <c r="C828" s="44" t="s">
        <v>2161</v>
      </c>
      <c r="D828" s="1" t="s">
        <v>2057</v>
      </c>
      <c r="E828" s="44" t="s">
        <v>2174</v>
      </c>
      <c r="F828" s="38" t="s">
        <v>2058</v>
      </c>
      <c r="G828" s="45">
        <v>14500</v>
      </c>
      <c r="H828" s="45">
        <v>87</v>
      </c>
    </row>
    <row r="829" spans="1:8">
      <c r="A829" s="78">
        <v>129042018715</v>
      </c>
      <c r="B829" s="1" t="s">
        <v>2183</v>
      </c>
      <c r="C829" s="44" t="s">
        <v>2161</v>
      </c>
      <c r="D829" s="1" t="s">
        <v>2057</v>
      </c>
      <c r="E829" s="44" t="s">
        <v>2174</v>
      </c>
      <c r="F829" s="38" t="s">
        <v>2058</v>
      </c>
      <c r="G829" s="45">
        <v>3290</v>
      </c>
      <c r="H829" s="45">
        <v>19.739999999999998</v>
      </c>
    </row>
    <row r="830" spans="1:8">
      <c r="A830" s="78">
        <v>129042046381</v>
      </c>
      <c r="B830" s="1" t="s">
        <v>8</v>
      </c>
      <c r="C830" s="44" t="s">
        <v>2161</v>
      </c>
      <c r="D830" s="1" t="s">
        <v>2057</v>
      </c>
      <c r="E830" s="44" t="s">
        <v>2174</v>
      </c>
      <c r="F830" s="38" t="s">
        <v>2058</v>
      </c>
      <c r="G830" s="45">
        <v>32900</v>
      </c>
      <c r="H830" s="45">
        <v>197.4</v>
      </c>
    </row>
    <row r="831" spans="1:8">
      <c r="A831" s="78">
        <v>129615263844</v>
      </c>
      <c r="B831" s="1" t="s">
        <v>8</v>
      </c>
      <c r="C831" s="44" t="s">
        <v>2161</v>
      </c>
      <c r="D831" s="1" t="s">
        <v>2057</v>
      </c>
      <c r="E831" s="44" t="s">
        <v>2174</v>
      </c>
      <c r="F831" s="38" t="s">
        <v>2058</v>
      </c>
      <c r="G831" s="45">
        <v>13000</v>
      </c>
      <c r="H831" s="45">
        <v>78</v>
      </c>
    </row>
    <row r="832" spans="1:8">
      <c r="A832" s="78">
        <v>129043240467</v>
      </c>
      <c r="B832" s="1" t="s">
        <v>8</v>
      </c>
      <c r="C832" s="44" t="s">
        <v>2161</v>
      </c>
      <c r="D832" s="1" t="s">
        <v>2057</v>
      </c>
      <c r="E832" s="44" t="s">
        <v>2174</v>
      </c>
      <c r="F832" s="38" t="s">
        <v>2058</v>
      </c>
      <c r="G832" s="45">
        <v>9800</v>
      </c>
      <c r="H832" s="45">
        <v>58.8</v>
      </c>
    </row>
    <row r="833" spans="1:8">
      <c r="A833" s="78">
        <v>129043316565</v>
      </c>
      <c r="B833" s="1" t="s">
        <v>8</v>
      </c>
      <c r="C833" s="44" t="s">
        <v>2161</v>
      </c>
      <c r="D833" s="1" t="s">
        <v>2057</v>
      </c>
      <c r="E833" s="44" t="s">
        <v>2174</v>
      </c>
      <c r="F833" s="38" t="s">
        <v>2058</v>
      </c>
      <c r="G833" s="45">
        <v>9200</v>
      </c>
      <c r="H833" s="45">
        <v>55.2</v>
      </c>
    </row>
    <row r="834" spans="1:8">
      <c r="A834" s="78">
        <v>129616337706</v>
      </c>
      <c r="B834" s="1" t="s">
        <v>2184</v>
      </c>
      <c r="C834" s="44" t="s">
        <v>2161</v>
      </c>
      <c r="D834" s="1" t="s">
        <v>2057</v>
      </c>
      <c r="E834" s="44" t="s">
        <v>2174</v>
      </c>
      <c r="F834" s="38" t="s">
        <v>2058</v>
      </c>
      <c r="G834" s="45">
        <v>420</v>
      </c>
      <c r="H834" s="45">
        <v>2.52</v>
      </c>
    </row>
    <row r="835" spans="1:8">
      <c r="A835" s="78">
        <v>129043545109</v>
      </c>
      <c r="B835" s="1" t="s">
        <v>8</v>
      </c>
      <c r="C835" s="44" t="s">
        <v>2161</v>
      </c>
      <c r="D835" s="1" t="s">
        <v>2057</v>
      </c>
      <c r="E835" s="44" t="s">
        <v>2174</v>
      </c>
      <c r="F835" s="38" t="s">
        <v>2058</v>
      </c>
      <c r="G835" s="45">
        <v>8400</v>
      </c>
      <c r="H835" s="45">
        <v>50.4</v>
      </c>
    </row>
    <row r="836" spans="1:8">
      <c r="A836" s="78">
        <v>129043666455</v>
      </c>
      <c r="B836" s="1" t="s">
        <v>2055</v>
      </c>
      <c r="C836" s="44" t="s">
        <v>2161</v>
      </c>
      <c r="D836" s="1" t="s">
        <v>2057</v>
      </c>
      <c r="E836" s="44" t="s">
        <v>2174</v>
      </c>
      <c r="F836" s="38" t="s">
        <v>2058</v>
      </c>
      <c r="G836" s="45">
        <v>8600</v>
      </c>
      <c r="H836" s="45">
        <v>51.6</v>
      </c>
    </row>
    <row r="837" spans="1:8">
      <c r="A837" s="78">
        <v>129043974077</v>
      </c>
      <c r="B837" s="1" t="s">
        <v>8</v>
      </c>
      <c r="C837" s="44" t="s">
        <v>2161</v>
      </c>
      <c r="D837" s="1" t="s">
        <v>2057</v>
      </c>
      <c r="E837" s="44" t="s">
        <v>2174</v>
      </c>
      <c r="F837" s="38" t="s">
        <v>2058</v>
      </c>
      <c r="G837" s="45">
        <v>25800</v>
      </c>
      <c r="H837" s="45">
        <v>154.80000000000001</v>
      </c>
    </row>
    <row r="838" spans="1:8">
      <c r="A838" s="78">
        <v>129044065429</v>
      </c>
      <c r="B838" s="1" t="s">
        <v>2055</v>
      </c>
      <c r="C838" s="44" t="s">
        <v>2161</v>
      </c>
      <c r="D838" s="1" t="s">
        <v>2057</v>
      </c>
      <c r="E838" s="44" t="s">
        <v>2174</v>
      </c>
      <c r="F838" s="38" t="s">
        <v>2058</v>
      </c>
      <c r="G838" s="45">
        <v>47300</v>
      </c>
      <c r="H838" s="45">
        <v>283.8</v>
      </c>
    </row>
    <row r="839" spans="1:8">
      <c r="A839" s="78">
        <v>129044329247</v>
      </c>
      <c r="B839" s="1" t="s">
        <v>2185</v>
      </c>
      <c r="C839" s="44" t="s">
        <v>2174</v>
      </c>
      <c r="D839" s="1" t="s">
        <v>2057</v>
      </c>
      <c r="E839" s="44" t="s">
        <v>2174</v>
      </c>
      <c r="F839" s="38" t="s">
        <v>2058</v>
      </c>
      <c r="G839" s="45">
        <v>3780</v>
      </c>
      <c r="H839" s="45">
        <v>22.68</v>
      </c>
    </row>
    <row r="840" spans="1:8">
      <c r="A840" s="78">
        <v>129044603083</v>
      </c>
      <c r="B840" s="1" t="s">
        <v>2055</v>
      </c>
      <c r="C840" s="44" t="s">
        <v>2174</v>
      </c>
      <c r="D840" s="1" t="s">
        <v>2057</v>
      </c>
      <c r="E840" s="44" t="s">
        <v>2174</v>
      </c>
      <c r="F840" s="38" t="s">
        <v>2058</v>
      </c>
      <c r="G840" s="45">
        <v>18100</v>
      </c>
      <c r="H840" s="45">
        <v>108.6</v>
      </c>
    </row>
    <row r="841" spans="1:8">
      <c r="A841" s="78">
        <v>129045319317</v>
      </c>
      <c r="B841" s="1" t="s">
        <v>8</v>
      </c>
      <c r="C841" s="44" t="s">
        <v>2174</v>
      </c>
      <c r="D841" s="1" t="s">
        <v>2057</v>
      </c>
      <c r="E841" s="44" t="s">
        <v>2174</v>
      </c>
      <c r="F841" s="38" t="s">
        <v>2058</v>
      </c>
      <c r="G841" s="45">
        <v>27600</v>
      </c>
      <c r="H841" s="45">
        <v>165.6</v>
      </c>
    </row>
    <row r="842" spans="1:8">
      <c r="A842" s="78">
        <v>129045423297</v>
      </c>
      <c r="B842" s="1" t="s">
        <v>8</v>
      </c>
      <c r="C842" s="44" t="s">
        <v>2174</v>
      </c>
      <c r="D842" s="1" t="s">
        <v>2057</v>
      </c>
      <c r="E842" s="44" t="s">
        <v>2174</v>
      </c>
      <c r="F842" s="38" t="s">
        <v>2058</v>
      </c>
      <c r="G842" s="45">
        <v>14600</v>
      </c>
      <c r="H842" s="45">
        <v>87.6</v>
      </c>
    </row>
    <row r="843" spans="1:8">
      <c r="A843" s="78">
        <v>129618619096</v>
      </c>
      <c r="B843" s="1" t="s">
        <v>2055</v>
      </c>
      <c r="C843" s="44" t="s">
        <v>2174</v>
      </c>
      <c r="D843" s="1" t="s">
        <v>2057</v>
      </c>
      <c r="E843" s="44" t="s">
        <v>2174</v>
      </c>
      <c r="F843" s="38" t="s">
        <v>2058</v>
      </c>
      <c r="G843" s="45">
        <v>9600</v>
      </c>
      <c r="H843" s="45">
        <v>57.6</v>
      </c>
    </row>
    <row r="844" spans="1:8">
      <c r="A844" s="78">
        <v>129045868221</v>
      </c>
      <c r="B844" s="1" t="s">
        <v>2055</v>
      </c>
      <c r="C844" s="44" t="s">
        <v>2174</v>
      </c>
      <c r="D844" s="1" t="s">
        <v>2057</v>
      </c>
      <c r="E844" s="44" t="s">
        <v>2174</v>
      </c>
      <c r="F844" s="38" t="s">
        <v>2058</v>
      </c>
      <c r="G844" s="45">
        <v>4800</v>
      </c>
      <c r="H844" s="45">
        <v>28.8</v>
      </c>
    </row>
    <row r="845" spans="1:8">
      <c r="A845" s="78">
        <v>129620006666</v>
      </c>
      <c r="B845" s="1" t="s">
        <v>8</v>
      </c>
      <c r="C845" s="44" t="s">
        <v>2174</v>
      </c>
      <c r="D845" s="1" t="s">
        <v>2057</v>
      </c>
      <c r="E845" s="44" t="s">
        <v>2174</v>
      </c>
      <c r="F845" s="38" t="s">
        <v>2058</v>
      </c>
      <c r="G845" s="45">
        <v>4000</v>
      </c>
      <c r="H845" s="45">
        <v>24</v>
      </c>
    </row>
    <row r="846" spans="1:8">
      <c r="A846" s="78">
        <v>129047014463</v>
      </c>
      <c r="B846" s="1" t="s">
        <v>8</v>
      </c>
      <c r="C846" s="44" t="s">
        <v>2174</v>
      </c>
      <c r="D846" s="1" t="s">
        <v>2057</v>
      </c>
      <c r="E846" s="44" t="s">
        <v>2174</v>
      </c>
      <c r="F846" s="38" t="s">
        <v>2058</v>
      </c>
      <c r="G846" s="45">
        <v>23400</v>
      </c>
      <c r="H846" s="45">
        <v>140.4</v>
      </c>
    </row>
    <row r="847" spans="1:8">
      <c r="A847" s="78">
        <v>129047335457</v>
      </c>
      <c r="B847" s="1" t="s">
        <v>2055</v>
      </c>
      <c r="C847" s="44" t="s">
        <v>2174</v>
      </c>
      <c r="D847" s="1" t="s">
        <v>2057</v>
      </c>
      <c r="E847" s="44" t="s">
        <v>2174</v>
      </c>
      <c r="F847" s="38" t="s">
        <v>2058</v>
      </c>
      <c r="G847" s="45">
        <v>18800</v>
      </c>
      <c r="H847" s="45">
        <v>112.8</v>
      </c>
    </row>
    <row r="848" spans="1:8">
      <c r="A848" s="78">
        <v>129620763756</v>
      </c>
      <c r="B848" s="1" t="s">
        <v>2186</v>
      </c>
      <c r="C848" s="44" t="s">
        <v>2174</v>
      </c>
      <c r="D848" s="1" t="s">
        <v>2057</v>
      </c>
      <c r="E848" s="44" t="s">
        <v>2174</v>
      </c>
      <c r="F848" s="38" t="s">
        <v>2058</v>
      </c>
      <c r="G848" s="45">
        <v>500</v>
      </c>
      <c r="H848" s="45">
        <v>3</v>
      </c>
    </row>
    <row r="849" spans="1:8">
      <c r="A849" s="78">
        <v>129621107146</v>
      </c>
      <c r="B849" s="1" t="s">
        <v>8</v>
      </c>
      <c r="C849" s="44" t="s">
        <v>2174</v>
      </c>
      <c r="D849" s="1" t="s">
        <v>2057</v>
      </c>
      <c r="E849" s="44" t="s">
        <v>2174</v>
      </c>
      <c r="F849" s="38" t="s">
        <v>2058</v>
      </c>
      <c r="G849" s="45">
        <v>4000</v>
      </c>
      <c r="H849" s="45">
        <v>24</v>
      </c>
    </row>
    <row r="850" spans="1:8">
      <c r="A850" s="78">
        <v>129621143792</v>
      </c>
      <c r="B850" s="1" t="s">
        <v>8</v>
      </c>
      <c r="C850" s="44" t="s">
        <v>2174</v>
      </c>
      <c r="D850" s="1" t="s">
        <v>2057</v>
      </c>
      <c r="E850" s="44" t="s">
        <v>2174</v>
      </c>
      <c r="F850" s="38" t="s">
        <v>2058</v>
      </c>
      <c r="G850" s="45">
        <v>10300</v>
      </c>
      <c r="H850" s="45">
        <v>61.8</v>
      </c>
    </row>
    <row r="851" spans="1:8">
      <c r="A851" s="78">
        <v>129621293638</v>
      </c>
      <c r="B851" s="1" t="s">
        <v>2055</v>
      </c>
      <c r="C851" s="44" t="s">
        <v>2174</v>
      </c>
      <c r="D851" s="1" t="s">
        <v>2057</v>
      </c>
      <c r="E851" s="44" t="s">
        <v>2174</v>
      </c>
      <c r="F851" s="38" t="s">
        <v>2058</v>
      </c>
      <c r="G851" s="45">
        <v>9800</v>
      </c>
      <c r="H851" s="45">
        <v>58.8</v>
      </c>
    </row>
    <row r="852" spans="1:8">
      <c r="A852" s="78">
        <v>129048678585</v>
      </c>
      <c r="B852" s="1" t="s">
        <v>2055</v>
      </c>
      <c r="C852" s="44" t="s">
        <v>2174</v>
      </c>
      <c r="D852" s="1" t="s">
        <v>2057</v>
      </c>
      <c r="E852" s="44" t="s">
        <v>2174</v>
      </c>
      <c r="F852" s="38" t="s">
        <v>2058</v>
      </c>
      <c r="G852" s="45">
        <v>203100</v>
      </c>
      <c r="H852" s="45">
        <v>1218.5999999999999</v>
      </c>
    </row>
    <row r="853" spans="1:8">
      <c r="A853" s="78">
        <v>129621447690</v>
      </c>
      <c r="B853" s="1" t="s">
        <v>2055</v>
      </c>
      <c r="C853" s="44" t="s">
        <v>2174</v>
      </c>
      <c r="D853" s="1" t="s">
        <v>2057</v>
      </c>
      <c r="E853" s="44" t="s">
        <v>2174</v>
      </c>
      <c r="F853" s="38" t="s">
        <v>2058</v>
      </c>
      <c r="G853" s="45">
        <v>41900</v>
      </c>
      <c r="H853" s="45">
        <v>251.4</v>
      </c>
    </row>
    <row r="854" spans="1:8">
      <c r="A854" s="78">
        <v>129686309290</v>
      </c>
      <c r="B854" s="1" t="s">
        <v>8</v>
      </c>
      <c r="C854" s="44" t="s">
        <v>2174</v>
      </c>
      <c r="D854" s="1" t="s">
        <v>2057</v>
      </c>
      <c r="E854" s="44" t="s">
        <v>2174</v>
      </c>
      <c r="F854" s="38" t="s">
        <v>2058</v>
      </c>
      <c r="G854" s="45">
        <v>4900</v>
      </c>
      <c r="H854" s="45">
        <v>29.4</v>
      </c>
    </row>
    <row r="855" spans="1:8">
      <c r="A855" s="78">
        <v>129117110511</v>
      </c>
      <c r="B855" s="1" t="s">
        <v>8</v>
      </c>
      <c r="C855" s="44" t="s">
        <v>2174</v>
      </c>
      <c r="D855" s="1" t="s">
        <v>2057</v>
      </c>
      <c r="E855" s="44" t="s">
        <v>2174</v>
      </c>
      <c r="F855" s="38" t="s">
        <v>2058</v>
      </c>
      <c r="G855" s="45">
        <v>12900</v>
      </c>
      <c r="H855" s="45">
        <v>77.400000000000006</v>
      </c>
    </row>
    <row r="856" spans="1:8">
      <c r="A856" s="78">
        <v>129694991650</v>
      </c>
      <c r="B856" s="1" t="s">
        <v>2055</v>
      </c>
      <c r="C856" s="44" t="s">
        <v>2174</v>
      </c>
      <c r="D856" s="1" t="s">
        <v>2057</v>
      </c>
      <c r="E856" s="44" t="s">
        <v>2174</v>
      </c>
      <c r="F856" s="38" t="s">
        <v>2058</v>
      </c>
      <c r="G856" s="45">
        <v>16000</v>
      </c>
      <c r="H856" s="45">
        <v>96</v>
      </c>
    </row>
    <row r="857" spans="1:8">
      <c r="A857" s="78">
        <v>129696609972</v>
      </c>
      <c r="B857" s="1" t="s">
        <v>8</v>
      </c>
      <c r="C857" s="44" t="s">
        <v>2174</v>
      </c>
      <c r="D857" s="1" t="s">
        <v>2057</v>
      </c>
      <c r="E857" s="44" t="s">
        <v>2174</v>
      </c>
      <c r="F857" s="38" t="s">
        <v>2058</v>
      </c>
      <c r="G857" s="45">
        <v>27400</v>
      </c>
      <c r="H857" s="45">
        <v>164.4</v>
      </c>
    </row>
    <row r="858" spans="1:8">
      <c r="A858" s="78">
        <v>129698242386</v>
      </c>
      <c r="B858" s="1" t="s">
        <v>2055</v>
      </c>
      <c r="C858" s="44" t="s">
        <v>2174</v>
      </c>
      <c r="D858" s="1" t="s">
        <v>2057</v>
      </c>
      <c r="E858" s="44" t="s">
        <v>2174</v>
      </c>
      <c r="F858" s="38" t="s">
        <v>2058</v>
      </c>
      <c r="G858" s="45">
        <v>48700</v>
      </c>
      <c r="H858" s="45">
        <v>292.2</v>
      </c>
    </row>
    <row r="859" spans="1:8">
      <c r="A859" s="78">
        <v>129117741955</v>
      </c>
      <c r="B859" s="1" t="s">
        <v>2055</v>
      </c>
      <c r="C859" s="44" t="s">
        <v>2174</v>
      </c>
      <c r="D859" s="1" t="s">
        <v>2057</v>
      </c>
      <c r="E859" s="44" t="s">
        <v>2174</v>
      </c>
      <c r="F859" s="38" t="s">
        <v>2058</v>
      </c>
      <c r="G859" s="45">
        <v>20800</v>
      </c>
      <c r="H859" s="45">
        <v>124.8</v>
      </c>
    </row>
    <row r="860" spans="1:8">
      <c r="A860" s="78">
        <v>129705486752</v>
      </c>
      <c r="B860" s="1" t="s">
        <v>8</v>
      </c>
      <c r="C860" s="44" t="s">
        <v>2174</v>
      </c>
      <c r="D860" s="1" t="s">
        <v>2057</v>
      </c>
      <c r="E860" s="44" t="s">
        <v>2174</v>
      </c>
      <c r="F860" s="38" t="s">
        <v>2058</v>
      </c>
      <c r="G860" s="45">
        <v>81300</v>
      </c>
      <c r="H860" s="45">
        <v>487.8</v>
      </c>
    </row>
    <row r="861" spans="1:8">
      <c r="A861" s="78">
        <v>129132489041</v>
      </c>
      <c r="B861" s="1" t="s">
        <v>8</v>
      </c>
      <c r="C861" s="44" t="s">
        <v>2174</v>
      </c>
      <c r="D861" s="1" t="s">
        <v>2057</v>
      </c>
      <c r="E861" s="44" t="s">
        <v>2174</v>
      </c>
      <c r="F861" s="38" t="s">
        <v>2058</v>
      </c>
      <c r="G861" s="45">
        <v>14400</v>
      </c>
      <c r="H861" s="45">
        <v>86.4</v>
      </c>
    </row>
    <row r="862" spans="1:8">
      <c r="A862" s="78">
        <v>129132696737</v>
      </c>
      <c r="B862" s="1" t="s">
        <v>2187</v>
      </c>
      <c r="C862" s="44" t="s">
        <v>2174</v>
      </c>
      <c r="D862" s="1" t="s">
        <v>2057</v>
      </c>
      <c r="E862" s="44" t="s">
        <v>2174</v>
      </c>
      <c r="F862" s="38" t="s">
        <v>2058</v>
      </c>
      <c r="G862" s="45">
        <v>250</v>
      </c>
      <c r="H862" s="45">
        <v>1.5</v>
      </c>
    </row>
    <row r="863" spans="1:8">
      <c r="A863" s="78">
        <v>129705904234</v>
      </c>
      <c r="B863" s="1" t="s">
        <v>8</v>
      </c>
      <c r="C863" s="44" t="s">
        <v>2174</v>
      </c>
      <c r="D863" s="1" t="s">
        <v>2057</v>
      </c>
      <c r="E863" s="44" t="s">
        <v>2174</v>
      </c>
      <c r="F863" s="38" t="s">
        <v>2058</v>
      </c>
      <c r="G863" s="45">
        <v>5000</v>
      </c>
      <c r="H863" s="45">
        <v>30</v>
      </c>
    </row>
    <row r="864" spans="1:8">
      <c r="A864" s="78">
        <v>129700170344</v>
      </c>
      <c r="B864" s="1" t="s">
        <v>2055</v>
      </c>
      <c r="C864" s="44" t="s">
        <v>2174</v>
      </c>
      <c r="D864" s="1" t="s">
        <v>2057</v>
      </c>
      <c r="E864" s="44" t="s">
        <v>2174</v>
      </c>
      <c r="F864" s="38" t="s">
        <v>2058</v>
      </c>
      <c r="G864" s="45">
        <v>65300</v>
      </c>
      <c r="H864" s="45">
        <v>391.8</v>
      </c>
    </row>
    <row r="865" spans="1:8">
      <c r="A865" s="78">
        <v>129127283837</v>
      </c>
      <c r="B865" s="1" t="s">
        <v>8</v>
      </c>
      <c r="C865" s="44" t="s">
        <v>2174</v>
      </c>
      <c r="D865" s="1" t="s">
        <v>2057</v>
      </c>
      <c r="E865" s="44" t="s">
        <v>2174</v>
      </c>
      <c r="F865" s="38" t="s">
        <v>2058</v>
      </c>
      <c r="G865" s="45">
        <v>38300</v>
      </c>
      <c r="H865" s="45">
        <v>229.8</v>
      </c>
    </row>
    <row r="866" spans="1:8">
      <c r="A866" s="78">
        <v>129127816699</v>
      </c>
      <c r="B866" s="1" t="s">
        <v>8</v>
      </c>
      <c r="C866" s="44" t="s">
        <v>2174</v>
      </c>
      <c r="D866" s="1" t="s">
        <v>2057</v>
      </c>
      <c r="E866" s="44" t="s">
        <v>2174</v>
      </c>
      <c r="F866" s="38" t="s">
        <v>2058</v>
      </c>
      <c r="G866" s="45">
        <v>12200</v>
      </c>
      <c r="H866" s="45">
        <v>73.2</v>
      </c>
    </row>
    <row r="867" spans="1:8">
      <c r="A867" s="78">
        <v>129710939716</v>
      </c>
      <c r="B867" s="1" t="s">
        <v>8</v>
      </c>
      <c r="C867" s="44" t="s">
        <v>2188</v>
      </c>
      <c r="D867" s="1" t="s">
        <v>2057</v>
      </c>
      <c r="E867" s="44" t="s">
        <v>2188</v>
      </c>
      <c r="F867" s="38" t="s">
        <v>2058</v>
      </c>
      <c r="G867" s="45">
        <v>40000</v>
      </c>
      <c r="H867" s="45">
        <v>240</v>
      </c>
    </row>
    <row r="868" spans="1:8">
      <c r="A868" s="78">
        <v>129131320825</v>
      </c>
      <c r="B868" s="1" t="s">
        <v>8</v>
      </c>
      <c r="C868" s="44" t="s">
        <v>2174</v>
      </c>
      <c r="D868" s="1" t="s">
        <v>2057</v>
      </c>
      <c r="E868" s="44" t="s">
        <v>2174</v>
      </c>
      <c r="F868" s="38" t="s">
        <v>2058</v>
      </c>
      <c r="G868" s="45">
        <v>41000</v>
      </c>
      <c r="H868" s="45">
        <v>246</v>
      </c>
    </row>
    <row r="869" spans="1:8">
      <c r="A869" s="78">
        <v>129131291041</v>
      </c>
      <c r="B869" s="1" t="s">
        <v>2189</v>
      </c>
      <c r="C869" s="44" t="s">
        <v>2174</v>
      </c>
      <c r="D869" s="1" t="s">
        <v>2057</v>
      </c>
      <c r="E869" s="44" t="s">
        <v>2174</v>
      </c>
      <c r="F869" s="38" t="s">
        <v>2058</v>
      </c>
      <c r="G869" s="45">
        <v>6150</v>
      </c>
      <c r="H869" s="45">
        <v>36.9</v>
      </c>
    </row>
    <row r="870" spans="1:8">
      <c r="A870" s="78">
        <v>129704501978</v>
      </c>
      <c r="B870" s="1" t="s">
        <v>2190</v>
      </c>
      <c r="C870" s="44" t="s">
        <v>2174</v>
      </c>
      <c r="D870" s="1" t="s">
        <v>2057</v>
      </c>
      <c r="E870" s="44" t="s">
        <v>2174</v>
      </c>
      <c r="F870" s="38" t="s">
        <v>2058</v>
      </c>
      <c r="G870" s="45">
        <v>2880</v>
      </c>
      <c r="H870" s="45">
        <v>17.28</v>
      </c>
    </row>
    <row r="871" spans="1:8">
      <c r="A871" s="78">
        <v>129131301899</v>
      </c>
      <c r="B871" s="1" t="s">
        <v>8</v>
      </c>
      <c r="C871" s="44" t="s">
        <v>2174</v>
      </c>
      <c r="D871" s="1" t="s">
        <v>2057</v>
      </c>
      <c r="E871" s="44" t="s">
        <v>2174</v>
      </c>
      <c r="F871" s="38" t="s">
        <v>2058</v>
      </c>
      <c r="G871" s="45">
        <v>28800</v>
      </c>
      <c r="H871" s="45">
        <v>172.8</v>
      </c>
    </row>
    <row r="872" spans="1:8">
      <c r="A872" s="78">
        <v>129131482843</v>
      </c>
      <c r="B872" s="1" t="s">
        <v>8</v>
      </c>
      <c r="C872" s="44" t="s">
        <v>2174</v>
      </c>
      <c r="D872" s="1" t="s">
        <v>2057</v>
      </c>
      <c r="E872" s="44" t="s">
        <v>2174</v>
      </c>
      <c r="F872" s="38" t="s">
        <v>2058</v>
      </c>
      <c r="G872" s="45">
        <v>25200</v>
      </c>
      <c r="H872" s="45">
        <v>151.19999999999999</v>
      </c>
    </row>
    <row r="873" spans="1:8">
      <c r="A873" s="78">
        <v>129131696927</v>
      </c>
      <c r="B873" s="1" t="s">
        <v>2055</v>
      </c>
      <c r="C873" s="44" t="s">
        <v>2174</v>
      </c>
      <c r="D873" s="1" t="s">
        <v>2057</v>
      </c>
      <c r="E873" s="44" t="s">
        <v>2174</v>
      </c>
      <c r="F873" s="38" t="s">
        <v>2058</v>
      </c>
      <c r="G873" s="45">
        <v>18300</v>
      </c>
      <c r="H873" s="45">
        <v>109.8</v>
      </c>
    </row>
    <row r="874" spans="1:8">
      <c r="A874" s="78">
        <v>129705455082</v>
      </c>
      <c r="B874" s="1" t="s">
        <v>8</v>
      </c>
      <c r="C874" s="44" t="s">
        <v>2174</v>
      </c>
      <c r="D874" s="1" t="s">
        <v>2057</v>
      </c>
      <c r="E874" s="44" t="s">
        <v>2174</v>
      </c>
      <c r="F874" s="38" t="s">
        <v>2058</v>
      </c>
      <c r="G874" s="45">
        <v>77600</v>
      </c>
      <c r="H874" s="45">
        <v>465.6</v>
      </c>
    </row>
    <row r="875" spans="1:8">
      <c r="A875" s="78">
        <v>129705584190</v>
      </c>
      <c r="B875" s="1" t="s">
        <v>2055</v>
      </c>
      <c r="C875" s="44" t="s">
        <v>2174</v>
      </c>
      <c r="D875" s="1" t="s">
        <v>2057</v>
      </c>
      <c r="E875" s="44" t="s">
        <v>2174</v>
      </c>
      <c r="F875" s="38" t="s">
        <v>2058</v>
      </c>
      <c r="G875" s="45">
        <v>10300</v>
      </c>
      <c r="H875" s="45">
        <v>61.8</v>
      </c>
    </row>
    <row r="876" spans="1:8">
      <c r="A876" s="78">
        <v>129705741726</v>
      </c>
      <c r="B876" s="1" t="s">
        <v>8</v>
      </c>
      <c r="C876" s="44" t="s">
        <v>2174</v>
      </c>
      <c r="D876" s="1" t="s">
        <v>2057</v>
      </c>
      <c r="E876" s="44" t="s">
        <v>2174</v>
      </c>
      <c r="F876" s="38" t="s">
        <v>2058</v>
      </c>
      <c r="G876" s="45">
        <v>36400</v>
      </c>
      <c r="H876" s="45">
        <v>218.4</v>
      </c>
    </row>
    <row r="877" spans="1:8">
      <c r="A877" s="78">
        <v>129707362676</v>
      </c>
      <c r="B877" s="1" t="s">
        <v>8</v>
      </c>
      <c r="C877" s="44" t="s">
        <v>2174</v>
      </c>
      <c r="D877" s="1" t="s">
        <v>2057</v>
      </c>
      <c r="E877" s="44" t="s">
        <v>2188</v>
      </c>
      <c r="F877" s="38" t="s">
        <v>2058</v>
      </c>
      <c r="G877" s="45">
        <v>89200</v>
      </c>
      <c r="H877" s="45">
        <v>535.20000000000005</v>
      </c>
    </row>
    <row r="878" spans="1:8">
      <c r="A878" s="78">
        <v>129709148788</v>
      </c>
      <c r="B878" s="1" t="s">
        <v>8</v>
      </c>
      <c r="C878" s="44" t="s">
        <v>2188</v>
      </c>
      <c r="D878" s="1" t="s">
        <v>2057</v>
      </c>
      <c r="E878" s="44" t="s">
        <v>2188</v>
      </c>
      <c r="F878" s="38" t="s">
        <v>2058</v>
      </c>
      <c r="G878" s="45">
        <v>18600</v>
      </c>
      <c r="H878" s="45">
        <v>111.6</v>
      </c>
    </row>
    <row r="879" spans="1:8">
      <c r="A879" s="78">
        <v>129709073862</v>
      </c>
      <c r="B879" s="1" t="s">
        <v>2191</v>
      </c>
      <c r="C879" s="44" t="s">
        <v>2188</v>
      </c>
      <c r="D879" s="1" t="s">
        <v>2057</v>
      </c>
      <c r="E879" s="44" t="s">
        <v>2188</v>
      </c>
      <c r="F879" s="38" t="s">
        <v>2058</v>
      </c>
      <c r="G879" s="45">
        <v>930</v>
      </c>
      <c r="H879" s="45">
        <v>5.58</v>
      </c>
    </row>
    <row r="880" spans="1:8">
      <c r="A880" s="78">
        <v>129710895224</v>
      </c>
      <c r="B880" s="1" t="s">
        <v>8</v>
      </c>
      <c r="C880" s="44" t="s">
        <v>2188</v>
      </c>
      <c r="D880" s="1" t="s">
        <v>2057</v>
      </c>
      <c r="E880" s="44" t="s">
        <v>2188</v>
      </c>
      <c r="F880" s="38" t="s">
        <v>2058</v>
      </c>
      <c r="G880" s="45">
        <v>15000</v>
      </c>
      <c r="H880" s="45">
        <v>90</v>
      </c>
    </row>
    <row r="881" spans="1:8">
      <c r="A881" s="78" t="s">
        <v>2192</v>
      </c>
      <c r="B881" s="1" t="s">
        <v>8</v>
      </c>
      <c r="C881" s="44" t="s">
        <v>2188</v>
      </c>
      <c r="D881" s="1" t="s">
        <v>2057</v>
      </c>
      <c r="E881" s="44" t="s">
        <v>2188</v>
      </c>
      <c r="F881" s="38" t="s">
        <v>2058</v>
      </c>
      <c r="G881" s="45">
        <v>1239720</v>
      </c>
      <c r="H881" s="45">
        <v>7438.32</v>
      </c>
    </row>
    <row r="882" spans="1:8">
      <c r="A882" s="78" t="s">
        <v>2193</v>
      </c>
      <c r="B882" s="1" t="s">
        <v>8</v>
      </c>
      <c r="C882" s="44" t="s">
        <v>2188</v>
      </c>
      <c r="D882" s="1" t="s">
        <v>2057</v>
      </c>
      <c r="E882" s="44" t="s">
        <v>2188</v>
      </c>
      <c r="F882" s="38" t="s">
        <v>2058</v>
      </c>
      <c r="G882" s="45">
        <v>579807.53</v>
      </c>
      <c r="H882" s="45">
        <v>3478.85</v>
      </c>
    </row>
    <row r="883" spans="1:8">
      <c r="A883" s="78">
        <v>129188524455</v>
      </c>
      <c r="B883" s="1" t="s">
        <v>8</v>
      </c>
      <c r="C883" s="44" t="s">
        <v>2188</v>
      </c>
      <c r="D883" s="1" t="s">
        <v>2057</v>
      </c>
      <c r="E883" s="44" t="s">
        <v>2188</v>
      </c>
      <c r="F883" s="38" t="s">
        <v>2058</v>
      </c>
      <c r="G883" s="45">
        <v>510619.83</v>
      </c>
      <c r="H883" s="45">
        <v>3063.72</v>
      </c>
    </row>
    <row r="884" spans="1:8">
      <c r="A884" s="78">
        <v>129327674841</v>
      </c>
      <c r="B884" s="1" t="s">
        <v>2194</v>
      </c>
      <c r="C884" s="44" t="s">
        <v>2195</v>
      </c>
      <c r="D884" s="1" t="s">
        <v>2057</v>
      </c>
      <c r="E884" s="44" t="s">
        <v>2195</v>
      </c>
      <c r="F884" s="38" t="s">
        <v>2058</v>
      </c>
      <c r="G884" s="45">
        <v>51072</v>
      </c>
      <c r="H884" s="45">
        <v>306.43</v>
      </c>
    </row>
    <row r="885" spans="1:8">
      <c r="A885" s="78">
        <v>130014131238</v>
      </c>
      <c r="B885" s="1" t="s">
        <v>8</v>
      </c>
      <c r="C885" s="44" t="s">
        <v>2196</v>
      </c>
      <c r="D885" s="1" t="s">
        <v>2057</v>
      </c>
      <c r="E885" s="44" t="s">
        <v>2196</v>
      </c>
      <c r="F885" s="38" t="s">
        <v>2058</v>
      </c>
      <c r="G885" s="45">
        <v>275025.13</v>
      </c>
      <c r="H885" s="45">
        <v>1650.15</v>
      </c>
    </row>
    <row r="886" spans="1:8">
      <c r="A886" s="78">
        <v>129462587231</v>
      </c>
      <c r="B886" s="1" t="s">
        <v>8</v>
      </c>
      <c r="C886" s="44" t="s">
        <v>2196</v>
      </c>
      <c r="D886" s="1" t="s">
        <v>2057</v>
      </c>
      <c r="E886" s="44" t="s">
        <v>2196</v>
      </c>
      <c r="F886" s="38" t="s">
        <v>2058</v>
      </c>
      <c r="G886" s="45">
        <v>234885.71</v>
      </c>
      <c r="H886" s="45">
        <v>1409.31</v>
      </c>
    </row>
    <row r="887" spans="1:8">
      <c r="A887" s="78">
        <v>129509437895</v>
      </c>
      <c r="B887" s="1" t="s">
        <v>8</v>
      </c>
      <c r="C887" s="44" t="s">
        <v>2196</v>
      </c>
      <c r="D887" s="1" t="s">
        <v>2057</v>
      </c>
      <c r="E887" s="44" t="s">
        <v>2196</v>
      </c>
      <c r="F887" s="38" t="s">
        <v>2058</v>
      </c>
      <c r="G887" s="45">
        <v>4900</v>
      </c>
      <c r="H887" s="45">
        <v>29.4</v>
      </c>
    </row>
    <row r="888" spans="1:8">
      <c r="A888" s="78">
        <v>129500898477</v>
      </c>
      <c r="B888" s="1" t="s">
        <v>2055</v>
      </c>
      <c r="C888" s="44" t="s">
        <v>2196</v>
      </c>
      <c r="D888" s="1" t="s">
        <v>2057</v>
      </c>
      <c r="E888" s="44" t="s">
        <v>2196</v>
      </c>
      <c r="F888" s="38" t="s">
        <v>2058</v>
      </c>
      <c r="G888" s="45">
        <v>9800</v>
      </c>
      <c r="H888" s="45">
        <v>58.8</v>
      </c>
    </row>
    <row r="889" spans="1:8">
      <c r="A889" s="78">
        <v>129518900805</v>
      </c>
      <c r="B889" s="1" t="s">
        <v>8</v>
      </c>
      <c r="C889" s="44" t="s">
        <v>2196</v>
      </c>
      <c r="D889" s="1" t="s">
        <v>2057</v>
      </c>
      <c r="E889" s="44" t="s">
        <v>2196</v>
      </c>
      <c r="F889" s="38" t="s">
        <v>2058</v>
      </c>
      <c r="G889" s="45">
        <v>9600</v>
      </c>
      <c r="H889" s="45">
        <v>57.6</v>
      </c>
    </row>
    <row r="890" spans="1:8">
      <c r="A890" s="78">
        <v>129520478821</v>
      </c>
      <c r="B890" s="1" t="s">
        <v>8</v>
      </c>
      <c r="C890" s="44" t="s">
        <v>2196</v>
      </c>
      <c r="D890" s="1" t="s">
        <v>2057</v>
      </c>
      <c r="E890" s="44" t="s">
        <v>2196</v>
      </c>
      <c r="F890" s="38" t="s">
        <v>2058</v>
      </c>
      <c r="G890" s="45">
        <v>9600</v>
      </c>
      <c r="H890" s="45">
        <v>57.6</v>
      </c>
    </row>
    <row r="891" spans="1:8">
      <c r="A891" s="78">
        <v>130086288874</v>
      </c>
      <c r="B891" s="1" t="s">
        <v>8</v>
      </c>
      <c r="C891" s="44" t="s">
        <v>2196</v>
      </c>
      <c r="D891" s="1" t="s">
        <v>2057</v>
      </c>
      <c r="E891" s="44" t="s">
        <v>2196</v>
      </c>
      <c r="F891" s="38" t="s">
        <v>2058</v>
      </c>
      <c r="G891" s="45">
        <v>38400</v>
      </c>
      <c r="H891" s="45">
        <v>230.4</v>
      </c>
    </row>
    <row r="892" spans="1:8">
      <c r="A892" s="78">
        <v>130098735448</v>
      </c>
      <c r="B892" s="1" t="s">
        <v>2055</v>
      </c>
      <c r="C892" s="44" t="s">
        <v>2196</v>
      </c>
      <c r="D892" s="1" t="s">
        <v>2057</v>
      </c>
      <c r="E892" s="44" t="s">
        <v>2196</v>
      </c>
      <c r="F892" s="38" t="s">
        <v>2058</v>
      </c>
      <c r="G892" s="45">
        <v>20399</v>
      </c>
      <c r="H892" s="45">
        <v>122.39</v>
      </c>
    </row>
    <row r="893" spans="1:8">
      <c r="A893" s="78">
        <v>129524072583</v>
      </c>
      <c r="B893" s="1" t="s">
        <v>8</v>
      </c>
      <c r="C893" s="44" t="s">
        <v>2196</v>
      </c>
      <c r="D893" s="1" t="s">
        <v>2057</v>
      </c>
      <c r="E893" s="44" t="s">
        <v>2196</v>
      </c>
      <c r="F893" s="38" t="s">
        <v>2058</v>
      </c>
      <c r="G893" s="45">
        <v>11999</v>
      </c>
      <c r="H893" s="45">
        <v>71.989999999999995</v>
      </c>
    </row>
    <row r="894" spans="1:8">
      <c r="A894" s="78">
        <v>130091108900</v>
      </c>
      <c r="B894" s="1" t="s">
        <v>2055</v>
      </c>
      <c r="C894" s="44" t="s">
        <v>2196</v>
      </c>
      <c r="D894" s="1" t="s">
        <v>2057</v>
      </c>
      <c r="E894" s="44" t="s">
        <v>2196</v>
      </c>
      <c r="F894" s="38" t="s">
        <v>2058</v>
      </c>
      <c r="G894" s="45">
        <v>4800</v>
      </c>
      <c r="H894" s="45">
        <v>28.8</v>
      </c>
    </row>
    <row r="895" spans="1:8">
      <c r="A895" s="78">
        <v>129524869951</v>
      </c>
      <c r="B895" s="1" t="s">
        <v>8</v>
      </c>
      <c r="C895" s="44" t="s">
        <v>2196</v>
      </c>
      <c r="D895" s="1" t="s">
        <v>2057</v>
      </c>
      <c r="E895" s="44" t="s">
        <v>2196</v>
      </c>
      <c r="F895" s="38" t="s">
        <v>2058</v>
      </c>
      <c r="G895" s="45">
        <v>47996</v>
      </c>
      <c r="H895" s="45">
        <v>287.98</v>
      </c>
    </row>
    <row r="896" spans="1:8">
      <c r="A896" s="78">
        <v>130101623544</v>
      </c>
      <c r="B896" s="1" t="s">
        <v>2055</v>
      </c>
      <c r="C896" s="44" t="s">
        <v>2196</v>
      </c>
      <c r="D896" s="1" t="s">
        <v>2057</v>
      </c>
      <c r="E896" s="44" t="s">
        <v>2196</v>
      </c>
      <c r="F896" s="38" t="s">
        <v>2058</v>
      </c>
      <c r="G896" s="45">
        <v>30500</v>
      </c>
      <c r="H896" s="45">
        <v>183</v>
      </c>
    </row>
    <row r="897" spans="1:8">
      <c r="A897" s="78">
        <v>129516329095</v>
      </c>
      <c r="B897" s="1" t="s">
        <v>8</v>
      </c>
      <c r="C897" s="44" t="s">
        <v>2196</v>
      </c>
      <c r="D897" s="1" t="s">
        <v>2057</v>
      </c>
      <c r="E897" s="44" t="s">
        <v>2196</v>
      </c>
      <c r="F897" s="38" t="s">
        <v>2058</v>
      </c>
      <c r="G897" s="45">
        <v>9600</v>
      </c>
      <c r="H897" s="45">
        <v>57.6</v>
      </c>
    </row>
    <row r="898" spans="1:8">
      <c r="A898" s="78">
        <v>130104043986</v>
      </c>
      <c r="B898" s="1" t="s">
        <v>2055</v>
      </c>
      <c r="C898" s="44" t="s">
        <v>2196</v>
      </c>
      <c r="D898" s="1" t="s">
        <v>2057</v>
      </c>
      <c r="E898" s="44" t="s">
        <v>2196</v>
      </c>
      <c r="F898" s="38" t="s">
        <v>2058</v>
      </c>
      <c r="G898" s="45">
        <v>16000</v>
      </c>
      <c r="H898" s="45">
        <v>96</v>
      </c>
    </row>
    <row r="899" spans="1:8">
      <c r="A899" s="78">
        <v>129528484869</v>
      </c>
      <c r="B899" s="1" t="s">
        <v>8</v>
      </c>
      <c r="C899" s="44" t="s">
        <v>2196</v>
      </c>
      <c r="D899" s="1" t="s">
        <v>2057</v>
      </c>
      <c r="E899" s="44" t="s">
        <v>2196</v>
      </c>
      <c r="F899" s="38" t="s">
        <v>2058</v>
      </c>
      <c r="G899" s="45">
        <v>26700</v>
      </c>
      <c r="H899" s="45">
        <v>160.19999999999999</v>
      </c>
    </row>
    <row r="900" spans="1:8">
      <c r="A900" s="78">
        <v>130104586288</v>
      </c>
      <c r="B900" s="1" t="s">
        <v>8</v>
      </c>
      <c r="C900" s="44" t="s">
        <v>2196</v>
      </c>
      <c r="D900" s="1" t="s">
        <v>2057</v>
      </c>
      <c r="E900" s="44" t="s">
        <v>2196</v>
      </c>
      <c r="F900" s="38" t="s">
        <v>2058</v>
      </c>
      <c r="G900" s="45">
        <v>67297</v>
      </c>
      <c r="H900" s="45">
        <v>403.78</v>
      </c>
    </row>
    <row r="901" spans="1:8">
      <c r="A901" s="78">
        <v>130106124388</v>
      </c>
      <c r="B901" s="1" t="s">
        <v>2055</v>
      </c>
      <c r="C901" s="44" t="s">
        <v>2196</v>
      </c>
      <c r="D901" s="1" t="s">
        <v>2057</v>
      </c>
      <c r="E901" s="44" t="s">
        <v>2197</v>
      </c>
      <c r="F901" s="38" t="s">
        <v>2058</v>
      </c>
      <c r="G901" s="45">
        <v>19600</v>
      </c>
      <c r="H901" s="45">
        <v>117.6</v>
      </c>
    </row>
    <row r="902" spans="1:8">
      <c r="A902" s="78">
        <v>130106306538</v>
      </c>
      <c r="B902" s="1" t="s">
        <v>8</v>
      </c>
      <c r="C902" s="44" t="s">
        <v>2196</v>
      </c>
      <c r="D902" s="1" t="s">
        <v>2057</v>
      </c>
      <c r="E902" s="44" t="s">
        <v>2197</v>
      </c>
      <c r="F902" s="38" t="s">
        <v>2058</v>
      </c>
      <c r="G902" s="45">
        <v>23998</v>
      </c>
      <c r="H902" s="45">
        <v>143.99</v>
      </c>
    </row>
    <row r="903" spans="1:8">
      <c r="A903" s="78">
        <v>130106413210</v>
      </c>
      <c r="B903" s="1" t="s">
        <v>8</v>
      </c>
      <c r="C903" s="44" t="s">
        <v>2196</v>
      </c>
      <c r="D903" s="1" t="s">
        <v>2057</v>
      </c>
      <c r="E903" s="44" t="s">
        <v>2197</v>
      </c>
      <c r="F903" s="38" t="s">
        <v>2058</v>
      </c>
      <c r="G903" s="45">
        <v>23998</v>
      </c>
      <c r="H903" s="45">
        <v>143.99</v>
      </c>
    </row>
    <row r="904" spans="1:8">
      <c r="A904" s="78">
        <v>129530844735</v>
      </c>
      <c r="B904" s="1" t="s">
        <v>8</v>
      </c>
      <c r="C904" s="44" t="s">
        <v>2196</v>
      </c>
      <c r="D904" s="1" t="s">
        <v>2057</v>
      </c>
      <c r="E904" s="44" t="s">
        <v>2197</v>
      </c>
      <c r="F904" s="38" t="s">
        <v>2058</v>
      </c>
      <c r="G904" s="45">
        <v>59300</v>
      </c>
      <c r="H904" s="45">
        <v>355.8</v>
      </c>
    </row>
    <row r="905" spans="1:8">
      <c r="A905" s="78">
        <v>129524992737</v>
      </c>
      <c r="B905" s="1" t="s">
        <v>2198</v>
      </c>
      <c r="C905" s="44" t="s">
        <v>2196</v>
      </c>
      <c r="D905" s="1" t="s">
        <v>2057</v>
      </c>
      <c r="E905" s="44" t="s">
        <v>2196</v>
      </c>
      <c r="F905" s="38" t="s">
        <v>2058</v>
      </c>
      <c r="G905" s="45">
        <v>2399</v>
      </c>
      <c r="H905" s="45">
        <v>14.39</v>
      </c>
    </row>
    <row r="906" spans="1:8">
      <c r="A906" s="78">
        <v>130101335936</v>
      </c>
      <c r="B906" s="1" t="s">
        <v>2055</v>
      </c>
      <c r="C906" s="44" t="s">
        <v>2196</v>
      </c>
      <c r="D906" s="1" t="s">
        <v>2057</v>
      </c>
      <c r="E906" s="44" t="s">
        <v>2196</v>
      </c>
      <c r="F906" s="38" t="s">
        <v>2058</v>
      </c>
      <c r="G906" s="45">
        <v>22700</v>
      </c>
      <c r="H906" s="45">
        <v>136.19999999999999</v>
      </c>
    </row>
    <row r="907" spans="1:8">
      <c r="A907" s="78">
        <v>129527828423</v>
      </c>
      <c r="B907" s="1" t="s">
        <v>8</v>
      </c>
      <c r="C907" s="44" t="s">
        <v>2196</v>
      </c>
      <c r="D907" s="1" t="s">
        <v>2057</v>
      </c>
      <c r="E907" s="44" t="s">
        <v>2196</v>
      </c>
      <c r="F907" s="38" t="s">
        <v>2058</v>
      </c>
      <c r="G907" s="45">
        <v>43000</v>
      </c>
      <c r="H907" s="45">
        <v>258</v>
      </c>
    </row>
    <row r="908" spans="1:8">
      <c r="A908" s="78">
        <v>129528646145</v>
      </c>
      <c r="B908" s="1" t="s">
        <v>2199</v>
      </c>
      <c r="C908" s="44" t="s">
        <v>2196</v>
      </c>
      <c r="D908" s="1" t="s">
        <v>2057</v>
      </c>
      <c r="E908" s="44" t="s">
        <v>2196</v>
      </c>
      <c r="F908" s="38" t="s">
        <v>2058</v>
      </c>
      <c r="G908" s="45">
        <v>3364</v>
      </c>
      <c r="H908" s="45">
        <v>20.18</v>
      </c>
    </row>
    <row r="909" spans="1:8">
      <c r="A909" s="78">
        <v>130104527794</v>
      </c>
      <c r="B909" s="1" t="s">
        <v>8</v>
      </c>
      <c r="C909" s="44" t="s">
        <v>2196</v>
      </c>
      <c r="D909" s="1" t="s">
        <v>2057</v>
      </c>
      <c r="E909" s="44" t="s">
        <v>2196</v>
      </c>
      <c r="F909" s="38" t="s">
        <v>2058</v>
      </c>
      <c r="G909" s="45">
        <v>27699</v>
      </c>
      <c r="H909" s="45">
        <v>166.19</v>
      </c>
    </row>
    <row r="910" spans="1:8">
      <c r="A910" s="78">
        <v>130104581222</v>
      </c>
      <c r="B910" s="1" t="s">
        <v>2200</v>
      </c>
      <c r="C910" s="44" t="s">
        <v>2196</v>
      </c>
      <c r="D910" s="1" t="s">
        <v>2057</v>
      </c>
      <c r="E910" s="44" t="s">
        <v>2196</v>
      </c>
      <c r="F910" s="38" t="s">
        <v>2058</v>
      </c>
      <c r="G910" s="45">
        <v>2769</v>
      </c>
      <c r="H910" s="45">
        <v>16.61</v>
      </c>
    </row>
    <row r="911" spans="1:8">
      <c r="A911" s="78">
        <v>129530476693</v>
      </c>
      <c r="B911" s="1" t="s">
        <v>2201</v>
      </c>
      <c r="C911" s="44" t="s">
        <v>2196</v>
      </c>
      <c r="D911" s="1" t="s">
        <v>2057</v>
      </c>
      <c r="E911" s="44" t="s">
        <v>2197</v>
      </c>
      <c r="F911" s="38" t="s">
        <v>2058</v>
      </c>
      <c r="G911" s="45">
        <v>1199</v>
      </c>
      <c r="H911" s="45">
        <v>7.19</v>
      </c>
    </row>
    <row r="912" spans="1:8">
      <c r="A912" s="78">
        <v>130106746606</v>
      </c>
      <c r="B912" s="1" t="s">
        <v>8</v>
      </c>
      <c r="C912" s="44" t="s">
        <v>2196</v>
      </c>
      <c r="D912" s="1" t="s">
        <v>2057</v>
      </c>
      <c r="E912" s="44" t="s">
        <v>2197</v>
      </c>
      <c r="F912" s="38" t="s">
        <v>2058</v>
      </c>
      <c r="G912" s="45">
        <v>48500</v>
      </c>
      <c r="H912" s="45">
        <v>291</v>
      </c>
    </row>
    <row r="913" spans="1:8">
      <c r="A913" s="78">
        <v>129530882263</v>
      </c>
      <c r="B913" s="1" t="s">
        <v>2202</v>
      </c>
      <c r="C913" s="44" t="s">
        <v>2196</v>
      </c>
      <c r="D913" s="1" t="s">
        <v>2057</v>
      </c>
      <c r="E913" s="44" t="s">
        <v>2197</v>
      </c>
      <c r="F913" s="38" t="s">
        <v>2058</v>
      </c>
      <c r="G913" s="45">
        <v>8895</v>
      </c>
      <c r="H913" s="45">
        <v>53.37</v>
      </c>
    </row>
    <row r="914" spans="1:8">
      <c r="A914" s="78">
        <v>129568085939</v>
      </c>
      <c r="B914" s="1" t="s">
        <v>8</v>
      </c>
      <c r="C914" s="44" t="s">
        <v>2197</v>
      </c>
      <c r="D914" s="1" t="s">
        <v>2057</v>
      </c>
      <c r="E914" s="44" t="s">
        <v>2197</v>
      </c>
      <c r="F914" s="38" t="s">
        <v>2058</v>
      </c>
      <c r="G914" s="45">
        <v>86388.25</v>
      </c>
      <c r="H914" s="45">
        <v>518.33000000000004</v>
      </c>
    </row>
    <row r="915" spans="1:8">
      <c r="A915" s="78">
        <v>130145198838</v>
      </c>
      <c r="B915" s="1" t="s">
        <v>8</v>
      </c>
      <c r="C915" s="44" t="s">
        <v>2197</v>
      </c>
      <c r="D915" s="1" t="s">
        <v>2057</v>
      </c>
      <c r="E915" s="44" t="s">
        <v>2197</v>
      </c>
      <c r="F915" s="38" t="s">
        <v>2058</v>
      </c>
      <c r="G915" s="45">
        <v>213412.66</v>
      </c>
      <c r="H915" s="45">
        <v>1280.48</v>
      </c>
    </row>
    <row r="916" spans="1:8">
      <c r="A916" s="78">
        <v>130144715934</v>
      </c>
      <c r="B916" s="1" t="s">
        <v>8</v>
      </c>
      <c r="C916" s="44" t="s">
        <v>2197</v>
      </c>
      <c r="D916" s="1" t="s">
        <v>2057</v>
      </c>
      <c r="E916" s="44" t="s">
        <v>2197</v>
      </c>
      <c r="F916" s="38" t="s">
        <v>2058</v>
      </c>
      <c r="G916" s="45">
        <v>161109</v>
      </c>
      <c r="H916" s="45">
        <v>966.65</v>
      </c>
    </row>
    <row r="917" spans="1:8">
      <c r="A917" s="78" t="s">
        <v>2203</v>
      </c>
      <c r="B917" s="1" t="s">
        <v>8</v>
      </c>
      <c r="C917" s="44" t="s">
        <v>2197</v>
      </c>
      <c r="D917" s="1" t="s">
        <v>2057</v>
      </c>
      <c r="E917" s="44" t="s">
        <v>2197</v>
      </c>
      <c r="F917" s="38" t="s">
        <v>2058</v>
      </c>
      <c r="G917" s="45">
        <v>21599.99</v>
      </c>
      <c r="H917" s="45">
        <v>129.6</v>
      </c>
    </row>
    <row r="918" spans="1:8">
      <c r="A918" s="78" t="s">
        <v>2204</v>
      </c>
      <c r="B918" s="1" t="s">
        <v>8</v>
      </c>
      <c r="C918" s="44" t="s">
        <v>2197</v>
      </c>
      <c r="D918" s="1" t="s">
        <v>2057</v>
      </c>
      <c r="E918" s="44" t="s">
        <v>2197</v>
      </c>
      <c r="F918" s="38" t="s">
        <v>2058</v>
      </c>
      <c r="G918" s="45">
        <v>218655</v>
      </c>
      <c r="H918" s="45">
        <v>1311.93</v>
      </c>
    </row>
    <row r="919" spans="1:8">
      <c r="A919" s="78" t="s">
        <v>2205</v>
      </c>
      <c r="B919" s="1" t="s">
        <v>8</v>
      </c>
      <c r="C919" s="44" t="s">
        <v>2197</v>
      </c>
      <c r="D919" s="1" t="s">
        <v>2057</v>
      </c>
      <c r="E919" s="44" t="s">
        <v>2197</v>
      </c>
      <c r="F919" s="38" t="s">
        <v>2058</v>
      </c>
      <c r="G919" s="45">
        <v>1420000</v>
      </c>
      <c r="H919" s="45">
        <v>8520</v>
      </c>
    </row>
    <row r="920" spans="1:8">
      <c r="A920" s="78">
        <v>130176556044</v>
      </c>
      <c r="B920" s="1" t="s">
        <v>2206</v>
      </c>
      <c r="C920" s="44" t="s">
        <v>2197</v>
      </c>
      <c r="D920" s="1" t="s">
        <v>2057</v>
      </c>
      <c r="E920" s="44" t="s">
        <v>2197</v>
      </c>
      <c r="F920" s="38" t="s">
        <v>2058</v>
      </c>
      <c r="G920" s="45">
        <v>164614</v>
      </c>
      <c r="H920" s="45">
        <v>987.68</v>
      </c>
    </row>
    <row r="921" spans="1:8">
      <c r="A921" s="78" t="s">
        <v>2207</v>
      </c>
      <c r="B921" s="1" t="s">
        <v>8</v>
      </c>
      <c r="C921" s="44" t="s">
        <v>2197</v>
      </c>
      <c r="D921" s="1" t="s">
        <v>2057</v>
      </c>
      <c r="E921" s="44" t="s">
        <v>2197</v>
      </c>
      <c r="F921" s="38" t="s">
        <v>2058</v>
      </c>
      <c r="G921" s="45">
        <v>980000</v>
      </c>
      <c r="H921" s="45">
        <v>5880</v>
      </c>
    </row>
    <row r="922" spans="1:8">
      <c r="A922" s="78" t="s">
        <v>2208</v>
      </c>
      <c r="B922" s="1" t="s">
        <v>8</v>
      </c>
      <c r="C922" s="44" t="s">
        <v>2197</v>
      </c>
      <c r="D922" s="1" t="s">
        <v>2057</v>
      </c>
      <c r="E922" s="44" t="s">
        <v>2197</v>
      </c>
      <c r="F922" s="38" t="s">
        <v>2058</v>
      </c>
      <c r="G922" s="45">
        <v>345960</v>
      </c>
      <c r="H922" s="45">
        <v>2075.7600000000002</v>
      </c>
    </row>
    <row r="923" spans="1:8">
      <c r="A923" s="78">
        <v>129600289573</v>
      </c>
      <c r="B923" s="1" t="s">
        <v>2209</v>
      </c>
      <c r="C923" s="44" t="s">
        <v>2197</v>
      </c>
      <c r="D923" s="1" t="s">
        <v>2057</v>
      </c>
      <c r="E923" s="44" t="s">
        <v>2197</v>
      </c>
      <c r="F923" s="38" t="s">
        <v>2058</v>
      </c>
      <c r="G923" s="45">
        <v>82307</v>
      </c>
      <c r="H923" s="45">
        <v>493.84</v>
      </c>
    </row>
    <row r="924" spans="1:8">
      <c r="A924" s="78">
        <v>130177050648</v>
      </c>
      <c r="B924" s="1" t="s">
        <v>2210</v>
      </c>
      <c r="C924" s="44" t="s">
        <v>2197</v>
      </c>
      <c r="D924" s="1" t="s">
        <v>2057</v>
      </c>
      <c r="E924" s="44" t="s">
        <v>2197</v>
      </c>
      <c r="F924" s="38" t="s">
        <v>2058</v>
      </c>
      <c r="G924" s="45">
        <v>365706</v>
      </c>
      <c r="H924" s="45">
        <v>2194.2399999999998</v>
      </c>
    </row>
    <row r="925" spans="1:8">
      <c r="A925" s="78">
        <v>130176737204</v>
      </c>
      <c r="B925" s="1" t="s">
        <v>8</v>
      </c>
      <c r="C925" s="44" t="s">
        <v>2197</v>
      </c>
      <c r="D925" s="1" t="s">
        <v>2057</v>
      </c>
      <c r="E925" s="44" t="s">
        <v>2197</v>
      </c>
      <c r="F925" s="38" t="s">
        <v>2058</v>
      </c>
      <c r="G925" s="45">
        <v>199666.29</v>
      </c>
      <c r="H925" s="45">
        <v>1198</v>
      </c>
    </row>
    <row r="926" spans="1:8">
      <c r="A926" s="78">
        <v>129600289573</v>
      </c>
      <c r="B926" s="1" t="s">
        <v>2209</v>
      </c>
      <c r="C926" s="44" t="s">
        <v>2197</v>
      </c>
      <c r="D926" s="1" t="s">
        <v>2073</v>
      </c>
      <c r="E926" s="44" t="s">
        <v>2197</v>
      </c>
      <c r="F926" s="38" t="s">
        <v>2058</v>
      </c>
      <c r="G926" s="45">
        <v>-82307</v>
      </c>
      <c r="H926" s="45">
        <v>-493.84</v>
      </c>
    </row>
    <row r="927" spans="1:8">
      <c r="A927" s="78">
        <v>130176556044</v>
      </c>
      <c r="B927" s="1" t="s">
        <v>2206</v>
      </c>
      <c r="C927" s="44" t="s">
        <v>2197</v>
      </c>
      <c r="D927" s="1" t="s">
        <v>2073</v>
      </c>
      <c r="E927" s="44" t="s">
        <v>2197</v>
      </c>
      <c r="F927" s="38" t="s">
        <v>2058</v>
      </c>
      <c r="G927" s="45">
        <v>-164614</v>
      </c>
      <c r="H927" s="45">
        <v>-987.68</v>
      </c>
    </row>
    <row r="928" spans="1:8">
      <c r="A928" s="78" t="s">
        <v>2211</v>
      </c>
      <c r="B928" s="1" t="s">
        <v>8</v>
      </c>
      <c r="C928" s="44" t="s">
        <v>2197</v>
      </c>
      <c r="D928" s="1" t="s">
        <v>2057</v>
      </c>
      <c r="E928" s="44" t="s">
        <v>2197</v>
      </c>
      <c r="F928" s="38" t="s">
        <v>2058</v>
      </c>
      <c r="G928" s="45">
        <v>152705</v>
      </c>
      <c r="H928" s="45">
        <v>916.23</v>
      </c>
    </row>
    <row r="929" spans="1:8">
      <c r="A929" s="78">
        <v>129649848031</v>
      </c>
      <c r="B929" s="1" t="s">
        <v>8</v>
      </c>
      <c r="C929" s="44" t="s">
        <v>2197</v>
      </c>
      <c r="D929" s="1" t="s">
        <v>2057</v>
      </c>
      <c r="E929" s="44" t="s">
        <v>2197</v>
      </c>
      <c r="F929" s="38" t="s">
        <v>2058</v>
      </c>
      <c r="G929" s="45">
        <v>4800</v>
      </c>
      <c r="H929" s="45">
        <v>28.8</v>
      </c>
    </row>
    <row r="930" spans="1:8">
      <c r="A930" s="78">
        <v>129651219591</v>
      </c>
      <c r="B930" s="1" t="s">
        <v>8</v>
      </c>
      <c r="C930" s="44" t="s">
        <v>2197</v>
      </c>
      <c r="D930" s="1" t="s">
        <v>2057</v>
      </c>
      <c r="E930" s="44" t="s">
        <v>2197</v>
      </c>
      <c r="F930" s="38" t="s">
        <v>2058</v>
      </c>
      <c r="G930" s="45">
        <v>5900</v>
      </c>
      <c r="H930" s="45">
        <v>35.4</v>
      </c>
    </row>
    <row r="931" spans="1:8">
      <c r="A931" s="78">
        <v>129655379537</v>
      </c>
      <c r="B931" s="1" t="s">
        <v>8</v>
      </c>
      <c r="C931" s="44" t="s">
        <v>2197</v>
      </c>
      <c r="D931" s="1" t="s">
        <v>2057</v>
      </c>
      <c r="E931" s="44" t="s">
        <v>2197</v>
      </c>
      <c r="F931" s="38" t="s">
        <v>2058</v>
      </c>
      <c r="G931" s="45">
        <v>14400</v>
      </c>
      <c r="H931" s="45">
        <v>86.4</v>
      </c>
    </row>
    <row r="932" spans="1:8">
      <c r="A932" s="78">
        <v>129656006133</v>
      </c>
      <c r="B932" s="1" t="s">
        <v>8</v>
      </c>
      <c r="C932" s="44" t="s">
        <v>2197</v>
      </c>
      <c r="D932" s="1" t="s">
        <v>2057</v>
      </c>
      <c r="E932" s="44" t="s">
        <v>2197</v>
      </c>
      <c r="F932" s="38" t="s">
        <v>2058</v>
      </c>
      <c r="G932" s="45">
        <v>4800</v>
      </c>
      <c r="H932" s="45">
        <v>28.8</v>
      </c>
    </row>
    <row r="933" spans="1:8">
      <c r="A933" s="78">
        <v>129646290259</v>
      </c>
      <c r="B933" s="1" t="s">
        <v>8</v>
      </c>
      <c r="C933" s="44" t="s">
        <v>2197</v>
      </c>
      <c r="D933" s="1" t="s">
        <v>2057</v>
      </c>
      <c r="E933" s="44" t="s">
        <v>2197</v>
      </c>
      <c r="F933" s="38" t="s">
        <v>2058</v>
      </c>
      <c r="G933" s="45">
        <v>8400</v>
      </c>
      <c r="H933" s="45">
        <v>50.4</v>
      </c>
    </row>
    <row r="934" spans="1:8">
      <c r="A934" s="78">
        <v>130235052390</v>
      </c>
      <c r="B934" s="1" t="s">
        <v>8</v>
      </c>
      <c r="C934" s="44" t="s">
        <v>2197</v>
      </c>
      <c r="D934" s="1" t="s">
        <v>2057</v>
      </c>
      <c r="E934" s="44" t="s">
        <v>2197</v>
      </c>
      <c r="F934" s="38" t="s">
        <v>2058</v>
      </c>
      <c r="G934" s="45">
        <v>9600</v>
      </c>
      <c r="H934" s="45">
        <v>57.6</v>
      </c>
    </row>
    <row r="935" spans="1:8">
      <c r="A935" s="78">
        <v>130235248998</v>
      </c>
      <c r="B935" s="1" t="s">
        <v>2212</v>
      </c>
      <c r="C935" s="44" t="s">
        <v>2197</v>
      </c>
      <c r="D935" s="1" t="s">
        <v>2057</v>
      </c>
      <c r="E935" s="44" t="s">
        <v>2197</v>
      </c>
      <c r="F935" s="38" t="s">
        <v>2058</v>
      </c>
      <c r="G935" s="45">
        <v>915</v>
      </c>
      <c r="H935" s="45">
        <v>5.49</v>
      </c>
    </row>
    <row r="936" spans="1:8">
      <c r="A936" s="78">
        <v>129658736007</v>
      </c>
      <c r="B936" s="1" t="s">
        <v>8</v>
      </c>
      <c r="C936" s="44" t="s">
        <v>2197</v>
      </c>
      <c r="D936" s="1" t="s">
        <v>2057</v>
      </c>
      <c r="E936" s="44" t="s">
        <v>2197</v>
      </c>
      <c r="F936" s="38" t="s">
        <v>2058</v>
      </c>
      <c r="G936" s="45">
        <v>25900</v>
      </c>
      <c r="H936" s="45">
        <v>155.4</v>
      </c>
    </row>
    <row r="937" spans="1:8">
      <c r="A937" s="78">
        <v>129658824099</v>
      </c>
      <c r="B937" s="1" t="s">
        <v>8</v>
      </c>
      <c r="C937" s="44" t="s">
        <v>2197</v>
      </c>
      <c r="D937" s="1" t="s">
        <v>2057</v>
      </c>
      <c r="E937" s="44" t="s">
        <v>2197</v>
      </c>
      <c r="F937" s="38" t="s">
        <v>2058</v>
      </c>
      <c r="G937" s="45">
        <v>4800</v>
      </c>
      <c r="H937" s="45">
        <v>28.8</v>
      </c>
    </row>
    <row r="938" spans="1:8">
      <c r="A938" s="78">
        <v>130235811274</v>
      </c>
      <c r="B938" s="1" t="s">
        <v>2213</v>
      </c>
      <c r="C938" s="44" t="s">
        <v>2197</v>
      </c>
      <c r="D938" s="1" t="s">
        <v>2057</v>
      </c>
      <c r="E938" s="44" t="s">
        <v>2197</v>
      </c>
      <c r="F938" s="38" t="s">
        <v>2058</v>
      </c>
      <c r="G938" s="45">
        <v>480</v>
      </c>
      <c r="H938" s="45">
        <v>2.88</v>
      </c>
    </row>
    <row r="939" spans="1:8">
      <c r="A939" s="78">
        <v>129648915079</v>
      </c>
      <c r="B939" s="1" t="s">
        <v>8</v>
      </c>
      <c r="C939" s="44" t="s">
        <v>2197</v>
      </c>
      <c r="D939" s="1" t="s">
        <v>2057</v>
      </c>
      <c r="E939" s="44" t="s">
        <v>2197</v>
      </c>
      <c r="F939" s="38" t="s">
        <v>2058</v>
      </c>
      <c r="G939" s="45">
        <v>14000</v>
      </c>
      <c r="H939" s="45">
        <v>84</v>
      </c>
    </row>
    <row r="940" spans="1:8">
      <c r="A940" s="78">
        <v>129658992507</v>
      </c>
      <c r="B940" s="1" t="s">
        <v>8</v>
      </c>
      <c r="C940" s="44" t="s">
        <v>2197</v>
      </c>
      <c r="D940" s="1" t="s">
        <v>2057</v>
      </c>
      <c r="E940" s="44" t="s">
        <v>2197</v>
      </c>
      <c r="F940" s="38" t="s">
        <v>2058</v>
      </c>
      <c r="G940" s="45">
        <v>21300</v>
      </c>
      <c r="H940" s="45">
        <v>127.8</v>
      </c>
    </row>
    <row r="941" spans="1:8">
      <c r="A941" s="78">
        <v>130236432300</v>
      </c>
      <c r="B941" s="1" t="s">
        <v>2055</v>
      </c>
      <c r="C941" s="44" t="s">
        <v>2197</v>
      </c>
      <c r="D941" s="1" t="s">
        <v>2057</v>
      </c>
      <c r="E941" s="44" t="s">
        <v>2197</v>
      </c>
      <c r="F941" s="38" t="s">
        <v>2058</v>
      </c>
      <c r="G941" s="45">
        <v>17600</v>
      </c>
      <c r="H941" s="45">
        <v>105.6</v>
      </c>
    </row>
    <row r="942" spans="1:8">
      <c r="A942" s="78">
        <v>130236527594</v>
      </c>
      <c r="B942" s="1" t="s">
        <v>8</v>
      </c>
      <c r="C942" s="44" t="s">
        <v>2197</v>
      </c>
      <c r="D942" s="1" t="s">
        <v>2057</v>
      </c>
      <c r="E942" s="44" t="s">
        <v>2197</v>
      </c>
      <c r="F942" s="38" t="s">
        <v>2058</v>
      </c>
      <c r="G942" s="45">
        <v>9000</v>
      </c>
      <c r="H942" s="45">
        <v>54</v>
      </c>
    </row>
    <row r="943" spans="1:8">
      <c r="A943" s="78">
        <v>129659852815</v>
      </c>
      <c r="B943" s="1" t="s">
        <v>8</v>
      </c>
      <c r="C943" s="44" t="s">
        <v>2197</v>
      </c>
      <c r="D943" s="1" t="s">
        <v>2057</v>
      </c>
      <c r="E943" s="44" t="s">
        <v>2197</v>
      </c>
      <c r="F943" s="38" t="s">
        <v>2058</v>
      </c>
      <c r="G943" s="45">
        <v>4800</v>
      </c>
      <c r="H943" s="45">
        <v>28.8</v>
      </c>
    </row>
    <row r="944" spans="1:8">
      <c r="A944" s="78">
        <v>130237082714</v>
      </c>
      <c r="B944" s="1" t="s">
        <v>2055</v>
      </c>
      <c r="C944" s="44" t="s">
        <v>2197</v>
      </c>
      <c r="D944" s="1" t="s">
        <v>2057</v>
      </c>
      <c r="E944" s="44" t="s">
        <v>2197</v>
      </c>
      <c r="F944" s="38" t="s">
        <v>2058</v>
      </c>
      <c r="G944" s="45">
        <v>14000</v>
      </c>
      <c r="H944" s="45">
        <v>84</v>
      </c>
    </row>
    <row r="945" spans="1:8">
      <c r="A945" s="78">
        <v>129650617159</v>
      </c>
      <c r="B945" s="1" t="s">
        <v>2055</v>
      </c>
      <c r="C945" s="44" t="s">
        <v>2197</v>
      </c>
      <c r="D945" s="1" t="s">
        <v>2057</v>
      </c>
      <c r="E945" s="44" t="s">
        <v>2197</v>
      </c>
      <c r="F945" s="38" t="s">
        <v>2058</v>
      </c>
      <c r="G945" s="45">
        <v>6900</v>
      </c>
      <c r="H945" s="45">
        <v>41.4</v>
      </c>
    </row>
    <row r="946" spans="1:8">
      <c r="A946" s="78">
        <v>130237685842</v>
      </c>
      <c r="B946" s="1" t="s">
        <v>8</v>
      </c>
      <c r="C946" s="44" t="s">
        <v>2197</v>
      </c>
      <c r="D946" s="1" t="s">
        <v>2057</v>
      </c>
      <c r="E946" s="44" t="s">
        <v>2197</v>
      </c>
      <c r="F946" s="38" t="s">
        <v>2058</v>
      </c>
      <c r="G946" s="45">
        <v>9600</v>
      </c>
      <c r="H946" s="45">
        <v>57.6</v>
      </c>
    </row>
    <row r="947" spans="1:8">
      <c r="A947" s="78">
        <v>129650775843</v>
      </c>
      <c r="B947" s="1" t="s">
        <v>2055</v>
      </c>
      <c r="C947" s="44" t="s">
        <v>2197</v>
      </c>
      <c r="D947" s="1" t="s">
        <v>2057</v>
      </c>
      <c r="E947" s="44" t="s">
        <v>2197</v>
      </c>
      <c r="F947" s="38" t="s">
        <v>2058</v>
      </c>
      <c r="G947" s="45">
        <v>6900</v>
      </c>
      <c r="H947" s="45">
        <v>41.4</v>
      </c>
    </row>
    <row r="948" spans="1:8">
      <c r="A948" s="78">
        <v>129661557617</v>
      </c>
      <c r="B948" s="1" t="s">
        <v>8</v>
      </c>
      <c r="C948" s="44" t="s">
        <v>2197</v>
      </c>
      <c r="D948" s="1" t="s">
        <v>2057</v>
      </c>
      <c r="E948" s="44" t="s">
        <v>2197</v>
      </c>
      <c r="F948" s="38" t="s">
        <v>2058</v>
      </c>
      <c r="G948" s="45">
        <v>13500</v>
      </c>
      <c r="H948" s="45">
        <v>81</v>
      </c>
    </row>
    <row r="949" spans="1:8">
      <c r="A949" s="78">
        <v>129662268807</v>
      </c>
      <c r="B949" s="1" t="s">
        <v>8</v>
      </c>
      <c r="C949" s="44" t="s">
        <v>2197</v>
      </c>
      <c r="D949" s="1" t="s">
        <v>2057</v>
      </c>
      <c r="E949" s="44" t="s">
        <v>2197</v>
      </c>
      <c r="F949" s="38" t="s">
        <v>2058</v>
      </c>
      <c r="G949" s="45">
        <v>8400</v>
      </c>
      <c r="H949" s="45">
        <v>50.4</v>
      </c>
    </row>
    <row r="950" spans="1:8">
      <c r="A950" s="78">
        <v>130239526198</v>
      </c>
      <c r="B950" s="1" t="s">
        <v>8</v>
      </c>
      <c r="C950" s="44" t="s">
        <v>2197</v>
      </c>
      <c r="D950" s="1" t="s">
        <v>2057</v>
      </c>
      <c r="E950" s="44" t="s">
        <v>2197</v>
      </c>
      <c r="F950" s="38" t="s">
        <v>2058</v>
      </c>
      <c r="G950" s="45">
        <v>4800</v>
      </c>
      <c r="H950" s="45">
        <v>28.8</v>
      </c>
    </row>
    <row r="951" spans="1:8">
      <c r="A951" s="78">
        <v>130239601260</v>
      </c>
      <c r="B951" s="1" t="s">
        <v>8</v>
      </c>
      <c r="C951" s="44" t="s">
        <v>2197</v>
      </c>
      <c r="D951" s="1" t="s">
        <v>2057</v>
      </c>
      <c r="E951" s="44" t="s">
        <v>2197</v>
      </c>
      <c r="F951" s="38" t="s">
        <v>2058</v>
      </c>
      <c r="G951" s="45">
        <v>8000</v>
      </c>
      <c r="H951" s="45">
        <v>48</v>
      </c>
    </row>
    <row r="952" spans="1:8">
      <c r="A952" s="78">
        <v>129663216957</v>
      </c>
      <c r="B952" s="1" t="s">
        <v>8</v>
      </c>
      <c r="C952" s="44" t="s">
        <v>2197</v>
      </c>
      <c r="D952" s="1" t="s">
        <v>2057</v>
      </c>
      <c r="E952" s="44" t="s">
        <v>2197</v>
      </c>
      <c r="F952" s="38" t="s">
        <v>2058</v>
      </c>
      <c r="G952" s="45">
        <v>15900</v>
      </c>
      <c r="H952" s="45">
        <v>95.4</v>
      </c>
    </row>
    <row r="953" spans="1:8">
      <c r="A953" s="78">
        <v>129663343489</v>
      </c>
      <c r="B953" s="1" t="s">
        <v>8</v>
      </c>
      <c r="C953" s="44" t="s">
        <v>2197</v>
      </c>
      <c r="D953" s="1" t="s">
        <v>2057</v>
      </c>
      <c r="E953" s="44" t="s">
        <v>2197</v>
      </c>
      <c r="F953" s="38" t="s">
        <v>2058</v>
      </c>
      <c r="G953" s="45">
        <v>12000</v>
      </c>
      <c r="H953" s="45">
        <v>72</v>
      </c>
    </row>
    <row r="954" spans="1:8">
      <c r="A954" s="78">
        <v>130240464046</v>
      </c>
      <c r="B954" s="1" t="s">
        <v>8</v>
      </c>
      <c r="C954" s="44" t="s">
        <v>2197</v>
      </c>
      <c r="D954" s="1" t="s">
        <v>2057</v>
      </c>
      <c r="E954" s="44" t="s">
        <v>2197</v>
      </c>
      <c r="F954" s="38" t="s">
        <v>2058</v>
      </c>
      <c r="G954" s="45">
        <v>21300</v>
      </c>
      <c r="H954" s="45">
        <v>127.8</v>
      </c>
    </row>
    <row r="955" spans="1:8">
      <c r="A955" s="78">
        <v>129653680393</v>
      </c>
      <c r="B955" s="1" t="s">
        <v>8</v>
      </c>
      <c r="C955" s="44" t="s">
        <v>2197</v>
      </c>
      <c r="D955" s="1" t="s">
        <v>2057</v>
      </c>
      <c r="E955" s="44" t="s">
        <v>2197</v>
      </c>
      <c r="F955" s="38" t="s">
        <v>2058</v>
      </c>
      <c r="G955" s="45">
        <v>4400</v>
      </c>
      <c r="H955" s="45">
        <v>26.4</v>
      </c>
    </row>
    <row r="956" spans="1:8">
      <c r="A956" s="78">
        <v>129663918113</v>
      </c>
      <c r="B956" s="1" t="s">
        <v>8</v>
      </c>
      <c r="C956" s="44" t="s">
        <v>2197</v>
      </c>
      <c r="D956" s="1" t="s">
        <v>2057</v>
      </c>
      <c r="E956" s="44" t="s">
        <v>2197</v>
      </c>
      <c r="F956" s="38" t="s">
        <v>2058</v>
      </c>
      <c r="G956" s="45">
        <v>15100</v>
      </c>
      <c r="H956" s="45">
        <v>90.6</v>
      </c>
    </row>
    <row r="957" spans="1:8">
      <c r="A957" s="78">
        <v>129663962379</v>
      </c>
      <c r="B957" s="1" t="s">
        <v>8</v>
      </c>
      <c r="C957" s="44" t="s">
        <v>2197</v>
      </c>
      <c r="D957" s="1" t="s">
        <v>2057</v>
      </c>
      <c r="E957" s="44" t="s">
        <v>2197</v>
      </c>
      <c r="F957" s="38" t="s">
        <v>2058</v>
      </c>
      <c r="G957" s="45">
        <v>120100</v>
      </c>
      <c r="H957" s="45">
        <v>720.6</v>
      </c>
    </row>
    <row r="958" spans="1:8">
      <c r="A958" s="78">
        <v>130240793762</v>
      </c>
      <c r="B958" s="1" t="s">
        <v>2214</v>
      </c>
      <c r="C958" s="44" t="s">
        <v>2197</v>
      </c>
      <c r="D958" s="1" t="s">
        <v>2057</v>
      </c>
      <c r="E958" s="44" t="s">
        <v>2197</v>
      </c>
      <c r="F958" s="38" t="s">
        <v>2058</v>
      </c>
      <c r="G958" s="45">
        <v>6005</v>
      </c>
      <c r="H958" s="45">
        <v>36.03</v>
      </c>
    </row>
    <row r="959" spans="1:8">
      <c r="A959" s="78">
        <v>130240900046</v>
      </c>
      <c r="B959" s="1" t="s">
        <v>8</v>
      </c>
      <c r="C959" s="44" t="s">
        <v>2197</v>
      </c>
      <c r="D959" s="1" t="s">
        <v>2057</v>
      </c>
      <c r="E959" s="44" t="s">
        <v>2197</v>
      </c>
      <c r="F959" s="38" t="s">
        <v>2058</v>
      </c>
      <c r="G959" s="45">
        <v>19200</v>
      </c>
      <c r="H959" s="45">
        <v>115.2</v>
      </c>
    </row>
    <row r="960" spans="1:8">
      <c r="A960" s="78">
        <v>130231645538</v>
      </c>
      <c r="B960" s="1" t="s">
        <v>8</v>
      </c>
      <c r="C960" s="44" t="s">
        <v>2197</v>
      </c>
      <c r="D960" s="1" t="s">
        <v>2057</v>
      </c>
      <c r="E960" s="44" t="s">
        <v>2197</v>
      </c>
      <c r="F960" s="38" t="s">
        <v>2058</v>
      </c>
      <c r="G960" s="45">
        <v>4800</v>
      </c>
      <c r="H960" s="45">
        <v>28.8</v>
      </c>
    </row>
    <row r="961" spans="1:8">
      <c r="A961" s="78">
        <v>129664922167</v>
      </c>
      <c r="B961" s="1" t="s">
        <v>8</v>
      </c>
      <c r="C961" s="44" t="s">
        <v>2197</v>
      </c>
      <c r="D961" s="1" t="s">
        <v>2057</v>
      </c>
      <c r="E961" s="44" t="s">
        <v>2197</v>
      </c>
      <c r="F961" s="38" t="s">
        <v>2058</v>
      </c>
      <c r="G961" s="45">
        <v>40900</v>
      </c>
      <c r="H961" s="45">
        <v>245.4</v>
      </c>
    </row>
    <row r="962" spans="1:8">
      <c r="A962" s="78">
        <v>129665646917</v>
      </c>
      <c r="B962" s="1" t="s">
        <v>8</v>
      </c>
      <c r="C962" s="44" t="s">
        <v>2197</v>
      </c>
      <c r="D962" s="1" t="s">
        <v>2057</v>
      </c>
      <c r="E962" s="44" t="s">
        <v>2215</v>
      </c>
      <c r="F962" s="38" t="s">
        <v>2058</v>
      </c>
      <c r="G962" s="45">
        <v>4000</v>
      </c>
      <c r="H962" s="45">
        <v>24</v>
      </c>
    </row>
    <row r="963" spans="1:8">
      <c r="A963" s="78">
        <v>129665679145</v>
      </c>
      <c r="B963" s="1" t="s">
        <v>2055</v>
      </c>
      <c r="C963" s="44" t="s">
        <v>2197</v>
      </c>
      <c r="D963" s="1" t="s">
        <v>2057</v>
      </c>
      <c r="E963" s="44" t="s">
        <v>2215</v>
      </c>
      <c r="F963" s="38" t="s">
        <v>2058</v>
      </c>
      <c r="G963" s="45">
        <v>6800</v>
      </c>
      <c r="H963" s="45">
        <v>40.799999999999997</v>
      </c>
    </row>
    <row r="964" spans="1:8">
      <c r="A964" s="78">
        <v>129665744315</v>
      </c>
      <c r="B964" s="1" t="s">
        <v>2216</v>
      </c>
      <c r="C964" s="44" t="s">
        <v>2197</v>
      </c>
      <c r="D964" s="1" t="s">
        <v>2057</v>
      </c>
      <c r="E964" s="44" t="s">
        <v>2215</v>
      </c>
      <c r="F964" s="38" t="s">
        <v>2058</v>
      </c>
      <c r="G964" s="45">
        <v>2420</v>
      </c>
      <c r="H964" s="45">
        <v>14.52</v>
      </c>
    </row>
    <row r="965" spans="1:8">
      <c r="A965" s="78">
        <v>129665788341</v>
      </c>
      <c r="B965" s="1" t="s">
        <v>8</v>
      </c>
      <c r="C965" s="44" t="s">
        <v>2197</v>
      </c>
      <c r="D965" s="1" t="s">
        <v>2057</v>
      </c>
      <c r="E965" s="44" t="s">
        <v>2215</v>
      </c>
      <c r="F965" s="38" t="s">
        <v>2058</v>
      </c>
      <c r="G965" s="45">
        <v>13800</v>
      </c>
      <c r="H965" s="45">
        <v>82.8</v>
      </c>
    </row>
    <row r="966" spans="1:8">
      <c r="A966" s="78">
        <v>130233045784</v>
      </c>
      <c r="B966" s="1" t="s">
        <v>2055</v>
      </c>
      <c r="C966" s="44" t="s">
        <v>2197</v>
      </c>
      <c r="D966" s="1" t="s">
        <v>2057</v>
      </c>
      <c r="E966" s="44" t="s">
        <v>2197</v>
      </c>
      <c r="F966" s="38" t="s">
        <v>2058</v>
      </c>
      <c r="G966" s="45">
        <v>4800</v>
      </c>
      <c r="H966" s="45">
        <v>28.8</v>
      </c>
    </row>
    <row r="967" spans="1:8">
      <c r="A967" s="78">
        <v>129656171055</v>
      </c>
      <c r="B967" s="1" t="s">
        <v>8</v>
      </c>
      <c r="C967" s="44" t="s">
        <v>2197</v>
      </c>
      <c r="D967" s="1" t="s">
        <v>2057</v>
      </c>
      <c r="E967" s="44" t="s">
        <v>2197</v>
      </c>
      <c r="F967" s="38" t="s">
        <v>2058</v>
      </c>
      <c r="G967" s="45">
        <v>28200</v>
      </c>
      <c r="H967" s="45">
        <v>169.2</v>
      </c>
    </row>
    <row r="968" spans="1:8">
      <c r="A968" s="78">
        <v>129656635025</v>
      </c>
      <c r="B968" s="1" t="s">
        <v>8</v>
      </c>
      <c r="C968" s="44" t="s">
        <v>2197</v>
      </c>
      <c r="D968" s="1" t="s">
        <v>2057</v>
      </c>
      <c r="E968" s="44" t="s">
        <v>2197</v>
      </c>
      <c r="F968" s="38" t="s">
        <v>2058</v>
      </c>
      <c r="G968" s="45">
        <v>14400</v>
      </c>
      <c r="H968" s="45">
        <v>86.4</v>
      </c>
    </row>
    <row r="969" spans="1:8">
      <c r="A969" s="78">
        <v>130243580586</v>
      </c>
      <c r="B969" s="1" t="s">
        <v>8</v>
      </c>
      <c r="C969" s="44" t="s">
        <v>2197</v>
      </c>
      <c r="D969" s="1" t="s">
        <v>2057</v>
      </c>
      <c r="E969" s="44" t="s">
        <v>2215</v>
      </c>
      <c r="F969" s="38" t="s">
        <v>2058</v>
      </c>
      <c r="G969" s="45">
        <v>29500</v>
      </c>
      <c r="H969" s="45">
        <v>177</v>
      </c>
    </row>
    <row r="970" spans="1:8">
      <c r="A970" s="78">
        <v>129667302525</v>
      </c>
      <c r="B970" s="1" t="s">
        <v>8</v>
      </c>
      <c r="C970" s="44" t="s">
        <v>2197</v>
      </c>
      <c r="D970" s="1" t="s">
        <v>2057</v>
      </c>
      <c r="E970" s="44" t="s">
        <v>2215</v>
      </c>
      <c r="F970" s="38" t="s">
        <v>2058</v>
      </c>
      <c r="G970" s="45">
        <v>8800</v>
      </c>
      <c r="H970" s="45">
        <v>52.8</v>
      </c>
    </row>
    <row r="971" spans="1:8">
      <c r="A971" s="78">
        <v>130244117942</v>
      </c>
      <c r="B971" s="1" t="s">
        <v>2055</v>
      </c>
      <c r="C971" s="44" t="s">
        <v>2197</v>
      </c>
      <c r="D971" s="1" t="s">
        <v>2057</v>
      </c>
      <c r="E971" s="44" t="s">
        <v>2215</v>
      </c>
      <c r="F971" s="38" t="s">
        <v>2058</v>
      </c>
      <c r="G971" s="45">
        <v>20700</v>
      </c>
      <c r="H971" s="45">
        <v>124.2</v>
      </c>
    </row>
    <row r="972" spans="1:8">
      <c r="A972" s="78">
        <v>129667759013</v>
      </c>
      <c r="B972" s="1" t="s">
        <v>2055</v>
      </c>
      <c r="C972" s="44" t="s">
        <v>2197</v>
      </c>
      <c r="D972" s="1" t="s">
        <v>2057</v>
      </c>
      <c r="E972" s="44" t="s">
        <v>2215</v>
      </c>
      <c r="F972" s="38" t="s">
        <v>2058</v>
      </c>
      <c r="G972" s="45">
        <v>20400</v>
      </c>
      <c r="H972" s="45">
        <v>122.4</v>
      </c>
    </row>
    <row r="973" spans="1:8">
      <c r="A973" s="78">
        <v>130235241138</v>
      </c>
      <c r="B973" s="1" t="s">
        <v>8</v>
      </c>
      <c r="C973" s="44" t="s">
        <v>2197</v>
      </c>
      <c r="D973" s="1" t="s">
        <v>2057</v>
      </c>
      <c r="E973" s="44" t="s">
        <v>2197</v>
      </c>
      <c r="F973" s="38" t="s">
        <v>2058</v>
      </c>
      <c r="G973" s="45">
        <v>18300</v>
      </c>
      <c r="H973" s="45">
        <v>109.8</v>
      </c>
    </row>
    <row r="974" spans="1:8">
      <c r="A974" s="78">
        <v>129658725887</v>
      </c>
      <c r="B974" s="1" t="s">
        <v>8</v>
      </c>
      <c r="C974" s="44" t="s">
        <v>2197</v>
      </c>
      <c r="D974" s="1" t="s">
        <v>2057</v>
      </c>
      <c r="E974" s="44" t="s">
        <v>2197</v>
      </c>
      <c r="F974" s="38" t="s">
        <v>2058</v>
      </c>
      <c r="G974" s="45">
        <v>8400</v>
      </c>
      <c r="H974" s="45">
        <v>50.4</v>
      </c>
    </row>
    <row r="975" spans="1:8">
      <c r="A975" s="78">
        <v>130245490130</v>
      </c>
      <c r="B975" s="1" t="s">
        <v>2055</v>
      </c>
      <c r="C975" s="44" t="s">
        <v>2215</v>
      </c>
      <c r="D975" s="1" t="s">
        <v>2057</v>
      </c>
      <c r="E975" s="44" t="s">
        <v>2215</v>
      </c>
      <c r="F975" s="38" t="s">
        <v>2058</v>
      </c>
      <c r="G975" s="45">
        <v>4300</v>
      </c>
      <c r="H975" s="45">
        <v>25.8</v>
      </c>
    </row>
    <row r="976" spans="1:8">
      <c r="A976" s="78">
        <v>130236213438</v>
      </c>
      <c r="B976" s="1" t="s">
        <v>8</v>
      </c>
      <c r="C976" s="44" t="s">
        <v>2197</v>
      </c>
      <c r="D976" s="1" t="s">
        <v>2057</v>
      </c>
      <c r="E976" s="44" t="s">
        <v>2197</v>
      </c>
      <c r="F976" s="38" t="s">
        <v>2058</v>
      </c>
      <c r="G976" s="45">
        <v>13000</v>
      </c>
      <c r="H976" s="45">
        <v>78</v>
      </c>
    </row>
    <row r="977" spans="1:8">
      <c r="A977" s="78">
        <v>129668822791</v>
      </c>
      <c r="B977" s="1" t="s">
        <v>8</v>
      </c>
      <c r="C977" s="44" t="s">
        <v>2215</v>
      </c>
      <c r="D977" s="1" t="s">
        <v>2057</v>
      </c>
      <c r="E977" s="44" t="s">
        <v>2215</v>
      </c>
      <c r="F977" s="38" t="s">
        <v>2058</v>
      </c>
      <c r="G977" s="45">
        <v>8000</v>
      </c>
      <c r="H977" s="45">
        <v>48</v>
      </c>
    </row>
    <row r="978" spans="1:8">
      <c r="A978" s="78">
        <v>130237347830</v>
      </c>
      <c r="B978" s="1" t="s">
        <v>2055</v>
      </c>
      <c r="C978" s="44" t="s">
        <v>2197</v>
      </c>
      <c r="D978" s="1" t="s">
        <v>2057</v>
      </c>
      <c r="E978" s="44" t="s">
        <v>2197</v>
      </c>
      <c r="F978" s="38" t="s">
        <v>2058</v>
      </c>
      <c r="G978" s="45">
        <v>37500</v>
      </c>
      <c r="H978" s="45">
        <v>225</v>
      </c>
    </row>
    <row r="979" spans="1:8">
      <c r="A979" s="78">
        <v>130246469118</v>
      </c>
      <c r="B979" s="1" t="s">
        <v>2055</v>
      </c>
      <c r="C979" s="44" t="s">
        <v>2215</v>
      </c>
      <c r="D979" s="1" t="s">
        <v>2057</v>
      </c>
      <c r="E979" s="44" t="s">
        <v>2215</v>
      </c>
      <c r="F979" s="38" t="s">
        <v>2058</v>
      </c>
      <c r="G979" s="45">
        <v>26100</v>
      </c>
      <c r="H979" s="45">
        <v>156.6</v>
      </c>
    </row>
    <row r="980" spans="1:8">
      <c r="A980" s="78">
        <v>129669964271</v>
      </c>
      <c r="B980" s="1" t="s">
        <v>8</v>
      </c>
      <c r="C980" s="44" t="s">
        <v>2215</v>
      </c>
      <c r="D980" s="1" t="s">
        <v>2057</v>
      </c>
      <c r="E980" s="44" t="s">
        <v>2215</v>
      </c>
      <c r="F980" s="38" t="s">
        <v>2058</v>
      </c>
      <c r="G980" s="45">
        <v>12400</v>
      </c>
      <c r="H980" s="45">
        <v>74.400000000000006</v>
      </c>
    </row>
    <row r="981" spans="1:8">
      <c r="A981" s="78">
        <v>129669927047</v>
      </c>
      <c r="B981" s="1" t="s">
        <v>8</v>
      </c>
      <c r="C981" s="44" t="s">
        <v>2215</v>
      </c>
      <c r="D981" s="1" t="s">
        <v>2057</v>
      </c>
      <c r="E981" s="44" t="s">
        <v>2215</v>
      </c>
      <c r="F981" s="38" t="s">
        <v>2058</v>
      </c>
      <c r="G981" s="45">
        <v>8400</v>
      </c>
      <c r="H981" s="45">
        <v>50.4</v>
      </c>
    </row>
    <row r="982" spans="1:8">
      <c r="A982" s="78">
        <v>130238444232</v>
      </c>
      <c r="B982" s="1" t="s">
        <v>8</v>
      </c>
      <c r="C982" s="44" t="s">
        <v>2197</v>
      </c>
      <c r="D982" s="1" t="s">
        <v>2057</v>
      </c>
      <c r="E982" s="44" t="s">
        <v>2197</v>
      </c>
      <c r="F982" s="38" t="s">
        <v>2058</v>
      </c>
      <c r="G982" s="45">
        <v>5500</v>
      </c>
      <c r="H982" s="45">
        <v>33</v>
      </c>
    </row>
    <row r="983" spans="1:8">
      <c r="A983" s="78">
        <v>130247086718</v>
      </c>
      <c r="B983" s="1" t="s">
        <v>8</v>
      </c>
      <c r="C983" s="44" t="s">
        <v>2215</v>
      </c>
      <c r="D983" s="1" t="s">
        <v>2057</v>
      </c>
      <c r="E983" s="44" t="s">
        <v>2215</v>
      </c>
      <c r="F983" s="38" t="s">
        <v>2058</v>
      </c>
      <c r="G983" s="45">
        <v>4800</v>
      </c>
      <c r="H983" s="45">
        <v>28.8</v>
      </c>
    </row>
    <row r="984" spans="1:8">
      <c r="A984" s="78">
        <v>129661707693</v>
      </c>
      <c r="B984" s="1" t="s">
        <v>8</v>
      </c>
      <c r="C984" s="44" t="s">
        <v>2197</v>
      </c>
      <c r="D984" s="1" t="s">
        <v>2057</v>
      </c>
      <c r="E984" s="44" t="s">
        <v>2197</v>
      </c>
      <c r="F984" s="38" t="s">
        <v>2058</v>
      </c>
      <c r="G984" s="45">
        <v>9600</v>
      </c>
      <c r="H984" s="45">
        <v>57.6</v>
      </c>
    </row>
    <row r="985" spans="1:8">
      <c r="A985" s="78">
        <v>129670229407</v>
      </c>
      <c r="B985" s="1" t="s">
        <v>8</v>
      </c>
      <c r="C985" s="44" t="s">
        <v>2215</v>
      </c>
      <c r="D985" s="1" t="s">
        <v>2057</v>
      </c>
      <c r="E985" s="44" t="s">
        <v>2215</v>
      </c>
      <c r="F985" s="38" t="s">
        <v>2058</v>
      </c>
      <c r="G985" s="45">
        <v>14200</v>
      </c>
      <c r="H985" s="45">
        <v>85.2</v>
      </c>
    </row>
    <row r="986" spans="1:8">
      <c r="A986" s="78">
        <v>129661865619</v>
      </c>
      <c r="B986" s="1" t="s">
        <v>8</v>
      </c>
      <c r="C986" s="44" t="s">
        <v>2197</v>
      </c>
      <c r="D986" s="1" t="s">
        <v>2057</v>
      </c>
      <c r="E986" s="44" t="s">
        <v>2197</v>
      </c>
      <c r="F986" s="38" t="s">
        <v>2058</v>
      </c>
      <c r="G986" s="45">
        <v>9200</v>
      </c>
      <c r="H986" s="45">
        <v>55.2</v>
      </c>
    </row>
    <row r="987" spans="1:8">
      <c r="A987" s="78">
        <v>130238857554</v>
      </c>
      <c r="B987" s="1" t="s">
        <v>8</v>
      </c>
      <c r="C987" s="44" t="s">
        <v>2197</v>
      </c>
      <c r="D987" s="1" t="s">
        <v>2057</v>
      </c>
      <c r="E987" s="44" t="s">
        <v>2197</v>
      </c>
      <c r="F987" s="38" t="s">
        <v>2058</v>
      </c>
      <c r="G987" s="45">
        <v>4750</v>
      </c>
      <c r="H987" s="45">
        <v>28.5</v>
      </c>
    </row>
    <row r="988" spans="1:8">
      <c r="A988" s="78">
        <v>130238877698</v>
      </c>
      <c r="B988" s="1" t="s">
        <v>8</v>
      </c>
      <c r="C988" s="44" t="s">
        <v>2197</v>
      </c>
      <c r="D988" s="1" t="s">
        <v>2057</v>
      </c>
      <c r="E988" s="44" t="s">
        <v>2197</v>
      </c>
      <c r="F988" s="38" t="s">
        <v>2058</v>
      </c>
      <c r="G988" s="45">
        <v>9200</v>
      </c>
      <c r="H988" s="45">
        <v>55.2</v>
      </c>
    </row>
    <row r="989" spans="1:8">
      <c r="A989" s="78">
        <v>130247329100</v>
      </c>
      <c r="B989" s="1" t="s">
        <v>2055</v>
      </c>
      <c r="C989" s="44" t="s">
        <v>2215</v>
      </c>
      <c r="D989" s="1" t="s">
        <v>2057</v>
      </c>
      <c r="E989" s="44" t="s">
        <v>2215</v>
      </c>
      <c r="F989" s="38" t="s">
        <v>2058</v>
      </c>
      <c r="G989" s="45">
        <v>11000</v>
      </c>
      <c r="H989" s="45">
        <v>66</v>
      </c>
    </row>
    <row r="990" spans="1:8">
      <c r="A990" s="78">
        <v>129662993211</v>
      </c>
      <c r="B990" s="1" t="s">
        <v>2055</v>
      </c>
      <c r="C990" s="44" t="s">
        <v>2197</v>
      </c>
      <c r="D990" s="1" t="s">
        <v>2057</v>
      </c>
      <c r="E990" s="44" t="s">
        <v>2197</v>
      </c>
      <c r="F990" s="38" t="s">
        <v>2058</v>
      </c>
      <c r="G990" s="45">
        <v>8800</v>
      </c>
      <c r="H990" s="45">
        <v>52.8</v>
      </c>
    </row>
    <row r="991" spans="1:8">
      <c r="A991" s="78">
        <v>129663813559</v>
      </c>
      <c r="B991" s="1" t="s">
        <v>2217</v>
      </c>
      <c r="C991" s="44" t="s">
        <v>2197</v>
      </c>
      <c r="D991" s="1" t="s">
        <v>2057</v>
      </c>
      <c r="E991" s="44" t="s">
        <v>2197</v>
      </c>
      <c r="F991" s="38" t="s">
        <v>2058</v>
      </c>
      <c r="G991" s="45">
        <v>755</v>
      </c>
      <c r="H991" s="45">
        <v>4.53</v>
      </c>
    </row>
    <row r="992" spans="1:8">
      <c r="A992" s="78">
        <v>129671797275</v>
      </c>
      <c r="B992" s="1" t="s">
        <v>8</v>
      </c>
      <c r="C992" s="44" t="s">
        <v>2215</v>
      </c>
      <c r="D992" s="1" t="s">
        <v>2057</v>
      </c>
      <c r="E992" s="44" t="s">
        <v>2215</v>
      </c>
      <c r="F992" s="38" t="s">
        <v>2058</v>
      </c>
      <c r="G992" s="45">
        <v>5500</v>
      </c>
      <c r="H992" s="45">
        <v>33</v>
      </c>
    </row>
    <row r="993" spans="1:8">
      <c r="A993" s="78">
        <v>129664222459</v>
      </c>
      <c r="B993" s="1" t="s">
        <v>2055</v>
      </c>
      <c r="C993" s="44" t="s">
        <v>2197</v>
      </c>
      <c r="D993" s="1" t="s">
        <v>2057</v>
      </c>
      <c r="E993" s="44" t="s">
        <v>2197</v>
      </c>
      <c r="F993" s="38" t="s">
        <v>2058</v>
      </c>
      <c r="G993" s="45">
        <v>101400</v>
      </c>
      <c r="H993" s="45">
        <v>608.4</v>
      </c>
    </row>
    <row r="994" spans="1:8">
      <c r="A994" s="78">
        <v>130248763394</v>
      </c>
      <c r="B994" s="1" t="s">
        <v>8</v>
      </c>
      <c r="C994" s="44" t="s">
        <v>2215</v>
      </c>
      <c r="D994" s="1" t="s">
        <v>2057</v>
      </c>
      <c r="E994" s="44" t="s">
        <v>2215</v>
      </c>
      <c r="F994" s="38" t="s">
        <v>2058</v>
      </c>
      <c r="G994" s="45">
        <v>16000</v>
      </c>
      <c r="H994" s="45">
        <v>96</v>
      </c>
    </row>
    <row r="995" spans="1:8">
      <c r="A995" s="78">
        <v>130241438654</v>
      </c>
      <c r="B995" s="1" t="s">
        <v>8</v>
      </c>
      <c r="C995" s="44" t="s">
        <v>2197</v>
      </c>
      <c r="D995" s="1" t="s">
        <v>2057</v>
      </c>
      <c r="E995" s="44" t="s">
        <v>2197</v>
      </c>
      <c r="F995" s="38" t="s">
        <v>2058</v>
      </c>
      <c r="G995" s="45">
        <v>4200</v>
      </c>
      <c r="H995" s="45">
        <v>25.2</v>
      </c>
    </row>
    <row r="996" spans="1:8">
      <c r="A996" s="78">
        <v>130241731324</v>
      </c>
      <c r="B996" s="1" t="s">
        <v>8</v>
      </c>
      <c r="C996" s="44" t="s">
        <v>2197</v>
      </c>
      <c r="D996" s="1" t="s">
        <v>2057</v>
      </c>
      <c r="E996" s="44" t="s">
        <v>2197</v>
      </c>
      <c r="F996" s="38" t="s">
        <v>2058</v>
      </c>
      <c r="G996" s="45">
        <v>12200</v>
      </c>
      <c r="H996" s="45">
        <v>73.2</v>
      </c>
    </row>
    <row r="997" spans="1:8">
      <c r="A997" s="78">
        <v>129665013047</v>
      </c>
      <c r="B997" s="1" t="s">
        <v>8</v>
      </c>
      <c r="C997" s="44" t="s">
        <v>2197</v>
      </c>
      <c r="D997" s="1" t="s">
        <v>2057</v>
      </c>
      <c r="E997" s="44" t="s">
        <v>2215</v>
      </c>
      <c r="F997" s="38" t="s">
        <v>2058</v>
      </c>
      <c r="G997" s="45">
        <v>19200</v>
      </c>
      <c r="H997" s="45">
        <v>115.2</v>
      </c>
    </row>
    <row r="998" spans="1:8">
      <c r="A998" s="78">
        <v>130242353180</v>
      </c>
      <c r="B998" s="1" t="s">
        <v>8</v>
      </c>
      <c r="C998" s="44" t="s">
        <v>2197</v>
      </c>
      <c r="D998" s="1" t="s">
        <v>2057</v>
      </c>
      <c r="E998" s="44" t="s">
        <v>2215</v>
      </c>
      <c r="F998" s="38" t="s">
        <v>2058</v>
      </c>
      <c r="G998" s="45">
        <v>20500</v>
      </c>
      <c r="H998" s="45">
        <v>123</v>
      </c>
    </row>
    <row r="999" spans="1:8">
      <c r="A999" s="78">
        <v>130242682206</v>
      </c>
      <c r="B999" s="1" t="s">
        <v>8</v>
      </c>
      <c r="C999" s="44" t="s">
        <v>2197</v>
      </c>
      <c r="D999" s="1" t="s">
        <v>2057</v>
      </c>
      <c r="E999" s="44" t="s">
        <v>2215</v>
      </c>
      <c r="F999" s="38" t="s">
        <v>2058</v>
      </c>
      <c r="G999" s="45">
        <v>48400</v>
      </c>
      <c r="H999" s="45">
        <v>290.39999999999998</v>
      </c>
    </row>
    <row r="1000" spans="1:8">
      <c r="A1000" s="78">
        <v>130249595876</v>
      </c>
      <c r="B1000" s="1" t="s">
        <v>2055</v>
      </c>
      <c r="C1000" s="44" t="s">
        <v>2215</v>
      </c>
      <c r="D1000" s="1" t="s">
        <v>2057</v>
      </c>
      <c r="E1000" s="44" t="s">
        <v>2215</v>
      </c>
      <c r="F1000" s="38" t="s">
        <v>2058</v>
      </c>
      <c r="G1000" s="45">
        <v>14400</v>
      </c>
      <c r="H1000" s="45">
        <v>86.4</v>
      </c>
    </row>
    <row r="1001" spans="1:8">
      <c r="A1001" s="78">
        <v>130242872800</v>
      </c>
      <c r="B1001" s="1" t="s">
        <v>8</v>
      </c>
      <c r="C1001" s="44" t="s">
        <v>2197</v>
      </c>
      <c r="D1001" s="1" t="s">
        <v>2057</v>
      </c>
      <c r="E1001" s="44" t="s">
        <v>2215</v>
      </c>
      <c r="F1001" s="38" t="s">
        <v>2058</v>
      </c>
      <c r="G1001" s="45">
        <v>13600</v>
      </c>
      <c r="H1001" s="45">
        <v>81.599999999999994</v>
      </c>
    </row>
    <row r="1002" spans="1:8">
      <c r="A1002" s="78">
        <v>130243088256</v>
      </c>
      <c r="B1002" s="1" t="s">
        <v>2055</v>
      </c>
      <c r="C1002" s="44" t="s">
        <v>2197</v>
      </c>
      <c r="D1002" s="1" t="s">
        <v>2057</v>
      </c>
      <c r="E1002" s="44" t="s">
        <v>2215</v>
      </c>
      <c r="F1002" s="38" t="s">
        <v>2058</v>
      </c>
      <c r="G1002" s="45">
        <v>4400</v>
      </c>
      <c r="H1002" s="45">
        <v>26.4</v>
      </c>
    </row>
    <row r="1003" spans="1:8">
      <c r="A1003" s="78">
        <v>130250135054</v>
      </c>
      <c r="B1003" s="1" t="s">
        <v>2218</v>
      </c>
      <c r="C1003" s="44" t="s">
        <v>2215</v>
      </c>
      <c r="D1003" s="1" t="s">
        <v>2057</v>
      </c>
      <c r="E1003" s="44" t="s">
        <v>2215</v>
      </c>
      <c r="F1003" s="38" t="s">
        <v>2058</v>
      </c>
      <c r="G1003" s="45">
        <v>600</v>
      </c>
      <c r="H1003" s="45">
        <v>3.6</v>
      </c>
    </row>
    <row r="1004" spans="1:8">
      <c r="A1004" s="78">
        <v>129673252193</v>
      </c>
      <c r="B1004" s="1" t="s">
        <v>8</v>
      </c>
      <c r="C1004" s="44" t="s">
        <v>2215</v>
      </c>
      <c r="D1004" s="1" t="s">
        <v>2057</v>
      </c>
      <c r="E1004" s="44" t="s">
        <v>2215</v>
      </c>
      <c r="F1004" s="38" t="s">
        <v>2058</v>
      </c>
      <c r="G1004" s="45">
        <v>12000</v>
      </c>
      <c r="H1004" s="45">
        <v>72</v>
      </c>
    </row>
    <row r="1005" spans="1:8">
      <c r="A1005" s="78">
        <v>130243178826</v>
      </c>
      <c r="B1005" s="1" t="s">
        <v>8</v>
      </c>
      <c r="C1005" s="44" t="s">
        <v>2197</v>
      </c>
      <c r="D1005" s="1" t="s">
        <v>2057</v>
      </c>
      <c r="E1005" s="44" t="s">
        <v>2215</v>
      </c>
      <c r="F1005" s="38" t="s">
        <v>2058</v>
      </c>
      <c r="G1005" s="45">
        <v>20700</v>
      </c>
      <c r="H1005" s="45">
        <v>124.2</v>
      </c>
    </row>
    <row r="1006" spans="1:8">
      <c r="A1006" s="78">
        <v>130243259208</v>
      </c>
      <c r="B1006" s="1" t="s">
        <v>8</v>
      </c>
      <c r="C1006" s="44" t="s">
        <v>2197</v>
      </c>
      <c r="D1006" s="1" t="s">
        <v>2057</v>
      </c>
      <c r="E1006" s="44" t="s">
        <v>2215</v>
      </c>
      <c r="F1006" s="38" t="s">
        <v>2058</v>
      </c>
      <c r="G1006" s="45">
        <v>22000</v>
      </c>
      <c r="H1006" s="45">
        <v>132</v>
      </c>
    </row>
    <row r="1007" spans="1:8">
      <c r="A1007" s="78">
        <v>130243432840</v>
      </c>
      <c r="B1007" s="1" t="s">
        <v>8</v>
      </c>
      <c r="C1007" s="44" t="s">
        <v>2197</v>
      </c>
      <c r="D1007" s="1" t="s">
        <v>2057</v>
      </c>
      <c r="E1007" s="44" t="s">
        <v>2215</v>
      </c>
      <c r="F1007" s="38" t="s">
        <v>2058</v>
      </c>
      <c r="G1007" s="45">
        <v>11000</v>
      </c>
      <c r="H1007" s="45">
        <v>66</v>
      </c>
    </row>
    <row r="1008" spans="1:8">
      <c r="A1008" s="78">
        <v>129666703035</v>
      </c>
      <c r="B1008" s="1" t="s">
        <v>8</v>
      </c>
      <c r="C1008" s="44" t="s">
        <v>2197</v>
      </c>
      <c r="D1008" s="1" t="s">
        <v>2057</v>
      </c>
      <c r="E1008" s="44" t="s">
        <v>2215</v>
      </c>
      <c r="F1008" s="38" t="s">
        <v>2058</v>
      </c>
      <c r="G1008" s="45">
        <v>10600</v>
      </c>
      <c r="H1008" s="45">
        <v>63.6</v>
      </c>
    </row>
    <row r="1009" spans="1:8">
      <c r="A1009" s="78">
        <v>129666911033</v>
      </c>
      <c r="B1009" s="1" t="s">
        <v>8</v>
      </c>
      <c r="C1009" s="44" t="s">
        <v>2197</v>
      </c>
      <c r="D1009" s="1" t="s">
        <v>2057</v>
      </c>
      <c r="E1009" s="44" t="s">
        <v>2215</v>
      </c>
      <c r="F1009" s="38" t="s">
        <v>2058</v>
      </c>
      <c r="G1009" s="45">
        <v>80100</v>
      </c>
      <c r="H1009" s="45">
        <v>480.6</v>
      </c>
    </row>
    <row r="1010" spans="1:8">
      <c r="A1010" s="78">
        <v>129667056931</v>
      </c>
      <c r="B1010" s="1" t="s">
        <v>8</v>
      </c>
      <c r="C1010" s="44" t="s">
        <v>2197</v>
      </c>
      <c r="D1010" s="1" t="s">
        <v>2057</v>
      </c>
      <c r="E1010" s="44" t="s">
        <v>2215</v>
      </c>
      <c r="F1010" s="38" t="s">
        <v>2058</v>
      </c>
      <c r="G1010" s="45">
        <v>6000</v>
      </c>
      <c r="H1010" s="45">
        <v>36</v>
      </c>
    </row>
    <row r="1011" spans="1:8">
      <c r="A1011" s="78">
        <v>129667297475</v>
      </c>
      <c r="B1011" s="1" t="s">
        <v>2055</v>
      </c>
      <c r="C1011" s="44" t="s">
        <v>2197</v>
      </c>
      <c r="D1011" s="1" t="s">
        <v>2057</v>
      </c>
      <c r="E1011" s="44" t="s">
        <v>2215</v>
      </c>
      <c r="F1011" s="38" t="s">
        <v>2058</v>
      </c>
      <c r="G1011" s="45">
        <v>8000</v>
      </c>
      <c r="H1011" s="45">
        <v>48</v>
      </c>
    </row>
    <row r="1012" spans="1:8">
      <c r="A1012" s="78">
        <v>130244627434</v>
      </c>
      <c r="B1012" s="1" t="s">
        <v>2055</v>
      </c>
      <c r="C1012" s="44" t="s">
        <v>2197</v>
      </c>
      <c r="D1012" s="1" t="s">
        <v>2057</v>
      </c>
      <c r="E1012" s="44" t="s">
        <v>2215</v>
      </c>
      <c r="F1012" s="38" t="s">
        <v>2058</v>
      </c>
      <c r="G1012" s="45">
        <v>4500</v>
      </c>
      <c r="H1012" s="45">
        <v>27</v>
      </c>
    </row>
    <row r="1013" spans="1:8">
      <c r="A1013" s="78">
        <v>130245537370</v>
      </c>
      <c r="B1013" s="1" t="s">
        <v>2055</v>
      </c>
      <c r="C1013" s="44" t="s">
        <v>2215</v>
      </c>
      <c r="D1013" s="1" t="s">
        <v>2057</v>
      </c>
      <c r="E1013" s="44" t="s">
        <v>2215</v>
      </c>
      <c r="F1013" s="38" t="s">
        <v>2058</v>
      </c>
      <c r="G1013" s="45">
        <v>9000</v>
      </c>
      <c r="H1013" s="45">
        <v>54</v>
      </c>
    </row>
    <row r="1014" spans="1:8">
      <c r="A1014" s="78">
        <v>130245840846</v>
      </c>
      <c r="B1014" s="1" t="s">
        <v>8</v>
      </c>
      <c r="C1014" s="44" t="s">
        <v>2215</v>
      </c>
      <c r="D1014" s="1" t="s">
        <v>2057</v>
      </c>
      <c r="E1014" s="44" t="s">
        <v>2215</v>
      </c>
      <c r="F1014" s="38" t="s">
        <v>2058</v>
      </c>
      <c r="G1014" s="45">
        <v>81900</v>
      </c>
      <c r="H1014" s="45">
        <v>491.4</v>
      </c>
    </row>
    <row r="1015" spans="1:8">
      <c r="A1015" s="78">
        <v>129668875591</v>
      </c>
      <c r="B1015" s="1" t="s">
        <v>8</v>
      </c>
      <c r="C1015" s="44" t="s">
        <v>2215</v>
      </c>
      <c r="D1015" s="1" t="s">
        <v>2057</v>
      </c>
      <c r="E1015" s="44" t="s">
        <v>2215</v>
      </c>
      <c r="F1015" s="38" t="s">
        <v>2058</v>
      </c>
      <c r="G1015" s="45">
        <v>12400</v>
      </c>
      <c r="H1015" s="45">
        <v>74.400000000000006</v>
      </c>
    </row>
    <row r="1016" spans="1:8">
      <c r="A1016" s="78">
        <v>129669344853</v>
      </c>
      <c r="B1016" s="1" t="s">
        <v>8</v>
      </c>
      <c r="C1016" s="44" t="s">
        <v>2215</v>
      </c>
      <c r="D1016" s="1" t="s">
        <v>2057</v>
      </c>
      <c r="E1016" s="44" t="s">
        <v>2215</v>
      </c>
      <c r="F1016" s="38" t="s">
        <v>2058</v>
      </c>
      <c r="G1016" s="45">
        <v>8000</v>
      </c>
      <c r="H1016" s="45">
        <v>48</v>
      </c>
    </row>
    <row r="1017" spans="1:8">
      <c r="A1017" s="78">
        <v>129669379157</v>
      </c>
      <c r="B1017" s="1" t="s">
        <v>8</v>
      </c>
      <c r="C1017" s="44" t="s">
        <v>2215</v>
      </c>
      <c r="D1017" s="1" t="s">
        <v>2057</v>
      </c>
      <c r="E1017" s="44" t="s">
        <v>2215</v>
      </c>
      <c r="F1017" s="38" t="s">
        <v>2058</v>
      </c>
      <c r="G1017" s="45">
        <v>11700</v>
      </c>
      <c r="H1017" s="45">
        <v>70.2</v>
      </c>
    </row>
    <row r="1018" spans="1:8">
      <c r="A1018" s="78">
        <v>130246425270</v>
      </c>
      <c r="B1018" s="1" t="s">
        <v>8</v>
      </c>
      <c r="C1018" s="44" t="s">
        <v>2215</v>
      </c>
      <c r="D1018" s="1" t="s">
        <v>2057</v>
      </c>
      <c r="E1018" s="44" t="s">
        <v>2215</v>
      </c>
      <c r="F1018" s="38" t="s">
        <v>2058</v>
      </c>
      <c r="G1018" s="45">
        <v>9600</v>
      </c>
      <c r="H1018" s="45">
        <v>57.6</v>
      </c>
    </row>
    <row r="1019" spans="1:8">
      <c r="A1019" s="78">
        <v>129669964271</v>
      </c>
      <c r="B1019" s="1" t="s">
        <v>8</v>
      </c>
      <c r="C1019" s="44" t="s">
        <v>2215</v>
      </c>
      <c r="D1019" s="1" t="s">
        <v>2073</v>
      </c>
      <c r="E1019" s="44" t="s">
        <v>2215</v>
      </c>
      <c r="F1019" s="38" t="s">
        <v>2058</v>
      </c>
      <c r="G1019" s="45">
        <v>-12400</v>
      </c>
      <c r="H1019" s="45">
        <v>-74.400000000000006</v>
      </c>
    </row>
    <row r="1020" spans="1:8">
      <c r="A1020" s="78">
        <v>130247030066</v>
      </c>
      <c r="B1020" s="1" t="s">
        <v>8</v>
      </c>
      <c r="C1020" s="44" t="s">
        <v>2215</v>
      </c>
      <c r="D1020" s="1" t="s">
        <v>2057</v>
      </c>
      <c r="E1020" s="44" t="s">
        <v>2215</v>
      </c>
      <c r="F1020" s="38" t="s">
        <v>2058</v>
      </c>
      <c r="G1020" s="45">
        <v>13900</v>
      </c>
      <c r="H1020" s="45">
        <v>83.4</v>
      </c>
    </row>
    <row r="1021" spans="1:8">
      <c r="A1021" s="78">
        <v>130247117566</v>
      </c>
      <c r="B1021" s="1" t="s">
        <v>8</v>
      </c>
      <c r="C1021" s="44" t="s">
        <v>2215</v>
      </c>
      <c r="D1021" s="1" t="s">
        <v>2057</v>
      </c>
      <c r="E1021" s="44" t="s">
        <v>2215</v>
      </c>
      <c r="F1021" s="38" t="s">
        <v>2058</v>
      </c>
      <c r="G1021" s="45">
        <v>22000</v>
      </c>
      <c r="H1021" s="45">
        <v>132</v>
      </c>
    </row>
    <row r="1022" spans="1:8">
      <c r="A1022" s="78">
        <v>130247304740</v>
      </c>
      <c r="B1022" s="1" t="s">
        <v>2055</v>
      </c>
      <c r="C1022" s="44" t="s">
        <v>2215</v>
      </c>
      <c r="D1022" s="1" t="s">
        <v>2057</v>
      </c>
      <c r="E1022" s="44" t="s">
        <v>2215</v>
      </c>
      <c r="F1022" s="38" t="s">
        <v>2058</v>
      </c>
      <c r="G1022" s="45">
        <v>33600</v>
      </c>
      <c r="H1022" s="45">
        <v>201.6</v>
      </c>
    </row>
    <row r="1023" spans="1:8">
      <c r="A1023" s="78">
        <v>130247568172</v>
      </c>
      <c r="B1023" s="1" t="s">
        <v>2055</v>
      </c>
      <c r="C1023" s="44" t="s">
        <v>2215</v>
      </c>
      <c r="D1023" s="1" t="s">
        <v>2057</v>
      </c>
      <c r="E1023" s="44" t="s">
        <v>2215</v>
      </c>
      <c r="F1023" s="38" t="s">
        <v>2058</v>
      </c>
      <c r="G1023" s="45">
        <v>4200</v>
      </c>
      <c r="H1023" s="45">
        <v>25.2</v>
      </c>
    </row>
    <row r="1024" spans="1:8">
      <c r="A1024" s="78">
        <v>129670391921</v>
      </c>
      <c r="B1024" s="1" t="s">
        <v>8</v>
      </c>
      <c r="C1024" s="44" t="s">
        <v>2215</v>
      </c>
      <c r="D1024" s="1" t="s">
        <v>2057</v>
      </c>
      <c r="E1024" s="44" t="s">
        <v>2215</v>
      </c>
      <c r="F1024" s="38" t="s">
        <v>2058</v>
      </c>
      <c r="G1024" s="45">
        <v>9700</v>
      </c>
      <c r="H1024" s="45">
        <v>58.2</v>
      </c>
    </row>
    <row r="1025" spans="1:8">
      <c r="A1025" s="78">
        <v>129670591855</v>
      </c>
      <c r="B1025" s="1" t="s">
        <v>8</v>
      </c>
      <c r="C1025" s="44" t="s">
        <v>2215</v>
      </c>
      <c r="D1025" s="1" t="s">
        <v>2057</v>
      </c>
      <c r="E1025" s="44" t="s">
        <v>2215</v>
      </c>
      <c r="F1025" s="38" t="s">
        <v>2058</v>
      </c>
      <c r="G1025" s="45">
        <v>78000</v>
      </c>
      <c r="H1025" s="45">
        <v>468</v>
      </c>
    </row>
    <row r="1026" spans="1:8">
      <c r="A1026" s="78">
        <v>130247812692</v>
      </c>
      <c r="B1026" s="1" t="s">
        <v>8</v>
      </c>
      <c r="C1026" s="44" t="s">
        <v>2215</v>
      </c>
      <c r="D1026" s="1" t="s">
        <v>2057</v>
      </c>
      <c r="E1026" s="44" t="s">
        <v>2215</v>
      </c>
      <c r="F1026" s="38" t="s">
        <v>2058</v>
      </c>
      <c r="G1026" s="45">
        <v>5500</v>
      </c>
      <c r="H1026" s="45">
        <v>33</v>
      </c>
    </row>
    <row r="1027" spans="1:8">
      <c r="A1027" s="78">
        <v>130247751270</v>
      </c>
      <c r="B1027" s="1" t="s">
        <v>8</v>
      </c>
      <c r="C1027" s="44" t="s">
        <v>2215</v>
      </c>
      <c r="D1027" s="1" t="s">
        <v>2057</v>
      </c>
      <c r="E1027" s="44" t="s">
        <v>2215</v>
      </c>
      <c r="F1027" s="38" t="s">
        <v>2058</v>
      </c>
      <c r="G1027" s="45">
        <v>4800</v>
      </c>
      <c r="H1027" s="45">
        <v>28.8</v>
      </c>
    </row>
    <row r="1028" spans="1:8">
      <c r="A1028" s="78">
        <v>130248036304</v>
      </c>
      <c r="B1028" s="1" t="s">
        <v>8</v>
      </c>
      <c r="C1028" s="44" t="s">
        <v>2215</v>
      </c>
      <c r="D1028" s="1" t="s">
        <v>2057</v>
      </c>
      <c r="E1028" s="44" t="s">
        <v>2215</v>
      </c>
      <c r="F1028" s="38" t="s">
        <v>2058</v>
      </c>
      <c r="G1028" s="45">
        <v>37100</v>
      </c>
      <c r="H1028" s="45">
        <v>222.6</v>
      </c>
    </row>
    <row r="1029" spans="1:8">
      <c r="A1029" s="78">
        <v>129670937377</v>
      </c>
      <c r="B1029" s="1" t="s">
        <v>8</v>
      </c>
      <c r="C1029" s="44" t="s">
        <v>2215</v>
      </c>
      <c r="D1029" s="1" t="s">
        <v>2057</v>
      </c>
      <c r="E1029" s="44" t="s">
        <v>2215</v>
      </c>
      <c r="F1029" s="38" t="s">
        <v>2058</v>
      </c>
      <c r="G1029" s="45">
        <v>18700</v>
      </c>
      <c r="H1029" s="45">
        <v>112.2</v>
      </c>
    </row>
    <row r="1030" spans="1:8">
      <c r="A1030" s="78">
        <v>130248023924</v>
      </c>
      <c r="B1030" s="1" t="s">
        <v>8</v>
      </c>
      <c r="C1030" s="44" t="s">
        <v>2215</v>
      </c>
      <c r="D1030" s="1" t="s">
        <v>2057</v>
      </c>
      <c r="E1030" s="44" t="s">
        <v>2215</v>
      </c>
      <c r="F1030" s="38" t="s">
        <v>2058</v>
      </c>
      <c r="G1030" s="45">
        <v>9200</v>
      </c>
      <c r="H1030" s="45">
        <v>55.2</v>
      </c>
    </row>
    <row r="1031" spans="1:8">
      <c r="A1031" s="78">
        <v>129671157781</v>
      </c>
      <c r="B1031" s="1" t="s">
        <v>2055</v>
      </c>
      <c r="C1031" s="44" t="s">
        <v>2215</v>
      </c>
      <c r="D1031" s="1" t="s">
        <v>2057</v>
      </c>
      <c r="E1031" s="44" t="s">
        <v>2215</v>
      </c>
      <c r="F1031" s="38" t="s">
        <v>2058</v>
      </c>
      <c r="G1031" s="45">
        <v>11000</v>
      </c>
      <c r="H1031" s="45">
        <v>66</v>
      </c>
    </row>
    <row r="1032" spans="1:8">
      <c r="A1032" s="78">
        <v>130248316942</v>
      </c>
      <c r="B1032" s="1" t="s">
        <v>8</v>
      </c>
      <c r="C1032" s="44" t="s">
        <v>2215</v>
      </c>
      <c r="D1032" s="1" t="s">
        <v>2057</v>
      </c>
      <c r="E1032" s="44" t="s">
        <v>2215</v>
      </c>
      <c r="F1032" s="38" t="s">
        <v>2058</v>
      </c>
      <c r="G1032" s="45">
        <v>5500</v>
      </c>
      <c r="H1032" s="45">
        <v>33</v>
      </c>
    </row>
    <row r="1033" spans="1:8">
      <c r="A1033" s="78">
        <v>129671936945</v>
      </c>
      <c r="B1033" s="1" t="s">
        <v>8</v>
      </c>
      <c r="C1033" s="44" t="s">
        <v>2215</v>
      </c>
      <c r="D1033" s="1" t="s">
        <v>2057</v>
      </c>
      <c r="E1033" s="44" t="s">
        <v>2215</v>
      </c>
      <c r="F1033" s="38" t="s">
        <v>2058</v>
      </c>
      <c r="G1033" s="45">
        <v>4800</v>
      </c>
      <c r="H1033" s="45">
        <v>28.8</v>
      </c>
    </row>
    <row r="1034" spans="1:8">
      <c r="A1034" s="78">
        <v>129671929721</v>
      </c>
      <c r="B1034" s="1" t="s">
        <v>8</v>
      </c>
      <c r="C1034" s="44" t="s">
        <v>2215</v>
      </c>
      <c r="D1034" s="1" t="s">
        <v>2057</v>
      </c>
      <c r="E1034" s="44" t="s">
        <v>2215</v>
      </c>
      <c r="F1034" s="38" t="s">
        <v>2058</v>
      </c>
      <c r="G1034" s="45">
        <v>26000</v>
      </c>
      <c r="H1034" s="45">
        <v>156</v>
      </c>
    </row>
    <row r="1035" spans="1:8">
      <c r="A1035" s="78">
        <v>129672790911</v>
      </c>
      <c r="B1035" s="1" t="s">
        <v>8</v>
      </c>
      <c r="C1035" s="44" t="s">
        <v>2215</v>
      </c>
      <c r="D1035" s="1" t="s">
        <v>2057</v>
      </c>
      <c r="E1035" s="44" t="s">
        <v>2215</v>
      </c>
      <c r="F1035" s="38" t="s">
        <v>2058</v>
      </c>
      <c r="G1035" s="45">
        <v>24900</v>
      </c>
      <c r="H1035" s="45">
        <v>149.4</v>
      </c>
    </row>
    <row r="1036" spans="1:8">
      <c r="A1036" s="78">
        <v>130249957450</v>
      </c>
      <c r="B1036" s="1" t="s">
        <v>8</v>
      </c>
      <c r="C1036" s="44" t="s">
        <v>2215</v>
      </c>
      <c r="D1036" s="1" t="s">
        <v>2057</v>
      </c>
      <c r="E1036" s="44" t="s">
        <v>2215</v>
      </c>
      <c r="F1036" s="38" t="s">
        <v>2058</v>
      </c>
      <c r="G1036" s="45">
        <v>18200</v>
      </c>
      <c r="H1036" s="45">
        <v>109.2</v>
      </c>
    </row>
    <row r="1037" spans="1:8">
      <c r="A1037" s="78">
        <v>129673278321</v>
      </c>
      <c r="B1037" s="1" t="s">
        <v>8</v>
      </c>
      <c r="C1037" s="44" t="s">
        <v>2215</v>
      </c>
      <c r="D1037" s="1" t="s">
        <v>2057</v>
      </c>
      <c r="E1037" s="44" t="s">
        <v>2215</v>
      </c>
      <c r="F1037" s="38" t="s">
        <v>2058</v>
      </c>
      <c r="G1037" s="45">
        <v>38000</v>
      </c>
      <c r="H1037" s="45">
        <v>228</v>
      </c>
    </row>
    <row r="1038" spans="1:8">
      <c r="A1038" s="78" t="s">
        <v>2219</v>
      </c>
      <c r="B1038" s="1" t="s">
        <v>8</v>
      </c>
      <c r="C1038" s="44" t="s">
        <v>2215</v>
      </c>
      <c r="D1038" s="1" t="s">
        <v>2057</v>
      </c>
      <c r="E1038" s="44" t="s">
        <v>2215</v>
      </c>
      <c r="F1038" s="38" t="s">
        <v>2058</v>
      </c>
      <c r="G1038" s="45">
        <v>663240</v>
      </c>
      <c r="H1038" s="45">
        <v>3979.44</v>
      </c>
    </row>
    <row r="1039" spans="1:8">
      <c r="A1039" s="78">
        <v>130353705012</v>
      </c>
      <c r="B1039" s="1" t="s">
        <v>8</v>
      </c>
      <c r="C1039" s="44" t="s">
        <v>2215</v>
      </c>
      <c r="D1039" s="1" t="s">
        <v>2057</v>
      </c>
      <c r="E1039" s="44" t="s">
        <v>2215</v>
      </c>
      <c r="F1039" s="38" t="s">
        <v>2058</v>
      </c>
      <c r="G1039" s="45">
        <v>9600</v>
      </c>
      <c r="H1039" s="45">
        <v>57.6</v>
      </c>
    </row>
    <row r="1040" spans="1:8">
      <c r="A1040" s="78">
        <v>130353760104</v>
      </c>
      <c r="B1040" s="1" t="s">
        <v>2220</v>
      </c>
      <c r="C1040" s="44" t="s">
        <v>2215</v>
      </c>
      <c r="D1040" s="1" t="s">
        <v>2057</v>
      </c>
      <c r="E1040" s="44" t="s">
        <v>2215</v>
      </c>
      <c r="F1040" s="38" t="s">
        <v>2058</v>
      </c>
      <c r="G1040" s="45">
        <v>480</v>
      </c>
      <c r="H1040" s="45">
        <v>2.88</v>
      </c>
    </row>
    <row r="1041" spans="1:8">
      <c r="A1041" s="78">
        <v>129784003071</v>
      </c>
      <c r="B1041" s="1" t="s">
        <v>8</v>
      </c>
      <c r="C1041" s="44" t="s">
        <v>2215</v>
      </c>
      <c r="D1041" s="1" t="s">
        <v>2057</v>
      </c>
      <c r="E1041" s="44" t="s">
        <v>2215</v>
      </c>
      <c r="F1041" s="38" t="s">
        <v>2058</v>
      </c>
      <c r="G1041" s="45">
        <v>16000</v>
      </c>
      <c r="H1041" s="45">
        <v>96</v>
      </c>
    </row>
    <row r="1042" spans="1:8">
      <c r="A1042" s="78">
        <v>130361845382</v>
      </c>
      <c r="B1042" s="1" t="s">
        <v>2221</v>
      </c>
      <c r="C1042" s="44" t="s">
        <v>2215</v>
      </c>
      <c r="D1042" s="1" t="s">
        <v>2057</v>
      </c>
      <c r="E1042" s="44" t="s">
        <v>2215</v>
      </c>
      <c r="F1042" s="38" t="s">
        <v>2058</v>
      </c>
      <c r="G1042" s="45">
        <v>240</v>
      </c>
      <c r="H1042" s="45">
        <v>1.44</v>
      </c>
    </row>
    <row r="1043" spans="1:8">
      <c r="A1043" s="78">
        <v>130361946326</v>
      </c>
      <c r="B1043" s="1" t="s">
        <v>8</v>
      </c>
      <c r="C1043" s="44" t="s">
        <v>2215</v>
      </c>
      <c r="D1043" s="1" t="s">
        <v>2057</v>
      </c>
      <c r="E1043" s="44" t="s">
        <v>2215</v>
      </c>
      <c r="F1043" s="38" t="s">
        <v>2058</v>
      </c>
      <c r="G1043" s="45">
        <v>4800</v>
      </c>
      <c r="H1043" s="45">
        <v>28.8</v>
      </c>
    </row>
    <row r="1044" spans="1:8">
      <c r="A1044" s="78">
        <v>129785020933</v>
      </c>
      <c r="B1044" s="1" t="s">
        <v>8</v>
      </c>
      <c r="C1044" s="44" t="s">
        <v>2215</v>
      </c>
      <c r="D1044" s="1" t="s">
        <v>2057</v>
      </c>
      <c r="E1044" s="44" t="s">
        <v>2215</v>
      </c>
      <c r="F1044" s="38" t="s">
        <v>2058</v>
      </c>
      <c r="G1044" s="45">
        <v>19000</v>
      </c>
      <c r="H1044" s="45">
        <v>114</v>
      </c>
    </row>
    <row r="1045" spans="1:8">
      <c r="A1045" s="78">
        <v>129786974609</v>
      </c>
      <c r="B1045" s="1" t="s">
        <v>8</v>
      </c>
      <c r="C1045" s="44" t="s">
        <v>2215</v>
      </c>
      <c r="D1045" s="1" t="s">
        <v>2057</v>
      </c>
      <c r="E1045" s="44" t="s">
        <v>2215</v>
      </c>
      <c r="F1045" s="38" t="s">
        <v>2058</v>
      </c>
      <c r="G1045" s="45">
        <v>26100</v>
      </c>
      <c r="H1045" s="45">
        <v>156.6</v>
      </c>
    </row>
    <row r="1046" spans="1:8">
      <c r="A1046" s="78">
        <v>130366746476</v>
      </c>
      <c r="B1046" s="1" t="s">
        <v>8</v>
      </c>
      <c r="C1046" s="44" t="s">
        <v>2215</v>
      </c>
      <c r="D1046" s="1" t="s">
        <v>2057</v>
      </c>
      <c r="E1046" s="44" t="s">
        <v>2215</v>
      </c>
      <c r="F1046" s="38" t="s">
        <v>2058</v>
      </c>
      <c r="G1046" s="45">
        <v>4800</v>
      </c>
      <c r="H1046" s="45">
        <v>28.8</v>
      </c>
    </row>
    <row r="1047" spans="1:8">
      <c r="A1047" s="78">
        <v>129778116759</v>
      </c>
      <c r="B1047" s="1" t="s">
        <v>2055</v>
      </c>
      <c r="C1047" s="44" t="s">
        <v>2215</v>
      </c>
      <c r="D1047" s="1" t="s">
        <v>2057</v>
      </c>
      <c r="E1047" s="44" t="s">
        <v>2215</v>
      </c>
      <c r="F1047" s="38" t="s">
        <v>2058</v>
      </c>
      <c r="G1047" s="45">
        <v>16800</v>
      </c>
      <c r="H1047" s="45">
        <v>100.8</v>
      </c>
    </row>
    <row r="1048" spans="1:8">
      <c r="A1048" s="78">
        <v>130358126868</v>
      </c>
      <c r="B1048" s="1" t="s">
        <v>8</v>
      </c>
      <c r="C1048" s="44" t="s">
        <v>2215</v>
      </c>
      <c r="D1048" s="1" t="s">
        <v>2057</v>
      </c>
      <c r="E1048" s="44" t="s">
        <v>2215</v>
      </c>
      <c r="F1048" s="38" t="s">
        <v>2058</v>
      </c>
      <c r="G1048" s="45">
        <v>9600</v>
      </c>
      <c r="H1048" s="45">
        <v>57.6</v>
      </c>
    </row>
    <row r="1049" spans="1:8">
      <c r="A1049" s="78">
        <v>129792971801</v>
      </c>
      <c r="B1049" s="1" t="s">
        <v>8</v>
      </c>
      <c r="C1049" s="44" t="s">
        <v>2215</v>
      </c>
      <c r="D1049" s="1" t="s">
        <v>2057</v>
      </c>
      <c r="E1049" s="44" t="s">
        <v>2215</v>
      </c>
      <c r="F1049" s="38" t="s">
        <v>2058</v>
      </c>
      <c r="G1049" s="45">
        <v>5500</v>
      </c>
      <c r="H1049" s="45">
        <v>33</v>
      </c>
    </row>
    <row r="1050" spans="1:8">
      <c r="A1050" s="78">
        <v>130361293554</v>
      </c>
      <c r="B1050" s="1" t="s">
        <v>8</v>
      </c>
      <c r="C1050" s="44" t="s">
        <v>2215</v>
      </c>
      <c r="D1050" s="1" t="s">
        <v>2057</v>
      </c>
      <c r="E1050" s="44" t="s">
        <v>2215</v>
      </c>
      <c r="F1050" s="38" t="s">
        <v>2058</v>
      </c>
      <c r="G1050" s="45">
        <v>4800</v>
      </c>
      <c r="H1050" s="45">
        <v>28.8</v>
      </c>
    </row>
    <row r="1051" spans="1:8">
      <c r="A1051" s="78">
        <v>129794619261</v>
      </c>
      <c r="B1051" s="1" t="s">
        <v>2055</v>
      </c>
      <c r="C1051" s="44" t="s">
        <v>2215</v>
      </c>
      <c r="D1051" s="1" t="s">
        <v>2057</v>
      </c>
      <c r="E1051" s="44" t="s">
        <v>2215</v>
      </c>
      <c r="F1051" s="38" t="s">
        <v>2058</v>
      </c>
      <c r="G1051" s="45">
        <v>30200</v>
      </c>
      <c r="H1051" s="45">
        <v>181.2</v>
      </c>
    </row>
    <row r="1052" spans="1:8">
      <c r="A1052" s="78">
        <v>129785087831</v>
      </c>
      <c r="B1052" s="1" t="s">
        <v>8</v>
      </c>
      <c r="C1052" s="44" t="s">
        <v>2215</v>
      </c>
      <c r="D1052" s="1" t="s">
        <v>2057</v>
      </c>
      <c r="E1052" s="44" t="s">
        <v>2215</v>
      </c>
      <c r="F1052" s="38" t="s">
        <v>2058</v>
      </c>
      <c r="G1052" s="45">
        <v>2400</v>
      </c>
      <c r="H1052" s="45">
        <v>14.4</v>
      </c>
    </row>
    <row r="1053" spans="1:8">
      <c r="A1053" s="78">
        <v>129796256297</v>
      </c>
      <c r="B1053" s="1" t="s">
        <v>8</v>
      </c>
      <c r="C1053" s="44" t="s">
        <v>2215</v>
      </c>
      <c r="D1053" s="1" t="s">
        <v>2057</v>
      </c>
      <c r="E1053" s="44" t="s">
        <v>2215</v>
      </c>
      <c r="F1053" s="38" t="s">
        <v>2058</v>
      </c>
      <c r="G1053" s="45">
        <v>9800</v>
      </c>
      <c r="H1053" s="45">
        <v>58.8</v>
      </c>
    </row>
    <row r="1054" spans="1:8">
      <c r="A1054" s="78">
        <v>130364127788</v>
      </c>
      <c r="B1054" s="1" t="s">
        <v>2055</v>
      </c>
      <c r="C1054" s="44" t="s">
        <v>2215</v>
      </c>
      <c r="D1054" s="1" t="s">
        <v>2057</v>
      </c>
      <c r="E1054" s="44" t="s">
        <v>2215</v>
      </c>
      <c r="F1054" s="38" t="s">
        <v>2058</v>
      </c>
      <c r="G1054" s="45">
        <v>11900</v>
      </c>
      <c r="H1054" s="45">
        <v>71.400000000000006</v>
      </c>
    </row>
    <row r="1055" spans="1:8">
      <c r="A1055" s="78">
        <v>130364682784</v>
      </c>
      <c r="B1055" s="1" t="s">
        <v>2222</v>
      </c>
      <c r="C1055" s="44" t="s">
        <v>2215</v>
      </c>
      <c r="D1055" s="1" t="s">
        <v>2057</v>
      </c>
      <c r="E1055" s="44" t="s">
        <v>2215</v>
      </c>
      <c r="F1055" s="38" t="s">
        <v>2058</v>
      </c>
      <c r="G1055" s="45">
        <v>1305</v>
      </c>
      <c r="H1055" s="45">
        <v>7.83</v>
      </c>
    </row>
    <row r="1056" spans="1:8">
      <c r="A1056" s="78">
        <v>129798660403</v>
      </c>
      <c r="B1056" s="1" t="s">
        <v>2055</v>
      </c>
      <c r="C1056" s="44" t="s">
        <v>2215</v>
      </c>
      <c r="D1056" s="1" t="s">
        <v>2057</v>
      </c>
      <c r="E1056" s="44" t="s">
        <v>2215</v>
      </c>
      <c r="F1056" s="38" t="s">
        <v>2058</v>
      </c>
      <c r="G1056" s="45">
        <v>39900</v>
      </c>
      <c r="H1056" s="45">
        <v>239.4</v>
      </c>
    </row>
    <row r="1057" spans="1:8">
      <c r="A1057" s="78">
        <v>129790304621</v>
      </c>
      <c r="B1057" s="1" t="s">
        <v>2055</v>
      </c>
      <c r="C1057" s="44" t="s">
        <v>2215</v>
      </c>
      <c r="D1057" s="1" t="s">
        <v>2057</v>
      </c>
      <c r="E1057" s="44" t="s">
        <v>2215</v>
      </c>
      <c r="F1057" s="38" t="s">
        <v>2058</v>
      </c>
      <c r="G1057" s="45">
        <v>9600</v>
      </c>
      <c r="H1057" s="45">
        <v>57.6</v>
      </c>
    </row>
    <row r="1058" spans="1:8">
      <c r="A1058" s="78">
        <v>129793044845</v>
      </c>
      <c r="B1058" s="1" t="s">
        <v>2223</v>
      </c>
      <c r="C1058" s="44" t="s">
        <v>2215</v>
      </c>
      <c r="D1058" s="1" t="s">
        <v>2057</v>
      </c>
      <c r="E1058" s="44" t="s">
        <v>2215</v>
      </c>
      <c r="F1058" s="38" t="s">
        <v>2058</v>
      </c>
      <c r="G1058" s="45">
        <v>275</v>
      </c>
      <c r="H1058" s="45">
        <v>1.65</v>
      </c>
    </row>
    <row r="1059" spans="1:8">
      <c r="A1059" s="78">
        <v>130380979778</v>
      </c>
      <c r="B1059" s="1" t="s">
        <v>2055</v>
      </c>
      <c r="C1059" s="44" t="s">
        <v>2215</v>
      </c>
      <c r="D1059" s="1" t="s">
        <v>2057</v>
      </c>
      <c r="E1059" s="44" t="s">
        <v>2215</v>
      </c>
      <c r="F1059" s="38" t="s">
        <v>2058</v>
      </c>
      <c r="G1059" s="45">
        <v>42000</v>
      </c>
      <c r="H1059" s="45">
        <v>252</v>
      </c>
    </row>
    <row r="1060" spans="1:8">
      <c r="A1060" s="78">
        <v>129803748097</v>
      </c>
      <c r="B1060" s="1" t="s">
        <v>8</v>
      </c>
      <c r="C1060" s="44" t="s">
        <v>2215</v>
      </c>
      <c r="D1060" s="1" t="s">
        <v>2057</v>
      </c>
      <c r="E1060" s="44" t="s">
        <v>2215</v>
      </c>
      <c r="F1060" s="38" t="s">
        <v>2058</v>
      </c>
      <c r="G1060" s="45">
        <v>49400</v>
      </c>
      <c r="H1060" s="45">
        <v>296.39999999999998</v>
      </c>
    </row>
    <row r="1061" spans="1:8">
      <c r="A1061" s="78">
        <v>130381748326</v>
      </c>
      <c r="B1061" s="1" t="s">
        <v>8</v>
      </c>
      <c r="C1061" s="44" t="s">
        <v>2215</v>
      </c>
      <c r="D1061" s="1" t="s">
        <v>2057</v>
      </c>
      <c r="E1061" s="44" t="s">
        <v>2215</v>
      </c>
      <c r="F1061" s="38" t="s">
        <v>2058</v>
      </c>
      <c r="G1061" s="45">
        <v>41200</v>
      </c>
      <c r="H1061" s="45">
        <v>247.2</v>
      </c>
    </row>
    <row r="1062" spans="1:8">
      <c r="A1062" s="78">
        <v>130383628858</v>
      </c>
      <c r="B1062" s="1" t="s">
        <v>8</v>
      </c>
      <c r="C1062" s="44" t="s">
        <v>2215</v>
      </c>
      <c r="D1062" s="1" t="s">
        <v>2057</v>
      </c>
      <c r="E1062" s="44" t="s">
        <v>2224</v>
      </c>
      <c r="F1062" s="38" t="s">
        <v>2058</v>
      </c>
      <c r="G1062" s="45">
        <v>46200</v>
      </c>
      <c r="H1062" s="45">
        <v>277.2</v>
      </c>
    </row>
    <row r="1063" spans="1:8">
      <c r="A1063" s="78">
        <v>130384067958</v>
      </c>
      <c r="B1063" s="1" t="s">
        <v>8</v>
      </c>
      <c r="C1063" s="44" t="s">
        <v>2215</v>
      </c>
      <c r="D1063" s="1" t="s">
        <v>2057</v>
      </c>
      <c r="E1063" s="44" t="s">
        <v>2224</v>
      </c>
      <c r="F1063" s="38" t="s">
        <v>2058</v>
      </c>
      <c r="G1063" s="45">
        <v>105400</v>
      </c>
      <c r="H1063" s="45">
        <v>632.4</v>
      </c>
    </row>
    <row r="1064" spans="1:8">
      <c r="A1064" s="78">
        <v>129796310089</v>
      </c>
      <c r="B1064" s="1" t="s">
        <v>2055</v>
      </c>
      <c r="C1064" s="44" t="s">
        <v>2215</v>
      </c>
      <c r="D1064" s="1" t="s">
        <v>2057</v>
      </c>
      <c r="E1064" s="44" t="s">
        <v>2215</v>
      </c>
      <c r="F1064" s="38" t="s">
        <v>2058</v>
      </c>
      <c r="G1064" s="45">
        <v>39000</v>
      </c>
      <c r="H1064" s="45">
        <v>234</v>
      </c>
    </row>
    <row r="1065" spans="1:8">
      <c r="A1065" s="78">
        <v>129796727397</v>
      </c>
      <c r="B1065" s="1" t="s">
        <v>8</v>
      </c>
      <c r="C1065" s="44" t="s">
        <v>2215</v>
      </c>
      <c r="D1065" s="1" t="s">
        <v>2057</v>
      </c>
      <c r="E1065" s="44" t="s">
        <v>2215</v>
      </c>
      <c r="F1065" s="38" t="s">
        <v>2058</v>
      </c>
      <c r="G1065" s="45">
        <v>66200</v>
      </c>
      <c r="H1065" s="45">
        <v>397.2</v>
      </c>
    </row>
    <row r="1066" spans="1:8">
      <c r="A1066" s="78">
        <v>130385114790</v>
      </c>
      <c r="B1066" s="1" t="s">
        <v>8</v>
      </c>
      <c r="C1066" s="44" t="s">
        <v>2215</v>
      </c>
      <c r="D1066" s="1" t="s">
        <v>2057</v>
      </c>
      <c r="E1066" s="44" t="s">
        <v>2224</v>
      </c>
      <c r="F1066" s="38" t="s">
        <v>2058</v>
      </c>
      <c r="G1066" s="45">
        <v>14500</v>
      </c>
      <c r="H1066" s="45">
        <v>87</v>
      </c>
    </row>
    <row r="1067" spans="1:8">
      <c r="A1067" s="78">
        <v>130375704532</v>
      </c>
      <c r="B1067" s="1" t="s">
        <v>8</v>
      </c>
      <c r="C1067" s="44" t="s">
        <v>2215</v>
      </c>
      <c r="D1067" s="1" t="s">
        <v>2057</v>
      </c>
      <c r="E1067" s="44" t="s">
        <v>2215</v>
      </c>
      <c r="F1067" s="38" t="s">
        <v>2058</v>
      </c>
      <c r="G1067" s="45">
        <v>85700</v>
      </c>
      <c r="H1067" s="45">
        <v>514.20000000000005</v>
      </c>
    </row>
    <row r="1068" spans="1:8">
      <c r="A1068" s="78">
        <v>130386044450</v>
      </c>
      <c r="B1068" s="1" t="s">
        <v>2055</v>
      </c>
      <c r="C1068" s="44" t="s">
        <v>2224</v>
      </c>
      <c r="D1068" s="1" t="s">
        <v>2057</v>
      </c>
      <c r="E1068" s="44" t="s">
        <v>2224</v>
      </c>
      <c r="F1068" s="38" t="s">
        <v>2058</v>
      </c>
      <c r="G1068" s="45">
        <v>14600</v>
      </c>
      <c r="H1068" s="45">
        <v>87.6</v>
      </c>
    </row>
    <row r="1069" spans="1:8">
      <c r="A1069" s="78">
        <v>130386612836</v>
      </c>
      <c r="B1069" s="1" t="s">
        <v>8</v>
      </c>
      <c r="C1069" s="44" t="s">
        <v>2224</v>
      </c>
      <c r="D1069" s="1" t="s">
        <v>2057</v>
      </c>
      <c r="E1069" s="44" t="s">
        <v>2224</v>
      </c>
      <c r="F1069" s="38" t="s">
        <v>2058</v>
      </c>
      <c r="G1069" s="45">
        <v>33300</v>
      </c>
      <c r="H1069" s="45">
        <v>199.8</v>
      </c>
    </row>
    <row r="1070" spans="1:8">
      <c r="A1070" s="78">
        <v>129809631405</v>
      </c>
      <c r="B1070" s="1" t="s">
        <v>8</v>
      </c>
      <c r="C1070" s="44" t="s">
        <v>2224</v>
      </c>
      <c r="D1070" s="1" t="s">
        <v>2057</v>
      </c>
      <c r="E1070" s="44" t="s">
        <v>2224</v>
      </c>
      <c r="F1070" s="38" t="s">
        <v>2058</v>
      </c>
      <c r="G1070" s="45">
        <v>15100</v>
      </c>
      <c r="H1070" s="45">
        <v>90.6</v>
      </c>
    </row>
    <row r="1071" spans="1:8">
      <c r="A1071" s="78">
        <v>130377596540</v>
      </c>
      <c r="B1071" s="1" t="s">
        <v>8</v>
      </c>
      <c r="C1071" s="44" t="s">
        <v>2215</v>
      </c>
      <c r="D1071" s="1" t="s">
        <v>2057</v>
      </c>
      <c r="E1071" s="44" t="s">
        <v>2215</v>
      </c>
      <c r="F1071" s="38" t="s">
        <v>2058</v>
      </c>
      <c r="G1071" s="45">
        <v>4600</v>
      </c>
      <c r="H1071" s="45">
        <v>27.6</v>
      </c>
    </row>
    <row r="1072" spans="1:8">
      <c r="A1072" s="78">
        <v>130377732924</v>
      </c>
      <c r="B1072" s="1" t="s">
        <v>2055</v>
      </c>
      <c r="C1072" s="44" t="s">
        <v>2215</v>
      </c>
      <c r="D1072" s="1" t="s">
        <v>2057</v>
      </c>
      <c r="E1072" s="44" t="s">
        <v>2215</v>
      </c>
      <c r="F1072" s="38" t="s">
        <v>2058</v>
      </c>
      <c r="G1072" s="45">
        <v>63700</v>
      </c>
      <c r="H1072" s="45">
        <v>382.2</v>
      </c>
    </row>
    <row r="1073" spans="1:8">
      <c r="A1073" s="78">
        <v>130388212390</v>
      </c>
      <c r="B1073" s="1" t="s">
        <v>8</v>
      </c>
      <c r="C1073" s="44" t="s">
        <v>2224</v>
      </c>
      <c r="D1073" s="1" t="s">
        <v>2057</v>
      </c>
      <c r="E1073" s="44" t="s">
        <v>2224</v>
      </c>
      <c r="F1073" s="38" t="s">
        <v>2058</v>
      </c>
      <c r="G1073" s="45">
        <v>22700</v>
      </c>
      <c r="H1073" s="45">
        <v>136.19999999999999</v>
      </c>
    </row>
    <row r="1074" spans="1:8">
      <c r="A1074" s="78">
        <v>130388477312</v>
      </c>
      <c r="B1074" s="1" t="s">
        <v>2225</v>
      </c>
      <c r="C1074" s="44" t="s">
        <v>2224</v>
      </c>
      <c r="D1074" s="1" t="s">
        <v>2057</v>
      </c>
      <c r="E1074" s="44" t="s">
        <v>2224</v>
      </c>
      <c r="F1074" s="38" t="s">
        <v>2058</v>
      </c>
      <c r="G1074" s="45">
        <v>1225</v>
      </c>
      <c r="H1074" s="45">
        <v>7.35</v>
      </c>
    </row>
    <row r="1075" spans="1:8">
      <c r="A1075" s="78">
        <v>129810790437</v>
      </c>
      <c r="B1075" s="1" t="s">
        <v>8</v>
      </c>
      <c r="C1075" s="44" t="s">
        <v>2224</v>
      </c>
      <c r="D1075" s="1" t="s">
        <v>2057</v>
      </c>
      <c r="E1075" s="44" t="s">
        <v>2224</v>
      </c>
      <c r="F1075" s="38" t="s">
        <v>2058</v>
      </c>
      <c r="G1075" s="45">
        <v>8000</v>
      </c>
      <c r="H1075" s="45">
        <v>48</v>
      </c>
    </row>
    <row r="1076" spans="1:8">
      <c r="A1076" s="78">
        <v>129811436587</v>
      </c>
      <c r="B1076" s="1" t="s">
        <v>8</v>
      </c>
      <c r="C1076" s="44" t="s">
        <v>2224</v>
      </c>
      <c r="D1076" s="1" t="s">
        <v>2057</v>
      </c>
      <c r="E1076" s="44" t="s">
        <v>2224</v>
      </c>
      <c r="F1076" s="38" t="s">
        <v>2058</v>
      </c>
      <c r="G1076" s="45">
        <v>11000</v>
      </c>
      <c r="H1076" s="45">
        <v>66</v>
      </c>
    </row>
    <row r="1077" spans="1:8">
      <c r="A1077" s="78">
        <v>129804183645</v>
      </c>
      <c r="B1077" s="1" t="s">
        <v>2055</v>
      </c>
      <c r="C1077" s="44" t="s">
        <v>2215</v>
      </c>
      <c r="D1077" s="1" t="s">
        <v>2057</v>
      </c>
      <c r="E1077" s="44" t="s">
        <v>2215</v>
      </c>
      <c r="F1077" s="38" t="s">
        <v>2058</v>
      </c>
      <c r="G1077" s="45">
        <v>31100</v>
      </c>
      <c r="H1077" s="45">
        <v>186.6</v>
      </c>
    </row>
    <row r="1078" spans="1:8">
      <c r="A1078" s="78">
        <v>129807437845</v>
      </c>
      <c r="B1078" s="1" t="s">
        <v>8</v>
      </c>
      <c r="C1078" s="44" t="s">
        <v>2215</v>
      </c>
      <c r="D1078" s="1" t="s">
        <v>2057</v>
      </c>
      <c r="E1078" s="44" t="s">
        <v>2224</v>
      </c>
      <c r="F1078" s="38" t="s">
        <v>2058</v>
      </c>
      <c r="G1078" s="45">
        <v>39300</v>
      </c>
      <c r="H1078" s="45">
        <v>235.8</v>
      </c>
    </row>
    <row r="1079" spans="1:8">
      <c r="A1079" s="78">
        <v>130386204302</v>
      </c>
      <c r="B1079" s="1" t="s">
        <v>8</v>
      </c>
      <c r="C1079" s="44" t="s">
        <v>2224</v>
      </c>
      <c r="D1079" s="1" t="s">
        <v>2057</v>
      </c>
      <c r="E1079" s="44" t="s">
        <v>2224</v>
      </c>
      <c r="F1079" s="38" t="s">
        <v>2058</v>
      </c>
      <c r="G1079" s="45">
        <v>28400</v>
      </c>
      <c r="H1079" s="45">
        <v>170.4</v>
      </c>
    </row>
    <row r="1080" spans="1:8">
      <c r="A1080" s="78">
        <v>129808985283</v>
      </c>
      <c r="B1080" s="1" t="s">
        <v>8</v>
      </c>
      <c r="C1080" s="44" t="s">
        <v>2224</v>
      </c>
      <c r="D1080" s="1" t="s">
        <v>2057</v>
      </c>
      <c r="E1080" s="44" t="s">
        <v>2224</v>
      </c>
      <c r="F1080" s="38" t="s">
        <v>2058</v>
      </c>
      <c r="G1080" s="45">
        <v>10600</v>
      </c>
      <c r="H1080" s="45">
        <v>63.6</v>
      </c>
    </row>
    <row r="1081" spans="1:8">
      <c r="A1081" s="78">
        <v>129809613779</v>
      </c>
      <c r="B1081" s="1" t="s">
        <v>2226</v>
      </c>
      <c r="C1081" s="44" t="s">
        <v>2224</v>
      </c>
      <c r="D1081" s="1" t="s">
        <v>2057</v>
      </c>
      <c r="E1081" s="44" t="s">
        <v>2224</v>
      </c>
      <c r="F1081" s="38" t="s">
        <v>2058</v>
      </c>
      <c r="G1081" s="45">
        <v>1510</v>
      </c>
      <c r="H1081" s="45">
        <v>9.06</v>
      </c>
    </row>
    <row r="1082" spans="1:8">
      <c r="A1082" s="78">
        <v>130388020290</v>
      </c>
      <c r="B1082" s="1" t="s">
        <v>2055</v>
      </c>
      <c r="C1082" s="44" t="s">
        <v>2224</v>
      </c>
      <c r="D1082" s="1" t="s">
        <v>2057</v>
      </c>
      <c r="E1082" s="44" t="s">
        <v>2224</v>
      </c>
      <c r="F1082" s="38" t="s">
        <v>2058</v>
      </c>
      <c r="G1082" s="45">
        <v>40900</v>
      </c>
      <c r="H1082" s="45">
        <v>245.4</v>
      </c>
    </row>
    <row r="1083" spans="1:8">
      <c r="A1083" s="78">
        <v>129810423309</v>
      </c>
      <c r="B1083" s="1" t="s">
        <v>8</v>
      </c>
      <c r="C1083" s="44" t="s">
        <v>2224</v>
      </c>
      <c r="D1083" s="1" t="s">
        <v>2057</v>
      </c>
      <c r="E1083" s="44" t="s">
        <v>2224</v>
      </c>
      <c r="F1083" s="38" t="s">
        <v>2058</v>
      </c>
      <c r="G1083" s="45">
        <v>18400</v>
      </c>
      <c r="H1083" s="45">
        <v>110.4</v>
      </c>
    </row>
    <row r="1084" spans="1:8">
      <c r="A1084" s="78">
        <v>129810631191</v>
      </c>
      <c r="B1084" s="1" t="s">
        <v>8</v>
      </c>
      <c r="C1084" s="44" t="s">
        <v>2224</v>
      </c>
      <c r="D1084" s="1" t="s">
        <v>2057</v>
      </c>
      <c r="E1084" s="44" t="s">
        <v>2224</v>
      </c>
      <c r="F1084" s="38" t="s">
        <v>2058</v>
      </c>
      <c r="G1084" s="45">
        <v>24500</v>
      </c>
      <c r="H1084" s="45">
        <v>147</v>
      </c>
    </row>
    <row r="1085" spans="1:8">
      <c r="A1085" s="78">
        <v>130476617200</v>
      </c>
      <c r="B1085" s="1" t="s">
        <v>8</v>
      </c>
      <c r="C1085" s="44" t="s">
        <v>2224</v>
      </c>
      <c r="D1085" s="1" t="s">
        <v>2057</v>
      </c>
      <c r="E1085" s="44" t="s">
        <v>2224</v>
      </c>
      <c r="F1085" s="38" t="s">
        <v>2058</v>
      </c>
      <c r="G1085" s="45">
        <v>9800</v>
      </c>
      <c r="H1085" s="45">
        <v>58.8</v>
      </c>
    </row>
    <row r="1086" spans="1:8">
      <c r="A1086" s="78">
        <v>129900664129</v>
      </c>
      <c r="B1086" s="1" t="s">
        <v>2055</v>
      </c>
      <c r="C1086" s="44" t="s">
        <v>2224</v>
      </c>
      <c r="D1086" s="1" t="s">
        <v>2057</v>
      </c>
      <c r="E1086" s="44" t="s">
        <v>2224</v>
      </c>
      <c r="F1086" s="38" t="s">
        <v>2058</v>
      </c>
      <c r="G1086" s="45">
        <v>38800</v>
      </c>
      <c r="H1086" s="45">
        <v>232.8</v>
      </c>
    </row>
    <row r="1087" spans="1:8">
      <c r="A1087" s="78">
        <v>129911222493</v>
      </c>
      <c r="B1087" s="1" t="s">
        <v>2055</v>
      </c>
      <c r="C1087" s="44" t="s">
        <v>2224</v>
      </c>
      <c r="D1087" s="1" t="s">
        <v>2057</v>
      </c>
      <c r="E1087" s="44" t="s">
        <v>2224</v>
      </c>
      <c r="F1087" s="38" t="s">
        <v>2058</v>
      </c>
      <c r="G1087" s="45">
        <v>42700</v>
      </c>
      <c r="H1087" s="45">
        <v>256.2</v>
      </c>
    </row>
    <row r="1088" spans="1:8">
      <c r="A1088" s="78">
        <v>129915579909</v>
      </c>
      <c r="B1088" s="1" t="s">
        <v>8</v>
      </c>
      <c r="C1088" s="44" t="s">
        <v>2224</v>
      </c>
      <c r="D1088" s="1" t="s">
        <v>2057</v>
      </c>
      <c r="E1088" s="44" t="s">
        <v>2224</v>
      </c>
      <c r="F1088" s="38" t="s">
        <v>2058</v>
      </c>
      <c r="G1088" s="45">
        <v>47700</v>
      </c>
      <c r="H1088" s="45">
        <v>286.2</v>
      </c>
    </row>
    <row r="1089" spans="1:8">
      <c r="A1089" s="78">
        <v>129915872555</v>
      </c>
      <c r="B1089" s="1" t="s">
        <v>8</v>
      </c>
      <c r="C1089" s="44" t="s">
        <v>2224</v>
      </c>
      <c r="D1089" s="1" t="s">
        <v>2057</v>
      </c>
      <c r="E1089" s="44" t="s">
        <v>2224</v>
      </c>
      <c r="F1089" s="38" t="s">
        <v>2058</v>
      </c>
      <c r="G1089" s="45">
        <v>32000</v>
      </c>
      <c r="H1089" s="45">
        <v>192</v>
      </c>
    </row>
    <row r="1090" spans="1:8">
      <c r="A1090" s="78">
        <v>129916914361</v>
      </c>
      <c r="B1090" s="1" t="s">
        <v>8</v>
      </c>
      <c r="C1090" s="44" t="s">
        <v>2224</v>
      </c>
      <c r="D1090" s="1" t="s">
        <v>2057</v>
      </c>
      <c r="E1090" s="44" t="s">
        <v>2224</v>
      </c>
      <c r="F1090" s="38" t="s">
        <v>2058</v>
      </c>
      <c r="G1090" s="45">
        <v>29000</v>
      </c>
      <c r="H1090" s="45">
        <v>174</v>
      </c>
    </row>
    <row r="1091" spans="1:8">
      <c r="A1091" s="78">
        <v>130495143130</v>
      </c>
      <c r="B1091" s="1" t="s">
        <v>2227</v>
      </c>
      <c r="C1091" s="44" t="s">
        <v>2224</v>
      </c>
      <c r="D1091" s="1" t="s">
        <v>2057</v>
      </c>
      <c r="E1091" s="44" t="s">
        <v>2224</v>
      </c>
      <c r="F1091" s="38" t="s">
        <v>2058</v>
      </c>
      <c r="G1091" s="45">
        <v>2900</v>
      </c>
      <c r="H1091" s="45">
        <v>17.399999999999999</v>
      </c>
    </row>
    <row r="1092" spans="1:8">
      <c r="A1092" s="78">
        <v>129905597543</v>
      </c>
      <c r="B1092" s="1" t="s">
        <v>8</v>
      </c>
      <c r="C1092" s="44" t="s">
        <v>2224</v>
      </c>
      <c r="D1092" s="1" t="s">
        <v>2057</v>
      </c>
      <c r="E1092" s="44" t="s">
        <v>2224</v>
      </c>
      <c r="F1092" s="38" t="s">
        <v>2058</v>
      </c>
      <c r="G1092" s="45">
        <v>41600</v>
      </c>
      <c r="H1092" s="45">
        <v>249.6</v>
      </c>
    </row>
    <row r="1093" spans="1:8">
      <c r="A1093" s="78">
        <v>130495964660</v>
      </c>
      <c r="B1093" s="1" t="s">
        <v>8</v>
      </c>
      <c r="C1093" s="44" t="s">
        <v>2224</v>
      </c>
      <c r="D1093" s="1" t="s">
        <v>2057</v>
      </c>
      <c r="E1093" s="44" t="s">
        <v>2224</v>
      </c>
      <c r="F1093" s="38" t="s">
        <v>2058</v>
      </c>
      <c r="G1093" s="45">
        <v>19200</v>
      </c>
      <c r="H1093" s="45">
        <v>115.2</v>
      </c>
    </row>
    <row r="1094" spans="1:8">
      <c r="A1094" s="78">
        <v>129918023175</v>
      </c>
      <c r="B1094" s="1" t="s">
        <v>2055</v>
      </c>
      <c r="C1094" s="44" t="s">
        <v>2224</v>
      </c>
      <c r="D1094" s="1" t="s">
        <v>2057</v>
      </c>
      <c r="E1094" s="44" t="s">
        <v>2224</v>
      </c>
      <c r="F1094" s="38" t="s">
        <v>2058</v>
      </c>
      <c r="G1094" s="45">
        <v>20700</v>
      </c>
      <c r="H1094" s="45">
        <v>124.2</v>
      </c>
    </row>
    <row r="1095" spans="1:8">
      <c r="A1095" s="78">
        <v>129922194191</v>
      </c>
      <c r="B1095" s="1" t="s">
        <v>2055</v>
      </c>
      <c r="C1095" s="44" t="s">
        <v>2224</v>
      </c>
      <c r="D1095" s="1" t="s">
        <v>2057</v>
      </c>
      <c r="E1095" s="44" t="s">
        <v>2224</v>
      </c>
      <c r="F1095" s="38" t="s">
        <v>2058</v>
      </c>
      <c r="G1095" s="45">
        <v>45300</v>
      </c>
      <c r="H1095" s="45">
        <v>271.8</v>
      </c>
    </row>
    <row r="1096" spans="1:8">
      <c r="A1096" s="78">
        <v>129922827431</v>
      </c>
      <c r="B1096" s="1" t="s">
        <v>8</v>
      </c>
      <c r="C1096" s="44" t="s">
        <v>2224</v>
      </c>
      <c r="D1096" s="1" t="s">
        <v>2057</v>
      </c>
      <c r="E1096" s="44" t="s">
        <v>2224</v>
      </c>
      <c r="F1096" s="38" t="s">
        <v>2058</v>
      </c>
      <c r="G1096" s="45">
        <v>16100</v>
      </c>
      <c r="H1096" s="45">
        <v>96.6</v>
      </c>
    </row>
    <row r="1097" spans="1:8">
      <c r="A1097" s="78">
        <v>130501601308</v>
      </c>
      <c r="B1097" s="1" t="s">
        <v>2228</v>
      </c>
      <c r="C1097" s="44" t="s">
        <v>2224</v>
      </c>
      <c r="D1097" s="1" t="s">
        <v>2057</v>
      </c>
      <c r="E1097" s="44" t="s">
        <v>2224</v>
      </c>
      <c r="F1097" s="38" t="s">
        <v>2058</v>
      </c>
      <c r="G1097" s="45">
        <v>3300</v>
      </c>
      <c r="H1097" s="45">
        <v>19.8</v>
      </c>
    </row>
    <row r="1098" spans="1:8">
      <c r="A1098" s="78">
        <v>130501741454</v>
      </c>
      <c r="B1098" s="1" t="s">
        <v>8</v>
      </c>
      <c r="C1098" s="44" t="s">
        <v>2224</v>
      </c>
      <c r="D1098" s="1" t="s">
        <v>2057</v>
      </c>
      <c r="E1098" s="44" t="s">
        <v>2224</v>
      </c>
      <c r="F1098" s="38" t="s">
        <v>2058</v>
      </c>
      <c r="G1098" s="45">
        <v>45500</v>
      </c>
      <c r="H1098" s="45">
        <v>273</v>
      </c>
    </row>
    <row r="1099" spans="1:8">
      <c r="A1099" s="78">
        <v>130501959538</v>
      </c>
      <c r="B1099" s="1" t="s">
        <v>8</v>
      </c>
      <c r="C1099" s="44" t="s">
        <v>2224</v>
      </c>
      <c r="D1099" s="1" t="s">
        <v>2057</v>
      </c>
      <c r="E1099" s="44" t="s">
        <v>2224</v>
      </c>
      <c r="F1099" s="38" t="s">
        <v>2058</v>
      </c>
      <c r="G1099" s="45">
        <v>40200</v>
      </c>
      <c r="H1099" s="45">
        <v>241.2</v>
      </c>
    </row>
    <row r="1100" spans="1:8">
      <c r="A1100" s="78">
        <v>129923967495</v>
      </c>
      <c r="B1100" s="1" t="s">
        <v>2055</v>
      </c>
      <c r="C1100" s="44" t="s">
        <v>2224</v>
      </c>
      <c r="D1100" s="1" t="s">
        <v>2057</v>
      </c>
      <c r="E1100" s="44" t="s">
        <v>2224</v>
      </c>
      <c r="F1100" s="38" t="s">
        <v>2058</v>
      </c>
      <c r="G1100" s="45">
        <v>68800</v>
      </c>
      <c r="H1100" s="45">
        <v>412.8</v>
      </c>
    </row>
    <row r="1101" spans="1:8">
      <c r="A1101" s="78">
        <v>129924104257</v>
      </c>
      <c r="B1101" s="1" t="s">
        <v>8</v>
      </c>
      <c r="C1101" s="44" t="s">
        <v>2224</v>
      </c>
      <c r="D1101" s="1" t="s">
        <v>2057</v>
      </c>
      <c r="E1101" s="44" t="s">
        <v>2224</v>
      </c>
      <c r="F1101" s="38" t="s">
        <v>2058</v>
      </c>
      <c r="G1101" s="45">
        <v>32400</v>
      </c>
      <c r="H1101" s="45">
        <v>194.4</v>
      </c>
    </row>
    <row r="1102" spans="1:8">
      <c r="A1102" s="78">
        <v>130503035948</v>
      </c>
      <c r="B1102" s="1" t="s">
        <v>8</v>
      </c>
      <c r="C1102" s="44" t="s">
        <v>2224</v>
      </c>
      <c r="D1102" s="1" t="s">
        <v>2057</v>
      </c>
      <c r="E1102" s="44" t="s">
        <v>2224</v>
      </c>
      <c r="F1102" s="38" t="s">
        <v>2058</v>
      </c>
      <c r="G1102" s="45">
        <v>9000</v>
      </c>
      <c r="H1102" s="45">
        <v>54</v>
      </c>
    </row>
    <row r="1103" spans="1:8">
      <c r="A1103" s="78">
        <v>129924599633</v>
      </c>
      <c r="B1103" s="1" t="s">
        <v>2229</v>
      </c>
      <c r="C1103" s="44" t="s">
        <v>2224</v>
      </c>
      <c r="D1103" s="1" t="s">
        <v>2057</v>
      </c>
      <c r="E1103" s="44" t="s">
        <v>2224</v>
      </c>
      <c r="F1103" s="38" t="s">
        <v>2058</v>
      </c>
      <c r="G1103" s="45">
        <v>900</v>
      </c>
      <c r="H1103" s="45">
        <v>5.4</v>
      </c>
    </row>
    <row r="1104" spans="1:8">
      <c r="A1104" s="78">
        <v>130503399266</v>
      </c>
      <c r="B1104" s="1" t="s">
        <v>8</v>
      </c>
      <c r="C1104" s="44" t="s">
        <v>2224</v>
      </c>
      <c r="D1104" s="1" t="s">
        <v>2057</v>
      </c>
      <c r="E1104" s="44" t="s">
        <v>2224</v>
      </c>
      <c r="F1104" s="38" t="s">
        <v>2058</v>
      </c>
      <c r="G1104" s="45">
        <v>12700</v>
      </c>
      <c r="H1104" s="45">
        <v>76.2</v>
      </c>
    </row>
    <row r="1105" spans="1:8">
      <c r="A1105" s="78">
        <v>130503401764</v>
      </c>
      <c r="B1105" s="1" t="s">
        <v>8</v>
      </c>
      <c r="C1105" s="44" t="s">
        <v>2224</v>
      </c>
      <c r="D1105" s="1" t="s">
        <v>2057</v>
      </c>
      <c r="E1105" s="44" t="s">
        <v>2224</v>
      </c>
      <c r="F1105" s="38" t="s">
        <v>2058</v>
      </c>
      <c r="G1105" s="45">
        <v>49100</v>
      </c>
      <c r="H1105" s="45">
        <v>294.60000000000002</v>
      </c>
    </row>
    <row r="1106" spans="1:8">
      <c r="A1106" s="78">
        <v>129925367229</v>
      </c>
      <c r="B1106" s="1" t="s">
        <v>8</v>
      </c>
      <c r="C1106" s="44" t="s">
        <v>2224</v>
      </c>
      <c r="D1106" s="1" t="s">
        <v>2057</v>
      </c>
      <c r="E1106" s="44" t="s">
        <v>2224</v>
      </c>
      <c r="F1106" s="38" t="s">
        <v>2058</v>
      </c>
      <c r="G1106" s="45">
        <v>27500</v>
      </c>
      <c r="H1106" s="45">
        <v>165</v>
      </c>
    </row>
    <row r="1107" spans="1:8">
      <c r="A1107" s="78">
        <v>130503823030</v>
      </c>
      <c r="B1107" s="1" t="s">
        <v>2055</v>
      </c>
      <c r="C1107" s="44" t="s">
        <v>2224</v>
      </c>
      <c r="D1107" s="1" t="s">
        <v>2057</v>
      </c>
      <c r="E1107" s="44" t="s">
        <v>2224</v>
      </c>
      <c r="F1107" s="38" t="s">
        <v>2058</v>
      </c>
      <c r="G1107" s="45">
        <v>9600</v>
      </c>
      <c r="H1107" s="45">
        <v>57.6</v>
      </c>
    </row>
    <row r="1108" spans="1:8">
      <c r="A1108" s="78">
        <v>130491851554</v>
      </c>
      <c r="B1108" s="1" t="s">
        <v>2055</v>
      </c>
      <c r="C1108" s="44" t="s">
        <v>2224</v>
      </c>
      <c r="D1108" s="1" t="s">
        <v>2057</v>
      </c>
      <c r="E1108" s="44" t="s">
        <v>2224</v>
      </c>
      <c r="F1108" s="38" t="s">
        <v>2058</v>
      </c>
      <c r="G1108" s="45">
        <v>15700</v>
      </c>
      <c r="H1108" s="45">
        <v>94.2</v>
      </c>
    </row>
    <row r="1109" spans="1:8">
      <c r="A1109" s="78">
        <v>129925965239</v>
      </c>
      <c r="B1109" s="1" t="s">
        <v>8</v>
      </c>
      <c r="C1109" s="44" t="s">
        <v>2224</v>
      </c>
      <c r="D1109" s="1" t="s">
        <v>2057</v>
      </c>
      <c r="E1109" s="44" t="s">
        <v>2230</v>
      </c>
      <c r="F1109" s="38" t="s">
        <v>2058</v>
      </c>
      <c r="G1109" s="45">
        <v>52700</v>
      </c>
      <c r="H1109" s="45">
        <v>316.2</v>
      </c>
    </row>
    <row r="1110" spans="1:8">
      <c r="A1110" s="78">
        <v>130505063064</v>
      </c>
      <c r="B1110" s="1" t="s">
        <v>8</v>
      </c>
      <c r="C1110" s="44" t="s">
        <v>2224</v>
      </c>
      <c r="D1110" s="1" t="s">
        <v>2057</v>
      </c>
      <c r="E1110" s="44" t="s">
        <v>2230</v>
      </c>
      <c r="F1110" s="38" t="s">
        <v>2058</v>
      </c>
      <c r="G1110" s="45">
        <v>44200</v>
      </c>
      <c r="H1110" s="45">
        <v>265.2</v>
      </c>
    </row>
    <row r="1111" spans="1:8">
      <c r="A1111" s="78">
        <v>130505259044</v>
      </c>
      <c r="B1111" s="1" t="s">
        <v>2231</v>
      </c>
      <c r="C1111" s="44" t="s">
        <v>2224</v>
      </c>
      <c r="D1111" s="1" t="s">
        <v>2057</v>
      </c>
      <c r="E1111" s="44" t="s">
        <v>2230</v>
      </c>
      <c r="F1111" s="38" t="s">
        <v>2058</v>
      </c>
      <c r="G1111" s="45">
        <v>785</v>
      </c>
      <c r="H1111" s="45">
        <v>4.71</v>
      </c>
    </row>
    <row r="1112" spans="1:8">
      <c r="A1112" s="78">
        <v>130505213634</v>
      </c>
      <c r="B1112" s="1" t="s">
        <v>8</v>
      </c>
      <c r="C1112" s="44" t="s">
        <v>2224</v>
      </c>
      <c r="D1112" s="1" t="s">
        <v>2057</v>
      </c>
      <c r="E1112" s="44" t="s">
        <v>2230</v>
      </c>
      <c r="F1112" s="38" t="s">
        <v>2058</v>
      </c>
      <c r="G1112" s="45">
        <v>15700</v>
      </c>
      <c r="H1112" s="45">
        <v>94.2</v>
      </c>
    </row>
    <row r="1113" spans="1:8">
      <c r="A1113" s="78">
        <v>130505521438</v>
      </c>
      <c r="B1113" s="1" t="s">
        <v>2055</v>
      </c>
      <c r="C1113" s="44" t="s">
        <v>2224</v>
      </c>
      <c r="D1113" s="1" t="s">
        <v>2057</v>
      </c>
      <c r="E1113" s="44" t="s">
        <v>2230</v>
      </c>
      <c r="F1113" s="38" t="s">
        <v>2058</v>
      </c>
      <c r="G1113" s="45">
        <v>100900</v>
      </c>
      <c r="H1113" s="45">
        <v>605.4</v>
      </c>
    </row>
    <row r="1114" spans="1:8">
      <c r="A1114" s="78">
        <v>130505561424</v>
      </c>
      <c r="B1114" s="1" t="s">
        <v>2232</v>
      </c>
      <c r="C1114" s="44" t="s">
        <v>2224</v>
      </c>
      <c r="D1114" s="1" t="s">
        <v>2057</v>
      </c>
      <c r="E1114" s="44" t="s">
        <v>2230</v>
      </c>
      <c r="F1114" s="38" t="s">
        <v>2058</v>
      </c>
      <c r="G1114" s="45">
        <v>970</v>
      </c>
      <c r="H1114" s="45">
        <v>5.82</v>
      </c>
    </row>
    <row r="1115" spans="1:8">
      <c r="A1115" s="78">
        <v>129927337673</v>
      </c>
      <c r="B1115" s="1" t="s">
        <v>8</v>
      </c>
      <c r="C1115" s="44" t="s">
        <v>2224</v>
      </c>
      <c r="D1115" s="1" t="s">
        <v>2057</v>
      </c>
      <c r="E1115" s="44" t="s">
        <v>2230</v>
      </c>
      <c r="F1115" s="38" t="s">
        <v>2058</v>
      </c>
      <c r="G1115" s="45">
        <v>19400</v>
      </c>
      <c r="H1115" s="45">
        <v>116.4</v>
      </c>
    </row>
    <row r="1116" spans="1:8">
      <c r="A1116" s="78">
        <v>129927618037</v>
      </c>
      <c r="B1116" s="1" t="s">
        <v>8</v>
      </c>
      <c r="C1116" s="44" t="s">
        <v>2224</v>
      </c>
      <c r="D1116" s="1" t="s">
        <v>2057</v>
      </c>
      <c r="E1116" s="44" t="s">
        <v>2230</v>
      </c>
      <c r="F1116" s="38" t="s">
        <v>2058</v>
      </c>
      <c r="G1116" s="45">
        <v>22200</v>
      </c>
      <c r="H1116" s="45">
        <v>133.19999999999999</v>
      </c>
    </row>
    <row r="1117" spans="1:8">
      <c r="A1117" s="78">
        <v>130506186280</v>
      </c>
      <c r="B1117" s="1" t="s">
        <v>2055</v>
      </c>
      <c r="C1117" s="44" t="s">
        <v>2224</v>
      </c>
      <c r="D1117" s="1" t="s">
        <v>2057</v>
      </c>
      <c r="E1117" s="44" t="s">
        <v>2230</v>
      </c>
      <c r="F1117" s="38" t="s">
        <v>2058</v>
      </c>
      <c r="G1117" s="45">
        <v>14400</v>
      </c>
      <c r="H1117" s="45">
        <v>86.4</v>
      </c>
    </row>
    <row r="1118" spans="1:8">
      <c r="A1118" s="78">
        <v>130493803330</v>
      </c>
      <c r="B1118" s="1" t="s">
        <v>8</v>
      </c>
      <c r="C1118" s="44" t="s">
        <v>2224</v>
      </c>
      <c r="D1118" s="1" t="s">
        <v>2057</v>
      </c>
      <c r="E1118" s="44" t="s">
        <v>2224</v>
      </c>
      <c r="F1118" s="38" t="s">
        <v>2058</v>
      </c>
      <c r="G1118" s="45">
        <v>24400</v>
      </c>
      <c r="H1118" s="45">
        <v>146.4</v>
      </c>
    </row>
    <row r="1119" spans="1:8">
      <c r="A1119" s="78">
        <v>129915570871</v>
      </c>
      <c r="B1119" s="1" t="s">
        <v>2233</v>
      </c>
      <c r="C1119" s="44" t="s">
        <v>2224</v>
      </c>
      <c r="D1119" s="1" t="s">
        <v>2057</v>
      </c>
      <c r="E1119" s="44" t="s">
        <v>2224</v>
      </c>
      <c r="F1119" s="38" t="s">
        <v>2058</v>
      </c>
      <c r="G1119" s="45">
        <v>2440</v>
      </c>
      <c r="H1119" s="45">
        <v>14.64</v>
      </c>
    </row>
    <row r="1120" spans="1:8">
      <c r="A1120" s="78">
        <v>129928026307</v>
      </c>
      <c r="B1120" s="1" t="s">
        <v>8</v>
      </c>
      <c r="C1120" s="44" t="s">
        <v>2224</v>
      </c>
      <c r="D1120" s="1" t="s">
        <v>2057</v>
      </c>
      <c r="E1120" s="44" t="s">
        <v>2230</v>
      </c>
      <c r="F1120" s="38" t="s">
        <v>2058</v>
      </c>
      <c r="G1120" s="45">
        <v>15900</v>
      </c>
      <c r="H1120" s="45">
        <v>95.4</v>
      </c>
    </row>
    <row r="1121" spans="1:8">
      <c r="A1121" s="78">
        <v>129915894155</v>
      </c>
      <c r="B1121" s="1" t="s">
        <v>2234</v>
      </c>
      <c r="C1121" s="44" t="s">
        <v>2224</v>
      </c>
      <c r="D1121" s="1" t="s">
        <v>2057</v>
      </c>
      <c r="E1121" s="44" t="s">
        <v>2224</v>
      </c>
      <c r="F1121" s="38" t="s">
        <v>2058</v>
      </c>
      <c r="G1121" s="45">
        <v>1600</v>
      </c>
      <c r="H1121" s="45">
        <v>9.6</v>
      </c>
    </row>
    <row r="1122" spans="1:8">
      <c r="A1122" s="78">
        <v>129928378923</v>
      </c>
      <c r="B1122" s="1" t="s">
        <v>8</v>
      </c>
      <c r="C1122" s="44" t="s">
        <v>2224</v>
      </c>
      <c r="D1122" s="1" t="s">
        <v>2057</v>
      </c>
      <c r="E1122" s="44" t="s">
        <v>2230</v>
      </c>
      <c r="F1122" s="38" t="s">
        <v>2058</v>
      </c>
      <c r="G1122" s="45">
        <v>3000</v>
      </c>
      <c r="H1122" s="45">
        <v>18</v>
      </c>
    </row>
    <row r="1123" spans="1:8">
      <c r="A1123" s="78">
        <v>129928888001</v>
      </c>
      <c r="B1123" s="1" t="s">
        <v>2235</v>
      </c>
      <c r="C1123" s="44" t="s">
        <v>2230</v>
      </c>
      <c r="D1123" s="1" t="s">
        <v>2057</v>
      </c>
      <c r="E1123" s="44" t="s">
        <v>2230</v>
      </c>
      <c r="F1123" s="38" t="s">
        <v>2058</v>
      </c>
      <c r="G1123" s="45">
        <v>940</v>
      </c>
      <c r="H1123" s="45">
        <v>5.64</v>
      </c>
    </row>
    <row r="1124" spans="1:8">
      <c r="A1124" s="78">
        <v>130495195432</v>
      </c>
      <c r="B1124" s="1" t="s">
        <v>8</v>
      </c>
      <c r="C1124" s="44" t="s">
        <v>2224</v>
      </c>
      <c r="D1124" s="1" t="s">
        <v>2057</v>
      </c>
      <c r="E1124" s="44" t="s">
        <v>2224</v>
      </c>
      <c r="F1124" s="38" t="s">
        <v>2058</v>
      </c>
      <c r="G1124" s="45">
        <v>4700</v>
      </c>
      <c r="H1124" s="45">
        <v>28.2</v>
      </c>
    </row>
    <row r="1125" spans="1:8">
      <c r="A1125" s="78">
        <v>129917003437</v>
      </c>
      <c r="B1125" s="1" t="s">
        <v>8</v>
      </c>
      <c r="C1125" s="44" t="s">
        <v>2224</v>
      </c>
      <c r="D1125" s="1" t="s">
        <v>2057</v>
      </c>
      <c r="E1125" s="44" t="s">
        <v>2224</v>
      </c>
      <c r="F1125" s="38" t="s">
        <v>2058</v>
      </c>
      <c r="G1125" s="45">
        <v>9800</v>
      </c>
      <c r="H1125" s="45">
        <v>58.8</v>
      </c>
    </row>
    <row r="1126" spans="1:8">
      <c r="A1126" s="78">
        <v>129929271469</v>
      </c>
      <c r="B1126" s="1" t="s">
        <v>2055</v>
      </c>
      <c r="C1126" s="44" t="s">
        <v>2230</v>
      </c>
      <c r="D1126" s="1" t="s">
        <v>2057</v>
      </c>
      <c r="E1126" s="44" t="s">
        <v>2230</v>
      </c>
      <c r="F1126" s="38" t="s">
        <v>2058</v>
      </c>
      <c r="G1126" s="45">
        <v>28800</v>
      </c>
      <c r="H1126" s="45">
        <v>172.8</v>
      </c>
    </row>
    <row r="1127" spans="1:8">
      <c r="A1127" s="78">
        <v>130507908182</v>
      </c>
      <c r="B1127" s="1" t="s">
        <v>8</v>
      </c>
      <c r="C1127" s="44" t="s">
        <v>2230</v>
      </c>
      <c r="D1127" s="1" t="s">
        <v>2057</v>
      </c>
      <c r="E1127" s="44" t="s">
        <v>2230</v>
      </c>
      <c r="F1127" s="38" t="s">
        <v>2058</v>
      </c>
      <c r="G1127" s="45">
        <v>45800</v>
      </c>
      <c r="H1127" s="45">
        <v>274.8</v>
      </c>
    </row>
    <row r="1128" spans="1:8">
      <c r="A1128" s="78">
        <v>129917640259</v>
      </c>
      <c r="B1128" s="1" t="s">
        <v>2055</v>
      </c>
      <c r="C1128" s="44" t="s">
        <v>2224</v>
      </c>
      <c r="D1128" s="1" t="s">
        <v>2057</v>
      </c>
      <c r="E1128" s="44" t="s">
        <v>2224</v>
      </c>
      <c r="F1128" s="38" t="s">
        <v>2058</v>
      </c>
      <c r="G1128" s="45">
        <v>64600</v>
      </c>
      <c r="H1128" s="45">
        <v>387.6</v>
      </c>
    </row>
    <row r="1129" spans="1:8">
      <c r="A1129" s="78">
        <v>130508497912</v>
      </c>
      <c r="B1129" s="1" t="s">
        <v>8</v>
      </c>
      <c r="C1129" s="44" t="s">
        <v>2230</v>
      </c>
      <c r="D1129" s="1" t="s">
        <v>2057</v>
      </c>
      <c r="E1129" s="44" t="s">
        <v>2230</v>
      </c>
      <c r="F1129" s="38" t="s">
        <v>2058</v>
      </c>
      <c r="G1129" s="45">
        <v>14100</v>
      </c>
      <c r="H1129" s="45">
        <v>84.6</v>
      </c>
    </row>
    <row r="1130" spans="1:8">
      <c r="A1130" s="78">
        <v>130508789716</v>
      </c>
      <c r="B1130" s="1" t="s">
        <v>2055</v>
      </c>
      <c r="C1130" s="44" t="s">
        <v>2230</v>
      </c>
      <c r="D1130" s="1" t="s">
        <v>2057</v>
      </c>
      <c r="E1130" s="44" t="s">
        <v>2230</v>
      </c>
      <c r="F1130" s="38" t="s">
        <v>2058</v>
      </c>
      <c r="G1130" s="45">
        <v>35500</v>
      </c>
      <c r="H1130" s="45">
        <v>213</v>
      </c>
    </row>
    <row r="1131" spans="1:8">
      <c r="A1131" s="78">
        <v>129930974625</v>
      </c>
      <c r="B1131" s="1" t="s">
        <v>8</v>
      </c>
      <c r="C1131" s="44" t="s">
        <v>2230</v>
      </c>
      <c r="D1131" s="1" t="s">
        <v>2057</v>
      </c>
      <c r="E1131" s="44" t="s">
        <v>2230</v>
      </c>
      <c r="F1131" s="38" t="s">
        <v>2058</v>
      </c>
      <c r="G1131" s="45">
        <v>123400</v>
      </c>
      <c r="H1131" s="45">
        <v>740.4</v>
      </c>
    </row>
    <row r="1132" spans="1:8">
      <c r="A1132" s="78">
        <v>129918822439</v>
      </c>
      <c r="B1132" s="1" t="s">
        <v>2055</v>
      </c>
      <c r="C1132" s="44" t="s">
        <v>2224</v>
      </c>
      <c r="D1132" s="1" t="s">
        <v>2057</v>
      </c>
      <c r="E1132" s="44" t="s">
        <v>2224</v>
      </c>
      <c r="F1132" s="38" t="s">
        <v>2058</v>
      </c>
      <c r="G1132" s="45">
        <v>9600</v>
      </c>
      <c r="H1132" s="45">
        <v>57.6</v>
      </c>
    </row>
    <row r="1133" spans="1:8">
      <c r="A1133" s="78">
        <v>130509564908</v>
      </c>
      <c r="B1133" s="1" t="s">
        <v>2055</v>
      </c>
      <c r="C1133" s="44" t="s">
        <v>2230</v>
      </c>
      <c r="D1133" s="1" t="s">
        <v>2057</v>
      </c>
      <c r="E1133" s="44" t="s">
        <v>2230</v>
      </c>
      <c r="F1133" s="38" t="s">
        <v>2058</v>
      </c>
      <c r="G1133" s="45">
        <v>13800</v>
      </c>
      <c r="H1133" s="45">
        <v>82.8</v>
      </c>
    </row>
    <row r="1134" spans="1:8">
      <c r="A1134" s="78">
        <v>130509770750</v>
      </c>
      <c r="B1134" s="1" t="s">
        <v>2055</v>
      </c>
      <c r="C1134" s="44" t="s">
        <v>2230</v>
      </c>
      <c r="D1134" s="1" t="s">
        <v>2057</v>
      </c>
      <c r="E1134" s="44" t="s">
        <v>2230</v>
      </c>
      <c r="F1134" s="38" t="s">
        <v>2058</v>
      </c>
      <c r="G1134" s="45">
        <v>4800</v>
      </c>
      <c r="H1134" s="45">
        <v>28.8</v>
      </c>
    </row>
    <row r="1135" spans="1:8">
      <c r="A1135" s="78">
        <v>130509852208</v>
      </c>
      <c r="B1135" s="1" t="s">
        <v>8</v>
      </c>
      <c r="C1135" s="44" t="s">
        <v>2230</v>
      </c>
      <c r="D1135" s="1" t="s">
        <v>2057</v>
      </c>
      <c r="E1135" s="44" t="s">
        <v>2230</v>
      </c>
      <c r="F1135" s="38" t="s">
        <v>2058</v>
      </c>
      <c r="G1135" s="45">
        <v>41000</v>
      </c>
      <c r="H1135" s="45">
        <v>246</v>
      </c>
    </row>
    <row r="1136" spans="1:8">
      <c r="A1136" s="78">
        <v>130509841798</v>
      </c>
      <c r="B1136" s="1" t="s">
        <v>2236</v>
      </c>
      <c r="C1136" s="44" t="s">
        <v>2230</v>
      </c>
      <c r="D1136" s="1" t="s">
        <v>2057</v>
      </c>
      <c r="E1136" s="44" t="s">
        <v>2230</v>
      </c>
      <c r="F1136" s="38" t="s">
        <v>2058</v>
      </c>
      <c r="G1136" s="45">
        <v>1050</v>
      </c>
      <c r="H1136" s="45">
        <v>6.3</v>
      </c>
    </row>
    <row r="1137" spans="1:8">
      <c r="A1137" s="78">
        <v>130510447150</v>
      </c>
      <c r="B1137" s="1" t="s">
        <v>8</v>
      </c>
      <c r="C1137" s="44" t="s">
        <v>2230</v>
      </c>
      <c r="D1137" s="1" t="s">
        <v>2057</v>
      </c>
      <c r="E1137" s="44" t="s">
        <v>2230</v>
      </c>
      <c r="F1137" s="38" t="s">
        <v>2058</v>
      </c>
      <c r="G1137" s="45">
        <v>9600</v>
      </c>
      <c r="H1137" s="45">
        <v>57.6</v>
      </c>
    </row>
    <row r="1138" spans="1:8">
      <c r="A1138" s="78">
        <v>129932193821</v>
      </c>
      <c r="B1138" s="1" t="s">
        <v>8</v>
      </c>
      <c r="C1138" s="44" t="s">
        <v>2230</v>
      </c>
      <c r="D1138" s="1" t="s">
        <v>2057</v>
      </c>
      <c r="E1138" s="44" t="s">
        <v>2230</v>
      </c>
      <c r="F1138" s="38" t="s">
        <v>2058</v>
      </c>
      <c r="G1138" s="45">
        <v>24900</v>
      </c>
      <c r="H1138" s="45">
        <v>149.4</v>
      </c>
    </row>
    <row r="1139" spans="1:8">
      <c r="A1139" s="78">
        <v>129920053775</v>
      </c>
      <c r="B1139" s="1" t="s">
        <v>8</v>
      </c>
      <c r="C1139" s="44" t="s">
        <v>2224</v>
      </c>
      <c r="D1139" s="1" t="s">
        <v>2057</v>
      </c>
      <c r="E1139" s="44" t="s">
        <v>2224</v>
      </c>
      <c r="F1139" s="38" t="s">
        <v>2058</v>
      </c>
      <c r="G1139" s="45">
        <v>28900</v>
      </c>
      <c r="H1139" s="45">
        <v>173.4</v>
      </c>
    </row>
    <row r="1140" spans="1:8">
      <c r="A1140" s="78">
        <v>129932452525</v>
      </c>
      <c r="B1140" s="1" t="s">
        <v>8</v>
      </c>
      <c r="C1140" s="44" t="s">
        <v>2230</v>
      </c>
      <c r="D1140" s="1" t="s">
        <v>2057</v>
      </c>
      <c r="E1140" s="44" t="s">
        <v>2230</v>
      </c>
      <c r="F1140" s="38" t="s">
        <v>2058</v>
      </c>
      <c r="G1140" s="45">
        <v>31800</v>
      </c>
      <c r="H1140" s="45">
        <v>190.8</v>
      </c>
    </row>
    <row r="1141" spans="1:8">
      <c r="A1141" s="78">
        <v>129932460795</v>
      </c>
      <c r="B1141" s="1" t="s">
        <v>8</v>
      </c>
      <c r="C1141" s="44" t="s">
        <v>2230</v>
      </c>
      <c r="D1141" s="1" t="s">
        <v>2057</v>
      </c>
      <c r="E1141" s="44" t="s">
        <v>2230</v>
      </c>
      <c r="F1141" s="38" t="s">
        <v>2058</v>
      </c>
      <c r="G1141" s="45">
        <v>52800</v>
      </c>
      <c r="H1141" s="45">
        <v>316.8</v>
      </c>
    </row>
    <row r="1142" spans="1:8">
      <c r="A1142" s="78">
        <v>130510871960</v>
      </c>
      <c r="B1142" s="1" t="s">
        <v>8</v>
      </c>
      <c r="C1142" s="44" t="s">
        <v>2230</v>
      </c>
      <c r="D1142" s="1" t="s">
        <v>2057</v>
      </c>
      <c r="E1142" s="44" t="s">
        <v>2230</v>
      </c>
      <c r="F1142" s="38" t="s">
        <v>2058</v>
      </c>
      <c r="G1142" s="45">
        <v>20500</v>
      </c>
      <c r="H1142" s="45">
        <v>123</v>
      </c>
    </row>
    <row r="1143" spans="1:8">
      <c r="A1143" s="78">
        <v>130510983586</v>
      </c>
      <c r="B1143" s="1" t="s">
        <v>8</v>
      </c>
      <c r="C1143" s="44" t="s">
        <v>2230</v>
      </c>
      <c r="D1143" s="1" t="s">
        <v>2057</v>
      </c>
      <c r="E1143" s="44" t="s">
        <v>2230</v>
      </c>
      <c r="F1143" s="38" t="s">
        <v>2058</v>
      </c>
      <c r="G1143" s="45">
        <v>25400</v>
      </c>
      <c r="H1143" s="45">
        <v>152.4</v>
      </c>
    </row>
    <row r="1144" spans="1:8">
      <c r="A1144" s="78">
        <v>130511170496</v>
      </c>
      <c r="B1144" s="1" t="s">
        <v>2237</v>
      </c>
      <c r="C1144" s="44" t="s">
        <v>2230</v>
      </c>
      <c r="D1144" s="1" t="s">
        <v>2057</v>
      </c>
      <c r="E1144" s="44" t="s">
        <v>2230</v>
      </c>
      <c r="F1144" s="38" t="s">
        <v>2058</v>
      </c>
      <c r="G1144" s="45">
        <v>545</v>
      </c>
      <c r="H1144" s="45">
        <v>3.27</v>
      </c>
    </row>
    <row r="1145" spans="1:8">
      <c r="A1145" s="78">
        <v>129920811303</v>
      </c>
      <c r="B1145" s="1" t="s">
        <v>8</v>
      </c>
      <c r="C1145" s="44" t="s">
        <v>2224</v>
      </c>
      <c r="D1145" s="1" t="s">
        <v>2057</v>
      </c>
      <c r="E1145" s="44" t="s">
        <v>2224</v>
      </c>
      <c r="F1145" s="38" t="s">
        <v>2058</v>
      </c>
      <c r="G1145" s="45">
        <v>12100</v>
      </c>
      <c r="H1145" s="45">
        <v>72.599999999999994</v>
      </c>
    </row>
    <row r="1146" spans="1:8">
      <c r="A1146" s="78">
        <v>129921270221</v>
      </c>
      <c r="B1146" s="1" t="s">
        <v>8</v>
      </c>
      <c r="C1146" s="44" t="s">
        <v>2224</v>
      </c>
      <c r="D1146" s="1" t="s">
        <v>2057</v>
      </c>
      <c r="E1146" s="44" t="s">
        <v>2224</v>
      </c>
      <c r="F1146" s="38" t="s">
        <v>2058</v>
      </c>
      <c r="G1146" s="45">
        <v>28500</v>
      </c>
      <c r="H1146" s="45">
        <v>171</v>
      </c>
    </row>
    <row r="1147" spans="1:8">
      <c r="A1147" s="78">
        <v>129921550313</v>
      </c>
      <c r="B1147" s="1" t="s">
        <v>8</v>
      </c>
      <c r="C1147" s="44" t="s">
        <v>2224</v>
      </c>
      <c r="D1147" s="1" t="s">
        <v>2057</v>
      </c>
      <c r="E1147" s="44" t="s">
        <v>2224</v>
      </c>
      <c r="F1147" s="38" t="s">
        <v>2058</v>
      </c>
      <c r="G1147" s="45">
        <v>68500</v>
      </c>
      <c r="H1147" s="45">
        <v>411</v>
      </c>
    </row>
    <row r="1148" spans="1:8">
      <c r="A1148" s="78">
        <v>130500339498</v>
      </c>
      <c r="B1148" s="1" t="s">
        <v>8</v>
      </c>
      <c r="C1148" s="44" t="s">
        <v>2224</v>
      </c>
      <c r="D1148" s="1" t="s">
        <v>2057</v>
      </c>
      <c r="E1148" s="44" t="s">
        <v>2224</v>
      </c>
      <c r="F1148" s="38" t="s">
        <v>2058</v>
      </c>
      <c r="G1148" s="45">
        <v>40500</v>
      </c>
      <c r="H1148" s="45">
        <v>243</v>
      </c>
    </row>
    <row r="1149" spans="1:8">
      <c r="A1149" s="78">
        <v>129922802979</v>
      </c>
      <c r="B1149" s="1" t="s">
        <v>2055</v>
      </c>
      <c r="C1149" s="44" t="s">
        <v>2224</v>
      </c>
      <c r="D1149" s="1" t="s">
        <v>2057</v>
      </c>
      <c r="E1149" s="44" t="s">
        <v>2224</v>
      </c>
      <c r="F1149" s="38" t="s">
        <v>2058</v>
      </c>
      <c r="G1149" s="45">
        <v>27400</v>
      </c>
      <c r="H1149" s="45">
        <v>164.4</v>
      </c>
    </row>
    <row r="1150" spans="1:8">
      <c r="A1150" s="78">
        <v>130501619064</v>
      </c>
      <c r="B1150" s="1" t="s">
        <v>8</v>
      </c>
      <c r="C1150" s="44" t="s">
        <v>2224</v>
      </c>
      <c r="D1150" s="1" t="s">
        <v>2057</v>
      </c>
      <c r="E1150" s="44" t="s">
        <v>2224</v>
      </c>
      <c r="F1150" s="38" t="s">
        <v>2058</v>
      </c>
      <c r="G1150" s="45">
        <v>66000</v>
      </c>
      <c r="H1150" s="45">
        <v>396</v>
      </c>
    </row>
    <row r="1151" spans="1:8">
      <c r="A1151" s="78">
        <v>129924012099</v>
      </c>
      <c r="B1151" s="1" t="s">
        <v>2238</v>
      </c>
      <c r="C1151" s="44" t="s">
        <v>2224</v>
      </c>
      <c r="D1151" s="1" t="s">
        <v>2057</v>
      </c>
      <c r="E1151" s="44" t="s">
        <v>2224</v>
      </c>
      <c r="F1151" s="38" t="s">
        <v>2058</v>
      </c>
      <c r="G1151" s="45">
        <v>3240</v>
      </c>
      <c r="H1151" s="45">
        <v>19.440000000000001</v>
      </c>
    </row>
    <row r="1152" spans="1:8">
      <c r="A1152" s="78">
        <v>130502314456</v>
      </c>
      <c r="B1152" s="1" t="s">
        <v>8</v>
      </c>
      <c r="C1152" s="44" t="s">
        <v>2224</v>
      </c>
      <c r="D1152" s="1" t="s">
        <v>2057</v>
      </c>
      <c r="E1152" s="44" t="s">
        <v>2224</v>
      </c>
      <c r="F1152" s="38" t="s">
        <v>2058</v>
      </c>
      <c r="G1152" s="45">
        <v>34900</v>
      </c>
      <c r="H1152" s="45">
        <v>209.4</v>
      </c>
    </row>
    <row r="1153" spans="1:8">
      <c r="A1153" s="78">
        <v>129924592831</v>
      </c>
      <c r="B1153" s="1" t="s">
        <v>8</v>
      </c>
      <c r="C1153" s="44" t="s">
        <v>2224</v>
      </c>
      <c r="D1153" s="1" t="s">
        <v>2057</v>
      </c>
      <c r="E1153" s="44" t="s">
        <v>2224</v>
      </c>
      <c r="F1153" s="38" t="s">
        <v>2058</v>
      </c>
      <c r="G1153" s="45">
        <v>36000</v>
      </c>
      <c r="H1153" s="45">
        <v>216</v>
      </c>
    </row>
    <row r="1154" spans="1:8">
      <c r="A1154" s="78">
        <v>130503149626</v>
      </c>
      <c r="B1154" s="1" t="s">
        <v>8</v>
      </c>
      <c r="C1154" s="44" t="s">
        <v>2224</v>
      </c>
      <c r="D1154" s="1" t="s">
        <v>2057</v>
      </c>
      <c r="E1154" s="44" t="s">
        <v>2224</v>
      </c>
      <c r="F1154" s="38" t="s">
        <v>2058</v>
      </c>
      <c r="G1154" s="45">
        <v>22500</v>
      </c>
      <c r="H1154" s="45">
        <v>135</v>
      </c>
    </row>
    <row r="1155" spans="1:8">
      <c r="A1155" s="78">
        <v>130503293264</v>
      </c>
      <c r="B1155" s="1" t="s">
        <v>8</v>
      </c>
      <c r="C1155" s="44" t="s">
        <v>2224</v>
      </c>
      <c r="D1155" s="1" t="s">
        <v>2057</v>
      </c>
      <c r="E1155" s="44" t="s">
        <v>2224</v>
      </c>
      <c r="F1155" s="38" t="s">
        <v>2058</v>
      </c>
      <c r="G1155" s="45">
        <v>25000</v>
      </c>
      <c r="H1155" s="45">
        <v>150</v>
      </c>
    </row>
    <row r="1156" spans="1:8">
      <c r="A1156" s="78">
        <v>129924883769</v>
      </c>
      <c r="B1156" s="1" t="s">
        <v>8</v>
      </c>
      <c r="C1156" s="44" t="s">
        <v>2224</v>
      </c>
      <c r="D1156" s="1" t="s">
        <v>2057</v>
      </c>
      <c r="E1156" s="44" t="s">
        <v>2224</v>
      </c>
      <c r="F1156" s="38" t="s">
        <v>2058</v>
      </c>
      <c r="G1156" s="45">
        <v>48900</v>
      </c>
      <c r="H1156" s="45">
        <v>293.39999999999998</v>
      </c>
    </row>
    <row r="1157" spans="1:8">
      <c r="A1157" s="78">
        <v>130503681142</v>
      </c>
      <c r="B1157" s="1" t="s">
        <v>8</v>
      </c>
      <c r="C1157" s="44" t="s">
        <v>2224</v>
      </c>
      <c r="D1157" s="1" t="s">
        <v>2057</v>
      </c>
      <c r="E1157" s="44" t="s">
        <v>2224</v>
      </c>
      <c r="F1157" s="38" t="s">
        <v>2058</v>
      </c>
      <c r="G1157" s="45">
        <v>25900</v>
      </c>
      <c r="H1157" s="45">
        <v>155.4</v>
      </c>
    </row>
    <row r="1158" spans="1:8">
      <c r="A1158" s="78">
        <v>130503796692</v>
      </c>
      <c r="B1158" s="1" t="s">
        <v>2055</v>
      </c>
      <c r="C1158" s="44" t="s">
        <v>2224</v>
      </c>
      <c r="D1158" s="1" t="s">
        <v>2057</v>
      </c>
      <c r="E1158" s="44" t="s">
        <v>2224</v>
      </c>
      <c r="F1158" s="38" t="s">
        <v>2058</v>
      </c>
      <c r="G1158" s="45">
        <v>9000</v>
      </c>
      <c r="H1158" s="45">
        <v>54</v>
      </c>
    </row>
    <row r="1159" spans="1:8">
      <c r="A1159" s="78">
        <v>130503831700</v>
      </c>
      <c r="B1159" s="1" t="s">
        <v>8</v>
      </c>
      <c r="C1159" s="44" t="s">
        <v>2224</v>
      </c>
      <c r="D1159" s="1" t="s">
        <v>2057</v>
      </c>
      <c r="E1159" s="44" t="s">
        <v>2224</v>
      </c>
      <c r="F1159" s="38" t="s">
        <v>2058</v>
      </c>
      <c r="G1159" s="45">
        <v>8200</v>
      </c>
      <c r="H1159" s="45">
        <v>49.2</v>
      </c>
    </row>
    <row r="1160" spans="1:8">
      <c r="A1160" s="78">
        <v>130503865664</v>
      </c>
      <c r="B1160" s="1" t="s">
        <v>2055</v>
      </c>
      <c r="C1160" s="44" t="s">
        <v>2224</v>
      </c>
      <c r="D1160" s="1" t="s">
        <v>2057</v>
      </c>
      <c r="E1160" s="44" t="s">
        <v>2230</v>
      </c>
      <c r="F1160" s="38" t="s">
        <v>2058</v>
      </c>
      <c r="G1160" s="45">
        <v>19440</v>
      </c>
      <c r="H1160" s="45">
        <v>116.64</v>
      </c>
    </row>
    <row r="1161" spans="1:8">
      <c r="A1161" s="78">
        <v>130504119406</v>
      </c>
      <c r="B1161" s="1" t="s">
        <v>2055</v>
      </c>
      <c r="C1161" s="44" t="s">
        <v>2224</v>
      </c>
      <c r="D1161" s="1" t="s">
        <v>2057</v>
      </c>
      <c r="E1161" s="44" t="s">
        <v>2230</v>
      </c>
      <c r="F1161" s="38" t="s">
        <v>2058</v>
      </c>
      <c r="G1161" s="45">
        <v>38400</v>
      </c>
      <c r="H1161" s="45">
        <v>230.4</v>
      </c>
    </row>
    <row r="1162" spans="1:8">
      <c r="A1162" s="78">
        <v>129926108389</v>
      </c>
      <c r="B1162" s="1" t="s">
        <v>8</v>
      </c>
      <c r="C1162" s="44" t="s">
        <v>2224</v>
      </c>
      <c r="D1162" s="1" t="s">
        <v>2057</v>
      </c>
      <c r="E1162" s="44" t="s">
        <v>2230</v>
      </c>
      <c r="F1162" s="38" t="s">
        <v>2058</v>
      </c>
      <c r="G1162" s="45">
        <v>5500</v>
      </c>
      <c r="H1162" s="45">
        <v>33</v>
      </c>
    </row>
    <row r="1163" spans="1:8">
      <c r="A1163" s="78">
        <v>130504725754</v>
      </c>
      <c r="B1163" s="1" t="s">
        <v>8</v>
      </c>
      <c r="C1163" s="44" t="s">
        <v>2224</v>
      </c>
      <c r="D1163" s="1" t="s">
        <v>2057</v>
      </c>
      <c r="E1163" s="44" t="s">
        <v>2230</v>
      </c>
      <c r="F1163" s="38" t="s">
        <v>2058</v>
      </c>
      <c r="G1163" s="45">
        <v>58200</v>
      </c>
      <c r="H1163" s="45">
        <v>349.2</v>
      </c>
    </row>
    <row r="1164" spans="1:8">
      <c r="A1164" s="78">
        <v>129926554953</v>
      </c>
      <c r="B1164" s="1" t="s">
        <v>2055</v>
      </c>
      <c r="C1164" s="44" t="s">
        <v>2224</v>
      </c>
      <c r="D1164" s="1" t="s">
        <v>2057</v>
      </c>
      <c r="E1164" s="44" t="s">
        <v>2230</v>
      </c>
      <c r="F1164" s="38" t="s">
        <v>2058</v>
      </c>
      <c r="G1164" s="45">
        <v>9600</v>
      </c>
      <c r="H1164" s="45">
        <v>57.6</v>
      </c>
    </row>
    <row r="1165" spans="1:8">
      <c r="A1165" s="78">
        <v>130505348210</v>
      </c>
      <c r="B1165" s="1" t="s">
        <v>8</v>
      </c>
      <c r="C1165" s="44" t="s">
        <v>2224</v>
      </c>
      <c r="D1165" s="1" t="s">
        <v>2057</v>
      </c>
      <c r="E1165" s="44" t="s">
        <v>2230</v>
      </c>
      <c r="F1165" s="38" t="s">
        <v>2058</v>
      </c>
      <c r="G1165" s="45">
        <v>17400</v>
      </c>
      <c r="H1165" s="45">
        <v>104.4</v>
      </c>
    </row>
    <row r="1166" spans="1:8">
      <c r="A1166" s="78">
        <v>129927348607</v>
      </c>
      <c r="B1166" s="1" t="s">
        <v>8</v>
      </c>
      <c r="C1166" s="44" t="s">
        <v>2224</v>
      </c>
      <c r="D1166" s="1" t="s">
        <v>2057</v>
      </c>
      <c r="E1166" s="44" t="s">
        <v>2230</v>
      </c>
      <c r="F1166" s="38" t="s">
        <v>2058</v>
      </c>
      <c r="G1166" s="45">
        <v>33800</v>
      </c>
      <c r="H1166" s="45">
        <v>202.8</v>
      </c>
    </row>
    <row r="1167" spans="1:8">
      <c r="A1167" s="78">
        <v>130505652570</v>
      </c>
      <c r="B1167" s="1" t="s">
        <v>8</v>
      </c>
      <c r="C1167" s="44" t="s">
        <v>2224</v>
      </c>
      <c r="D1167" s="1" t="s">
        <v>2057</v>
      </c>
      <c r="E1167" s="44" t="s">
        <v>2230</v>
      </c>
      <c r="F1167" s="38" t="s">
        <v>2058</v>
      </c>
      <c r="G1167" s="45">
        <v>27500</v>
      </c>
      <c r="H1167" s="45">
        <v>165</v>
      </c>
    </row>
    <row r="1168" spans="1:8">
      <c r="A1168" s="78">
        <v>129927699555</v>
      </c>
      <c r="B1168" s="1" t="s">
        <v>2055</v>
      </c>
      <c r="C1168" s="44" t="s">
        <v>2224</v>
      </c>
      <c r="D1168" s="1" t="s">
        <v>2057</v>
      </c>
      <c r="E1168" s="44" t="s">
        <v>2230</v>
      </c>
      <c r="F1168" s="38" t="s">
        <v>2058</v>
      </c>
      <c r="G1168" s="45">
        <v>34600</v>
      </c>
      <c r="H1168" s="45">
        <v>207.6</v>
      </c>
    </row>
    <row r="1169" spans="1:8">
      <c r="A1169" s="78">
        <v>129928917523</v>
      </c>
      <c r="B1169" s="1" t="s">
        <v>8</v>
      </c>
      <c r="C1169" s="44" t="s">
        <v>2230</v>
      </c>
      <c r="D1169" s="1" t="s">
        <v>2057</v>
      </c>
      <c r="E1169" s="44" t="s">
        <v>2230</v>
      </c>
      <c r="F1169" s="38" t="s">
        <v>2058</v>
      </c>
      <c r="G1169" s="45">
        <v>9400</v>
      </c>
      <c r="H1169" s="45">
        <v>56.4</v>
      </c>
    </row>
    <row r="1170" spans="1:8">
      <c r="A1170" s="78">
        <v>130507433134</v>
      </c>
      <c r="B1170" s="1" t="s">
        <v>8</v>
      </c>
      <c r="C1170" s="44" t="s">
        <v>2230</v>
      </c>
      <c r="D1170" s="1" t="s">
        <v>2057</v>
      </c>
      <c r="E1170" s="44" t="s">
        <v>2230</v>
      </c>
      <c r="F1170" s="38" t="s">
        <v>2058</v>
      </c>
      <c r="G1170" s="45">
        <v>17100</v>
      </c>
      <c r="H1170" s="45">
        <v>102.6</v>
      </c>
    </row>
    <row r="1171" spans="1:8">
      <c r="A1171" s="78">
        <v>130507377794</v>
      </c>
      <c r="B1171" s="1" t="s">
        <v>2239</v>
      </c>
      <c r="C1171" s="44" t="s">
        <v>2230</v>
      </c>
      <c r="D1171" s="1" t="s">
        <v>2057</v>
      </c>
      <c r="E1171" s="44" t="s">
        <v>2230</v>
      </c>
      <c r="F1171" s="38" t="s">
        <v>2058</v>
      </c>
      <c r="G1171" s="45">
        <v>1710</v>
      </c>
      <c r="H1171" s="45">
        <v>10.26</v>
      </c>
    </row>
    <row r="1172" spans="1:8">
      <c r="A1172" s="78">
        <v>129929732379</v>
      </c>
      <c r="B1172" s="1" t="s">
        <v>8</v>
      </c>
      <c r="C1172" s="44" t="s">
        <v>2230</v>
      </c>
      <c r="D1172" s="1" t="s">
        <v>2057</v>
      </c>
      <c r="E1172" s="44" t="s">
        <v>2230</v>
      </c>
      <c r="F1172" s="38" t="s">
        <v>2058</v>
      </c>
      <c r="G1172" s="45">
        <v>22200</v>
      </c>
      <c r="H1172" s="45">
        <v>133.19999999999999</v>
      </c>
    </row>
    <row r="1173" spans="1:8">
      <c r="A1173" s="78">
        <v>129929852927</v>
      </c>
      <c r="B1173" s="1" t="s">
        <v>2055</v>
      </c>
      <c r="C1173" s="44" t="s">
        <v>2230</v>
      </c>
      <c r="D1173" s="1" t="s">
        <v>2057</v>
      </c>
      <c r="E1173" s="44" t="s">
        <v>2230</v>
      </c>
      <c r="F1173" s="38" t="s">
        <v>2058</v>
      </c>
      <c r="G1173" s="45">
        <v>9800</v>
      </c>
      <c r="H1173" s="45">
        <v>58.8</v>
      </c>
    </row>
    <row r="1174" spans="1:8">
      <c r="A1174" s="78">
        <v>130508636164</v>
      </c>
      <c r="B1174" s="1" t="s">
        <v>8</v>
      </c>
      <c r="C1174" s="44" t="s">
        <v>2230</v>
      </c>
      <c r="D1174" s="1" t="s">
        <v>2057</v>
      </c>
      <c r="E1174" s="44" t="s">
        <v>2230</v>
      </c>
      <c r="F1174" s="38" t="s">
        <v>2058</v>
      </c>
      <c r="G1174" s="45">
        <v>10600</v>
      </c>
      <c r="H1174" s="45">
        <v>63.6</v>
      </c>
    </row>
    <row r="1175" spans="1:8">
      <c r="A1175" s="78">
        <v>130509146786</v>
      </c>
      <c r="B1175" s="1" t="s">
        <v>8</v>
      </c>
      <c r="C1175" s="44" t="s">
        <v>2230</v>
      </c>
      <c r="D1175" s="1" t="s">
        <v>2057</v>
      </c>
      <c r="E1175" s="44" t="s">
        <v>2230</v>
      </c>
      <c r="F1175" s="38" t="s">
        <v>2058</v>
      </c>
      <c r="G1175" s="45">
        <v>25300</v>
      </c>
      <c r="H1175" s="45">
        <v>151.80000000000001</v>
      </c>
    </row>
    <row r="1176" spans="1:8">
      <c r="A1176" s="78">
        <v>130509116046</v>
      </c>
      <c r="B1176" s="1" t="s">
        <v>8</v>
      </c>
      <c r="C1176" s="44" t="s">
        <v>2230</v>
      </c>
      <c r="D1176" s="1" t="s">
        <v>2057</v>
      </c>
      <c r="E1176" s="44" t="s">
        <v>2230</v>
      </c>
      <c r="F1176" s="38" t="s">
        <v>2058</v>
      </c>
      <c r="G1176" s="45">
        <v>18800</v>
      </c>
      <c r="H1176" s="45">
        <v>112.8</v>
      </c>
    </row>
    <row r="1177" spans="1:8">
      <c r="A1177" s="78">
        <v>130509962534</v>
      </c>
      <c r="B1177" s="1" t="s">
        <v>8</v>
      </c>
      <c r="C1177" s="44" t="s">
        <v>2230</v>
      </c>
      <c r="D1177" s="1" t="s">
        <v>2057</v>
      </c>
      <c r="E1177" s="44" t="s">
        <v>2230</v>
      </c>
      <c r="F1177" s="38" t="s">
        <v>2058</v>
      </c>
      <c r="G1177" s="45">
        <v>21000</v>
      </c>
      <c r="H1177" s="45">
        <v>126</v>
      </c>
    </row>
    <row r="1178" spans="1:8">
      <c r="A1178" s="78">
        <v>129931670223</v>
      </c>
      <c r="B1178" s="1" t="s">
        <v>8</v>
      </c>
      <c r="C1178" s="44" t="s">
        <v>2230</v>
      </c>
      <c r="D1178" s="1" t="s">
        <v>2057</v>
      </c>
      <c r="E1178" s="44" t="s">
        <v>2230</v>
      </c>
      <c r="F1178" s="38" t="s">
        <v>2058</v>
      </c>
      <c r="G1178" s="45">
        <v>3800</v>
      </c>
      <c r="H1178" s="45">
        <v>22.8</v>
      </c>
    </row>
    <row r="1179" spans="1:8">
      <c r="A1179" s="78">
        <v>129932222123</v>
      </c>
      <c r="B1179" s="1" t="s">
        <v>8</v>
      </c>
      <c r="C1179" s="44" t="s">
        <v>2230</v>
      </c>
      <c r="D1179" s="1" t="s">
        <v>2057</v>
      </c>
      <c r="E1179" s="44" t="s">
        <v>2230</v>
      </c>
      <c r="F1179" s="38" t="s">
        <v>2058</v>
      </c>
      <c r="G1179" s="45">
        <v>60100</v>
      </c>
      <c r="H1179" s="45">
        <v>360.6</v>
      </c>
    </row>
    <row r="1180" spans="1:8">
      <c r="A1180" s="78">
        <v>129932270371</v>
      </c>
      <c r="B1180" s="1" t="s">
        <v>8</v>
      </c>
      <c r="C1180" s="44" t="s">
        <v>2230</v>
      </c>
      <c r="D1180" s="1" t="s">
        <v>2057</v>
      </c>
      <c r="E1180" s="44" t="s">
        <v>2230</v>
      </c>
      <c r="F1180" s="38" t="s">
        <v>2058</v>
      </c>
      <c r="G1180" s="45">
        <v>60900</v>
      </c>
      <c r="H1180" s="45">
        <v>365.4</v>
      </c>
    </row>
    <row r="1181" spans="1:8">
      <c r="A1181" s="78">
        <v>129932363147</v>
      </c>
      <c r="B1181" s="1" t="s">
        <v>2055</v>
      </c>
      <c r="C1181" s="44" t="s">
        <v>2230</v>
      </c>
      <c r="D1181" s="1" t="s">
        <v>2057</v>
      </c>
      <c r="E1181" s="44" t="s">
        <v>2230</v>
      </c>
      <c r="F1181" s="38" t="s">
        <v>2058</v>
      </c>
      <c r="G1181" s="45">
        <v>4000</v>
      </c>
      <c r="H1181" s="45">
        <v>24</v>
      </c>
    </row>
    <row r="1182" spans="1:8">
      <c r="A1182" s="78">
        <v>129932493309</v>
      </c>
      <c r="B1182" s="1" t="s">
        <v>2055</v>
      </c>
      <c r="C1182" s="44" t="s">
        <v>2230</v>
      </c>
      <c r="D1182" s="1" t="s">
        <v>2057</v>
      </c>
      <c r="E1182" s="44" t="s">
        <v>2230</v>
      </c>
      <c r="F1182" s="38" t="s">
        <v>2058</v>
      </c>
      <c r="G1182" s="45">
        <v>65100</v>
      </c>
      <c r="H1182" s="45">
        <v>390.6</v>
      </c>
    </row>
    <row r="1183" spans="1:8">
      <c r="A1183" s="78">
        <v>129932531979</v>
      </c>
      <c r="B1183" s="1" t="s">
        <v>2240</v>
      </c>
      <c r="C1183" s="44" t="s">
        <v>2230</v>
      </c>
      <c r="D1183" s="1" t="s">
        <v>2057</v>
      </c>
      <c r="E1183" s="44" t="s">
        <v>2230</v>
      </c>
      <c r="F1183" s="38" t="s">
        <v>2058</v>
      </c>
      <c r="G1183" s="45">
        <v>1025</v>
      </c>
      <c r="H1183" s="45">
        <v>6.15</v>
      </c>
    </row>
    <row r="1184" spans="1:8">
      <c r="A1184" s="78">
        <v>129932563723</v>
      </c>
      <c r="B1184" s="1" t="s">
        <v>8</v>
      </c>
      <c r="C1184" s="44" t="s">
        <v>2230</v>
      </c>
      <c r="D1184" s="1" t="s">
        <v>2057</v>
      </c>
      <c r="E1184" s="44" t="s">
        <v>2230</v>
      </c>
      <c r="F1184" s="38" t="s">
        <v>2058</v>
      </c>
      <c r="G1184" s="45">
        <v>26300</v>
      </c>
      <c r="H1184" s="45">
        <v>157.80000000000001</v>
      </c>
    </row>
    <row r="1185" spans="1:8">
      <c r="A1185" s="78">
        <v>130510890048</v>
      </c>
      <c r="B1185" s="1" t="s">
        <v>8</v>
      </c>
      <c r="C1185" s="44" t="s">
        <v>2230</v>
      </c>
      <c r="D1185" s="1" t="s">
        <v>2057</v>
      </c>
      <c r="E1185" s="44" t="s">
        <v>2230</v>
      </c>
      <c r="F1185" s="38" t="s">
        <v>2058</v>
      </c>
      <c r="G1185" s="45">
        <v>31200</v>
      </c>
      <c r="H1185" s="45">
        <v>187.2</v>
      </c>
    </row>
    <row r="1186" spans="1:8">
      <c r="A1186" s="78">
        <v>130511004854</v>
      </c>
      <c r="B1186" s="1" t="s">
        <v>2055</v>
      </c>
      <c r="C1186" s="44" t="s">
        <v>2230</v>
      </c>
      <c r="D1186" s="1" t="s">
        <v>2057</v>
      </c>
      <c r="E1186" s="44" t="s">
        <v>2230</v>
      </c>
      <c r="F1186" s="38" t="s">
        <v>2058</v>
      </c>
      <c r="G1186" s="45">
        <v>8700</v>
      </c>
      <c r="H1186" s="45">
        <v>52.2</v>
      </c>
    </row>
    <row r="1187" spans="1:8">
      <c r="A1187" s="78">
        <v>129932719263</v>
      </c>
      <c r="B1187" s="1" t="s">
        <v>8</v>
      </c>
      <c r="C1187" s="44" t="s">
        <v>2230</v>
      </c>
      <c r="D1187" s="1" t="s">
        <v>2057</v>
      </c>
      <c r="E1187" s="44" t="s">
        <v>2230</v>
      </c>
      <c r="F1187" s="38" t="s">
        <v>2058</v>
      </c>
      <c r="G1187" s="45">
        <v>10900</v>
      </c>
      <c r="H1187" s="45">
        <v>65.400000000000006</v>
      </c>
    </row>
    <row r="1188" spans="1:8">
      <c r="A1188" s="78">
        <v>130001228701</v>
      </c>
      <c r="B1188" s="1" t="s">
        <v>8</v>
      </c>
      <c r="C1188" s="44" t="s">
        <v>2230</v>
      </c>
      <c r="D1188" s="1" t="s">
        <v>2057</v>
      </c>
      <c r="E1188" s="44" t="s">
        <v>2230</v>
      </c>
      <c r="F1188" s="38" t="s">
        <v>2058</v>
      </c>
      <c r="G1188" s="45">
        <v>4800</v>
      </c>
      <c r="H1188" s="45">
        <v>28.8</v>
      </c>
    </row>
    <row r="1189" spans="1:8">
      <c r="A1189" s="78">
        <v>130001899155</v>
      </c>
      <c r="B1189" s="1" t="s">
        <v>8</v>
      </c>
      <c r="C1189" s="44" t="s">
        <v>2230</v>
      </c>
      <c r="D1189" s="1" t="s">
        <v>2057</v>
      </c>
      <c r="E1189" s="44" t="s">
        <v>2230</v>
      </c>
      <c r="F1189" s="38" t="s">
        <v>2058</v>
      </c>
      <c r="G1189" s="45">
        <v>9600</v>
      </c>
      <c r="H1189" s="45">
        <v>57.6</v>
      </c>
    </row>
    <row r="1190" spans="1:8">
      <c r="A1190" s="78">
        <v>130582654102</v>
      </c>
      <c r="B1190" s="1" t="s">
        <v>8</v>
      </c>
      <c r="C1190" s="44" t="s">
        <v>2230</v>
      </c>
      <c r="D1190" s="1" t="s">
        <v>2057</v>
      </c>
      <c r="E1190" s="44" t="s">
        <v>2230</v>
      </c>
      <c r="F1190" s="38" t="s">
        <v>2058</v>
      </c>
      <c r="G1190" s="45">
        <v>4800</v>
      </c>
      <c r="H1190" s="45">
        <v>28.8</v>
      </c>
    </row>
    <row r="1191" spans="1:8">
      <c r="A1191" s="78">
        <v>130583209284</v>
      </c>
      <c r="B1191" s="1" t="s">
        <v>8</v>
      </c>
      <c r="C1191" s="44" t="s">
        <v>2230</v>
      </c>
      <c r="D1191" s="1" t="s">
        <v>2057</v>
      </c>
      <c r="E1191" s="44" t="s">
        <v>2230</v>
      </c>
      <c r="F1191" s="38" t="s">
        <v>2058</v>
      </c>
      <c r="G1191" s="45">
        <v>9600</v>
      </c>
      <c r="H1191" s="45">
        <v>57.6</v>
      </c>
    </row>
    <row r="1192" spans="1:8">
      <c r="A1192" s="78">
        <v>130004895803</v>
      </c>
      <c r="B1192" s="1" t="s">
        <v>2055</v>
      </c>
      <c r="C1192" s="44" t="s">
        <v>2230</v>
      </c>
      <c r="D1192" s="1" t="s">
        <v>2057</v>
      </c>
      <c r="E1192" s="44" t="s">
        <v>2230</v>
      </c>
      <c r="F1192" s="38" t="s">
        <v>2058</v>
      </c>
      <c r="G1192" s="45">
        <v>19200</v>
      </c>
      <c r="H1192" s="45">
        <v>115.2</v>
      </c>
    </row>
    <row r="1193" spans="1:8">
      <c r="A1193" s="78">
        <v>130583515842</v>
      </c>
      <c r="B1193" s="1" t="s">
        <v>2055</v>
      </c>
      <c r="C1193" s="44" t="s">
        <v>2230</v>
      </c>
      <c r="D1193" s="1" t="s">
        <v>2057</v>
      </c>
      <c r="E1193" s="44" t="s">
        <v>2230</v>
      </c>
      <c r="F1193" s="38" t="s">
        <v>2058</v>
      </c>
      <c r="G1193" s="45">
        <v>59200</v>
      </c>
      <c r="H1193" s="45">
        <v>355.2</v>
      </c>
    </row>
    <row r="1194" spans="1:8">
      <c r="A1194" s="78">
        <v>130005830393</v>
      </c>
      <c r="B1194" s="1" t="s">
        <v>8</v>
      </c>
      <c r="C1194" s="44" t="s">
        <v>2230</v>
      </c>
      <c r="D1194" s="1" t="s">
        <v>2057</v>
      </c>
      <c r="E1194" s="44" t="s">
        <v>2230</v>
      </c>
      <c r="F1194" s="38" t="s">
        <v>2058</v>
      </c>
      <c r="G1194" s="45">
        <v>4400</v>
      </c>
      <c r="H1194" s="45">
        <v>26.4</v>
      </c>
    </row>
    <row r="1195" spans="1:8">
      <c r="A1195" s="78">
        <v>130006028927</v>
      </c>
      <c r="B1195" s="1" t="s">
        <v>2241</v>
      </c>
      <c r="C1195" s="44" t="s">
        <v>2230</v>
      </c>
      <c r="D1195" s="1" t="s">
        <v>2057</v>
      </c>
      <c r="E1195" s="44" t="s">
        <v>2230</v>
      </c>
      <c r="F1195" s="38" t="s">
        <v>2058</v>
      </c>
      <c r="G1195" s="45">
        <v>4060</v>
      </c>
      <c r="H1195" s="45">
        <v>24.36</v>
      </c>
    </row>
    <row r="1196" spans="1:8">
      <c r="A1196" s="78">
        <v>130584728334</v>
      </c>
      <c r="B1196" s="1" t="s">
        <v>8</v>
      </c>
      <c r="C1196" s="44" t="s">
        <v>2230</v>
      </c>
      <c r="D1196" s="1" t="s">
        <v>2057</v>
      </c>
      <c r="E1196" s="44" t="s">
        <v>2230</v>
      </c>
      <c r="F1196" s="38" t="s">
        <v>2058</v>
      </c>
      <c r="G1196" s="45">
        <v>40600</v>
      </c>
      <c r="H1196" s="45">
        <v>243.6</v>
      </c>
    </row>
    <row r="1197" spans="1:8">
      <c r="A1197" s="78">
        <v>130586021122</v>
      </c>
      <c r="B1197" s="1" t="s">
        <v>2055</v>
      </c>
      <c r="C1197" s="44" t="s">
        <v>2230</v>
      </c>
      <c r="D1197" s="1" t="s">
        <v>2057</v>
      </c>
      <c r="E1197" s="44" t="s">
        <v>2230</v>
      </c>
      <c r="F1197" s="38" t="s">
        <v>2058</v>
      </c>
      <c r="G1197" s="45">
        <v>14300</v>
      </c>
      <c r="H1197" s="45">
        <v>85.8</v>
      </c>
    </row>
    <row r="1198" spans="1:8">
      <c r="A1198" s="78">
        <v>130007731191</v>
      </c>
      <c r="B1198" s="1" t="s">
        <v>8</v>
      </c>
      <c r="C1198" s="44" t="s">
        <v>2230</v>
      </c>
      <c r="D1198" s="1" t="s">
        <v>2057</v>
      </c>
      <c r="E1198" s="44" t="s">
        <v>2230</v>
      </c>
      <c r="F1198" s="38" t="s">
        <v>2058</v>
      </c>
      <c r="G1198" s="45">
        <v>16300</v>
      </c>
      <c r="H1198" s="45">
        <v>97.8</v>
      </c>
    </row>
    <row r="1199" spans="1:8">
      <c r="A1199" s="78">
        <v>129995987851</v>
      </c>
      <c r="B1199" s="1" t="s">
        <v>8</v>
      </c>
      <c r="C1199" s="44" t="s">
        <v>2230</v>
      </c>
      <c r="D1199" s="1" t="s">
        <v>2057</v>
      </c>
      <c r="E1199" s="44" t="s">
        <v>2230</v>
      </c>
      <c r="F1199" s="38" t="s">
        <v>2058</v>
      </c>
      <c r="G1199" s="45">
        <v>4900</v>
      </c>
      <c r="H1199" s="45">
        <v>29.4</v>
      </c>
    </row>
    <row r="1200" spans="1:8">
      <c r="A1200" s="78">
        <v>130009827557</v>
      </c>
      <c r="B1200" s="1" t="s">
        <v>2055</v>
      </c>
      <c r="C1200" s="44" t="s">
        <v>2230</v>
      </c>
      <c r="D1200" s="1" t="s">
        <v>2057</v>
      </c>
      <c r="E1200" s="44" t="s">
        <v>2230</v>
      </c>
      <c r="F1200" s="38" t="s">
        <v>2058</v>
      </c>
      <c r="G1200" s="45">
        <v>19200</v>
      </c>
      <c r="H1200" s="45">
        <v>115.2</v>
      </c>
    </row>
    <row r="1201" spans="1:8">
      <c r="A1201" s="78">
        <v>129998477397</v>
      </c>
      <c r="B1201" s="1" t="s">
        <v>8</v>
      </c>
      <c r="C1201" s="44" t="s">
        <v>2230</v>
      </c>
      <c r="D1201" s="1" t="s">
        <v>2057</v>
      </c>
      <c r="E1201" s="44" t="s">
        <v>2230</v>
      </c>
      <c r="F1201" s="38" t="s">
        <v>2058</v>
      </c>
      <c r="G1201" s="45">
        <v>2400</v>
      </c>
      <c r="H1201" s="45">
        <v>14.4</v>
      </c>
    </row>
    <row r="1202" spans="1:8">
      <c r="A1202" s="78">
        <v>130589989308</v>
      </c>
      <c r="B1202" s="1" t="s">
        <v>2055</v>
      </c>
      <c r="C1202" s="44" t="s">
        <v>2230</v>
      </c>
      <c r="D1202" s="1" t="s">
        <v>2057</v>
      </c>
      <c r="E1202" s="44" t="s">
        <v>2230</v>
      </c>
      <c r="F1202" s="38" t="s">
        <v>2058</v>
      </c>
      <c r="G1202" s="45">
        <v>35600</v>
      </c>
      <c r="H1202" s="45">
        <v>213.6</v>
      </c>
    </row>
    <row r="1203" spans="1:8">
      <c r="A1203" s="78">
        <v>130013338171</v>
      </c>
      <c r="B1203" s="1" t="s">
        <v>8</v>
      </c>
      <c r="C1203" s="44" t="s">
        <v>2230</v>
      </c>
      <c r="D1203" s="1" t="s">
        <v>2057</v>
      </c>
      <c r="E1203" s="44" t="s">
        <v>2230</v>
      </c>
      <c r="F1203" s="38" t="s">
        <v>2058</v>
      </c>
      <c r="G1203" s="45">
        <v>11900</v>
      </c>
      <c r="H1203" s="45">
        <v>71.400000000000006</v>
      </c>
    </row>
    <row r="1204" spans="1:8">
      <c r="A1204" s="78">
        <v>130592036332</v>
      </c>
      <c r="B1204" s="1" t="s">
        <v>2055</v>
      </c>
      <c r="C1204" s="44" t="s">
        <v>2230</v>
      </c>
      <c r="D1204" s="1" t="s">
        <v>2057</v>
      </c>
      <c r="E1204" s="44" t="s">
        <v>2230</v>
      </c>
      <c r="F1204" s="38" t="s">
        <v>2058</v>
      </c>
      <c r="G1204" s="45">
        <v>31300</v>
      </c>
      <c r="H1204" s="45">
        <v>187.8</v>
      </c>
    </row>
    <row r="1205" spans="1:8">
      <c r="A1205" s="78">
        <v>130001228715</v>
      </c>
      <c r="B1205" s="1" t="s">
        <v>2242</v>
      </c>
      <c r="C1205" s="44" t="s">
        <v>2230</v>
      </c>
      <c r="D1205" s="1" t="s">
        <v>2057</v>
      </c>
      <c r="E1205" s="44" t="s">
        <v>2230</v>
      </c>
      <c r="F1205" s="38" t="s">
        <v>2058</v>
      </c>
      <c r="G1205" s="45">
        <v>240</v>
      </c>
      <c r="H1205" s="45">
        <v>1.44</v>
      </c>
    </row>
    <row r="1206" spans="1:8">
      <c r="A1206" s="78">
        <v>130592612508</v>
      </c>
      <c r="B1206" s="1" t="s">
        <v>8</v>
      </c>
      <c r="C1206" s="44" t="s">
        <v>2230</v>
      </c>
      <c r="D1206" s="1" t="s">
        <v>2057</v>
      </c>
      <c r="E1206" s="44" t="s">
        <v>2230</v>
      </c>
      <c r="F1206" s="38" t="s">
        <v>2058</v>
      </c>
      <c r="G1206" s="45">
        <v>117800</v>
      </c>
      <c r="H1206" s="45">
        <v>706.8</v>
      </c>
    </row>
    <row r="1207" spans="1:8">
      <c r="A1207" s="78">
        <v>130002820299</v>
      </c>
      <c r="B1207" s="1" t="s">
        <v>8</v>
      </c>
      <c r="C1207" s="44" t="s">
        <v>2230</v>
      </c>
      <c r="D1207" s="1" t="s">
        <v>2057</v>
      </c>
      <c r="E1207" s="44" t="s">
        <v>2230</v>
      </c>
      <c r="F1207" s="38" t="s">
        <v>2058</v>
      </c>
      <c r="G1207" s="45">
        <v>2400</v>
      </c>
      <c r="H1207" s="45">
        <v>14.4</v>
      </c>
    </row>
    <row r="1208" spans="1:8">
      <c r="A1208" s="78">
        <v>130596512394</v>
      </c>
      <c r="B1208" s="1" t="s">
        <v>8</v>
      </c>
      <c r="C1208" s="44" t="s">
        <v>2230</v>
      </c>
      <c r="D1208" s="1" t="s">
        <v>2057</v>
      </c>
      <c r="E1208" s="44" t="s">
        <v>2243</v>
      </c>
      <c r="F1208" s="38" t="s">
        <v>2058</v>
      </c>
      <c r="G1208" s="45">
        <v>18400</v>
      </c>
      <c r="H1208" s="45">
        <v>110.4</v>
      </c>
    </row>
    <row r="1209" spans="1:8">
      <c r="A1209" s="78">
        <v>130017719079</v>
      </c>
      <c r="B1209" s="1" t="s">
        <v>2244</v>
      </c>
      <c r="C1209" s="44" t="s">
        <v>2230</v>
      </c>
      <c r="D1209" s="1" t="s">
        <v>2057</v>
      </c>
      <c r="E1209" s="44" t="s">
        <v>2243</v>
      </c>
      <c r="F1209" s="38" t="s">
        <v>2058</v>
      </c>
      <c r="G1209" s="45">
        <v>1840</v>
      </c>
      <c r="H1209" s="45">
        <v>11.04</v>
      </c>
    </row>
    <row r="1210" spans="1:8">
      <c r="A1210" s="78">
        <v>130585080512</v>
      </c>
      <c r="B1210" s="1" t="s">
        <v>2055</v>
      </c>
      <c r="C1210" s="44" t="s">
        <v>2230</v>
      </c>
      <c r="D1210" s="1" t="s">
        <v>2057</v>
      </c>
      <c r="E1210" s="44" t="s">
        <v>2230</v>
      </c>
      <c r="F1210" s="38" t="s">
        <v>2058</v>
      </c>
      <c r="G1210" s="45">
        <v>9900</v>
      </c>
      <c r="H1210" s="45">
        <v>59.4</v>
      </c>
    </row>
    <row r="1211" spans="1:8">
      <c r="A1211" s="78">
        <v>130586314610</v>
      </c>
      <c r="B1211" s="1" t="s">
        <v>2055</v>
      </c>
      <c r="C1211" s="44" t="s">
        <v>2230</v>
      </c>
      <c r="D1211" s="1" t="s">
        <v>2057</v>
      </c>
      <c r="E1211" s="44" t="s">
        <v>2230</v>
      </c>
      <c r="F1211" s="38" t="s">
        <v>2058</v>
      </c>
      <c r="G1211" s="45">
        <v>9600</v>
      </c>
      <c r="H1211" s="45">
        <v>57.6</v>
      </c>
    </row>
    <row r="1212" spans="1:8">
      <c r="A1212" s="78">
        <v>130589344658</v>
      </c>
      <c r="B1212" s="1" t="s">
        <v>8</v>
      </c>
      <c r="C1212" s="44" t="s">
        <v>2230</v>
      </c>
      <c r="D1212" s="1" t="s">
        <v>2057</v>
      </c>
      <c r="E1212" s="44" t="s">
        <v>2230</v>
      </c>
      <c r="F1212" s="38" t="s">
        <v>2058</v>
      </c>
      <c r="G1212" s="45">
        <v>28800</v>
      </c>
      <c r="H1212" s="45">
        <v>172.8</v>
      </c>
    </row>
    <row r="1213" spans="1:8">
      <c r="A1213" s="78">
        <v>130589453826</v>
      </c>
      <c r="B1213" s="1" t="s">
        <v>8</v>
      </c>
      <c r="C1213" s="44" t="s">
        <v>2230</v>
      </c>
      <c r="D1213" s="1" t="s">
        <v>2057</v>
      </c>
      <c r="E1213" s="44" t="s">
        <v>2230</v>
      </c>
      <c r="F1213" s="38" t="s">
        <v>2058</v>
      </c>
      <c r="G1213" s="45">
        <v>12000</v>
      </c>
      <c r="H1213" s="45">
        <v>72</v>
      </c>
    </row>
    <row r="1214" spans="1:8">
      <c r="A1214" s="78">
        <v>130013489481</v>
      </c>
      <c r="B1214" s="1" t="s">
        <v>2055</v>
      </c>
      <c r="C1214" s="44" t="s">
        <v>2230</v>
      </c>
      <c r="D1214" s="1" t="s">
        <v>2057</v>
      </c>
      <c r="E1214" s="44" t="s">
        <v>2230</v>
      </c>
      <c r="F1214" s="38" t="s">
        <v>2058</v>
      </c>
      <c r="G1214" s="45">
        <v>19700</v>
      </c>
      <c r="H1214" s="45">
        <v>118.2</v>
      </c>
    </row>
    <row r="1215" spans="1:8">
      <c r="A1215" s="78">
        <v>130592091772</v>
      </c>
      <c r="B1215" s="1" t="s">
        <v>8</v>
      </c>
      <c r="C1215" s="44" t="s">
        <v>2230</v>
      </c>
      <c r="D1215" s="1" t="s">
        <v>2057</v>
      </c>
      <c r="E1215" s="44" t="s">
        <v>2230</v>
      </c>
      <c r="F1215" s="38" t="s">
        <v>2058</v>
      </c>
      <c r="G1215" s="45">
        <v>19600</v>
      </c>
      <c r="H1215" s="45">
        <v>117.6</v>
      </c>
    </row>
    <row r="1216" spans="1:8">
      <c r="A1216" s="78">
        <v>130594025244</v>
      </c>
      <c r="B1216" s="1" t="s">
        <v>8</v>
      </c>
      <c r="C1216" s="44" t="s">
        <v>2230</v>
      </c>
      <c r="D1216" s="1" t="s">
        <v>2057</v>
      </c>
      <c r="E1216" s="44" t="s">
        <v>2243</v>
      </c>
      <c r="F1216" s="38" t="s">
        <v>2058</v>
      </c>
      <c r="G1216" s="45">
        <v>58700</v>
      </c>
      <c r="H1216" s="45">
        <v>352.2</v>
      </c>
    </row>
    <row r="1217" spans="1:8">
      <c r="A1217" s="78">
        <v>130594391886</v>
      </c>
      <c r="B1217" s="1" t="s">
        <v>8</v>
      </c>
      <c r="C1217" s="44" t="s">
        <v>2230</v>
      </c>
      <c r="D1217" s="1" t="s">
        <v>2057</v>
      </c>
      <c r="E1217" s="44" t="s">
        <v>2243</v>
      </c>
      <c r="F1217" s="38" t="s">
        <v>2058</v>
      </c>
      <c r="G1217" s="45">
        <v>88500</v>
      </c>
      <c r="H1217" s="45">
        <v>531</v>
      </c>
    </row>
    <row r="1218" spans="1:8">
      <c r="A1218" s="78">
        <v>130595730634</v>
      </c>
      <c r="B1218" s="1" t="s">
        <v>8</v>
      </c>
      <c r="C1218" s="44" t="s">
        <v>2230</v>
      </c>
      <c r="D1218" s="1" t="s">
        <v>2057</v>
      </c>
      <c r="E1218" s="44" t="s">
        <v>2243</v>
      </c>
      <c r="F1218" s="38" t="s">
        <v>2058</v>
      </c>
      <c r="G1218" s="45">
        <v>9700</v>
      </c>
      <c r="H1218" s="45">
        <v>58.2</v>
      </c>
    </row>
    <row r="1219" spans="1:8">
      <c r="A1219" s="78" t="s">
        <v>2245</v>
      </c>
      <c r="B1219" s="1" t="s">
        <v>8</v>
      </c>
      <c r="C1219" s="44" t="s">
        <v>2243</v>
      </c>
      <c r="D1219" s="1" t="s">
        <v>2057</v>
      </c>
      <c r="E1219" s="44" t="s">
        <v>2243</v>
      </c>
      <c r="F1219" s="38" t="s">
        <v>2058</v>
      </c>
      <c r="G1219" s="45">
        <v>1337520</v>
      </c>
      <c r="H1219" s="45">
        <v>8025.12</v>
      </c>
    </row>
    <row r="1220" spans="1:8">
      <c r="A1220" s="78" t="s">
        <v>2246</v>
      </c>
      <c r="B1220" s="1" t="s">
        <v>8</v>
      </c>
      <c r="C1220" s="44" t="s">
        <v>2243</v>
      </c>
      <c r="D1220" s="1" t="s">
        <v>2057</v>
      </c>
      <c r="E1220" s="44" t="s">
        <v>2243</v>
      </c>
      <c r="F1220" s="38" t="s">
        <v>2058</v>
      </c>
      <c r="G1220" s="45">
        <v>53515</v>
      </c>
      <c r="H1220" s="45">
        <v>321.08999999999997</v>
      </c>
    </row>
    <row r="1221" spans="1:8">
      <c r="A1221" s="78" t="s">
        <v>2247</v>
      </c>
      <c r="B1221" s="1" t="s">
        <v>8</v>
      </c>
      <c r="C1221" s="44" t="s">
        <v>2243</v>
      </c>
      <c r="D1221" s="1" t="s">
        <v>2057</v>
      </c>
      <c r="E1221" s="44" t="s">
        <v>2243</v>
      </c>
      <c r="F1221" s="38" t="s">
        <v>2058</v>
      </c>
      <c r="G1221" s="45">
        <v>52226</v>
      </c>
      <c r="H1221" s="45">
        <v>313.36</v>
      </c>
    </row>
    <row r="1222" spans="1:8">
      <c r="A1222" s="78" t="s">
        <v>2248</v>
      </c>
      <c r="B1222" s="1" t="s">
        <v>8</v>
      </c>
      <c r="C1222" s="44" t="s">
        <v>2243</v>
      </c>
      <c r="D1222" s="1" t="s">
        <v>2057</v>
      </c>
      <c r="E1222" s="44" t="s">
        <v>2243</v>
      </c>
      <c r="F1222" s="38" t="s">
        <v>2058</v>
      </c>
      <c r="G1222" s="45">
        <v>8000</v>
      </c>
      <c r="H1222" s="45">
        <v>48</v>
      </c>
    </row>
    <row r="1223" spans="1:8">
      <c r="A1223" s="78" t="s">
        <v>2249</v>
      </c>
      <c r="B1223" s="1" t="s">
        <v>8</v>
      </c>
      <c r="C1223" s="44" t="s">
        <v>2243</v>
      </c>
      <c r="D1223" s="1" t="s">
        <v>2057</v>
      </c>
      <c r="E1223" s="44" t="s">
        <v>2243</v>
      </c>
      <c r="F1223" s="38" t="s">
        <v>2058</v>
      </c>
      <c r="G1223" s="45">
        <v>6033.5</v>
      </c>
      <c r="H1223" s="45">
        <v>36.200000000000003</v>
      </c>
    </row>
    <row r="1224" spans="1:8">
      <c r="A1224" s="78" t="s">
        <v>2250</v>
      </c>
      <c r="B1224" s="1" t="s">
        <v>8</v>
      </c>
      <c r="C1224" s="44" t="s">
        <v>2243</v>
      </c>
      <c r="D1224" s="1" t="s">
        <v>2057</v>
      </c>
      <c r="E1224" s="44" t="s">
        <v>2243</v>
      </c>
      <c r="F1224" s="38" t="s">
        <v>2058</v>
      </c>
      <c r="G1224" s="45">
        <v>23200</v>
      </c>
      <c r="H1224" s="45">
        <v>139.19999999999999</v>
      </c>
    </row>
    <row r="1225" spans="1:8">
      <c r="A1225" s="78" t="s">
        <v>2251</v>
      </c>
      <c r="B1225" s="1" t="s">
        <v>8</v>
      </c>
      <c r="C1225" s="44" t="s">
        <v>2243</v>
      </c>
      <c r="D1225" s="1" t="s">
        <v>2057</v>
      </c>
      <c r="E1225" s="44" t="s">
        <v>2243</v>
      </c>
      <c r="F1225" s="38" t="s">
        <v>2058</v>
      </c>
      <c r="G1225" s="45">
        <v>24650</v>
      </c>
      <c r="H1225" s="45">
        <v>147.9</v>
      </c>
    </row>
    <row r="1226" spans="1:8">
      <c r="A1226" s="78" t="s">
        <v>2253</v>
      </c>
      <c r="B1226" s="1" t="s">
        <v>8</v>
      </c>
      <c r="C1226" s="44" t="s">
        <v>2252</v>
      </c>
      <c r="D1226" s="1" t="s">
        <v>2057</v>
      </c>
      <c r="E1226" s="44" t="s">
        <v>2252</v>
      </c>
      <c r="F1226" s="38" t="s">
        <v>2058</v>
      </c>
      <c r="G1226" s="45">
        <v>67410</v>
      </c>
      <c r="H1226" s="45">
        <v>404.46</v>
      </c>
    </row>
    <row r="1227" spans="1:8">
      <c r="A1227" s="78">
        <v>130189219979</v>
      </c>
      <c r="B1227" s="1" t="s">
        <v>8</v>
      </c>
      <c r="C1227" s="44" t="s">
        <v>2252</v>
      </c>
      <c r="D1227" s="1" t="s">
        <v>2057</v>
      </c>
      <c r="E1227" s="44" t="s">
        <v>2252</v>
      </c>
      <c r="F1227" s="38" t="s">
        <v>2058</v>
      </c>
      <c r="G1227" s="45">
        <v>575000</v>
      </c>
      <c r="H1227" s="45">
        <v>3450</v>
      </c>
    </row>
    <row r="1228" spans="1:8">
      <c r="A1228" s="78" t="s">
        <v>2254</v>
      </c>
      <c r="B1228" s="1" t="s">
        <v>8</v>
      </c>
      <c r="C1228" s="44" t="s">
        <v>2252</v>
      </c>
      <c r="D1228" s="1" t="s">
        <v>2057</v>
      </c>
      <c r="E1228" s="44" t="s">
        <v>2252</v>
      </c>
      <c r="F1228" s="38" t="s">
        <v>2058</v>
      </c>
      <c r="G1228" s="45">
        <v>465137.84</v>
      </c>
      <c r="H1228" s="45">
        <v>2790.83</v>
      </c>
    </row>
    <row r="1229" spans="1:8">
      <c r="A1229" s="78">
        <v>130291816163</v>
      </c>
      <c r="B1229" s="1" t="s">
        <v>8</v>
      </c>
      <c r="C1229" s="44" t="s">
        <v>2255</v>
      </c>
      <c r="D1229" s="1" t="s">
        <v>2057</v>
      </c>
      <c r="E1229" s="44" t="s">
        <v>2255</v>
      </c>
      <c r="F1229" s="38" t="s">
        <v>2058</v>
      </c>
      <c r="G1229" s="45">
        <v>174666.54</v>
      </c>
      <c r="H1229" s="45">
        <v>1048</v>
      </c>
    </row>
    <row r="1230" spans="1:8">
      <c r="A1230" s="78">
        <v>130292370337</v>
      </c>
      <c r="B1230" s="1" t="s">
        <v>8</v>
      </c>
      <c r="C1230" s="44" t="s">
        <v>2255</v>
      </c>
      <c r="D1230" s="1" t="s">
        <v>2057</v>
      </c>
      <c r="E1230" s="44" t="s">
        <v>2255</v>
      </c>
      <c r="F1230" s="38" t="s">
        <v>2058</v>
      </c>
      <c r="G1230" s="45">
        <v>222536.37</v>
      </c>
      <c r="H1230" s="45">
        <v>1335.22</v>
      </c>
    </row>
    <row r="1231" spans="1:8">
      <c r="A1231" s="78">
        <v>130885539658</v>
      </c>
      <c r="B1231" s="1" t="s">
        <v>8</v>
      </c>
      <c r="C1231" s="44" t="s">
        <v>2255</v>
      </c>
      <c r="D1231" s="1" t="s">
        <v>2057</v>
      </c>
      <c r="E1231" s="44" t="s">
        <v>2255</v>
      </c>
      <c r="F1231" s="38" t="s">
        <v>2058</v>
      </c>
      <c r="G1231" s="45">
        <v>1074225.8999999999</v>
      </c>
      <c r="H1231" s="45">
        <v>6445.36</v>
      </c>
    </row>
    <row r="1232" spans="1:8">
      <c r="A1232" s="78">
        <v>130305376427</v>
      </c>
      <c r="B1232" s="1" t="s">
        <v>8</v>
      </c>
      <c r="C1232" s="44" t="s">
        <v>2255</v>
      </c>
      <c r="D1232" s="1" t="s">
        <v>2057</v>
      </c>
      <c r="E1232" s="44" t="s">
        <v>2255</v>
      </c>
      <c r="F1232" s="38" t="s">
        <v>2058</v>
      </c>
      <c r="G1232" s="45">
        <v>328257</v>
      </c>
      <c r="H1232" s="45">
        <v>1969.54</v>
      </c>
    </row>
    <row r="1233" spans="1:8">
      <c r="A1233" s="78">
        <v>130909261908</v>
      </c>
      <c r="B1233" s="1" t="s">
        <v>2256</v>
      </c>
      <c r="C1233" s="44" t="s">
        <v>2255</v>
      </c>
      <c r="D1233" s="1" t="s">
        <v>2057</v>
      </c>
      <c r="E1233" s="44" t="s">
        <v>2255</v>
      </c>
      <c r="F1233" s="38" t="s">
        <v>2058</v>
      </c>
      <c r="G1233" s="45">
        <v>36612.39</v>
      </c>
      <c r="H1233" s="45">
        <v>219.67</v>
      </c>
    </row>
    <row r="1234" spans="1:8">
      <c r="A1234" s="78">
        <v>130363959471</v>
      </c>
      <c r="B1234" s="1" t="s">
        <v>8</v>
      </c>
      <c r="C1234" s="44" t="s">
        <v>2255</v>
      </c>
      <c r="D1234" s="1" t="s">
        <v>2057</v>
      </c>
      <c r="E1234" s="44" t="s">
        <v>2255</v>
      </c>
      <c r="F1234" s="38" t="s">
        <v>2058</v>
      </c>
      <c r="G1234" s="45">
        <v>4200</v>
      </c>
      <c r="H1234" s="45">
        <v>25.2</v>
      </c>
    </row>
    <row r="1235" spans="1:8">
      <c r="A1235" s="78">
        <v>130950649594</v>
      </c>
      <c r="B1235" s="1" t="s">
        <v>2055</v>
      </c>
      <c r="C1235" s="44" t="s">
        <v>2255</v>
      </c>
      <c r="D1235" s="1" t="s">
        <v>2057</v>
      </c>
      <c r="E1235" s="44" t="s">
        <v>2255</v>
      </c>
      <c r="F1235" s="38" t="s">
        <v>2058</v>
      </c>
      <c r="G1235" s="45">
        <v>9800</v>
      </c>
      <c r="H1235" s="45">
        <v>58.8</v>
      </c>
    </row>
    <row r="1236" spans="1:8">
      <c r="A1236" s="78">
        <v>130953076190</v>
      </c>
      <c r="B1236" s="1" t="s">
        <v>8</v>
      </c>
      <c r="C1236" s="44" t="s">
        <v>2255</v>
      </c>
      <c r="D1236" s="1" t="s">
        <v>2057</v>
      </c>
      <c r="E1236" s="44" t="s">
        <v>2255</v>
      </c>
      <c r="F1236" s="38" t="s">
        <v>2058</v>
      </c>
      <c r="G1236" s="45">
        <v>23998</v>
      </c>
      <c r="H1236" s="45">
        <v>143.99</v>
      </c>
    </row>
    <row r="1237" spans="1:8">
      <c r="A1237" s="78">
        <v>130372023691</v>
      </c>
      <c r="B1237" s="1" t="s">
        <v>8</v>
      </c>
      <c r="C1237" s="44" t="s">
        <v>2255</v>
      </c>
      <c r="D1237" s="1" t="s">
        <v>2057</v>
      </c>
      <c r="E1237" s="44" t="s">
        <v>2255</v>
      </c>
      <c r="F1237" s="38" t="s">
        <v>2058</v>
      </c>
      <c r="G1237" s="45">
        <v>17700</v>
      </c>
      <c r="H1237" s="45">
        <v>106.2</v>
      </c>
    </row>
    <row r="1238" spans="1:8">
      <c r="A1238" s="78">
        <v>130362900393</v>
      </c>
      <c r="B1238" s="1" t="s">
        <v>2055</v>
      </c>
      <c r="C1238" s="44" t="s">
        <v>2255</v>
      </c>
      <c r="D1238" s="1" t="s">
        <v>2057</v>
      </c>
      <c r="E1238" s="44" t="s">
        <v>2255</v>
      </c>
      <c r="F1238" s="38" t="s">
        <v>2058</v>
      </c>
      <c r="G1238" s="45">
        <v>18800</v>
      </c>
      <c r="H1238" s="45">
        <v>112.8</v>
      </c>
    </row>
    <row r="1239" spans="1:8">
      <c r="A1239" s="78">
        <v>130362869487</v>
      </c>
      <c r="B1239" s="1" t="s">
        <v>2055</v>
      </c>
      <c r="C1239" s="44" t="s">
        <v>2255</v>
      </c>
      <c r="D1239" s="1" t="s">
        <v>2057</v>
      </c>
      <c r="E1239" s="44" t="s">
        <v>2255</v>
      </c>
      <c r="F1239" s="38" t="s">
        <v>2058</v>
      </c>
      <c r="G1239" s="45">
        <v>16300</v>
      </c>
      <c r="H1239" s="45">
        <v>97.8</v>
      </c>
    </row>
    <row r="1240" spans="1:8">
      <c r="A1240" s="78">
        <v>130951377050</v>
      </c>
      <c r="B1240" s="1" t="s">
        <v>8</v>
      </c>
      <c r="C1240" s="44" t="s">
        <v>2255</v>
      </c>
      <c r="D1240" s="1" t="s">
        <v>2057</v>
      </c>
      <c r="E1240" s="44" t="s">
        <v>2255</v>
      </c>
      <c r="F1240" s="38" t="s">
        <v>2058</v>
      </c>
      <c r="G1240" s="45">
        <v>4800</v>
      </c>
      <c r="H1240" s="45">
        <v>28.8</v>
      </c>
    </row>
    <row r="1241" spans="1:8">
      <c r="A1241" s="78">
        <v>130367507575</v>
      </c>
      <c r="B1241" s="1" t="s">
        <v>2257</v>
      </c>
      <c r="C1241" s="44" t="s">
        <v>2255</v>
      </c>
      <c r="D1241" s="1" t="s">
        <v>2057</v>
      </c>
      <c r="E1241" s="44" t="s">
        <v>2255</v>
      </c>
      <c r="F1241" s="38" t="s">
        <v>2058</v>
      </c>
      <c r="G1241" s="45">
        <v>480</v>
      </c>
      <c r="H1241" s="45">
        <v>2.88</v>
      </c>
    </row>
    <row r="1242" spans="1:8">
      <c r="A1242" s="78">
        <v>130378665767</v>
      </c>
      <c r="B1242" s="1" t="s">
        <v>8</v>
      </c>
      <c r="C1242" s="44" t="s">
        <v>2255</v>
      </c>
      <c r="D1242" s="1" t="s">
        <v>2057</v>
      </c>
      <c r="E1242" s="44" t="s">
        <v>2255</v>
      </c>
      <c r="F1242" s="38" t="s">
        <v>2058</v>
      </c>
      <c r="G1242" s="45">
        <v>45498</v>
      </c>
      <c r="H1242" s="45">
        <v>272.99</v>
      </c>
    </row>
    <row r="1243" spans="1:8">
      <c r="A1243" s="78">
        <v>130379169891</v>
      </c>
      <c r="B1243" s="1" t="s">
        <v>8</v>
      </c>
      <c r="C1243" s="44" t="s">
        <v>2255</v>
      </c>
      <c r="D1243" s="1" t="s">
        <v>2057</v>
      </c>
      <c r="E1243" s="44" t="s">
        <v>2255</v>
      </c>
      <c r="F1243" s="38" t="s">
        <v>2058</v>
      </c>
      <c r="G1243" s="45">
        <v>29750</v>
      </c>
      <c r="H1243" s="45">
        <v>178.5</v>
      </c>
    </row>
    <row r="1244" spans="1:8">
      <c r="A1244" s="78">
        <v>130953551734</v>
      </c>
      <c r="B1244" s="1" t="s">
        <v>8</v>
      </c>
      <c r="C1244" s="44" t="s">
        <v>2255</v>
      </c>
      <c r="D1244" s="1" t="s">
        <v>2057</v>
      </c>
      <c r="E1244" s="44" t="s">
        <v>2255</v>
      </c>
      <c r="F1244" s="38" t="s">
        <v>2058</v>
      </c>
      <c r="G1244" s="45">
        <v>4800</v>
      </c>
      <c r="H1244" s="45">
        <v>28.8</v>
      </c>
    </row>
    <row r="1245" spans="1:8">
      <c r="A1245" s="78">
        <v>130964053848</v>
      </c>
      <c r="B1245" s="1" t="s">
        <v>2055</v>
      </c>
      <c r="C1245" s="44" t="s">
        <v>2255</v>
      </c>
      <c r="D1245" s="1" t="s">
        <v>2057</v>
      </c>
      <c r="E1245" s="44" t="s">
        <v>2255</v>
      </c>
      <c r="F1245" s="38" t="s">
        <v>2058</v>
      </c>
      <c r="G1245" s="45">
        <v>46400</v>
      </c>
      <c r="H1245" s="45">
        <v>278.39999999999998</v>
      </c>
    </row>
    <row r="1246" spans="1:8">
      <c r="A1246" s="78">
        <v>130965083356</v>
      </c>
      <c r="B1246" s="1" t="s">
        <v>8</v>
      </c>
      <c r="C1246" s="44" t="s">
        <v>2255</v>
      </c>
      <c r="D1246" s="1" t="s">
        <v>2057</v>
      </c>
      <c r="E1246" s="44" t="s">
        <v>2258</v>
      </c>
      <c r="F1246" s="38" t="s">
        <v>2058</v>
      </c>
      <c r="G1246" s="45">
        <v>21200</v>
      </c>
      <c r="H1246" s="45">
        <v>127.2</v>
      </c>
    </row>
    <row r="1247" spans="1:8">
      <c r="A1247" s="78">
        <v>130381087993</v>
      </c>
      <c r="B1247" s="1" t="s">
        <v>2055</v>
      </c>
      <c r="C1247" s="44" t="s">
        <v>2255</v>
      </c>
      <c r="D1247" s="1" t="s">
        <v>2057</v>
      </c>
      <c r="E1247" s="44" t="s">
        <v>2258</v>
      </c>
      <c r="F1247" s="38" t="s">
        <v>2058</v>
      </c>
      <c r="G1247" s="45">
        <v>52697</v>
      </c>
      <c r="H1247" s="45">
        <v>316.18</v>
      </c>
    </row>
    <row r="1248" spans="1:8">
      <c r="A1248" s="78">
        <v>130965241174</v>
      </c>
      <c r="B1248" s="1" t="s">
        <v>2259</v>
      </c>
      <c r="C1248" s="44" t="s">
        <v>2255</v>
      </c>
      <c r="D1248" s="1" t="s">
        <v>2057</v>
      </c>
      <c r="E1248" s="44" t="s">
        <v>2258</v>
      </c>
      <c r="F1248" s="38" t="s">
        <v>2058</v>
      </c>
      <c r="G1248" s="45">
        <v>1199</v>
      </c>
      <c r="H1248" s="45">
        <v>7.19</v>
      </c>
    </row>
    <row r="1249" spans="1:8">
      <c r="A1249" s="78">
        <v>130372082339</v>
      </c>
      <c r="B1249" s="1" t="s">
        <v>2055</v>
      </c>
      <c r="C1249" s="44" t="s">
        <v>2255</v>
      </c>
      <c r="D1249" s="1" t="s">
        <v>2057</v>
      </c>
      <c r="E1249" s="44" t="s">
        <v>2255</v>
      </c>
      <c r="F1249" s="38" t="s">
        <v>2058</v>
      </c>
      <c r="G1249" s="45">
        <v>59298</v>
      </c>
      <c r="H1249" s="45">
        <v>355.79</v>
      </c>
    </row>
    <row r="1250" spans="1:8">
      <c r="A1250" s="78">
        <v>130968218136</v>
      </c>
      <c r="B1250" s="1" t="s">
        <v>2260</v>
      </c>
      <c r="C1250" s="44" t="s">
        <v>2258</v>
      </c>
      <c r="D1250" s="1" t="s">
        <v>2057</v>
      </c>
      <c r="E1250" s="44" t="s">
        <v>2258</v>
      </c>
      <c r="F1250" s="38" t="s">
        <v>2058</v>
      </c>
      <c r="G1250" s="45">
        <v>200</v>
      </c>
      <c r="H1250" s="45">
        <v>1.2</v>
      </c>
    </row>
    <row r="1251" spans="1:8">
      <c r="A1251" s="78">
        <v>130968159374</v>
      </c>
      <c r="B1251" s="1" t="s">
        <v>8</v>
      </c>
      <c r="C1251" s="44" t="s">
        <v>2258</v>
      </c>
      <c r="D1251" s="1" t="s">
        <v>2057</v>
      </c>
      <c r="E1251" s="44" t="s">
        <v>2258</v>
      </c>
      <c r="F1251" s="38" t="s">
        <v>2058</v>
      </c>
      <c r="G1251" s="45">
        <v>27200</v>
      </c>
      <c r="H1251" s="45">
        <v>163.19999999999999</v>
      </c>
    </row>
    <row r="1252" spans="1:8">
      <c r="A1252" s="78">
        <v>130968346258</v>
      </c>
      <c r="B1252" s="1" t="s">
        <v>8</v>
      </c>
      <c r="C1252" s="44" t="s">
        <v>2258</v>
      </c>
      <c r="D1252" s="1" t="s">
        <v>2057</v>
      </c>
      <c r="E1252" s="44" t="s">
        <v>2258</v>
      </c>
      <c r="F1252" s="38" t="s">
        <v>2058</v>
      </c>
      <c r="G1252" s="45">
        <v>9500</v>
      </c>
      <c r="H1252" s="45">
        <v>57</v>
      </c>
    </row>
    <row r="1253" spans="1:8">
      <c r="A1253" s="78">
        <v>130384388377</v>
      </c>
      <c r="B1253" s="1" t="s">
        <v>2261</v>
      </c>
      <c r="C1253" s="44" t="s">
        <v>2258</v>
      </c>
      <c r="D1253" s="1" t="s">
        <v>2057</v>
      </c>
      <c r="E1253" s="44" t="s">
        <v>2258</v>
      </c>
      <c r="F1253" s="38" t="s">
        <v>2058</v>
      </c>
      <c r="G1253" s="45">
        <v>240</v>
      </c>
      <c r="H1253" s="45">
        <v>1.44</v>
      </c>
    </row>
    <row r="1254" spans="1:8">
      <c r="A1254" s="78">
        <v>130384388375</v>
      </c>
      <c r="B1254" s="1" t="s">
        <v>8</v>
      </c>
      <c r="C1254" s="44" t="s">
        <v>2258</v>
      </c>
      <c r="D1254" s="1" t="s">
        <v>2057</v>
      </c>
      <c r="E1254" s="44" t="s">
        <v>2258</v>
      </c>
      <c r="F1254" s="38" t="s">
        <v>2058</v>
      </c>
      <c r="G1254" s="45">
        <v>4800</v>
      </c>
      <c r="H1254" s="45">
        <v>28.8</v>
      </c>
    </row>
    <row r="1255" spans="1:8">
      <c r="A1255" s="78">
        <v>130958785182</v>
      </c>
      <c r="B1255" s="1" t="s">
        <v>2055</v>
      </c>
      <c r="C1255" s="44" t="s">
        <v>2255</v>
      </c>
      <c r="D1255" s="1" t="s">
        <v>2057</v>
      </c>
      <c r="E1255" s="44" t="s">
        <v>2255</v>
      </c>
      <c r="F1255" s="38" t="s">
        <v>2058</v>
      </c>
      <c r="G1255" s="45">
        <v>9700</v>
      </c>
      <c r="H1255" s="45">
        <v>58.2</v>
      </c>
    </row>
    <row r="1256" spans="1:8">
      <c r="A1256" s="78">
        <v>130959127036</v>
      </c>
      <c r="B1256" s="1" t="s">
        <v>8</v>
      </c>
      <c r="C1256" s="44" t="s">
        <v>2255</v>
      </c>
      <c r="D1256" s="1" t="s">
        <v>2057</v>
      </c>
      <c r="E1256" s="44" t="s">
        <v>2255</v>
      </c>
      <c r="F1256" s="38" t="s">
        <v>2058</v>
      </c>
      <c r="G1256" s="45">
        <v>5200</v>
      </c>
      <c r="H1256" s="45">
        <v>31.2</v>
      </c>
    </row>
    <row r="1257" spans="1:8">
      <c r="A1257" s="78">
        <v>130385762611</v>
      </c>
      <c r="B1257" s="1" t="s">
        <v>8</v>
      </c>
      <c r="C1257" s="44" t="s">
        <v>2258</v>
      </c>
      <c r="D1257" s="1" t="s">
        <v>2057</v>
      </c>
      <c r="E1257" s="44" t="s">
        <v>2258</v>
      </c>
      <c r="F1257" s="38" t="s">
        <v>2058</v>
      </c>
      <c r="G1257" s="45">
        <v>5500</v>
      </c>
      <c r="H1257" s="45">
        <v>33</v>
      </c>
    </row>
    <row r="1258" spans="1:8">
      <c r="A1258" s="78">
        <v>130961561984</v>
      </c>
      <c r="B1258" s="1" t="s">
        <v>8</v>
      </c>
      <c r="C1258" s="44" t="s">
        <v>2255</v>
      </c>
      <c r="D1258" s="1" t="s">
        <v>2057</v>
      </c>
      <c r="E1258" s="44" t="s">
        <v>2255</v>
      </c>
      <c r="F1258" s="38" t="s">
        <v>2058</v>
      </c>
      <c r="G1258" s="45">
        <v>57798</v>
      </c>
      <c r="H1258" s="45">
        <v>346.79</v>
      </c>
    </row>
    <row r="1259" spans="1:8">
      <c r="A1259" s="78">
        <v>130378510101</v>
      </c>
      <c r="B1259" s="1" t="s">
        <v>8</v>
      </c>
      <c r="C1259" s="44" t="s">
        <v>2255</v>
      </c>
      <c r="D1259" s="1" t="s">
        <v>2057</v>
      </c>
      <c r="E1259" s="44" t="s">
        <v>2255</v>
      </c>
      <c r="F1259" s="38" t="s">
        <v>2058</v>
      </c>
      <c r="G1259" s="45">
        <v>9400</v>
      </c>
      <c r="H1259" s="45">
        <v>56.4</v>
      </c>
    </row>
    <row r="1260" spans="1:8">
      <c r="A1260" s="78">
        <v>130378434449</v>
      </c>
      <c r="B1260" s="1" t="s">
        <v>2262</v>
      </c>
      <c r="C1260" s="44" t="s">
        <v>2255</v>
      </c>
      <c r="D1260" s="1" t="s">
        <v>2057</v>
      </c>
      <c r="E1260" s="44" t="s">
        <v>2255</v>
      </c>
      <c r="F1260" s="38" t="s">
        <v>2058</v>
      </c>
      <c r="G1260" s="45">
        <v>470</v>
      </c>
      <c r="H1260" s="45">
        <v>2.82</v>
      </c>
    </row>
    <row r="1261" spans="1:8">
      <c r="A1261" s="78">
        <v>130380339005</v>
      </c>
      <c r="B1261" s="1" t="s">
        <v>2055</v>
      </c>
      <c r="C1261" s="44" t="s">
        <v>2255</v>
      </c>
      <c r="D1261" s="1" t="s">
        <v>2057</v>
      </c>
      <c r="E1261" s="44" t="s">
        <v>2255</v>
      </c>
      <c r="F1261" s="38" t="s">
        <v>2058</v>
      </c>
      <c r="G1261" s="45">
        <v>47200</v>
      </c>
      <c r="H1261" s="45">
        <v>283.2</v>
      </c>
    </row>
    <row r="1262" spans="1:8">
      <c r="A1262" s="78">
        <v>130381219961</v>
      </c>
      <c r="B1262" s="1" t="s">
        <v>8</v>
      </c>
      <c r="C1262" s="44" t="s">
        <v>2255</v>
      </c>
      <c r="D1262" s="1" t="s">
        <v>2057</v>
      </c>
      <c r="E1262" s="44" t="s">
        <v>2258</v>
      </c>
      <c r="F1262" s="38" t="s">
        <v>2058</v>
      </c>
      <c r="G1262" s="45">
        <v>23998</v>
      </c>
      <c r="H1262" s="45">
        <v>143.99</v>
      </c>
    </row>
    <row r="1263" spans="1:8">
      <c r="A1263" s="78">
        <v>130966019066</v>
      </c>
      <c r="B1263" s="1" t="s">
        <v>8</v>
      </c>
      <c r="C1263" s="44" t="s">
        <v>2255</v>
      </c>
      <c r="D1263" s="1" t="s">
        <v>2057</v>
      </c>
      <c r="E1263" s="44" t="s">
        <v>2258</v>
      </c>
      <c r="F1263" s="38" t="s">
        <v>2058</v>
      </c>
      <c r="G1263" s="45">
        <v>68300</v>
      </c>
      <c r="H1263" s="45">
        <v>409.8</v>
      </c>
    </row>
    <row r="1264" spans="1:8">
      <c r="A1264" s="78">
        <v>130382217225</v>
      </c>
      <c r="B1264" s="1" t="s">
        <v>8</v>
      </c>
      <c r="C1264" s="44" t="s">
        <v>2255</v>
      </c>
      <c r="D1264" s="1" t="s">
        <v>2057</v>
      </c>
      <c r="E1264" s="44" t="s">
        <v>2258</v>
      </c>
      <c r="F1264" s="38" t="s">
        <v>2058</v>
      </c>
      <c r="G1264" s="45">
        <v>18400</v>
      </c>
      <c r="H1264" s="45">
        <v>110.4</v>
      </c>
    </row>
    <row r="1265" spans="1:8">
      <c r="A1265" s="78">
        <v>130384192759</v>
      </c>
      <c r="B1265" s="1" t="s">
        <v>2263</v>
      </c>
      <c r="C1265" s="44" t="s">
        <v>2258</v>
      </c>
      <c r="D1265" s="1" t="s">
        <v>2057</v>
      </c>
      <c r="E1265" s="44" t="s">
        <v>2258</v>
      </c>
      <c r="F1265" s="38" t="s">
        <v>2058</v>
      </c>
      <c r="G1265" s="45">
        <v>395</v>
      </c>
      <c r="H1265" s="45">
        <v>2.37</v>
      </c>
    </row>
    <row r="1266" spans="1:8">
      <c r="A1266" s="78">
        <v>130968142248</v>
      </c>
      <c r="B1266" s="1" t="s">
        <v>8</v>
      </c>
      <c r="C1266" s="44" t="s">
        <v>2258</v>
      </c>
      <c r="D1266" s="1" t="s">
        <v>2057</v>
      </c>
      <c r="E1266" s="44" t="s">
        <v>2258</v>
      </c>
      <c r="F1266" s="38" t="s">
        <v>2058</v>
      </c>
      <c r="G1266" s="45">
        <v>7900</v>
      </c>
      <c r="H1266" s="45">
        <v>47.4</v>
      </c>
    </row>
    <row r="1267" spans="1:8">
      <c r="A1267" s="78">
        <v>130968200228</v>
      </c>
      <c r="B1267" s="1" t="s">
        <v>8</v>
      </c>
      <c r="C1267" s="44" t="s">
        <v>2258</v>
      </c>
      <c r="D1267" s="1" t="s">
        <v>2057</v>
      </c>
      <c r="E1267" s="44" t="s">
        <v>2258</v>
      </c>
      <c r="F1267" s="38" t="s">
        <v>2058</v>
      </c>
      <c r="G1267" s="45">
        <v>4000</v>
      </c>
      <c r="H1267" s="45">
        <v>24</v>
      </c>
    </row>
    <row r="1268" spans="1:8">
      <c r="A1268" s="78">
        <v>130384380875</v>
      </c>
      <c r="B1268" s="1" t="s">
        <v>8</v>
      </c>
      <c r="C1268" s="44" t="s">
        <v>2258</v>
      </c>
      <c r="D1268" s="1" t="s">
        <v>2057</v>
      </c>
      <c r="E1268" s="44" t="s">
        <v>2258</v>
      </c>
      <c r="F1268" s="38" t="s">
        <v>2058</v>
      </c>
      <c r="G1268" s="45">
        <v>4800</v>
      </c>
      <c r="H1268" s="45">
        <v>28.8</v>
      </c>
    </row>
    <row r="1269" spans="1:8">
      <c r="A1269" s="78">
        <v>130384308007</v>
      </c>
      <c r="B1269" s="1" t="s">
        <v>8</v>
      </c>
      <c r="C1269" s="44" t="s">
        <v>2258</v>
      </c>
      <c r="D1269" s="1" t="s">
        <v>2057</v>
      </c>
      <c r="E1269" s="44" t="s">
        <v>2258</v>
      </c>
      <c r="F1269" s="38" t="s">
        <v>2058</v>
      </c>
      <c r="G1269" s="45">
        <v>4000</v>
      </c>
      <c r="H1269" s="45">
        <v>24</v>
      </c>
    </row>
    <row r="1270" spans="1:8">
      <c r="A1270" s="78">
        <v>130385473309</v>
      </c>
      <c r="B1270" s="1" t="s">
        <v>8</v>
      </c>
      <c r="C1270" s="44" t="s">
        <v>2258</v>
      </c>
      <c r="D1270" s="1" t="s">
        <v>2057</v>
      </c>
      <c r="E1270" s="44" t="s">
        <v>2258</v>
      </c>
      <c r="F1270" s="38" t="s">
        <v>2058</v>
      </c>
      <c r="G1270" s="45">
        <v>5500</v>
      </c>
      <c r="H1270" s="45">
        <v>33</v>
      </c>
    </row>
    <row r="1271" spans="1:8">
      <c r="A1271" s="78">
        <v>130385616989</v>
      </c>
      <c r="B1271" s="1" t="s">
        <v>8</v>
      </c>
      <c r="C1271" s="44" t="s">
        <v>2258</v>
      </c>
      <c r="D1271" s="1" t="s">
        <v>2057</v>
      </c>
      <c r="E1271" s="44" t="s">
        <v>2258</v>
      </c>
      <c r="F1271" s="38" t="s">
        <v>2058</v>
      </c>
      <c r="G1271" s="45">
        <v>26600</v>
      </c>
      <c r="H1271" s="45">
        <v>159.6</v>
      </c>
    </row>
    <row r="1272" spans="1:8">
      <c r="A1272" s="78">
        <v>130385928447</v>
      </c>
      <c r="B1272" s="1" t="s">
        <v>8</v>
      </c>
      <c r="C1272" s="44" t="s">
        <v>2258</v>
      </c>
      <c r="D1272" s="1" t="s">
        <v>2057</v>
      </c>
      <c r="E1272" s="44" t="s">
        <v>2258</v>
      </c>
      <c r="F1272" s="38" t="s">
        <v>2058</v>
      </c>
      <c r="G1272" s="45">
        <v>33500</v>
      </c>
      <c r="H1272" s="45">
        <v>201</v>
      </c>
    </row>
    <row r="1273" spans="1:8">
      <c r="A1273" s="78">
        <v>131007744612</v>
      </c>
      <c r="B1273" s="1" t="s">
        <v>8</v>
      </c>
      <c r="C1273" s="44" t="s">
        <v>2258</v>
      </c>
      <c r="D1273" s="1" t="s">
        <v>2057</v>
      </c>
      <c r="E1273" s="44" t="s">
        <v>2258</v>
      </c>
      <c r="F1273" s="38" t="s">
        <v>2058</v>
      </c>
      <c r="G1273" s="45">
        <v>303600</v>
      </c>
      <c r="H1273" s="45">
        <v>1821.6</v>
      </c>
    </row>
    <row r="1274" spans="1:8">
      <c r="A1274" s="78">
        <v>131007519350</v>
      </c>
      <c r="B1274" s="1" t="s">
        <v>8</v>
      </c>
      <c r="C1274" s="44" t="s">
        <v>2258</v>
      </c>
      <c r="D1274" s="1" t="s">
        <v>2057</v>
      </c>
      <c r="E1274" s="44" t="s">
        <v>2258</v>
      </c>
      <c r="F1274" s="38" t="s">
        <v>2058</v>
      </c>
      <c r="G1274" s="45">
        <v>449212.33</v>
      </c>
      <c r="H1274" s="45">
        <v>2695.27</v>
      </c>
    </row>
    <row r="1275" spans="1:8">
      <c r="A1275" s="78" t="s">
        <v>2264</v>
      </c>
      <c r="B1275" s="1" t="s">
        <v>8</v>
      </c>
      <c r="C1275" s="44" t="s">
        <v>2258</v>
      </c>
      <c r="D1275" s="1" t="s">
        <v>2057</v>
      </c>
      <c r="E1275" s="44" t="s">
        <v>2258</v>
      </c>
      <c r="F1275" s="38" t="s">
        <v>2058</v>
      </c>
      <c r="G1275" s="45">
        <v>22400.01</v>
      </c>
      <c r="H1275" s="45">
        <v>134.4</v>
      </c>
    </row>
    <row r="1276" spans="1:8">
      <c r="A1276" s="78">
        <v>131021496516</v>
      </c>
      <c r="B1276" s="1" t="s">
        <v>2265</v>
      </c>
      <c r="C1276" s="44" t="s">
        <v>2258</v>
      </c>
      <c r="D1276" s="1" t="s">
        <v>2057</v>
      </c>
      <c r="E1276" s="44" t="s">
        <v>2258</v>
      </c>
      <c r="F1276" s="38" t="s">
        <v>2058</v>
      </c>
      <c r="G1276" s="45">
        <v>372000</v>
      </c>
      <c r="H1276" s="45">
        <v>2232</v>
      </c>
    </row>
    <row r="1277" spans="1:8">
      <c r="A1277" s="78">
        <v>131071540454</v>
      </c>
      <c r="B1277" s="1" t="s">
        <v>8</v>
      </c>
      <c r="C1277" s="44" t="s">
        <v>2258</v>
      </c>
      <c r="D1277" s="1" t="s">
        <v>2057</v>
      </c>
      <c r="E1277" s="44" t="s">
        <v>2258</v>
      </c>
      <c r="F1277" s="38" t="s">
        <v>2058</v>
      </c>
      <c r="G1277" s="45">
        <v>8000</v>
      </c>
      <c r="H1277" s="45">
        <v>48</v>
      </c>
    </row>
    <row r="1278" spans="1:8">
      <c r="A1278" s="78">
        <v>130485510525</v>
      </c>
      <c r="B1278" s="1" t="s">
        <v>8</v>
      </c>
      <c r="C1278" s="44" t="s">
        <v>2258</v>
      </c>
      <c r="D1278" s="1" t="s">
        <v>2057</v>
      </c>
      <c r="E1278" s="44" t="s">
        <v>2258</v>
      </c>
      <c r="F1278" s="38" t="s">
        <v>2058</v>
      </c>
      <c r="G1278" s="45">
        <v>4900</v>
      </c>
      <c r="H1278" s="45">
        <v>29.4</v>
      </c>
    </row>
    <row r="1279" spans="1:8">
      <c r="A1279" s="78">
        <v>130487069719</v>
      </c>
      <c r="B1279" s="1" t="s">
        <v>8</v>
      </c>
      <c r="C1279" s="44" t="s">
        <v>2258</v>
      </c>
      <c r="D1279" s="1" t="s">
        <v>2057</v>
      </c>
      <c r="E1279" s="44" t="s">
        <v>2258</v>
      </c>
      <c r="F1279" s="38" t="s">
        <v>2058</v>
      </c>
      <c r="G1279" s="45">
        <v>25800</v>
      </c>
      <c r="H1279" s="45">
        <v>154.80000000000001</v>
      </c>
    </row>
    <row r="1280" spans="1:8">
      <c r="A1280" s="78">
        <v>130491825175</v>
      </c>
      <c r="B1280" s="1" t="s">
        <v>8</v>
      </c>
      <c r="C1280" s="44" t="s">
        <v>2258</v>
      </c>
      <c r="D1280" s="1" t="s">
        <v>2057</v>
      </c>
      <c r="E1280" s="44" t="s">
        <v>2258</v>
      </c>
      <c r="F1280" s="38" t="s">
        <v>2058</v>
      </c>
      <c r="G1280" s="45">
        <v>23850</v>
      </c>
      <c r="H1280" s="45">
        <v>143.1</v>
      </c>
    </row>
    <row r="1281" spans="1:8">
      <c r="A1281" s="78">
        <v>130491895093</v>
      </c>
      <c r="B1281" s="1" t="s">
        <v>2266</v>
      </c>
      <c r="C1281" s="44" t="s">
        <v>2258</v>
      </c>
      <c r="D1281" s="1" t="s">
        <v>2057</v>
      </c>
      <c r="E1281" s="44" t="s">
        <v>2258</v>
      </c>
      <c r="F1281" s="38" t="s">
        <v>2058</v>
      </c>
      <c r="G1281" s="45">
        <v>2385</v>
      </c>
      <c r="H1281" s="45">
        <v>14.31</v>
      </c>
    </row>
    <row r="1282" spans="1:8">
      <c r="A1282" s="78">
        <v>131078679332</v>
      </c>
      <c r="B1282" s="1" t="s">
        <v>8</v>
      </c>
      <c r="C1282" s="44" t="s">
        <v>2258</v>
      </c>
      <c r="D1282" s="1" t="s">
        <v>2057</v>
      </c>
      <c r="E1282" s="44" t="s">
        <v>2258</v>
      </c>
      <c r="F1282" s="38" t="s">
        <v>2058</v>
      </c>
      <c r="G1282" s="45">
        <v>17000</v>
      </c>
      <c r="H1282" s="45">
        <v>102</v>
      </c>
    </row>
    <row r="1283" spans="1:8">
      <c r="A1283" s="78">
        <v>131080543782</v>
      </c>
      <c r="B1283" s="1" t="s">
        <v>2267</v>
      </c>
      <c r="C1283" s="44" t="s">
        <v>2258</v>
      </c>
      <c r="D1283" s="1" t="s">
        <v>2057</v>
      </c>
      <c r="E1283" s="44" t="s">
        <v>2258</v>
      </c>
      <c r="F1283" s="38" t="s">
        <v>2058</v>
      </c>
      <c r="G1283" s="45">
        <v>1440</v>
      </c>
      <c r="H1283" s="45">
        <v>8.64</v>
      </c>
    </row>
    <row r="1284" spans="1:8">
      <c r="A1284" s="78">
        <v>131080816358</v>
      </c>
      <c r="B1284" s="1" t="s">
        <v>8</v>
      </c>
      <c r="C1284" s="44" t="s">
        <v>2258</v>
      </c>
      <c r="D1284" s="1" t="s">
        <v>2057</v>
      </c>
      <c r="E1284" s="44" t="s">
        <v>2258</v>
      </c>
      <c r="F1284" s="38" t="s">
        <v>2058</v>
      </c>
      <c r="G1284" s="45">
        <v>14400</v>
      </c>
      <c r="H1284" s="45">
        <v>86.4</v>
      </c>
    </row>
    <row r="1285" spans="1:8">
      <c r="A1285" s="78">
        <v>130494768229</v>
      </c>
      <c r="B1285" s="1" t="s">
        <v>2055</v>
      </c>
      <c r="C1285" s="44" t="s">
        <v>2258</v>
      </c>
      <c r="D1285" s="1" t="s">
        <v>2057</v>
      </c>
      <c r="E1285" s="44" t="s">
        <v>2258</v>
      </c>
      <c r="F1285" s="38" t="s">
        <v>2058</v>
      </c>
      <c r="G1285" s="45">
        <v>15100</v>
      </c>
      <c r="H1285" s="45">
        <v>90.6</v>
      </c>
    </row>
    <row r="1286" spans="1:8">
      <c r="A1286" s="78">
        <v>130495738913</v>
      </c>
      <c r="B1286" s="1" t="s">
        <v>8</v>
      </c>
      <c r="C1286" s="44" t="s">
        <v>2258</v>
      </c>
      <c r="D1286" s="1" t="s">
        <v>2057</v>
      </c>
      <c r="E1286" s="44" t="s">
        <v>2258</v>
      </c>
      <c r="F1286" s="38" t="s">
        <v>2058</v>
      </c>
      <c r="G1286" s="45">
        <v>4800</v>
      </c>
      <c r="H1286" s="45">
        <v>28.8</v>
      </c>
    </row>
    <row r="1287" spans="1:8">
      <c r="A1287" s="78">
        <v>130496329581</v>
      </c>
      <c r="B1287" s="1" t="s">
        <v>8</v>
      </c>
      <c r="C1287" s="44" t="s">
        <v>2258</v>
      </c>
      <c r="D1287" s="1" t="s">
        <v>2057</v>
      </c>
      <c r="E1287" s="44" t="s">
        <v>2258</v>
      </c>
      <c r="F1287" s="38" t="s">
        <v>2058</v>
      </c>
      <c r="G1287" s="45">
        <v>3000</v>
      </c>
      <c r="H1287" s="45">
        <v>18</v>
      </c>
    </row>
    <row r="1288" spans="1:8">
      <c r="A1288" s="78">
        <v>130496869105</v>
      </c>
      <c r="B1288" s="1" t="s">
        <v>8</v>
      </c>
      <c r="C1288" s="44" t="s">
        <v>2258</v>
      </c>
      <c r="D1288" s="1" t="s">
        <v>2057</v>
      </c>
      <c r="E1288" s="44" t="s">
        <v>2258</v>
      </c>
      <c r="F1288" s="38" t="s">
        <v>2058</v>
      </c>
      <c r="G1288" s="45">
        <v>4800</v>
      </c>
      <c r="H1288" s="45">
        <v>28.8</v>
      </c>
    </row>
    <row r="1289" spans="1:8">
      <c r="A1289" s="78">
        <v>130497206277</v>
      </c>
      <c r="B1289" s="1" t="s">
        <v>8</v>
      </c>
      <c r="C1289" s="44" t="s">
        <v>2258</v>
      </c>
      <c r="D1289" s="1" t="s">
        <v>2057</v>
      </c>
      <c r="E1289" s="44" t="s">
        <v>2258</v>
      </c>
      <c r="F1289" s="38" t="s">
        <v>2058</v>
      </c>
      <c r="G1289" s="45">
        <v>14400</v>
      </c>
      <c r="H1289" s="45">
        <v>86.4</v>
      </c>
    </row>
    <row r="1290" spans="1:8">
      <c r="A1290" s="78">
        <v>131084590632</v>
      </c>
      <c r="B1290" s="1" t="s">
        <v>2055</v>
      </c>
      <c r="C1290" s="44" t="s">
        <v>2258</v>
      </c>
      <c r="D1290" s="1" t="s">
        <v>2057</v>
      </c>
      <c r="E1290" s="44" t="s">
        <v>2258</v>
      </c>
      <c r="F1290" s="38" t="s">
        <v>2058</v>
      </c>
      <c r="G1290" s="45">
        <v>82700</v>
      </c>
      <c r="H1290" s="45">
        <v>496.2</v>
      </c>
    </row>
    <row r="1291" spans="1:8">
      <c r="A1291" s="78">
        <v>131084662508</v>
      </c>
      <c r="B1291" s="1" t="s">
        <v>8</v>
      </c>
      <c r="C1291" s="44" t="s">
        <v>2258</v>
      </c>
      <c r="D1291" s="1" t="s">
        <v>2057</v>
      </c>
      <c r="E1291" s="44" t="s">
        <v>2258</v>
      </c>
      <c r="F1291" s="38" t="s">
        <v>2058</v>
      </c>
      <c r="G1291" s="45">
        <v>8000</v>
      </c>
      <c r="H1291" s="45">
        <v>48</v>
      </c>
    </row>
    <row r="1292" spans="1:8">
      <c r="A1292" s="78">
        <v>130498159109</v>
      </c>
      <c r="B1292" s="1" t="s">
        <v>2268</v>
      </c>
      <c r="C1292" s="44" t="s">
        <v>2258</v>
      </c>
      <c r="D1292" s="1" t="s">
        <v>2057</v>
      </c>
      <c r="E1292" s="44" t="s">
        <v>2258</v>
      </c>
      <c r="F1292" s="38" t="s">
        <v>2058</v>
      </c>
      <c r="G1292" s="45">
        <v>400</v>
      </c>
      <c r="H1292" s="45">
        <v>2.4</v>
      </c>
    </row>
    <row r="1293" spans="1:8">
      <c r="A1293" s="78">
        <v>131084747440</v>
      </c>
      <c r="B1293" s="1" t="s">
        <v>8</v>
      </c>
      <c r="C1293" s="44" t="s">
        <v>2258</v>
      </c>
      <c r="D1293" s="1" t="s">
        <v>2057</v>
      </c>
      <c r="E1293" s="44" t="s">
        <v>2258</v>
      </c>
      <c r="F1293" s="38" t="s">
        <v>2058</v>
      </c>
      <c r="G1293" s="45">
        <v>4400</v>
      </c>
      <c r="H1293" s="45">
        <v>26.4</v>
      </c>
    </row>
    <row r="1294" spans="1:8">
      <c r="A1294" s="78">
        <v>130487394525</v>
      </c>
      <c r="B1294" s="1" t="s">
        <v>2269</v>
      </c>
      <c r="C1294" s="44" t="s">
        <v>2258</v>
      </c>
      <c r="D1294" s="1" t="s">
        <v>2057</v>
      </c>
      <c r="E1294" s="44" t="s">
        <v>2258</v>
      </c>
      <c r="F1294" s="38" t="s">
        <v>2058</v>
      </c>
      <c r="G1294" s="45">
        <v>2580</v>
      </c>
      <c r="H1294" s="45">
        <v>15.48</v>
      </c>
    </row>
    <row r="1295" spans="1:8">
      <c r="A1295" s="78">
        <v>130498487107</v>
      </c>
      <c r="B1295" s="1" t="s">
        <v>8</v>
      </c>
      <c r="C1295" s="44" t="s">
        <v>2258</v>
      </c>
      <c r="D1295" s="1" t="s">
        <v>2057</v>
      </c>
      <c r="E1295" s="44" t="s">
        <v>2258</v>
      </c>
      <c r="F1295" s="38" t="s">
        <v>2058</v>
      </c>
      <c r="G1295" s="45">
        <v>8800</v>
      </c>
      <c r="H1295" s="45">
        <v>52.8</v>
      </c>
    </row>
    <row r="1296" spans="1:8">
      <c r="A1296" s="78">
        <v>131074278650</v>
      </c>
      <c r="B1296" s="1" t="s">
        <v>8</v>
      </c>
      <c r="C1296" s="44" t="s">
        <v>2258</v>
      </c>
      <c r="D1296" s="1" t="s">
        <v>2057</v>
      </c>
      <c r="E1296" s="44" t="s">
        <v>2258</v>
      </c>
      <c r="F1296" s="38" t="s">
        <v>2058</v>
      </c>
      <c r="G1296" s="45">
        <v>19200</v>
      </c>
      <c r="H1296" s="45">
        <v>115.2</v>
      </c>
    </row>
    <row r="1297" spans="1:8">
      <c r="A1297" s="78">
        <v>131086444340</v>
      </c>
      <c r="B1297" s="1" t="s">
        <v>8</v>
      </c>
      <c r="C1297" s="44" t="s">
        <v>2258</v>
      </c>
      <c r="D1297" s="1" t="s">
        <v>2057</v>
      </c>
      <c r="E1297" s="44" t="s">
        <v>2258</v>
      </c>
      <c r="F1297" s="38" t="s">
        <v>2058</v>
      </c>
      <c r="G1297" s="45">
        <v>40100</v>
      </c>
      <c r="H1297" s="45">
        <v>240.6</v>
      </c>
    </row>
    <row r="1298" spans="1:8">
      <c r="A1298" s="78">
        <v>131086501014</v>
      </c>
      <c r="B1298" s="1" t="s">
        <v>8</v>
      </c>
      <c r="C1298" s="44" t="s">
        <v>2258</v>
      </c>
      <c r="D1298" s="1" t="s">
        <v>2057</v>
      </c>
      <c r="E1298" s="44" t="s">
        <v>2258</v>
      </c>
      <c r="F1298" s="38" t="s">
        <v>2058</v>
      </c>
      <c r="G1298" s="45">
        <v>18600</v>
      </c>
      <c r="H1298" s="45">
        <v>111.6</v>
      </c>
    </row>
    <row r="1299" spans="1:8">
      <c r="A1299" s="78">
        <v>131076012574</v>
      </c>
      <c r="B1299" s="1" t="s">
        <v>2055</v>
      </c>
      <c r="C1299" s="44" t="s">
        <v>2258</v>
      </c>
      <c r="D1299" s="1" t="s">
        <v>2057</v>
      </c>
      <c r="E1299" s="44" t="s">
        <v>2258</v>
      </c>
      <c r="F1299" s="38" t="s">
        <v>2058</v>
      </c>
      <c r="G1299" s="45">
        <v>2000</v>
      </c>
      <c r="H1299" s="45">
        <v>12</v>
      </c>
    </row>
    <row r="1300" spans="1:8">
      <c r="A1300" s="78">
        <v>131087257486</v>
      </c>
      <c r="B1300" s="1" t="s">
        <v>8</v>
      </c>
      <c r="C1300" s="44" t="s">
        <v>2258</v>
      </c>
      <c r="D1300" s="1" t="s">
        <v>2057</v>
      </c>
      <c r="E1300" s="44" t="s">
        <v>2258</v>
      </c>
      <c r="F1300" s="38" t="s">
        <v>2058</v>
      </c>
      <c r="G1300" s="45">
        <v>4800</v>
      </c>
      <c r="H1300" s="45">
        <v>28.8</v>
      </c>
    </row>
    <row r="1301" spans="1:8">
      <c r="A1301" s="78">
        <v>131088197646</v>
      </c>
      <c r="B1301" s="1" t="s">
        <v>8</v>
      </c>
      <c r="C1301" s="44" t="s">
        <v>2258</v>
      </c>
      <c r="D1301" s="1" t="s">
        <v>2057</v>
      </c>
      <c r="E1301" s="44" t="s">
        <v>2258</v>
      </c>
      <c r="F1301" s="38" t="s">
        <v>2058</v>
      </c>
      <c r="G1301" s="45">
        <v>66900</v>
      </c>
      <c r="H1301" s="45">
        <v>401.4</v>
      </c>
    </row>
    <row r="1302" spans="1:8">
      <c r="A1302" s="78">
        <v>130502296115</v>
      </c>
      <c r="B1302" s="1" t="s">
        <v>8</v>
      </c>
      <c r="C1302" s="44" t="s">
        <v>2258</v>
      </c>
      <c r="D1302" s="1" t="s">
        <v>2057</v>
      </c>
      <c r="E1302" s="44" t="s">
        <v>2258</v>
      </c>
      <c r="F1302" s="38" t="s">
        <v>2058</v>
      </c>
      <c r="G1302" s="45">
        <v>5500</v>
      </c>
      <c r="H1302" s="45">
        <v>33</v>
      </c>
    </row>
    <row r="1303" spans="1:8">
      <c r="A1303" s="78">
        <v>131078727208</v>
      </c>
      <c r="B1303" s="1" t="s">
        <v>2270</v>
      </c>
      <c r="C1303" s="44" t="s">
        <v>2258</v>
      </c>
      <c r="D1303" s="1" t="s">
        <v>2057</v>
      </c>
      <c r="E1303" s="44" t="s">
        <v>2258</v>
      </c>
      <c r="F1303" s="38" t="s">
        <v>2058</v>
      </c>
      <c r="G1303" s="45">
        <v>2550</v>
      </c>
      <c r="H1303" s="45">
        <v>15.3</v>
      </c>
    </row>
    <row r="1304" spans="1:8">
      <c r="A1304" s="78">
        <v>130492403155</v>
      </c>
      <c r="B1304" s="1" t="s">
        <v>2055</v>
      </c>
      <c r="C1304" s="44" t="s">
        <v>2258</v>
      </c>
      <c r="D1304" s="1" t="s">
        <v>2057</v>
      </c>
      <c r="E1304" s="44" t="s">
        <v>2258</v>
      </c>
      <c r="F1304" s="38" t="s">
        <v>2058</v>
      </c>
      <c r="G1304" s="45">
        <v>9600</v>
      </c>
      <c r="H1304" s="45">
        <v>57.6</v>
      </c>
    </row>
    <row r="1305" spans="1:8">
      <c r="A1305" s="78">
        <v>131079257414</v>
      </c>
      <c r="B1305" s="1" t="s">
        <v>2055</v>
      </c>
      <c r="C1305" s="44" t="s">
        <v>2258</v>
      </c>
      <c r="D1305" s="1" t="s">
        <v>2057</v>
      </c>
      <c r="E1305" s="44" t="s">
        <v>2258</v>
      </c>
      <c r="F1305" s="38" t="s">
        <v>2058</v>
      </c>
      <c r="G1305" s="45">
        <v>14400</v>
      </c>
      <c r="H1305" s="45">
        <v>86.4</v>
      </c>
    </row>
    <row r="1306" spans="1:8">
      <c r="A1306" s="78">
        <v>131089712824</v>
      </c>
      <c r="B1306" s="1" t="s">
        <v>2055</v>
      </c>
      <c r="C1306" s="44" t="s">
        <v>2258</v>
      </c>
      <c r="D1306" s="1" t="s">
        <v>2057</v>
      </c>
      <c r="E1306" s="44" t="s">
        <v>2258</v>
      </c>
      <c r="F1306" s="38" t="s">
        <v>2058</v>
      </c>
      <c r="G1306" s="45">
        <v>31400</v>
      </c>
      <c r="H1306" s="45">
        <v>188.4</v>
      </c>
    </row>
    <row r="1307" spans="1:8">
      <c r="A1307" s="78">
        <v>130503293867</v>
      </c>
      <c r="B1307" s="1" t="s">
        <v>2055</v>
      </c>
      <c r="C1307" s="44" t="s">
        <v>2258</v>
      </c>
      <c r="D1307" s="1" t="s">
        <v>2057</v>
      </c>
      <c r="E1307" s="44" t="s">
        <v>2258</v>
      </c>
      <c r="F1307" s="38" t="s">
        <v>2058</v>
      </c>
      <c r="G1307" s="45">
        <v>20000</v>
      </c>
      <c r="H1307" s="45">
        <v>120</v>
      </c>
    </row>
    <row r="1308" spans="1:8">
      <c r="A1308" s="78">
        <v>130504284429</v>
      </c>
      <c r="B1308" s="1" t="s">
        <v>8</v>
      </c>
      <c r="C1308" s="44" t="s">
        <v>2258</v>
      </c>
      <c r="D1308" s="1" t="s">
        <v>2057</v>
      </c>
      <c r="E1308" s="44" t="s">
        <v>2258</v>
      </c>
      <c r="F1308" s="38" t="s">
        <v>2058</v>
      </c>
      <c r="G1308" s="45">
        <v>4700</v>
      </c>
      <c r="H1308" s="45">
        <v>28.2</v>
      </c>
    </row>
    <row r="1309" spans="1:8">
      <c r="A1309" s="78">
        <v>131091206920</v>
      </c>
      <c r="B1309" s="1" t="s">
        <v>8</v>
      </c>
      <c r="C1309" s="44" t="s">
        <v>2258</v>
      </c>
      <c r="D1309" s="1" t="s">
        <v>2057</v>
      </c>
      <c r="E1309" s="44" t="s">
        <v>2258</v>
      </c>
      <c r="F1309" s="38" t="s">
        <v>2058</v>
      </c>
      <c r="G1309" s="45">
        <v>67300</v>
      </c>
      <c r="H1309" s="45">
        <v>403.8</v>
      </c>
    </row>
    <row r="1310" spans="1:8">
      <c r="A1310" s="78">
        <v>130505110651</v>
      </c>
      <c r="B1310" s="1" t="s">
        <v>2055</v>
      </c>
      <c r="C1310" s="44" t="s">
        <v>2258</v>
      </c>
      <c r="D1310" s="1" t="s">
        <v>2057</v>
      </c>
      <c r="E1310" s="44" t="s">
        <v>2258</v>
      </c>
      <c r="F1310" s="38" t="s">
        <v>2058</v>
      </c>
      <c r="G1310" s="45">
        <v>51300</v>
      </c>
      <c r="H1310" s="45">
        <v>307.8</v>
      </c>
    </row>
    <row r="1311" spans="1:8">
      <c r="A1311" s="78">
        <v>131091722710</v>
      </c>
      <c r="B1311" s="1" t="s">
        <v>2055</v>
      </c>
      <c r="C1311" s="44" t="s">
        <v>2258</v>
      </c>
      <c r="D1311" s="1" t="s">
        <v>2057</v>
      </c>
      <c r="E1311" s="44" t="s">
        <v>2258</v>
      </c>
      <c r="F1311" s="38" t="s">
        <v>2058</v>
      </c>
      <c r="G1311" s="45">
        <v>29700</v>
      </c>
      <c r="H1311" s="45">
        <v>178.2</v>
      </c>
    </row>
    <row r="1312" spans="1:8">
      <c r="A1312" s="78">
        <v>130494783229</v>
      </c>
      <c r="B1312" s="1" t="s">
        <v>2055</v>
      </c>
      <c r="C1312" s="44" t="s">
        <v>2258</v>
      </c>
      <c r="D1312" s="1" t="s">
        <v>2057</v>
      </c>
      <c r="E1312" s="44" t="s">
        <v>2258</v>
      </c>
      <c r="F1312" s="38" t="s">
        <v>2058</v>
      </c>
      <c r="G1312" s="45">
        <v>9800</v>
      </c>
      <c r="H1312" s="45">
        <v>58.8</v>
      </c>
    </row>
    <row r="1313" spans="1:8">
      <c r="A1313" s="78">
        <v>131092388010</v>
      </c>
      <c r="B1313" s="1" t="s">
        <v>8</v>
      </c>
      <c r="C1313" s="44" t="s">
        <v>2258</v>
      </c>
      <c r="D1313" s="1" t="s">
        <v>2057</v>
      </c>
      <c r="E1313" s="44" t="s">
        <v>2258</v>
      </c>
      <c r="F1313" s="38" t="s">
        <v>2058</v>
      </c>
      <c r="G1313" s="45">
        <v>16000</v>
      </c>
      <c r="H1313" s="45">
        <v>96</v>
      </c>
    </row>
    <row r="1314" spans="1:8">
      <c r="A1314" s="78">
        <v>131082125710</v>
      </c>
      <c r="B1314" s="1" t="s">
        <v>8</v>
      </c>
      <c r="C1314" s="44" t="s">
        <v>2258</v>
      </c>
      <c r="D1314" s="1" t="s">
        <v>2057</v>
      </c>
      <c r="E1314" s="44" t="s">
        <v>2258</v>
      </c>
      <c r="F1314" s="38" t="s">
        <v>2058</v>
      </c>
      <c r="G1314" s="45">
        <v>4600</v>
      </c>
      <c r="H1314" s="45">
        <v>27.6</v>
      </c>
    </row>
    <row r="1315" spans="1:8">
      <c r="A1315" s="78">
        <v>130506540145</v>
      </c>
      <c r="B1315" s="1" t="s">
        <v>8</v>
      </c>
      <c r="C1315" s="44" t="s">
        <v>2258</v>
      </c>
      <c r="D1315" s="1" t="s">
        <v>2057</v>
      </c>
      <c r="E1315" s="44" t="s">
        <v>2271</v>
      </c>
      <c r="F1315" s="38" t="s">
        <v>2058</v>
      </c>
      <c r="G1315" s="45">
        <v>7200</v>
      </c>
      <c r="H1315" s="45">
        <v>43.2</v>
      </c>
    </row>
    <row r="1316" spans="1:8">
      <c r="A1316" s="78">
        <v>130506520857</v>
      </c>
      <c r="B1316" s="1" t="s">
        <v>8</v>
      </c>
      <c r="C1316" s="44" t="s">
        <v>2258</v>
      </c>
      <c r="D1316" s="1" t="s">
        <v>2057</v>
      </c>
      <c r="E1316" s="44" t="s">
        <v>2271</v>
      </c>
      <c r="F1316" s="38" t="s">
        <v>2058</v>
      </c>
      <c r="G1316" s="45">
        <v>11000</v>
      </c>
      <c r="H1316" s="45">
        <v>66</v>
      </c>
    </row>
    <row r="1317" spans="1:8">
      <c r="A1317" s="78">
        <v>131093307644</v>
      </c>
      <c r="B1317" s="1" t="s">
        <v>8</v>
      </c>
      <c r="C1317" s="44" t="s">
        <v>2258</v>
      </c>
      <c r="D1317" s="1" t="s">
        <v>2057</v>
      </c>
      <c r="E1317" s="44" t="s">
        <v>2271</v>
      </c>
      <c r="F1317" s="38" t="s">
        <v>2058</v>
      </c>
      <c r="G1317" s="45">
        <v>4800</v>
      </c>
      <c r="H1317" s="45">
        <v>28.8</v>
      </c>
    </row>
    <row r="1318" spans="1:8">
      <c r="A1318" s="78">
        <v>130506875805</v>
      </c>
      <c r="B1318" s="1" t="s">
        <v>8</v>
      </c>
      <c r="C1318" s="44" t="s">
        <v>2258</v>
      </c>
      <c r="D1318" s="1" t="s">
        <v>2057</v>
      </c>
      <c r="E1318" s="44" t="s">
        <v>2271</v>
      </c>
      <c r="F1318" s="38" t="s">
        <v>2058</v>
      </c>
      <c r="G1318" s="45">
        <v>25000</v>
      </c>
      <c r="H1318" s="45">
        <v>150</v>
      </c>
    </row>
    <row r="1319" spans="1:8">
      <c r="A1319" s="78">
        <v>131093488060</v>
      </c>
      <c r="B1319" s="1" t="s">
        <v>2055</v>
      </c>
      <c r="C1319" s="44" t="s">
        <v>2258</v>
      </c>
      <c r="D1319" s="1" t="s">
        <v>2057</v>
      </c>
      <c r="E1319" s="44" t="s">
        <v>2271</v>
      </c>
      <c r="F1319" s="38" t="s">
        <v>2058</v>
      </c>
      <c r="G1319" s="45">
        <v>44100</v>
      </c>
      <c r="H1319" s="45">
        <v>264.60000000000002</v>
      </c>
    </row>
    <row r="1320" spans="1:8">
      <c r="A1320" s="78">
        <v>131093724984</v>
      </c>
      <c r="B1320" s="1" t="s">
        <v>8</v>
      </c>
      <c r="C1320" s="44" t="s">
        <v>2258</v>
      </c>
      <c r="D1320" s="1" t="s">
        <v>2057</v>
      </c>
      <c r="E1320" s="44" t="s">
        <v>2271</v>
      </c>
      <c r="F1320" s="38" t="s">
        <v>2058</v>
      </c>
      <c r="G1320" s="45">
        <v>38000</v>
      </c>
      <c r="H1320" s="45">
        <v>228</v>
      </c>
    </row>
    <row r="1321" spans="1:8">
      <c r="A1321" s="78">
        <v>131093866884</v>
      </c>
      <c r="B1321" s="1" t="s">
        <v>8</v>
      </c>
      <c r="C1321" s="44" t="s">
        <v>2258</v>
      </c>
      <c r="D1321" s="1" t="s">
        <v>2057</v>
      </c>
      <c r="E1321" s="44" t="s">
        <v>2271</v>
      </c>
      <c r="F1321" s="38" t="s">
        <v>2058</v>
      </c>
      <c r="G1321" s="45">
        <v>83600</v>
      </c>
      <c r="H1321" s="45">
        <v>501.6</v>
      </c>
    </row>
    <row r="1322" spans="1:8">
      <c r="A1322" s="78">
        <v>131094372322</v>
      </c>
      <c r="B1322" s="1" t="s">
        <v>8</v>
      </c>
      <c r="C1322" s="44" t="s">
        <v>2258</v>
      </c>
      <c r="D1322" s="1" t="s">
        <v>2057</v>
      </c>
      <c r="E1322" s="44" t="s">
        <v>2271</v>
      </c>
      <c r="F1322" s="38" t="s">
        <v>2058</v>
      </c>
      <c r="G1322" s="45">
        <v>27100</v>
      </c>
      <c r="H1322" s="45">
        <v>162.6</v>
      </c>
    </row>
    <row r="1323" spans="1:8">
      <c r="A1323" s="78">
        <v>131094378520</v>
      </c>
      <c r="B1323" s="1" t="s">
        <v>8</v>
      </c>
      <c r="C1323" s="44" t="s">
        <v>2258</v>
      </c>
      <c r="D1323" s="1" t="s">
        <v>2057</v>
      </c>
      <c r="E1323" s="44" t="s">
        <v>2271</v>
      </c>
      <c r="F1323" s="38" t="s">
        <v>2058</v>
      </c>
      <c r="G1323" s="45">
        <v>19150</v>
      </c>
      <c r="H1323" s="45">
        <v>114.9</v>
      </c>
    </row>
    <row r="1324" spans="1:8">
      <c r="A1324" s="78">
        <v>130508048215</v>
      </c>
      <c r="B1324" s="1" t="s">
        <v>2055</v>
      </c>
      <c r="C1324" s="44" t="s">
        <v>2258</v>
      </c>
      <c r="D1324" s="1" t="s">
        <v>2057</v>
      </c>
      <c r="E1324" s="44" t="s">
        <v>2271</v>
      </c>
      <c r="F1324" s="38" t="s">
        <v>2058</v>
      </c>
      <c r="G1324" s="45">
        <v>16300</v>
      </c>
      <c r="H1324" s="45">
        <v>97.8</v>
      </c>
    </row>
    <row r="1325" spans="1:8">
      <c r="A1325" s="78">
        <v>131094616418</v>
      </c>
      <c r="B1325" s="1" t="s">
        <v>8</v>
      </c>
      <c r="C1325" s="44" t="s">
        <v>2258</v>
      </c>
      <c r="D1325" s="1" t="s">
        <v>2057</v>
      </c>
      <c r="E1325" s="44" t="s">
        <v>2271</v>
      </c>
      <c r="F1325" s="38" t="s">
        <v>2058</v>
      </c>
      <c r="G1325" s="45">
        <v>9000</v>
      </c>
      <c r="H1325" s="45">
        <v>54</v>
      </c>
    </row>
    <row r="1326" spans="1:8">
      <c r="A1326" s="78">
        <v>130497161841</v>
      </c>
      <c r="B1326" s="1" t="s">
        <v>8</v>
      </c>
      <c r="C1326" s="44" t="s">
        <v>2258</v>
      </c>
      <c r="D1326" s="1" t="s">
        <v>2057</v>
      </c>
      <c r="E1326" s="44" t="s">
        <v>2258</v>
      </c>
      <c r="F1326" s="38" t="s">
        <v>2058</v>
      </c>
      <c r="G1326" s="45">
        <v>8600</v>
      </c>
      <c r="H1326" s="45">
        <v>51.6</v>
      </c>
    </row>
    <row r="1327" spans="1:8">
      <c r="A1327" s="78">
        <v>131084083926</v>
      </c>
      <c r="B1327" s="1" t="s">
        <v>2055</v>
      </c>
      <c r="C1327" s="44" t="s">
        <v>2258</v>
      </c>
      <c r="D1327" s="1" t="s">
        <v>2057</v>
      </c>
      <c r="E1327" s="44" t="s">
        <v>2258</v>
      </c>
      <c r="F1327" s="38" t="s">
        <v>2058</v>
      </c>
      <c r="G1327" s="45">
        <v>4800</v>
      </c>
      <c r="H1327" s="45">
        <v>28.8</v>
      </c>
    </row>
    <row r="1328" spans="1:8">
      <c r="A1328" s="78">
        <v>131084512264</v>
      </c>
      <c r="B1328" s="1" t="s">
        <v>2055</v>
      </c>
      <c r="C1328" s="44" t="s">
        <v>2258</v>
      </c>
      <c r="D1328" s="1" t="s">
        <v>2057</v>
      </c>
      <c r="E1328" s="44" t="s">
        <v>2258</v>
      </c>
      <c r="F1328" s="38" t="s">
        <v>2058</v>
      </c>
      <c r="G1328" s="45">
        <v>8000</v>
      </c>
      <c r="H1328" s="45">
        <v>48</v>
      </c>
    </row>
    <row r="1329" spans="1:8">
      <c r="A1329" s="78">
        <v>130508778187</v>
      </c>
      <c r="B1329" s="1" t="s">
        <v>8</v>
      </c>
      <c r="C1329" s="44" t="s">
        <v>2258</v>
      </c>
      <c r="D1329" s="1" t="s">
        <v>2057</v>
      </c>
      <c r="E1329" s="44" t="s">
        <v>2271</v>
      </c>
      <c r="F1329" s="38" t="s">
        <v>2058</v>
      </c>
      <c r="G1329" s="45">
        <v>186900</v>
      </c>
      <c r="H1329" s="45">
        <v>1121.4000000000001</v>
      </c>
    </row>
    <row r="1330" spans="1:8">
      <c r="A1330" s="78">
        <v>130508847989</v>
      </c>
      <c r="B1330" s="1" t="s">
        <v>8</v>
      </c>
      <c r="C1330" s="44" t="s">
        <v>2271</v>
      </c>
      <c r="D1330" s="1" t="s">
        <v>2057</v>
      </c>
      <c r="E1330" s="44" t="s">
        <v>2271</v>
      </c>
      <c r="F1330" s="38" t="s">
        <v>2058</v>
      </c>
      <c r="G1330" s="45">
        <v>19250</v>
      </c>
      <c r="H1330" s="45">
        <v>115.5</v>
      </c>
    </row>
    <row r="1331" spans="1:8">
      <c r="A1331" s="78">
        <v>130498345131</v>
      </c>
      <c r="B1331" s="1" t="s">
        <v>8</v>
      </c>
      <c r="C1331" s="44" t="s">
        <v>2258</v>
      </c>
      <c r="D1331" s="1" t="s">
        <v>2057</v>
      </c>
      <c r="E1331" s="44" t="s">
        <v>2258</v>
      </c>
      <c r="F1331" s="38" t="s">
        <v>2058</v>
      </c>
      <c r="G1331" s="45">
        <v>4200</v>
      </c>
      <c r="H1331" s="45">
        <v>25.2</v>
      </c>
    </row>
    <row r="1332" spans="1:8">
      <c r="A1332" s="78">
        <v>130509236797</v>
      </c>
      <c r="B1332" s="1" t="s">
        <v>8</v>
      </c>
      <c r="C1332" s="44" t="s">
        <v>2271</v>
      </c>
      <c r="D1332" s="1" t="s">
        <v>2057</v>
      </c>
      <c r="E1332" s="44" t="s">
        <v>2271</v>
      </c>
      <c r="F1332" s="38" t="s">
        <v>2058</v>
      </c>
      <c r="G1332" s="45">
        <v>8200</v>
      </c>
      <c r="H1332" s="45">
        <v>49.2</v>
      </c>
    </row>
    <row r="1333" spans="1:8">
      <c r="A1333" s="78">
        <v>131095647968</v>
      </c>
      <c r="B1333" s="1" t="s">
        <v>8</v>
      </c>
      <c r="C1333" s="44" t="s">
        <v>2271</v>
      </c>
      <c r="D1333" s="1" t="s">
        <v>2057</v>
      </c>
      <c r="E1333" s="44" t="s">
        <v>2271</v>
      </c>
      <c r="F1333" s="38" t="s">
        <v>2058</v>
      </c>
      <c r="G1333" s="45">
        <v>16500</v>
      </c>
      <c r="H1333" s="45">
        <v>99</v>
      </c>
    </row>
    <row r="1334" spans="1:8">
      <c r="A1334" s="78">
        <v>131095954450</v>
      </c>
      <c r="B1334" s="1" t="s">
        <v>2055</v>
      </c>
      <c r="C1334" s="44" t="s">
        <v>2271</v>
      </c>
      <c r="D1334" s="1" t="s">
        <v>2057</v>
      </c>
      <c r="E1334" s="44" t="s">
        <v>2271</v>
      </c>
      <c r="F1334" s="38" t="s">
        <v>2058</v>
      </c>
      <c r="G1334" s="45">
        <v>24600</v>
      </c>
      <c r="H1334" s="45">
        <v>147.6</v>
      </c>
    </row>
    <row r="1335" spans="1:8">
      <c r="A1335" s="78">
        <v>130509481677</v>
      </c>
      <c r="B1335" s="1" t="s">
        <v>8</v>
      </c>
      <c r="C1335" s="44" t="s">
        <v>2271</v>
      </c>
      <c r="D1335" s="1" t="s">
        <v>2057</v>
      </c>
      <c r="E1335" s="44" t="s">
        <v>2271</v>
      </c>
      <c r="F1335" s="38" t="s">
        <v>2058</v>
      </c>
      <c r="G1335" s="45">
        <v>14400</v>
      </c>
      <c r="H1335" s="45">
        <v>86.4</v>
      </c>
    </row>
    <row r="1336" spans="1:8">
      <c r="A1336" s="78">
        <v>131096174768</v>
      </c>
      <c r="B1336" s="1" t="s">
        <v>8</v>
      </c>
      <c r="C1336" s="44" t="s">
        <v>2271</v>
      </c>
      <c r="D1336" s="1" t="s">
        <v>2057</v>
      </c>
      <c r="E1336" s="44" t="s">
        <v>2271</v>
      </c>
      <c r="F1336" s="38" t="s">
        <v>2058</v>
      </c>
      <c r="G1336" s="45">
        <v>17300</v>
      </c>
      <c r="H1336" s="45">
        <v>103.8</v>
      </c>
    </row>
    <row r="1337" spans="1:8">
      <c r="A1337" s="78">
        <v>131086009404</v>
      </c>
      <c r="B1337" s="1" t="s">
        <v>8</v>
      </c>
      <c r="C1337" s="44" t="s">
        <v>2258</v>
      </c>
      <c r="D1337" s="1" t="s">
        <v>2057</v>
      </c>
      <c r="E1337" s="44" t="s">
        <v>2258</v>
      </c>
      <c r="F1337" s="38" t="s">
        <v>2058</v>
      </c>
      <c r="G1337" s="45">
        <v>4800</v>
      </c>
      <c r="H1337" s="45">
        <v>28.8</v>
      </c>
    </row>
    <row r="1338" spans="1:8">
      <c r="A1338" s="78">
        <v>130499718765</v>
      </c>
      <c r="B1338" s="1" t="s">
        <v>2272</v>
      </c>
      <c r="C1338" s="44" t="s">
        <v>2258</v>
      </c>
      <c r="D1338" s="1" t="s">
        <v>2057</v>
      </c>
      <c r="E1338" s="44" t="s">
        <v>2258</v>
      </c>
      <c r="F1338" s="38" t="s">
        <v>2058</v>
      </c>
      <c r="G1338" s="45">
        <v>600</v>
      </c>
      <c r="H1338" s="45">
        <v>3.6</v>
      </c>
    </row>
    <row r="1339" spans="1:8">
      <c r="A1339" s="78">
        <v>130499575511</v>
      </c>
      <c r="B1339" s="1" t="s">
        <v>8</v>
      </c>
      <c r="C1339" s="44" t="s">
        <v>2258</v>
      </c>
      <c r="D1339" s="1" t="s">
        <v>2057</v>
      </c>
      <c r="E1339" s="44" t="s">
        <v>2258</v>
      </c>
      <c r="F1339" s="38" t="s">
        <v>2058</v>
      </c>
      <c r="G1339" s="45">
        <v>12000</v>
      </c>
      <c r="H1339" s="45">
        <v>72</v>
      </c>
    </row>
    <row r="1340" spans="1:8">
      <c r="A1340" s="78">
        <v>131086304876</v>
      </c>
      <c r="B1340" s="1" t="s">
        <v>8</v>
      </c>
      <c r="C1340" s="44" t="s">
        <v>2258</v>
      </c>
      <c r="D1340" s="1" t="s">
        <v>2057</v>
      </c>
      <c r="E1340" s="44" t="s">
        <v>2258</v>
      </c>
      <c r="F1340" s="38" t="s">
        <v>2058</v>
      </c>
      <c r="G1340" s="45">
        <v>21000</v>
      </c>
      <c r="H1340" s="45">
        <v>126</v>
      </c>
    </row>
    <row r="1341" spans="1:8">
      <c r="A1341" s="78">
        <v>131086678184</v>
      </c>
      <c r="B1341" s="1" t="s">
        <v>8</v>
      </c>
      <c r="C1341" s="44" t="s">
        <v>2258</v>
      </c>
      <c r="D1341" s="1" t="s">
        <v>2057</v>
      </c>
      <c r="E1341" s="44" t="s">
        <v>2258</v>
      </c>
      <c r="F1341" s="38" t="s">
        <v>2058</v>
      </c>
      <c r="G1341" s="45">
        <v>8100</v>
      </c>
      <c r="H1341" s="45">
        <v>48.6</v>
      </c>
    </row>
    <row r="1342" spans="1:8">
      <c r="A1342" s="78">
        <v>131097041416</v>
      </c>
      <c r="B1342" s="1" t="s">
        <v>8</v>
      </c>
      <c r="C1342" s="44" t="s">
        <v>2271</v>
      </c>
      <c r="D1342" s="1" t="s">
        <v>2057</v>
      </c>
      <c r="E1342" s="44" t="s">
        <v>2271</v>
      </c>
      <c r="F1342" s="38" t="s">
        <v>2058</v>
      </c>
      <c r="G1342" s="45">
        <v>91700</v>
      </c>
      <c r="H1342" s="45">
        <v>550.20000000000005</v>
      </c>
    </row>
    <row r="1343" spans="1:8">
      <c r="A1343" s="78">
        <v>131097201364</v>
      </c>
      <c r="B1343" s="1" t="s">
        <v>8</v>
      </c>
      <c r="C1343" s="44" t="s">
        <v>2271</v>
      </c>
      <c r="D1343" s="1" t="s">
        <v>2057</v>
      </c>
      <c r="E1343" s="44" t="s">
        <v>2271</v>
      </c>
      <c r="F1343" s="38" t="s">
        <v>2058</v>
      </c>
      <c r="G1343" s="45">
        <v>4800</v>
      </c>
      <c r="H1343" s="45">
        <v>28.8</v>
      </c>
    </row>
    <row r="1344" spans="1:8">
      <c r="A1344" s="78">
        <v>130510892843</v>
      </c>
      <c r="B1344" s="1" t="s">
        <v>2273</v>
      </c>
      <c r="C1344" s="44" t="s">
        <v>2271</v>
      </c>
      <c r="D1344" s="1" t="s">
        <v>2057</v>
      </c>
      <c r="E1344" s="44" t="s">
        <v>2271</v>
      </c>
      <c r="F1344" s="38" t="s">
        <v>2058</v>
      </c>
      <c r="G1344" s="45">
        <v>860</v>
      </c>
      <c r="H1344" s="45">
        <v>5.16</v>
      </c>
    </row>
    <row r="1345" spans="1:8">
      <c r="A1345" s="78">
        <v>130510701953</v>
      </c>
      <c r="B1345" s="1" t="s">
        <v>2274</v>
      </c>
      <c r="C1345" s="44" t="s">
        <v>2271</v>
      </c>
      <c r="D1345" s="1" t="s">
        <v>2057</v>
      </c>
      <c r="E1345" s="44" t="s">
        <v>2271</v>
      </c>
      <c r="F1345" s="38" t="s">
        <v>2058</v>
      </c>
      <c r="G1345" s="45">
        <v>720</v>
      </c>
      <c r="H1345" s="45">
        <v>4.32</v>
      </c>
    </row>
    <row r="1346" spans="1:8">
      <c r="A1346" s="78">
        <v>130511034159</v>
      </c>
      <c r="B1346" s="1" t="s">
        <v>2055</v>
      </c>
      <c r="C1346" s="44" t="s">
        <v>2271</v>
      </c>
      <c r="D1346" s="1" t="s">
        <v>2057</v>
      </c>
      <c r="E1346" s="44" t="s">
        <v>2271</v>
      </c>
      <c r="F1346" s="38" t="s">
        <v>2058</v>
      </c>
      <c r="G1346" s="45">
        <v>28750</v>
      </c>
      <c r="H1346" s="45">
        <v>172.5</v>
      </c>
    </row>
    <row r="1347" spans="1:8">
      <c r="A1347" s="78">
        <v>130511024259</v>
      </c>
      <c r="B1347" s="1" t="s">
        <v>8</v>
      </c>
      <c r="C1347" s="44" t="s">
        <v>2271</v>
      </c>
      <c r="D1347" s="1" t="s">
        <v>2057</v>
      </c>
      <c r="E1347" s="44" t="s">
        <v>2271</v>
      </c>
      <c r="F1347" s="38" t="s">
        <v>2058</v>
      </c>
      <c r="G1347" s="45">
        <v>22500</v>
      </c>
      <c r="H1347" s="45">
        <v>135</v>
      </c>
    </row>
    <row r="1348" spans="1:8">
      <c r="A1348" s="78">
        <v>131097471030</v>
      </c>
      <c r="B1348" s="1" t="s">
        <v>2055</v>
      </c>
      <c r="C1348" s="44" t="s">
        <v>2271</v>
      </c>
      <c r="D1348" s="1" t="s">
        <v>2057</v>
      </c>
      <c r="E1348" s="44" t="s">
        <v>2271</v>
      </c>
      <c r="F1348" s="38" t="s">
        <v>2058</v>
      </c>
      <c r="G1348" s="45">
        <v>9200</v>
      </c>
      <c r="H1348" s="45">
        <v>55.2</v>
      </c>
    </row>
    <row r="1349" spans="1:8">
      <c r="A1349" s="78">
        <v>130510939873</v>
      </c>
      <c r="B1349" s="1" t="s">
        <v>2055</v>
      </c>
      <c r="C1349" s="44" t="s">
        <v>2271</v>
      </c>
      <c r="D1349" s="1" t="s">
        <v>2057</v>
      </c>
      <c r="E1349" s="44" t="s">
        <v>2271</v>
      </c>
      <c r="F1349" s="38" t="s">
        <v>2058</v>
      </c>
      <c r="G1349" s="45">
        <v>10300</v>
      </c>
      <c r="H1349" s="45">
        <v>61.8</v>
      </c>
    </row>
    <row r="1350" spans="1:8">
      <c r="A1350" s="78">
        <v>130510987923</v>
      </c>
      <c r="B1350" s="1" t="s">
        <v>2055</v>
      </c>
      <c r="C1350" s="44" t="s">
        <v>2271</v>
      </c>
      <c r="D1350" s="1" t="s">
        <v>2057</v>
      </c>
      <c r="E1350" s="44" t="s">
        <v>2271</v>
      </c>
      <c r="F1350" s="38" t="s">
        <v>2058</v>
      </c>
      <c r="G1350" s="45">
        <v>16400</v>
      </c>
      <c r="H1350" s="45">
        <v>98.4</v>
      </c>
    </row>
    <row r="1351" spans="1:8">
      <c r="A1351" s="78">
        <v>130511316897</v>
      </c>
      <c r="B1351" s="1" t="s">
        <v>8</v>
      </c>
      <c r="C1351" s="44" t="s">
        <v>2271</v>
      </c>
      <c r="D1351" s="1" t="s">
        <v>2057</v>
      </c>
      <c r="E1351" s="44" t="s">
        <v>2271</v>
      </c>
      <c r="F1351" s="38" t="s">
        <v>2058</v>
      </c>
      <c r="G1351" s="45">
        <v>24400</v>
      </c>
      <c r="H1351" s="45">
        <v>146.4</v>
      </c>
    </row>
    <row r="1352" spans="1:8">
      <c r="A1352" s="78">
        <v>131088135338</v>
      </c>
      <c r="B1352" s="1" t="s">
        <v>8</v>
      </c>
      <c r="C1352" s="44" t="s">
        <v>2258</v>
      </c>
      <c r="D1352" s="1" t="s">
        <v>2057</v>
      </c>
      <c r="E1352" s="44" t="s">
        <v>2258</v>
      </c>
      <c r="F1352" s="38" t="s">
        <v>2058</v>
      </c>
      <c r="G1352" s="45">
        <v>7900</v>
      </c>
      <c r="H1352" s="45">
        <v>47.4</v>
      </c>
    </row>
    <row r="1353" spans="1:8">
      <c r="A1353" s="78">
        <v>131088652378</v>
      </c>
      <c r="B1353" s="1" t="s">
        <v>8</v>
      </c>
      <c r="C1353" s="44" t="s">
        <v>2258</v>
      </c>
      <c r="D1353" s="1" t="s">
        <v>2057</v>
      </c>
      <c r="E1353" s="44" t="s">
        <v>2258</v>
      </c>
      <c r="F1353" s="38" t="s">
        <v>2058</v>
      </c>
      <c r="G1353" s="45">
        <v>4000</v>
      </c>
      <c r="H1353" s="45">
        <v>24</v>
      </c>
    </row>
    <row r="1354" spans="1:8">
      <c r="A1354" s="78">
        <v>131098306232</v>
      </c>
      <c r="B1354" s="1" t="s">
        <v>8</v>
      </c>
      <c r="C1354" s="44" t="s">
        <v>2271</v>
      </c>
      <c r="D1354" s="1" t="s">
        <v>2057</v>
      </c>
      <c r="E1354" s="44" t="s">
        <v>2271</v>
      </c>
      <c r="F1354" s="38" t="s">
        <v>2058</v>
      </c>
      <c r="G1354" s="45">
        <v>73400</v>
      </c>
      <c r="H1354" s="45">
        <v>440.4</v>
      </c>
    </row>
    <row r="1355" spans="1:8">
      <c r="A1355" s="78">
        <v>130511872803</v>
      </c>
      <c r="B1355" s="1" t="s">
        <v>8</v>
      </c>
      <c r="C1355" s="44" t="s">
        <v>2271</v>
      </c>
      <c r="D1355" s="1" t="s">
        <v>2057</v>
      </c>
      <c r="E1355" s="44" t="s">
        <v>2271</v>
      </c>
      <c r="F1355" s="38" t="s">
        <v>2058</v>
      </c>
      <c r="G1355" s="45">
        <v>19300</v>
      </c>
      <c r="H1355" s="45">
        <v>115.8</v>
      </c>
    </row>
    <row r="1356" spans="1:8">
      <c r="A1356" s="78">
        <v>131089296298</v>
      </c>
      <c r="B1356" s="1" t="s">
        <v>8</v>
      </c>
      <c r="C1356" s="44" t="s">
        <v>2258</v>
      </c>
      <c r="D1356" s="1" t="s">
        <v>2057</v>
      </c>
      <c r="E1356" s="44" t="s">
        <v>2258</v>
      </c>
      <c r="F1356" s="38" t="s">
        <v>2058</v>
      </c>
      <c r="G1356" s="45">
        <v>18300</v>
      </c>
      <c r="H1356" s="45">
        <v>109.8</v>
      </c>
    </row>
    <row r="1357" spans="1:8">
      <c r="A1357" s="78">
        <v>131099034366</v>
      </c>
      <c r="B1357" s="1" t="s">
        <v>8</v>
      </c>
      <c r="C1357" s="44" t="s">
        <v>2271</v>
      </c>
      <c r="D1357" s="1" t="s">
        <v>2057</v>
      </c>
      <c r="E1357" s="44" t="s">
        <v>2271</v>
      </c>
      <c r="F1357" s="38" t="s">
        <v>2058</v>
      </c>
      <c r="G1357" s="45">
        <v>19200</v>
      </c>
      <c r="H1357" s="45">
        <v>115.2</v>
      </c>
    </row>
    <row r="1358" spans="1:8">
      <c r="A1358" s="78">
        <v>131089749914</v>
      </c>
      <c r="B1358" s="1" t="s">
        <v>8</v>
      </c>
      <c r="C1358" s="44" t="s">
        <v>2258</v>
      </c>
      <c r="D1358" s="1" t="s">
        <v>2057</v>
      </c>
      <c r="E1358" s="44" t="s">
        <v>2258</v>
      </c>
      <c r="F1358" s="38" t="s">
        <v>2058</v>
      </c>
      <c r="G1358" s="45">
        <v>15000</v>
      </c>
      <c r="H1358" s="45">
        <v>90</v>
      </c>
    </row>
    <row r="1359" spans="1:8">
      <c r="A1359" s="78">
        <v>130512369709</v>
      </c>
      <c r="B1359" s="1" t="s">
        <v>8</v>
      </c>
      <c r="C1359" s="44" t="s">
        <v>2271</v>
      </c>
      <c r="D1359" s="1" t="s">
        <v>2057</v>
      </c>
      <c r="E1359" s="44" t="s">
        <v>2271</v>
      </c>
      <c r="F1359" s="38" t="s">
        <v>2058</v>
      </c>
      <c r="G1359" s="45">
        <v>4800</v>
      </c>
      <c r="H1359" s="45">
        <v>28.8</v>
      </c>
    </row>
    <row r="1360" spans="1:8">
      <c r="A1360" s="78">
        <v>130503430043</v>
      </c>
      <c r="B1360" s="1" t="s">
        <v>2055</v>
      </c>
      <c r="C1360" s="44" t="s">
        <v>2258</v>
      </c>
      <c r="D1360" s="1" t="s">
        <v>2057</v>
      </c>
      <c r="E1360" s="44" t="s">
        <v>2258</v>
      </c>
      <c r="F1360" s="38" t="s">
        <v>2058</v>
      </c>
      <c r="G1360" s="45">
        <v>8000</v>
      </c>
      <c r="H1360" s="45">
        <v>48</v>
      </c>
    </row>
    <row r="1361" spans="1:8">
      <c r="A1361" s="78">
        <v>130503902335</v>
      </c>
      <c r="B1361" s="1" t="s">
        <v>8</v>
      </c>
      <c r="C1361" s="44" t="s">
        <v>2258</v>
      </c>
      <c r="D1361" s="1" t="s">
        <v>2057</v>
      </c>
      <c r="E1361" s="44" t="s">
        <v>2258</v>
      </c>
      <c r="F1361" s="38" t="s">
        <v>2058</v>
      </c>
      <c r="G1361" s="45">
        <v>24100</v>
      </c>
      <c r="H1361" s="45">
        <v>144.6</v>
      </c>
    </row>
    <row r="1362" spans="1:8">
      <c r="A1362" s="78">
        <v>130512786585</v>
      </c>
      <c r="B1362" s="1" t="s">
        <v>8</v>
      </c>
      <c r="C1362" s="44" t="s">
        <v>2271</v>
      </c>
      <c r="D1362" s="1" t="s">
        <v>2057</v>
      </c>
      <c r="E1362" s="44" t="s">
        <v>2271</v>
      </c>
      <c r="F1362" s="38" t="s">
        <v>2058</v>
      </c>
      <c r="G1362" s="45">
        <v>27200</v>
      </c>
      <c r="H1362" s="45">
        <v>163.19999999999999</v>
      </c>
    </row>
    <row r="1363" spans="1:8">
      <c r="A1363" s="78">
        <v>131099366712</v>
      </c>
      <c r="B1363" s="1" t="s">
        <v>8</v>
      </c>
      <c r="C1363" s="44" t="s">
        <v>2271</v>
      </c>
      <c r="D1363" s="1" t="s">
        <v>2057</v>
      </c>
      <c r="E1363" s="44" t="s">
        <v>2271</v>
      </c>
      <c r="F1363" s="38" t="s">
        <v>2058</v>
      </c>
      <c r="G1363" s="45">
        <v>4000</v>
      </c>
      <c r="H1363" s="45">
        <v>24</v>
      </c>
    </row>
    <row r="1364" spans="1:8">
      <c r="A1364" s="78">
        <v>131090503118</v>
      </c>
      <c r="B1364" s="1" t="s">
        <v>8</v>
      </c>
      <c r="C1364" s="44" t="s">
        <v>2258</v>
      </c>
      <c r="D1364" s="1" t="s">
        <v>2057</v>
      </c>
      <c r="E1364" s="44" t="s">
        <v>2258</v>
      </c>
      <c r="F1364" s="38" t="s">
        <v>2058</v>
      </c>
      <c r="G1364" s="45">
        <v>12000</v>
      </c>
      <c r="H1364" s="45">
        <v>72</v>
      </c>
    </row>
    <row r="1365" spans="1:8">
      <c r="A1365" s="78">
        <v>130504289461</v>
      </c>
      <c r="B1365" s="1" t="s">
        <v>8</v>
      </c>
      <c r="C1365" s="44" t="s">
        <v>2258</v>
      </c>
      <c r="D1365" s="1" t="s">
        <v>2057</v>
      </c>
      <c r="E1365" s="44" t="s">
        <v>2258</v>
      </c>
      <c r="F1365" s="38" t="s">
        <v>2058</v>
      </c>
      <c r="G1365" s="45">
        <v>19200</v>
      </c>
      <c r="H1365" s="45">
        <v>115.2</v>
      </c>
    </row>
    <row r="1366" spans="1:8">
      <c r="A1366" s="78">
        <v>131090844954</v>
      </c>
      <c r="B1366" s="1" t="s">
        <v>2275</v>
      </c>
      <c r="C1366" s="44" t="s">
        <v>2258</v>
      </c>
      <c r="D1366" s="1" t="s">
        <v>2057</v>
      </c>
      <c r="E1366" s="44" t="s">
        <v>2258</v>
      </c>
      <c r="F1366" s="38" t="s">
        <v>2058</v>
      </c>
      <c r="G1366" s="45">
        <v>1920</v>
      </c>
      <c r="H1366" s="45">
        <v>11.52</v>
      </c>
    </row>
    <row r="1367" spans="1:8">
      <c r="A1367" s="78">
        <v>131099810152</v>
      </c>
      <c r="B1367" s="1" t="s">
        <v>2055</v>
      </c>
      <c r="C1367" s="44" t="s">
        <v>2271</v>
      </c>
      <c r="D1367" s="1" t="s">
        <v>2057</v>
      </c>
      <c r="E1367" s="44" t="s">
        <v>2271</v>
      </c>
      <c r="F1367" s="38" t="s">
        <v>2058</v>
      </c>
      <c r="G1367" s="45">
        <v>22000</v>
      </c>
      <c r="H1367" s="45">
        <v>132</v>
      </c>
    </row>
    <row r="1368" spans="1:8">
      <c r="A1368" s="78">
        <v>130505317979</v>
      </c>
      <c r="B1368" s="1" t="s">
        <v>8</v>
      </c>
      <c r="C1368" s="44" t="s">
        <v>2258</v>
      </c>
      <c r="D1368" s="1" t="s">
        <v>2057</v>
      </c>
      <c r="E1368" s="44" t="s">
        <v>2258</v>
      </c>
      <c r="F1368" s="38" t="s">
        <v>2058</v>
      </c>
      <c r="G1368" s="45">
        <v>14400</v>
      </c>
      <c r="H1368" s="45">
        <v>86.4</v>
      </c>
    </row>
    <row r="1369" spans="1:8">
      <c r="A1369" s="78">
        <v>130513557473</v>
      </c>
      <c r="B1369" s="1" t="s">
        <v>8</v>
      </c>
      <c r="C1369" s="44" t="s">
        <v>2271</v>
      </c>
      <c r="D1369" s="1" t="s">
        <v>2057</v>
      </c>
      <c r="E1369" s="44" t="s">
        <v>2271</v>
      </c>
      <c r="F1369" s="38" t="s">
        <v>2058</v>
      </c>
      <c r="G1369" s="45">
        <v>59000</v>
      </c>
      <c r="H1369" s="45">
        <v>354</v>
      </c>
    </row>
    <row r="1370" spans="1:8">
      <c r="A1370" s="78">
        <v>131092165922</v>
      </c>
      <c r="B1370" s="1" t="s">
        <v>8</v>
      </c>
      <c r="C1370" s="44" t="s">
        <v>2258</v>
      </c>
      <c r="D1370" s="1" t="s">
        <v>2057</v>
      </c>
      <c r="E1370" s="44" t="s">
        <v>2258</v>
      </c>
      <c r="F1370" s="38" t="s">
        <v>2058</v>
      </c>
      <c r="G1370" s="45">
        <v>13800</v>
      </c>
      <c r="H1370" s="45">
        <v>82.8</v>
      </c>
    </row>
    <row r="1371" spans="1:8">
      <c r="A1371" s="78">
        <v>130505544007</v>
      </c>
      <c r="B1371" s="1" t="s">
        <v>8</v>
      </c>
      <c r="C1371" s="44" t="s">
        <v>2258</v>
      </c>
      <c r="D1371" s="1" t="s">
        <v>2057</v>
      </c>
      <c r="E1371" s="44" t="s">
        <v>2258</v>
      </c>
      <c r="F1371" s="38" t="s">
        <v>2058</v>
      </c>
      <c r="G1371" s="45">
        <v>4800</v>
      </c>
      <c r="H1371" s="45">
        <v>28.8</v>
      </c>
    </row>
    <row r="1372" spans="1:8">
      <c r="A1372" s="78">
        <v>131092700948</v>
      </c>
      <c r="B1372" s="1" t="s">
        <v>8</v>
      </c>
      <c r="C1372" s="44" t="s">
        <v>2258</v>
      </c>
      <c r="D1372" s="1" t="s">
        <v>2057</v>
      </c>
      <c r="E1372" s="44" t="s">
        <v>2258</v>
      </c>
      <c r="F1372" s="38" t="s">
        <v>2058</v>
      </c>
      <c r="G1372" s="45">
        <v>20000</v>
      </c>
      <c r="H1372" s="45">
        <v>120</v>
      </c>
    </row>
    <row r="1373" spans="1:8">
      <c r="A1373" s="78">
        <v>131093035938</v>
      </c>
      <c r="B1373" s="1" t="s">
        <v>8</v>
      </c>
      <c r="C1373" s="44" t="s">
        <v>2258</v>
      </c>
      <c r="D1373" s="1" t="s">
        <v>2057</v>
      </c>
      <c r="E1373" s="44" t="s">
        <v>2271</v>
      </c>
      <c r="F1373" s="38" t="s">
        <v>2058</v>
      </c>
      <c r="G1373" s="45">
        <v>9500</v>
      </c>
      <c r="H1373" s="45">
        <v>57</v>
      </c>
    </row>
    <row r="1374" spans="1:8">
      <c r="A1374" s="78">
        <v>130506636747</v>
      </c>
      <c r="B1374" s="1" t="s">
        <v>8</v>
      </c>
      <c r="C1374" s="44" t="s">
        <v>2258</v>
      </c>
      <c r="D1374" s="1" t="s">
        <v>2057</v>
      </c>
      <c r="E1374" s="44" t="s">
        <v>2271</v>
      </c>
      <c r="F1374" s="38" t="s">
        <v>2058</v>
      </c>
      <c r="G1374" s="45">
        <v>7200</v>
      </c>
      <c r="H1374" s="45">
        <v>43.2</v>
      </c>
    </row>
    <row r="1375" spans="1:8">
      <c r="A1375" s="78">
        <v>130506543981</v>
      </c>
      <c r="B1375" s="1" t="s">
        <v>2055</v>
      </c>
      <c r="C1375" s="44" t="s">
        <v>2258</v>
      </c>
      <c r="D1375" s="1" t="s">
        <v>2057</v>
      </c>
      <c r="E1375" s="44" t="s">
        <v>2271</v>
      </c>
      <c r="F1375" s="38" t="s">
        <v>2058</v>
      </c>
      <c r="G1375" s="45">
        <v>36200</v>
      </c>
      <c r="H1375" s="45">
        <v>217.2</v>
      </c>
    </row>
    <row r="1376" spans="1:8">
      <c r="A1376" s="78">
        <v>130507452383</v>
      </c>
      <c r="B1376" s="1" t="s">
        <v>2055</v>
      </c>
      <c r="C1376" s="44" t="s">
        <v>2258</v>
      </c>
      <c r="D1376" s="1" t="s">
        <v>2057</v>
      </c>
      <c r="E1376" s="44" t="s">
        <v>2271</v>
      </c>
      <c r="F1376" s="38" t="s">
        <v>2058</v>
      </c>
      <c r="G1376" s="45">
        <v>153500</v>
      </c>
      <c r="H1376" s="45">
        <v>921</v>
      </c>
    </row>
    <row r="1377" spans="1:8">
      <c r="A1377" s="78">
        <v>131094045138</v>
      </c>
      <c r="B1377" s="1" t="s">
        <v>8</v>
      </c>
      <c r="C1377" s="44" t="s">
        <v>2258</v>
      </c>
      <c r="D1377" s="1" t="s">
        <v>2057</v>
      </c>
      <c r="E1377" s="44" t="s">
        <v>2271</v>
      </c>
      <c r="F1377" s="38" t="s">
        <v>2058</v>
      </c>
      <c r="G1377" s="45">
        <v>27800</v>
      </c>
      <c r="H1377" s="45">
        <v>166.8</v>
      </c>
    </row>
    <row r="1378" spans="1:8">
      <c r="A1378" s="78">
        <v>130507633683</v>
      </c>
      <c r="B1378" s="1" t="s">
        <v>8</v>
      </c>
      <c r="C1378" s="44" t="s">
        <v>2258</v>
      </c>
      <c r="D1378" s="1" t="s">
        <v>2057</v>
      </c>
      <c r="E1378" s="44" t="s">
        <v>2271</v>
      </c>
      <c r="F1378" s="38" t="s">
        <v>2058</v>
      </c>
      <c r="G1378" s="45">
        <v>54200</v>
      </c>
      <c r="H1378" s="45">
        <v>325.2</v>
      </c>
    </row>
    <row r="1379" spans="1:8">
      <c r="A1379" s="78">
        <v>130507917861</v>
      </c>
      <c r="B1379" s="1" t="s">
        <v>8</v>
      </c>
      <c r="C1379" s="44" t="s">
        <v>2258</v>
      </c>
      <c r="D1379" s="1" t="s">
        <v>2057</v>
      </c>
      <c r="E1379" s="44" t="s">
        <v>2271</v>
      </c>
      <c r="F1379" s="38" t="s">
        <v>2058</v>
      </c>
      <c r="G1379" s="45">
        <v>9000</v>
      </c>
      <c r="H1379" s="45">
        <v>54</v>
      </c>
    </row>
    <row r="1380" spans="1:8">
      <c r="A1380" s="78">
        <v>130508136391</v>
      </c>
      <c r="B1380" s="1" t="s">
        <v>2276</v>
      </c>
      <c r="C1380" s="44" t="s">
        <v>2258</v>
      </c>
      <c r="D1380" s="1" t="s">
        <v>2057</v>
      </c>
      <c r="E1380" s="44" t="s">
        <v>2271</v>
      </c>
      <c r="F1380" s="38" t="s">
        <v>2058</v>
      </c>
      <c r="G1380" s="45">
        <v>450</v>
      </c>
      <c r="H1380" s="45">
        <v>2.7</v>
      </c>
    </row>
    <row r="1381" spans="1:8">
      <c r="A1381" s="78">
        <v>130508269613</v>
      </c>
      <c r="B1381" s="1" t="s">
        <v>8</v>
      </c>
      <c r="C1381" s="44" t="s">
        <v>2258</v>
      </c>
      <c r="D1381" s="1" t="s">
        <v>2057</v>
      </c>
      <c r="E1381" s="44" t="s">
        <v>2271</v>
      </c>
      <c r="F1381" s="38" t="s">
        <v>2058</v>
      </c>
      <c r="G1381" s="45">
        <v>16600</v>
      </c>
      <c r="H1381" s="45">
        <v>99.6</v>
      </c>
    </row>
    <row r="1382" spans="1:8">
      <c r="A1382" s="78">
        <v>130508474545</v>
      </c>
      <c r="B1382" s="1" t="s">
        <v>8</v>
      </c>
      <c r="C1382" s="44" t="s">
        <v>2258</v>
      </c>
      <c r="D1382" s="1" t="s">
        <v>2057</v>
      </c>
      <c r="E1382" s="44" t="s">
        <v>2271</v>
      </c>
      <c r="F1382" s="38" t="s">
        <v>2058</v>
      </c>
      <c r="G1382" s="45">
        <v>168800</v>
      </c>
      <c r="H1382" s="45">
        <v>1012.8</v>
      </c>
    </row>
    <row r="1383" spans="1:8">
      <c r="A1383" s="78">
        <v>130508519393</v>
      </c>
      <c r="B1383" s="1" t="s">
        <v>2055</v>
      </c>
      <c r="C1383" s="44" t="s">
        <v>2258</v>
      </c>
      <c r="D1383" s="1" t="s">
        <v>2057</v>
      </c>
      <c r="E1383" s="44" t="s">
        <v>2271</v>
      </c>
      <c r="F1383" s="38" t="s">
        <v>2058</v>
      </c>
      <c r="G1383" s="45">
        <v>15200</v>
      </c>
      <c r="H1383" s="45">
        <v>91.2</v>
      </c>
    </row>
    <row r="1384" spans="1:8">
      <c r="A1384" s="78">
        <v>130508644291</v>
      </c>
      <c r="B1384" s="1" t="s">
        <v>8</v>
      </c>
      <c r="C1384" s="44" t="s">
        <v>2258</v>
      </c>
      <c r="D1384" s="1" t="s">
        <v>2057</v>
      </c>
      <c r="E1384" s="44" t="s">
        <v>2271</v>
      </c>
      <c r="F1384" s="38" t="s">
        <v>2058</v>
      </c>
      <c r="G1384" s="45">
        <v>32300</v>
      </c>
      <c r="H1384" s="45">
        <v>193.8</v>
      </c>
    </row>
    <row r="1385" spans="1:8">
      <c r="A1385" s="78">
        <v>130508600809</v>
      </c>
      <c r="B1385" s="1" t="s">
        <v>2277</v>
      </c>
      <c r="C1385" s="44" t="s">
        <v>2258</v>
      </c>
      <c r="D1385" s="1" t="s">
        <v>2057</v>
      </c>
      <c r="E1385" s="44" t="s">
        <v>2271</v>
      </c>
      <c r="F1385" s="38" t="s">
        <v>2058</v>
      </c>
      <c r="G1385" s="45">
        <v>3230</v>
      </c>
      <c r="H1385" s="45">
        <v>19.38</v>
      </c>
    </row>
    <row r="1386" spans="1:8">
      <c r="A1386" s="78">
        <v>130508658823</v>
      </c>
      <c r="B1386" s="1" t="s">
        <v>8</v>
      </c>
      <c r="C1386" s="44" t="s">
        <v>2258</v>
      </c>
      <c r="D1386" s="1" t="s">
        <v>2057</v>
      </c>
      <c r="E1386" s="44" t="s">
        <v>2271</v>
      </c>
      <c r="F1386" s="38" t="s">
        <v>2058</v>
      </c>
      <c r="G1386" s="45">
        <v>19200</v>
      </c>
      <c r="H1386" s="45">
        <v>115.2</v>
      </c>
    </row>
    <row r="1387" spans="1:8">
      <c r="A1387" s="78">
        <v>131095221900</v>
      </c>
      <c r="B1387" s="1" t="s">
        <v>8</v>
      </c>
      <c r="C1387" s="44" t="s">
        <v>2258</v>
      </c>
      <c r="D1387" s="1" t="s">
        <v>2057</v>
      </c>
      <c r="E1387" s="44" t="s">
        <v>2271</v>
      </c>
      <c r="F1387" s="38" t="s">
        <v>2058</v>
      </c>
      <c r="G1387" s="45">
        <v>15100</v>
      </c>
      <c r="H1387" s="45">
        <v>90.6</v>
      </c>
    </row>
    <row r="1388" spans="1:8">
      <c r="A1388" s="78">
        <v>131095368770</v>
      </c>
      <c r="B1388" s="1" t="s">
        <v>2055</v>
      </c>
      <c r="C1388" s="44" t="s">
        <v>2258</v>
      </c>
      <c r="D1388" s="1" t="s">
        <v>2057</v>
      </c>
      <c r="E1388" s="44" t="s">
        <v>2271</v>
      </c>
      <c r="F1388" s="38" t="s">
        <v>2058</v>
      </c>
      <c r="G1388" s="45">
        <v>11900</v>
      </c>
      <c r="H1388" s="45">
        <v>71.400000000000006</v>
      </c>
    </row>
    <row r="1389" spans="1:8">
      <c r="A1389" s="78">
        <v>131095516238</v>
      </c>
      <c r="B1389" s="1" t="s">
        <v>2278</v>
      </c>
      <c r="C1389" s="44" t="s">
        <v>2271</v>
      </c>
      <c r="D1389" s="1" t="s">
        <v>2057</v>
      </c>
      <c r="E1389" s="44" t="s">
        <v>2271</v>
      </c>
      <c r="F1389" s="38" t="s">
        <v>2058</v>
      </c>
      <c r="G1389" s="45">
        <v>1925</v>
      </c>
      <c r="H1389" s="45">
        <v>11.55</v>
      </c>
    </row>
    <row r="1390" spans="1:8">
      <c r="A1390" s="78">
        <v>131095375852</v>
      </c>
      <c r="B1390" s="1" t="s">
        <v>8</v>
      </c>
      <c r="C1390" s="44" t="s">
        <v>2271</v>
      </c>
      <c r="D1390" s="1" t="s">
        <v>2057</v>
      </c>
      <c r="E1390" s="44" t="s">
        <v>2271</v>
      </c>
      <c r="F1390" s="38" t="s">
        <v>2058</v>
      </c>
      <c r="G1390" s="45">
        <v>24000</v>
      </c>
      <c r="H1390" s="45">
        <v>144</v>
      </c>
    </row>
    <row r="1391" spans="1:8">
      <c r="A1391" s="78">
        <v>130509464861</v>
      </c>
      <c r="B1391" s="1" t="s">
        <v>8</v>
      </c>
      <c r="C1391" s="44" t="s">
        <v>2271</v>
      </c>
      <c r="D1391" s="1" t="s">
        <v>2057</v>
      </c>
      <c r="E1391" s="44" t="s">
        <v>2271</v>
      </c>
      <c r="F1391" s="38" t="s">
        <v>2058</v>
      </c>
      <c r="G1391" s="45">
        <v>8800</v>
      </c>
      <c r="H1391" s="45">
        <v>52.8</v>
      </c>
    </row>
    <row r="1392" spans="1:8">
      <c r="A1392" s="78">
        <v>131096089826</v>
      </c>
      <c r="B1392" s="1" t="s">
        <v>8</v>
      </c>
      <c r="C1392" s="44" t="s">
        <v>2271</v>
      </c>
      <c r="D1392" s="1" t="s">
        <v>2057</v>
      </c>
      <c r="E1392" s="44" t="s">
        <v>2271</v>
      </c>
      <c r="F1392" s="38" t="s">
        <v>2058</v>
      </c>
      <c r="G1392" s="45">
        <v>9600</v>
      </c>
      <c r="H1392" s="45">
        <v>57.6</v>
      </c>
    </row>
    <row r="1393" spans="1:8">
      <c r="A1393" s="78">
        <v>131096234866</v>
      </c>
      <c r="B1393" s="1" t="s">
        <v>8</v>
      </c>
      <c r="C1393" s="44" t="s">
        <v>2271</v>
      </c>
      <c r="D1393" s="1" t="s">
        <v>2057</v>
      </c>
      <c r="E1393" s="44" t="s">
        <v>2271</v>
      </c>
      <c r="F1393" s="38" t="s">
        <v>2058</v>
      </c>
      <c r="G1393" s="45">
        <v>8000</v>
      </c>
      <c r="H1393" s="45">
        <v>48</v>
      </c>
    </row>
    <row r="1394" spans="1:8">
      <c r="A1394" s="78">
        <v>130509962431</v>
      </c>
      <c r="B1394" s="1" t="s">
        <v>8</v>
      </c>
      <c r="C1394" s="44" t="s">
        <v>2271</v>
      </c>
      <c r="D1394" s="1" t="s">
        <v>2057</v>
      </c>
      <c r="E1394" s="44" t="s">
        <v>2271</v>
      </c>
      <c r="F1394" s="38" t="s">
        <v>2058</v>
      </c>
      <c r="G1394" s="45">
        <v>4800</v>
      </c>
      <c r="H1394" s="45">
        <v>28.8</v>
      </c>
    </row>
    <row r="1395" spans="1:8">
      <c r="A1395" s="78">
        <v>131096447346</v>
      </c>
      <c r="B1395" s="1" t="s">
        <v>8</v>
      </c>
      <c r="C1395" s="44" t="s">
        <v>2271</v>
      </c>
      <c r="D1395" s="1" t="s">
        <v>2057</v>
      </c>
      <c r="E1395" s="44" t="s">
        <v>2271</v>
      </c>
      <c r="F1395" s="38" t="s">
        <v>2058</v>
      </c>
      <c r="G1395" s="45">
        <v>16100</v>
      </c>
      <c r="H1395" s="45">
        <v>96.6</v>
      </c>
    </row>
    <row r="1396" spans="1:8">
      <c r="A1396" s="78">
        <v>130510019279</v>
      </c>
      <c r="B1396" s="1" t="s">
        <v>2055</v>
      </c>
      <c r="C1396" s="44" t="s">
        <v>2271</v>
      </c>
      <c r="D1396" s="1" t="s">
        <v>2057</v>
      </c>
      <c r="E1396" s="44" t="s">
        <v>2271</v>
      </c>
      <c r="F1396" s="38" t="s">
        <v>2058</v>
      </c>
      <c r="G1396" s="45">
        <v>4800</v>
      </c>
      <c r="H1396" s="45">
        <v>28.8</v>
      </c>
    </row>
    <row r="1397" spans="1:8">
      <c r="A1397" s="78">
        <v>131096730214</v>
      </c>
      <c r="B1397" s="1" t="s">
        <v>8</v>
      </c>
      <c r="C1397" s="44" t="s">
        <v>2271</v>
      </c>
      <c r="D1397" s="1" t="s">
        <v>2057</v>
      </c>
      <c r="E1397" s="44" t="s">
        <v>2271</v>
      </c>
      <c r="F1397" s="38" t="s">
        <v>2058</v>
      </c>
      <c r="G1397" s="45">
        <v>4800</v>
      </c>
      <c r="H1397" s="45">
        <v>28.8</v>
      </c>
    </row>
    <row r="1398" spans="1:8">
      <c r="A1398" s="78">
        <v>131096867212</v>
      </c>
      <c r="B1398" s="1" t="s">
        <v>8</v>
      </c>
      <c r="C1398" s="44" t="s">
        <v>2271</v>
      </c>
      <c r="D1398" s="1" t="s">
        <v>2057</v>
      </c>
      <c r="E1398" s="44" t="s">
        <v>2271</v>
      </c>
      <c r="F1398" s="38" t="s">
        <v>2058</v>
      </c>
      <c r="G1398" s="45">
        <v>4800</v>
      </c>
      <c r="H1398" s="45">
        <v>28.8</v>
      </c>
    </row>
    <row r="1399" spans="1:8">
      <c r="A1399" s="78">
        <v>130510711625</v>
      </c>
      <c r="B1399" s="1" t="s">
        <v>8</v>
      </c>
      <c r="C1399" s="44" t="s">
        <v>2271</v>
      </c>
      <c r="D1399" s="1" t="s">
        <v>2057</v>
      </c>
      <c r="E1399" s="44" t="s">
        <v>2271</v>
      </c>
      <c r="F1399" s="38" t="s">
        <v>2058</v>
      </c>
      <c r="G1399" s="45">
        <v>8600</v>
      </c>
      <c r="H1399" s="45">
        <v>51.6</v>
      </c>
    </row>
    <row r="1400" spans="1:8">
      <c r="A1400" s="78">
        <v>130510713801</v>
      </c>
      <c r="B1400" s="1" t="s">
        <v>8</v>
      </c>
      <c r="C1400" s="44" t="s">
        <v>2271</v>
      </c>
      <c r="D1400" s="1" t="s">
        <v>2057</v>
      </c>
      <c r="E1400" s="44" t="s">
        <v>2271</v>
      </c>
      <c r="F1400" s="38" t="s">
        <v>2058</v>
      </c>
      <c r="G1400" s="45">
        <v>4800</v>
      </c>
      <c r="H1400" s="45">
        <v>28.8</v>
      </c>
    </row>
    <row r="1401" spans="1:8">
      <c r="A1401" s="78">
        <v>130511115179</v>
      </c>
      <c r="B1401" s="1" t="s">
        <v>2055</v>
      </c>
      <c r="C1401" s="44" t="s">
        <v>2271</v>
      </c>
      <c r="D1401" s="1" t="s">
        <v>2057</v>
      </c>
      <c r="E1401" s="44" t="s">
        <v>2271</v>
      </c>
      <c r="F1401" s="38" t="s">
        <v>2058</v>
      </c>
      <c r="G1401" s="45">
        <v>15000</v>
      </c>
      <c r="H1401" s="45">
        <v>90</v>
      </c>
    </row>
    <row r="1402" spans="1:8">
      <c r="A1402" s="78">
        <v>131097846962</v>
      </c>
      <c r="B1402" s="1" t="s">
        <v>8</v>
      </c>
      <c r="C1402" s="44" t="s">
        <v>2271</v>
      </c>
      <c r="D1402" s="1" t="s">
        <v>2057</v>
      </c>
      <c r="E1402" s="44" t="s">
        <v>2271</v>
      </c>
      <c r="F1402" s="38" t="s">
        <v>2058</v>
      </c>
      <c r="G1402" s="45">
        <v>11000</v>
      </c>
      <c r="H1402" s="45">
        <v>66</v>
      </c>
    </row>
    <row r="1403" spans="1:8">
      <c r="A1403" s="78">
        <v>130511698427</v>
      </c>
      <c r="B1403" s="1" t="s">
        <v>8</v>
      </c>
      <c r="C1403" s="44" t="s">
        <v>2271</v>
      </c>
      <c r="D1403" s="1" t="s">
        <v>2057</v>
      </c>
      <c r="E1403" s="44" t="s">
        <v>2271</v>
      </c>
      <c r="F1403" s="38" t="s">
        <v>2058</v>
      </c>
      <c r="G1403" s="45">
        <v>17900</v>
      </c>
      <c r="H1403" s="45">
        <v>107.4</v>
      </c>
    </row>
    <row r="1404" spans="1:8">
      <c r="A1404" s="78">
        <v>131098312446</v>
      </c>
      <c r="B1404" s="1" t="s">
        <v>8</v>
      </c>
      <c r="C1404" s="44" t="s">
        <v>2271</v>
      </c>
      <c r="D1404" s="1" t="s">
        <v>2057</v>
      </c>
      <c r="E1404" s="44" t="s">
        <v>2271</v>
      </c>
      <c r="F1404" s="38" t="s">
        <v>2058</v>
      </c>
      <c r="G1404" s="45">
        <v>4500</v>
      </c>
      <c r="H1404" s="45">
        <v>27</v>
      </c>
    </row>
    <row r="1405" spans="1:8">
      <c r="A1405" s="78">
        <v>131098450400</v>
      </c>
      <c r="B1405" s="1" t="s">
        <v>2055</v>
      </c>
      <c r="C1405" s="44" t="s">
        <v>2271</v>
      </c>
      <c r="D1405" s="1" t="s">
        <v>2057</v>
      </c>
      <c r="E1405" s="44" t="s">
        <v>2271</v>
      </c>
      <c r="F1405" s="38" t="s">
        <v>2058</v>
      </c>
      <c r="G1405" s="45">
        <v>4800</v>
      </c>
      <c r="H1405" s="45">
        <v>28.8</v>
      </c>
    </row>
    <row r="1406" spans="1:8">
      <c r="A1406" s="78">
        <v>131098620974</v>
      </c>
      <c r="B1406" s="1" t="s">
        <v>8</v>
      </c>
      <c r="C1406" s="44" t="s">
        <v>2271</v>
      </c>
      <c r="D1406" s="1" t="s">
        <v>2057</v>
      </c>
      <c r="E1406" s="44" t="s">
        <v>2271</v>
      </c>
      <c r="F1406" s="38" t="s">
        <v>2058</v>
      </c>
      <c r="G1406" s="45">
        <v>4400</v>
      </c>
      <c r="H1406" s="45">
        <v>26.4</v>
      </c>
    </row>
    <row r="1407" spans="1:8">
      <c r="A1407" s="78">
        <v>131098699670</v>
      </c>
      <c r="B1407" s="1" t="s">
        <v>2055</v>
      </c>
      <c r="C1407" s="44" t="s">
        <v>2271</v>
      </c>
      <c r="D1407" s="1" t="s">
        <v>2057</v>
      </c>
      <c r="E1407" s="44" t="s">
        <v>2271</v>
      </c>
      <c r="F1407" s="38" t="s">
        <v>2058</v>
      </c>
      <c r="G1407" s="45">
        <v>4000</v>
      </c>
      <c r="H1407" s="45">
        <v>24</v>
      </c>
    </row>
    <row r="1408" spans="1:8">
      <c r="A1408" s="78">
        <v>130512338739</v>
      </c>
      <c r="B1408" s="1" t="s">
        <v>2055</v>
      </c>
      <c r="C1408" s="44" t="s">
        <v>2271</v>
      </c>
      <c r="D1408" s="1" t="s">
        <v>2057</v>
      </c>
      <c r="E1408" s="44" t="s">
        <v>2271</v>
      </c>
      <c r="F1408" s="38" t="s">
        <v>2058</v>
      </c>
      <c r="G1408" s="45">
        <v>96200</v>
      </c>
      <c r="H1408" s="45">
        <v>577.20000000000005</v>
      </c>
    </row>
    <row r="1409" spans="1:8">
      <c r="A1409" s="78">
        <v>130512335019</v>
      </c>
      <c r="B1409" s="1" t="s">
        <v>8</v>
      </c>
      <c r="C1409" s="44" t="s">
        <v>2271</v>
      </c>
      <c r="D1409" s="1" t="s">
        <v>2057</v>
      </c>
      <c r="E1409" s="44" t="s">
        <v>2271</v>
      </c>
      <c r="F1409" s="38" t="s">
        <v>2058</v>
      </c>
      <c r="G1409" s="45">
        <v>9100</v>
      </c>
      <c r="H1409" s="45">
        <v>54.6</v>
      </c>
    </row>
    <row r="1410" spans="1:8">
      <c r="A1410" s="78">
        <v>131098837484</v>
      </c>
      <c r="B1410" s="1" t="s">
        <v>8</v>
      </c>
      <c r="C1410" s="44" t="s">
        <v>2271</v>
      </c>
      <c r="D1410" s="1" t="s">
        <v>2057</v>
      </c>
      <c r="E1410" s="44" t="s">
        <v>2271</v>
      </c>
      <c r="F1410" s="38" t="s">
        <v>2058</v>
      </c>
      <c r="G1410" s="45">
        <v>15200</v>
      </c>
      <c r="H1410" s="45">
        <v>91.2</v>
      </c>
    </row>
    <row r="1411" spans="1:8">
      <c r="A1411" s="78">
        <v>130512480681</v>
      </c>
      <c r="B1411" s="1" t="s">
        <v>2279</v>
      </c>
      <c r="C1411" s="44" t="s">
        <v>2271</v>
      </c>
      <c r="D1411" s="1" t="s">
        <v>2057</v>
      </c>
      <c r="E1411" s="44" t="s">
        <v>2271</v>
      </c>
      <c r="F1411" s="38" t="s">
        <v>2058</v>
      </c>
      <c r="G1411" s="45">
        <v>480</v>
      </c>
      <c r="H1411" s="45">
        <v>2.88</v>
      </c>
    </row>
    <row r="1412" spans="1:8">
      <c r="A1412" s="78">
        <v>130512724637</v>
      </c>
      <c r="B1412" s="1" t="s">
        <v>8</v>
      </c>
      <c r="C1412" s="44" t="s">
        <v>2271</v>
      </c>
      <c r="D1412" s="1" t="s">
        <v>2057</v>
      </c>
      <c r="E1412" s="44" t="s">
        <v>2271</v>
      </c>
      <c r="F1412" s="38" t="s">
        <v>2058</v>
      </c>
      <c r="G1412" s="45">
        <v>8800</v>
      </c>
      <c r="H1412" s="45">
        <v>52.8</v>
      </c>
    </row>
    <row r="1413" spans="1:8">
      <c r="A1413" s="78">
        <v>131099256710</v>
      </c>
      <c r="B1413" s="1" t="s">
        <v>8</v>
      </c>
      <c r="C1413" s="44" t="s">
        <v>2271</v>
      </c>
      <c r="D1413" s="1" t="s">
        <v>2057</v>
      </c>
      <c r="E1413" s="44" t="s">
        <v>2271</v>
      </c>
      <c r="F1413" s="38" t="s">
        <v>2058</v>
      </c>
      <c r="G1413" s="45">
        <v>2400</v>
      </c>
      <c r="H1413" s="45">
        <v>14.4</v>
      </c>
    </row>
    <row r="1414" spans="1:8">
      <c r="A1414" s="78">
        <v>131099538364</v>
      </c>
      <c r="B1414" s="1" t="s">
        <v>8</v>
      </c>
      <c r="C1414" s="44" t="s">
        <v>2271</v>
      </c>
      <c r="D1414" s="1" t="s">
        <v>2057</v>
      </c>
      <c r="E1414" s="44" t="s">
        <v>2271</v>
      </c>
      <c r="F1414" s="38" t="s">
        <v>2058</v>
      </c>
      <c r="G1414" s="45">
        <v>5500</v>
      </c>
      <c r="H1414" s="45">
        <v>33</v>
      </c>
    </row>
    <row r="1415" spans="1:8">
      <c r="A1415" s="78">
        <v>131099852998</v>
      </c>
      <c r="B1415" s="1" t="s">
        <v>8</v>
      </c>
      <c r="C1415" s="44" t="s">
        <v>2271</v>
      </c>
      <c r="D1415" s="1" t="s">
        <v>2057</v>
      </c>
      <c r="E1415" s="44" t="s">
        <v>2271</v>
      </c>
      <c r="F1415" s="38" t="s">
        <v>2058</v>
      </c>
      <c r="G1415" s="45">
        <v>12700</v>
      </c>
      <c r="H1415" s="45">
        <v>76.2</v>
      </c>
    </row>
    <row r="1416" spans="1:8">
      <c r="A1416" s="78">
        <v>131099953892</v>
      </c>
      <c r="B1416" s="1" t="s">
        <v>8</v>
      </c>
      <c r="C1416" s="44" t="s">
        <v>2271</v>
      </c>
      <c r="D1416" s="1" t="s">
        <v>2057</v>
      </c>
      <c r="E1416" s="44" t="s">
        <v>2271</v>
      </c>
      <c r="F1416" s="38" t="s">
        <v>2058</v>
      </c>
      <c r="G1416" s="45">
        <v>52800</v>
      </c>
      <c r="H1416" s="45">
        <v>316.8</v>
      </c>
    </row>
    <row r="1417" spans="1:8">
      <c r="A1417" s="78">
        <v>130556988889</v>
      </c>
      <c r="B1417" s="1" t="s">
        <v>8</v>
      </c>
      <c r="C1417" s="44" t="s">
        <v>2271</v>
      </c>
      <c r="D1417" s="1" t="s">
        <v>2057</v>
      </c>
      <c r="E1417" s="44" t="s">
        <v>2271</v>
      </c>
      <c r="F1417" s="38" t="s">
        <v>2058</v>
      </c>
      <c r="G1417" s="45">
        <v>193502.69</v>
      </c>
      <c r="H1417" s="45">
        <v>1161.02</v>
      </c>
    </row>
    <row r="1418" spans="1:8">
      <c r="A1418" s="78">
        <v>130562398759</v>
      </c>
      <c r="B1418" s="1" t="s">
        <v>8</v>
      </c>
      <c r="C1418" s="44" t="s">
        <v>2271</v>
      </c>
      <c r="D1418" s="1" t="s">
        <v>2057</v>
      </c>
      <c r="E1418" s="44" t="s">
        <v>2271</v>
      </c>
      <c r="F1418" s="38" t="s">
        <v>2058</v>
      </c>
      <c r="G1418" s="45">
        <v>136654.79999999999</v>
      </c>
      <c r="H1418" s="45">
        <v>819.93</v>
      </c>
    </row>
    <row r="1419" spans="1:8">
      <c r="A1419" s="78">
        <v>131188487220</v>
      </c>
      <c r="B1419" s="1" t="s">
        <v>2055</v>
      </c>
      <c r="C1419" s="44" t="s">
        <v>2271</v>
      </c>
      <c r="D1419" s="1" t="s">
        <v>2057</v>
      </c>
      <c r="E1419" s="44" t="s">
        <v>2271</v>
      </c>
      <c r="F1419" s="38" t="s">
        <v>2058</v>
      </c>
      <c r="G1419" s="45">
        <v>13600</v>
      </c>
      <c r="H1419" s="45">
        <v>81.599999999999994</v>
      </c>
    </row>
    <row r="1420" spans="1:8">
      <c r="A1420" s="78">
        <v>130617378717</v>
      </c>
      <c r="B1420" s="1" t="s">
        <v>2280</v>
      </c>
      <c r="C1420" s="44" t="s">
        <v>2271</v>
      </c>
      <c r="D1420" s="1" t="s">
        <v>2057</v>
      </c>
      <c r="E1420" s="44" t="s">
        <v>2271</v>
      </c>
      <c r="F1420" s="38" t="s">
        <v>2058</v>
      </c>
      <c r="G1420" s="45">
        <v>1440</v>
      </c>
      <c r="H1420" s="45">
        <v>8.64</v>
      </c>
    </row>
    <row r="1421" spans="1:8">
      <c r="A1421" s="78">
        <v>131204235834</v>
      </c>
      <c r="B1421" s="1" t="s">
        <v>8</v>
      </c>
      <c r="C1421" s="44" t="s">
        <v>2271</v>
      </c>
      <c r="D1421" s="1" t="s">
        <v>2057</v>
      </c>
      <c r="E1421" s="44" t="s">
        <v>2271</v>
      </c>
      <c r="F1421" s="38" t="s">
        <v>2058</v>
      </c>
      <c r="G1421" s="45">
        <v>9600</v>
      </c>
      <c r="H1421" s="45">
        <v>57.6</v>
      </c>
    </row>
    <row r="1422" spans="1:8">
      <c r="A1422" s="78">
        <v>131207745972</v>
      </c>
      <c r="B1422" s="1" t="s">
        <v>8</v>
      </c>
      <c r="C1422" s="44" t="s">
        <v>2271</v>
      </c>
      <c r="D1422" s="1" t="s">
        <v>2057</v>
      </c>
      <c r="E1422" s="44" t="s">
        <v>2271</v>
      </c>
      <c r="F1422" s="38" t="s">
        <v>2058</v>
      </c>
      <c r="G1422" s="45">
        <v>4800</v>
      </c>
      <c r="H1422" s="45">
        <v>28.8</v>
      </c>
    </row>
    <row r="1423" spans="1:8">
      <c r="A1423" s="78">
        <v>131207877872</v>
      </c>
      <c r="B1423" s="1" t="s">
        <v>2281</v>
      </c>
      <c r="C1423" s="44" t="s">
        <v>2271</v>
      </c>
      <c r="D1423" s="1" t="s">
        <v>2057</v>
      </c>
      <c r="E1423" s="44" t="s">
        <v>2271</v>
      </c>
      <c r="F1423" s="38" t="s">
        <v>2058</v>
      </c>
      <c r="G1423" s="45">
        <v>585</v>
      </c>
      <c r="H1423" s="45">
        <v>3.51</v>
      </c>
    </row>
    <row r="1424" spans="1:8">
      <c r="A1424" s="78">
        <v>130624345861</v>
      </c>
      <c r="B1424" s="1" t="s">
        <v>2055</v>
      </c>
      <c r="C1424" s="44" t="s">
        <v>2271</v>
      </c>
      <c r="D1424" s="1" t="s">
        <v>2057</v>
      </c>
      <c r="E1424" s="44" t="s">
        <v>2271</v>
      </c>
      <c r="F1424" s="38" t="s">
        <v>2058</v>
      </c>
      <c r="G1424" s="45">
        <v>21400</v>
      </c>
      <c r="H1424" s="45">
        <v>128.4</v>
      </c>
    </row>
    <row r="1425" spans="1:8">
      <c r="A1425" s="78">
        <v>131212377844</v>
      </c>
      <c r="B1425" s="1" t="s">
        <v>8</v>
      </c>
      <c r="C1425" s="44" t="s">
        <v>2271</v>
      </c>
      <c r="D1425" s="1" t="s">
        <v>2057</v>
      </c>
      <c r="E1425" s="44" t="s">
        <v>2271</v>
      </c>
      <c r="F1425" s="38" t="s">
        <v>2058</v>
      </c>
      <c r="G1425" s="45">
        <v>42900</v>
      </c>
      <c r="H1425" s="45">
        <v>257.39999999999998</v>
      </c>
    </row>
    <row r="1426" spans="1:8">
      <c r="A1426" s="78">
        <v>130626395735</v>
      </c>
      <c r="B1426" s="1" t="s">
        <v>2055</v>
      </c>
      <c r="C1426" s="44" t="s">
        <v>2271</v>
      </c>
      <c r="D1426" s="1" t="s">
        <v>2057</v>
      </c>
      <c r="E1426" s="44" t="s">
        <v>2271</v>
      </c>
      <c r="F1426" s="38" t="s">
        <v>2058</v>
      </c>
      <c r="G1426" s="45">
        <v>103440</v>
      </c>
      <c r="H1426" s="45">
        <v>620.64</v>
      </c>
    </row>
    <row r="1427" spans="1:8">
      <c r="A1427" s="78">
        <v>130626570147</v>
      </c>
      <c r="B1427" s="1" t="s">
        <v>2055</v>
      </c>
      <c r="C1427" s="44" t="s">
        <v>2271</v>
      </c>
      <c r="D1427" s="1" t="s">
        <v>2057</v>
      </c>
      <c r="E1427" s="44" t="s">
        <v>2271</v>
      </c>
      <c r="F1427" s="38" t="s">
        <v>2058</v>
      </c>
      <c r="G1427" s="45">
        <v>4800</v>
      </c>
      <c r="H1427" s="45">
        <v>28.8</v>
      </c>
    </row>
    <row r="1428" spans="1:8">
      <c r="A1428" s="78">
        <v>131207941346</v>
      </c>
      <c r="B1428" s="1" t="s">
        <v>8</v>
      </c>
      <c r="C1428" s="44" t="s">
        <v>2271</v>
      </c>
      <c r="D1428" s="1" t="s">
        <v>2057</v>
      </c>
      <c r="E1428" s="44" t="s">
        <v>2271</v>
      </c>
      <c r="F1428" s="38" t="s">
        <v>2058</v>
      </c>
      <c r="G1428" s="45">
        <v>11700</v>
      </c>
      <c r="H1428" s="45">
        <v>70.2</v>
      </c>
    </row>
    <row r="1429" spans="1:8">
      <c r="A1429" s="78">
        <v>130623777749</v>
      </c>
      <c r="B1429" s="1" t="s">
        <v>8</v>
      </c>
      <c r="C1429" s="44" t="s">
        <v>2271</v>
      </c>
      <c r="D1429" s="1" t="s">
        <v>2057</v>
      </c>
      <c r="E1429" s="44" t="s">
        <v>2271</v>
      </c>
      <c r="F1429" s="38" t="s">
        <v>2058</v>
      </c>
      <c r="G1429" s="45">
        <v>9600</v>
      </c>
      <c r="H1429" s="45">
        <v>57.6</v>
      </c>
    </row>
    <row r="1430" spans="1:8">
      <c r="A1430" s="78">
        <v>130624176389</v>
      </c>
      <c r="B1430" s="1" t="s">
        <v>8</v>
      </c>
      <c r="C1430" s="44" t="s">
        <v>2271</v>
      </c>
      <c r="D1430" s="1" t="s">
        <v>2057</v>
      </c>
      <c r="E1430" s="44" t="s">
        <v>2271</v>
      </c>
      <c r="F1430" s="38" t="s">
        <v>2058</v>
      </c>
      <c r="G1430" s="45">
        <v>9600</v>
      </c>
      <c r="H1430" s="45">
        <v>57.6</v>
      </c>
    </row>
    <row r="1431" spans="1:8">
      <c r="A1431" s="78">
        <v>131222097832</v>
      </c>
      <c r="B1431" s="1" t="s">
        <v>2055</v>
      </c>
      <c r="C1431" s="44" t="s">
        <v>2271</v>
      </c>
      <c r="D1431" s="1" t="s">
        <v>2057</v>
      </c>
      <c r="E1431" s="44" t="s">
        <v>2271</v>
      </c>
      <c r="F1431" s="38" t="s">
        <v>2058</v>
      </c>
      <c r="G1431" s="45">
        <v>17900</v>
      </c>
      <c r="H1431" s="45">
        <v>107.4</v>
      </c>
    </row>
    <row r="1432" spans="1:8">
      <c r="A1432" s="78">
        <v>130635351707</v>
      </c>
      <c r="B1432" s="1" t="s">
        <v>2055</v>
      </c>
      <c r="C1432" s="44" t="s">
        <v>2271</v>
      </c>
      <c r="D1432" s="1" t="s">
        <v>2057</v>
      </c>
      <c r="E1432" s="44" t="s">
        <v>2271</v>
      </c>
      <c r="F1432" s="38" t="s">
        <v>2058</v>
      </c>
      <c r="G1432" s="45">
        <v>36800</v>
      </c>
      <c r="H1432" s="45">
        <v>220.8</v>
      </c>
    </row>
    <row r="1433" spans="1:8">
      <c r="A1433" s="78">
        <v>130635780689</v>
      </c>
      <c r="B1433" s="1" t="s">
        <v>8</v>
      </c>
      <c r="C1433" s="44" t="s">
        <v>2271</v>
      </c>
      <c r="D1433" s="1" t="s">
        <v>2057</v>
      </c>
      <c r="E1433" s="44" t="s">
        <v>2271</v>
      </c>
      <c r="F1433" s="38" t="s">
        <v>2058</v>
      </c>
      <c r="G1433" s="45">
        <v>4400</v>
      </c>
      <c r="H1433" s="45">
        <v>26.4</v>
      </c>
    </row>
    <row r="1434" spans="1:8">
      <c r="A1434" s="78">
        <v>131213004572</v>
      </c>
      <c r="B1434" s="1" t="s">
        <v>8</v>
      </c>
      <c r="C1434" s="44" t="s">
        <v>2271</v>
      </c>
      <c r="D1434" s="1" t="s">
        <v>2057</v>
      </c>
      <c r="E1434" s="44" t="s">
        <v>2271</v>
      </c>
      <c r="F1434" s="38" t="s">
        <v>2058</v>
      </c>
      <c r="G1434" s="45">
        <v>4800</v>
      </c>
      <c r="H1434" s="45">
        <v>28.8</v>
      </c>
    </row>
    <row r="1435" spans="1:8">
      <c r="A1435" s="78">
        <v>131224705868</v>
      </c>
      <c r="B1435" s="1" t="s">
        <v>2055</v>
      </c>
      <c r="C1435" s="44" t="s">
        <v>2271</v>
      </c>
      <c r="D1435" s="1" t="s">
        <v>2057</v>
      </c>
      <c r="E1435" s="44" t="s">
        <v>2282</v>
      </c>
      <c r="F1435" s="38" t="s">
        <v>2058</v>
      </c>
      <c r="G1435" s="45">
        <v>5200</v>
      </c>
      <c r="H1435" s="45">
        <v>31.2</v>
      </c>
    </row>
    <row r="1436" spans="1:8">
      <c r="A1436" s="78">
        <v>131215483074</v>
      </c>
      <c r="B1436" s="1" t="s">
        <v>8</v>
      </c>
      <c r="C1436" s="44" t="s">
        <v>2271</v>
      </c>
      <c r="D1436" s="1" t="s">
        <v>2057</v>
      </c>
      <c r="E1436" s="44" t="s">
        <v>2271</v>
      </c>
      <c r="F1436" s="38" t="s">
        <v>2058</v>
      </c>
      <c r="G1436" s="45">
        <v>9800</v>
      </c>
      <c r="H1436" s="45">
        <v>58.8</v>
      </c>
    </row>
    <row r="1437" spans="1:8">
      <c r="A1437" s="78">
        <v>130640359985</v>
      </c>
      <c r="B1437" s="1" t="s">
        <v>8</v>
      </c>
      <c r="C1437" s="44" t="s">
        <v>2282</v>
      </c>
      <c r="D1437" s="1" t="s">
        <v>2057</v>
      </c>
      <c r="E1437" s="44" t="s">
        <v>2282</v>
      </c>
      <c r="F1437" s="38" t="s">
        <v>2058</v>
      </c>
      <c r="G1437" s="45">
        <v>43500</v>
      </c>
      <c r="H1437" s="45">
        <v>261</v>
      </c>
    </row>
    <row r="1438" spans="1:8">
      <c r="A1438" s="78">
        <v>131229100860</v>
      </c>
      <c r="B1438" s="1" t="s">
        <v>2055</v>
      </c>
      <c r="C1438" s="44" t="s">
        <v>2282</v>
      </c>
      <c r="D1438" s="1" t="s">
        <v>2057</v>
      </c>
      <c r="E1438" s="44" t="s">
        <v>2282</v>
      </c>
      <c r="F1438" s="38" t="s">
        <v>2058</v>
      </c>
      <c r="G1438" s="45">
        <v>8600</v>
      </c>
      <c r="H1438" s="45">
        <v>51.6</v>
      </c>
    </row>
    <row r="1439" spans="1:8">
      <c r="A1439" s="78">
        <v>131229851002</v>
      </c>
      <c r="B1439" s="1" t="s">
        <v>8</v>
      </c>
      <c r="C1439" s="44" t="s">
        <v>2282</v>
      </c>
      <c r="D1439" s="1" t="s">
        <v>2057</v>
      </c>
      <c r="E1439" s="44" t="s">
        <v>2282</v>
      </c>
      <c r="F1439" s="38" t="s">
        <v>2058</v>
      </c>
      <c r="G1439" s="45">
        <v>47200</v>
      </c>
      <c r="H1439" s="45">
        <v>283.2</v>
      </c>
    </row>
    <row r="1440" spans="1:8">
      <c r="A1440" s="78">
        <v>130642807553</v>
      </c>
      <c r="B1440" s="1" t="s">
        <v>8</v>
      </c>
      <c r="C1440" s="44" t="s">
        <v>2282</v>
      </c>
      <c r="D1440" s="1" t="s">
        <v>2057</v>
      </c>
      <c r="E1440" s="44" t="s">
        <v>2282</v>
      </c>
      <c r="F1440" s="38" t="s">
        <v>2058</v>
      </c>
      <c r="G1440" s="45">
        <v>29100</v>
      </c>
      <c r="H1440" s="45">
        <v>174.6</v>
      </c>
    </row>
    <row r="1441" spans="1:8">
      <c r="A1441" s="78">
        <v>131220424334</v>
      </c>
      <c r="B1441" s="1" t="s">
        <v>8</v>
      </c>
      <c r="C1441" s="44" t="s">
        <v>2271</v>
      </c>
      <c r="D1441" s="1" t="s">
        <v>2057</v>
      </c>
      <c r="E1441" s="44" t="s">
        <v>2271</v>
      </c>
      <c r="F1441" s="38" t="s">
        <v>2058</v>
      </c>
      <c r="G1441" s="45">
        <v>9000</v>
      </c>
      <c r="H1441" s="45">
        <v>54</v>
      </c>
    </row>
    <row r="1442" spans="1:8">
      <c r="A1442" s="78">
        <v>131223611256</v>
      </c>
      <c r="B1442" s="1" t="s">
        <v>8</v>
      </c>
      <c r="C1442" s="44" t="s">
        <v>2271</v>
      </c>
      <c r="D1442" s="1" t="s">
        <v>2057</v>
      </c>
      <c r="E1442" s="44" t="s">
        <v>2282</v>
      </c>
      <c r="F1442" s="38" t="s">
        <v>2058</v>
      </c>
      <c r="G1442" s="45">
        <v>59900</v>
      </c>
      <c r="H1442" s="45">
        <v>359.4</v>
      </c>
    </row>
    <row r="1443" spans="1:8">
      <c r="A1443" s="78">
        <v>131224829468</v>
      </c>
      <c r="B1443" s="1" t="s">
        <v>8</v>
      </c>
      <c r="C1443" s="44" t="s">
        <v>2271</v>
      </c>
      <c r="D1443" s="1" t="s">
        <v>2057</v>
      </c>
      <c r="E1443" s="44" t="s">
        <v>2282</v>
      </c>
      <c r="F1443" s="38" t="s">
        <v>2058</v>
      </c>
      <c r="G1443" s="45">
        <v>101100</v>
      </c>
      <c r="H1443" s="45">
        <v>606.6</v>
      </c>
    </row>
    <row r="1444" spans="1:8">
      <c r="A1444" s="78">
        <v>130637902867</v>
      </c>
      <c r="B1444" s="1" t="s">
        <v>8</v>
      </c>
      <c r="C1444" s="44" t="s">
        <v>2271</v>
      </c>
      <c r="D1444" s="1" t="s">
        <v>2057</v>
      </c>
      <c r="E1444" s="44" t="s">
        <v>2282</v>
      </c>
      <c r="F1444" s="38" t="s">
        <v>2058</v>
      </c>
      <c r="G1444" s="45">
        <v>9700</v>
      </c>
      <c r="H1444" s="45">
        <v>58.2</v>
      </c>
    </row>
    <row r="1445" spans="1:8">
      <c r="A1445" s="78">
        <v>130639275959</v>
      </c>
      <c r="B1445" s="1" t="s">
        <v>8</v>
      </c>
      <c r="C1445" s="44" t="s">
        <v>2271</v>
      </c>
      <c r="D1445" s="1" t="s">
        <v>2057</v>
      </c>
      <c r="E1445" s="44" t="s">
        <v>2282</v>
      </c>
      <c r="F1445" s="38" t="s">
        <v>2058</v>
      </c>
      <c r="G1445" s="45">
        <v>49600</v>
      </c>
      <c r="H1445" s="45">
        <v>297.60000000000002</v>
      </c>
    </row>
    <row r="1446" spans="1:8">
      <c r="A1446" s="78">
        <v>130640958813</v>
      </c>
      <c r="B1446" s="1" t="s">
        <v>8</v>
      </c>
      <c r="C1446" s="44" t="s">
        <v>2282</v>
      </c>
      <c r="D1446" s="1" t="s">
        <v>2057</v>
      </c>
      <c r="E1446" s="44" t="s">
        <v>2282</v>
      </c>
      <c r="F1446" s="38" t="s">
        <v>2058</v>
      </c>
      <c r="G1446" s="45">
        <v>49000</v>
      </c>
      <c r="H1446" s="45">
        <v>294</v>
      </c>
    </row>
    <row r="1447" spans="1:8">
      <c r="A1447" s="78">
        <v>130640843819</v>
      </c>
      <c r="B1447" s="1" t="s">
        <v>2283</v>
      </c>
      <c r="C1447" s="44" t="s">
        <v>2282</v>
      </c>
      <c r="D1447" s="1" t="s">
        <v>2057</v>
      </c>
      <c r="E1447" s="44" t="s">
        <v>2282</v>
      </c>
      <c r="F1447" s="38" t="s">
        <v>2058</v>
      </c>
      <c r="G1447" s="45">
        <v>4900</v>
      </c>
      <c r="H1447" s="45">
        <v>29.4</v>
      </c>
    </row>
    <row r="1448" spans="1:8">
      <c r="A1448" s="78">
        <v>130641673553</v>
      </c>
      <c r="B1448" s="1" t="s">
        <v>8</v>
      </c>
      <c r="C1448" s="44" t="s">
        <v>2282</v>
      </c>
      <c r="D1448" s="1" t="s">
        <v>2057</v>
      </c>
      <c r="E1448" s="44" t="s">
        <v>2282</v>
      </c>
      <c r="F1448" s="38" t="s">
        <v>2058</v>
      </c>
      <c r="G1448" s="45">
        <v>18200</v>
      </c>
      <c r="H1448" s="45">
        <v>109.2</v>
      </c>
    </row>
    <row r="1449" spans="1:8">
      <c r="A1449" s="78">
        <v>130642704973</v>
      </c>
      <c r="B1449" s="1" t="s">
        <v>8</v>
      </c>
      <c r="C1449" s="44" t="s">
        <v>2282</v>
      </c>
      <c r="D1449" s="1" t="s">
        <v>2057</v>
      </c>
      <c r="E1449" s="44" t="s">
        <v>2282</v>
      </c>
      <c r="F1449" s="38" t="s">
        <v>2058</v>
      </c>
      <c r="G1449" s="45">
        <v>19200</v>
      </c>
      <c r="H1449" s="45">
        <v>115.2</v>
      </c>
    </row>
    <row r="1450" spans="1:8">
      <c r="A1450" s="78">
        <v>130642851035</v>
      </c>
      <c r="B1450" s="1" t="s">
        <v>2284</v>
      </c>
      <c r="C1450" s="44" t="s">
        <v>2282</v>
      </c>
      <c r="D1450" s="1" t="s">
        <v>2057</v>
      </c>
      <c r="E1450" s="44" t="s">
        <v>2282</v>
      </c>
      <c r="F1450" s="38" t="s">
        <v>2058</v>
      </c>
      <c r="G1450" s="45">
        <v>2910</v>
      </c>
      <c r="H1450" s="45">
        <v>17.46</v>
      </c>
    </row>
    <row r="1451" spans="1:8">
      <c r="A1451" s="78">
        <v>131259089018</v>
      </c>
      <c r="B1451" s="1" t="s">
        <v>8</v>
      </c>
      <c r="C1451" s="44" t="s">
        <v>2282</v>
      </c>
      <c r="D1451" s="1" t="s">
        <v>2057</v>
      </c>
      <c r="E1451" s="44" t="s">
        <v>2282</v>
      </c>
      <c r="F1451" s="38" t="s">
        <v>2058</v>
      </c>
      <c r="G1451" s="45">
        <v>65698.570000000007</v>
      </c>
      <c r="H1451" s="45">
        <v>394.19</v>
      </c>
    </row>
    <row r="1452" spans="1:8">
      <c r="A1452" s="78">
        <v>131265070110</v>
      </c>
      <c r="B1452" s="1" t="s">
        <v>8</v>
      </c>
      <c r="C1452" s="44" t="s">
        <v>2282</v>
      </c>
      <c r="D1452" s="1" t="s">
        <v>2057</v>
      </c>
      <c r="E1452" s="44" t="s">
        <v>2282</v>
      </c>
      <c r="F1452" s="38" t="s">
        <v>2058</v>
      </c>
      <c r="G1452" s="45">
        <v>117019.17</v>
      </c>
      <c r="H1452" s="45">
        <v>702.12</v>
      </c>
    </row>
    <row r="1453" spans="1:8">
      <c r="A1453" s="78" t="s">
        <v>2285</v>
      </c>
      <c r="B1453" s="1" t="s">
        <v>8</v>
      </c>
      <c r="C1453" s="44" t="s">
        <v>2282</v>
      </c>
      <c r="D1453" s="1" t="s">
        <v>2057</v>
      </c>
      <c r="E1453" s="44" t="s">
        <v>2282</v>
      </c>
      <c r="F1453" s="38" t="s">
        <v>2058</v>
      </c>
      <c r="G1453" s="45">
        <v>73992</v>
      </c>
      <c r="H1453" s="45">
        <v>443.95</v>
      </c>
    </row>
    <row r="1454" spans="1:8">
      <c r="A1454" s="78">
        <v>130724478645</v>
      </c>
      <c r="B1454" s="1" t="s">
        <v>8</v>
      </c>
      <c r="C1454" s="44" t="s">
        <v>2282</v>
      </c>
      <c r="D1454" s="1" t="s">
        <v>2057</v>
      </c>
      <c r="E1454" s="44" t="s">
        <v>2282</v>
      </c>
      <c r="F1454" s="38" t="s">
        <v>2058</v>
      </c>
      <c r="G1454" s="45">
        <v>24200</v>
      </c>
      <c r="H1454" s="45">
        <v>145.19999999999999</v>
      </c>
    </row>
    <row r="1455" spans="1:8">
      <c r="A1455" s="78">
        <v>130725248729</v>
      </c>
      <c r="B1455" s="1" t="s">
        <v>8</v>
      </c>
      <c r="C1455" s="44" t="s">
        <v>2282</v>
      </c>
      <c r="D1455" s="1" t="s">
        <v>2057</v>
      </c>
      <c r="E1455" s="44" t="s">
        <v>2282</v>
      </c>
      <c r="F1455" s="38" t="s">
        <v>2058</v>
      </c>
      <c r="G1455" s="45">
        <v>14400</v>
      </c>
      <c r="H1455" s="45">
        <v>86.4</v>
      </c>
    </row>
    <row r="1456" spans="1:8">
      <c r="A1456" s="78">
        <v>130725169621</v>
      </c>
      <c r="B1456" s="1" t="s">
        <v>2286</v>
      </c>
      <c r="C1456" s="44" t="s">
        <v>2282</v>
      </c>
      <c r="D1456" s="1" t="s">
        <v>2057</v>
      </c>
      <c r="E1456" s="44" t="s">
        <v>2282</v>
      </c>
      <c r="F1456" s="38" t="s">
        <v>2058</v>
      </c>
      <c r="G1456" s="45">
        <v>720</v>
      </c>
      <c r="H1456" s="45">
        <v>4.32</v>
      </c>
    </row>
    <row r="1457" spans="1:8">
      <c r="A1457" s="78" t="s">
        <v>2287</v>
      </c>
      <c r="B1457" s="1" t="s">
        <v>8</v>
      </c>
      <c r="C1457" s="44" t="s">
        <v>2282</v>
      </c>
      <c r="D1457" s="1" t="s">
        <v>2057</v>
      </c>
      <c r="E1457" s="44" t="s">
        <v>2282</v>
      </c>
      <c r="F1457" s="38" t="s">
        <v>2058</v>
      </c>
      <c r="G1457" s="45">
        <v>149908</v>
      </c>
      <c r="H1457" s="45">
        <v>899.45</v>
      </c>
    </row>
    <row r="1458" spans="1:8">
      <c r="A1458" s="78">
        <v>131314622960</v>
      </c>
      <c r="B1458" s="1" t="s">
        <v>2055</v>
      </c>
      <c r="C1458" s="44" t="s">
        <v>2282</v>
      </c>
      <c r="D1458" s="1" t="s">
        <v>2057</v>
      </c>
      <c r="E1458" s="44" t="s">
        <v>2282</v>
      </c>
      <c r="F1458" s="38" t="s">
        <v>2058</v>
      </c>
      <c r="G1458" s="45">
        <v>19200</v>
      </c>
      <c r="H1458" s="45">
        <v>115.2</v>
      </c>
    </row>
    <row r="1459" spans="1:8">
      <c r="A1459" s="78">
        <v>130727892081</v>
      </c>
      <c r="B1459" s="1" t="s">
        <v>8</v>
      </c>
      <c r="C1459" s="44" t="s">
        <v>2282</v>
      </c>
      <c r="D1459" s="1" t="s">
        <v>2057</v>
      </c>
      <c r="E1459" s="44" t="s">
        <v>2282</v>
      </c>
      <c r="F1459" s="38" t="s">
        <v>2058</v>
      </c>
      <c r="G1459" s="45">
        <v>15400</v>
      </c>
      <c r="H1459" s="45">
        <v>92.4</v>
      </c>
    </row>
    <row r="1460" spans="1:8">
      <c r="A1460" s="78">
        <v>131315931076</v>
      </c>
      <c r="B1460" s="1" t="s">
        <v>2055</v>
      </c>
      <c r="C1460" s="44" t="s">
        <v>2282</v>
      </c>
      <c r="D1460" s="1" t="s">
        <v>2057</v>
      </c>
      <c r="E1460" s="44" t="s">
        <v>2282</v>
      </c>
      <c r="F1460" s="38" t="s">
        <v>2058</v>
      </c>
      <c r="G1460" s="45">
        <v>19200</v>
      </c>
      <c r="H1460" s="45">
        <v>115.2</v>
      </c>
    </row>
    <row r="1461" spans="1:8">
      <c r="A1461" s="78">
        <v>130728828519</v>
      </c>
      <c r="B1461" s="1" t="s">
        <v>8</v>
      </c>
      <c r="C1461" s="44" t="s">
        <v>2282</v>
      </c>
      <c r="D1461" s="1" t="s">
        <v>2057</v>
      </c>
      <c r="E1461" s="44" t="s">
        <v>2282</v>
      </c>
      <c r="F1461" s="38" t="s">
        <v>2058</v>
      </c>
      <c r="G1461" s="45">
        <v>8400</v>
      </c>
      <c r="H1461" s="45">
        <v>50.4</v>
      </c>
    </row>
    <row r="1462" spans="1:8">
      <c r="A1462" s="78">
        <v>131317335230</v>
      </c>
      <c r="B1462" s="1" t="s">
        <v>2055</v>
      </c>
      <c r="C1462" s="44" t="s">
        <v>2282</v>
      </c>
      <c r="D1462" s="1" t="s">
        <v>2057</v>
      </c>
      <c r="E1462" s="44" t="s">
        <v>2282</v>
      </c>
      <c r="F1462" s="38" t="s">
        <v>2058</v>
      </c>
      <c r="G1462" s="45">
        <v>8400</v>
      </c>
      <c r="H1462" s="45">
        <v>50.4</v>
      </c>
    </row>
    <row r="1463" spans="1:8">
      <c r="A1463" s="78">
        <v>130729893207</v>
      </c>
      <c r="B1463" s="1" t="s">
        <v>2055</v>
      </c>
      <c r="C1463" s="44" t="s">
        <v>2282</v>
      </c>
      <c r="D1463" s="1" t="s">
        <v>2057</v>
      </c>
      <c r="E1463" s="44" t="s">
        <v>2282</v>
      </c>
      <c r="F1463" s="38" t="s">
        <v>2058</v>
      </c>
      <c r="G1463" s="45">
        <v>36600</v>
      </c>
      <c r="H1463" s="45">
        <v>219.6</v>
      </c>
    </row>
    <row r="1464" spans="1:8">
      <c r="A1464" s="78">
        <v>131319128256</v>
      </c>
      <c r="B1464" s="1" t="s">
        <v>8</v>
      </c>
      <c r="C1464" s="44" t="s">
        <v>2282</v>
      </c>
      <c r="D1464" s="1" t="s">
        <v>2057</v>
      </c>
      <c r="E1464" s="44" t="s">
        <v>2282</v>
      </c>
      <c r="F1464" s="38" t="s">
        <v>2058</v>
      </c>
      <c r="G1464" s="45">
        <v>4900</v>
      </c>
      <c r="H1464" s="45">
        <v>29.4</v>
      </c>
    </row>
    <row r="1465" spans="1:8">
      <c r="A1465" s="78">
        <v>130719190771</v>
      </c>
      <c r="B1465" s="1" t="s">
        <v>2288</v>
      </c>
      <c r="C1465" s="44" t="s">
        <v>2282</v>
      </c>
      <c r="D1465" s="1" t="s">
        <v>2057</v>
      </c>
      <c r="E1465" s="44" t="s">
        <v>2282</v>
      </c>
      <c r="F1465" s="38" t="s">
        <v>2058</v>
      </c>
      <c r="G1465" s="45">
        <v>222</v>
      </c>
      <c r="H1465" s="45">
        <v>1.33</v>
      </c>
    </row>
    <row r="1466" spans="1:8">
      <c r="A1466" s="78">
        <v>130719097737</v>
      </c>
      <c r="B1466" s="1" t="s">
        <v>8</v>
      </c>
      <c r="C1466" s="44" t="s">
        <v>2282</v>
      </c>
      <c r="D1466" s="1" t="s">
        <v>2057</v>
      </c>
      <c r="E1466" s="44" t="s">
        <v>2282</v>
      </c>
      <c r="F1466" s="38" t="s">
        <v>2058</v>
      </c>
      <c r="G1466" s="45">
        <v>4450</v>
      </c>
      <c r="H1466" s="45">
        <v>26.7</v>
      </c>
    </row>
    <row r="1467" spans="1:8">
      <c r="A1467" s="78">
        <v>130732522431</v>
      </c>
      <c r="B1467" s="1" t="s">
        <v>2055</v>
      </c>
      <c r="C1467" s="44" t="s">
        <v>2282</v>
      </c>
      <c r="D1467" s="1" t="s">
        <v>2057</v>
      </c>
      <c r="E1467" s="44" t="s">
        <v>2282</v>
      </c>
      <c r="F1467" s="38" t="s">
        <v>2058</v>
      </c>
      <c r="G1467" s="45">
        <v>26500</v>
      </c>
      <c r="H1467" s="45">
        <v>159</v>
      </c>
    </row>
    <row r="1468" spans="1:8">
      <c r="A1468" s="78">
        <v>130733187221</v>
      </c>
      <c r="B1468" s="1" t="s">
        <v>8</v>
      </c>
      <c r="C1468" s="44" t="s">
        <v>2282</v>
      </c>
      <c r="D1468" s="1" t="s">
        <v>2057</v>
      </c>
      <c r="E1468" s="44" t="s">
        <v>2282</v>
      </c>
      <c r="F1468" s="38" t="s">
        <v>2058</v>
      </c>
      <c r="G1468" s="45">
        <v>8800</v>
      </c>
      <c r="H1468" s="45">
        <v>52.8</v>
      </c>
    </row>
    <row r="1469" spans="1:8">
      <c r="A1469" s="78">
        <v>131323046338</v>
      </c>
      <c r="B1469" s="1" t="s">
        <v>2055</v>
      </c>
      <c r="C1469" s="44" t="s">
        <v>2282</v>
      </c>
      <c r="D1469" s="1" t="s">
        <v>2057</v>
      </c>
      <c r="E1469" s="44" t="s">
        <v>2282</v>
      </c>
      <c r="F1469" s="38" t="s">
        <v>2058</v>
      </c>
      <c r="G1469" s="45">
        <v>37100</v>
      </c>
      <c r="H1469" s="45">
        <v>222.6</v>
      </c>
    </row>
    <row r="1470" spans="1:8">
      <c r="A1470" s="78">
        <v>130735353251</v>
      </c>
      <c r="B1470" s="1" t="s">
        <v>2055</v>
      </c>
      <c r="C1470" s="44" t="s">
        <v>2282</v>
      </c>
      <c r="D1470" s="1" t="s">
        <v>2057</v>
      </c>
      <c r="E1470" s="44" t="s">
        <v>2282</v>
      </c>
      <c r="F1470" s="38" t="s">
        <v>2058</v>
      </c>
      <c r="G1470" s="45">
        <v>4600</v>
      </c>
      <c r="H1470" s="45">
        <v>27.6</v>
      </c>
    </row>
    <row r="1471" spans="1:8">
      <c r="A1471" s="78">
        <v>130725052849</v>
      </c>
      <c r="B1471" s="1" t="s">
        <v>8</v>
      </c>
      <c r="C1471" s="44" t="s">
        <v>2282</v>
      </c>
      <c r="D1471" s="1" t="s">
        <v>2057</v>
      </c>
      <c r="E1471" s="44" t="s">
        <v>2282</v>
      </c>
      <c r="F1471" s="38" t="s">
        <v>2058</v>
      </c>
      <c r="G1471" s="45">
        <v>11600</v>
      </c>
      <c r="H1471" s="45">
        <v>69.599999999999994</v>
      </c>
    </row>
    <row r="1472" spans="1:8">
      <c r="A1472" s="78">
        <v>130725213917</v>
      </c>
      <c r="B1472" s="1" t="s">
        <v>8</v>
      </c>
      <c r="C1472" s="44" t="s">
        <v>2282</v>
      </c>
      <c r="D1472" s="1" t="s">
        <v>2057</v>
      </c>
      <c r="E1472" s="44" t="s">
        <v>2282</v>
      </c>
      <c r="F1472" s="38" t="s">
        <v>2058</v>
      </c>
      <c r="G1472" s="45">
        <v>4900</v>
      </c>
      <c r="H1472" s="45">
        <v>29.4</v>
      </c>
    </row>
    <row r="1473" spans="1:8">
      <c r="A1473" s="78">
        <v>130741586205</v>
      </c>
      <c r="B1473" s="1" t="s">
        <v>2289</v>
      </c>
      <c r="C1473" s="44" t="s">
        <v>2282</v>
      </c>
      <c r="D1473" s="1" t="s">
        <v>2057</v>
      </c>
      <c r="E1473" s="44" t="s">
        <v>2282</v>
      </c>
      <c r="F1473" s="38" t="s">
        <v>2058</v>
      </c>
      <c r="G1473" s="45">
        <v>4155</v>
      </c>
      <c r="H1473" s="45">
        <v>24.93</v>
      </c>
    </row>
    <row r="1474" spans="1:8">
      <c r="A1474" s="78">
        <v>131316106848</v>
      </c>
      <c r="B1474" s="1" t="s">
        <v>8</v>
      </c>
      <c r="C1474" s="44" t="s">
        <v>2282</v>
      </c>
      <c r="D1474" s="1" t="s">
        <v>2057</v>
      </c>
      <c r="E1474" s="44" t="s">
        <v>2282</v>
      </c>
      <c r="F1474" s="38" t="s">
        <v>2058</v>
      </c>
      <c r="G1474" s="45">
        <v>4800</v>
      </c>
      <c r="H1474" s="45">
        <v>28.8</v>
      </c>
    </row>
    <row r="1475" spans="1:8">
      <c r="A1475" s="78">
        <v>131331474758</v>
      </c>
      <c r="B1475" s="1" t="s">
        <v>8</v>
      </c>
      <c r="C1475" s="44" t="s">
        <v>2282</v>
      </c>
      <c r="D1475" s="1" t="s">
        <v>2057</v>
      </c>
      <c r="E1475" s="44" t="s">
        <v>2282</v>
      </c>
      <c r="F1475" s="38" t="s">
        <v>2058</v>
      </c>
      <c r="G1475" s="45">
        <v>27400</v>
      </c>
      <c r="H1475" s="45">
        <v>164.4</v>
      </c>
    </row>
    <row r="1476" spans="1:8">
      <c r="A1476" s="78">
        <v>131333075890</v>
      </c>
      <c r="B1476" s="1" t="s">
        <v>8</v>
      </c>
      <c r="C1476" s="44" t="s">
        <v>2282</v>
      </c>
      <c r="D1476" s="1" t="s">
        <v>2057</v>
      </c>
      <c r="E1476" s="44" t="s">
        <v>2282</v>
      </c>
      <c r="F1476" s="38" t="s">
        <v>2058</v>
      </c>
      <c r="G1476" s="45">
        <v>44100</v>
      </c>
      <c r="H1476" s="45">
        <v>264.60000000000002</v>
      </c>
    </row>
    <row r="1477" spans="1:8">
      <c r="A1477" s="78">
        <v>131334393716</v>
      </c>
      <c r="B1477" s="1" t="s">
        <v>2055</v>
      </c>
      <c r="C1477" s="44" t="s">
        <v>2282</v>
      </c>
      <c r="D1477" s="1" t="s">
        <v>2057</v>
      </c>
      <c r="E1477" s="44" t="s">
        <v>2282</v>
      </c>
      <c r="F1477" s="38" t="s">
        <v>2058</v>
      </c>
      <c r="G1477" s="45">
        <v>49300</v>
      </c>
      <c r="H1477" s="45">
        <v>295.8</v>
      </c>
    </row>
    <row r="1478" spans="1:8">
      <c r="A1478" s="78">
        <v>130746971109</v>
      </c>
      <c r="B1478" s="1" t="s">
        <v>2055</v>
      </c>
      <c r="C1478" s="44" t="s">
        <v>2282</v>
      </c>
      <c r="D1478" s="1" t="s">
        <v>2057</v>
      </c>
      <c r="E1478" s="44" t="s">
        <v>2282</v>
      </c>
      <c r="F1478" s="38" t="s">
        <v>2058</v>
      </c>
      <c r="G1478" s="45">
        <v>47400</v>
      </c>
      <c r="H1478" s="45">
        <v>284.39999999999998</v>
      </c>
    </row>
    <row r="1479" spans="1:8">
      <c r="A1479" s="78">
        <v>131334827174</v>
      </c>
      <c r="B1479" s="1" t="s">
        <v>8</v>
      </c>
      <c r="C1479" s="44" t="s">
        <v>2282</v>
      </c>
      <c r="D1479" s="1" t="s">
        <v>2057</v>
      </c>
      <c r="E1479" s="44" t="s">
        <v>2290</v>
      </c>
      <c r="F1479" s="38" t="s">
        <v>2058</v>
      </c>
      <c r="G1479" s="45">
        <v>14400</v>
      </c>
      <c r="H1479" s="45">
        <v>86.4</v>
      </c>
    </row>
    <row r="1480" spans="1:8">
      <c r="A1480" s="78">
        <v>130747324947</v>
      </c>
      <c r="B1480" s="1" t="s">
        <v>2291</v>
      </c>
      <c r="C1480" s="44" t="s">
        <v>2282</v>
      </c>
      <c r="D1480" s="1" t="s">
        <v>2057</v>
      </c>
      <c r="E1480" s="44" t="s">
        <v>2290</v>
      </c>
      <c r="F1480" s="38" t="s">
        <v>2058</v>
      </c>
      <c r="G1480" s="45">
        <v>4930</v>
      </c>
      <c r="H1480" s="45">
        <v>29.58</v>
      </c>
    </row>
    <row r="1481" spans="1:8">
      <c r="A1481" s="78">
        <v>131335191102</v>
      </c>
      <c r="B1481" s="1" t="s">
        <v>8</v>
      </c>
      <c r="C1481" s="44" t="s">
        <v>2282</v>
      </c>
      <c r="D1481" s="1" t="s">
        <v>2057</v>
      </c>
      <c r="E1481" s="44" t="s">
        <v>2290</v>
      </c>
      <c r="F1481" s="38" t="s">
        <v>2058</v>
      </c>
      <c r="G1481" s="45">
        <v>45500</v>
      </c>
      <c r="H1481" s="45">
        <v>273</v>
      </c>
    </row>
    <row r="1482" spans="1:8">
      <c r="A1482" s="78">
        <v>131335286100</v>
      </c>
      <c r="B1482" s="1" t="s">
        <v>8</v>
      </c>
      <c r="C1482" s="44" t="s">
        <v>2282</v>
      </c>
      <c r="D1482" s="1" t="s">
        <v>2057</v>
      </c>
      <c r="E1482" s="44" t="s">
        <v>2290</v>
      </c>
      <c r="F1482" s="38" t="s">
        <v>2058</v>
      </c>
      <c r="G1482" s="45">
        <v>45800</v>
      </c>
      <c r="H1482" s="45">
        <v>274.8</v>
      </c>
    </row>
    <row r="1483" spans="1:8">
      <c r="A1483" s="78">
        <v>131322059578</v>
      </c>
      <c r="B1483" s="1" t="s">
        <v>2055</v>
      </c>
      <c r="C1483" s="44" t="s">
        <v>2282</v>
      </c>
      <c r="D1483" s="1" t="s">
        <v>2057</v>
      </c>
      <c r="E1483" s="44" t="s">
        <v>2282</v>
      </c>
      <c r="F1483" s="38" t="s">
        <v>2058</v>
      </c>
      <c r="G1483" s="45">
        <v>4800</v>
      </c>
      <c r="H1483" s="45">
        <v>28.8</v>
      </c>
    </row>
    <row r="1484" spans="1:8">
      <c r="A1484" s="78">
        <v>130735485837</v>
      </c>
      <c r="B1484" s="1" t="s">
        <v>8</v>
      </c>
      <c r="C1484" s="44" t="s">
        <v>2282</v>
      </c>
      <c r="D1484" s="1" t="s">
        <v>2057</v>
      </c>
      <c r="E1484" s="44" t="s">
        <v>2282</v>
      </c>
      <c r="F1484" s="38" t="s">
        <v>2058</v>
      </c>
      <c r="G1484" s="45">
        <v>11600</v>
      </c>
      <c r="H1484" s="45">
        <v>69.599999999999994</v>
      </c>
    </row>
    <row r="1485" spans="1:8">
      <c r="A1485" s="78">
        <v>131324787042</v>
      </c>
      <c r="B1485" s="1" t="s">
        <v>2055</v>
      </c>
      <c r="C1485" s="44" t="s">
        <v>2282</v>
      </c>
      <c r="D1485" s="1" t="s">
        <v>2057</v>
      </c>
      <c r="E1485" s="44" t="s">
        <v>2282</v>
      </c>
      <c r="F1485" s="38" t="s">
        <v>2058</v>
      </c>
      <c r="G1485" s="45">
        <v>96100</v>
      </c>
      <c r="H1485" s="45">
        <v>576.6</v>
      </c>
    </row>
    <row r="1486" spans="1:8">
      <c r="A1486" s="78">
        <v>131325048714</v>
      </c>
      <c r="B1486" s="1" t="s">
        <v>8</v>
      </c>
      <c r="C1486" s="44" t="s">
        <v>2282</v>
      </c>
      <c r="D1486" s="1" t="s">
        <v>2057</v>
      </c>
      <c r="E1486" s="44" t="s">
        <v>2282</v>
      </c>
      <c r="F1486" s="38" t="s">
        <v>2058</v>
      </c>
      <c r="G1486" s="45">
        <v>19400</v>
      </c>
      <c r="H1486" s="45">
        <v>116.4</v>
      </c>
    </row>
    <row r="1487" spans="1:8">
      <c r="A1487" s="78">
        <v>131325856646</v>
      </c>
      <c r="B1487" s="1" t="s">
        <v>8</v>
      </c>
      <c r="C1487" s="44" t="s">
        <v>2282</v>
      </c>
      <c r="D1487" s="1" t="s">
        <v>2057</v>
      </c>
      <c r="E1487" s="44" t="s">
        <v>2282</v>
      </c>
      <c r="F1487" s="38" t="s">
        <v>2058</v>
      </c>
      <c r="G1487" s="45">
        <v>38100</v>
      </c>
      <c r="H1487" s="45">
        <v>228.6</v>
      </c>
    </row>
    <row r="1488" spans="1:8">
      <c r="A1488" s="78">
        <v>131328664518</v>
      </c>
      <c r="B1488" s="1" t="s">
        <v>8</v>
      </c>
      <c r="C1488" s="44" t="s">
        <v>2282</v>
      </c>
      <c r="D1488" s="1" t="s">
        <v>2057</v>
      </c>
      <c r="E1488" s="44" t="s">
        <v>2282</v>
      </c>
      <c r="F1488" s="38" t="s">
        <v>2058</v>
      </c>
      <c r="G1488" s="45">
        <v>9600</v>
      </c>
      <c r="H1488" s="45">
        <v>57.6</v>
      </c>
    </row>
    <row r="1489" spans="1:8">
      <c r="A1489" s="78">
        <v>130741580317</v>
      </c>
      <c r="B1489" s="1" t="s">
        <v>8</v>
      </c>
      <c r="C1489" s="44" t="s">
        <v>2282</v>
      </c>
      <c r="D1489" s="1" t="s">
        <v>2057</v>
      </c>
      <c r="E1489" s="44" t="s">
        <v>2282</v>
      </c>
      <c r="F1489" s="38" t="s">
        <v>2058</v>
      </c>
      <c r="G1489" s="45">
        <v>83100</v>
      </c>
      <c r="H1489" s="45">
        <v>498.6</v>
      </c>
    </row>
    <row r="1490" spans="1:8">
      <c r="A1490" s="78">
        <v>130743027301</v>
      </c>
      <c r="B1490" s="1" t="s">
        <v>8</v>
      </c>
      <c r="C1490" s="44" t="s">
        <v>2282</v>
      </c>
      <c r="D1490" s="1" t="s">
        <v>2057</v>
      </c>
      <c r="E1490" s="44" t="s">
        <v>2282</v>
      </c>
      <c r="F1490" s="38" t="s">
        <v>2058</v>
      </c>
      <c r="G1490" s="45">
        <v>41200</v>
      </c>
      <c r="H1490" s="45">
        <v>247.2</v>
      </c>
    </row>
    <row r="1491" spans="1:8">
      <c r="A1491" s="78">
        <v>130743033185</v>
      </c>
      <c r="B1491" s="1" t="s">
        <v>2292</v>
      </c>
      <c r="C1491" s="44" t="s">
        <v>2282</v>
      </c>
      <c r="D1491" s="1" t="s">
        <v>2057</v>
      </c>
      <c r="E1491" s="44" t="s">
        <v>2282</v>
      </c>
      <c r="F1491" s="38" t="s">
        <v>2058</v>
      </c>
      <c r="G1491" s="45">
        <v>2060</v>
      </c>
      <c r="H1491" s="45">
        <v>12.36</v>
      </c>
    </row>
    <row r="1492" spans="1:8">
      <c r="A1492" s="78">
        <v>131330704286</v>
      </c>
      <c r="B1492" s="1" t="s">
        <v>8</v>
      </c>
      <c r="C1492" s="44" t="s">
        <v>2282</v>
      </c>
      <c r="D1492" s="1" t="s">
        <v>2057</v>
      </c>
      <c r="E1492" s="44" t="s">
        <v>2282</v>
      </c>
      <c r="F1492" s="38" t="s">
        <v>2058</v>
      </c>
      <c r="G1492" s="45">
        <v>38300</v>
      </c>
      <c r="H1492" s="45">
        <v>229.8</v>
      </c>
    </row>
    <row r="1493" spans="1:8">
      <c r="A1493" s="78">
        <v>131332537164</v>
      </c>
      <c r="B1493" s="1" t="s">
        <v>2055</v>
      </c>
      <c r="C1493" s="44" t="s">
        <v>2282</v>
      </c>
      <c r="D1493" s="1" t="s">
        <v>2057</v>
      </c>
      <c r="E1493" s="44" t="s">
        <v>2282</v>
      </c>
      <c r="F1493" s="38" t="s">
        <v>2058</v>
      </c>
      <c r="G1493" s="45">
        <v>36360</v>
      </c>
      <c r="H1493" s="45">
        <v>218.16</v>
      </c>
    </row>
    <row r="1494" spans="1:8">
      <c r="A1494" s="78">
        <v>131332603236</v>
      </c>
      <c r="B1494" s="1" t="s">
        <v>8</v>
      </c>
      <c r="C1494" s="44" t="s">
        <v>2282</v>
      </c>
      <c r="D1494" s="1" t="s">
        <v>2057</v>
      </c>
      <c r="E1494" s="44" t="s">
        <v>2282</v>
      </c>
      <c r="F1494" s="38" t="s">
        <v>2058</v>
      </c>
      <c r="G1494" s="45">
        <v>17600</v>
      </c>
      <c r="H1494" s="45">
        <v>105.6</v>
      </c>
    </row>
    <row r="1495" spans="1:8">
      <c r="A1495" s="78">
        <v>130745117635</v>
      </c>
      <c r="B1495" s="1" t="s">
        <v>8</v>
      </c>
      <c r="C1495" s="44" t="s">
        <v>2282</v>
      </c>
      <c r="D1495" s="1" t="s">
        <v>2057</v>
      </c>
      <c r="E1495" s="44" t="s">
        <v>2282</v>
      </c>
      <c r="F1495" s="38" t="s">
        <v>2058</v>
      </c>
      <c r="G1495" s="45">
        <v>38500</v>
      </c>
      <c r="H1495" s="45">
        <v>231</v>
      </c>
    </row>
    <row r="1496" spans="1:8">
      <c r="A1496" s="78">
        <v>130745183261</v>
      </c>
      <c r="B1496" s="1" t="s">
        <v>8</v>
      </c>
      <c r="C1496" s="44" t="s">
        <v>2282</v>
      </c>
      <c r="D1496" s="1" t="s">
        <v>2057</v>
      </c>
      <c r="E1496" s="44" t="s">
        <v>2282</v>
      </c>
      <c r="F1496" s="38" t="s">
        <v>2058</v>
      </c>
      <c r="G1496" s="45">
        <v>10300</v>
      </c>
      <c r="H1496" s="45">
        <v>61.8</v>
      </c>
    </row>
    <row r="1497" spans="1:8">
      <c r="A1497" s="78">
        <v>130745282565</v>
      </c>
      <c r="B1497" s="1" t="s">
        <v>2055</v>
      </c>
      <c r="C1497" s="44" t="s">
        <v>2282</v>
      </c>
      <c r="D1497" s="1" t="s">
        <v>2057</v>
      </c>
      <c r="E1497" s="44" t="s">
        <v>2282</v>
      </c>
      <c r="F1497" s="38" t="s">
        <v>2058</v>
      </c>
      <c r="G1497" s="45">
        <v>18700</v>
      </c>
      <c r="H1497" s="45">
        <v>112.2</v>
      </c>
    </row>
    <row r="1498" spans="1:8">
      <c r="A1498" s="78">
        <v>131334683124</v>
      </c>
      <c r="B1498" s="1" t="s">
        <v>8</v>
      </c>
      <c r="C1498" s="44" t="s">
        <v>2282</v>
      </c>
      <c r="D1498" s="1" t="s">
        <v>2057</v>
      </c>
      <c r="E1498" s="44" t="s">
        <v>2282</v>
      </c>
      <c r="F1498" s="38" t="s">
        <v>2058</v>
      </c>
      <c r="G1498" s="45">
        <v>39500</v>
      </c>
      <c r="H1498" s="45">
        <v>237</v>
      </c>
    </row>
    <row r="1499" spans="1:8">
      <c r="A1499" s="78">
        <v>131334970938</v>
      </c>
      <c r="B1499" s="1" t="s">
        <v>8</v>
      </c>
      <c r="C1499" s="44" t="s">
        <v>2282</v>
      </c>
      <c r="D1499" s="1" t="s">
        <v>2057</v>
      </c>
      <c r="E1499" s="44" t="s">
        <v>2290</v>
      </c>
      <c r="F1499" s="38" t="s">
        <v>2058</v>
      </c>
      <c r="G1499" s="45">
        <v>4200</v>
      </c>
      <c r="H1499" s="45">
        <v>25.2</v>
      </c>
    </row>
    <row r="1500" spans="1:8">
      <c r="A1500" s="78">
        <v>130747270087</v>
      </c>
      <c r="B1500" s="1" t="s">
        <v>8</v>
      </c>
      <c r="C1500" s="44" t="s">
        <v>2282</v>
      </c>
      <c r="D1500" s="1" t="s">
        <v>2057</v>
      </c>
      <c r="E1500" s="44" t="s">
        <v>2290</v>
      </c>
      <c r="F1500" s="38" t="s">
        <v>2058</v>
      </c>
      <c r="G1500" s="45">
        <v>49300</v>
      </c>
      <c r="H1500" s="45">
        <v>295.8</v>
      </c>
    </row>
    <row r="1501" spans="1:8">
      <c r="A1501" s="78">
        <v>130820163603</v>
      </c>
      <c r="B1501" s="1" t="s">
        <v>8</v>
      </c>
      <c r="C1501" s="44" t="s">
        <v>2290</v>
      </c>
      <c r="D1501" s="1" t="s">
        <v>2057</v>
      </c>
      <c r="E1501" s="44" t="s">
        <v>2290</v>
      </c>
      <c r="F1501" s="38" t="s">
        <v>2058</v>
      </c>
      <c r="G1501" s="45">
        <v>8800</v>
      </c>
      <c r="H1501" s="45">
        <v>52.8</v>
      </c>
    </row>
    <row r="1502" spans="1:8">
      <c r="A1502" s="78">
        <v>131408840112</v>
      </c>
      <c r="B1502" s="1" t="s">
        <v>8</v>
      </c>
      <c r="C1502" s="44" t="s">
        <v>2290</v>
      </c>
      <c r="D1502" s="1" t="s">
        <v>2057</v>
      </c>
      <c r="E1502" s="44" t="s">
        <v>2290</v>
      </c>
      <c r="F1502" s="38" t="s">
        <v>2058</v>
      </c>
      <c r="G1502" s="45">
        <v>8800</v>
      </c>
      <c r="H1502" s="45">
        <v>52.8</v>
      </c>
    </row>
    <row r="1503" spans="1:8">
      <c r="A1503" s="78">
        <v>130822112395</v>
      </c>
      <c r="B1503" s="1" t="s">
        <v>8</v>
      </c>
      <c r="C1503" s="44" t="s">
        <v>2290</v>
      </c>
      <c r="D1503" s="1" t="s">
        <v>2057</v>
      </c>
      <c r="E1503" s="44" t="s">
        <v>2290</v>
      </c>
      <c r="F1503" s="38" t="s">
        <v>2058</v>
      </c>
      <c r="G1503" s="45">
        <v>4800</v>
      </c>
      <c r="H1503" s="45">
        <v>28.8</v>
      </c>
    </row>
    <row r="1504" spans="1:8">
      <c r="A1504" s="78">
        <v>130822354383</v>
      </c>
      <c r="B1504" s="1" t="s">
        <v>8</v>
      </c>
      <c r="C1504" s="44" t="s">
        <v>2290</v>
      </c>
      <c r="D1504" s="1" t="s">
        <v>2057</v>
      </c>
      <c r="E1504" s="44" t="s">
        <v>2290</v>
      </c>
      <c r="F1504" s="38" t="s">
        <v>2058</v>
      </c>
      <c r="G1504" s="45">
        <v>4900</v>
      </c>
      <c r="H1504" s="45">
        <v>29.4</v>
      </c>
    </row>
    <row r="1505" spans="1:8">
      <c r="A1505" s="78">
        <v>131410397354</v>
      </c>
      <c r="B1505" s="1" t="s">
        <v>8</v>
      </c>
      <c r="C1505" s="44" t="s">
        <v>2290</v>
      </c>
      <c r="D1505" s="1" t="s">
        <v>2057</v>
      </c>
      <c r="E1505" s="44" t="s">
        <v>2290</v>
      </c>
      <c r="F1505" s="38" t="s">
        <v>2058</v>
      </c>
      <c r="G1505" s="45">
        <v>27050</v>
      </c>
      <c r="H1505" s="45">
        <v>162.30000000000001</v>
      </c>
    </row>
    <row r="1506" spans="1:8">
      <c r="A1506" s="78">
        <v>131411820276</v>
      </c>
      <c r="B1506" s="1" t="s">
        <v>8</v>
      </c>
      <c r="C1506" s="44" t="s">
        <v>2290</v>
      </c>
      <c r="D1506" s="1" t="s">
        <v>2057</v>
      </c>
      <c r="E1506" s="44" t="s">
        <v>2290</v>
      </c>
      <c r="F1506" s="38" t="s">
        <v>2058</v>
      </c>
      <c r="G1506" s="45">
        <v>27900</v>
      </c>
      <c r="H1506" s="45">
        <v>167.4</v>
      </c>
    </row>
    <row r="1507" spans="1:8">
      <c r="A1507" s="78">
        <v>131412096670</v>
      </c>
      <c r="B1507" s="1" t="s">
        <v>8</v>
      </c>
      <c r="C1507" s="44" t="s">
        <v>2290</v>
      </c>
      <c r="D1507" s="1" t="s">
        <v>2057</v>
      </c>
      <c r="E1507" s="44" t="s">
        <v>2290</v>
      </c>
      <c r="F1507" s="38" t="s">
        <v>2058</v>
      </c>
      <c r="G1507" s="45">
        <v>14500</v>
      </c>
      <c r="H1507" s="45">
        <v>87</v>
      </c>
    </row>
    <row r="1508" spans="1:8">
      <c r="A1508" s="78">
        <v>130824828049</v>
      </c>
      <c r="B1508" s="1" t="s">
        <v>2055</v>
      </c>
      <c r="C1508" s="44" t="s">
        <v>2290</v>
      </c>
      <c r="D1508" s="1" t="s">
        <v>2057</v>
      </c>
      <c r="E1508" s="44" t="s">
        <v>2290</v>
      </c>
      <c r="F1508" s="38" t="s">
        <v>2058</v>
      </c>
      <c r="G1508" s="45">
        <v>63000</v>
      </c>
      <c r="H1508" s="45">
        <v>378</v>
      </c>
    </row>
    <row r="1509" spans="1:8">
      <c r="A1509" s="78">
        <v>131414928320</v>
      </c>
      <c r="B1509" s="1" t="s">
        <v>2055</v>
      </c>
      <c r="C1509" s="44" t="s">
        <v>2290</v>
      </c>
      <c r="D1509" s="1" t="s">
        <v>2057</v>
      </c>
      <c r="E1509" s="44" t="s">
        <v>2290</v>
      </c>
      <c r="F1509" s="38" t="s">
        <v>2058</v>
      </c>
      <c r="G1509" s="45">
        <v>18800</v>
      </c>
      <c r="H1509" s="45">
        <v>112.8</v>
      </c>
    </row>
    <row r="1510" spans="1:8">
      <c r="A1510" s="78">
        <v>131415785166</v>
      </c>
      <c r="B1510" s="1" t="s">
        <v>2293</v>
      </c>
      <c r="C1510" s="44" t="s">
        <v>2290</v>
      </c>
      <c r="D1510" s="1" t="s">
        <v>2057</v>
      </c>
      <c r="E1510" s="44" t="s">
        <v>2290</v>
      </c>
      <c r="F1510" s="38" t="s">
        <v>2058</v>
      </c>
      <c r="G1510" s="45">
        <v>1845</v>
      </c>
      <c r="H1510" s="45">
        <v>11.07</v>
      </c>
    </row>
    <row r="1511" spans="1:8">
      <c r="A1511" s="78">
        <v>131415773332</v>
      </c>
      <c r="B1511" s="1" t="s">
        <v>8</v>
      </c>
      <c r="C1511" s="44" t="s">
        <v>2290</v>
      </c>
      <c r="D1511" s="1" t="s">
        <v>2057</v>
      </c>
      <c r="E1511" s="44" t="s">
        <v>2290</v>
      </c>
      <c r="F1511" s="38" t="s">
        <v>2058</v>
      </c>
      <c r="G1511" s="45">
        <v>36900</v>
      </c>
      <c r="H1511" s="45">
        <v>221.4</v>
      </c>
    </row>
    <row r="1512" spans="1:8">
      <c r="A1512" s="78">
        <v>131419481488</v>
      </c>
      <c r="B1512" s="1" t="s">
        <v>2055</v>
      </c>
      <c r="C1512" s="44" t="s">
        <v>2290</v>
      </c>
      <c r="D1512" s="1" t="s">
        <v>2057</v>
      </c>
      <c r="E1512" s="44" t="s">
        <v>2290</v>
      </c>
      <c r="F1512" s="38" t="s">
        <v>2058</v>
      </c>
      <c r="G1512" s="45">
        <v>49000</v>
      </c>
      <c r="H1512" s="45">
        <v>294</v>
      </c>
    </row>
    <row r="1513" spans="1:8">
      <c r="A1513" s="78">
        <v>131406329738</v>
      </c>
      <c r="B1513" s="1" t="s">
        <v>8</v>
      </c>
      <c r="C1513" s="44" t="s">
        <v>2290</v>
      </c>
      <c r="D1513" s="1" t="s">
        <v>2057</v>
      </c>
      <c r="E1513" s="44" t="s">
        <v>2290</v>
      </c>
      <c r="F1513" s="38" t="s">
        <v>2058</v>
      </c>
      <c r="G1513" s="45">
        <v>6000</v>
      </c>
      <c r="H1513" s="45">
        <v>36</v>
      </c>
    </row>
    <row r="1514" spans="1:8">
      <c r="A1514" s="78">
        <v>131420714572</v>
      </c>
      <c r="B1514" s="1" t="s">
        <v>8</v>
      </c>
      <c r="C1514" s="44" t="s">
        <v>2290</v>
      </c>
      <c r="D1514" s="1" t="s">
        <v>2057</v>
      </c>
      <c r="E1514" s="44" t="s">
        <v>2290</v>
      </c>
      <c r="F1514" s="38" t="s">
        <v>2058</v>
      </c>
      <c r="G1514" s="45">
        <v>30700</v>
      </c>
      <c r="H1514" s="45">
        <v>184.2</v>
      </c>
    </row>
    <row r="1515" spans="1:8">
      <c r="A1515" s="78">
        <v>130819415363</v>
      </c>
      <c r="B1515" s="1" t="s">
        <v>2055</v>
      </c>
      <c r="C1515" s="44" t="s">
        <v>2290</v>
      </c>
      <c r="D1515" s="1" t="s">
        <v>2057</v>
      </c>
      <c r="E1515" s="44" t="s">
        <v>2290</v>
      </c>
      <c r="F1515" s="38" t="s">
        <v>2058</v>
      </c>
      <c r="G1515" s="45">
        <v>12400</v>
      </c>
      <c r="H1515" s="45">
        <v>74.400000000000006</v>
      </c>
    </row>
    <row r="1516" spans="1:8">
      <c r="A1516" s="78">
        <v>131420822362</v>
      </c>
      <c r="B1516" s="1" t="s">
        <v>2055</v>
      </c>
      <c r="C1516" s="44" t="s">
        <v>2290</v>
      </c>
      <c r="D1516" s="1" t="s">
        <v>2057</v>
      </c>
      <c r="E1516" s="44" t="s">
        <v>2290</v>
      </c>
      <c r="F1516" s="38" t="s">
        <v>2058</v>
      </c>
      <c r="G1516" s="45">
        <v>15100</v>
      </c>
      <c r="H1516" s="45">
        <v>90.6</v>
      </c>
    </row>
    <row r="1517" spans="1:8">
      <c r="A1517" s="78">
        <v>130833937323</v>
      </c>
      <c r="B1517" s="1" t="s">
        <v>2294</v>
      </c>
      <c r="C1517" s="44" t="s">
        <v>2290</v>
      </c>
      <c r="D1517" s="1" t="s">
        <v>2057</v>
      </c>
      <c r="E1517" s="44" t="s">
        <v>2295</v>
      </c>
      <c r="F1517" s="38" t="s">
        <v>2058</v>
      </c>
      <c r="G1517" s="45">
        <v>3760</v>
      </c>
      <c r="H1517" s="45">
        <v>22.56</v>
      </c>
    </row>
    <row r="1518" spans="1:8">
      <c r="A1518" s="78">
        <v>131422078742</v>
      </c>
      <c r="B1518" s="1" t="s">
        <v>8</v>
      </c>
      <c r="C1518" s="44" t="s">
        <v>2290</v>
      </c>
      <c r="D1518" s="1" t="s">
        <v>2057</v>
      </c>
      <c r="E1518" s="44" t="s">
        <v>2295</v>
      </c>
      <c r="F1518" s="38" t="s">
        <v>2058</v>
      </c>
      <c r="G1518" s="45">
        <v>75200</v>
      </c>
      <c r="H1518" s="45">
        <v>451.2</v>
      </c>
    </row>
    <row r="1519" spans="1:8">
      <c r="A1519" s="78">
        <v>131422130626</v>
      </c>
      <c r="B1519" s="1" t="s">
        <v>2055</v>
      </c>
      <c r="C1519" s="44" t="s">
        <v>2290</v>
      </c>
      <c r="D1519" s="1" t="s">
        <v>2057</v>
      </c>
      <c r="E1519" s="44" t="s">
        <v>2295</v>
      </c>
      <c r="F1519" s="38" t="s">
        <v>2058</v>
      </c>
      <c r="G1519" s="45">
        <v>50500</v>
      </c>
      <c r="H1519" s="45">
        <v>303</v>
      </c>
    </row>
    <row r="1520" spans="1:8">
      <c r="A1520" s="78">
        <v>131409048748</v>
      </c>
      <c r="B1520" s="1" t="s">
        <v>8</v>
      </c>
      <c r="C1520" s="44" t="s">
        <v>2290</v>
      </c>
      <c r="D1520" s="1" t="s">
        <v>2057</v>
      </c>
      <c r="E1520" s="44" t="s">
        <v>2290</v>
      </c>
      <c r="F1520" s="38" t="s">
        <v>2058</v>
      </c>
      <c r="G1520" s="45">
        <v>33800</v>
      </c>
      <c r="H1520" s="45">
        <v>202.8</v>
      </c>
    </row>
    <row r="1521" spans="1:8">
      <c r="A1521" s="78">
        <v>130835123143</v>
      </c>
      <c r="B1521" s="1" t="s">
        <v>8</v>
      </c>
      <c r="C1521" s="44" t="s">
        <v>2290</v>
      </c>
      <c r="D1521" s="1" t="s">
        <v>2057</v>
      </c>
      <c r="E1521" s="44" t="s">
        <v>2295</v>
      </c>
      <c r="F1521" s="38" t="s">
        <v>2058</v>
      </c>
      <c r="G1521" s="45">
        <v>4200</v>
      </c>
      <c r="H1521" s="45">
        <v>25.2</v>
      </c>
    </row>
    <row r="1522" spans="1:8">
      <c r="A1522" s="78">
        <v>130836071205</v>
      </c>
      <c r="B1522" s="1" t="s">
        <v>8</v>
      </c>
      <c r="C1522" s="44" t="s">
        <v>2295</v>
      </c>
      <c r="D1522" s="1" t="s">
        <v>2057</v>
      </c>
      <c r="E1522" s="44" t="s">
        <v>2295</v>
      </c>
      <c r="F1522" s="38" t="s">
        <v>2058</v>
      </c>
      <c r="G1522" s="45">
        <v>9600</v>
      </c>
      <c r="H1522" s="45">
        <v>57.6</v>
      </c>
    </row>
    <row r="1523" spans="1:8">
      <c r="A1523" s="78">
        <v>131424102768</v>
      </c>
      <c r="B1523" s="1" t="s">
        <v>8</v>
      </c>
      <c r="C1523" s="44" t="s">
        <v>2295</v>
      </c>
      <c r="D1523" s="1" t="s">
        <v>2057</v>
      </c>
      <c r="E1523" s="44" t="s">
        <v>2295</v>
      </c>
      <c r="F1523" s="38" t="s">
        <v>2058</v>
      </c>
      <c r="G1523" s="45">
        <v>93300</v>
      </c>
      <c r="H1523" s="45">
        <v>559.79999999999995</v>
      </c>
    </row>
    <row r="1524" spans="1:8">
      <c r="A1524" s="78">
        <v>130824133399</v>
      </c>
      <c r="B1524" s="1" t="s">
        <v>2055</v>
      </c>
      <c r="C1524" s="44" t="s">
        <v>2290</v>
      </c>
      <c r="D1524" s="1" t="s">
        <v>2057</v>
      </c>
      <c r="E1524" s="44" t="s">
        <v>2290</v>
      </c>
      <c r="F1524" s="38" t="s">
        <v>2058</v>
      </c>
      <c r="G1524" s="45">
        <v>16400</v>
      </c>
      <c r="H1524" s="45">
        <v>98.4</v>
      </c>
    </row>
    <row r="1525" spans="1:8">
      <c r="A1525" s="78">
        <v>130824222455</v>
      </c>
      <c r="B1525" s="1" t="s">
        <v>2055</v>
      </c>
      <c r="C1525" s="44" t="s">
        <v>2290</v>
      </c>
      <c r="D1525" s="1" t="s">
        <v>2057</v>
      </c>
      <c r="E1525" s="44" t="s">
        <v>2290</v>
      </c>
      <c r="F1525" s="38" t="s">
        <v>2058</v>
      </c>
      <c r="G1525" s="45">
        <v>65500</v>
      </c>
      <c r="H1525" s="45">
        <v>393</v>
      </c>
    </row>
    <row r="1526" spans="1:8">
      <c r="A1526" s="78">
        <v>131425827694</v>
      </c>
      <c r="B1526" s="1" t="s">
        <v>8</v>
      </c>
      <c r="C1526" s="44" t="s">
        <v>2295</v>
      </c>
      <c r="D1526" s="1" t="s">
        <v>2057</v>
      </c>
      <c r="E1526" s="44" t="s">
        <v>2295</v>
      </c>
      <c r="F1526" s="38" t="s">
        <v>2058</v>
      </c>
      <c r="G1526" s="45">
        <v>20000</v>
      </c>
      <c r="H1526" s="45">
        <v>120</v>
      </c>
    </row>
    <row r="1527" spans="1:8">
      <c r="A1527" s="78">
        <v>130826569483</v>
      </c>
      <c r="B1527" s="1" t="s">
        <v>8</v>
      </c>
      <c r="C1527" s="44" t="s">
        <v>2290</v>
      </c>
      <c r="D1527" s="1" t="s">
        <v>2057</v>
      </c>
      <c r="E1527" s="44" t="s">
        <v>2290</v>
      </c>
      <c r="F1527" s="38" t="s">
        <v>2058</v>
      </c>
      <c r="G1527" s="45">
        <v>82500</v>
      </c>
      <c r="H1527" s="45">
        <v>495</v>
      </c>
    </row>
    <row r="1528" spans="1:8">
      <c r="A1528" s="78">
        <v>130837987485</v>
      </c>
      <c r="B1528" s="1" t="s">
        <v>2055</v>
      </c>
      <c r="C1528" s="44" t="s">
        <v>2295</v>
      </c>
      <c r="D1528" s="1" t="s">
        <v>2057</v>
      </c>
      <c r="E1528" s="44" t="s">
        <v>2295</v>
      </c>
      <c r="F1528" s="38" t="s">
        <v>2058</v>
      </c>
      <c r="G1528" s="45">
        <v>17400</v>
      </c>
      <c r="H1528" s="45">
        <v>104.4</v>
      </c>
    </row>
    <row r="1529" spans="1:8">
      <c r="A1529" s="78">
        <v>130826888049</v>
      </c>
      <c r="B1529" s="1" t="s">
        <v>8</v>
      </c>
      <c r="C1529" s="44" t="s">
        <v>2290</v>
      </c>
      <c r="D1529" s="1" t="s">
        <v>2057</v>
      </c>
      <c r="E1529" s="44" t="s">
        <v>2290</v>
      </c>
      <c r="F1529" s="38" t="s">
        <v>2058</v>
      </c>
      <c r="G1529" s="45">
        <v>33400</v>
      </c>
      <c r="H1529" s="45">
        <v>200.4</v>
      </c>
    </row>
    <row r="1530" spans="1:8">
      <c r="A1530" s="78">
        <v>131415465152</v>
      </c>
      <c r="B1530" s="1" t="s">
        <v>8</v>
      </c>
      <c r="C1530" s="44" t="s">
        <v>2290</v>
      </c>
      <c r="D1530" s="1" t="s">
        <v>2057</v>
      </c>
      <c r="E1530" s="44" t="s">
        <v>2290</v>
      </c>
      <c r="F1530" s="38" t="s">
        <v>2058</v>
      </c>
      <c r="G1530" s="45">
        <v>13400</v>
      </c>
      <c r="H1530" s="45">
        <v>80.400000000000006</v>
      </c>
    </row>
    <row r="1531" spans="1:8">
      <c r="A1531" s="78">
        <v>131416326220</v>
      </c>
      <c r="B1531" s="1" t="s">
        <v>8</v>
      </c>
      <c r="C1531" s="44" t="s">
        <v>2290</v>
      </c>
      <c r="D1531" s="1" t="s">
        <v>2057</v>
      </c>
      <c r="E1531" s="44" t="s">
        <v>2290</v>
      </c>
      <c r="F1531" s="38" t="s">
        <v>2058</v>
      </c>
      <c r="G1531" s="45">
        <v>66400</v>
      </c>
      <c r="H1531" s="45">
        <v>398.4</v>
      </c>
    </row>
    <row r="1532" spans="1:8">
      <c r="A1532" s="78">
        <v>130829133981</v>
      </c>
      <c r="B1532" s="1" t="s">
        <v>8</v>
      </c>
      <c r="C1532" s="44" t="s">
        <v>2290</v>
      </c>
      <c r="D1532" s="1" t="s">
        <v>2057</v>
      </c>
      <c r="E1532" s="44" t="s">
        <v>2290</v>
      </c>
      <c r="F1532" s="38" t="s">
        <v>2058</v>
      </c>
      <c r="G1532" s="45">
        <v>99000</v>
      </c>
      <c r="H1532" s="45">
        <v>594</v>
      </c>
    </row>
    <row r="1533" spans="1:8">
      <c r="A1533" s="78">
        <v>131417185922</v>
      </c>
      <c r="B1533" s="1" t="s">
        <v>8</v>
      </c>
      <c r="C1533" s="44" t="s">
        <v>2290</v>
      </c>
      <c r="D1533" s="1" t="s">
        <v>2057</v>
      </c>
      <c r="E1533" s="44" t="s">
        <v>2290</v>
      </c>
      <c r="F1533" s="38" t="s">
        <v>2058</v>
      </c>
      <c r="G1533" s="45">
        <v>67200</v>
      </c>
      <c r="H1533" s="45">
        <v>403.2</v>
      </c>
    </row>
    <row r="1534" spans="1:8">
      <c r="A1534" s="78">
        <v>131417419112</v>
      </c>
      <c r="B1534" s="1" t="s">
        <v>8</v>
      </c>
      <c r="C1534" s="44" t="s">
        <v>2290</v>
      </c>
      <c r="D1534" s="1" t="s">
        <v>2057</v>
      </c>
      <c r="E1534" s="44" t="s">
        <v>2290</v>
      </c>
      <c r="F1534" s="38" t="s">
        <v>2058</v>
      </c>
      <c r="G1534" s="45">
        <v>78000</v>
      </c>
      <c r="H1534" s="45">
        <v>468</v>
      </c>
    </row>
    <row r="1535" spans="1:8">
      <c r="A1535" s="78">
        <v>130829417965</v>
      </c>
      <c r="B1535" s="1" t="s">
        <v>2296</v>
      </c>
      <c r="C1535" s="44" t="s">
        <v>2290</v>
      </c>
      <c r="D1535" s="1" t="s">
        <v>2057</v>
      </c>
      <c r="E1535" s="44" t="s">
        <v>2290</v>
      </c>
      <c r="F1535" s="38" t="s">
        <v>2058</v>
      </c>
      <c r="G1535" s="45">
        <v>3900</v>
      </c>
      <c r="H1535" s="45">
        <v>23.4</v>
      </c>
    </row>
    <row r="1536" spans="1:8">
      <c r="A1536" s="78">
        <v>130829609829</v>
      </c>
      <c r="B1536" s="1" t="s">
        <v>8</v>
      </c>
      <c r="C1536" s="44" t="s">
        <v>2290</v>
      </c>
      <c r="D1536" s="1" t="s">
        <v>2057</v>
      </c>
      <c r="E1536" s="44" t="s">
        <v>2290</v>
      </c>
      <c r="F1536" s="38" t="s">
        <v>2058</v>
      </c>
      <c r="G1536" s="45">
        <v>25100</v>
      </c>
      <c r="H1536" s="45">
        <v>150.6</v>
      </c>
    </row>
    <row r="1537" spans="1:8">
      <c r="A1537" s="78">
        <v>130829896373</v>
      </c>
      <c r="B1537" s="1" t="s">
        <v>8</v>
      </c>
      <c r="C1537" s="44" t="s">
        <v>2290</v>
      </c>
      <c r="D1537" s="1" t="s">
        <v>2057</v>
      </c>
      <c r="E1537" s="44" t="s">
        <v>2290</v>
      </c>
      <c r="F1537" s="38" t="s">
        <v>2058</v>
      </c>
      <c r="G1537" s="45">
        <v>70200</v>
      </c>
      <c r="H1537" s="45">
        <v>421.2</v>
      </c>
    </row>
    <row r="1538" spans="1:8">
      <c r="A1538" s="78">
        <v>131418186586</v>
      </c>
      <c r="B1538" s="1" t="s">
        <v>8</v>
      </c>
      <c r="C1538" s="44" t="s">
        <v>2290</v>
      </c>
      <c r="D1538" s="1" t="s">
        <v>2057</v>
      </c>
      <c r="E1538" s="44" t="s">
        <v>2290</v>
      </c>
      <c r="F1538" s="38" t="s">
        <v>2058</v>
      </c>
      <c r="G1538" s="45">
        <v>39000</v>
      </c>
      <c r="H1538" s="45">
        <v>234</v>
      </c>
    </row>
    <row r="1539" spans="1:8">
      <c r="A1539" s="78">
        <v>130830174093</v>
      </c>
      <c r="B1539" s="1" t="s">
        <v>8</v>
      </c>
      <c r="C1539" s="44" t="s">
        <v>2290</v>
      </c>
      <c r="D1539" s="1" t="s">
        <v>2057</v>
      </c>
      <c r="E1539" s="44" t="s">
        <v>2290</v>
      </c>
      <c r="F1539" s="38" t="s">
        <v>2058</v>
      </c>
      <c r="G1539" s="45">
        <v>44600</v>
      </c>
      <c r="H1539" s="45">
        <v>267.60000000000002</v>
      </c>
    </row>
    <row r="1540" spans="1:8">
      <c r="A1540" s="78">
        <v>131419980308</v>
      </c>
      <c r="B1540" s="1" t="s">
        <v>8</v>
      </c>
      <c r="C1540" s="44" t="s">
        <v>2290</v>
      </c>
      <c r="D1540" s="1" t="s">
        <v>2057</v>
      </c>
      <c r="E1540" s="44" t="s">
        <v>2290</v>
      </c>
      <c r="F1540" s="38" t="s">
        <v>2058</v>
      </c>
      <c r="G1540" s="45">
        <v>40100</v>
      </c>
      <c r="H1540" s="45">
        <v>240.6</v>
      </c>
    </row>
    <row r="1541" spans="1:8">
      <c r="A1541" s="78">
        <v>130832024389</v>
      </c>
      <c r="B1541" s="1" t="s">
        <v>2297</v>
      </c>
      <c r="C1541" s="44" t="s">
        <v>2290</v>
      </c>
      <c r="D1541" s="1" t="s">
        <v>2057</v>
      </c>
      <c r="E1541" s="44" t="s">
        <v>2290</v>
      </c>
      <c r="F1541" s="38" t="s">
        <v>2058</v>
      </c>
      <c r="G1541" s="45">
        <v>2005</v>
      </c>
      <c r="H1541" s="45">
        <v>12.03</v>
      </c>
    </row>
    <row r="1542" spans="1:8">
      <c r="A1542" s="78">
        <v>131420014070</v>
      </c>
      <c r="B1542" s="1" t="s">
        <v>8</v>
      </c>
      <c r="C1542" s="44" t="s">
        <v>2290</v>
      </c>
      <c r="D1542" s="1" t="s">
        <v>2057</v>
      </c>
      <c r="E1542" s="44" t="s">
        <v>2290</v>
      </c>
      <c r="F1542" s="38" t="s">
        <v>2058</v>
      </c>
      <c r="G1542" s="45">
        <v>61400</v>
      </c>
      <c r="H1542" s="45">
        <v>368.4</v>
      </c>
    </row>
    <row r="1543" spans="1:8">
      <c r="A1543" s="78">
        <v>130832190117</v>
      </c>
      <c r="B1543" s="1" t="s">
        <v>8</v>
      </c>
      <c r="C1543" s="44" t="s">
        <v>2290</v>
      </c>
      <c r="D1543" s="1" t="s">
        <v>2057</v>
      </c>
      <c r="E1543" s="44" t="s">
        <v>2290</v>
      </c>
      <c r="F1543" s="38" t="s">
        <v>2058</v>
      </c>
      <c r="G1543" s="45">
        <v>29500</v>
      </c>
      <c r="H1543" s="45">
        <v>177</v>
      </c>
    </row>
    <row r="1544" spans="1:8">
      <c r="A1544" s="78">
        <v>131420396454</v>
      </c>
      <c r="B1544" s="1" t="s">
        <v>8</v>
      </c>
      <c r="C1544" s="44" t="s">
        <v>2290</v>
      </c>
      <c r="D1544" s="1" t="s">
        <v>2057</v>
      </c>
      <c r="E1544" s="44" t="s">
        <v>2290</v>
      </c>
      <c r="F1544" s="38" t="s">
        <v>2058</v>
      </c>
      <c r="G1544" s="45">
        <v>74400</v>
      </c>
      <c r="H1544" s="45">
        <v>446.4</v>
      </c>
    </row>
    <row r="1545" spans="1:8">
      <c r="A1545" s="78">
        <v>130832438629</v>
      </c>
      <c r="B1545" s="1" t="s">
        <v>8</v>
      </c>
      <c r="C1545" s="44" t="s">
        <v>2290</v>
      </c>
      <c r="D1545" s="1" t="s">
        <v>2057</v>
      </c>
      <c r="E1545" s="44" t="s">
        <v>2290</v>
      </c>
      <c r="F1545" s="38" t="s">
        <v>2058</v>
      </c>
      <c r="G1545" s="45">
        <v>34100</v>
      </c>
      <c r="H1545" s="45">
        <v>204.6</v>
      </c>
    </row>
    <row r="1546" spans="1:8">
      <c r="A1546" s="78">
        <v>130832886979</v>
      </c>
      <c r="B1546" s="1" t="s">
        <v>8</v>
      </c>
      <c r="C1546" s="44" t="s">
        <v>2290</v>
      </c>
      <c r="D1546" s="1" t="s">
        <v>2057</v>
      </c>
      <c r="E1546" s="44" t="s">
        <v>2290</v>
      </c>
      <c r="F1546" s="38" t="s">
        <v>2058</v>
      </c>
      <c r="G1546" s="45">
        <v>30600</v>
      </c>
      <c r="H1546" s="45">
        <v>183.6</v>
      </c>
    </row>
    <row r="1547" spans="1:8">
      <c r="A1547" s="78">
        <v>130833236173</v>
      </c>
      <c r="B1547" s="1" t="s">
        <v>8</v>
      </c>
      <c r="C1547" s="44" t="s">
        <v>2290</v>
      </c>
      <c r="D1547" s="1" t="s">
        <v>2057</v>
      </c>
      <c r="E1547" s="44" t="s">
        <v>2290</v>
      </c>
      <c r="F1547" s="38" t="s">
        <v>2058</v>
      </c>
      <c r="G1547" s="45">
        <v>36000</v>
      </c>
      <c r="H1547" s="45">
        <v>216</v>
      </c>
    </row>
    <row r="1548" spans="1:8">
      <c r="A1548" s="78">
        <v>131421083902</v>
      </c>
      <c r="B1548" s="1" t="s">
        <v>8</v>
      </c>
      <c r="C1548" s="44" t="s">
        <v>2290</v>
      </c>
      <c r="D1548" s="1" t="s">
        <v>2057</v>
      </c>
      <c r="E1548" s="44" t="s">
        <v>2295</v>
      </c>
      <c r="F1548" s="38" t="s">
        <v>2058</v>
      </c>
      <c r="G1548" s="45">
        <v>207800</v>
      </c>
      <c r="H1548" s="45">
        <v>1246.8</v>
      </c>
    </row>
    <row r="1549" spans="1:8">
      <c r="A1549" s="78">
        <v>130833658261</v>
      </c>
      <c r="B1549" s="1" t="s">
        <v>2055</v>
      </c>
      <c r="C1549" s="44" t="s">
        <v>2290</v>
      </c>
      <c r="D1549" s="1" t="s">
        <v>2057</v>
      </c>
      <c r="E1549" s="44" t="s">
        <v>2295</v>
      </c>
      <c r="F1549" s="38" t="s">
        <v>2058</v>
      </c>
      <c r="G1549" s="45">
        <v>43800</v>
      </c>
      <c r="H1549" s="45">
        <v>262.8</v>
      </c>
    </row>
    <row r="1550" spans="1:8">
      <c r="A1550" s="78">
        <v>130835087415</v>
      </c>
      <c r="B1550" s="1" t="s">
        <v>2298</v>
      </c>
      <c r="C1550" s="44" t="s">
        <v>2290</v>
      </c>
      <c r="D1550" s="1" t="s">
        <v>2057</v>
      </c>
      <c r="E1550" s="44" t="s">
        <v>2295</v>
      </c>
      <c r="F1550" s="38" t="s">
        <v>2058</v>
      </c>
      <c r="G1550" s="45">
        <v>420</v>
      </c>
      <c r="H1550" s="45">
        <v>2.52</v>
      </c>
    </row>
    <row r="1551" spans="1:8">
      <c r="A1551" s="78">
        <v>130835214777</v>
      </c>
      <c r="B1551" s="1" t="s">
        <v>8</v>
      </c>
      <c r="C1551" s="44" t="s">
        <v>2290</v>
      </c>
      <c r="D1551" s="1" t="s">
        <v>2057</v>
      </c>
      <c r="E1551" s="44" t="s">
        <v>2295</v>
      </c>
      <c r="F1551" s="38" t="s">
        <v>2058</v>
      </c>
      <c r="G1551" s="45">
        <v>9400</v>
      </c>
      <c r="H1551" s="45">
        <v>56.4</v>
      </c>
    </row>
    <row r="1552" spans="1:8">
      <c r="A1552" s="78">
        <v>131423917348</v>
      </c>
      <c r="B1552" s="1" t="s">
        <v>8</v>
      </c>
      <c r="C1552" s="44" t="s">
        <v>2295</v>
      </c>
      <c r="D1552" s="1" t="s">
        <v>2057</v>
      </c>
      <c r="E1552" s="44" t="s">
        <v>2295</v>
      </c>
      <c r="F1552" s="38" t="s">
        <v>2058</v>
      </c>
      <c r="G1552" s="45">
        <v>28800</v>
      </c>
      <c r="H1552" s="45">
        <v>172.8</v>
      </c>
    </row>
    <row r="1553" spans="1:8">
      <c r="A1553" s="78">
        <v>130866282799</v>
      </c>
      <c r="B1553" s="1" t="s">
        <v>8</v>
      </c>
      <c r="C1553" s="44" t="s">
        <v>2295</v>
      </c>
      <c r="D1553" s="1" t="s">
        <v>2057</v>
      </c>
      <c r="E1553" s="44" t="s">
        <v>2295</v>
      </c>
      <c r="F1553" s="38" t="s">
        <v>2058</v>
      </c>
      <c r="G1553" s="45">
        <v>76912.600000000006</v>
      </c>
      <c r="H1553" s="45">
        <v>461.48</v>
      </c>
    </row>
    <row r="1554" spans="1:8">
      <c r="A1554" s="78">
        <v>130865941389</v>
      </c>
      <c r="B1554" s="1" t="s">
        <v>8</v>
      </c>
      <c r="C1554" s="44" t="s">
        <v>2295</v>
      </c>
      <c r="D1554" s="1" t="s">
        <v>2057</v>
      </c>
      <c r="E1554" s="44" t="s">
        <v>2295</v>
      </c>
      <c r="F1554" s="38" t="s">
        <v>2058</v>
      </c>
      <c r="G1554" s="45">
        <v>105644.22</v>
      </c>
      <c r="H1554" s="45">
        <v>633.87</v>
      </c>
    </row>
    <row r="1555" spans="1:8">
      <c r="A1555" s="78">
        <v>131465299312</v>
      </c>
      <c r="B1555" s="1" t="s">
        <v>8</v>
      </c>
      <c r="C1555" s="44" t="s">
        <v>2295</v>
      </c>
      <c r="D1555" s="1" t="s">
        <v>2057</v>
      </c>
      <c r="E1555" s="44" t="s">
        <v>2295</v>
      </c>
      <c r="F1555" s="38" t="s">
        <v>2058</v>
      </c>
      <c r="G1555" s="45">
        <v>138198.41</v>
      </c>
      <c r="H1555" s="45">
        <v>829.19</v>
      </c>
    </row>
    <row r="1556" spans="1:8">
      <c r="A1556" s="78">
        <v>130866917027</v>
      </c>
      <c r="B1556" s="1" t="s">
        <v>8</v>
      </c>
      <c r="C1556" s="44" t="s">
        <v>2295</v>
      </c>
      <c r="D1556" s="1" t="s">
        <v>2057</v>
      </c>
      <c r="E1556" s="44" t="s">
        <v>2295</v>
      </c>
      <c r="F1556" s="38" t="s">
        <v>2058</v>
      </c>
      <c r="G1556" s="45">
        <v>254327</v>
      </c>
      <c r="H1556" s="45">
        <v>1525.96</v>
      </c>
    </row>
    <row r="1557" spans="1:8">
      <c r="A1557" s="78">
        <v>130874468153</v>
      </c>
      <c r="B1557" s="1" t="s">
        <v>8</v>
      </c>
      <c r="C1557" s="44" t="s">
        <v>2295</v>
      </c>
      <c r="D1557" s="1" t="s">
        <v>2057</v>
      </c>
      <c r="E1557" s="44" t="s">
        <v>2295</v>
      </c>
      <c r="F1557" s="38" t="s">
        <v>2058</v>
      </c>
      <c r="G1557" s="45">
        <v>25668</v>
      </c>
      <c r="H1557" s="45">
        <v>154.01</v>
      </c>
    </row>
    <row r="1558" spans="1:8">
      <c r="A1558" s="78" t="s">
        <v>2300</v>
      </c>
      <c r="B1558" s="1" t="s">
        <v>8</v>
      </c>
      <c r="C1558" s="44" t="s">
        <v>2299</v>
      </c>
      <c r="D1558" s="1" t="s">
        <v>2057</v>
      </c>
      <c r="E1558" s="44" t="s">
        <v>2299</v>
      </c>
      <c r="F1558" s="38" t="s">
        <v>2058</v>
      </c>
      <c r="G1558" s="45">
        <v>886000</v>
      </c>
      <c r="H1558" s="45">
        <v>5316</v>
      </c>
    </row>
    <row r="1559" spans="1:8">
      <c r="A1559" s="78" t="s">
        <v>2301</v>
      </c>
      <c r="B1559" s="1" t="s">
        <v>8</v>
      </c>
      <c r="C1559" s="44" t="s">
        <v>2299</v>
      </c>
      <c r="D1559" s="1" t="s">
        <v>2057</v>
      </c>
      <c r="E1559" s="44" t="s">
        <v>2299</v>
      </c>
      <c r="F1559" s="38" t="s">
        <v>2058</v>
      </c>
      <c r="G1559" s="45">
        <v>724000</v>
      </c>
      <c r="H1559" s="45">
        <v>4344</v>
      </c>
    </row>
    <row r="1560" spans="1:8">
      <c r="A1560" s="78" t="s">
        <v>2302</v>
      </c>
      <c r="B1560" s="1" t="s">
        <v>8</v>
      </c>
      <c r="C1560" s="44" t="s">
        <v>2299</v>
      </c>
      <c r="D1560" s="1" t="s">
        <v>2057</v>
      </c>
      <c r="E1560" s="44" t="s">
        <v>2299</v>
      </c>
      <c r="F1560" s="38" t="s">
        <v>2058</v>
      </c>
      <c r="G1560" s="45">
        <v>1493699</v>
      </c>
      <c r="H1560" s="45">
        <v>8962.19</v>
      </c>
    </row>
    <row r="1561" spans="1:8">
      <c r="A1561" s="78">
        <v>131115803725</v>
      </c>
      <c r="B1561" s="1" t="s">
        <v>8</v>
      </c>
      <c r="C1561" s="44" t="s">
        <v>2303</v>
      </c>
      <c r="D1561" s="1" t="s">
        <v>2057</v>
      </c>
      <c r="E1561" s="44" t="s">
        <v>2303</v>
      </c>
      <c r="F1561" s="38" t="s">
        <v>2058</v>
      </c>
      <c r="G1561" s="45">
        <v>195300</v>
      </c>
      <c r="H1561" s="45">
        <v>1171.8</v>
      </c>
    </row>
    <row r="1562" spans="1:8">
      <c r="A1562" s="78" t="s">
        <v>2304</v>
      </c>
      <c r="B1562" s="1" t="s">
        <v>8</v>
      </c>
      <c r="C1562" s="44" t="s">
        <v>2303</v>
      </c>
      <c r="D1562" s="1" t="s">
        <v>2057</v>
      </c>
      <c r="E1562" s="44" t="s">
        <v>2303</v>
      </c>
      <c r="F1562" s="38" t="s">
        <v>2058</v>
      </c>
      <c r="G1562" s="45">
        <v>122800</v>
      </c>
      <c r="H1562" s="45">
        <v>736.8</v>
      </c>
    </row>
    <row r="1563" spans="1:8">
      <c r="A1563" s="78" t="s">
        <v>2305</v>
      </c>
      <c r="B1563" s="1" t="s">
        <v>8</v>
      </c>
      <c r="C1563" s="44" t="s">
        <v>2303</v>
      </c>
      <c r="D1563" s="1" t="s">
        <v>2057</v>
      </c>
      <c r="E1563" s="44" t="s">
        <v>2303</v>
      </c>
      <c r="F1563" s="38" t="s">
        <v>2058</v>
      </c>
      <c r="G1563" s="45">
        <v>147144.5</v>
      </c>
      <c r="H1563" s="45">
        <v>882.87</v>
      </c>
    </row>
    <row r="1564" spans="1:8">
      <c r="A1564" s="78" t="s">
        <v>2306</v>
      </c>
      <c r="B1564" s="1" t="s">
        <v>8</v>
      </c>
      <c r="C1564" s="44" t="s">
        <v>2303</v>
      </c>
      <c r="D1564" s="1" t="s">
        <v>2057</v>
      </c>
      <c r="E1564" s="44" t="s">
        <v>2303</v>
      </c>
      <c r="F1564" s="38" t="s">
        <v>2058</v>
      </c>
      <c r="G1564" s="45">
        <v>126810</v>
      </c>
      <c r="H1564" s="45">
        <v>760.86</v>
      </c>
    </row>
    <row r="1565" spans="1:8">
      <c r="A1565" s="78">
        <v>131129710683</v>
      </c>
      <c r="B1565" s="1" t="s">
        <v>8</v>
      </c>
      <c r="C1565" s="44" t="s">
        <v>2303</v>
      </c>
      <c r="D1565" s="1" t="s">
        <v>2057</v>
      </c>
      <c r="E1565" s="44" t="s">
        <v>2303</v>
      </c>
      <c r="F1565" s="38" t="s">
        <v>2058</v>
      </c>
      <c r="G1565" s="45">
        <v>200000</v>
      </c>
      <c r="H1565" s="45">
        <v>1200</v>
      </c>
    </row>
    <row r="1566" spans="1:8">
      <c r="A1566" s="78">
        <v>131769417760</v>
      </c>
      <c r="B1566" s="1" t="s">
        <v>8</v>
      </c>
      <c r="C1566" s="44" t="s">
        <v>2303</v>
      </c>
      <c r="D1566" s="1" t="s">
        <v>2057</v>
      </c>
      <c r="E1566" s="44" t="s">
        <v>2303</v>
      </c>
      <c r="F1566" s="38" t="s">
        <v>2058</v>
      </c>
      <c r="G1566" s="45">
        <v>45800</v>
      </c>
      <c r="H1566" s="45">
        <v>274.8</v>
      </c>
    </row>
    <row r="1567" spans="1:8">
      <c r="A1567" s="78">
        <v>131772095336</v>
      </c>
      <c r="B1567" s="1" t="s">
        <v>8</v>
      </c>
      <c r="C1567" s="44" t="s">
        <v>2303</v>
      </c>
      <c r="D1567" s="1" t="s">
        <v>2057</v>
      </c>
      <c r="E1567" s="44" t="s">
        <v>2303</v>
      </c>
      <c r="F1567" s="38" t="s">
        <v>2058</v>
      </c>
      <c r="G1567" s="45">
        <v>11999</v>
      </c>
      <c r="H1567" s="45">
        <v>71.989999999999995</v>
      </c>
    </row>
    <row r="1568" spans="1:8">
      <c r="A1568" s="78">
        <v>131181171991</v>
      </c>
      <c r="B1568" s="1" t="s">
        <v>2055</v>
      </c>
      <c r="C1568" s="44" t="s">
        <v>2303</v>
      </c>
      <c r="D1568" s="1" t="s">
        <v>2057</v>
      </c>
      <c r="E1568" s="44" t="s">
        <v>2303</v>
      </c>
      <c r="F1568" s="38" t="s">
        <v>2058</v>
      </c>
      <c r="G1568" s="45">
        <v>36699</v>
      </c>
      <c r="H1568" s="45">
        <v>220.19</v>
      </c>
    </row>
    <row r="1569" spans="1:8">
      <c r="A1569" s="78">
        <v>131778003664</v>
      </c>
      <c r="B1569" s="1" t="s">
        <v>8</v>
      </c>
      <c r="C1569" s="44" t="s">
        <v>2303</v>
      </c>
      <c r="D1569" s="1" t="s">
        <v>2057</v>
      </c>
      <c r="E1569" s="44" t="s">
        <v>2303</v>
      </c>
      <c r="F1569" s="38" t="s">
        <v>2058</v>
      </c>
      <c r="G1569" s="45">
        <v>50300</v>
      </c>
      <c r="H1569" s="45">
        <v>301.8</v>
      </c>
    </row>
    <row r="1570" spans="1:8">
      <c r="A1570" s="78">
        <v>131778463862</v>
      </c>
      <c r="B1570" s="1" t="s">
        <v>8</v>
      </c>
      <c r="C1570" s="44" t="s">
        <v>2303</v>
      </c>
      <c r="D1570" s="1" t="s">
        <v>2057</v>
      </c>
      <c r="E1570" s="44" t="s">
        <v>2303</v>
      </c>
      <c r="F1570" s="38" t="s">
        <v>2058</v>
      </c>
      <c r="G1570" s="45">
        <v>35997</v>
      </c>
      <c r="H1570" s="45">
        <v>215.98</v>
      </c>
    </row>
    <row r="1571" spans="1:8">
      <c r="A1571" s="78">
        <v>131778914868</v>
      </c>
      <c r="B1571" s="1" t="s">
        <v>8</v>
      </c>
      <c r="C1571" s="44" t="s">
        <v>2303</v>
      </c>
      <c r="D1571" s="1" t="s">
        <v>2057</v>
      </c>
      <c r="E1571" s="44" t="s">
        <v>2303</v>
      </c>
      <c r="F1571" s="38" t="s">
        <v>2058</v>
      </c>
      <c r="G1571" s="45">
        <v>35997</v>
      </c>
      <c r="H1571" s="45">
        <v>215.98</v>
      </c>
    </row>
    <row r="1572" spans="1:8">
      <c r="A1572" s="78">
        <v>131769443928</v>
      </c>
      <c r="B1572" s="1" t="s">
        <v>2307</v>
      </c>
      <c r="C1572" s="44" t="s">
        <v>2303</v>
      </c>
      <c r="D1572" s="1" t="s">
        <v>2057</v>
      </c>
      <c r="E1572" s="44" t="s">
        <v>2303</v>
      </c>
      <c r="F1572" s="38" t="s">
        <v>2058</v>
      </c>
      <c r="G1572" s="45">
        <v>4580</v>
      </c>
      <c r="H1572" s="45">
        <v>27.48</v>
      </c>
    </row>
    <row r="1573" spans="1:8">
      <c r="A1573" s="78">
        <v>131781695512</v>
      </c>
      <c r="B1573" s="1" t="s">
        <v>2055</v>
      </c>
      <c r="C1573" s="44" t="s">
        <v>2303</v>
      </c>
      <c r="D1573" s="1" t="s">
        <v>2057</v>
      </c>
      <c r="E1573" s="44" t="s">
        <v>2303</v>
      </c>
      <c r="F1573" s="38" t="s">
        <v>2058</v>
      </c>
      <c r="G1573" s="45">
        <v>49800</v>
      </c>
      <c r="H1573" s="45">
        <v>298.8</v>
      </c>
    </row>
    <row r="1574" spans="1:8">
      <c r="A1574" s="78">
        <v>131786100454</v>
      </c>
      <c r="B1574" s="1" t="s">
        <v>8</v>
      </c>
      <c r="C1574" s="44" t="s">
        <v>2303</v>
      </c>
      <c r="D1574" s="1" t="s">
        <v>2057</v>
      </c>
      <c r="E1574" s="44" t="s">
        <v>2308</v>
      </c>
      <c r="F1574" s="38" t="s">
        <v>2058</v>
      </c>
      <c r="G1574" s="45">
        <v>23998</v>
      </c>
      <c r="H1574" s="45">
        <v>143.99</v>
      </c>
    </row>
    <row r="1575" spans="1:8">
      <c r="A1575" s="78">
        <v>131180187819</v>
      </c>
      <c r="B1575" s="1" t="s">
        <v>2309</v>
      </c>
      <c r="C1575" s="44" t="s">
        <v>2303</v>
      </c>
      <c r="D1575" s="1" t="s">
        <v>2057</v>
      </c>
      <c r="E1575" s="44" t="s">
        <v>2303</v>
      </c>
      <c r="F1575" s="38" t="s">
        <v>2058</v>
      </c>
      <c r="G1575" s="45">
        <v>420</v>
      </c>
      <c r="H1575" s="45">
        <v>2.52</v>
      </c>
    </row>
    <row r="1576" spans="1:8">
      <c r="A1576" s="78">
        <v>131774856988</v>
      </c>
      <c r="B1576" s="1" t="s">
        <v>8</v>
      </c>
      <c r="C1576" s="44" t="s">
        <v>2303</v>
      </c>
      <c r="D1576" s="1" t="s">
        <v>2057</v>
      </c>
      <c r="E1576" s="44" t="s">
        <v>2303</v>
      </c>
      <c r="F1576" s="38" t="s">
        <v>2058</v>
      </c>
      <c r="G1576" s="45">
        <v>8400</v>
      </c>
      <c r="H1576" s="45">
        <v>50.4</v>
      </c>
    </row>
    <row r="1577" spans="1:8">
      <c r="A1577" s="78">
        <v>131789264688</v>
      </c>
      <c r="B1577" s="1" t="s">
        <v>2055</v>
      </c>
      <c r="C1577" s="44" t="s">
        <v>2308</v>
      </c>
      <c r="D1577" s="1" t="s">
        <v>2057</v>
      </c>
      <c r="E1577" s="44" t="s">
        <v>2308</v>
      </c>
      <c r="F1577" s="38" t="s">
        <v>2058</v>
      </c>
      <c r="G1577" s="45">
        <v>20600</v>
      </c>
      <c r="H1577" s="45">
        <v>123.6</v>
      </c>
    </row>
    <row r="1578" spans="1:8">
      <c r="A1578" s="78">
        <v>131777732222</v>
      </c>
      <c r="B1578" s="1" t="s">
        <v>2055</v>
      </c>
      <c r="C1578" s="44" t="s">
        <v>2303</v>
      </c>
      <c r="D1578" s="1" t="s">
        <v>2057</v>
      </c>
      <c r="E1578" s="44" t="s">
        <v>2303</v>
      </c>
      <c r="F1578" s="38" t="s">
        <v>2058</v>
      </c>
      <c r="G1578" s="45">
        <v>61500</v>
      </c>
      <c r="H1578" s="45">
        <v>369</v>
      </c>
    </row>
    <row r="1579" spans="1:8">
      <c r="A1579" s="78">
        <v>131184379239</v>
      </c>
      <c r="B1579" s="1" t="s">
        <v>2055</v>
      </c>
      <c r="C1579" s="44" t="s">
        <v>2303</v>
      </c>
      <c r="D1579" s="1" t="s">
        <v>2057</v>
      </c>
      <c r="E1579" s="44" t="s">
        <v>2303</v>
      </c>
      <c r="F1579" s="38" t="s">
        <v>2058</v>
      </c>
      <c r="G1579" s="45">
        <v>23998</v>
      </c>
      <c r="H1579" s="45">
        <v>143.99</v>
      </c>
    </row>
    <row r="1580" spans="1:8">
      <c r="A1580" s="78">
        <v>131185425007</v>
      </c>
      <c r="B1580" s="1" t="s">
        <v>8</v>
      </c>
      <c r="C1580" s="44" t="s">
        <v>2303</v>
      </c>
      <c r="D1580" s="1" t="s">
        <v>2057</v>
      </c>
      <c r="E1580" s="44" t="s">
        <v>2303</v>
      </c>
      <c r="F1580" s="38" t="s">
        <v>2058</v>
      </c>
      <c r="G1580" s="45">
        <v>42000</v>
      </c>
      <c r="H1580" s="45">
        <v>252</v>
      </c>
    </row>
    <row r="1581" spans="1:8">
      <c r="A1581" s="78">
        <v>131782498642</v>
      </c>
      <c r="B1581" s="1" t="s">
        <v>8</v>
      </c>
      <c r="C1581" s="44" t="s">
        <v>2303</v>
      </c>
      <c r="D1581" s="1" t="s">
        <v>2057</v>
      </c>
      <c r="E1581" s="44" t="s">
        <v>2303</v>
      </c>
      <c r="F1581" s="38" t="s">
        <v>2058</v>
      </c>
      <c r="G1581" s="45">
        <v>108195</v>
      </c>
      <c r="H1581" s="45">
        <v>649.16999999999996</v>
      </c>
    </row>
    <row r="1582" spans="1:8">
      <c r="A1582" s="78">
        <v>131783903282</v>
      </c>
      <c r="B1582" s="1" t="s">
        <v>8</v>
      </c>
      <c r="C1582" s="44" t="s">
        <v>2303</v>
      </c>
      <c r="D1582" s="1" t="s">
        <v>2057</v>
      </c>
      <c r="E1582" s="44" t="s">
        <v>2303</v>
      </c>
      <c r="F1582" s="38" t="s">
        <v>2058</v>
      </c>
      <c r="G1582" s="45">
        <v>48500</v>
      </c>
      <c r="H1582" s="45">
        <v>291</v>
      </c>
    </row>
    <row r="1583" spans="1:8">
      <c r="A1583" s="78">
        <v>131190834783</v>
      </c>
      <c r="B1583" s="1" t="s">
        <v>8</v>
      </c>
      <c r="C1583" s="44" t="s">
        <v>2303</v>
      </c>
      <c r="D1583" s="1" t="s">
        <v>2057</v>
      </c>
      <c r="E1583" s="44" t="s">
        <v>2308</v>
      </c>
      <c r="F1583" s="38" t="s">
        <v>2058</v>
      </c>
      <c r="G1583" s="45">
        <v>23998</v>
      </c>
      <c r="H1583" s="45">
        <v>143.99</v>
      </c>
    </row>
    <row r="1584" spans="1:8">
      <c r="A1584" s="78">
        <v>131786628190</v>
      </c>
      <c r="B1584" s="1" t="s">
        <v>8</v>
      </c>
      <c r="C1584" s="44" t="s">
        <v>2303</v>
      </c>
      <c r="D1584" s="1" t="s">
        <v>2057</v>
      </c>
      <c r="E1584" s="44" t="s">
        <v>2308</v>
      </c>
      <c r="F1584" s="38" t="s">
        <v>2058</v>
      </c>
      <c r="G1584" s="45">
        <v>22000</v>
      </c>
      <c r="H1584" s="45">
        <v>132</v>
      </c>
    </row>
    <row r="1585" spans="1:8">
      <c r="A1585" s="78">
        <v>131814061112</v>
      </c>
      <c r="B1585" s="1" t="s">
        <v>8</v>
      </c>
      <c r="C1585" s="44" t="s">
        <v>2308</v>
      </c>
      <c r="D1585" s="1" t="s">
        <v>2057</v>
      </c>
      <c r="E1585" s="44" t="s">
        <v>2308</v>
      </c>
      <c r="F1585" s="38" t="s">
        <v>2058</v>
      </c>
      <c r="G1585" s="45">
        <v>1035227.6</v>
      </c>
      <c r="H1585" s="45">
        <v>6211.37</v>
      </c>
    </row>
    <row r="1586" spans="1:8">
      <c r="A1586" s="78">
        <v>131845873060</v>
      </c>
      <c r="B1586" s="1" t="s">
        <v>8</v>
      </c>
      <c r="C1586" s="44" t="s">
        <v>2308</v>
      </c>
      <c r="D1586" s="1" t="s">
        <v>2057</v>
      </c>
      <c r="E1586" s="44" t="s">
        <v>2308</v>
      </c>
      <c r="F1586" s="38" t="s">
        <v>2058</v>
      </c>
      <c r="G1586" s="45">
        <v>1201400</v>
      </c>
      <c r="H1586" s="45">
        <v>7208.4</v>
      </c>
    </row>
    <row r="1587" spans="1:8">
      <c r="A1587" s="78">
        <v>131885222868</v>
      </c>
      <c r="B1587" s="1" t="s">
        <v>8</v>
      </c>
      <c r="C1587" s="44" t="s">
        <v>2308</v>
      </c>
      <c r="D1587" s="1" t="s">
        <v>2057</v>
      </c>
      <c r="E1587" s="44" t="s">
        <v>2308</v>
      </c>
      <c r="F1587" s="38" t="s">
        <v>2058</v>
      </c>
      <c r="G1587" s="45">
        <v>16800</v>
      </c>
      <c r="H1587" s="45">
        <v>100.8</v>
      </c>
    </row>
    <row r="1588" spans="1:8">
      <c r="A1588" s="78">
        <v>131293843097</v>
      </c>
      <c r="B1588" s="1" t="s">
        <v>8</v>
      </c>
      <c r="C1588" s="44" t="s">
        <v>2308</v>
      </c>
      <c r="D1588" s="1" t="s">
        <v>2057</v>
      </c>
      <c r="E1588" s="44" t="s">
        <v>2308</v>
      </c>
      <c r="F1588" s="38" t="s">
        <v>2058</v>
      </c>
      <c r="G1588" s="45">
        <v>4000</v>
      </c>
      <c r="H1588" s="45">
        <v>24</v>
      </c>
    </row>
    <row r="1589" spans="1:8">
      <c r="A1589" s="78">
        <v>131890487764</v>
      </c>
      <c r="B1589" s="1" t="s">
        <v>8</v>
      </c>
      <c r="C1589" s="44" t="s">
        <v>2308</v>
      </c>
      <c r="D1589" s="1" t="s">
        <v>2057</v>
      </c>
      <c r="E1589" s="44" t="s">
        <v>2308</v>
      </c>
      <c r="F1589" s="38" t="s">
        <v>2058</v>
      </c>
      <c r="G1589" s="45">
        <v>27800</v>
      </c>
      <c r="H1589" s="45">
        <v>166.8</v>
      </c>
    </row>
    <row r="1590" spans="1:8">
      <c r="A1590" s="78">
        <v>131890761018</v>
      </c>
      <c r="B1590" s="1" t="s">
        <v>8</v>
      </c>
      <c r="C1590" s="44" t="s">
        <v>2308</v>
      </c>
      <c r="D1590" s="1" t="s">
        <v>2057</v>
      </c>
      <c r="E1590" s="44" t="s">
        <v>2308</v>
      </c>
      <c r="F1590" s="38" t="s">
        <v>2058</v>
      </c>
      <c r="G1590" s="45">
        <v>46700</v>
      </c>
      <c r="H1590" s="45">
        <v>280.2</v>
      </c>
    </row>
    <row r="1591" spans="1:8">
      <c r="A1591" s="78">
        <v>131300148317</v>
      </c>
      <c r="B1591" s="1" t="s">
        <v>8</v>
      </c>
      <c r="C1591" s="44" t="s">
        <v>2308</v>
      </c>
      <c r="D1591" s="1" t="s">
        <v>2057</v>
      </c>
      <c r="E1591" s="44" t="s">
        <v>2308</v>
      </c>
      <c r="F1591" s="38" t="s">
        <v>2058</v>
      </c>
      <c r="G1591" s="45">
        <v>551528.92000000004</v>
      </c>
      <c r="H1591" s="45">
        <v>3309.17</v>
      </c>
    </row>
    <row r="1592" spans="1:8">
      <c r="A1592" s="78">
        <v>131286438671</v>
      </c>
      <c r="B1592" s="1" t="s">
        <v>2055</v>
      </c>
      <c r="C1592" s="44" t="s">
        <v>2308</v>
      </c>
      <c r="D1592" s="1" t="s">
        <v>2057</v>
      </c>
      <c r="E1592" s="44" t="s">
        <v>2308</v>
      </c>
      <c r="F1592" s="38" t="s">
        <v>2058</v>
      </c>
      <c r="G1592" s="45">
        <v>4300</v>
      </c>
      <c r="H1592" s="45">
        <v>25.8</v>
      </c>
    </row>
    <row r="1593" spans="1:8">
      <c r="A1593" s="78">
        <v>131903448136</v>
      </c>
      <c r="B1593" s="1" t="s">
        <v>8</v>
      </c>
      <c r="C1593" s="44" t="s">
        <v>2308</v>
      </c>
      <c r="D1593" s="1" t="s">
        <v>2057</v>
      </c>
      <c r="E1593" s="44" t="s">
        <v>2308</v>
      </c>
      <c r="F1593" s="38" t="s">
        <v>2058</v>
      </c>
      <c r="G1593" s="45">
        <v>4800</v>
      </c>
      <c r="H1593" s="45">
        <v>28.8</v>
      </c>
    </row>
    <row r="1594" spans="1:8">
      <c r="A1594" s="78">
        <v>131903795584</v>
      </c>
      <c r="B1594" s="1" t="s">
        <v>2055</v>
      </c>
      <c r="C1594" s="44" t="s">
        <v>2308</v>
      </c>
      <c r="D1594" s="1" t="s">
        <v>2057</v>
      </c>
      <c r="E1594" s="44" t="s">
        <v>2308</v>
      </c>
      <c r="F1594" s="38" t="s">
        <v>2058</v>
      </c>
      <c r="G1594" s="45">
        <v>13600</v>
      </c>
      <c r="H1594" s="45">
        <v>81.599999999999994</v>
      </c>
    </row>
    <row r="1595" spans="1:8">
      <c r="A1595" s="78">
        <v>131293868791</v>
      </c>
      <c r="B1595" s="1" t="s">
        <v>2310</v>
      </c>
      <c r="C1595" s="44" t="s">
        <v>2308</v>
      </c>
      <c r="D1595" s="1" t="s">
        <v>2057</v>
      </c>
      <c r="E1595" s="44" t="s">
        <v>2308</v>
      </c>
      <c r="F1595" s="38" t="s">
        <v>2058</v>
      </c>
      <c r="G1595" s="45">
        <v>200</v>
      </c>
      <c r="H1595" s="45">
        <v>1.2</v>
      </c>
    </row>
    <row r="1596" spans="1:8">
      <c r="A1596" s="78">
        <v>131306924489</v>
      </c>
      <c r="B1596" s="1" t="s">
        <v>8</v>
      </c>
      <c r="C1596" s="44" t="s">
        <v>2308</v>
      </c>
      <c r="D1596" s="1" t="s">
        <v>2057</v>
      </c>
      <c r="E1596" s="44" t="s">
        <v>2308</v>
      </c>
      <c r="F1596" s="38" t="s">
        <v>2058</v>
      </c>
      <c r="G1596" s="45">
        <v>4200</v>
      </c>
      <c r="H1596" s="45">
        <v>25.2</v>
      </c>
    </row>
    <row r="1597" spans="1:8">
      <c r="A1597" s="78">
        <v>131890471796</v>
      </c>
      <c r="B1597" s="1" t="s">
        <v>2311</v>
      </c>
      <c r="C1597" s="44" t="s">
        <v>2308</v>
      </c>
      <c r="D1597" s="1" t="s">
        <v>2057</v>
      </c>
      <c r="E1597" s="44" t="s">
        <v>2308</v>
      </c>
      <c r="F1597" s="38" t="s">
        <v>2058</v>
      </c>
      <c r="G1597" s="45">
        <v>1390</v>
      </c>
      <c r="H1597" s="45">
        <v>8.34</v>
      </c>
    </row>
    <row r="1598" spans="1:8">
      <c r="A1598" s="78">
        <v>131904338486</v>
      </c>
      <c r="B1598" s="1" t="s">
        <v>2055</v>
      </c>
      <c r="C1598" s="44" t="s">
        <v>2308</v>
      </c>
      <c r="D1598" s="1" t="s">
        <v>2057</v>
      </c>
      <c r="E1598" s="44" t="s">
        <v>2308</v>
      </c>
      <c r="F1598" s="38" t="s">
        <v>2058</v>
      </c>
      <c r="G1598" s="45">
        <v>11000</v>
      </c>
      <c r="H1598" s="45">
        <v>66</v>
      </c>
    </row>
    <row r="1599" spans="1:8">
      <c r="A1599" s="78">
        <v>131307866811</v>
      </c>
      <c r="B1599" s="1" t="s">
        <v>2312</v>
      </c>
      <c r="C1599" s="44" t="s">
        <v>2308</v>
      </c>
      <c r="D1599" s="1" t="s">
        <v>2057</v>
      </c>
      <c r="E1599" s="44" t="s">
        <v>2308</v>
      </c>
      <c r="F1599" s="38" t="s">
        <v>2058</v>
      </c>
      <c r="G1599" s="45">
        <v>480</v>
      </c>
      <c r="H1599" s="45">
        <v>2.88</v>
      </c>
    </row>
    <row r="1600" spans="1:8">
      <c r="A1600" s="78">
        <v>131307691391</v>
      </c>
      <c r="B1600" s="1" t="s">
        <v>8</v>
      </c>
      <c r="C1600" s="44" t="s">
        <v>2308</v>
      </c>
      <c r="D1600" s="1" t="s">
        <v>2057</v>
      </c>
      <c r="E1600" s="44" t="s">
        <v>2308</v>
      </c>
      <c r="F1600" s="38" t="s">
        <v>2058</v>
      </c>
      <c r="G1600" s="45">
        <v>4800</v>
      </c>
      <c r="H1600" s="45">
        <v>28.8</v>
      </c>
    </row>
    <row r="1601" spans="1:8">
      <c r="A1601" s="78">
        <v>131308959291</v>
      </c>
      <c r="B1601" s="1" t="s">
        <v>2055</v>
      </c>
      <c r="C1601" s="44" t="s">
        <v>2308</v>
      </c>
      <c r="D1601" s="1" t="s">
        <v>2057</v>
      </c>
      <c r="E1601" s="44" t="s">
        <v>2308</v>
      </c>
      <c r="F1601" s="38" t="s">
        <v>2058</v>
      </c>
      <c r="G1601" s="45">
        <v>46000</v>
      </c>
      <c r="H1601" s="45">
        <v>276</v>
      </c>
    </row>
    <row r="1602" spans="1:8">
      <c r="A1602" s="78">
        <v>131905809004</v>
      </c>
      <c r="B1602" s="1" t="s">
        <v>8</v>
      </c>
      <c r="C1602" s="44" t="s">
        <v>2308</v>
      </c>
      <c r="D1602" s="1" t="s">
        <v>2057</v>
      </c>
      <c r="E1602" s="44" t="s">
        <v>2308</v>
      </c>
      <c r="F1602" s="38" t="s">
        <v>2058</v>
      </c>
      <c r="G1602" s="45">
        <v>4800</v>
      </c>
      <c r="H1602" s="45">
        <v>28.8</v>
      </c>
    </row>
    <row r="1603" spans="1:8">
      <c r="A1603" s="78">
        <v>131905932386</v>
      </c>
      <c r="B1603" s="1" t="s">
        <v>2313</v>
      </c>
      <c r="C1603" s="44" t="s">
        <v>2308</v>
      </c>
      <c r="D1603" s="1" t="s">
        <v>2057</v>
      </c>
      <c r="E1603" s="44" t="s">
        <v>2308</v>
      </c>
      <c r="F1603" s="38" t="s">
        <v>2058</v>
      </c>
      <c r="G1603" s="45">
        <v>240</v>
      </c>
      <c r="H1603" s="45">
        <v>1.44</v>
      </c>
    </row>
    <row r="1604" spans="1:8">
      <c r="A1604" s="78">
        <v>131906789090</v>
      </c>
      <c r="B1604" s="1" t="s">
        <v>8</v>
      </c>
      <c r="C1604" s="44" t="s">
        <v>2308</v>
      </c>
      <c r="D1604" s="1" t="s">
        <v>2057</v>
      </c>
      <c r="E1604" s="44" t="s">
        <v>2308</v>
      </c>
      <c r="F1604" s="38" t="s">
        <v>2058</v>
      </c>
      <c r="G1604" s="45">
        <v>34700</v>
      </c>
      <c r="H1604" s="45">
        <v>208.2</v>
      </c>
    </row>
    <row r="1605" spans="1:8">
      <c r="A1605" s="78">
        <v>131907367616</v>
      </c>
      <c r="B1605" s="1" t="s">
        <v>8</v>
      </c>
      <c r="C1605" s="44" t="s">
        <v>2308</v>
      </c>
      <c r="D1605" s="1" t="s">
        <v>2057</v>
      </c>
      <c r="E1605" s="44" t="s">
        <v>2308</v>
      </c>
      <c r="F1605" s="38" t="s">
        <v>2058</v>
      </c>
      <c r="G1605" s="45">
        <v>19900</v>
      </c>
      <c r="H1605" s="45">
        <v>119.4</v>
      </c>
    </row>
    <row r="1606" spans="1:8">
      <c r="A1606" s="78">
        <v>131298223245</v>
      </c>
      <c r="B1606" s="1" t="s">
        <v>2055</v>
      </c>
      <c r="C1606" s="44" t="s">
        <v>2308</v>
      </c>
      <c r="D1606" s="1" t="s">
        <v>2057</v>
      </c>
      <c r="E1606" s="44" t="s">
        <v>2308</v>
      </c>
      <c r="F1606" s="38" t="s">
        <v>2058</v>
      </c>
      <c r="G1606" s="45">
        <v>8000</v>
      </c>
      <c r="H1606" s="45">
        <v>48</v>
      </c>
    </row>
    <row r="1607" spans="1:8">
      <c r="A1607" s="78">
        <v>131310713093</v>
      </c>
      <c r="B1607" s="1" t="s">
        <v>8</v>
      </c>
      <c r="C1607" s="44" t="s">
        <v>2308</v>
      </c>
      <c r="D1607" s="1" t="s">
        <v>2057</v>
      </c>
      <c r="E1607" s="44" t="s">
        <v>2308</v>
      </c>
      <c r="F1607" s="38" t="s">
        <v>2058</v>
      </c>
      <c r="G1607" s="45">
        <v>31600</v>
      </c>
      <c r="H1607" s="45">
        <v>189.6</v>
      </c>
    </row>
    <row r="1608" spans="1:8">
      <c r="A1608" s="78">
        <v>131310863993</v>
      </c>
      <c r="B1608" s="1" t="s">
        <v>8</v>
      </c>
      <c r="C1608" s="44" t="s">
        <v>2308</v>
      </c>
      <c r="D1608" s="1" t="s">
        <v>2057</v>
      </c>
      <c r="E1608" s="44" t="s">
        <v>2308</v>
      </c>
      <c r="F1608" s="38" t="s">
        <v>2058</v>
      </c>
      <c r="G1608" s="45">
        <v>9600</v>
      </c>
      <c r="H1608" s="45">
        <v>57.6</v>
      </c>
    </row>
    <row r="1609" spans="1:8">
      <c r="A1609" s="78">
        <v>131908282314</v>
      </c>
      <c r="B1609" s="1" t="s">
        <v>8</v>
      </c>
      <c r="C1609" s="44" t="s">
        <v>2308</v>
      </c>
      <c r="D1609" s="1" t="s">
        <v>2057</v>
      </c>
      <c r="E1609" s="44" t="s">
        <v>2308</v>
      </c>
      <c r="F1609" s="38" t="s">
        <v>2058</v>
      </c>
      <c r="G1609" s="45">
        <v>29900</v>
      </c>
      <c r="H1609" s="45">
        <v>179.4</v>
      </c>
    </row>
    <row r="1610" spans="1:8">
      <c r="A1610" s="78">
        <v>131311356653</v>
      </c>
      <c r="B1610" s="1" t="s">
        <v>8</v>
      </c>
      <c r="C1610" s="44" t="s">
        <v>2308</v>
      </c>
      <c r="D1610" s="1" t="s">
        <v>2057</v>
      </c>
      <c r="E1610" s="44" t="s">
        <v>2308</v>
      </c>
      <c r="F1610" s="38" t="s">
        <v>2058</v>
      </c>
      <c r="G1610" s="45">
        <v>16500</v>
      </c>
      <c r="H1610" s="45">
        <v>99</v>
      </c>
    </row>
    <row r="1611" spans="1:8">
      <c r="A1611" s="78">
        <v>131908241628</v>
      </c>
      <c r="B1611" s="1" t="s">
        <v>8</v>
      </c>
      <c r="C1611" s="44" t="s">
        <v>2308</v>
      </c>
      <c r="D1611" s="1" t="s">
        <v>2057</v>
      </c>
      <c r="E1611" s="44" t="s">
        <v>2308</v>
      </c>
      <c r="F1611" s="38" t="s">
        <v>2058</v>
      </c>
      <c r="G1611" s="45">
        <v>26800</v>
      </c>
      <c r="H1611" s="45">
        <v>160.80000000000001</v>
      </c>
    </row>
    <row r="1612" spans="1:8">
      <c r="A1612" s="78">
        <v>131311573781</v>
      </c>
      <c r="B1612" s="1" t="s">
        <v>2055</v>
      </c>
      <c r="C1612" s="44" t="s">
        <v>2308</v>
      </c>
      <c r="D1612" s="1" t="s">
        <v>2057</v>
      </c>
      <c r="E1612" s="44" t="s">
        <v>2308</v>
      </c>
      <c r="F1612" s="38" t="s">
        <v>2058</v>
      </c>
      <c r="G1612" s="45">
        <v>9600</v>
      </c>
      <c r="H1612" s="45">
        <v>57.6</v>
      </c>
    </row>
    <row r="1613" spans="1:8">
      <c r="A1613" s="78">
        <v>131312518579</v>
      </c>
      <c r="B1613" s="1" t="s">
        <v>8</v>
      </c>
      <c r="C1613" s="44" t="s">
        <v>2308</v>
      </c>
      <c r="D1613" s="1" t="s">
        <v>2057</v>
      </c>
      <c r="E1613" s="44" t="s">
        <v>2308</v>
      </c>
      <c r="F1613" s="38" t="s">
        <v>2058</v>
      </c>
      <c r="G1613" s="45">
        <v>25000</v>
      </c>
      <c r="H1613" s="45">
        <v>150</v>
      </c>
    </row>
    <row r="1614" spans="1:8">
      <c r="A1614" s="78">
        <v>131896819466</v>
      </c>
      <c r="B1614" s="1" t="s">
        <v>8</v>
      </c>
      <c r="C1614" s="44" t="s">
        <v>2308</v>
      </c>
      <c r="D1614" s="1" t="s">
        <v>2057</v>
      </c>
      <c r="E1614" s="44" t="s">
        <v>2308</v>
      </c>
      <c r="F1614" s="38" t="s">
        <v>2058</v>
      </c>
      <c r="G1614" s="45">
        <v>40600</v>
      </c>
      <c r="H1614" s="45">
        <v>243.6</v>
      </c>
    </row>
    <row r="1615" spans="1:8">
      <c r="A1615" s="78">
        <v>131312947683</v>
      </c>
      <c r="B1615" s="1" t="s">
        <v>2055</v>
      </c>
      <c r="C1615" s="44" t="s">
        <v>2308</v>
      </c>
      <c r="D1615" s="1" t="s">
        <v>2057</v>
      </c>
      <c r="E1615" s="44" t="s">
        <v>2308</v>
      </c>
      <c r="F1615" s="38" t="s">
        <v>2058</v>
      </c>
      <c r="G1615" s="45">
        <v>9200</v>
      </c>
      <c r="H1615" s="45">
        <v>55.2</v>
      </c>
    </row>
    <row r="1616" spans="1:8">
      <c r="A1616" s="78">
        <v>131909518870</v>
      </c>
      <c r="B1616" s="1" t="s">
        <v>8</v>
      </c>
      <c r="C1616" s="44" t="s">
        <v>2308</v>
      </c>
      <c r="D1616" s="1" t="s">
        <v>2057</v>
      </c>
      <c r="E1616" s="44" t="s">
        <v>2308</v>
      </c>
      <c r="F1616" s="38" t="s">
        <v>2058</v>
      </c>
      <c r="G1616" s="45">
        <v>41800</v>
      </c>
      <c r="H1616" s="45">
        <v>250.8</v>
      </c>
    </row>
    <row r="1617" spans="1:8">
      <c r="A1617" s="78">
        <v>131313176875</v>
      </c>
      <c r="B1617" s="1" t="s">
        <v>8</v>
      </c>
      <c r="C1617" s="44" t="s">
        <v>2308</v>
      </c>
      <c r="D1617" s="1" t="s">
        <v>2057</v>
      </c>
      <c r="E1617" s="44" t="s">
        <v>2308</v>
      </c>
      <c r="F1617" s="38" t="s">
        <v>2058</v>
      </c>
      <c r="G1617" s="45">
        <v>4000</v>
      </c>
      <c r="H1617" s="45">
        <v>24</v>
      </c>
    </row>
    <row r="1618" spans="1:8">
      <c r="A1618" s="78">
        <v>131910726814</v>
      </c>
      <c r="B1618" s="1" t="s">
        <v>2314</v>
      </c>
      <c r="C1618" s="44" t="s">
        <v>2308</v>
      </c>
      <c r="D1618" s="1" t="s">
        <v>2057</v>
      </c>
      <c r="E1618" s="44" t="s">
        <v>2308</v>
      </c>
      <c r="F1618" s="38" t="s">
        <v>2058</v>
      </c>
      <c r="G1618" s="45">
        <v>1065</v>
      </c>
      <c r="H1618" s="45">
        <v>6.39</v>
      </c>
    </row>
    <row r="1619" spans="1:8">
      <c r="A1619" s="78">
        <v>131313630355</v>
      </c>
      <c r="B1619" s="1" t="s">
        <v>8</v>
      </c>
      <c r="C1619" s="44" t="s">
        <v>2308</v>
      </c>
      <c r="D1619" s="1" t="s">
        <v>2057</v>
      </c>
      <c r="E1619" s="44" t="s">
        <v>2308</v>
      </c>
      <c r="F1619" s="38" t="s">
        <v>2058</v>
      </c>
      <c r="G1619" s="45">
        <v>21300</v>
      </c>
      <c r="H1619" s="45">
        <v>127.8</v>
      </c>
    </row>
    <row r="1620" spans="1:8">
      <c r="A1620" s="78">
        <v>131313650019</v>
      </c>
      <c r="B1620" s="1" t="s">
        <v>2055</v>
      </c>
      <c r="C1620" s="44" t="s">
        <v>2308</v>
      </c>
      <c r="D1620" s="1" t="s">
        <v>2057</v>
      </c>
      <c r="E1620" s="44" t="s">
        <v>2308</v>
      </c>
      <c r="F1620" s="38" t="s">
        <v>2058</v>
      </c>
      <c r="G1620" s="45">
        <v>88700</v>
      </c>
      <c r="H1620" s="45">
        <v>532.20000000000005</v>
      </c>
    </row>
    <row r="1621" spans="1:8">
      <c r="A1621" s="78">
        <v>131313734591</v>
      </c>
      <c r="B1621" s="1" t="s">
        <v>2315</v>
      </c>
      <c r="C1621" s="44" t="s">
        <v>2308</v>
      </c>
      <c r="D1621" s="1" t="s">
        <v>2057</v>
      </c>
      <c r="E1621" s="44" t="s">
        <v>2308</v>
      </c>
      <c r="F1621" s="38" t="s">
        <v>2058</v>
      </c>
      <c r="G1621" s="45">
        <v>480</v>
      </c>
      <c r="H1621" s="45">
        <v>2.88</v>
      </c>
    </row>
    <row r="1622" spans="1:8">
      <c r="A1622" s="78">
        <v>131314138549</v>
      </c>
      <c r="B1622" s="1" t="s">
        <v>2055</v>
      </c>
      <c r="C1622" s="44" t="s">
        <v>2308</v>
      </c>
      <c r="D1622" s="1" t="s">
        <v>2057</v>
      </c>
      <c r="E1622" s="44" t="s">
        <v>2308</v>
      </c>
      <c r="F1622" s="38" t="s">
        <v>2058</v>
      </c>
      <c r="G1622" s="45">
        <v>9600</v>
      </c>
      <c r="H1622" s="45">
        <v>57.6</v>
      </c>
    </row>
    <row r="1623" spans="1:8">
      <c r="A1623" s="78">
        <v>131911569716</v>
      </c>
      <c r="B1623" s="1" t="s">
        <v>8</v>
      </c>
      <c r="C1623" s="44" t="s">
        <v>2308</v>
      </c>
      <c r="D1623" s="1" t="s">
        <v>2057</v>
      </c>
      <c r="E1623" s="44" t="s">
        <v>2316</v>
      </c>
      <c r="F1623" s="38" t="s">
        <v>2058</v>
      </c>
      <c r="G1623" s="45">
        <v>15700</v>
      </c>
      <c r="H1623" s="45">
        <v>94.2</v>
      </c>
    </row>
    <row r="1624" spans="1:8">
      <c r="A1624" s="78">
        <v>131315798133</v>
      </c>
      <c r="B1624" s="1" t="s">
        <v>2055</v>
      </c>
      <c r="C1624" s="44" t="s">
        <v>2308</v>
      </c>
      <c r="D1624" s="1" t="s">
        <v>2057</v>
      </c>
      <c r="E1624" s="44" t="s">
        <v>2316</v>
      </c>
      <c r="F1624" s="38" t="s">
        <v>2058</v>
      </c>
      <c r="G1624" s="45">
        <v>11000</v>
      </c>
      <c r="H1624" s="45">
        <v>66</v>
      </c>
    </row>
    <row r="1625" spans="1:8">
      <c r="A1625" s="78">
        <v>131315537649</v>
      </c>
      <c r="B1625" s="1" t="s">
        <v>8</v>
      </c>
      <c r="C1625" s="44" t="s">
        <v>2308</v>
      </c>
      <c r="D1625" s="1" t="s">
        <v>2057</v>
      </c>
      <c r="E1625" s="44" t="s">
        <v>2316</v>
      </c>
      <c r="F1625" s="38" t="s">
        <v>2058</v>
      </c>
      <c r="G1625" s="45">
        <v>50100</v>
      </c>
      <c r="H1625" s="45">
        <v>300.60000000000002</v>
      </c>
    </row>
    <row r="1626" spans="1:8">
      <c r="A1626" s="78">
        <v>131912442132</v>
      </c>
      <c r="B1626" s="1" t="s">
        <v>2055</v>
      </c>
      <c r="C1626" s="44" t="s">
        <v>2308</v>
      </c>
      <c r="D1626" s="1" t="s">
        <v>2057</v>
      </c>
      <c r="E1626" s="44" t="s">
        <v>2316</v>
      </c>
      <c r="F1626" s="38" t="s">
        <v>2058</v>
      </c>
      <c r="G1626" s="45">
        <v>9000</v>
      </c>
      <c r="H1626" s="45">
        <v>54</v>
      </c>
    </row>
    <row r="1627" spans="1:8">
      <c r="A1627" s="78">
        <v>131316170617</v>
      </c>
      <c r="B1627" s="1" t="s">
        <v>8</v>
      </c>
      <c r="C1627" s="44" t="s">
        <v>2308</v>
      </c>
      <c r="D1627" s="1" t="s">
        <v>2057</v>
      </c>
      <c r="E1627" s="44" t="s">
        <v>2316</v>
      </c>
      <c r="F1627" s="38" t="s">
        <v>2058</v>
      </c>
      <c r="G1627" s="45">
        <v>13800</v>
      </c>
      <c r="H1627" s="45">
        <v>82.8</v>
      </c>
    </row>
    <row r="1628" spans="1:8">
      <c r="A1628" s="78">
        <v>131901497916</v>
      </c>
      <c r="B1628" s="1" t="s">
        <v>2055</v>
      </c>
      <c r="C1628" s="44" t="s">
        <v>2308</v>
      </c>
      <c r="D1628" s="1" t="s">
        <v>2057</v>
      </c>
      <c r="E1628" s="44" t="s">
        <v>2308</v>
      </c>
      <c r="F1628" s="38" t="s">
        <v>2058</v>
      </c>
      <c r="G1628" s="45">
        <v>9600</v>
      </c>
      <c r="H1628" s="45">
        <v>57.6</v>
      </c>
    </row>
    <row r="1629" spans="1:8">
      <c r="A1629" s="78">
        <v>131901950294</v>
      </c>
      <c r="B1629" s="1" t="s">
        <v>8</v>
      </c>
      <c r="C1629" s="44" t="s">
        <v>2308</v>
      </c>
      <c r="D1629" s="1" t="s">
        <v>2057</v>
      </c>
      <c r="E1629" s="44" t="s">
        <v>2308</v>
      </c>
      <c r="F1629" s="38" t="s">
        <v>2058</v>
      </c>
      <c r="G1629" s="45">
        <v>5500</v>
      </c>
      <c r="H1629" s="45">
        <v>33</v>
      </c>
    </row>
    <row r="1630" spans="1:8">
      <c r="A1630" s="78">
        <v>131901914752</v>
      </c>
      <c r="B1630" s="1" t="s">
        <v>2317</v>
      </c>
      <c r="C1630" s="44" t="s">
        <v>2308</v>
      </c>
      <c r="D1630" s="1" t="s">
        <v>2057</v>
      </c>
      <c r="E1630" s="44" t="s">
        <v>2308</v>
      </c>
      <c r="F1630" s="38" t="s">
        <v>2058</v>
      </c>
      <c r="G1630" s="45">
        <v>275</v>
      </c>
      <c r="H1630" s="45">
        <v>1.65</v>
      </c>
    </row>
    <row r="1631" spans="1:8">
      <c r="A1631" s="78">
        <v>131305593613</v>
      </c>
      <c r="B1631" s="1" t="s">
        <v>8</v>
      </c>
      <c r="C1631" s="44" t="s">
        <v>2308</v>
      </c>
      <c r="D1631" s="1" t="s">
        <v>2057</v>
      </c>
      <c r="E1631" s="44" t="s">
        <v>2308</v>
      </c>
      <c r="F1631" s="38" t="s">
        <v>2058</v>
      </c>
      <c r="G1631" s="45">
        <v>20500</v>
      </c>
      <c r="H1631" s="45">
        <v>123</v>
      </c>
    </row>
    <row r="1632" spans="1:8">
      <c r="A1632" s="78">
        <v>131913722710</v>
      </c>
      <c r="B1632" s="1" t="s">
        <v>2318</v>
      </c>
      <c r="C1632" s="44" t="s">
        <v>2308</v>
      </c>
      <c r="D1632" s="1" t="s">
        <v>2057</v>
      </c>
      <c r="E1632" s="44" t="s">
        <v>2316</v>
      </c>
      <c r="F1632" s="38" t="s">
        <v>2058</v>
      </c>
      <c r="G1632" s="45">
        <v>3225</v>
      </c>
      <c r="H1632" s="45">
        <v>19.350000000000001</v>
      </c>
    </row>
    <row r="1633" spans="1:8">
      <c r="A1633" s="78">
        <v>131305925337</v>
      </c>
      <c r="B1633" s="1" t="s">
        <v>8</v>
      </c>
      <c r="C1633" s="44" t="s">
        <v>2308</v>
      </c>
      <c r="D1633" s="1" t="s">
        <v>2057</v>
      </c>
      <c r="E1633" s="44" t="s">
        <v>2308</v>
      </c>
      <c r="F1633" s="38" t="s">
        <v>2058</v>
      </c>
      <c r="G1633" s="45">
        <v>4800</v>
      </c>
      <c r="H1633" s="45">
        <v>28.8</v>
      </c>
    </row>
    <row r="1634" spans="1:8">
      <c r="A1634" s="78">
        <v>131902908484</v>
      </c>
      <c r="B1634" s="1" t="s">
        <v>8</v>
      </c>
      <c r="C1634" s="44" t="s">
        <v>2308</v>
      </c>
      <c r="D1634" s="1" t="s">
        <v>2057</v>
      </c>
      <c r="E1634" s="44" t="s">
        <v>2308</v>
      </c>
      <c r="F1634" s="38" t="s">
        <v>2058</v>
      </c>
      <c r="G1634" s="45">
        <v>4000</v>
      </c>
      <c r="H1634" s="45">
        <v>24</v>
      </c>
    </row>
    <row r="1635" spans="1:8">
      <c r="A1635" s="78">
        <v>131902863112</v>
      </c>
      <c r="B1635" s="1" t="s">
        <v>2055</v>
      </c>
      <c r="C1635" s="44" t="s">
        <v>2308</v>
      </c>
      <c r="D1635" s="1" t="s">
        <v>2057</v>
      </c>
      <c r="E1635" s="44" t="s">
        <v>2308</v>
      </c>
      <c r="F1635" s="38" t="s">
        <v>2058</v>
      </c>
      <c r="G1635" s="45">
        <v>4000</v>
      </c>
      <c r="H1635" s="45">
        <v>24</v>
      </c>
    </row>
    <row r="1636" spans="1:8">
      <c r="A1636" s="78">
        <v>131913776076</v>
      </c>
      <c r="B1636" s="1" t="s">
        <v>2055</v>
      </c>
      <c r="C1636" s="44" t="s">
        <v>2308</v>
      </c>
      <c r="D1636" s="1" t="s">
        <v>2057</v>
      </c>
      <c r="E1636" s="44" t="s">
        <v>2316</v>
      </c>
      <c r="F1636" s="38" t="s">
        <v>2058</v>
      </c>
      <c r="G1636" s="45">
        <v>19200</v>
      </c>
      <c r="H1636" s="45">
        <v>115.2</v>
      </c>
    </row>
    <row r="1637" spans="1:8">
      <c r="A1637" s="78">
        <v>131306274905</v>
      </c>
      <c r="B1637" s="1" t="s">
        <v>2319</v>
      </c>
      <c r="C1637" s="44" t="s">
        <v>2308</v>
      </c>
      <c r="D1637" s="1" t="s">
        <v>2057</v>
      </c>
      <c r="E1637" s="44" t="s">
        <v>2308</v>
      </c>
      <c r="F1637" s="38" t="s">
        <v>2058</v>
      </c>
      <c r="G1637" s="45">
        <v>240</v>
      </c>
      <c r="H1637" s="45">
        <v>1.44</v>
      </c>
    </row>
    <row r="1638" spans="1:8">
      <c r="A1638" s="78">
        <v>131306395943</v>
      </c>
      <c r="B1638" s="1" t="s">
        <v>8</v>
      </c>
      <c r="C1638" s="44" t="s">
        <v>2308</v>
      </c>
      <c r="D1638" s="1" t="s">
        <v>2057</v>
      </c>
      <c r="E1638" s="44" t="s">
        <v>2308</v>
      </c>
      <c r="F1638" s="38" t="s">
        <v>2058</v>
      </c>
      <c r="G1638" s="45">
        <v>2400</v>
      </c>
      <c r="H1638" s="45">
        <v>14.4</v>
      </c>
    </row>
    <row r="1639" spans="1:8">
      <c r="A1639" s="78">
        <v>131306413635</v>
      </c>
      <c r="B1639" s="1" t="s">
        <v>2320</v>
      </c>
      <c r="C1639" s="44" t="s">
        <v>2308</v>
      </c>
      <c r="D1639" s="1" t="s">
        <v>2057</v>
      </c>
      <c r="E1639" s="44" t="s">
        <v>2308</v>
      </c>
      <c r="F1639" s="38" t="s">
        <v>2058</v>
      </c>
      <c r="G1639" s="45">
        <v>120</v>
      </c>
      <c r="H1639" s="45">
        <v>0.72</v>
      </c>
    </row>
    <row r="1640" spans="1:8">
      <c r="A1640" s="78">
        <v>131914000620</v>
      </c>
      <c r="B1640" s="1" t="s">
        <v>8</v>
      </c>
      <c r="C1640" s="44" t="s">
        <v>2308</v>
      </c>
      <c r="D1640" s="1" t="s">
        <v>2057</v>
      </c>
      <c r="E1640" s="44" t="s">
        <v>2316</v>
      </c>
      <c r="F1640" s="38" t="s">
        <v>2058</v>
      </c>
      <c r="G1640" s="45">
        <v>52300</v>
      </c>
      <c r="H1640" s="45">
        <v>313.8</v>
      </c>
    </row>
    <row r="1641" spans="1:8">
      <c r="A1641" s="78">
        <v>131317503951</v>
      </c>
      <c r="B1641" s="1" t="s">
        <v>8</v>
      </c>
      <c r="C1641" s="44" t="s">
        <v>2308</v>
      </c>
      <c r="D1641" s="1" t="s">
        <v>2057</v>
      </c>
      <c r="E1641" s="44" t="s">
        <v>2316</v>
      </c>
      <c r="F1641" s="38" t="s">
        <v>2058</v>
      </c>
      <c r="G1641" s="45">
        <v>9000</v>
      </c>
      <c r="H1641" s="45">
        <v>54</v>
      </c>
    </row>
    <row r="1642" spans="1:8">
      <c r="A1642" s="78">
        <v>131904438130</v>
      </c>
      <c r="B1642" s="1" t="s">
        <v>2055</v>
      </c>
      <c r="C1642" s="44" t="s">
        <v>2308</v>
      </c>
      <c r="D1642" s="1" t="s">
        <v>2057</v>
      </c>
      <c r="E1642" s="44" t="s">
        <v>2308</v>
      </c>
      <c r="F1642" s="38" t="s">
        <v>2058</v>
      </c>
      <c r="G1642" s="45">
        <v>5500</v>
      </c>
      <c r="H1642" s="45">
        <v>33</v>
      </c>
    </row>
    <row r="1643" spans="1:8">
      <c r="A1643" s="78">
        <v>131317701455</v>
      </c>
      <c r="B1643" s="1" t="s">
        <v>8</v>
      </c>
      <c r="C1643" s="44" t="s">
        <v>2316</v>
      </c>
      <c r="D1643" s="1" t="s">
        <v>2057</v>
      </c>
      <c r="E1643" s="44" t="s">
        <v>2316</v>
      </c>
      <c r="F1643" s="38" t="s">
        <v>2058</v>
      </c>
      <c r="G1643" s="45">
        <v>50500</v>
      </c>
      <c r="H1643" s="45">
        <v>303</v>
      </c>
    </row>
    <row r="1644" spans="1:8">
      <c r="A1644" s="78">
        <v>131914675008</v>
      </c>
      <c r="B1644" s="1" t="s">
        <v>2321</v>
      </c>
      <c r="C1644" s="44" t="s">
        <v>2316</v>
      </c>
      <c r="D1644" s="1" t="s">
        <v>2057</v>
      </c>
      <c r="E1644" s="44" t="s">
        <v>2316</v>
      </c>
      <c r="F1644" s="38" t="s">
        <v>2058</v>
      </c>
      <c r="G1644" s="45">
        <v>960</v>
      </c>
      <c r="H1644" s="45">
        <v>5.76</v>
      </c>
    </row>
    <row r="1645" spans="1:8">
      <c r="A1645" s="78">
        <v>131317789095</v>
      </c>
      <c r="B1645" s="1" t="s">
        <v>8</v>
      </c>
      <c r="C1645" s="44" t="s">
        <v>2316</v>
      </c>
      <c r="D1645" s="1" t="s">
        <v>2057</v>
      </c>
      <c r="E1645" s="44" t="s">
        <v>2316</v>
      </c>
      <c r="F1645" s="38" t="s">
        <v>2058</v>
      </c>
      <c r="G1645" s="45">
        <v>9600</v>
      </c>
      <c r="H1645" s="45">
        <v>57.6</v>
      </c>
    </row>
    <row r="1646" spans="1:8">
      <c r="A1646" s="78">
        <v>131317780025</v>
      </c>
      <c r="B1646" s="1" t="s">
        <v>8</v>
      </c>
      <c r="C1646" s="44" t="s">
        <v>2316</v>
      </c>
      <c r="D1646" s="1" t="s">
        <v>2057</v>
      </c>
      <c r="E1646" s="44" t="s">
        <v>2316</v>
      </c>
      <c r="F1646" s="38" t="s">
        <v>2058</v>
      </c>
      <c r="G1646" s="45">
        <v>31200</v>
      </c>
      <c r="H1646" s="45">
        <v>187.2</v>
      </c>
    </row>
    <row r="1647" spans="1:8">
      <c r="A1647" s="78">
        <v>131318226099</v>
      </c>
      <c r="B1647" s="1" t="s">
        <v>2055</v>
      </c>
      <c r="C1647" s="44" t="s">
        <v>2316</v>
      </c>
      <c r="D1647" s="1" t="s">
        <v>2057</v>
      </c>
      <c r="E1647" s="44" t="s">
        <v>2316</v>
      </c>
      <c r="F1647" s="38" t="s">
        <v>2058</v>
      </c>
      <c r="G1647" s="45">
        <v>4200</v>
      </c>
      <c r="H1647" s="45">
        <v>25.2</v>
      </c>
    </row>
    <row r="1648" spans="1:8">
      <c r="A1648" s="78">
        <v>131905568532</v>
      </c>
      <c r="B1648" s="1" t="s">
        <v>8</v>
      </c>
      <c r="C1648" s="44" t="s">
        <v>2308</v>
      </c>
      <c r="D1648" s="1" t="s">
        <v>2057</v>
      </c>
      <c r="E1648" s="44" t="s">
        <v>2308</v>
      </c>
      <c r="F1648" s="38" t="s">
        <v>2058</v>
      </c>
      <c r="G1648" s="45">
        <v>8800</v>
      </c>
      <c r="H1648" s="45">
        <v>52.8</v>
      </c>
    </row>
    <row r="1649" spans="1:8">
      <c r="A1649" s="78">
        <v>131915208972</v>
      </c>
      <c r="B1649" s="1" t="s">
        <v>2055</v>
      </c>
      <c r="C1649" s="44" t="s">
        <v>2316</v>
      </c>
      <c r="D1649" s="1" t="s">
        <v>2057</v>
      </c>
      <c r="E1649" s="44" t="s">
        <v>2316</v>
      </c>
      <c r="F1649" s="38" t="s">
        <v>2058</v>
      </c>
      <c r="G1649" s="45">
        <v>9600</v>
      </c>
      <c r="H1649" s="45">
        <v>57.6</v>
      </c>
    </row>
    <row r="1650" spans="1:8">
      <c r="A1650" s="78">
        <v>131915191964</v>
      </c>
      <c r="B1650" s="1" t="s">
        <v>2322</v>
      </c>
      <c r="C1650" s="44" t="s">
        <v>2316</v>
      </c>
      <c r="D1650" s="1" t="s">
        <v>2057</v>
      </c>
      <c r="E1650" s="44" t="s">
        <v>2316</v>
      </c>
      <c r="F1650" s="38" t="s">
        <v>2058</v>
      </c>
      <c r="G1650" s="45">
        <v>1390</v>
      </c>
      <c r="H1650" s="45">
        <v>8.34</v>
      </c>
    </row>
    <row r="1651" spans="1:8">
      <c r="A1651" s="78">
        <v>131915199812</v>
      </c>
      <c r="B1651" s="1" t="s">
        <v>8</v>
      </c>
      <c r="C1651" s="44" t="s">
        <v>2316</v>
      </c>
      <c r="D1651" s="1" t="s">
        <v>2057</v>
      </c>
      <c r="E1651" s="44" t="s">
        <v>2316</v>
      </c>
      <c r="F1651" s="38" t="s">
        <v>2058</v>
      </c>
      <c r="G1651" s="45">
        <v>13900</v>
      </c>
      <c r="H1651" s="45">
        <v>83.4</v>
      </c>
    </row>
    <row r="1652" spans="1:8">
      <c r="A1652" s="78">
        <v>131915245194</v>
      </c>
      <c r="B1652" s="1" t="s">
        <v>8</v>
      </c>
      <c r="C1652" s="44" t="s">
        <v>2316</v>
      </c>
      <c r="D1652" s="1" t="s">
        <v>2057</v>
      </c>
      <c r="E1652" s="44" t="s">
        <v>2316</v>
      </c>
      <c r="F1652" s="38" t="s">
        <v>2058</v>
      </c>
      <c r="G1652" s="45">
        <v>14100</v>
      </c>
      <c r="H1652" s="45">
        <v>84.6</v>
      </c>
    </row>
    <row r="1653" spans="1:8">
      <c r="A1653" s="78">
        <v>131309391639</v>
      </c>
      <c r="B1653" s="1" t="s">
        <v>8</v>
      </c>
      <c r="C1653" s="44" t="s">
        <v>2308</v>
      </c>
      <c r="D1653" s="1" t="s">
        <v>2057</v>
      </c>
      <c r="E1653" s="44" t="s">
        <v>2308</v>
      </c>
      <c r="F1653" s="38" t="s">
        <v>2058</v>
      </c>
      <c r="G1653" s="45">
        <v>4600</v>
      </c>
      <c r="H1653" s="45">
        <v>27.6</v>
      </c>
    </row>
    <row r="1654" spans="1:8">
      <c r="A1654" s="78">
        <v>131318475295</v>
      </c>
      <c r="B1654" s="1" t="s">
        <v>8</v>
      </c>
      <c r="C1654" s="44" t="s">
        <v>2316</v>
      </c>
      <c r="D1654" s="1" t="s">
        <v>2057</v>
      </c>
      <c r="E1654" s="44" t="s">
        <v>2316</v>
      </c>
      <c r="F1654" s="38" t="s">
        <v>2058</v>
      </c>
      <c r="G1654" s="45">
        <v>16400</v>
      </c>
      <c r="H1654" s="45">
        <v>98.4</v>
      </c>
    </row>
    <row r="1655" spans="1:8">
      <c r="A1655" s="78">
        <v>131915273768</v>
      </c>
      <c r="B1655" s="1" t="s">
        <v>2323</v>
      </c>
      <c r="C1655" s="44" t="s">
        <v>2316</v>
      </c>
      <c r="D1655" s="1" t="s">
        <v>2057</v>
      </c>
      <c r="E1655" s="44" t="s">
        <v>2316</v>
      </c>
      <c r="F1655" s="38" t="s">
        <v>2058</v>
      </c>
      <c r="G1655" s="45">
        <v>820</v>
      </c>
      <c r="H1655" s="45">
        <v>4.92</v>
      </c>
    </row>
    <row r="1656" spans="1:8">
      <c r="A1656" s="78">
        <v>131309712763</v>
      </c>
      <c r="B1656" s="1" t="s">
        <v>8</v>
      </c>
      <c r="C1656" s="44" t="s">
        <v>2308</v>
      </c>
      <c r="D1656" s="1" t="s">
        <v>2057</v>
      </c>
      <c r="E1656" s="44" t="s">
        <v>2308</v>
      </c>
      <c r="F1656" s="38" t="s">
        <v>2058</v>
      </c>
      <c r="G1656" s="45">
        <v>25700</v>
      </c>
      <c r="H1656" s="45">
        <v>154.19999999999999</v>
      </c>
    </row>
    <row r="1657" spans="1:8">
      <c r="A1657" s="78">
        <v>131915750288</v>
      </c>
      <c r="B1657" s="1" t="s">
        <v>8</v>
      </c>
      <c r="C1657" s="44" t="s">
        <v>2316</v>
      </c>
      <c r="D1657" s="1" t="s">
        <v>2057</v>
      </c>
      <c r="E1657" s="44" t="s">
        <v>2316</v>
      </c>
      <c r="F1657" s="38" t="s">
        <v>2058</v>
      </c>
      <c r="G1657" s="45">
        <v>4600</v>
      </c>
      <c r="H1657" s="45">
        <v>27.6</v>
      </c>
    </row>
    <row r="1658" spans="1:8">
      <c r="A1658" s="78">
        <v>131907151016</v>
      </c>
      <c r="B1658" s="1" t="s">
        <v>8</v>
      </c>
      <c r="C1658" s="44" t="s">
        <v>2308</v>
      </c>
      <c r="D1658" s="1" t="s">
        <v>2057</v>
      </c>
      <c r="E1658" s="44" t="s">
        <v>2308</v>
      </c>
      <c r="F1658" s="38" t="s">
        <v>2058</v>
      </c>
      <c r="G1658" s="45">
        <v>28600</v>
      </c>
      <c r="H1658" s="45">
        <v>171.6</v>
      </c>
    </row>
    <row r="1659" spans="1:8">
      <c r="A1659" s="78">
        <v>131907151510</v>
      </c>
      <c r="B1659" s="1" t="s">
        <v>8</v>
      </c>
      <c r="C1659" s="44" t="s">
        <v>2308</v>
      </c>
      <c r="D1659" s="1" t="s">
        <v>2057</v>
      </c>
      <c r="E1659" s="44" t="s">
        <v>2308</v>
      </c>
      <c r="F1659" s="38" t="s">
        <v>2058</v>
      </c>
      <c r="G1659" s="45">
        <v>4700</v>
      </c>
      <c r="H1659" s="45">
        <v>28.2</v>
      </c>
    </row>
    <row r="1660" spans="1:8">
      <c r="A1660" s="78">
        <v>131915932200</v>
      </c>
      <c r="B1660" s="1" t="s">
        <v>8</v>
      </c>
      <c r="C1660" s="44" t="s">
        <v>2316</v>
      </c>
      <c r="D1660" s="1" t="s">
        <v>2057</v>
      </c>
      <c r="E1660" s="44" t="s">
        <v>2316</v>
      </c>
      <c r="F1660" s="38" t="s">
        <v>2058</v>
      </c>
      <c r="G1660" s="45">
        <v>11900</v>
      </c>
      <c r="H1660" s="45">
        <v>71.400000000000006</v>
      </c>
    </row>
    <row r="1661" spans="1:8">
      <c r="A1661" s="78">
        <v>131319123549</v>
      </c>
      <c r="B1661" s="1" t="s">
        <v>2324</v>
      </c>
      <c r="C1661" s="44" t="s">
        <v>2316</v>
      </c>
      <c r="D1661" s="1" t="s">
        <v>2057</v>
      </c>
      <c r="E1661" s="44" t="s">
        <v>2316</v>
      </c>
      <c r="F1661" s="38" t="s">
        <v>2058</v>
      </c>
      <c r="G1661" s="45">
        <v>595</v>
      </c>
      <c r="H1661" s="45">
        <v>3.57</v>
      </c>
    </row>
    <row r="1662" spans="1:8">
      <c r="A1662" s="78">
        <v>131310426325</v>
      </c>
      <c r="B1662" s="1" t="s">
        <v>8</v>
      </c>
      <c r="C1662" s="44" t="s">
        <v>2308</v>
      </c>
      <c r="D1662" s="1" t="s">
        <v>2057</v>
      </c>
      <c r="E1662" s="44" t="s">
        <v>2308</v>
      </c>
      <c r="F1662" s="38" t="s">
        <v>2058</v>
      </c>
      <c r="G1662" s="45">
        <v>19200</v>
      </c>
      <c r="H1662" s="45">
        <v>115.2</v>
      </c>
    </row>
    <row r="1663" spans="1:8">
      <c r="A1663" s="78">
        <v>131310354047</v>
      </c>
      <c r="B1663" s="1" t="s">
        <v>8</v>
      </c>
      <c r="C1663" s="44" t="s">
        <v>2308</v>
      </c>
      <c r="D1663" s="1" t="s">
        <v>2057</v>
      </c>
      <c r="E1663" s="44" t="s">
        <v>2308</v>
      </c>
      <c r="F1663" s="38" t="s">
        <v>2058</v>
      </c>
      <c r="G1663" s="45">
        <v>8000</v>
      </c>
      <c r="H1663" s="45">
        <v>48</v>
      </c>
    </row>
    <row r="1664" spans="1:8">
      <c r="A1664" s="78">
        <v>131319428755</v>
      </c>
      <c r="B1664" s="1" t="s">
        <v>8</v>
      </c>
      <c r="C1664" s="44" t="s">
        <v>2316</v>
      </c>
      <c r="D1664" s="1" t="s">
        <v>2057</v>
      </c>
      <c r="E1664" s="44" t="s">
        <v>2316</v>
      </c>
      <c r="F1664" s="38" t="s">
        <v>2058</v>
      </c>
      <c r="G1664" s="45">
        <v>16000</v>
      </c>
      <c r="H1664" s="45">
        <v>96</v>
      </c>
    </row>
    <row r="1665" spans="1:8">
      <c r="A1665" s="78">
        <v>131916032026</v>
      </c>
      <c r="B1665" s="1" t="s">
        <v>2055</v>
      </c>
      <c r="C1665" s="44" t="s">
        <v>2316</v>
      </c>
      <c r="D1665" s="1" t="s">
        <v>2057</v>
      </c>
      <c r="E1665" s="44" t="s">
        <v>2316</v>
      </c>
      <c r="F1665" s="38" t="s">
        <v>2058</v>
      </c>
      <c r="G1665" s="45">
        <v>4800</v>
      </c>
      <c r="H1665" s="45">
        <v>28.8</v>
      </c>
    </row>
    <row r="1666" spans="1:8">
      <c r="A1666" s="78">
        <v>131916546200</v>
      </c>
      <c r="B1666" s="1" t="s">
        <v>2055</v>
      </c>
      <c r="C1666" s="44" t="s">
        <v>2316</v>
      </c>
      <c r="D1666" s="1" t="s">
        <v>2057</v>
      </c>
      <c r="E1666" s="44" t="s">
        <v>2316</v>
      </c>
      <c r="F1666" s="38" t="s">
        <v>2058</v>
      </c>
      <c r="G1666" s="45">
        <v>4800</v>
      </c>
      <c r="H1666" s="45">
        <v>28.8</v>
      </c>
    </row>
    <row r="1667" spans="1:8">
      <c r="A1667" s="78">
        <v>131916575874</v>
      </c>
      <c r="B1667" s="1" t="s">
        <v>8</v>
      </c>
      <c r="C1667" s="44" t="s">
        <v>2316</v>
      </c>
      <c r="D1667" s="1" t="s">
        <v>2057</v>
      </c>
      <c r="E1667" s="44" t="s">
        <v>2316</v>
      </c>
      <c r="F1667" s="38" t="s">
        <v>2058</v>
      </c>
      <c r="G1667" s="45">
        <v>23800</v>
      </c>
      <c r="H1667" s="45">
        <v>142.80000000000001</v>
      </c>
    </row>
    <row r="1668" spans="1:8">
      <c r="A1668" s="78">
        <v>131311443397</v>
      </c>
      <c r="B1668" s="1" t="s">
        <v>8</v>
      </c>
      <c r="C1668" s="44" t="s">
        <v>2308</v>
      </c>
      <c r="D1668" s="1" t="s">
        <v>2057</v>
      </c>
      <c r="E1668" s="44" t="s">
        <v>2308</v>
      </c>
      <c r="F1668" s="38" t="s">
        <v>2058</v>
      </c>
      <c r="G1668" s="45">
        <v>48300</v>
      </c>
      <c r="H1668" s="45">
        <v>289.8</v>
      </c>
    </row>
    <row r="1669" spans="1:8">
      <c r="A1669" s="78">
        <v>131320260817</v>
      </c>
      <c r="B1669" s="1" t="s">
        <v>2325</v>
      </c>
      <c r="C1669" s="44" t="s">
        <v>2316</v>
      </c>
      <c r="D1669" s="1" t="s">
        <v>2057</v>
      </c>
      <c r="E1669" s="44" t="s">
        <v>2316</v>
      </c>
      <c r="F1669" s="38" t="s">
        <v>2058</v>
      </c>
      <c r="G1669" s="45">
        <v>240</v>
      </c>
      <c r="H1669" s="45">
        <v>1.44</v>
      </c>
    </row>
    <row r="1670" spans="1:8">
      <c r="A1670" s="78">
        <v>131319977785</v>
      </c>
      <c r="B1670" s="1" t="s">
        <v>8</v>
      </c>
      <c r="C1670" s="44" t="s">
        <v>2316</v>
      </c>
      <c r="D1670" s="1" t="s">
        <v>2057</v>
      </c>
      <c r="E1670" s="44" t="s">
        <v>2316</v>
      </c>
      <c r="F1670" s="38" t="s">
        <v>2058</v>
      </c>
      <c r="G1670" s="45">
        <v>4800</v>
      </c>
      <c r="H1670" s="45">
        <v>28.8</v>
      </c>
    </row>
    <row r="1671" spans="1:8">
      <c r="A1671" s="78">
        <v>131320133169</v>
      </c>
      <c r="B1671" s="1" t="s">
        <v>2055</v>
      </c>
      <c r="C1671" s="44" t="s">
        <v>2316</v>
      </c>
      <c r="D1671" s="1" t="s">
        <v>2057</v>
      </c>
      <c r="E1671" s="44" t="s">
        <v>2316</v>
      </c>
      <c r="F1671" s="38" t="s">
        <v>2058</v>
      </c>
      <c r="G1671" s="45">
        <v>42500</v>
      </c>
      <c r="H1671" s="45">
        <v>255</v>
      </c>
    </row>
    <row r="1672" spans="1:8">
      <c r="A1672" s="78">
        <v>131320310663</v>
      </c>
      <c r="B1672" s="1" t="s">
        <v>8</v>
      </c>
      <c r="C1672" s="44" t="s">
        <v>2316</v>
      </c>
      <c r="D1672" s="1" t="s">
        <v>2057</v>
      </c>
      <c r="E1672" s="44" t="s">
        <v>2316</v>
      </c>
      <c r="F1672" s="38" t="s">
        <v>2058</v>
      </c>
      <c r="G1672" s="45">
        <v>159000</v>
      </c>
      <c r="H1672" s="45">
        <v>954</v>
      </c>
    </row>
    <row r="1673" spans="1:8">
      <c r="A1673" s="78">
        <v>131311969845</v>
      </c>
      <c r="B1673" s="1" t="s">
        <v>8</v>
      </c>
      <c r="C1673" s="44" t="s">
        <v>2308</v>
      </c>
      <c r="D1673" s="1" t="s">
        <v>2057</v>
      </c>
      <c r="E1673" s="44" t="s">
        <v>2308</v>
      </c>
      <c r="F1673" s="38" t="s">
        <v>2058</v>
      </c>
      <c r="G1673" s="45">
        <v>8200</v>
      </c>
      <c r="H1673" s="45">
        <v>49.2</v>
      </c>
    </row>
    <row r="1674" spans="1:8">
      <c r="A1674" s="78">
        <v>131917132592</v>
      </c>
      <c r="B1674" s="1" t="s">
        <v>2326</v>
      </c>
      <c r="C1674" s="44" t="s">
        <v>2316</v>
      </c>
      <c r="D1674" s="1" t="s">
        <v>2057</v>
      </c>
      <c r="E1674" s="44" t="s">
        <v>2316</v>
      </c>
      <c r="F1674" s="38" t="s">
        <v>2058</v>
      </c>
      <c r="G1674" s="45">
        <v>440</v>
      </c>
      <c r="H1674" s="45">
        <v>2.64</v>
      </c>
    </row>
    <row r="1675" spans="1:8">
      <c r="A1675" s="78">
        <v>131312526083</v>
      </c>
      <c r="B1675" s="1" t="s">
        <v>8</v>
      </c>
      <c r="C1675" s="44" t="s">
        <v>2308</v>
      </c>
      <c r="D1675" s="1" t="s">
        <v>2057</v>
      </c>
      <c r="E1675" s="44" t="s">
        <v>2308</v>
      </c>
      <c r="F1675" s="38" t="s">
        <v>2058</v>
      </c>
      <c r="G1675" s="45">
        <v>43400</v>
      </c>
      <c r="H1675" s="45">
        <v>260.39999999999998</v>
      </c>
    </row>
    <row r="1676" spans="1:8">
      <c r="A1676" s="78">
        <v>131312521617</v>
      </c>
      <c r="B1676" s="1" t="s">
        <v>8</v>
      </c>
      <c r="C1676" s="44" t="s">
        <v>2308</v>
      </c>
      <c r="D1676" s="1" t="s">
        <v>2057</v>
      </c>
      <c r="E1676" s="44" t="s">
        <v>2308</v>
      </c>
      <c r="F1676" s="38" t="s">
        <v>2058</v>
      </c>
      <c r="G1676" s="45">
        <v>9600</v>
      </c>
      <c r="H1676" s="45">
        <v>57.6</v>
      </c>
    </row>
    <row r="1677" spans="1:8">
      <c r="A1677" s="78">
        <v>131917265204</v>
      </c>
      <c r="B1677" s="1" t="s">
        <v>8</v>
      </c>
      <c r="C1677" s="44" t="s">
        <v>2316</v>
      </c>
      <c r="D1677" s="1" t="s">
        <v>2057</v>
      </c>
      <c r="E1677" s="44" t="s">
        <v>2316</v>
      </c>
      <c r="F1677" s="38" t="s">
        <v>2058</v>
      </c>
      <c r="G1677" s="45">
        <v>26800</v>
      </c>
      <c r="H1677" s="45">
        <v>160.80000000000001</v>
      </c>
    </row>
    <row r="1678" spans="1:8">
      <c r="A1678" s="78">
        <v>131917283282</v>
      </c>
      <c r="B1678" s="1" t="s">
        <v>8</v>
      </c>
      <c r="C1678" s="44" t="s">
        <v>2316</v>
      </c>
      <c r="D1678" s="1" t="s">
        <v>2057</v>
      </c>
      <c r="E1678" s="44" t="s">
        <v>2316</v>
      </c>
      <c r="F1678" s="38" t="s">
        <v>2058</v>
      </c>
      <c r="G1678" s="45">
        <v>8000</v>
      </c>
      <c r="H1678" s="45">
        <v>48</v>
      </c>
    </row>
    <row r="1679" spans="1:8">
      <c r="A1679" s="78">
        <v>131320695005</v>
      </c>
      <c r="B1679" s="1" t="s">
        <v>8</v>
      </c>
      <c r="C1679" s="44" t="s">
        <v>2316</v>
      </c>
      <c r="D1679" s="1" t="s">
        <v>2057</v>
      </c>
      <c r="E1679" s="44" t="s">
        <v>2316</v>
      </c>
      <c r="F1679" s="38" t="s">
        <v>2058</v>
      </c>
      <c r="G1679" s="45">
        <v>22900</v>
      </c>
      <c r="H1679" s="45">
        <v>137.4</v>
      </c>
    </row>
    <row r="1680" spans="1:8">
      <c r="A1680" s="78">
        <v>131312741747</v>
      </c>
      <c r="B1680" s="1" t="s">
        <v>8</v>
      </c>
      <c r="C1680" s="44" t="s">
        <v>2308</v>
      </c>
      <c r="D1680" s="1" t="s">
        <v>2057</v>
      </c>
      <c r="E1680" s="44" t="s">
        <v>2308</v>
      </c>
      <c r="F1680" s="38" t="s">
        <v>2058</v>
      </c>
      <c r="G1680" s="45">
        <v>9100</v>
      </c>
      <c r="H1680" s="45">
        <v>54.6</v>
      </c>
    </row>
    <row r="1681" spans="1:8">
      <c r="A1681" s="78">
        <v>131320786849</v>
      </c>
      <c r="B1681" s="1" t="s">
        <v>2055</v>
      </c>
      <c r="C1681" s="44" t="s">
        <v>2316</v>
      </c>
      <c r="D1681" s="1" t="s">
        <v>2057</v>
      </c>
      <c r="E1681" s="44" t="s">
        <v>2316</v>
      </c>
      <c r="F1681" s="38" t="s">
        <v>2058</v>
      </c>
      <c r="G1681" s="45">
        <v>9600</v>
      </c>
      <c r="H1681" s="45">
        <v>57.6</v>
      </c>
    </row>
    <row r="1682" spans="1:8">
      <c r="A1682" s="78">
        <v>131917566708</v>
      </c>
      <c r="B1682" s="1" t="s">
        <v>2055</v>
      </c>
      <c r="C1682" s="44" t="s">
        <v>2316</v>
      </c>
      <c r="D1682" s="1" t="s">
        <v>2057</v>
      </c>
      <c r="E1682" s="44" t="s">
        <v>2316</v>
      </c>
      <c r="F1682" s="38" t="s">
        <v>2058</v>
      </c>
      <c r="G1682" s="45">
        <v>4800</v>
      </c>
      <c r="H1682" s="45">
        <v>28.8</v>
      </c>
    </row>
    <row r="1683" spans="1:8">
      <c r="A1683" s="78">
        <v>131917606846</v>
      </c>
      <c r="B1683" s="1" t="s">
        <v>2327</v>
      </c>
      <c r="C1683" s="44" t="s">
        <v>2316</v>
      </c>
      <c r="D1683" s="1" t="s">
        <v>2057</v>
      </c>
      <c r="E1683" s="44" t="s">
        <v>2316</v>
      </c>
      <c r="F1683" s="38" t="s">
        <v>2058</v>
      </c>
      <c r="G1683" s="45">
        <v>630</v>
      </c>
      <c r="H1683" s="45">
        <v>3.78</v>
      </c>
    </row>
    <row r="1684" spans="1:8">
      <c r="A1684" s="78">
        <v>131320829761</v>
      </c>
      <c r="B1684" s="1" t="s">
        <v>8</v>
      </c>
      <c r="C1684" s="44" t="s">
        <v>2316</v>
      </c>
      <c r="D1684" s="1" t="s">
        <v>2057</v>
      </c>
      <c r="E1684" s="44" t="s">
        <v>2316</v>
      </c>
      <c r="F1684" s="38" t="s">
        <v>2058</v>
      </c>
      <c r="G1684" s="45">
        <v>14200</v>
      </c>
      <c r="H1684" s="45">
        <v>85.2</v>
      </c>
    </row>
    <row r="1685" spans="1:8">
      <c r="A1685" s="78">
        <v>131909574080</v>
      </c>
      <c r="B1685" s="1" t="s">
        <v>2328</v>
      </c>
      <c r="C1685" s="44" t="s">
        <v>2308</v>
      </c>
      <c r="D1685" s="1" t="s">
        <v>2057</v>
      </c>
      <c r="E1685" s="44" t="s">
        <v>2308</v>
      </c>
      <c r="F1685" s="38" t="s">
        <v>2058</v>
      </c>
      <c r="G1685" s="45">
        <v>200</v>
      </c>
      <c r="H1685" s="45">
        <v>1.2</v>
      </c>
    </row>
    <row r="1686" spans="1:8">
      <c r="A1686" s="78">
        <v>131910008744</v>
      </c>
      <c r="B1686" s="1" t="s">
        <v>8</v>
      </c>
      <c r="C1686" s="44" t="s">
        <v>2308</v>
      </c>
      <c r="D1686" s="1" t="s">
        <v>2057</v>
      </c>
      <c r="E1686" s="44" t="s">
        <v>2308</v>
      </c>
      <c r="F1686" s="38" t="s">
        <v>2058</v>
      </c>
      <c r="G1686" s="45">
        <v>4400</v>
      </c>
      <c r="H1686" s="45">
        <v>26.4</v>
      </c>
    </row>
    <row r="1687" spans="1:8">
      <c r="A1687" s="78">
        <v>131917669410</v>
      </c>
      <c r="B1687" s="1" t="s">
        <v>8</v>
      </c>
      <c r="C1687" s="44" t="s">
        <v>2316</v>
      </c>
      <c r="D1687" s="1" t="s">
        <v>2057</v>
      </c>
      <c r="E1687" s="44" t="s">
        <v>2316</v>
      </c>
      <c r="F1687" s="38" t="s">
        <v>2058</v>
      </c>
      <c r="G1687" s="45">
        <v>4600</v>
      </c>
      <c r="H1687" s="45">
        <v>27.6</v>
      </c>
    </row>
    <row r="1688" spans="1:8">
      <c r="A1688" s="78">
        <v>131910231374</v>
      </c>
      <c r="B1688" s="1" t="s">
        <v>8</v>
      </c>
      <c r="C1688" s="44" t="s">
        <v>2308</v>
      </c>
      <c r="D1688" s="1" t="s">
        <v>2057</v>
      </c>
      <c r="E1688" s="44" t="s">
        <v>2308</v>
      </c>
      <c r="F1688" s="38" t="s">
        <v>2058</v>
      </c>
      <c r="G1688" s="45">
        <v>8200</v>
      </c>
      <c r="H1688" s="45">
        <v>49.2</v>
      </c>
    </row>
    <row r="1689" spans="1:8">
      <c r="A1689" s="78">
        <v>131321198139</v>
      </c>
      <c r="B1689" s="1" t="s">
        <v>8</v>
      </c>
      <c r="C1689" s="44" t="s">
        <v>2316</v>
      </c>
      <c r="D1689" s="1" t="s">
        <v>2057</v>
      </c>
      <c r="E1689" s="44" t="s">
        <v>2316</v>
      </c>
      <c r="F1689" s="38" t="s">
        <v>2058</v>
      </c>
      <c r="G1689" s="45">
        <v>4800</v>
      </c>
      <c r="H1689" s="45">
        <v>28.8</v>
      </c>
    </row>
    <row r="1690" spans="1:8">
      <c r="A1690" s="78">
        <v>131910426998</v>
      </c>
      <c r="B1690" s="1" t="s">
        <v>8</v>
      </c>
      <c r="C1690" s="44" t="s">
        <v>2308</v>
      </c>
      <c r="D1690" s="1" t="s">
        <v>2057</v>
      </c>
      <c r="E1690" s="44" t="s">
        <v>2308</v>
      </c>
      <c r="F1690" s="38" t="s">
        <v>2058</v>
      </c>
      <c r="G1690" s="45">
        <v>34600</v>
      </c>
      <c r="H1690" s="45">
        <v>207.6</v>
      </c>
    </row>
    <row r="1691" spans="1:8">
      <c r="A1691" s="78">
        <v>131313557783</v>
      </c>
      <c r="B1691" s="1" t="s">
        <v>8</v>
      </c>
      <c r="C1691" s="44" t="s">
        <v>2308</v>
      </c>
      <c r="D1691" s="1" t="s">
        <v>2057</v>
      </c>
      <c r="E1691" s="44" t="s">
        <v>2308</v>
      </c>
      <c r="F1691" s="38" t="s">
        <v>2058</v>
      </c>
      <c r="G1691" s="45">
        <v>4800</v>
      </c>
      <c r="H1691" s="45">
        <v>28.8</v>
      </c>
    </row>
    <row r="1692" spans="1:8">
      <c r="A1692" s="78">
        <v>131910955522</v>
      </c>
      <c r="B1692" s="1" t="s">
        <v>2055</v>
      </c>
      <c r="C1692" s="44" t="s">
        <v>2308</v>
      </c>
      <c r="D1692" s="1" t="s">
        <v>2057</v>
      </c>
      <c r="E1692" s="44" t="s">
        <v>2308</v>
      </c>
      <c r="F1692" s="38" t="s">
        <v>2058</v>
      </c>
      <c r="G1692" s="45">
        <v>6000</v>
      </c>
      <c r="H1692" s="45">
        <v>36</v>
      </c>
    </row>
    <row r="1693" spans="1:8">
      <c r="A1693" s="78">
        <v>131314279823</v>
      </c>
      <c r="B1693" s="1" t="s">
        <v>8</v>
      </c>
      <c r="C1693" s="44" t="s">
        <v>2308</v>
      </c>
      <c r="D1693" s="1" t="s">
        <v>2057</v>
      </c>
      <c r="E1693" s="44" t="s">
        <v>2316</v>
      </c>
      <c r="F1693" s="38" t="s">
        <v>2058</v>
      </c>
      <c r="G1693" s="45">
        <v>48600</v>
      </c>
      <c r="H1693" s="45">
        <v>291.60000000000002</v>
      </c>
    </row>
    <row r="1694" spans="1:8">
      <c r="A1694" s="78">
        <v>131911758332</v>
      </c>
      <c r="B1694" s="1" t="s">
        <v>8</v>
      </c>
      <c r="C1694" s="44" t="s">
        <v>2308</v>
      </c>
      <c r="D1694" s="1" t="s">
        <v>2057</v>
      </c>
      <c r="E1694" s="44" t="s">
        <v>2316</v>
      </c>
      <c r="F1694" s="38" t="s">
        <v>2058</v>
      </c>
      <c r="G1694" s="45">
        <v>4800</v>
      </c>
      <c r="H1694" s="45">
        <v>28.8</v>
      </c>
    </row>
    <row r="1695" spans="1:8">
      <c r="A1695" s="78">
        <v>131911831956</v>
      </c>
      <c r="B1695" s="1" t="s">
        <v>2055</v>
      </c>
      <c r="C1695" s="44" t="s">
        <v>2308</v>
      </c>
      <c r="D1695" s="1" t="s">
        <v>2057</v>
      </c>
      <c r="E1695" s="44" t="s">
        <v>2316</v>
      </c>
      <c r="F1695" s="38" t="s">
        <v>2058</v>
      </c>
      <c r="G1695" s="45">
        <v>33950</v>
      </c>
      <c r="H1695" s="45">
        <v>203.7</v>
      </c>
    </row>
    <row r="1696" spans="1:8">
      <c r="A1696" s="78">
        <v>131315445485</v>
      </c>
      <c r="B1696" s="1" t="s">
        <v>8</v>
      </c>
      <c r="C1696" s="44" t="s">
        <v>2308</v>
      </c>
      <c r="D1696" s="1" t="s">
        <v>2057</v>
      </c>
      <c r="E1696" s="44" t="s">
        <v>2316</v>
      </c>
      <c r="F1696" s="38" t="s">
        <v>2058</v>
      </c>
      <c r="G1696" s="45">
        <v>34000</v>
      </c>
      <c r="H1696" s="45">
        <v>204</v>
      </c>
    </row>
    <row r="1697" spans="1:8">
      <c r="A1697" s="78">
        <v>131911994644</v>
      </c>
      <c r="B1697" s="1" t="s">
        <v>8</v>
      </c>
      <c r="C1697" s="44" t="s">
        <v>2308</v>
      </c>
      <c r="D1697" s="1" t="s">
        <v>2057</v>
      </c>
      <c r="E1697" s="44" t="s">
        <v>2316</v>
      </c>
      <c r="F1697" s="38" t="s">
        <v>2058</v>
      </c>
      <c r="G1697" s="45">
        <v>4000</v>
      </c>
      <c r="H1697" s="45">
        <v>24</v>
      </c>
    </row>
    <row r="1698" spans="1:8">
      <c r="A1698" s="78">
        <v>131315987293</v>
      </c>
      <c r="B1698" s="1" t="s">
        <v>2055</v>
      </c>
      <c r="C1698" s="44" t="s">
        <v>2308</v>
      </c>
      <c r="D1698" s="1" t="s">
        <v>2057</v>
      </c>
      <c r="E1698" s="44" t="s">
        <v>2316</v>
      </c>
      <c r="F1698" s="38" t="s">
        <v>2058</v>
      </c>
      <c r="G1698" s="45">
        <v>13200</v>
      </c>
      <c r="H1698" s="45">
        <v>79.2</v>
      </c>
    </row>
    <row r="1699" spans="1:8">
      <c r="A1699" s="78">
        <v>131316233559</v>
      </c>
      <c r="B1699" s="1" t="s">
        <v>8</v>
      </c>
      <c r="C1699" s="44" t="s">
        <v>2308</v>
      </c>
      <c r="D1699" s="1" t="s">
        <v>2057</v>
      </c>
      <c r="E1699" s="44" t="s">
        <v>2316</v>
      </c>
      <c r="F1699" s="38" t="s">
        <v>2058</v>
      </c>
      <c r="G1699" s="45">
        <v>11000</v>
      </c>
      <c r="H1699" s="45">
        <v>66</v>
      </c>
    </row>
    <row r="1700" spans="1:8">
      <c r="A1700" s="78">
        <v>131316259873</v>
      </c>
      <c r="B1700" s="1" t="s">
        <v>2055</v>
      </c>
      <c r="C1700" s="44" t="s">
        <v>2308</v>
      </c>
      <c r="D1700" s="1" t="s">
        <v>2057</v>
      </c>
      <c r="E1700" s="44" t="s">
        <v>2316</v>
      </c>
      <c r="F1700" s="38" t="s">
        <v>2058</v>
      </c>
      <c r="G1700" s="45">
        <v>33800</v>
      </c>
      <c r="H1700" s="45">
        <v>202.8</v>
      </c>
    </row>
    <row r="1701" spans="1:8">
      <c r="A1701" s="78">
        <v>131913233904</v>
      </c>
      <c r="B1701" s="1" t="s">
        <v>8</v>
      </c>
      <c r="C1701" s="44" t="s">
        <v>2308</v>
      </c>
      <c r="D1701" s="1" t="s">
        <v>2057</v>
      </c>
      <c r="E1701" s="44" t="s">
        <v>2316</v>
      </c>
      <c r="F1701" s="38" t="s">
        <v>2058</v>
      </c>
      <c r="G1701" s="45">
        <v>30900</v>
      </c>
      <c r="H1701" s="45">
        <v>185.4</v>
      </c>
    </row>
    <row r="1702" spans="1:8">
      <c r="A1702" s="78">
        <v>131913625570</v>
      </c>
      <c r="B1702" s="1" t="s">
        <v>8</v>
      </c>
      <c r="C1702" s="44" t="s">
        <v>2308</v>
      </c>
      <c r="D1702" s="1" t="s">
        <v>2057</v>
      </c>
      <c r="E1702" s="44" t="s">
        <v>2316</v>
      </c>
      <c r="F1702" s="38" t="s">
        <v>2058</v>
      </c>
      <c r="G1702" s="45">
        <v>64500</v>
      </c>
      <c r="H1702" s="45">
        <v>387</v>
      </c>
    </row>
    <row r="1703" spans="1:8">
      <c r="A1703" s="78">
        <v>131914746862</v>
      </c>
      <c r="B1703" s="1" t="s">
        <v>8</v>
      </c>
      <c r="C1703" s="44" t="s">
        <v>2316</v>
      </c>
      <c r="D1703" s="1" t="s">
        <v>2057</v>
      </c>
      <c r="E1703" s="44" t="s">
        <v>2316</v>
      </c>
      <c r="F1703" s="38" t="s">
        <v>2058</v>
      </c>
      <c r="G1703" s="45">
        <v>9600</v>
      </c>
      <c r="H1703" s="45">
        <v>57.6</v>
      </c>
    </row>
    <row r="1704" spans="1:8">
      <c r="A1704" s="78">
        <v>131318108529</v>
      </c>
      <c r="B1704" s="1" t="s">
        <v>8</v>
      </c>
      <c r="C1704" s="44" t="s">
        <v>2316</v>
      </c>
      <c r="D1704" s="1" t="s">
        <v>2057</v>
      </c>
      <c r="E1704" s="44" t="s">
        <v>2316</v>
      </c>
      <c r="F1704" s="38" t="s">
        <v>2058</v>
      </c>
      <c r="G1704" s="45">
        <v>16500</v>
      </c>
      <c r="H1704" s="45">
        <v>99</v>
      </c>
    </row>
    <row r="1705" spans="1:8">
      <c r="A1705" s="78">
        <v>131914914580</v>
      </c>
      <c r="B1705" s="1" t="s">
        <v>8</v>
      </c>
      <c r="C1705" s="44" t="s">
        <v>2316</v>
      </c>
      <c r="D1705" s="1" t="s">
        <v>2057</v>
      </c>
      <c r="E1705" s="44" t="s">
        <v>2316</v>
      </c>
      <c r="F1705" s="38" t="s">
        <v>2058</v>
      </c>
      <c r="G1705" s="45">
        <v>41200</v>
      </c>
      <c r="H1705" s="45">
        <v>247.2</v>
      </c>
    </row>
    <row r="1706" spans="1:8">
      <c r="A1706" s="78">
        <v>131318639651</v>
      </c>
      <c r="B1706" s="1" t="s">
        <v>2055</v>
      </c>
      <c r="C1706" s="44" t="s">
        <v>2316</v>
      </c>
      <c r="D1706" s="1" t="s">
        <v>2057</v>
      </c>
      <c r="E1706" s="44" t="s">
        <v>2316</v>
      </c>
      <c r="F1706" s="38" t="s">
        <v>2058</v>
      </c>
      <c r="G1706" s="45">
        <v>4400</v>
      </c>
      <c r="H1706" s="45">
        <v>26.4</v>
      </c>
    </row>
    <row r="1707" spans="1:8">
      <c r="A1707" s="78">
        <v>131319369569</v>
      </c>
      <c r="B1707" s="1" t="s">
        <v>8</v>
      </c>
      <c r="C1707" s="44" t="s">
        <v>2316</v>
      </c>
      <c r="D1707" s="1" t="s">
        <v>2057</v>
      </c>
      <c r="E1707" s="44" t="s">
        <v>2316</v>
      </c>
      <c r="F1707" s="38" t="s">
        <v>2058</v>
      </c>
      <c r="G1707" s="45">
        <v>9800</v>
      </c>
      <c r="H1707" s="45">
        <v>58.8</v>
      </c>
    </row>
    <row r="1708" spans="1:8">
      <c r="A1708" s="78">
        <v>131916342834</v>
      </c>
      <c r="B1708" s="1" t="s">
        <v>8</v>
      </c>
      <c r="C1708" s="44" t="s">
        <v>2316</v>
      </c>
      <c r="D1708" s="1" t="s">
        <v>2057</v>
      </c>
      <c r="E1708" s="44" t="s">
        <v>2316</v>
      </c>
      <c r="F1708" s="38" t="s">
        <v>2058</v>
      </c>
      <c r="G1708" s="45">
        <v>4800</v>
      </c>
      <c r="H1708" s="45">
        <v>28.8</v>
      </c>
    </row>
    <row r="1709" spans="1:8">
      <c r="A1709" s="78">
        <v>131916342992</v>
      </c>
      <c r="B1709" s="1" t="s">
        <v>8</v>
      </c>
      <c r="C1709" s="44" t="s">
        <v>2316</v>
      </c>
      <c r="D1709" s="1" t="s">
        <v>2057</v>
      </c>
      <c r="E1709" s="44" t="s">
        <v>2316</v>
      </c>
      <c r="F1709" s="38" t="s">
        <v>2058</v>
      </c>
      <c r="G1709" s="45">
        <v>26100</v>
      </c>
      <c r="H1709" s="45">
        <v>156.6</v>
      </c>
    </row>
    <row r="1710" spans="1:8">
      <c r="A1710" s="78">
        <v>131319469609</v>
      </c>
      <c r="B1710" s="1" t="s">
        <v>2329</v>
      </c>
      <c r="C1710" s="44" t="s">
        <v>2316</v>
      </c>
      <c r="D1710" s="1" t="s">
        <v>2057</v>
      </c>
      <c r="E1710" s="44" t="s">
        <v>2316</v>
      </c>
      <c r="F1710" s="38" t="s">
        <v>2058</v>
      </c>
      <c r="G1710" s="45">
        <v>2610</v>
      </c>
      <c r="H1710" s="45">
        <v>15.66</v>
      </c>
    </row>
    <row r="1711" spans="1:8">
      <c r="A1711" s="78">
        <v>131319845291</v>
      </c>
      <c r="B1711" s="1" t="s">
        <v>8</v>
      </c>
      <c r="C1711" s="44" t="s">
        <v>2316</v>
      </c>
      <c r="D1711" s="1" t="s">
        <v>2057</v>
      </c>
      <c r="E1711" s="44" t="s">
        <v>2316</v>
      </c>
      <c r="F1711" s="38" t="s">
        <v>2058</v>
      </c>
      <c r="G1711" s="45">
        <v>16500</v>
      </c>
      <c r="H1711" s="45">
        <v>99</v>
      </c>
    </row>
    <row r="1712" spans="1:8">
      <c r="A1712" s="78">
        <v>131916458918</v>
      </c>
      <c r="B1712" s="1" t="s">
        <v>2330</v>
      </c>
      <c r="C1712" s="44" t="s">
        <v>2316</v>
      </c>
      <c r="D1712" s="1" t="s">
        <v>2057</v>
      </c>
      <c r="E1712" s="44" t="s">
        <v>2316</v>
      </c>
      <c r="F1712" s="38" t="s">
        <v>2058</v>
      </c>
      <c r="G1712" s="45">
        <v>825</v>
      </c>
      <c r="H1712" s="45">
        <v>4.95</v>
      </c>
    </row>
    <row r="1713" spans="1:8">
      <c r="A1713" s="78">
        <v>131320327125</v>
      </c>
      <c r="B1713" s="1" t="s">
        <v>8</v>
      </c>
      <c r="C1713" s="44" t="s">
        <v>2316</v>
      </c>
      <c r="D1713" s="1" t="s">
        <v>2057</v>
      </c>
      <c r="E1713" s="44" t="s">
        <v>2316</v>
      </c>
      <c r="F1713" s="38" t="s">
        <v>2058</v>
      </c>
      <c r="G1713" s="45">
        <v>8800</v>
      </c>
      <c r="H1713" s="45">
        <v>52.8</v>
      </c>
    </row>
    <row r="1714" spans="1:8">
      <c r="A1714" s="78">
        <v>131320680825</v>
      </c>
      <c r="B1714" s="1" t="s">
        <v>2331</v>
      </c>
      <c r="C1714" s="44" t="s">
        <v>2316</v>
      </c>
      <c r="D1714" s="1" t="s">
        <v>2057</v>
      </c>
      <c r="E1714" s="44" t="s">
        <v>2316</v>
      </c>
      <c r="F1714" s="38" t="s">
        <v>2058</v>
      </c>
      <c r="G1714" s="45">
        <v>400</v>
      </c>
      <c r="H1714" s="45">
        <v>2.4</v>
      </c>
    </row>
    <row r="1715" spans="1:8">
      <c r="A1715" s="78">
        <v>131320643815</v>
      </c>
      <c r="B1715" s="1" t="s">
        <v>8</v>
      </c>
      <c r="C1715" s="44" t="s">
        <v>2316</v>
      </c>
      <c r="D1715" s="1" t="s">
        <v>2057</v>
      </c>
      <c r="E1715" s="44" t="s">
        <v>2316</v>
      </c>
      <c r="F1715" s="38" t="s">
        <v>2058</v>
      </c>
      <c r="G1715" s="45">
        <v>45200</v>
      </c>
      <c r="H1715" s="45">
        <v>271.2</v>
      </c>
    </row>
    <row r="1716" spans="1:8">
      <c r="A1716" s="78">
        <v>131917577150</v>
      </c>
      <c r="B1716" s="1" t="s">
        <v>8</v>
      </c>
      <c r="C1716" s="44" t="s">
        <v>2316</v>
      </c>
      <c r="D1716" s="1" t="s">
        <v>2057</v>
      </c>
      <c r="E1716" s="44" t="s">
        <v>2316</v>
      </c>
      <c r="F1716" s="38" t="s">
        <v>2058</v>
      </c>
      <c r="G1716" s="45">
        <v>4200</v>
      </c>
      <c r="H1716" s="45">
        <v>25.2</v>
      </c>
    </row>
    <row r="1717" spans="1:8">
      <c r="A1717" s="78">
        <v>131917714840</v>
      </c>
      <c r="B1717" s="1" t="s">
        <v>8</v>
      </c>
      <c r="C1717" s="44" t="s">
        <v>2316</v>
      </c>
      <c r="D1717" s="1" t="s">
        <v>2057</v>
      </c>
      <c r="E1717" s="44" t="s">
        <v>2316</v>
      </c>
      <c r="F1717" s="38" t="s">
        <v>2058</v>
      </c>
      <c r="G1717" s="45">
        <v>24800</v>
      </c>
      <c r="H1717" s="45">
        <v>148.80000000000001</v>
      </c>
    </row>
    <row r="1718" spans="1:8">
      <c r="A1718" s="78">
        <v>131918000406</v>
      </c>
      <c r="B1718" s="1" t="s">
        <v>8</v>
      </c>
      <c r="C1718" s="44" t="s">
        <v>2316</v>
      </c>
      <c r="D1718" s="1" t="s">
        <v>2057</v>
      </c>
      <c r="E1718" s="44" t="s">
        <v>2316</v>
      </c>
      <c r="F1718" s="38" t="s">
        <v>2058</v>
      </c>
      <c r="G1718" s="45">
        <v>26000</v>
      </c>
      <c r="H1718" s="45">
        <v>156</v>
      </c>
    </row>
    <row r="1719" spans="1:8">
      <c r="A1719" s="78" t="s">
        <v>2332</v>
      </c>
      <c r="B1719" s="1" t="s">
        <v>8</v>
      </c>
      <c r="C1719" s="44" t="s">
        <v>2316</v>
      </c>
      <c r="D1719" s="1" t="s">
        <v>2057</v>
      </c>
      <c r="E1719" s="44" t="s">
        <v>2316</v>
      </c>
      <c r="F1719" s="38" t="s">
        <v>2058</v>
      </c>
      <c r="G1719" s="45">
        <v>44800.02</v>
      </c>
      <c r="H1719" s="45">
        <v>268.8</v>
      </c>
    </row>
    <row r="1720" spans="1:8">
      <c r="A1720" s="78">
        <v>131360969785</v>
      </c>
      <c r="B1720" s="1" t="s">
        <v>8</v>
      </c>
      <c r="C1720" s="44" t="s">
        <v>2316</v>
      </c>
      <c r="D1720" s="1" t="s">
        <v>2057</v>
      </c>
      <c r="E1720" s="44" t="s">
        <v>2316</v>
      </c>
      <c r="F1720" s="38" t="s">
        <v>2058</v>
      </c>
      <c r="G1720" s="45">
        <v>124724.4</v>
      </c>
      <c r="H1720" s="45">
        <v>748.35</v>
      </c>
    </row>
    <row r="1721" spans="1:8">
      <c r="A1721" s="78">
        <v>131361245633</v>
      </c>
      <c r="B1721" s="1" t="s">
        <v>8</v>
      </c>
      <c r="C1721" s="44" t="s">
        <v>2316</v>
      </c>
      <c r="D1721" s="1" t="s">
        <v>2057</v>
      </c>
      <c r="E1721" s="44" t="s">
        <v>2316</v>
      </c>
      <c r="F1721" s="38" t="s">
        <v>2058</v>
      </c>
      <c r="G1721" s="45">
        <v>202073.56</v>
      </c>
      <c r="H1721" s="45">
        <v>1212.44</v>
      </c>
    </row>
    <row r="1722" spans="1:8">
      <c r="A1722" s="78" t="s">
        <v>2333</v>
      </c>
      <c r="B1722" s="1" t="s">
        <v>8</v>
      </c>
      <c r="C1722" s="44" t="s">
        <v>2316</v>
      </c>
      <c r="D1722" s="1" t="s">
        <v>2057</v>
      </c>
      <c r="E1722" s="44" t="s">
        <v>2316</v>
      </c>
      <c r="F1722" s="38" t="s">
        <v>2058</v>
      </c>
      <c r="G1722" s="45">
        <v>39100.019999999997</v>
      </c>
      <c r="H1722" s="45">
        <v>234.6</v>
      </c>
    </row>
    <row r="1723" spans="1:8">
      <c r="A1723" s="78" t="s">
        <v>2334</v>
      </c>
      <c r="B1723" s="1" t="s">
        <v>8</v>
      </c>
      <c r="C1723" s="44" t="s">
        <v>2316</v>
      </c>
      <c r="D1723" s="1" t="s">
        <v>2057</v>
      </c>
      <c r="E1723" s="44" t="s">
        <v>2316</v>
      </c>
      <c r="F1723" s="38" t="s">
        <v>2058</v>
      </c>
      <c r="G1723" s="45">
        <v>116200</v>
      </c>
      <c r="H1723" s="45">
        <v>697.2</v>
      </c>
    </row>
    <row r="1724" spans="1:8">
      <c r="A1724" s="78">
        <v>131361361133</v>
      </c>
      <c r="B1724" s="1" t="s">
        <v>8</v>
      </c>
      <c r="C1724" s="44" t="s">
        <v>2316</v>
      </c>
      <c r="D1724" s="1" t="s">
        <v>2057</v>
      </c>
      <c r="E1724" s="44" t="s">
        <v>2316</v>
      </c>
      <c r="F1724" s="38" t="s">
        <v>2058</v>
      </c>
      <c r="G1724" s="45">
        <v>70981.84</v>
      </c>
      <c r="H1724" s="45">
        <v>425.89</v>
      </c>
    </row>
    <row r="1725" spans="1:8">
      <c r="A1725" s="78">
        <v>131426444169</v>
      </c>
      <c r="B1725" s="1" t="s">
        <v>8</v>
      </c>
      <c r="C1725" s="44" t="s">
        <v>2316</v>
      </c>
      <c r="D1725" s="1" t="s">
        <v>2057</v>
      </c>
      <c r="E1725" s="44" t="s">
        <v>2316</v>
      </c>
      <c r="F1725" s="38" t="s">
        <v>2058</v>
      </c>
      <c r="G1725" s="45">
        <v>9600</v>
      </c>
      <c r="H1725" s="45">
        <v>57.6</v>
      </c>
    </row>
    <row r="1726" spans="1:8">
      <c r="A1726" s="78">
        <v>132024371420</v>
      </c>
      <c r="B1726" s="1" t="s">
        <v>8</v>
      </c>
      <c r="C1726" s="44" t="s">
        <v>2316</v>
      </c>
      <c r="D1726" s="1" t="s">
        <v>2057</v>
      </c>
      <c r="E1726" s="44" t="s">
        <v>2316</v>
      </c>
      <c r="F1726" s="38" t="s">
        <v>2058</v>
      </c>
      <c r="G1726" s="45">
        <v>9600</v>
      </c>
      <c r="H1726" s="45">
        <v>57.6</v>
      </c>
    </row>
    <row r="1727" spans="1:8">
      <c r="A1727" s="78">
        <v>131431493777</v>
      </c>
      <c r="B1727" s="1" t="s">
        <v>8</v>
      </c>
      <c r="C1727" s="44" t="s">
        <v>2316</v>
      </c>
      <c r="D1727" s="1" t="s">
        <v>2057</v>
      </c>
      <c r="E1727" s="44" t="s">
        <v>2316</v>
      </c>
      <c r="F1727" s="38" t="s">
        <v>2058</v>
      </c>
      <c r="G1727" s="45">
        <v>11800</v>
      </c>
      <c r="H1727" s="45">
        <v>70.8</v>
      </c>
    </row>
    <row r="1728" spans="1:8">
      <c r="A1728" s="78">
        <v>132033280404</v>
      </c>
      <c r="B1728" s="1" t="s">
        <v>8</v>
      </c>
      <c r="C1728" s="44" t="s">
        <v>2316</v>
      </c>
      <c r="D1728" s="1" t="s">
        <v>2057</v>
      </c>
      <c r="E1728" s="44" t="s">
        <v>2316</v>
      </c>
      <c r="F1728" s="38" t="s">
        <v>2058</v>
      </c>
      <c r="G1728" s="45">
        <v>19900</v>
      </c>
      <c r="H1728" s="45">
        <v>119.4</v>
      </c>
    </row>
    <row r="1729" spans="1:8">
      <c r="A1729" s="78">
        <v>132033306284</v>
      </c>
      <c r="B1729" s="1" t="s">
        <v>2335</v>
      </c>
      <c r="C1729" s="44" t="s">
        <v>2316</v>
      </c>
      <c r="D1729" s="1" t="s">
        <v>2057</v>
      </c>
      <c r="E1729" s="44" t="s">
        <v>2316</v>
      </c>
      <c r="F1729" s="38" t="s">
        <v>2058</v>
      </c>
      <c r="G1729" s="45">
        <v>1990</v>
      </c>
      <c r="H1729" s="45">
        <v>11.94</v>
      </c>
    </row>
    <row r="1730" spans="1:8">
      <c r="A1730" s="78">
        <v>131421618225</v>
      </c>
      <c r="B1730" s="1" t="s">
        <v>8</v>
      </c>
      <c r="C1730" s="44" t="s">
        <v>2316</v>
      </c>
      <c r="D1730" s="1" t="s">
        <v>2057</v>
      </c>
      <c r="E1730" s="44" t="s">
        <v>2316</v>
      </c>
      <c r="F1730" s="38" t="s">
        <v>2058</v>
      </c>
      <c r="G1730" s="45">
        <v>1167650</v>
      </c>
      <c r="H1730" s="45">
        <v>7005.9</v>
      </c>
    </row>
    <row r="1731" spans="1:8">
      <c r="A1731" s="78">
        <v>131437180631</v>
      </c>
      <c r="B1731" s="1" t="s">
        <v>8</v>
      </c>
      <c r="C1731" s="44" t="s">
        <v>2316</v>
      </c>
      <c r="D1731" s="1" t="s">
        <v>2057</v>
      </c>
      <c r="E1731" s="44" t="s">
        <v>2316</v>
      </c>
      <c r="F1731" s="38" t="s">
        <v>2058</v>
      </c>
      <c r="G1731" s="45">
        <v>9600</v>
      </c>
      <c r="H1731" s="45">
        <v>57.6</v>
      </c>
    </row>
    <row r="1732" spans="1:8">
      <c r="A1732" s="78">
        <v>131437083607</v>
      </c>
      <c r="B1732" s="1" t="s">
        <v>2336</v>
      </c>
      <c r="C1732" s="44" t="s">
        <v>2316</v>
      </c>
      <c r="D1732" s="1" t="s">
        <v>2057</v>
      </c>
      <c r="E1732" s="44" t="s">
        <v>2316</v>
      </c>
      <c r="F1732" s="38" t="s">
        <v>2058</v>
      </c>
      <c r="G1732" s="45">
        <v>960</v>
      </c>
      <c r="H1732" s="45">
        <v>5.76</v>
      </c>
    </row>
    <row r="1733" spans="1:8">
      <c r="A1733" s="78">
        <v>131438131109</v>
      </c>
      <c r="B1733" s="1" t="s">
        <v>8</v>
      </c>
      <c r="C1733" s="44" t="s">
        <v>2316</v>
      </c>
      <c r="D1733" s="1" t="s">
        <v>2057</v>
      </c>
      <c r="E1733" s="44" t="s">
        <v>2316</v>
      </c>
      <c r="F1733" s="38" t="s">
        <v>2058</v>
      </c>
      <c r="G1733" s="45">
        <v>9600</v>
      </c>
      <c r="H1733" s="45">
        <v>57.6</v>
      </c>
    </row>
    <row r="1734" spans="1:8">
      <c r="A1734" s="78">
        <v>132038062836</v>
      </c>
      <c r="B1734" s="1" t="s">
        <v>2337</v>
      </c>
      <c r="C1734" s="44" t="s">
        <v>2316</v>
      </c>
      <c r="D1734" s="1" t="s">
        <v>2057</v>
      </c>
      <c r="E1734" s="44" t="s">
        <v>2316</v>
      </c>
      <c r="F1734" s="38" t="s">
        <v>2058</v>
      </c>
      <c r="G1734" s="45">
        <v>1990</v>
      </c>
      <c r="H1734" s="45">
        <v>11.94</v>
      </c>
    </row>
    <row r="1735" spans="1:8">
      <c r="A1735" s="78">
        <v>131440703545</v>
      </c>
      <c r="B1735" s="1" t="s">
        <v>8</v>
      </c>
      <c r="C1735" s="44" t="s">
        <v>2316</v>
      </c>
      <c r="D1735" s="1" t="s">
        <v>2057</v>
      </c>
      <c r="E1735" s="44" t="s">
        <v>2316</v>
      </c>
      <c r="F1735" s="38" t="s">
        <v>2058</v>
      </c>
      <c r="G1735" s="45">
        <v>39800</v>
      </c>
      <c r="H1735" s="45">
        <v>238.8</v>
      </c>
    </row>
    <row r="1736" spans="1:8">
      <c r="A1736" s="78">
        <v>131426410673</v>
      </c>
      <c r="B1736" s="1" t="s">
        <v>2338</v>
      </c>
      <c r="C1736" s="44" t="s">
        <v>2316</v>
      </c>
      <c r="D1736" s="1" t="s">
        <v>2057</v>
      </c>
      <c r="E1736" s="44" t="s">
        <v>2316</v>
      </c>
      <c r="F1736" s="38" t="s">
        <v>2058</v>
      </c>
      <c r="G1736" s="45">
        <v>480</v>
      </c>
      <c r="H1736" s="45">
        <v>2.88</v>
      </c>
    </row>
    <row r="1737" spans="1:8">
      <c r="A1737" s="78">
        <v>131442369167</v>
      </c>
      <c r="B1737" s="1" t="s">
        <v>8</v>
      </c>
      <c r="C1737" s="44" t="s">
        <v>2316</v>
      </c>
      <c r="D1737" s="1" t="s">
        <v>2057</v>
      </c>
      <c r="E1737" s="44" t="s">
        <v>2316</v>
      </c>
      <c r="F1737" s="38" t="s">
        <v>2058</v>
      </c>
      <c r="G1737" s="45">
        <v>33200</v>
      </c>
      <c r="H1737" s="45">
        <v>199.2</v>
      </c>
    </row>
    <row r="1738" spans="1:8">
      <c r="A1738" s="78">
        <v>132040086204</v>
      </c>
      <c r="B1738" s="1" t="s">
        <v>8</v>
      </c>
      <c r="C1738" s="44" t="s">
        <v>2316</v>
      </c>
      <c r="D1738" s="1" t="s">
        <v>2057</v>
      </c>
      <c r="E1738" s="44" t="s">
        <v>2316</v>
      </c>
      <c r="F1738" s="38" t="s">
        <v>2058</v>
      </c>
      <c r="G1738" s="45">
        <v>48800</v>
      </c>
      <c r="H1738" s="45">
        <v>292.8</v>
      </c>
    </row>
    <row r="1739" spans="1:8">
      <c r="A1739" s="78">
        <v>132026588886</v>
      </c>
      <c r="B1739" s="1" t="s">
        <v>8</v>
      </c>
      <c r="C1739" s="44" t="s">
        <v>2316</v>
      </c>
      <c r="D1739" s="1" t="s">
        <v>2057</v>
      </c>
      <c r="E1739" s="44" t="s">
        <v>2316</v>
      </c>
      <c r="F1739" s="38" t="s">
        <v>2058</v>
      </c>
      <c r="G1739" s="45">
        <v>8800</v>
      </c>
      <c r="H1739" s="45">
        <v>52.8</v>
      </c>
    </row>
    <row r="1740" spans="1:8">
      <c r="A1740" s="78">
        <v>131443126827</v>
      </c>
      <c r="B1740" s="1" t="s">
        <v>8</v>
      </c>
      <c r="C1740" s="44" t="s">
        <v>2316</v>
      </c>
      <c r="D1740" s="1" t="s">
        <v>2057</v>
      </c>
      <c r="E1740" s="44" t="s">
        <v>2316</v>
      </c>
      <c r="F1740" s="38" t="s">
        <v>2058</v>
      </c>
      <c r="G1740" s="45">
        <v>29200</v>
      </c>
      <c r="H1740" s="45">
        <v>175.2</v>
      </c>
    </row>
    <row r="1741" spans="1:8">
      <c r="A1741" s="78">
        <v>132040871854</v>
      </c>
      <c r="B1741" s="1" t="s">
        <v>2055</v>
      </c>
      <c r="C1741" s="44" t="s">
        <v>2316</v>
      </c>
      <c r="D1741" s="1" t="s">
        <v>2057</v>
      </c>
      <c r="E1741" s="44" t="s">
        <v>2316</v>
      </c>
      <c r="F1741" s="38" t="s">
        <v>2058</v>
      </c>
      <c r="G1741" s="45">
        <v>12480</v>
      </c>
      <c r="H1741" s="45">
        <v>74.88</v>
      </c>
    </row>
    <row r="1742" spans="1:8">
      <c r="A1742" s="78">
        <v>132042598568</v>
      </c>
      <c r="B1742" s="1" t="s">
        <v>2055</v>
      </c>
      <c r="C1742" s="44" t="s">
        <v>2316</v>
      </c>
      <c r="D1742" s="1" t="s">
        <v>2057</v>
      </c>
      <c r="E1742" s="44" t="s">
        <v>2316</v>
      </c>
      <c r="F1742" s="38" t="s">
        <v>2058</v>
      </c>
      <c r="G1742" s="45">
        <v>20200</v>
      </c>
      <c r="H1742" s="45">
        <v>121.2</v>
      </c>
    </row>
    <row r="1743" spans="1:8">
      <c r="A1743" s="78">
        <v>131445281177</v>
      </c>
      <c r="B1743" s="1" t="s">
        <v>2055</v>
      </c>
      <c r="C1743" s="44" t="s">
        <v>2316</v>
      </c>
      <c r="D1743" s="1" t="s">
        <v>2057</v>
      </c>
      <c r="E1743" s="44" t="s">
        <v>2316</v>
      </c>
      <c r="F1743" s="38" t="s">
        <v>2058</v>
      </c>
      <c r="G1743" s="45">
        <v>58100</v>
      </c>
      <c r="H1743" s="45">
        <v>348.6</v>
      </c>
    </row>
    <row r="1744" spans="1:8">
      <c r="A1744" s="78">
        <v>132032843916</v>
      </c>
      <c r="B1744" s="1" t="s">
        <v>2055</v>
      </c>
      <c r="C1744" s="44" t="s">
        <v>2316</v>
      </c>
      <c r="D1744" s="1" t="s">
        <v>2057</v>
      </c>
      <c r="E1744" s="44" t="s">
        <v>2316</v>
      </c>
      <c r="F1744" s="38" t="s">
        <v>2058</v>
      </c>
      <c r="G1744" s="45">
        <v>4200</v>
      </c>
      <c r="H1744" s="45">
        <v>25.2</v>
      </c>
    </row>
    <row r="1745" spans="1:8">
      <c r="A1745" s="78">
        <v>132035156628</v>
      </c>
      <c r="B1745" s="1" t="s">
        <v>2055</v>
      </c>
      <c r="C1745" s="44" t="s">
        <v>2316</v>
      </c>
      <c r="D1745" s="1" t="s">
        <v>2057</v>
      </c>
      <c r="E1745" s="44" t="s">
        <v>2316</v>
      </c>
      <c r="F1745" s="38" t="s">
        <v>2058</v>
      </c>
      <c r="G1745" s="45">
        <v>9600</v>
      </c>
      <c r="H1745" s="45">
        <v>57.6</v>
      </c>
    </row>
    <row r="1746" spans="1:8">
      <c r="A1746" s="78">
        <v>131450361471</v>
      </c>
      <c r="B1746" s="1" t="s">
        <v>8</v>
      </c>
      <c r="C1746" s="44" t="s">
        <v>2316</v>
      </c>
      <c r="D1746" s="1" t="s">
        <v>2057</v>
      </c>
      <c r="E1746" s="44" t="s">
        <v>2316</v>
      </c>
      <c r="F1746" s="38" t="s">
        <v>2058</v>
      </c>
      <c r="G1746" s="45">
        <v>47100</v>
      </c>
      <c r="H1746" s="45">
        <v>282.60000000000002</v>
      </c>
    </row>
    <row r="1747" spans="1:8">
      <c r="A1747" s="78">
        <v>132035989400</v>
      </c>
      <c r="B1747" s="1" t="s">
        <v>8</v>
      </c>
      <c r="C1747" s="44" t="s">
        <v>2316</v>
      </c>
      <c r="D1747" s="1" t="s">
        <v>2057</v>
      </c>
      <c r="E1747" s="44" t="s">
        <v>2316</v>
      </c>
      <c r="F1747" s="38" t="s">
        <v>2058</v>
      </c>
      <c r="G1747" s="45">
        <v>9600</v>
      </c>
      <c r="H1747" s="45">
        <v>57.6</v>
      </c>
    </row>
    <row r="1748" spans="1:8">
      <c r="A1748" s="78">
        <v>131451440131</v>
      </c>
      <c r="B1748" s="1" t="s">
        <v>8</v>
      </c>
      <c r="C1748" s="44" t="s">
        <v>2316</v>
      </c>
      <c r="D1748" s="1" t="s">
        <v>2057</v>
      </c>
      <c r="E1748" s="44" t="s">
        <v>2316</v>
      </c>
      <c r="F1748" s="38" t="s">
        <v>2058</v>
      </c>
      <c r="G1748" s="45">
        <v>35400</v>
      </c>
      <c r="H1748" s="45">
        <v>212.4</v>
      </c>
    </row>
    <row r="1749" spans="1:8">
      <c r="A1749" s="78">
        <v>132049026310</v>
      </c>
      <c r="B1749" s="1" t="s">
        <v>8</v>
      </c>
      <c r="C1749" s="44" t="s">
        <v>2316</v>
      </c>
      <c r="D1749" s="1" t="s">
        <v>2057</v>
      </c>
      <c r="E1749" s="44" t="s">
        <v>2316</v>
      </c>
      <c r="F1749" s="38" t="s">
        <v>2058</v>
      </c>
      <c r="G1749" s="45">
        <v>13000</v>
      </c>
      <c r="H1749" s="45">
        <v>78</v>
      </c>
    </row>
    <row r="1750" spans="1:8">
      <c r="A1750" s="78">
        <v>131440599777</v>
      </c>
      <c r="B1750" s="1" t="s">
        <v>2055</v>
      </c>
      <c r="C1750" s="44" t="s">
        <v>2316</v>
      </c>
      <c r="D1750" s="1" t="s">
        <v>2057</v>
      </c>
      <c r="E1750" s="44" t="s">
        <v>2316</v>
      </c>
      <c r="F1750" s="38" t="s">
        <v>2058</v>
      </c>
      <c r="G1750" s="45">
        <v>55000</v>
      </c>
      <c r="H1750" s="45">
        <v>330</v>
      </c>
    </row>
    <row r="1751" spans="1:8">
      <c r="A1751" s="78">
        <v>131454294961</v>
      </c>
      <c r="B1751" s="1" t="s">
        <v>8</v>
      </c>
      <c r="C1751" s="44" t="s">
        <v>2316</v>
      </c>
      <c r="D1751" s="1" t="s">
        <v>2057</v>
      </c>
      <c r="E1751" s="44" t="s">
        <v>2316</v>
      </c>
      <c r="F1751" s="38" t="s">
        <v>2058</v>
      </c>
      <c r="G1751" s="45">
        <v>82300</v>
      </c>
      <c r="H1751" s="45">
        <v>493.8</v>
      </c>
    </row>
    <row r="1752" spans="1:8">
      <c r="A1752" s="78">
        <v>132038856812</v>
      </c>
      <c r="B1752" s="1" t="s">
        <v>2055</v>
      </c>
      <c r="C1752" s="44" t="s">
        <v>2316</v>
      </c>
      <c r="D1752" s="1" t="s">
        <v>2057</v>
      </c>
      <c r="E1752" s="44" t="s">
        <v>2316</v>
      </c>
      <c r="F1752" s="38" t="s">
        <v>2058</v>
      </c>
      <c r="G1752" s="45">
        <v>43300</v>
      </c>
      <c r="H1752" s="45">
        <v>259.8</v>
      </c>
    </row>
    <row r="1753" spans="1:8">
      <c r="A1753" s="78">
        <v>131442820443</v>
      </c>
      <c r="B1753" s="1" t="s">
        <v>2055</v>
      </c>
      <c r="C1753" s="44" t="s">
        <v>2316</v>
      </c>
      <c r="D1753" s="1" t="s">
        <v>2057</v>
      </c>
      <c r="E1753" s="44" t="s">
        <v>2316</v>
      </c>
      <c r="F1753" s="38" t="s">
        <v>2058</v>
      </c>
      <c r="G1753" s="45">
        <v>5900</v>
      </c>
      <c r="H1753" s="45">
        <v>35.4</v>
      </c>
    </row>
    <row r="1754" spans="1:8">
      <c r="A1754" s="78">
        <v>131442949423</v>
      </c>
      <c r="B1754" s="1" t="s">
        <v>2055</v>
      </c>
      <c r="C1754" s="44" t="s">
        <v>2316</v>
      </c>
      <c r="D1754" s="1" t="s">
        <v>2057</v>
      </c>
      <c r="E1754" s="44" t="s">
        <v>2316</v>
      </c>
      <c r="F1754" s="38" t="s">
        <v>2058</v>
      </c>
      <c r="G1754" s="45">
        <v>28800</v>
      </c>
      <c r="H1754" s="45">
        <v>172.8</v>
      </c>
    </row>
    <row r="1755" spans="1:8">
      <c r="A1755" s="78">
        <v>131446697595</v>
      </c>
      <c r="B1755" s="1" t="s">
        <v>2055</v>
      </c>
      <c r="C1755" s="44" t="s">
        <v>2316</v>
      </c>
      <c r="D1755" s="1" t="s">
        <v>2057</v>
      </c>
      <c r="E1755" s="44" t="s">
        <v>2316</v>
      </c>
      <c r="F1755" s="38" t="s">
        <v>2058</v>
      </c>
      <c r="G1755" s="45">
        <v>47400</v>
      </c>
      <c r="H1755" s="45">
        <v>284.39999999999998</v>
      </c>
    </row>
    <row r="1756" spans="1:8">
      <c r="A1756" s="78">
        <v>131447307481</v>
      </c>
      <c r="B1756" s="1" t="s">
        <v>8</v>
      </c>
      <c r="C1756" s="44" t="s">
        <v>2316</v>
      </c>
      <c r="D1756" s="1" t="s">
        <v>2057</v>
      </c>
      <c r="E1756" s="44" t="s">
        <v>2316</v>
      </c>
      <c r="F1756" s="38" t="s">
        <v>2058</v>
      </c>
      <c r="G1756" s="45">
        <v>4800</v>
      </c>
      <c r="H1756" s="45">
        <v>28.8</v>
      </c>
    </row>
    <row r="1757" spans="1:8">
      <c r="A1757" s="78">
        <v>131449789851</v>
      </c>
      <c r="B1757" s="1" t="s">
        <v>8</v>
      </c>
      <c r="C1757" s="44" t="s">
        <v>2316</v>
      </c>
      <c r="D1757" s="1" t="s">
        <v>2057</v>
      </c>
      <c r="E1757" s="44" t="s">
        <v>2316</v>
      </c>
      <c r="F1757" s="38" t="s">
        <v>2058</v>
      </c>
      <c r="G1757" s="45">
        <v>64600</v>
      </c>
      <c r="H1757" s="45">
        <v>387.6</v>
      </c>
    </row>
    <row r="1758" spans="1:8">
      <c r="A1758" s="78">
        <v>131450205625</v>
      </c>
      <c r="B1758" s="1" t="s">
        <v>8</v>
      </c>
      <c r="C1758" s="44" t="s">
        <v>2316</v>
      </c>
      <c r="D1758" s="1" t="s">
        <v>2057</v>
      </c>
      <c r="E1758" s="44" t="s">
        <v>2316</v>
      </c>
      <c r="F1758" s="38" t="s">
        <v>2058</v>
      </c>
      <c r="G1758" s="45">
        <v>9200</v>
      </c>
      <c r="H1758" s="45">
        <v>55.2</v>
      </c>
    </row>
    <row r="1759" spans="1:8">
      <c r="A1759" s="78">
        <v>131450649595</v>
      </c>
      <c r="B1759" s="1" t="s">
        <v>8</v>
      </c>
      <c r="C1759" s="44" t="s">
        <v>2316</v>
      </c>
      <c r="D1759" s="1" t="s">
        <v>2057</v>
      </c>
      <c r="E1759" s="44" t="s">
        <v>2316</v>
      </c>
      <c r="F1759" s="38" t="s">
        <v>2058</v>
      </c>
      <c r="G1759" s="45">
        <v>14300</v>
      </c>
      <c r="H1759" s="45">
        <v>85.8</v>
      </c>
    </row>
    <row r="1760" spans="1:8">
      <c r="A1760" s="78">
        <v>132048145386</v>
      </c>
      <c r="B1760" s="1" t="s">
        <v>2055</v>
      </c>
      <c r="C1760" s="44" t="s">
        <v>2316</v>
      </c>
      <c r="D1760" s="1" t="s">
        <v>2057</v>
      </c>
      <c r="E1760" s="44" t="s">
        <v>2316</v>
      </c>
      <c r="F1760" s="38" t="s">
        <v>2058</v>
      </c>
      <c r="G1760" s="45">
        <v>59200</v>
      </c>
      <c r="H1760" s="45">
        <v>355.2</v>
      </c>
    </row>
    <row r="1761" spans="1:8">
      <c r="A1761" s="78">
        <v>131450909125</v>
      </c>
      <c r="B1761" s="1" t="s">
        <v>8</v>
      </c>
      <c r="C1761" s="44" t="s">
        <v>2316</v>
      </c>
      <c r="D1761" s="1" t="s">
        <v>2057</v>
      </c>
      <c r="E1761" s="44" t="s">
        <v>2316</v>
      </c>
      <c r="F1761" s="38" t="s">
        <v>2058</v>
      </c>
      <c r="G1761" s="45">
        <v>9100</v>
      </c>
      <c r="H1761" s="45">
        <v>54.6</v>
      </c>
    </row>
    <row r="1762" spans="1:8">
      <c r="A1762" s="78">
        <v>132048712642</v>
      </c>
      <c r="B1762" s="1" t="s">
        <v>8</v>
      </c>
      <c r="C1762" s="44" t="s">
        <v>2316</v>
      </c>
      <c r="D1762" s="1" t="s">
        <v>2057</v>
      </c>
      <c r="E1762" s="44" t="s">
        <v>2316</v>
      </c>
      <c r="F1762" s="38" t="s">
        <v>2058</v>
      </c>
      <c r="G1762" s="45">
        <v>33300</v>
      </c>
      <c r="H1762" s="45">
        <v>199.8</v>
      </c>
    </row>
    <row r="1763" spans="1:8">
      <c r="A1763" s="78">
        <v>132051231038</v>
      </c>
      <c r="B1763" s="1" t="s">
        <v>8</v>
      </c>
      <c r="C1763" s="44" t="s">
        <v>2316</v>
      </c>
      <c r="D1763" s="1" t="s">
        <v>2057</v>
      </c>
      <c r="E1763" s="44" t="s">
        <v>2316</v>
      </c>
      <c r="F1763" s="38" t="s">
        <v>2058</v>
      </c>
      <c r="G1763" s="45">
        <v>63200</v>
      </c>
      <c r="H1763" s="45">
        <v>379.2</v>
      </c>
    </row>
    <row r="1764" spans="1:8">
      <c r="B1764" s="44"/>
      <c r="D1764" s="44"/>
      <c r="E1764" s="44"/>
      <c r="F1764" s="38"/>
      <c r="G1764" s="45"/>
      <c r="H1764" s="45"/>
    </row>
    <row r="1765" spans="1:8">
      <c r="G1765" s="66">
        <f>SUM(G20:G1764)</f>
        <v>72256708.50999999</v>
      </c>
      <c r="H1765" s="66">
        <f>SUM(H20:H1764)</f>
        <v>433540.20999999944</v>
      </c>
    </row>
    <row r="1767" spans="1:8">
      <c r="G1767" s="63" t="s">
        <v>3055</v>
      </c>
      <c r="H1767" s="64">
        <f>+SIRCUPA!G223</f>
        <v>382419</v>
      </c>
    </row>
    <row r="1768" spans="1:8">
      <c r="G1768" s="63" t="s">
        <v>3056</v>
      </c>
      <c r="H1768" s="64">
        <f>+SIRTAC!G1460</f>
        <v>36477384</v>
      </c>
    </row>
    <row r="1769" spans="1:8">
      <c r="G1769" s="63" t="s">
        <v>3057</v>
      </c>
      <c r="H1769" s="64">
        <f>+H1767+H1768</f>
        <v>36859803</v>
      </c>
    </row>
    <row r="1770" spans="1:8">
      <c r="G1770" s="65" t="s">
        <v>3058</v>
      </c>
      <c r="H1770" s="64">
        <f>+H1769*0.006</f>
        <v>221158.818</v>
      </c>
    </row>
    <row r="1771" spans="1:8">
      <c r="G1771" s="65" t="s">
        <v>3045</v>
      </c>
      <c r="H1771" s="64">
        <f>+H1765-H1770</f>
        <v>212381.39199999944</v>
      </c>
    </row>
  </sheetData>
  <autoFilter ref="B19:I19"/>
  <mergeCells count="5">
    <mergeCell ref="A1:H1"/>
    <mergeCell ref="A13:D13"/>
    <mergeCell ref="A15:D15"/>
    <mergeCell ref="A18:D18"/>
    <mergeCell ref="E18:H18"/>
  </mergeCells>
  <hyperlinks>
    <hyperlink ref="A13:D13" r:id="rId1" location="from-section=bitacora" display="Encuentra los movimientos de dinero en tu cuenta de Mercado Pago, en informes de balance.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sheet0</vt:lpstr>
      <vt:lpstr>Detallado</vt:lpstr>
      <vt:lpstr>TR</vt:lpstr>
      <vt:lpstr>Tabla Resumen</vt:lpstr>
      <vt:lpstr>SIRCUPA</vt:lpstr>
      <vt:lpstr>SIRTAC</vt:lpstr>
      <vt:lpstr>Gastos</vt:lpstr>
      <vt:lpstr>IDC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2026-03-18T11:48:33Z</dcterms:created>
  <dcterms:modified xsi:type="dcterms:W3CDTF">2026-05-18T14:40:12Z</dcterms:modified>
</cp:coreProperties>
</file>